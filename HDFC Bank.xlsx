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0AC9C770-84C5-4C18-A581-858A6D38452E}" xr6:coauthVersionLast="47" xr6:coauthVersionMax="47" xr10:uidLastSave="{00000000-0000-0000-0000-000000000000}"/>
  <bookViews>
    <workbookView xWindow="-108" yWindow="-108" windowWidth="23256" windowHeight="13176" xr2:uid="{2B504B64-7C59-4583-911A-B0F2B0AF3359}"/>
  </bookViews>
  <sheets>
    <sheet name="Val" sheetId="1" r:id="rId1"/>
    <sheet name="Comps" sheetId="2" r:id="rId2"/>
  </sheets>
  <definedNames>
    <definedName name="coe">Val!$E$24</definedName>
    <definedName name="divid_payout">Val!$E$22</definedName>
    <definedName name="net_income">Val!$E$21</definedName>
    <definedName name="tgr">Val!$E$25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1" l="1"/>
  <c r="D89" i="1"/>
  <c r="D88" i="1"/>
  <c r="D87" i="1"/>
  <c r="F86" i="1"/>
  <c r="G86" i="1" s="1"/>
  <c r="H86" i="1" s="1"/>
  <c r="I86" i="1" s="1"/>
  <c r="I76" i="1"/>
  <c r="G76" i="1"/>
  <c r="H76" i="1" s="1"/>
  <c r="F76" i="1"/>
  <c r="D79" i="1"/>
  <c r="D78" i="1"/>
  <c r="D77" i="1" s="1"/>
  <c r="D80" i="1"/>
  <c r="G67" i="1"/>
  <c r="G66" i="1" a="1"/>
  <c r="G60" i="1"/>
  <c r="G59" i="1"/>
  <c r="L54" i="1"/>
  <c r="G57" i="1"/>
  <c r="G55" i="1"/>
  <c r="G54" i="1"/>
  <c r="G53" i="1"/>
  <c r="H53" i="1" s="1"/>
  <c r="G49" i="1"/>
  <c r="E22" i="1"/>
  <c r="G42" i="1" s="1"/>
  <c r="L42" i="1" s="1"/>
  <c r="H42" i="1" s="1"/>
  <c r="I42" i="1" s="1"/>
  <c r="J42" i="1" s="1"/>
  <c r="K42" i="1" s="1"/>
  <c r="E21" i="1"/>
  <c r="G44" i="1" s="1"/>
  <c r="H39" i="1" s="1"/>
  <c r="I39" i="1" s="1"/>
  <c r="J39" i="1" s="1"/>
  <c r="K39" i="1" s="1"/>
  <c r="K60" i="1" s="1"/>
  <c r="G45" i="1"/>
  <c r="E34" i="1"/>
  <c r="Q22" i="1"/>
  <c r="I22" i="1"/>
  <c r="Q24" i="1"/>
  <c r="I24" i="1"/>
  <c r="M24" i="1"/>
  <c r="I17" i="2"/>
  <c r="I18" i="2"/>
  <c r="E21" i="2" s="1"/>
  <c r="H18" i="2"/>
  <c r="E22" i="2" s="1"/>
  <c r="H17" i="2"/>
  <c r="H54" i="1" l="1"/>
  <c r="I54" i="1" s="1"/>
  <c r="I53" i="1"/>
  <c r="J60" i="1"/>
  <c r="I60" i="1"/>
  <c r="H60" i="1"/>
  <c r="J54" i="1"/>
  <c r="K54" i="1" s="1"/>
  <c r="L44" i="1"/>
  <c r="K41" i="1"/>
  <c r="J41" i="1"/>
  <c r="H41" i="1"/>
  <c r="I41" i="1"/>
  <c r="L39" i="1"/>
  <c r="E24" i="2"/>
  <c r="H55" i="1" l="1"/>
  <c r="H56" i="1" s="1"/>
  <c r="H61" i="1" s="1"/>
  <c r="H62" i="1"/>
  <c r="I55" i="1"/>
  <c r="I56" i="1" s="1"/>
  <c r="I61" i="1" s="1"/>
  <c r="I62" i="1" s="1"/>
  <c r="J53" i="1"/>
  <c r="L41" i="1"/>
  <c r="L60" i="1"/>
  <c r="J55" i="1" l="1"/>
  <c r="J56" i="1" s="1"/>
  <c r="J61" i="1" s="1"/>
  <c r="J62" i="1" s="1"/>
  <c r="K53" i="1"/>
  <c r="E25" i="1"/>
  <c r="E24" i="1"/>
  <c r="E11" i="1"/>
  <c r="L53" i="1" l="1"/>
  <c r="L55" i="1" s="1"/>
  <c r="K55" i="1"/>
  <c r="K56" i="1" s="1"/>
  <c r="K61" i="1" s="1"/>
  <c r="K62" i="1" s="1"/>
  <c r="K65" i="1"/>
  <c r="H65" i="1"/>
  <c r="J65" i="1"/>
  <c r="I65" i="1"/>
  <c r="L46" i="1"/>
  <c r="L47" i="1" s="1"/>
  <c r="J47" i="1"/>
  <c r="I47" i="1"/>
  <c r="K47" i="1"/>
  <c r="H47" i="1"/>
  <c r="L56" i="1" l="1"/>
  <c r="L61" i="1" s="1"/>
  <c r="L62" i="1" s="1"/>
  <c r="L64" i="1" s="1"/>
  <c r="L65" i="1" s="1"/>
  <c r="G66" i="1" s="1"/>
  <c r="G68" i="1" s="1"/>
  <c r="G48" i="1"/>
  <c r="G50" i="1" s="1"/>
  <c r="N10" i="1" l="1"/>
  <c r="N11" i="1" s="1"/>
  <c r="D86" i="1"/>
  <c r="J10" i="1"/>
  <c r="J11" i="1" s="1"/>
  <c r="D76" i="1"/>
</calcChain>
</file>

<file path=xl/sharedStrings.xml><?xml version="1.0" encoding="utf-8"?>
<sst xmlns="http://schemas.openxmlformats.org/spreadsheetml/2006/main" count="135" uniqueCount="101">
  <si>
    <t>HDFC Bank</t>
  </si>
  <si>
    <t>Valuation</t>
  </si>
  <si>
    <t>(Figures in ₹ 'Cr., except price per share and number of shares)</t>
  </si>
  <si>
    <t>Overview</t>
  </si>
  <si>
    <t>#</t>
  </si>
  <si>
    <t>Company Name:</t>
  </si>
  <si>
    <t>Ticker:</t>
  </si>
  <si>
    <t>Sector:</t>
  </si>
  <si>
    <t>Date:</t>
  </si>
  <si>
    <t>Days in a Year:</t>
  </si>
  <si>
    <t>HDFC</t>
  </si>
  <si>
    <t>Private Sector Bank</t>
  </si>
  <si>
    <t>Templete:</t>
  </si>
  <si>
    <t>Standard</t>
  </si>
  <si>
    <t>Currency:</t>
  </si>
  <si>
    <t>Period type:</t>
  </si>
  <si>
    <t>Annual</t>
  </si>
  <si>
    <t>Units:</t>
  </si>
  <si>
    <t>Source:</t>
  </si>
  <si>
    <t>Company Website</t>
  </si>
  <si>
    <t xml:space="preserve">Decimals: </t>
  </si>
  <si>
    <t>Default</t>
  </si>
  <si>
    <t>INR</t>
  </si>
  <si>
    <t>Assumptions (31/12 CYE)</t>
  </si>
  <si>
    <t>Trigger</t>
  </si>
  <si>
    <t>Conservative</t>
  </si>
  <si>
    <t xml:space="preserve">Base / Street </t>
  </si>
  <si>
    <t>Optimistic</t>
  </si>
  <si>
    <t>Scenario:</t>
  </si>
  <si>
    <t>TGR</t>
  </si>
  <si>
    <t>Net Income</t>
  </si>
  <si>
    <t>Dividend Payout</t>
  </si>
  <si>
    <t>TGR:</t>
  </si>
  <si>
    <t>Scenarios (31/12 CYE)</t>
  </si>
  <si>
    <t>Tier 1 Capital</t>
  </si>
  <si>
    <t>Book Value</t>
  </si>
  <si>
    <t>Risk-Adjusted Assets</t>
  </si>
  <si>
    <t>CET1 Ratio</t>
  </si>
  <si>
    <t>Expected Growth for Asset Base</t>
  </si>
  <si>
    <t>Expected CET1 Ratio</t>
  </si>
  <si>
    <t>Prob. of Failure / Regulatory Takeover</t>
  </si>
  <si>
    <t>Cost of Equity</t>
  </si>
  <si>
    <t>Cost of Equity:</t>
  </si>
  <si>
    <t>Valuation (31/12 CYE)</t>
  </si>
  <si>
    <t xml:space="preserve">Profit after tax </t>
  </si>
  <si>
    <t>Base Year</t>
  </si>
  <si>
    <t>Comparable Companies in Private Banking - with Market Cap over $ 25,000 Cr.</t>
  </si>
  <si>
    <r>
      <t xml:space="preserve">(in </t>
    </r>
    <r>
      <rPr>
        <i/>
        <sz val="10"/>
        <color theme="1"/>
        <rFont val="Calibri"/>
        <family val="2"/>
      </rPr>
      <t>₹</t>
    </r>
    <r>
      <rPr>
        <i/>
        <sz val="10"/>
        <color theme="1"/>
        <rFont val="Arial"/>
        <family val="2"/>
      </rPr>
      <t xml:space="preserve"> Cr., except Price per Share)</t>
    </r>
  </si>
  <si>
    <t>Company Name</t>
  </si>
  <si>
    <t>CMP Rs.</t>
  </si>
  <si>
    <t>ICICI Bank</t>
  </si>
  <si>
    <t>Axis Bank</t>
  </si>
  <si>
    <t>Kotak Mah. Bank</t>
  </si>
  <si>
    <t>IDBI Bank</t>
  </si>
  <si>
    <t>Federal Bank</t>
  </si>
  <si>
    <t>IndusInd Bank</t>
  </si>
  <si>
    <t>Yes Bank</t>
  </si>
  <si>
    <t>IDFC First Bank</t>
  </si>
  <si>
    <t>Karur Vysya Bank</t>
  </si>
  <si>
    <t>P / BV</t>
  </si>
  <si>
    <t>Market Cap</t>
  </si>
  <si>
    <t>Net Profit</t>
  </si>
  <si>
    <t xml:space="preserve">Mean </t>
  </si>
  <si>
    <t>Median</t>
  </si>
  <si>
    <t>Median P / BV</t>
  </si>
  <si>
    <t>Median ROE %</t>
  </si>
  <si>
    <t>Expected Growth Rate</t>
  </si>
  <si>
    <t>mordorintelligence.com(india-private-banking-market)</t>
  </si>
  <si>
    <t>Values are extracted from Screneer.in</t>
  </si>
  <si>
    <t>ROE %</t>
  </si>
  <si>
    <t>Dividends</t>
  </si>
  <si>
    <t>Dividend Payout Ratio</t>
  </si>
  <si>
    <t>Expected Return on Growth Rate</t>
  </si>
  <si>
    <t>Terminal Value</t>
  </si>
  <si>
    <t>PV of Dividends</t>
  </si>
  <si>
    <t>Net Income:</t>
  </si>
  <si>
    <t>Dividend Payout:</t>
  </si>
  <si>
    <t>Equity Value</t>
  </si>
  <si>
    <t>Number of Shares</t>
  </si>
  <si>
    <t>Price per Share</t>
  </si>
  <si>
    <t>Dividend Discount Model</t>
  </si>
  <si>
    <t>*</t>
  </si>
  <si>
    <t>Free Cash Flow to Equity</t>
  </si>
  <si>
    <t>Risk-Adjusted Asset</t>
  </si>
  <si>
    <t>Change in Regulatory Capial (Tier1)</t>
  </si>
  <si>
    <t>Bookvalue</t>
  </si>
  <si>
    <t>Less: Change in Regulatory Capital (Tier 1)</t>
  </si>
  <si>
    <t>Expected ROE  %</t>
  </si>
  <si>
    <t>FCFE</t>
  </si>
  <si>
    <t>PV of FCFE</t>
  </si>
  <si>
    <t>Val. Using Dividend Dicount Model</t>
  </si>
  <si>
    <t>Val. Using Free Cash Flow to Equity</t>
  </si>
  <si>
    <t>Sensitivity Analysis</t>
  </si>
  <si>
    <t>Dividend Discount Model - Terminal Growth Rate to Cost of Equity</t>
  </si>
  <si>
    <t>Free Cash Flow to Equity - Terminal Growth Rate to Cost of Equity</t>
  </si>
  <si>
    <t>Current Share Price</t>
  </si>
  <si>
    <t>Implied Share Price</t>
  </si>
  <si>
    <t>Δ Delta</t>
  </si>
  <si>
    <t>Terminal Growth Rate %</t>
  </si>
  <si>
    <t>WACC</t>
  </si>
  <si>
    <t>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</si>
</sst>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\(#,##0\);\ \-\-\-"/>
    <numFmt numFmtId="166" formatCode="#,##0.0;\(#,##0.0\);\ \-\-\-"/>
    <numFmt numFmtId="167" formatCode="_ [$₹-4009]\ * #,##0.00_ ;_ [$₹-4009]\ * \-#,##0.00_ ;_ [$₹-4009]\ * &quot;-&quot;??_ ;_ @_ "/>
    <numFmt numFmtId="168" formatCode="0.0%;\(0.0%\);\-\-\-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4" fillId="0" borderId="4" xfId="0" applyFont="1" applyBorder="1"/>
    <xf numFmtId="0" fontId="8" fillId="0" borderId="4" xfId="0" applyFont="1" applyBorder="1"/>
    <xf numFmtId="0" fontId="4" fillId="0" borderId="5" xfId="0" applyFont="1" applyBorder="1"/>
    <xf numFmtId="3" fontId="4" fillId="0" borderId="0" xfId="0" applyNumberFormat="1" applyFont="1"/>
    <xf numFmtId="164" fontId="9" fillId="0" borderId="0" xfId="0" applyNumberFormat="1" applyFont="1"/>
    <xf numFmtId="10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0" fontId="9" fillId="0" borderId="0" xfId="0" applyFont="1"/>
    <xf numFmtId="0" fontId="2" fillId="0" borderId="4" xfId="0" applyFont="1" applyBorder="1"/>
    <xf numFmtId="0" fontId="0" fillId="0" borderId="4" xfId="0" applyBorder="1"/>
    <xf numFmtId="0" fontId="0" fillId="0" borderId="6" xfId="0" applyBorder="1"/>
    <xf numFmtId="166" fontId="0" fillId="0" borderId="6" xfId="0" applyNumberFormat="1" applyBorder="1"/>
    <xf numFmtId="0" fontId="2" fillId="0" borderId="7" xfId="0" applyFont="1" applyBorder="1"/>
    <xf numFmtId="0" fontId="0" fillId="0" borderId="7" xfId="0" applyBorder="1"/>
    <xf numFmtId="0" fontId="10" fillId="0" borderId="0" xfId="0" applyFont="1"/>
    <xf numFmtId="0" fontId="10" fillId="0" borderId="0" xfId="0" applyFont="1" applyAlignment="1">
      <alignment horizontal="left"/>
    </xf>
    <xf numFmtId="164" fontId="0" fillId="0" borderId="6" xfId="2" applyNumberFormat="1" applyFont="1" applyBorder="1"/>
    <xf numFmtId="164" fontId="0" fillId="0" borderId="7" xfId="2" applyNumberFormat="1" applyFont="1" applyBorder="1" applyAlignment="1">
      <alignment horizontal="right"/>
    </xf>
    <xf numFmtId="164" fontId="0" fillId="0" borderId="4" xfId="2" applyNumberFormat="1" applyFont="1" applyBorder="1" applyAlignment="1">
      <alignment horizontal="right"/>
    </xf>
    <xf numFmtId="2" fontId="0" fillId="0" borderId="7" xfId="2" applyNumberFormat="1" applyFont="1" applyBorder="1" applyAlignment="1">
      <alignment horizontal="right"/>
    </xf>
    <xf numFmtId="2" fontId="0" fillId="0" borderId="4" xfId="2" applyNumberFormat="1" applyFont="1" applyBorder="1" applyAlignment="1">
      <alignment horizontal="right"/>
    </xf>
    <xf numFmtId="10" fontId="4" fillId="2" borderId="1" xfId="2" applyNumberFormat="1" applyFont="1" applyFill="1" applyBorder="1"/>
    <xf numFmtId="10" fontId="4" fillId="2" borderId="1" xfId="1" applyNumberFormat="1" applyFont="1"/>
    <xf numFmtId="10" fontId="4" fillId="0" borderId="5" xfId="2" applyNumberFormat="1" applyFont="1" applyBorder="1"/>
    <xf numFmtId="164" fontId="4" fillId="0" borderId="0" xfId="2" applyNumberFormat="1" applyFont="1"/>
    <xf numFmtId="10" fontId="4" fillId="0" borderId="0" xfId="2" applyNumberFormat="1" applyFont="1"/>
    <xf numFmtId="165" fontId="8" fillId="0" borderId="0" xfId="0" applyNumberFormat="1" applyFont="1"/>
    <xf numFmtId="0" fontId="4" fillId="0" borderId="7" xfId="0" applyFont="1" applyBorder="1"/>
    <xf numFmtId="165" fontId="4" fillId="0" borderId="7" xfId="0" applyNumberFormat="1" applyFont="1" applyBorder="1"/>
    <xf numFmtId="165" fontId="4" fillId="0" borderId="4" xfId="0" applyNumberFormat="1" applyFont="1" applyBorder="1"/>
    <xf numFmtId="10" fontId="4" fillId="0" borderId="4" xfId="0" applyNumberFormat="1" applyFont="1" applyBorder="1"/>
    <xf numFmtId="3" fontId="8" fillId="0" borderId="0" xfId="0" applyNumberFormat="1" applyFont="1"/>
    <xf numFmtId="0" fontId="8" fillId="0" borderId="6" xfId="0" applyFont="1" applyBorder="1"/>
    <xf numFmtId="167" fontId="8" fillId="0" borderId="6" xfId="0" applyNumberFormat="1" applyFont="1" applyBorder="1"/>
    <xf numFmtId="0" fontId="4" fillId="0" borderId="6" xfId="0" applyFont="1" applyBorder="1"/>
    <xf numFmtId="0" fontId="4" fillId="0" borderId="9" xfId="0" applyFont="1" applyBorder="1"/>
    <xf numFmtId="3" fontId="8" fillId="0" borderId="9" xfId="0" applyNumberFormat="1" applyFont="1" applyBorder="1"/>
    <xf numFmtId="165" fontId="4" fillId="0" borderId="10" xfId="0" applyNumberFormat="1" applyFont="1" applyBorder="1"/>
    <xf numFmtId="10" fontId="4" fillId="0" borderId="8" xfId="0" applyNumberFormat="1" applyFont="1" applyBorder="1"/>
    <xf numFmtId="0" fontId="4" fillId="0" borderId="10" xfId="0" applyFont="1" applyBorder="1"/>
    <xf numFmtId="165" fontId="4" fillId="0" borderId="8" xfId="0" applyNumberFormat="1" applyFont="1" applyBorder="1"/>
    <xf numFmtId="164" fontId="4" fillId="0" borderId="9" xfId="2" applyNumberFormat="1" applyFont="1" applyBorder="1"/>
    <xf numFmtId="0" fontId="4" fillId="0" borderId="11" xfId="0" applyFont="1" applyBorder="1"/>
    <xf numFmtId="0" fontId="8" fillId="0" borderId="0" xfId="0" applyFont="1" applyAlignment="1">
      <alignment horizontal="center"/>
    </xf>
    <xf numFmtId="3" fontId="8" fillId="0" borderId="8" xfId="0" applyNumberFormat="1" applyFont="1" applyBorder="1"/>
    <xf numFmtId="3" fontId="8" fillId="0" borderId="4" xfId="0" applyNumberFormat="1" applyFont="1" applyBorder="1"/>
    <xf numFmtId="3" fontId="4" fillId="0" borderId="4" xfId="0" applyNumberFormat="1" applyFont="1" applyBorder="1"/>
    <xf numFmtId="165" fontId="4" fillId="0" borderId="6" xfId="0" applyNumberFormat="1" applyFont="1" applyBorder="1"/>
    <xf numFmtId="3" fontId="4" fillId="0" borderId="9" xfId="0" applyNumberFormat="1" applyFont="1" applyBorder="1"/>
    <xf numFmtId="10" fontId="4" fillId="0" borderId="9" xfId="0" applyNumberFormat="1" applyFont="1" applyBorder="1"/>
    <xf numFmtId="165" fontId="4" fillId="0" borderId="9" xfId="0" applyNumberFormat="1" applyFont="1" applyBorder="1"/>
    <xf numFmtId="0" fontId="4" fillId="0" borderId="8" xfId="0" applyFont="1" applyBorder="1"/>
    <xf numFmtId="165" fontId="4" fillId="0" borderId="11" xfId="0" applyNumberFormat="1" applyFont="1" applyBorder="1"/>
    <xf numFmtId="0" fontId="11" fillId="0" borderId="8" xfId="0" applyFont="1" applyBorder="1"/>
    <xf numFmtId="167" fontId="4" fillId="0" borderId="13" xfId="0" applyNumberFormat="1" applyFont="1" applyBorder="1"/>
    <xf numFmtId="168" fontId="4" fillId="0" borderId="14" xfId="2" applyNumberFormat="1" applyFont="1" applyBorder="1"/>
    <xf numFmtId="0" fontId="8" fillId="4" borderId="11" xfId="0" applyFont="1" applyFill="1" applyBorder="1"/>
    <xf numFmtId="0" fontId="4" fillId="4" borderId="6" xfId="0" applyFont="1" applyFill="1" applyBorder="1"/>
    <xf numFmtId="0" fontId="4" fillId="4" borderId="12" xfId="0" applyFont="1" applyFill="1" applyBorder="1"/>
    <xf numFmtId="167" fontId="4" fillId="0" borderId="10" xfId="0" applyNumberFormat="1" applyFont="1" applyBorder="1"/>
    <xf numFmtId="167" fontId="8" fillId="0" borderId="7" xfId="0" applyNumberFormat="1" applyFont="1" applyBorder="1"/>
    <xf numFmtId="167" fontId="4" fillId="0" borderId="15" xfId="0" applyNumberFormat="1" applyFont="1" applyBorder="1"/>
    <xf numFmtId="167" fontId="8" fillId="0" borderId="9" xfId="0" applyNumberFormat="1" applyFont="1" applyBorder="1"/>
    <xf numFmtId="167" fontId="8" fillId="0" borderId="13" xfId="0" applyNumberFormat="1" applyFont="1" applyBorder="1"/>
    <xf numFmtId="167" fontId="4" fillId="0" borderId="8" xfId="0" applyNumberFormat="1" applyFont="1" applyBorder="1"/>
    <xf numFmtId="167" fontId="8" fillId="0" borderId="4" xfId="0" applyNumberFormat="1" applyFont="1" applyBorder="1"/>
    <xf numFmtId="167" fontId="4" fillId="0" borderId="14" xfId="0" applyNumberFormat="1" applyFont="1" applyBorder="1"/>
    <xf numFmtId="0" fontId="4" fillId="3" borderId="10" xfId="0" applyFont="1" applyFill="1" applyBorder="1"/>
    <xf numFmtId="167" fontId="4" fillId="0" borderId="4" xfId="0" applyNumberFormat="1" applyFont="1" applyBorder="1"/>
    <xf numFmtId="167" fontId="6" fillId="0" borderId="10" xfId="0" applyNumberFormat="1" applyFont="1" applyBorder="1"/>
    <xf numFmtId="9" fontId="4" fillId="0" borderId="7" xfId="0" applyNumberFormat="1" applyFont="1" applyBorder="1"/>
    <xf numFmtId="10" fontId="4" fillId="0" borderId="7" xfId="0" applyNumberFormat="1" applyFont="1" applyBorder="1"/>
    <xf numFmtId="10" fontId="8" fillId="0" borderId="7" xfId="0" applyNumberFormat="1" applyFont="1" applyBorder="1"/>
    <xf numFmtId="10" fontId="4" fillId="0" borderId="15" xfId="0" applyNumberFormat="1" applyFont="1" applyBorder="1"/>
    <xf numFmtId="10" fontId="8" fillId="0" borderId="9" xfId="0" applyNumberFormat="1" applyFont="1" applyBorder="1"/>
    <xf numFmtId="167" fontId="4" fillId="0" borderId="7" xfId="0" applyNumberFormat="1" applyFont="1" applyBorder="1"/>
    <xf numFmtId="167" fontId="4" fillId="0" borderId="9" xfId="0" applyNumberFormat="1" applyFont="1" applyBorder="1"/>
    <xf numFmtId="167" fontId="4" fillId="5" borderId="10" xfId="0" applyNumberFormat="1" applyFont="1" applyFill="1" applyBorder="1"/>
    <xf numFmtId="167" fontId="8" fillId="5" borderId="7" xfId="0" applyNumberFormat="1" applyFont="1" applyFill="1" applyBorder="1"/>
    <xf numFmtId="167" fontId="4" fillId="5" borderId="15" xfId="0" applyNumberFormat="1" applyFont="1" applyFill="1" applyBorder="1"/>
    <xf numFmtId="167" fontId="8" fillId="5" borderId="9" xfId="0" applyNumberFormat="1" applyFont="1" applyFill="1" applyBorder="1"/>
    <xf numFmtId="167" fontId="8" fillId="5" borderId="0" xfId="0" applyNumberFormat="1" applyFont="1" applyFill="1"/>
    <xf numFmtId="167" fontId="8" fillId="5" borderId="13" xfId="0" applyNumberFormat="1" applyFont="1" applyFill="1" applyBorder="1"/>
    <xf numFmtId="167" fontId="4" fillId="5" borderId="8" xfId="0" applyNumberFormat="1" applyFont="1" applyFill="1" applyBorder="1"/>
    <xf numFmtId="167" fontId="8" fillId="5" borderId="4" xfId="0" applyNumberFormat="1" applyFont="1" applyFill="1" applyBorder="1"/>
    <xf numFmtId="167" fontId="4" fillId="5" borderId="14" xfId="0" applyNumberFormat="1" applyFont="1" applyFill="1" applyBorder="1"/>
    <xf numFmtId="0" fontId="2" fillId="0" borderId="11" xfId="0" applyFont="1" applyBorder="1"/>
    <xf numFmtId="0" fontId="0" fillId="0" borderId="11" xfId="0" applyBorder="1"/>
    <xf numFmtId="166" fontId="0" fillId="0" borderId="12" xfId="0" applyNumberFormat="1" applyBorder="1"/>
    <xf numFmtId="0" fontId="0" fillId="0" borderId="9" xfId="0" applyBorder="1"/>
    <xf numFmtId="166" fontId="0" fillId="0" borderId="0" xfId="0" applyNumberFormat="1"/>
    <xf numFmtId="164" fontId="0" fillId="0" borderId="0" xfId="2" applyNumberFormat="1" applyFont="1" applyBorder="1"/>
    <xf numFmtId="166" fontId="0" fillId="0" borderId="13" xfId="0" applyNumberFormat="1" applyBorder="1"/>
    <xf numFmtId="0" fontId="0" fillId="0" borderId="8" xfId="0" applyBorder="1"/>
    <xf numFmtId="166" fontId="0" fillId="0" borderId="4" xfId="0" applyNumberFormat="1" applyBorder="1"/>
    <xf numFmtId="164" fontId="0" fillId="0" borderId="4" xfId="2" applyNumberFormat="1" applyFont="1" applyBorder="1"/>
    <xf numFmtId="166" fontId="0" fillId="0" borderId="14" xfId="0" applyNumberFormat="1" applyBorder="1"/>
    <xf numFmtId="0" fontId="2" fillId="4" borderId="11" xfId="0" applyFont="1" applyFill="1" applyBorder="1"/>
    <xf numFmtId="0" fontId="0" fillId="4" borderId="6" xfId="0" applyFill="1" applyBorder="1"/>
    <xf numFmtId="0" fontId="2" fillId="4" borderId="6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12" xfId="0" applyFont="1" applyFill="1" applyBorder="1"/>
    <xf numFmtId="2" fontId="0" fillId="0" borderId="13" xfId="2" applyNumberFormat="1" applyFont="1" applyBorder="1"/>
    <xf numFmtId="164" fontId="0" fillId="0" borderId="13" xfId="2" applyNumberFormat="1" applyFont="1" applyBorder="1"/>
    <xf numFmtId="10" fontId="0" fillId="0" borderId="13" xfId="0" applyNumberFormat="1" applyBorder="1"/>
    <xf numFmtId="164" fontId="2" fillId="0" borderId="12" xfId="2" applyNumberFormat="1" applyFont="1" applyBorder="1"/>
    <xf numFmtId="0" fontId="5" fillId="3" borderId="9" xfId="0" applyFont="1" applyFill="1" applyBorder="1" applyAlignment="1">
      <alignment horizontal="center" vertical="center" textRotation="90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7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4" fillId="2" borderId="2" xfId="1" applyFont="1" applyBorder="1" applyAlignment="1">
      <alignment horizontal="right"/>
    </xf>
    <xf numFmtId="0" fontId="4" fillId="2" borderId="3" xfId="1" applyFont="1" applyBorder="1" applyAlignment="1">
      <alignment horizontal="right"/>
    </xf>
    <xf numFmtId="14" fontId="4" fillId="2" borderId="2" xfId="1" applyNumberFormat="1" applyFont="1" applyBorder="1"/>
    <xf numFmtId="0" fontId="4" fillId="2" borderId="3" xfId="1" applyFont="1" applyBorder="1"/>
    <xf numFmtId="0" fontId="4" fillId="2" borderId="2" xfId="1" applyFont="1" applyBorder="1"/>
  </cellXfs>
  <cellStyles count="3">
    <cellStyle name="Normal" xfId="0" builtinId="0"/>
    <cellStyle name="Note" xfId="1" builtinId="10"/>
    <cellStyle name="Percent" xfId="2" builtinId="5"/>
  </cellStyles>
  <dxfs count="0"/>
  <tableStyles count="0" defaultTableStyle="TableStyleMedium2" defaultPivotStyle="PivotStyleLight16"/>
  <colors>
    <mruColors>
      <color rgb="FF001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5093-78B9-4F07-A92E-9180275BE696}">
  <dimension ref="A2:XFD91"/>
  <sheetViews>
    <sheetView showGridLines="0" tabSelected="1" zoomScale="85" zoomScaleNormal="85" workbookViewId="0">
      <selection activeCell="P11" sqref="P11"/>
    </sheetView>
  </sheetViews>
  <sheetFormatPr defaultColWidth="0" defaultRowHeight="13.2" outlineLevelRow="1" x14ac:dyDescent="0.25"/>
  <cols>
    <col min="1" max="1" width="2.88671875" style="2" customWidth="1"/>
    <col min="2" max="2" width="2.88671875" style="51" customWidth="1"/>
    <col min="3" max="3" width="14.5546875" style="2" customWidth="1"/>
    <col min="4" max="17" width="11.77734375" style="2" customWidth="1"/>
    <col min="18" max="19" width="8.88671875" style="2" customWidth="1"/>
    <col min="20" max="16384" width="0" style="2" hidden="1"/>
  </cols>
  <sheetData>
    <row r="2" spans="1:14" s="4" customFormat="1" ht="13.8" x14ac:dyDescent="0.25">
      <c r="A2" s="2"/>
      <c r="B2" s="51"/>
      <c r="C2" s="1" t="s">
        <v>0</v>
      </c>
    </row>
    <row r="3" spans="1:14" s="4" customFormat="1" x14ac:dyDescent="0.25">
      <c r="A3" s="2"/>
      <c r="B3" s="51"/>
      <c r="C3" s="3" t="s">
        <v>1</v>
      </c>
    </row>
    <row r="4" spans="1:14" s="4" customFormat="1" x14ac:dyDescent="0.25">
      <c r="A4" s="2"/>
      <c r="B4" s="51"/>
      <c r="C4" s="5" t="s">
        <v>2</v>
      </c>
    </row>
    <row r="6" spans="1:14" s="4" customFormat="1" x14ac:dyDescent="0.25">
      <c r="A6" s="2"/>
      <c r="B6" s="51" t="s">
        <v>4</v>
      </c>
      <c r="C6" s="3" t="s">
        <v>3</v>
      </c>
    </row>
    <row r="8" spans="1:14" x14ac:dyDescent="0.25">
      <c r="C8" s="6" t="s">
        <v>5</v>
      </c>
      <c r="E8" s="119" t="s">
        <v>0</v>
      </c>
      <c r="F8" s="120"/>
      <c r="H8" s="64" t="s">
        <v>90</v>
      </c>
      <c r="I8" s="65"/>
      <c r="J8" s="66"/>
      <c r="L8" s="64" t="s">
        <v>91</v>
      </c>
      <c r="M8" s="65"/>
      <c r="N8" s="66"/>
    </row>
    <row r="9" spans="1:14" x14ac:dyDescent="0.25">
      <c r="C9" s="6" t="s">
        <v>6</v>
      </c>
      <c r="E9" s="119" t="s">
        <v>10</v>
      </c>
      <c r="F9" s="120"/>
      <c r="H9" s="43" t="s">
        <v>95</v>
      </c>
      <c r="J9" s="62">
        <v>743.75</v>
      </c>
      <c r="L9" s="43" t="s">
        <v>95</v>
      </c>
      <c r="N9" s="62">
        <v>743.75</v>
      </c>
    </row>
    <row r="10" spans="1:14" x14ac:dyDescent="0.25">
      <c r="C10" s="6" t="s">
        <v>7</v>
      </c>
      <c r="E10" s="119" t="s">
        <v>11</v>
      </c>
      <c r="F10" s="120"/>
      <c r="H10" s="43" t="s">
        <v>96</v>
      </c>
      <c r="J10" s="62">
        <f>G50</f>
        <v>1366.4991262947567</v>
      </c>
      <c r="L10" s="43" t="s">
        <v>96</v>
      </c>
      <c r="N10" s="62">
        <f>G68</f>
        <v>4697.4814154004762</v>
      </c>
    </row>
    <row r="11" spans="1:14" ht="13.8" x14ac:dyDescent="0.3">
      <c r="C11" s="6" t="s">
        <v>8</v>
      </c>
      <c r="E11" s="121">
        <f ca="1">TODAY()</f>
        <v>46106</v>
      </c>
      <c r="F11" s="122"/>
      <c r="H11" s="61" t="s">
        <v>97</v>
      </c>
      <c r="I11" s="7"/>
      <c r="J11" s="63">
        <f>J9/J10-1</f>
        <v>-0.4557259600914142</v>
      </c>
      <c r="L11" s="61" t="s">
        <v>97</v>
      </c>
      <c r="M11" s="7"/>
      <c r="N11" s="63">
        <f>N9/N10-1</f>
        <v>-0.84167047525475036</v>
      </c>
    </row>
    <row r="12" spans="1:14" x14ac:dyDescent="0.25">
      <c r="C12" s="6" t="s">
        <v>9</v>
      </c>
      <c r="E12" s="123">
        <v>365</v>
      </c>
      <c r="F12" s="122"/>
    </row>
    <row r="14" spans="1:14" x14ac:dyDescent="0.25">
      <c r="C14" s="6" t="s">
        <v>12</v>
      </c>
      <c r="D14" s="2" t="s">
        <v>13</v>
      </c>
      <c r="F14" s="6" t="s">
        <v>18</v>
      </c>
      <c r="G14" s="2" t="s">
        <v>19</v>
      </c>
      <c r="I14" s="6" t="s">
        <v>17</v>
      </c>
      <c r="J14" s="2" t="s">
        <v>100</v>
      </c>
    </row>
    <row r="15" spans="1:14" x14ac:dyDescent="0.25">
      <c r="C15" s="6" t="s">
        <v>15</v>
      </c>
      <c r="D15" s="2" t="s">
        <v>16</v>
      </c>
      <c r="F15" s="6" t="s">
        <v>14</v>
      </c>
      <c r="G15" s="2" t="s">
        <v>22</v>
      </c>
      <c r="I15" s="6" t="s">
        <v>20</v>
      </c>
      <c r="J15" s="2" t="s">
        <v>21</v>
      </c>
    </row>
    <row r="17" spans="2:16384" x14ac:dyDescent="0.25">
      <c r="B17" s="51" t="s">
        <v>4</v>
      </c>
      <c r="C17" s="3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  <c r="ODE17" s="4"/>
      <c r="ODF17" s="4"/>
      <c r="ODG17" s="4"/>
      <c r="ODH17" s="4"/>
      <c r="ODI17" s="4"/>
      <c r="ODJ17" s="4"/>
      <c r="ODK17" s="4"/>
      <c r="ODL17" s="4"/>
      <c r="ODM17" s="4"/>
      <c r="ODN17" s="4"/>
      <c r="ODO17" s="4"/>
      <c r="ODP17" s="4"/>
      <c r="ODQ17" s="4"/>
      <c r="ODR17" s="4"/>
      <c r="ODS17" s="4"/>
      <c r="ODT17" s="4"/>
      <c r="ODU17" s="4"/>
      <c r="ODV17" s="4"/>
      <c r="ODW17" s="4"/>
      <c r="ODX17" s="4"/>
      <c r="ODY17" s="4"/>
      <c r="ODZ17" s="4"/>
      <c r="OEA17" s="4"/>
      <c r="OEB17" s="4"/>
      <c r="OEC17" s="4"/>
      <c r="OED17" s="4"/>
      <c r="OEE17" s="4"/>
      <c r="OEF17" s="4"/>
      <c r="OEG17" s="4"/>
      <c r="OEH17" s="4"/>
      <c r="OEI17" s="4"/>
      <c r="OEJ17" s="4"/>
      <c r="OEK17" s="4"/>
      <c r="OEL17" s="4"/>
      <c r="OEM17" s="4"/>
      <c r="OEN17" s="4"/>
      <c r="OEO17" s="4"/>
      <c r="OEP17" s="4"/>
      <c r="OEQ17" s="4"/>
      <c r="OER17" s="4"/>
      <c r="OES17" s="4"/>
      <c r="OET17" s="4"/>
      <c r="OEU17" s="4"/>
      <c r="OEV17" s="4"/>
      <c r="OEW17" s="4"/>
      <c r="OEX17" s="4"/>
      <c r="OEY17" s="4"/>
      <c r="OEZ17" s="4"/>
      <c r="OFA17" s="4"/>
      <c r="OFB17" s="4"/>
      <c r="OFC17" s="4"/>
      <c r="OFD17" s="4"/>
      <c r="OFE17" s="4"/>
      <c r="OFF17" s="4"/>
      <c r="OFG17" s="4"/>
      <c r="OFH17" s="4"/>
      <c r="OFI17" s="4"/>
      <c r="OFJ17" s="4"/>
      <c r="OFK17" s="4"/>
      <c r="OFL17" s="4"/>
      <c r="OFM17" s="4"/>
      <c r="OFN17" s="4"/>
      <c r="OFO17" s="4"/>
      <c r="OFP17" s="4"/>
      <c r="OFQ17" s="4"/>
      <c r="OFR17" s="4"/>
      <c r="OFS17" s="4"/>
      <c r="OFT17" s="4"/>
      <c r="OFU17" s="4"/>
      <c r="OFV17" s="4"/>
      <c r="OFW17" s="4"/>
      <c r="OFX17" s="4"/>
      <c r="OFY17" s="4"/>
      <c r="OFZ17" s="4"/>
      <c r="OGA17" s="4"/>
      <c r="OGB17" s="4"/>
      <c r="OGC17" s="4"/>
      <c r="OGD17" s="4"/>
      <c r="OGE17" s="4"/>
      <c r="OGF17" s="4"/>
      <c r="OGG17" s="4"/>
      <c r="OGH17" s="4"/>
      <c r="OGI17" s="4"/>
      <c r="OGJ17" s="4"/>
      <c r="OGK17" s="4"/>
      <c r="OGL17" s="4"/>
      <c r="OGM17" s="4"/>
      <c r="OGN17" s="4"/>
      <c r="OGO17" s="4"/>
      <c r="OGP17" s="4"/>
      <c r="OGQ17" s="4"/>
      <c r="OGR17" s="4"/>
      <c r="OGS17" s="4"/>
      <c r="OGT17" s="4"/>
      <c r="OGU17" s="4"/>
      <c r="OGV17" s="4"/>
      <c r="OGW17" s="4"/>
      <c r="OGX17" s="4"/>
      <c r="OGY17" s="4"/>
      <c r="OGZ17" s="4"/>
      <c r="OHA17" s="4"/>
      <c r="OHB17" s="4"/>
      <c r="OHC17" s="4"/>
      <c r="OHD17" s="4"/>
      <c r="OHE17" s="4"/>
      <c r="OHF17" s="4"/>
      <c r="OHG17" s="4"/>
      <c r="OHH17" s="4"/>
      <c r="OHI17" s="4"/>
      <c r="OHJ17" s="4"/>
      <c r="OHK17" s="4"/>
      <c r="OHL17" s="4"/>
      <c r="OHM17" s="4"/>
      <c r="OHN17" s="4"/>
      <c r="OHO17" s="4"/>
      <c r="OHP17" s="4"/>
      <c r="OHQ17" s="4"/>
      <c r="OHR17" s="4"/>
      <c r="OHS17" s="4"/>
      <c r="OHT17" s="4"/>
      <c r="OHU17" s="4"/>
      <c r="OHV17" s="4"/>
      <c r="OHW17" s="4"/>
      <c r="OHX17" s="4"/>
      <c r="OHY17" s="4"/>
      <c r="OHZ17" s="4"/>
      <c r="OIA17" s="4"/>
      <c r="OIB17" s="4"/>
      <c r="OIC17" s="4"/>
      <c r="OID17" s="4"/>
      <c r="OIE17" s="4"/>
      <c r="OIF17" s="4"/>
      <c r="OIG17" s="4"/>
      <c r="OIH17" s="4"/>
      <c r="OII17" s="4"/>
      <c r="OIJ17" s="4"/>
      <c r="OIK17" s="4"/>
      <c r="OIL17" s="4"/>
      <c r="OIM17" s="4"/>
      <c r="OIN17" s="4"/>
      <c r="OIO17" s="4"/>
      <c r="OIP17" s="4"/>
      <c r="OIQ17" s="4"/>
      <c r="OIR17" s="4"/>
      <c r="OIS17" s="4"/>
      <c r="OIT17" s="4"/>
      <c r="OIU17" s="4"/>
      <c r="OIV17" s="4"/>
      <c r="OIW17" s="4"/>
      <c r="OIX17" s="4"/>
      <c r="OIY17" s="4"/>
      <c r="OIZ17" s="4"/>
      <c r="OJA17" s="4"/>
      <c r="OJB17" s="4"/>
      <c r="OJC17" s="4"/>
      <c r="OJD17" s="4"/>
      <c r="OJE17" s="4"/>
      <c r="OJF17" s="4"/>
      <c r="OJG17" s="4"/>
      <c r="OJH17" s="4"/>
      <c r="OJI17" s="4"/>
      <c r="OJJ17" s="4"/>
      <c r="OJK17" s="4"/>
      <c r="OJL17" s="4"/>
      <c r="OJM17" s="4"/>
      <c r="OJN17" s="4"/>
      <c r="OJO17" s="4"/>
      <c r="OJP17" s="4"/>
      <c r="OJQ17" s="4"/>
      <c r="OJR17" s="4"/>
      <c r="OJS17" s="4"/>
      <c r="OJT17" s="4"/>
      <c r="OJU17" s="4"/>
      <c r="OJV17" s="4"/>
      <c r="OJW17" s="4"/>
      <c r="OJX17" s="4"/>
      <c r="OJY17" s="4"/>
      <c r="OJZ17" s="4"/>
      <c r="OKA17" s="4"/>
      <c r="OKB17" s="4"/>
      <c r="OKC17" s="4"/>
      <c r="OKD17" s="4"/>
      <c r="OKE17" s="4"/>
      <c r="OKF17" s="4"/>
      <c r="OKG17" s="4"/>
      <c r="OKH17" s="4"/>
      <c r="OKI17" s="4"/>
      <c r="OKJ17" s="4"/>
      <c r="OKK17" s="4"/>
      <c r="OKL17" s="4"/>
      <c r="OKM17" s="4"/>
      <c r="OKN17" s="4"/>
      <c r="OKO17" s="4"/>
      <c r="OKP17" s="4"/>
      <c r="OKQ17" s="4"/>
      <c r="OKR17" s="4"/>
      <c r="OKS17" s="4"/>
      <c r="OKT17" s="4"/>
      <c r="OKU17" s="4"/>
      <c r="OKV17" s="4"/>
      <c r="OKW17" s="4"/>
      <c r="OKX17" s="4"/>
      <c r="OKY17" s="4"/>
      <c r="OKZ17" s="4"/>
      <c r="OLA17" s="4"/>
      <c r="OLB17" s="4"/>
      <c r="OLC17" s="4"/>
      <c r="OLD17" s="4"/>
      <c r="OLE17" s="4"/>
      <c r="OLF17" s="4"/>
      <c r="OLG17" s="4"/>
      <c r="OLH17" s="4"/>
      <c r="OLI17" s="4"/>
      <c r="OLJ17" s="4"/>
      <c r="OLK17" s="4"/>
      <c r="OLL17" s="4"/>
      <c r="OLM17" s="4"/>
      <c r="OLN17" s="4"/>
      <c r="OLO17" s="4"/>
      <c r="OLP17" s="4"/>
      <c r="OLQ17" s="4"/>
      <c r="OLR17" s="4"/>
      <c r="OLS17" s="4"/>
      <c r="OLT17" s="4"/>
      <c r="OLU17" s="4"/>
      <c r="OLV17" s="4"/>
      <c r="OLW17" s="4"/>
      <c r="OLX17" s="4"/>
      <c r="OLY17" s="4"/>
      <c r="OLZ17" s="4"/>
      <c r="OMA17" s="4"/>
      <c r="OMB17" s="4"/>
      <c r="OMC17" s="4"/>
      <c r="OMD17" s="4"/>
      <c r="OME17" s="4"/>
      <c r="OMF17" s="4"/>
      <c r="OMG17" s="4"/>
      <c r="OMH17" s="4"/>
      <c r="OMI17" s="4"/>
      <c r="OMJ17" s="4"/>
      <c r="OMK17" s="4"/>
      <c r="OML17" s="4"/>
      <c r="OMM17" s="4"/>
      <c r="OMN17" s="4"/>
      <c r="OMO17" s="4"/>
      <c r="OMP17" s="4"/>
      <c r="OMQ17" s="4"/>
      <c r="OMR17" s="4"/>
      <c r="OMS17" s="4"/>
      <c r="OMT17" s="4"/>
      <c r="OMU17" s="4"/>
      <c r="OMV17" s="4"/>
      <c r="OMW17" s="4"/>
      <c r="OMX17" s="4"/>
      <c r="OMY17" s="4"/>
      <c r="OMZ17" s="4"/>
      <c r="ONA17" s="4"/>
      <c r="ONB17" s="4"/>
      <c r="ONC17" s="4"/>
      <c r="OND17" s="4"/>
      <c r="ONE17" s="4"/>
      <c r="ONF17" s="4"/>
      <c r="ONG17" s="4"/>
      <c r="ONH17" s="4"/>
      <c r="ONI17" s="4"/>
      <c r="ONJ17" s="4"/>
      <c r="ONK17" s="4"/>
      <c r="ONL17" s="4"/>
      <c r="ONM17" s="4"/>
      <c r="ONN17" s="4"/>
      <c r="ONO17" s="4"/>
      <c r="ONP17" s="4"/>
      <c r="ONQ17" s="4"/>
      <c r="ONR17" s="4"/>
      <c r="ONS17" s="4"/>
      <c r="ONT17" s="4"/>
      <c r="ONU17" s="4"/>
      <c r="ONV17" s="4"/>
      <c r="ONW17" s="4"/>
      <c r="ONX17" s="4"/>
      <c r="ONY17" s="4"/>
      <c r="ONZ17" s="4"/>
      <c r="OOA17" s="4"/>
      <c r="OOB17" s="4"/>
      <c r="OOC17" s="4"/>
      <c r="OOD17" s="4"/>
      <c r="OOE17" s="4"/>
      <c r="OOF17" s="4"/>
      <c r="OOG17" s="4"/>
      <c r="OOH17" s="4"/>
      <c r="OOI17" s="4"/>
      <c r="OOJ17" s="4"/>
      <c r="OOK17" s="4"/>
      <c r="OOL17" s="4"/>
      <c r="OOM17" s="4"/>
      <c r="OON17" s="4"/>
      <c r="OOO17" s="4"/>
      <c r="OOP17" s="4"/>
      <c r="OOQ17" s="4"/>
      <c r="OOR17" s="4"/>
      <c r="OOS17" s="4"/>
      <c r="OOT17" s="4"/>
      <c r="OOU17" s="4"/>
      <c r="OOV17" s="4"/>
      <c r="OOW17" s="4"/>
      <c r="OOX17" s="4"/>
      <c r="OOY17" s="4"/>
      <c r="OOZ17" s="4"/>
      <c r="OPA17" s="4"/>
      <c r="OPB17" s="4"/>
      <c r="OPC17" s="4"/>
      <c r="OPD17" s="4"/>
      <c r="OPE17" s="4"/>
      <c r="OPF17" s="4"/>
      <c r="OPG17" s="4"/>
      <c r="OPH17" s="4"/>
      <c r="OPI17" s="4"/>
      <c r="OPJ17" s="4"/>
      <c r="OPK17" s="4"/>
      <c r="OPL17" s="4"/>
      <c r="OPM17" s="4"/>
      <c r="OPN17" s="4"/>
      <c r="OPO17" s="4"/>
      <c r="OPP17" s="4"/>
      <c r="OPQ17" s="4"/>
      <c r="OPR17" s="4"/>
      <c r="OPS17" s="4"/>
      <c r="OPT17" s="4"/>
      <c r="OPU17" s="4"/>
      <c r="OPV17" s="4"/>
      <c r="OPW17" s="4"/>
      <c r="OPX17" s="4"/>
      <c r="OPY17" s="4"/>
      <c r="OPZ17" s="4"/>
      <c r="OQA17" s="4"/>
      <c r="OQB17" s="4"/>
      <c r="OQC17" s="4"/>
      <c r="OQD17" s="4"/>
      <c r="OQE17" s="4"/>
      <c r="OQF17" s="4"/>
      <c r="OQG17" s="4"/>
      <c r="OQH17" s="4"/>
      <c r="OQI17" s="4"/>
      <c r="OQJ17" s="4"/>
      <c r="OQK17" s="4"/>
      <c r="OQL17" s="4"/>
      <c r="OQM17" s="4"/>
      <c r="OQN17" s="4"/>
      <c r="OQO17" s="4"/>
      <c r="OQP17" s="4"/>
      <c r="OQQ17" s="4"/>
      <c r="OQR17" s="4"/>
      <c r="OQS17" s="4"/>
      <c r="OQT17" s="4"/>
      <c r="OQU17" s="4"/>
      <c r="OQV17" s="4"/>
      <c r="OQW17" s="4"/>
      <c r="OQX17" s="4"/>
      <c r="OQY17" s="4"/>
      <c r="OQZ17" s="4"/>
      <c r="ORA17" s="4"/>
      <c r="ORB17" s="4"/>
      <c r="ORC17" s="4"/>
      <c r="ORD17" s="4"/>
      <c r="ORE17" s="4"/>
      <c r="ORF17" s="4"/>
      <c r="ORG17" s="4"/>
      <c r="ORH17" s="4"/>
      <c r="ORI17" s="4"/>
      <c r="ORJ17" s="4"/>
      <c r="ORK17" s="4"/>
      <c r="ORL17" s="4"/>
      <c r="ORM17" s="4"/>
      <c r="ORN17" s="4"/>
      <c r="ORO17" s="4"/>
      <c r="ORP17" s="4"/>
      <c r="ORQ17" s="4"/>
      <c r="ORR17" s="4"/>
      <c r="ORS17" s="4"/>
      <c r="ORT17" s="4"/>
      <c r="ORU17" s="4"/>
      <c r="ORV17" s="4"/>
      <c r="ORW17" s="4"/>
      <c r="ORX17" s="4"/>
      <c r="ORY17" s="4"/>
      <c r="ORZ17" s="4"/>
      <c r="OSA17" s="4"/>
      <c r="OSB17" s="4"/>
      <c r="OSC17" s="4"/>
      <c r="OSD17" s="4"/>
      <c r="OSE17" s="4"/>
      <c r="OSF17" s="4"/>
      <c r="OSG17" s="4"/>
      <c r="OSH17" s="4"/>
      <c r="OSI17" s="4"/>
      <c r="OSJ17" s="4"/>
      <c r="OSK17" s="4"/>
      <c r="OSL17" s="4"/>
      <c r="OSM17" s="4"/>
      <c r="OSN17" s="4"/>
      <c r="OSO17" s="4"/>
      <c r="OSP17" s="4"/>
      <c r="OSQ17" s="4"/>
      <c r="OSR17" s="4"/>
      <c r="OSS17" s="4"/>
      <c r="OST17" s="4"/>
      <c r="OSU17" s="4"/>
      <c r="OSV17" s="4"/>
      <c r="OSW17" s="4"/>
      <c r="OSX17" s="4"/>
      <c r="OSY17" s="4"/>
      <c r="OSZ17" s="4"/>
      <c r="OTA17" s="4"/>
      <c r="OTB17" s="4"/>
      <c r="OTC17" s="4"/>
      <c r="OTD17" s="4"/>
      <c r="OTE17" s="4"/>
      <c r="OTF17" s="4"/>
      <c r="OTG17" s="4"/>
      <c r="OTH17" s="4"/>
      <c r="OTI17" s="4"/>
      <c r="OTJ17" s="4"/>
      <c r="OTK17" s="4"/>
      <c r="OTL17" s="4"/>
      <c r="OTM17" s="4"/>
      <c r="OTN17" s="4"/>
      <c r="OTO17" s="4"/>
      <c r="OTP17" s="4"/>
      <c r="OTQ17" s="4"/>
      <c r="OTR17" s="4"/>
      <c r="OTS17" s="4"/>
      <c r="OTT17" s="4"/>
      <c r="OTU17" s="4"/>
      <c r="OTV17" s="4"/>
      <c r="OTW17" s="4"/>
      <c r="OTX17" s="4"/>
      <c r="OTY17" s="4"/>
      <c r="OTZ17" s="4"/>
      <c r="OUA17" s="4"/>
      <c r="OUB17" s="4"/>
      <c r="OUC17" s="4"/>
      <c r="OUD17" s="4"/>
      <c r="OUE17" s="4"/>
      <c r="OUF17" s="4"/>
      <c r="OUG17" s="4"/>
      <c r="OUH17" s="4"/>
      <c r="OUI17" s="4"/>
      <c r="OUJ17" s="4"/>
      <c r="OUK17" s="4"/>
      <c r="OUL17" s="4"/>
      <c r="OUM17" s="4"/>
      <c r="OUN17" s="4"/>
      <c r="OUO17" s="4"/>
      <c r="OUP17" s="4"/>
      <c r="OUQ17" s="4"/>
      <c r="OUR17" s="4"/>
      <c r="OUS17" s="4"/>
      <c r="OUT17" s="4"/>
      <c r="OUU17" s="4"/>
      <c r="OUV17" s="4"/>
      <c r="OUW17" s="4"/>
      <c r="OUX17" s="4"/>
      <c r="OUY17" s="4"/>
      <c r="OUZ17" s="4"/>
      <c r="OVA17" s="4"/>
      <c r="OVB17" s="4"/>
      <c r="OVC17" s="4"/>
      <c r="OVD17" s="4"/>
      <c r="OVE17" s="4"/>
      <c r="OVF17" s="4"/>
      <c r="OVG17" s="4"/>
      <c r="OVH17" s="4"/>
      <c r="OVI17" s="4"/>
      <c r="OVJ17" s="4"/>
      <c r="OVK17" s="4"/>
      <c r="OVL17" s="4"/>
      <c r="OVM17" s="4"/>
      <c r="OVN17" s="4"/>
      <c r="OVO17" s="4"/>
      <c r="OVP17" s="4"/>
      <c r="OVQ17" s="4"/>
      <c r="OVR17" s="4"/>
      <c r="OVS17" s="4"/>
      <c r="OVT17" s="4"/>
      <c r="OVU17" s="4"/>
      <c r="OVV17" s="4"/>
      <c r="OVW17" s="4"/>
      <c r="OVX17" s="4"/>
      <c r="OVY17" s="4"/>
      <c r="OVZ17" s="4"/>
      <c r="OWA17" s="4"/>
      <c r="OWB17" s="4"/>
      <c r="OWC17" s="4"/>
      <c r="OWD17" s="4"/>
      <c r="OWE17" s="4"/>
      <c r="OWF17" s="4"/>
      <c r="OWG17" s="4"/>
      <c r="OWH17" s="4"/>
      <c r="OWI17" s="4"/>
      <c r="OWJ17" s="4"/>
      <c r="OWK17" s="4"/>
      <c r="OWL17" s="4"/>
      <c r="OWM17" s="4"/>
      <c r="OWN17" s="4"/>
      <c r="OWO17" s="4"/>
      <c r="OWP17" s="4"/>
      <c r="OWQ17" s="4"/>
      <c r="OWR17" s="4"/>
      <c r="OWS17" s="4"/>
      <c r="OWT17" s="4"/>
      <c r="OWU17" s="4"/>
      <c r="OWV17" s="4"/>
      <c r="OWW17" s="4"/>
      <c r="OWX17" s="4"/>
      <c r="OWY17" s="4"/>
      <c r="OWZ17" s="4"/>
      <c r="OXA17" s="4"/>
      <c r="OXB17" s="4"/>
      <c r="OXC17" s="4"/>
      <c r="OXD17" s="4"/>
      <c r="OXE17" s="4"/>
      <c r="OXF17" s="4"/>
      <c r="OXG17" s="4"/>
      <c r="OXH17" s="4"/>
      <c r="OXI17" s="4"/>
      <c r="OXJ17" s="4"/>
      <c r="OXK17" s="4"/>
      <c r="OXL17" s="4"/>
      <c r="OXM17" s="4"/>
      <c r="OXN17" s="4"/>
      <c r="OXO17" s="4"/>
      <c r="OXP17" s="4"/>
      <c r="OXQ17" s="4"/>
      <c r="OXR17" s="4"/>
      <c r="OXS17" s="4"/>
      <c r="OXT17" s="4"/>
      <c r="OXU17" s="4"/>
      <c r="OXV17" s="4"/>
      <c r="OXW17" s="4"/>
      <c r="OXX17" s="4"/>
      <c r="OXY17" s="4"/>
      <c r="OXZ17" s="4"/>
      <c r="OYA17" s="4"/>
      <c r="OYB17" s="4"/>
      <c r="OYC17" s="4"/>
      <c r="OYD17" s="4"/>
      <c r="OYE17" s="4"/>
      <c r="OYF17" s="4"/>
      <c r="OYG17" s="4"/>
      <c r="OYH17" s="4"/>
      <c r="OYI17" s="4"/>
      <c r="OYJ17" s="4"/>
      <c r="OYK17" s="4"/>
      <c r="OYL17" s="4"/>
      <c r="OYM17" s="4"/>
      <c r="OYN17" s="4"/>
      <c r="OYO17" s="4"/>
      <c r="OYP17" s="4"/>
      <c r="OYQ17" s="4"/>
      <c r="OYR17" s="4"/>
      <c r="OYS17" s="4"/>
      <c r="OYT17" s="4"/>
      <c r="OYU17" s="4"/>
      <c r="OYV17" s="4"/>
      <c r="OYW17" s="4"/>
      <c r="OYX17" s="4"/>
      <c r="OYY17" s="4"/>
      <c r="OYZ17" s="4"/>
      <c r="OZA17" s="4"/>
      <c r="OZB17" s="4"/>
      <c r="OZC17" s="4"/>
      <c r="OZD17" s="4"/>
      <c r="OZE17" s="4"/>
      <c r="OZF17" s="4"/>
      <c r="OZG17" s="4"/>
      <c r="OZH17" s="4"/>
      <c r="OZI17" s="4"/>
      <c r="OZJ17" s="4"/>
      <c r="OZK17" s="4"/>
      <c r="OZL17" s="4"/>
      <c r="OZM17" s="4"/>
      <c r="OZN17" s="4"/>
      <c r="OZO17" s="4"/>
      <c r="OZP17" s="4"/>
      <c r="OZQ17" s="4"/>
      <c r="OZR17" s="4"/>
      <c r="OZS17" s="4"/>
      <c r="OZT17" s="4"/>
      <c r="OZU17" s="4"/>
      <c r="OZV17" s="4"/>
      <c r="OZW17" s="4"/>
      <c r="OZX17" s="4"/>
      <c r="OZY17" s="4"/>
      <c r="OZZ17" s="4"/>
      <c r="PAA17" s="4"/>
      <c r="PAB17" s="4"/>
      <c r="PAC17" s="4"/>
      <c r="PAD17" s="4"/>
      <c r="PAE17" s="4"/>
      <c r="PAF17" s="4"/>
      <c r="PAG17" s="4"/>
      <c r="PAH17" s="4"/>
      <c r="PAI17" s="4"/>
      <c r="PAJ17" s="4"/>
      <c r="PAK17" s="4"/>
      <c r="PAL17" s="4"/>
      <c r="PAM17" s="4"/>
      <c r="PAN17" s="4"/>
      <c r="PAO17" s="4"/>
      <c r="PAP17" s="4"/>
      <c r="PAQ17" s="4"/>
      <c r="PAR17" s="4"/>
      <c r="PAS17" s="4"/>
      <c r="PAT17" s="4"/>
      <c r="PAU17" s="4"/>
      <c r="PAV17" s="4"/>
      <c r="PAW17" s="4"/>
      <c r="PAX17" s="4"/>
      <c r="PAY17" s="4"/>
      <c r="PAZ17" s="4"/>
      <c r="PBA17" s="4"/>
      <c r="PBB17" s="4"/>
      <c r="PBC17" s="4"/>
      <c r="PBD17" s="4"/>
      <c r="PBE17" s="4"/>
      <c r="PBF17" s="4"/>
      <c r="PBG17" s="4"/>
      <c r="PBH17" s="4"/>
      <c r="PBI17" s="4"/>
      <c r="PBJ17" s="4"/>
      <c r="PBK17" s="4"/>
      <c r="PBL17" s="4"/>
      <c r="PBM17" s="4"/>
      <c r="PBN17" s="4"/>
      <c r="PBO17" s="4"/>
      <c r="PBP17" s="4"/>
      <c r="PBQ17" s="4"/>
      <c r="PBR17" s="4"/>
      <c r="PBS17" s="4"/>
      <c r="PBT17" s="4"/>
      <c r="PBU17" s="4"/>
      <c r="PBV17" s="4"/>
      <c r="PBW17" s="4"/>
      <c r="PBX17" s="4"/>
      <c r="PBY17" s="4"/>
      <c r="PBZ17" s="4"/>
      <c r="PCA17" s="4"/>
      <c r="PCB17" s="4"/>
      <c r="PCC17" s="4"/>
      <c r="PCD17" s="4"/>
      <c r="PCE17" s="4"/>
      <c r="PCF17" s="4"/>
      <c r="PCG17" s="4"/>
      <c r="PCH17" s="4"/>
      <c r="PCI17" s="4"/>
      <c r="PCJ17" s="4"/>
      <c r="PCK17" s="4"/>
      <c r="PCL17" s="4"/>
      <c r="PCM17" s="4"/>
      <c r="PCN17" s="4"/>
      <c r="PCO17" s="4"/>
      <c r="PCP17" s="4"/>
      <c r="PCQ17" s="4"/>
      <c r="PCR17" s="4"/>
      <c r="PCS17" s="4"/>
      <c r="PCT17" s="4"/>
      <c r="PCU17" s="4"/>
      <c r="PCV17" s="4"/>
      <c r="PCW17" s="4"/>
      <c r="PCX17" s="4"/>
      <c r="PCY17" s="4"/>
      <c r="PCZ17" s="4"/>
      <c r="PDA17" s="4"/>
      <c r="PDB17" s="4"/>
      <c r="PDC17" s="4"/>
      <c r="PDD17" s="4"/>
      <c r="PDE17" s="4"/>
      <c r="PDF17" s="4"/>
      <c r="PDG17" s="4"/>
      <c r="PDH17" s="4"/>
      <c r="PDI17" s="4"/>
      <c r="PDJ17" s="4"/>
      <c r="PDK17" s="4"/>
      <c r="PDL17" s="4"/>
      <c r="PDM17" s="4"/>
      <c r="PDN17" s="4"/>
      <c r="PDO17" s="4"/>
      <c r="PDP17" s="4"/>
      <c r="PDQ17" s="4"/>
      <c r="PDR17" s="4"/>
      <c r="PDS17" s="4"/>
      <c r="PDT17" s="4"/>
      <c r="PDU17" s="4"/>
      <c r="PDV17" s="4"/>
      <c r="PDW17" s="4"/>
      <c r="PDX17" s="4"/>
      <c r="PDY17" s="4"/>
      <c r="PDZ17" s="4"/>
      <c r="PEA17" s="4"/>
      <c r="PEB17" s="4"/>
      <c r="PEC17" s="4"/>
      <c r="PED17" s="4"/>
      <c r="PEE17" s="4"/>
      <c r="PEF17" s="4"/>
      <c r="PEG17" s="4"/>
      <c r="PEH17" s="4"/>
      <c r="PEI17" s="4"/>
      <c r="PEJ17" s="4"/>
      <c r="PEK17" s="4"/>
      <c r="PEL17" s="4"/>
      <c r="PEM17" s="4"/>
      <c r="PEN17" s="4"/>
      <c r="PEO17" s="4"/>
      <c r="PEP17" s="4"/>
      <c r="PEQ17" s="4"/>
      <c r="PER17" s="4"/>
      <c r="PES17" s="4"/>
      <c r="PET17" s="4"/>
      <c r="PEU17" s="4"/>
      <c r="PEV17" s="4"/>
      <c r="PEW17" s="4"/>
      <c r="PEX17" s="4"/>
      <c r="PEY17" s="4"/>
      <c r="PEZ17" s="4"/>
      <c r="PFA17" s="4"/>
      <c r="PFB17" s="4"/>
      <c r="PFC17" s="4"/>
      <c r="PFD17" s="4"/>
      <c r="PFE17" s="4"/>
      <c r="PFF17" s="4"/>
      <c r="PFG17" s="4"/>
      <c r="PFH17" s="4"/>
      <c r="PFI17" s="4"/>
      <c r="PFJ17" s="4"/>
      <c r="PFK17" s="4"/>
      <c r="PFL17" s="4"/>
      <c r="PFM17" s="4"/>
      <c r="PFN17" s="4"/>
      <c r="PFO17" s="4"/>
      <c r="PFP17" s="4"/>
      <c r="PFQ17" s="4"/>
      <c r="PFR17" s="4"/>
      <c r="PFS17" s="4"/>
      <c r="PFT17" s="4"/>
      <c r="PFU17" s="4"/>
      <c r="PFV17" s="4"/>
      <c r="PFW17" s="4"/>
      <c r="PFX17" s="4"/>
      <c r="PFY17" s="4"/>
      <c r="PFZ17" s="4"/>
      <c r="PGA17" s="4"/>
      <c r="PGB17" s="4"/>
      <c r="PGC17" s="4"/>
      <c r="PGD17" s="4"/>
      <c r="PGE17" s="4"/>
      <c r="PGF17" s="4"/>
      <c r="PGG17" s="4"/>
      <c r="PGH17" s="4"/>
      <c r="PGI17" s="4"/>
      <c r="PGJ17" s="4"/>
      <c r="PGK17" s="4"/>
      <c r="PGL17" s="4"/>
      <c r="PGM17" s="4"/>
      <c r="PGN17" s="4"/>
      <c r="PGO17" s="4"/>
      <c r="PGP17" s="4"/>
      <c r="PGQ17" s="4"/>
      <c r="PGR17" s="4"/>
      <c r="PGS17" s="4"/>
      <c r="PGT17" s="4"/>
      <c r="PGU17" s="4"/>
      <c r="PGV17" s="4"/>
      <c r="PGW17" s="4"/>
      <c r="PGX17" s="4"/>
      <c r="PGY17" s="4"/>
      <c r="PGZ17" s="4"/>
      <c r="PHA17" s="4"/>
      <c r="PHB17" s="4"/>
      <c r="PHC17" s="4"/>
      <c r="PHD17" s="4"/>
      <c r="PHE17" s="4"/>
      <c r="PHF17" s="4"/>
      <c r="PHG17" s="4"/>
      <c r="PHH17" s="4"/>
      <c r="PHI17" s="4"/>
      <c r="PHJ17" s="4"/>
      <c r="PHK17" s="4"/>
      <c r="PHL17" s="4"/>
      <c r="PHM17" s="4"/>
      <c r="PHN17" s="4"/>
      <c r="PHO17" s="4"/>
      <c r="PHP17" s="4"/>
      <c r="PHQ17" s="4"/>
      <c r="PHR17" s="4"/>
      <c r="PHS17" s="4"/>
      <c r="PHT17" s="4"/>
      <c r="PHU17" s="4"/>
      <c r="PHV17" s="4"/>
      <c r="PHW17" s="4"/>
      <c r="PHX17" s="4"/>
      <c r="PHY17" s="4"/>
      <c r="PHZ17" s="4"/>
      <c r="PIA17" s="4"/>
      <c r="PIB17" s="4"/>
      <c r="PIC17" s="4"/>
      <c r="PID17" s="4"/>
      <c r="PIE17" s="4"/>
      <c r="PIF17" s="4"/>
      <c r="PIG17" s="4"/>
      <c r="PIH17" s="4"/>
      <c r="PII17" s="4"/>
      <c r="PIJ17" s="4"/>
      <c r="PIK17" s="4"/>
      <c r="PIL17" s="4"/>
      <c r="PIM17" s="4"/>
      <c r="PIN17" s="4"/>
      <c r="PIO17" s="4"/>
      <c r="PIP17" s="4"/>
      <c r="PIQ17" s="4"/>
      <c r="PIR17" s="4"/>
      <c r="PIS17" s="4"/>
      <c r="PIT17" s="4"/>
      <c r="PIU17" s="4"/>
      <c r="PIV17" s="4"/>
      <c r="PIW17" s="4"/>
      <c r="PIX17" s="4"/>
      <c r="PIY17" s="4"/>
      <c r="PIZ17" s="4"/>
      <c r="PJA17" s="4"/>
      <c r="PJB17" s="4"/>
      <c r="PJC17" s="4"/>
      <c r="PJD17" s="4"/>
      <c r="PJE17" s="4"/>
      <c r="PJF17" s="4"/>
      <c r="PJG17" s="4"/>
      <c r="PJH17" s="4"/>
      <c r="PJI17" s="4"/>
      <c r="PJJ17" s="4"/>
      <c r="PJK17" s="4"/>
      <c r="PJL17" s="4"/>
      <c r="PJM17" s="4"/>
      <c r="PJN17" s="4"/>
      <c r="PJO17" s="4"/>
      <c r="PJP17" s="4"/>
      <c r="PJQ17" s="4"/>
      <c r="PJR17" s="4"/>
      <c r="PJS17" s="4"/>
      <c r="PJT17" s="4"/>
      <c r="PJU17" s="4"/>
      <c r="PJV17" s="4"/>
      <c r="PJW17" s="4"/>
      <c r="PJX17" s="4"/>
      <c r="PJY17" s="4"/>
      <c r="PJZ17" s="4"/>
      <c r="PKA17" s="4"/>
      <c r="PKB17" s="4"/>
      <c r="PKC17" s="4"/>
      <c r="PKD17" s="4"/>
      <c r="PKE17" s="4"/>
      <c r="PKF17" s="4"/>
      <c r="PKG17" s="4"/>
      <c r="PKH17" s="4"/>
      <c r="PKI17" s="4"/>
      <c r="PKJ17" s="4"/>
      <c r="PKK17" s="4"/>
      <c r="PKL17" s="4"/>
      <c r="PKM17" s="4"/>
      <c r="PKN17" s="4"/>
      <c r="PKO17" s="4"/>
      <c r="PKP17" s="4"/>
      <c r="PKQ17" s="4"/>
      <c r="PKR17" s="4"/>
      <c r="PKS17" s="4"/>
      <c r="PKT17" s="4"/>
      <c r="PKU17" s="4"/>
      <c r="PKV17" s="4"/>
      <c r="PKW17" s="4"/>
      <c r="PKX17" s="4"/>
      <c r="PKY17" s="4"/>
      <c r="PKZ17" s="4"/>
      <c r="PLA17" s="4"/>
      <c r="PLB17" s="4"/>
      <c r="PLC17" s="4"/>
      <c r="PLD17" s="4"/>
      <c r="PLE17" s="4"/>
      <c r="PLF17" s="4"/>
      <c r="PLG17" s="4"/>
      <c r="PLH17" s="4"/>
      <c r="PLI17" s="4"/>
      <c r="PLJ17" s="4"/>
      <c r="PLK17" s="4"/>
      <c r="PLL17" s="4"/>
      <c r="PLM17" s="4"/>
      <c r="PLN17" s="4"/>
      <c r="PLO17" s="4"/>
      <c r="PLP17" s="4"/>
      <c r="PLQ17" s="4"/>
      <c r="PLR17" s="4"/>
      <c r="PLS17" s="4"/>
      <c r="PLT17" s="4"/>
      <c r="PLU17" s="4"/>
      <c r="PLV17" s="4"/>
      <c r="PLW17" s="4"/>
      <c r="PLX17" s="4"/>
      <c r="PLY17" s="4"/>
      <c r="PLZ17" s="4"/>
      <c r="PMA17" s="4"/>
      <c r="PMB17" s="4"/>
      <c r="PMC17" s="4"/>
      <c r="PMD17" s="4"/>
      <c r="PME17" s="4"/>
      <c r="PMF17" s="4"/>
      <c r="PMG17" s="4"/>
      <c r="PMH17" s="4"/>
      <c r="PMI17" s="4"/>
      <c r="PMJ17" s="4"/>
      <c r="PMK17" s="4"/>
      <c r="PML17" s="4"/>
      <c r="PMM17" s="4"/>
      <c r="PMN17" s="4"/>
      <c r="PMO17" s="4"/>
      <c r="PMP17" s="4"/>
      <c r="PMQ17" s="4"/>
      <c r="PMR17" s="4"/>
      <c r="PMS17" s="4"/>
      <c r="PMT17" s="4"/>
      <c r="PMU17" s="4"/>
      <c r="PMV17" s="4"/>
      <c r="PMW17" s="4"/>
      <c r="PMX17" s="4"/>
      <c r="PMY17" s="4"/>
      <c r="PMZ17" s="4"/>
      <c r="PNA17" s="4"/>
      <c r="PNB17" s="4"/>
      <c r="PNC17" s="4"/>
      <c r="PND17" s="4"/>
      <c r="PNE17" s="4"/>
      <c r="PNF17" s="4"/>
      <c r="PNG17" s="4"/>
      <c r="PNH17" s="4"/>
      <c r="PNI17" s="4"/>
      <c r="PNJ17" s="4"/>
      <c r="PNK17" s="4"/>
      <c r="PNL17" s="4"/>
      <c r="PNM17" s="4"/>
      <c r="PNN17" s="4"/>
      <c r="PNO17" s="4"/>
      <c r="PNP17" s="4"/>
      <c r="PNQ17" s="4"/>
      <c r="PNR17" s="4"/>
      <c r="PNS17" s="4"/>
      <c r="PNT17" s="4"/>
      <c r="PNU17" s="4"/>
      <c r="PNV17" s="4"/>
      <c r="PNW17" s="4"/>
      <c r="PNX17" s="4"/>
      <c r="PNY17" s="4"/>
      <c r="PNZ17" s="4"/>
      <c r="POA17" s="4"/>
      <c r="POB17" s="4"/>
      <c r="POC17" s="4"/>
      <c r="POD17" s="4"/>
      <c r="POE17" s="4"/>
      <c r="POF17" s="4"/>
      <c r="POG17" s="4"/>
      <c r="POH17" s="4"/>
      <c r="POI17" s="4"/>
      <c r="POJ17" s="4"/>
      <c r="POK17" s="4"/>
      <c r="POL17" s="4"/>
      <c r="POM17" s="4"/>
      <c r="PON17" s="4"/>
      <c r="POO17" s="4"/>
      <c r="POP17" s="4"/>
      <c r="POQ17" s="4"/>
      <c r="POR17" s="4"/>
      <c r="POS17" s="4"/>
      <c r="POT17" s="4"/>
      <c r="POU17" s="4"/>
      <c r="POV17" s="4"/>
      <c r="POW17" s="4"/>
      <c r="POX17" s="4"/>
      <c r="POY17" s="4"/>
      <c r="POZ17" s="4"/>
      <c r="PPA17" s="4"/>
      <c r="PPB17" s="4"/>
      <c r="PPC17" s="4"/>
      <c r="PPD17" s="4"/>
      <c r="PPE17" s="4"/>
      <c r="PPF17" s="4"/>
      <c r="PPG17" s="4"/>
      <c r="PPH17" s="4"/>
      <c r="PPI17" s="4"/>
      <c r="PPJ17" s="4"/>
      <c r="PPK17" s="4"/>
      <c r="PPL17" s="4"/>
      <c r="PPM17" s="4"/>
      <c r="PPN17" s="4"/>
      <c r="PPO17" s="4"/>
      <c r="PPP17" s="4"/>
      <c r="PPQ17" s="4"/>
      <c r="PPR17" s="4"/>
      <c r="PPS17" s="4"/>
      <c r="PPT17" s="4"/>
      <c r="PPU17" s="4"/>
      <c r="PPV17" s="4"/>
      <c r="PPW17" s="4"/>
      <c r="PPX17" s="4"/>
      <c r="PPY17" s="4"/>
      <c r="PPZ17" s="4"/>
      <c r="PQA17" s="4"/>
      <c r="PQB17" s="4"/>
      <c r="PQC17" s="4"/>
      <c r="PQD17" s="4"/>
      <c r="PQE17" s="4"/>
      <c r="PQF17" s="4"/>
      <c r="PQG17" s="4"/>
      <c r="PQH17" s="4"/>
      <c r="PQI17" s="4"/>
      <c r="PQJ17" s="4"/>
      <c r="PQK17" s="4"/>
      <c r="PQL17" s="4"/>
      <c r="PQM17" s="4"/>
      <c r="PQN17" s="4"/>
      <c r="PQO17" s="4"/>
      <c r="PQP17" s="4"/>
      <c r="PQQ17" s="4"/>
      <c r="PQR17" s="4"/>
      <c r="PQS17" s="4"/>
      <c r="PQT17" s="4"/>
      <c r="PQU17" s="4"/>
      <c r="PQV17" s="4"/>
      <c r="PQW17" s="4"/>
      <c r="PQX17" s="4"/>
      <c r="PQY17" s="4"/>
      <c r="PQZ17" s="4"/>
      <c r="PRA17" s="4"/>
      <c r="PRB17" s="4"/>
      <c r="PRC17" s="4"/>
      <c r="PRD17" s="4"/>
      <c r="PRE17" s="4"/>
      <c r="PRF17" s="4"/>
      <c r="PRG17" s="4"/>
      <c r="PRH17" s="4"/>
      <c r="PRI17" s="4"/>
      <c r="PRJ17" s="4"/>
      <c r="PRK17" s="4"/>
      <c r="PRL17" s="4"/>
      <c r="PRM17" s="4"/>
      <c r="PRN17" s="4"/>
      <c r="PRO17" s="4"/>
      <c r="PRP17" s="4"/>
      <c r="PRQ17" s="4"/>
      <c r="PRR17" s="4"/>
      <c r="PRS17" s="4"/>
      <c r="PRT17" s="4"/>
      <c r="PRU17" s="4"/>
      <c r="PRV17" s="4"/>
      <c r="PRW17" s="4"/>
      <c r="PRX17" s="4"/>
      <c r="PRY17" s="4"/>
      <c r="PRZ17" s="4"/>
      <c r="PSA17" s="4"/>
      <c r="PSB17" s="4"/>
      <c r="PSC17" s="4"/>
      <c r="PSD17" s="4"/>
      <c r="PSE17" s="4"/>
      <c r="PSF17" s="4"/>
      <c r="PSG17" s="4"/>
      <c r="PSH17" s="4"/>
      <c r="PSI17" s="4"/>
      <c r="PSJ17" s="4"/>
      <c r="PSK17" s="4"/>
      <c r="PSL17" s="4"/>
      <c r="PSM17" s="4"/>
      <c r="PSN17" s="4"/>
      <c r="PSO17" s="4"/>
      <c r="PSP17" s="4"/>
      <c r="PSQ17" s="4"/>
      <c r="PSR17" s="4"/>
      <c r="PSS17" s="4"/>
      <c r="PST17" s="4"/>
      <c r="PSU17" s="4"/>
      <c r="PSV17" s="4"/>
      <c r="PSW17" s="4"/>
      <c r="PSX17" s="4"/>
      <c r="PSY17" s="4"/>
      <c r="PSZ17" s="4"/>
      <c r="PTA17" s="4"/>
      <c r="PTB17" s="4"/>
      <c r="PTC17" s="4"/>
      <c r="PTD17" s="4"/>
      <c r="PTE17" s="4"/>
      <c r="PTF17" s="4"/>
      <c r="PTG17" s="4"/>
      <c r="PTH17" s="4"/>
      <c r="PTI17" s="4"/>
      <c r="PTJ17" s="4"/>
      <c r="PTK17" s="4"/>
      <c r="PTL17" s="4"/>
      <c r="PTM17" s="4"/>
      <c r="PTN17" s="4"/>
      <c r="PTO17" s="4"/>
      <c r="PTP17" s="4"/>
      <c r="PTQ17" s="4"/>
      <c r="PTR17" s="4"/>
      <c r="PTS17" s="4"/>
      <c r="PTT17" s="4"/>
      <c r="PTU17" s="4"/>
      <c r="PTV17" s="4"/>
      <c r="PTW17" s="4"/>
      <c r="PTX17" s="4"/>
      <c r="PTY17" s="4"/>
      <c r="PTZ17" s="4"/>
      <c r="PUA17" s="4"/>
      <c r="PUB17" s="4"/>
      <c r="PUC17" s="4"/>
      <c r="PUD17" s="4"/>
      <c r="PUE17" s="4"/>
      <c r="PUF17" s="4"/>
      <c r="PUG17" s="4"/>
      <c r="PUH17" s="4"/>
      <c r="PUI17" s="4"/>
      <c r="PUJ17" s="4"/>
      <c r="PUK17" s="4"/>
      <c r="PUL17" s="4"/>
      <c r="PUM17" s="4"/>
      <c r="PUN17" s="4"/>
      <c r="PUO17" s="4"/>
      <c r="PUP17" s="4"/>
      <c r="PUQ17" s="4"/>
      <c r="PUR17" s="4"/>
      <c r="PUS17" s="4"/>
      <c r="PUT17" s="4"/>
      <c r="PUU17" s="4"/>
      <c r="PUV17" s="4"/>
      <c r="PUW17" s="4"/>
      <c r="PUX17" s="4"/>
      <c r="PUY17" s="4"/>
      <c r="PUZ17" s="4"/>
      <c r="PVA17" s="4"/>
      <c r="PVB17" s="4"/>
      <c r="PVC17" s="4"/>
      <c r="PVD17" s="4"/>
      <c r="PVE17" s="4"/>
      <c r="PVF17" s="4"/>
      <c r="PVG17" s="4"/>
      <c r="PVH17" s="4"/>
      <c r="PVI17" s="4"/>
      <c r="PVJ17" s="4"/>
      <c r="PVK17" s="4"/>
      <c r="PVL17" s="4"/>
      <c r="PVM17" s="4"/>
      <c r="PVN17" s="4"/>
      <c r="PVO17" s="4"/>
      <c r="PVP17" s="4"/>
      <c r="PVQ17" s="4"/>
      <c r="PVR17" s="4"/>
      <c r="PVS17" s="4"/>
      <c r="PVT17" s="4"/>
      <c r="PVU17" s="4"/>
      <c r="PVV17" s="4"/>
      <c r="PVW17" s="4"/>
      <c r="PVX17" s="4"/>
      <c r="PVY17" s="4"/>
      <c r="PVZ17" s="4"/>
      <c r="PWA17" s="4"/>
      <c r="PWB17" s="4"/>
      <c r="PWC17" s="4"/>
      <c r="PWD17" s="4"/>
      <c r="PWE17" s="4"/>
      <c r="PWF17" s="4"/>
      <c r="PWG17" s="4"/>
      <c r="PWH17" s="4"/>
      <c r="PWI17" s="4"/>
      <c r="PWJ17" s="4"/>
      <c r="PWK17" s="4"/>
      <c r="PWL17" s="4"/>
      <c r="PWM17" s="4"/>
      <c r="PWN17" s="4"/>
      <c r="PWO17" s="4"/>
      <c r="PWP17" s="4"/>
      <c r="PWQ17" s="4"/>
      <c r="PWR17" s="4"/>
      <c r="PWS17" s="4"/>
      <c r="PWT17" s="4"/>
      <c r="PWU17" s="4"/>
      <c r="PWV17" s="4"/>
      <c r="PWW17" s="4"/>
      <c r="PWX17" s="4"/>
      <c r="PWY17" s="4"/>
      <c r="PWZ17" s="4"/>
      <c r="PXA17" s="4"/>
      <c r="PXB17" s="4"/>
      <c r="PXC17" s="4"/>
      <c r="PXD17" s="4"/>
      <c r="PXE17" s="4"/>
      <c r="PXF17" s="4"/>
      <c r="PXG17" s="4"/>
      <c r="PXH17" s="4"/>
      <c r="PXI17" s="4"/>
      <c r="PXJ17" s="4"/>
      <c r="PXK17" s="4"/>
      <c r="PXL17" s="4"/>
      <c r="PXM17" s="4"/>
      <c r="PXN17" s="4"/>
      <c r="PXO17" s="4"/>
      <c r="PXP17" s="4"/>
      <c r="PXQ17" s="4"/>
      <c r="PXR17" s="4"/>
      <c r="PXS17" s="4"/>
      <c r="PXT17" s="4"/>
      <c r="PXU17" s="4"/>
      <c r="PXV17" s="4"/>
      <c r="PXW17" s="4"/>
      <c r="PXX17" s="4"/>
      <c r="PXY17" s="4"/>
      <c r="PXZ17" s="4"/>
      <c r="PYA17" s="4"/>
      <c r="PYB17" s="4"/>
      <c r="PYC17" s="4"/>
      <c r="PYD17" s="4"/>
      <c r="PYE17" s="4"/>
      <c r="PYF17" s="4"/>
      <c r="PYG17" s="4"/>
      <c r="PYH17" s="4"/>
      <c r="PYI17" s="4"/>
      <c r="PYJ17" s="4"/>
      <c r="PYK17" s="4"/>
      <c r="PYL17" s="4"/>
      <c r="PYM17" s="4"/>
      <c r="PYN17" s="4"/>
      <c r="PYO17" s="4"/>
      <c r="PYP17" s="4"/>
      <c r="PYQ17" s="4"/>
      <c r="PYR17" s="4"/>
      <c r="PYS17" s="4"/>
      <c r="PYT17" s="4"/>
      <c r="PYU17" s="4"/>
      <c r="PYV17" s="4"/>
      <c r="PYW17" s="4"/>
      <c r="PYX17" s="4"/>
      <c r="PYY17" s="4"/>
      <c r="PYZ17" s="4"/>
      <c r="PZA17" s="4"/>
      <c r="PZB17" s="4"/>
      <c r="PZC17" s="4"/>
      <c r="PZD17" s="4"/>
      <c r="PZE17" s="4"/>
      <c r="PZF17" s="4"/>
      <c r="PZG17" s="4"/>
      <c r="PZH17" s="4"/>
      <c r="PZI17" s="4"/>
      <c r="PZJ17" s="4"/>
      <c r="PZK17" s="4"/>
      <c r="PZL17" s="4"/>
      <c r="PZM17" s="4"/>
      <c r="PZN17" s="4"/>
      <c r="PZO17" s="4"/>
      <c r="PZP17" s="4"/>
      <c r="PZQ17" s="4"/>
      <c r="PZR17" s="4"/>
      <c r="PZS17" s="4"/>
      <c r="PZT17" s="4"/>
      <c r="PZU17" s="4"/>
      <c r="PZV17" s="4"/>
      <c r="PZW17" s="4"/>
      <c r="PZX17" s="4"/>
      <c r="PZY17" s="4"/>
      <c r="PZZ17" s="4"/>
      <c r="QAA17" s="4"/>
      <c r="QAB17" s="4"/>
      <c r="QAC17" s="4"/>
      <c r="QAD17" s="4"/>
      <c r="QAE17" s="4"/>
      <c r="QAF17" s="4"/>
      <c r="QAG17" s="4"/>
      <c r="QAH17" s="4"/>
      <c r="QAI17" s="4"/>
      <c r="QAJ17" s="4"/>
      <c r="QAK17" s="4"/>
      <c r="QAL17" s="4"/>
      <c r="QAM17" s="4"/>
      <c r="QAN17" s="4"/>
      <c r="QAO17" s="4"/>
      <c r="QAP17" s="4"/>
      <c r="QAQ17" s="4"/>
      <c r="QAR17" s="4"/>
      <c r="QAS17" s="4"/>
      <c r="QAT17" s="4"/>
      <c r="QAU17" s="4"/>
      <c r="QAV17" s="4"/>
      <c r="QAW17" s="4"/>
      <c r="QAX17" s="4"/>
      <c r="QAY17" s="4"/>
      <c r="QAZ17" s="4"/>
      <c r="QBA17" s="4"/>
      <c r="QBB17" s="4"/>
      <c r="QBC17" s="4"/>
      <c r="QBD17" s="4"/>
      <c r="QBE17" s="4"/>
      <c r="QBF17" s="4"/>
      <c r="QBG17" s="4"/>
      <c r="QBH17" s="4"/>
      <c r="QBI17" s="4"/>
      <c r="QBJ17" s="4"/>
      <c r="QBK17" s="4"/>
      <c r="QBL17" s="4"/>
      <c r="QBM17" s="4"/>
      <c r="QBN17" s="4"/>
      <c r="QBO17" s="4"/>
      <c r="QBP17" s="4"/>
      <c r="QBQ17" s="4"/>
      <c r="QBR17" s="4"/>
      <c r="QBS17" s="4"/>
      <c r="QBT17" s="4"/>
      <c r="QBU17" s="4"/>
      <c r="QBV17" s="4"/>
      <c r="QBW17" s="4"/>
      <c r="QBX17" s="4"/>
      <c r="QBY17" s="4"/>
      <c r="QBZ17" s="4"/>
      <c r="QCA17" s="4"/>
      <c r="QCB17" s="4"/>
      <c r="QCC17" s="4"/>
      <c r="QCD17" s="4"/>
      <c r="QCE17" s="4"/>
      <c r="QCF17" s="4"/>
      <c r="QCG17" s="4"/>
      <c r="QCH17" s="4"/>
      <c r="QCI17" s="4"/>
      <c r="QCJ17" s="4"/>
      <c r="QCK17" s="4"/>
      <c r="QCL17" s="4"/>
      <c r="QCM17" s="4"/>
      <c r="QCN17" s="4"/>
      <c r="QCO17" s="4"/>
      <c r="QCP17" s="4"/>
      <c r="QCQ17" s="4"/>
      <c r="QCR17" s="4"/>
      <c r="QCS17" s="4"/>
      <c r="QCT17" s="4"/>
      <c r="QCU17" s="4"/>
      <c r="QCV17" s="4"/>
      <c r="QCW17" s="4"/>
      <c r="QCX17" s="4"/>
      <c r="QCY17" s="4"/>
      <c r="QCZ17" s="4"/>
      <c r="QDA17" s="4"/>
      <c r="QDB17" s="4"/>
      <c r="QDC17" s="4"/>
      <c r="QDD17" s="4"/>
      <c r="QDE17" s="4"/>
      <c r="QDF17" s="4"/>
      <c r="QDG17" s="4"/>
      <c r="QDH17" s="4"/>
      <c r="QDI17" s="4"/>
      <c r="QDJ17" s="4"/>
      <c r="QDK17" s="4"/>
      <c r="QDL17" s="4"/>
      <c r="QDM17" s="4"/>
      <c r="QDN17" s="4"/>
      <c r="QDO17" s="4"/>
      <c r="QDP17" s="4"/>
      <c r="QDQ17" s="4"/>
      <c r="QDR17" s="4"/>
      <c r="QDS17" s="4"/>
      <c r="QDT17" s="4"/>
      <c r="QDU17" s="4"/>
      <c r="QDV17" s="4"/>
      <c r="QDW17" s="4"/>
      <c r="QDX17" s="4"/>
      <c r="QDY17" s="4"/>
      <c r="QDZ17" s="4"/>
      <c r="QEA17" s="4"/>
      <c r="QEB17" s="4"/>
      <c r="QEC17" s="4"/>
      <c r="QED17" s="4"/>
      <c r="QEE17" s="4"/>
      <c r="QEF17" s="4"/>
      <c r="QEG17" s="4"/>
      <c r="QEH17" s="4"/>
      <c r="QEI17" s="4"/>
      <c r="QEJ17" s="4"/>
      <c r="QEK17" s="4"/>
      <c r="QEL17" s="4"/>
      <c r="QEM17" s="4"/>
      <c r="QEN17" s="4"/>
      <c r="QEO17" s="4"/>
      <c r="QEP17" s="4"/>
      <c r="QEQ17" s="4"/>
      <c r="QER17" s="4"/>
      <c r="QES17" s="4"/>
      <c r="QET17" s="4"/>
      <c r="QEU17" s="4"/>
      <c r="QEV17" s="4"/>
      <c r="QEW17" s="4"/>
      <c r="QEX17" s="4"/>
      <c r="QEY17" s="4"/>
      <c r="QEZ17" s="4"/>
      <c r="QFA17" s="4"/>
      <c r="QFB17" s="4"/>
      <c r="QFC17" s="4"/>
      <c r="QFD17" s="4"/>
      <c r="QFE17" s="4"/>
      <c r="QFF17" s="4"/>
      <c r="QFG17" s="4"/>
      <c r="QFH17" s="4"/>
      <c r="QFI17" s="4"/>
      <c r="QFJ17" s="4"/>
      <c r="QFK17" s="4"/>
      <c r="QFL17" s="4"/>
      <c r="QFM17" s="4"/>
      <c r="QFN17" s="4"/>
      <c r="QFO17" s="4"/>
      <c r="QFP17" s="4"/>
      <c r="QFQ17" s="4"/>
      <c r="QFR17" s="4"/>
      <c r="QFS17" s="4"/>
      <c r="QFT17" s="4"/>
      <c r="QFU17" s="4"/>
      <c r="QFV17" s="4"/>
      <c r="QFW17" s="4"/>
      <c r="QFX17" s="4"/>
      <c r="QFY17" s="4"/>
      <c r="QFZ17" s="4"/>
      <c r="QGA17" s="4"/>
      <c r="QGB17" s="4"/>
      <c r="QGC17" s="4"/>
      <c r="QGD17" s="4"/>
      <c r="QGE17" s="4"/>
      <c r="QGF17" s="4"/>
      <c r="QGG17" s="4"/>
      <c r="QGH17" s="4"/>
      <c r="QGI17" s="4"/>
      <c r="QGJ17" s="4"/>
      <c r="QGK17" s="4"/>
      <c r="QGL17" s="4"/>
      <c r="QGM17" s="4"/>
      <c r="QGN17" s="4"/>
      <c r="QGO17" s="4"/>
      <c r="QGP17" s="4"/>
      <c r="QGQ17" s="4"/>
      <c r="QGR17" s="4"/>
      <c r="QGS17" s="4"/>
      <c r="QGT17" s="4"/>
      <c r="QGU17" s="4"/>
      <c r="QGV17" s="4"/>
      <c r="QGW17" s="4"/>
      <c r="QGX17" s="4"/>
      <c r="QGY17" s="4"/>
      <c r="QGZ17" s="4"/>
      <c r="QHA17" s="4"/>
      <c r="QHB17" s="4"/>
      <c r="QHC17" s="4"/>
      <c r="QHD17" s="4"/>
      <c r="QHE17" s="4"/>
      <c r="QHF17" s="4"/>
      <c r="QHG17" s="4"/>
      <c r="QHH17" s="4"/>
      <c r="QHI17" s="4"/>
      <c r="QHJ17" s="4"/>
      <c r="QHK17" s="4"/>
      <c r="QHL17" s="4"/>
      <c r="QHM17" s="4"/>
      <c r="QHN17" s="4"/>
      <c r="QHO17" s="4"/>
      <c r="QHP17" s="4"/>
      <c r="QHQ17" s="4"/>
      <c r="QHR17" s="4"/>
      <c r="QHS17" s="4"/>
      <c r="QHT17" s="4"/>
      <c r="QHU17" s="4"/>
      <c r="QHV17" s="4"/>
      <c r="QHW17" s="4"/>
      <c r="QHX17" s="4"/>
      <c r="QHY17" s="4"/>
      <c r="QHZ17" s="4"/>
      <c r="QIA17" s="4"/>
      <c r="QIB17" s="4"/>
      <c r="QIC17" s="4"/>
      <c r="QID17" s="4"/>
      <c r="QIE17" s="4"/>
      <c r="QIF17" s="4"/>
      <c r="QIG17" s="4"/>
      <c r="QIH17" s="4"/>
      <c r="QII17" s="4"/>
      <c r="QIJ17" s="4"/>
      <c r="QIK17" s="4"/>
      <c r="QIL17" s="4"/>
      <c r="QIM17" s="4"/>
      <c r="QIN17" s="4"/>
      <c r="QIO17" s="4"/>
      <c r="QIP17" s="4"/>
      <c r="QIQ17" s="4"/>
      <c r="QIR17" s="4"/>
      <c r="QIS17" s="4"/>
      <c r="QIT17" s="4"/>
      <c r="QIU17" s="4"/>
      <c r="QIV17" s="4"/>
      <c r="QIW17" s="4"/>
      <c r="QIX17" s="4"/>
      <c r="QIY17" s="4"/>
      <c r="QIZ17" s="4"/>
      <c r="QJA17" s="4"/>
      <c r="QJB17" s="4"/>
      <c r="QJC17" s="4"/>
      <c r="QJD17" s="4"/>
      <c r="QJE17" s="4"/>
      <c r="QJF17" s="4"/>
      <c r="QJG17" s="4"/>
      <c r="QJH17" s="4"/>
      <c r="QJI17" s="4"/>
      <c r="QJJ17" s="4"/>
      <c r="QJK17" s="4"/>
      <c r="QJL17" s="4"/>
      <c r="QJM17" s="4"/>
      <c r="QJN17" s="4"/>
      <c r="QJO17" s="4"/>
      <c r="QJP17" s="4"/>
      <c r="QJQ17" s="4"/>
      <c r="QJR17" s="4"/>
      <c r="QJS17" s="4"/>
      <c r="QJT17" s="4"/>
      <c r="QJU17" s="4"/>
      <c r="QJV17" s="4"/>
      <c r="QJW17" s="4"/>
      <c r="QJX17" s="4"/>
      <c r="QJY17" s="4"/>
      <c r="QJZ17" s="4"/>
      <c r="QKA17" s="4"/>
      <c r="QKB17" s="4"/>
      <c r="QKC17" s="4"/>
      <c r="QKD17" s="4"/>
      <c r="QKE17" s="4"/>
      <c r="QKF17" s="4"/>
      <c r="QKG17" s="4"/>
      <c r="QKH17" s="4"/>
      <c r="QKI17" s="4"/>
      <c r="QKJ17" s="4"/>
      <c r="QKK17" s="4"/>
      <c r="QKL17" s="4"/>
      <c r="QKM17" s="4"/>
      <c r="QKN17" s="4"/>
      <c r="QKO17" s="4"/>
      <c r="QKP17" s="4"/>
      <c r="QKQ17" s="4"/>
      <c r="QKR17" s="4"/>
      <c r="QKS17" s="4"/>
      <c r="QKT17" s="4"/>
      <c r="QKU17" s="4"/>
      <c r="QKV17" s="4"/>
      <c r="QKW17" s="4"/>
      <c r="QKX17" s="4"/>
      <c r="QKY17" s="4"/>
      <c r="QKZ17" s="4"/>
      <c r="QLA17" s="4"/>
      <c r="QLB17" s="4"/>
      <c r="QLC17" s="4"/>
      <c r="QLD17" s="4"/>
      <c r="QLE17" s="4"/>
      <c r="QLF17" s="4"/>
      <c r="QLG17" s="4"/>
      <c r="QLH17" s="4"/>
      <c r="QLI17" s="4"/>
      <c r="QLJ17" s="4"/>
      <c r="QLK17" s="4"/>
      <c r="QLL17" s="4"/>
      <c r="QLM17" s="4"/>
      <c r="QLN17" s="4"/>
      <c r="QLO17" s="4"/>
      <c r="QLP17" s="4"/>
      <c r="QLQ17" s="4"/>
      <c r="QLR17" s="4"/>
      <c r="QLS17" s="4"/>
      <c r="QLT17" s="4"/>
      <c r="QLU17" s="4"/>
      <c r="QLV17" s="4"/>
      <c r="QLW17" s="4"/>
      <c r="QLX17" s="4"/>
      <c r="QLY17" s="4"/>
      <c r="QLZ17" s="4"/>
      <c r="QMA17" s="4"/>
      <c r="QMB17" s="4"/>
      <c r="QMC17" s="4"/>
      <c r="QMD17" s="4"/>
      <c r="QME17" s="4"/>
      <c r="QMF17" s="4"/>
      <c r="QMG17" s="4"/>
      <c r="QMH17" s="4"/>
      <c r="QMI17" s="4"/>
      <c r="QMJ17" s="4"/>
      <c r="QMK17" s="4"/>
      <c r="QML17" s="4"/>
      <c r="QMM17" s="4"/>
      <c r="QMN17" s="4"/>
      <c r="QMO17" s="4"/>
      <c r="QMP17" s="4"/>
      <c r="QMQ17" s="4"/>
      <c r="QMR17" s="4"/>
      <c r="QMS17" s="4"/>
      <c r="QMT17" s="4"/>
      <c r="QMU17" s="4"/>
      <c r="QMV17" s="4"/>
      <c r="QMW17" s="4"/>
      <c r="QMX17" s="4"/>
      <c r="QMY17" s="4"/>
      <c r="QMZ17" s="4"/>
      <c r="QNA17" s="4"/>
      <c r="QNB17" s="4"/>
      <c r="QNC17" s="4"/>
      <c r="QND17" s="4"/>
      <c r="QNE17" s="4"/>
      <c r="QNF17" s="4"/>
      <c r="QNG17" s="4"/>
      <c r="QNH17" s="4"/>
      <c r="QNI17" s="4"/>
      <c r="QNJ17" s="4"/>
      <c r="QNK17" s="4"/>
      <c r="QNL17" s="4"/>
      <c r="QNM17" s="4"/>
      <c r="QNN17" s="4"/>
      <c r="QNO17" s="4"/>
      <c r="QNP17" s="4"/>
      <c r="QNQ17" s="4"/>
      <c r="QNR17" s="4"/>
      <c r="QNS17" s="4"/>
      <c r="QNT17" s="4"/>
      <c r="QNU17" s="4"/>
      <c r="QNV17" s="4"/>
      <c r="QNW17" s="4"/>
      <c r="QNX17" s="4"/>
      <c r="QNY17" s="4"/>
      <c r="QNZ17" s="4"/>
      <c r="QOA17" s="4"/>
      <c r="QOB17" s="4"/>
      <c r="QOC17" s="4"/>
      <c r="QOD17" s="4"/>
      <c r="QOE17" s="4"/>
      <c r="QOF17" s="4"/>
      <c r="QOG17" s="4"/>
      <c r="QOH17" s="4"/>
      <c r="QOI17" s="4"/>
      <c r="QOJ17" s="4"/>
      <c r="QOK17" s="4"/>
      <c r="QOL17" s="4"/>
      <c r="QOM17" s="4"/>
      <c r="QON17" s="4"/>
      <c r="QOO17" s="4"/>
      <c r="QOP17" s="4"/>
      <c r="QOQ17" s="4"/>
      <c r="QOR17" s="4"/>
      <c r="QOS17" s="4"/>
      <c r="QOT17" s="4"/>
      <c r="QOU17" s="4"/>
      <c r="QOV17" s="4"/>
      <c r="QOW17" s="4"/>
      <c r="QOX17" s="4"/>
      <c r="QOY17" s="4"/>
      <c r="QOZ17" s="4"/>
      <c r="QPA17" s="4"/>
      <c r="QPB17" s="4"/>
      <c r="QPC17" s="4"/>
      <c r="QPD17" s="4"/>
      <c r="QPE17" s="4"/>
      <c r="QPF17" s="4"/>
      <c r="QPG17" s="4"/>
      <c r="QPH17" s="4"/>
      <c r="QPI17" s="4"/>
      <c r="QPJ17" s="4"/>
      <c r="QPK17" s="4"/>
      <c r="QPL17" s="4"/>
      <c r="QPM17" s="4"/>
      <c r="QPN17" s="4"/>
      <c r="QPO17" s="4"/>
      <c r="QPP17" s="4"/>
      <c r="QPQ17" s="4"/>
      <c r="QPR17" s="4"/>
      <c r="QPS17" s="4"/>
      <c r="QPT17" s="4"/>
      <c r="QPU17" s="4"/>
      <c r="QPV17" s="4"/>
      <c r="QPW17" s="4"/>
      <c r="QPX17" s="4"/>
      <c r="QPY17" s="4"/>
      <c r="QPZ17" s="4"/>
      <c r="QQA17" s="4"/>
      <c r="QQB17" s="4"/>
      <c r="QQC17" s="4"/>
      <c r="QQD17" s="4"/>
      <c r="QQE17" s="4"/>
      <c r="QQF17" s="4"/>
      <c r="QQG17" s="4"/>
      <c r="QQH17" s="4"/>
      <c r="QQI17" s="4"/>
      <c r="QQJ17" s="4"/>
      <c r="QQK17" s="4"/>
      <c r="QQL17" s="4"/>
      <c r="QQM17" s="4"/>
      <c r="QQN17" s="4"/>
      <c r="QQO17" s="4"/>
      <c r="QQP17" s="4"/>
      <c r="QQQ17" s="4"/>
      <c r="QQR17" s="4"/>
      <c r="QQS17" s="4"/>
      <c r="QQT17" s="4"/>
      <c r="QQU17" s="4"/>
      <c r="QQV17" s="4"/>
      <c r="QQW17" s="4"/>
      <c r="QQX17" s="4"/>
      <c r="QQY17" s="4"/>
      <c r="QQZ17" s="4"/>
      <c r="QRA17" s="4"/>
      <c r="QRB17" s="4"/>
      <c r="QRC17" s="4"/>
      <c r="QRD17" s="4"/>
      <c r="QRE17" s="4"/>
      <c r="QRF17" s="4"/>
      <c r="QRG17" s="4"/>
      <c r="QRH17" s="4"/>
      <c r="QRI17" s="4"/>
      <c r="QRJ17" s="4"/>
      <c r="QRK17" s="4"/>
      <c r="QRL17" s="4"/>
      <c r="QRM17" s="4"/>
      <c r="QRN17" s="4"/>
      <c r="QRO17" s="4"/>
      <c r="QRP17" s="4"/>
      <c r="QRQ17" s="4"/>
      <c r="QRR17" s="4"/>
      <c r="QRS17" s="4"/>
      <c r="QRT17" s="4"/>
      <c r="QRU17" s="4"/>
      <c r="QRV17" s="4"/>
      <c r="QRW17" s="4"/>
      <c r="QRX17" s="4"/>
      <c r="QRY17" s="4"/>
      <c r="QRZ17" s="4"/>
      <c r="QSA17" s="4"/>
      <c r="QSB17" s="4"/>
      <c r="QSC17" s="4"/>
      <c r="QSD17" s="4"/>
      <c r="QSE17" s="4"/>
      <c r="QSF17" s="4"/>
      <c r="QSG17" s="4"/>
      <c r="QSH17" s="4"/>
      <c r="QSI17" s="4"/>
      <c r="QSJ17" s="4"/>
      <c r="QSK17" s="4"/>
      <c r="QSL17" s="4"/>
      <c r="QSM17" s="4"/>
      <c r="QSN17" s="4"/>
      <c r="QSO17" s="4"/>
      <c r="QSP17" s="4"/>
      <c r="QSQ17" s="4"/>
      <c r="QSR17" s="4"/>
      <c r="QSS17" s="4"/>
      <c r="QST17" s="4"/>
      <c r="QSU17" s="4"/>
      <c r="QSV17" s="4"/>
      <c r="QSW17" s="4"/>
      <c r="QSX17" s="4"/>
      <c r="QSY17" s="4"/>
      <c r="QSZ17" s="4"/>
      <c r="QTA17" s="4"/>
      <c r="QTB17" s="4"/>
      <c r="QTC17" s="4"/>
      <c r="QTD17" s="4"/>
      <c r="QTE17" s="4"/>
      <c r="QTF17" s="4"/>
      <c r="QTG17" s="4"/>
      <c r="QTH17" s="4"/>
      <c r="QTI17" s="4"/>
      <c r="QTJ17" s="4"/>
      <c r="QTK17" s="4"/>
      <c r="QTL17" s="4"/>
      <c r="QTM17" s="4"/>
      <c r="QTN17" s="4"/>
      <c r="QTO17" s="4"/>
      <c r="QTP17" s="4"/>
      <c r="QTQ17" s="4"/>
      <c r="QTR17" s="4"/>
      <c r="QTS17" s="4"/>
      <c r="QTT17" s="4"/>
      <c r="QTU17" s="4"/>
      <c r="QTV17" s="4"/>
      <c r="QTW17" s="4"/>
      <c r="QTX17" s="4"/>
      <c r="QTY17" s="4"/>
      <c r="QTZ17" s="4"/>
      <c r="QUA17" s="4"/>
      <c r="QUB17" s="4"/>
      <c r="QUC17" s="4"/>
      <c r="QUD17" s="4"/>
      <c r="QUE17" s="4"/>
      <c r="QUF17" s="4"/>
      <c r="QUG17" s="4"/>
      <c r="QUH17" s="4"/>
      <c r="QUI17" s="4"/>
      <c r="QUJ17" s="4"/>
      <c r="QUK17" s="4"/>
      <c r="QUL17" s="4"/>
      <c r="QUM17" s="4"/>
      <c r="QUN17" s="4"/>
      <c r="QUO17" s="4"/>
      <c r="QUP17" s="4"/>
      <c r="QUQ17" s="4"/>
      <c r="QUR17" s="4"/>
      <c r="QUS17" s="4"/>
      <c r="QUT17" s="4"/>
      <c r="QUU17" s="4"/>
      <c r="QUV17" s="4"/>
      <c r="QUW17" s="4"/>
      <c r="QUX17" s="4"/>
      <c r="QUY17" s="4"/>
      <c r="QUZ17" s="4"/>
      <c r="QVA17" s="4"/>
      <c r="QVB17" s="4"/>
      <c r="QVC17" s="4"/>
      <c r="QVD17" s="4"/>
      <c r="QVE17" s="4"/>
      <c r="QVF17" s="4"/>
      <c r="QVG17" s="4"/>
      <c r="QVH17" s="4"/>
      <c r="QVI17" s="4"/>
      <c r="QVJ17" s="4"/>
      <c r="QVK17" s="4"/>
      <c r="QVL17" s="4"/>
      <c r="QVM17" s="4"/>
      <c r="QVN17" s="4"/>
      <c r="QVO17" s="4"/>
      <c r="QVP17" s="4"/>
      <c r="QVQ17" s="4"/>
      <c r="QVR17" s="4"/>
      <c r="QVS17" s="4"/>
      <c r="QVT17" s="4"/>
      <c r="QVU17" s="4"/>
      <c r="QVV17" s="4"/>
      <c r="QVW17" s="4"/>
      <c r="QVX17" s="4"/>
      <c r="QVY17" s="4"/>
      <c r="QVZ17" s="4"/>
      <c r="QWA17" s="4"/>
      <c r="QWB17" s="4"/>
      <c r="QWC17" s="4"/>
      <c r="QWD17" s="4"/>
      <c r="QWE17" s="4"/>
      <c r="QWF17" s="4"/>
      <c r="QWG17" s="4"/>
      <c r="QWH17" s="4"/>
      <c r="QWI17" s="4"/>
      <c r="QWJ17" s="4"/>
      <c r="QWK17" s="4"/>
      <c r="QWL17" s="4"/>
      <c r="QWM17" s="4"/>
      <c r="QWN17" s="4"/>
      <c r="QWO17" s="4"/>
      <c r="QWP17" s="4"/>
      <c r="QWQ17" s="4"/>
      <c r="QWR17" s="4"/>
      <c r="QWS17" s="4"/>
      <c r="QWT17" s="4"/>
      <c r="QWU17" s="4"/>
      <c r="QWV17" s="4"/>
      <c r="QWW17" s="4"/>
      <c r="QWX17" s="4"/>
      <c r="QWY17" s="4"/>
      <c r="QWZ17" s="4"/>
      <c r="QXA17" s="4"/>
      <c r="QXB17" s="4"/>
      <c r="QXC17" s="4"/>
      <c r="QXD17" s="4"/>
      <c r="QXE17" s="4"/>
      <c r="QXF17" s="4"/>
      <c r="QXG17" s="4"/>
      <c r="QXH17" s="4"/>
      <c r="QXI17" s="4"/>
      <c r="QXJ17" s="4"/>
      <c r="QXK17" s="4"/>
      <c r="QXL17" s="4"/>
      <c r="QXM17" s="4"/>
      <c r="QXN17" s="4"/>
      <c r="QXO17" s="4"/>
      <c r="QXP17" s="4"/>
      <c r="QXQ17" s="4"/>
      <c r="QXR17" s="4"/>
      <c r="QXS17" s="4"/>
      <c r="QXT17" s="4"/>
      <c r="QXU17" s="4"/>
      <c r="QXV17" s="4"/>
      <c r="QXW17" s="4"/>
      <c r="QXX17" s="4"/>
      <c r="QXY17" s="4"/>
      <c r="QXZ17" s="4"/>
      <c r="QYA17" s="4"/>
      <c r="QYB17" s="4"/>
      <c r="QYC17" s="4"/>
      <c r="QYD17" s="4"/>
      <c r="QYE17" s="4"/>
      <c r="QYF17" s="4"/>
      <c r="QYG17" s="4"/>
      <c r="QYH17" s="4"/>
      <c r="QYI17" s="4"/>
      <c r="QYJ17" s="4"/>
      <c r="QYK17" s="4"/>
      <c r="QYL17" s="4"/>
      <c r="QYM17" s="4"/>
      <c r="QYN17" s="4"/>
      <c r="QYO17" s="4"/>
      <c r="QYP17" s="4"/>
      <c r="QYQ17" s="4"/>
      <c r="QYR17" s="4"/>
      <c r="QYS17" s="4"/>
      <c r="QYT17" s="4"/>
      <c r="QYU17" s="4"/>
      <c r="QYV17" s="4"/>
      <c r="QYW17" s="4"/>
      <c r="QYX17" s="4"/>
      <c r="QYY17" s="4"/>
      <c r="QYZ17" s="4"/>
      <c r="QZA17" s="4"/>
      <c r="QZB17" s="4"/>
      <c r="QZC17" s="4"/>
      <c r="QZD17" s="4"/>
      <c r="QZE17" s="4"/>
      <c r="QZF17" s="4"/>
      <c r="QZG17" s="4"/>
      <c r="QZH17" s="4"/>
      <c r="QZI17" s="4"/>
      <c r="QZJ17" s="4"/>
      <c r="QZK17" s="4"/>
      <c r="QZL17" s="4"/>
      <c r="QZM17" s="4"/>
      <c r="QZN17" s="4"/>
      <c r="QZO17" s="4"/>
      <c r="QZP17" s="4"/>
      <c r="QZQ17" s="4"/>
      <c r="QZR17" s="4"/>
      <c r="QZS17" s="4"/>
      <c r="QZT17" s="4"/>
      <c r="QZU17" s="4"/>
      <c r="QZV17" s="4"/>
      <c r="QZW17" s="4"/>
      <c r="QZX17" s="4"/>
      <c r="QZY17" s="4"/>
      <c r="QZZ17" s="4"/>
      <c r="RAA17" s="4"/>
      <c r="RAB17" s="4"/>
      <c r="RAC17" s="4"/>
      <c r="RAD17" s="4"/>
      <c r="RAE17" s="4"/>
      <c r="RAF17" s="4"/>
      <c r="RAG17" s="4"/>
      <c r="RAH17" s="4"/>
      <c r="RAI17" s="4"/>
      <c r="RAJ17" s="4"/>
      <c r="RAK17" s="4"/>
      <c r="RAL17" s="4"/>
      <c r="RAM17" s="4"/>
      <c r="RAN17" s="4"/>
      <c r="RAO17" s="4"/>
      <c r="RAP17" s="4"/>
      <c r="RAQ17" s="4"/>
      <c r="RAR17" s="4"/>
      <c r="RAS17" s="4"/>
      <c r="RAT17" s="4"/>
      <c r="RAU17" s="4"/>
      <c r="RAV17" s="4"/>
      <c r="RAW17" s="4"/>
      <c r="RAX17" s="4"/>
      <c r="RAY17" s="4"/>
      <c r="RAZ17" s="4"/>
      <c r="RBA17" s="4"/>
      <c r="RBB17" s="4"/>
      <c r="RBC17" s="4"/>
      <c r="RBD17" s="4"/>
      <c r="RBE17" s="4"/>
      <c r="RBF17" s="4"/>
      <c r="RBG17" s="4"/>
      <c r="RBH17" s="4"/>
      <c r="RBI17" s="4"/>
      <c r="RBJ17" s="4"/>
      <c r="RBK17" s="4"/>
      <c r="RBL17" s="4"/>
      <c r="RBM17" s="4"/>
      <c r="RBN17" s="4"/>
      <c r="RBO17" s="4"/>
      <c r="RBP17" s="4"/>
      <c r="RBQ17" s="4"/>
      <c r="RBR17" s="4"/>
      <c r="RBS17" s="4"/>
      <c r="RBT17" s="4"/>
      <c r="RBU17" s="4"/>
      <c r="RBV17" s="4"/>
      <c r="RBW17" s="4"/>
      <c r="RBX17" s="4"/>
      <c r="RBY17" s="4"/>
      <c r="RBZ17" s="4"/>
      <c r="RCA17" s="4"/>
      <c r="RCB17" s="4"/>
      <c r="RCC17" s="4"/>
      <c r="RCD17" s="4"/>
      <c r="RCE17" s="4"/>
      <c r="RCF17" s="4"/>
      <c r="RCG17" s="4"/>
      <c r="RCH17" s="4"/>
      <c r="RCI17" s="4"/>
      <c r="RCJ17" s="4"/>
      <c r="RCK17" s="4"/>
      <c r="RCL17" s="4"/>
      <c r="RCM17" s="4"/>
      <c r="RCN17" s="4"/>
      <c r="RCO17" s="4"/>
      <c r="RCP17" s="4"/>
      <c r="RCQ17" s="4"/>
      <c r="RCR17" s="4"/>
      <c r="RCS17" s="4"/>
      <c r="RCT17" s="4"/>
      <c r="RCU17" s="4"/>
      <c r="RCV17" s="4"/>
      <c r="RCW17" s="4"/>
      <c r="RCX17" s="4"/>
      <c r="RCY17" s="4"/>
      <c r="RCZ17" s="4"/>
      <c r="RDA17" s="4"/>
      <c r="RDB17" s="4"/>
      <c r="RDC17" s="4"/>
      <c r="RDD17" s="4"/>
      <c r="RDE17" s="4"/>
      <c r="RDF17" s="4"/>
      <c r="RDG17" s="4"/>
      <c r="RDH17" s="4"/>
      <c r="RDI17" s="4"/>
      <c r="RDJ17" s="4"/>
      <c r="RDK17" s="4"/>
      <c r="RDL17" s="4"/>
      <c r="RDM17" s="4"/>
      <c r="RDN17" s="4"/>
      <c r="RDO17" s="4"/>
      <c r="RDP17" s="4"/>
      <c r="RDQ17" s="4"/>
      <c r="RDR17" s="4"/>
      <c r="RDS17" s="4"/>
      <c r="RDT17" s="4"/>
      <c r="RDU17" s="4"/>
      <c r="RDV17" s="4"/>
      <c r="RDW17" s="4"/>
      <c r="RDX17" s="4"/>
      <c r="RDY17" s="4"/>
      <c r="RDZ17" s="4"/>
      <c r="REA17" s="4"/>
      <c r="REB17" s="4"/>
      <c r="REC17" s="4"/>
      <c r="RED17" s="4"/>
      <c r="REE17" s="4"/>
      <c r="REF17" s="4"/>
      <c r="REG17" s="4"/>
      <c r="REH17" s="4"/>
      <c r="REI17" s="4"/>
      <c r="REJ17" s="4"/>
      <c r="REK17" s="4"/>
      <c r="REL17" s="4"/>
      <c r="REM17" s="4"/>
      <c r="REN17" s="4"/>
      <c r="REO17" s="4"/>
      <c r="REP17" s="4"/>
      <c r="REQ17" s="4"/>
      <c r="RER17" s="4"/>
      <c r="RES17" s="4"/>
      <c r="RET17" s="4"/>
      <c r="REU17" s="4"/>
      <c r="REV17" s="4"/>
      <c r="REW17" s="4"/>
      <c r="REX17" s="4"/>
      <c r="REY17" s="4"/>
      <c r="REZ17" s="4"/>
      <c r="RFA17" s="4"/>
      <c r="RFB17" s="4"/>
      <c r="RFC17" s="4"/>
      <c r="RFD17" s="4"/>
      <c r="RFE17" s="4"/>
      <c r="RFF17" s="4"/>
      <c r="RFG17" s="4"/>
      <c r="RFH17" s="4"/>
      <c r="RFI17" s="4"/>
      <c r="RFJ17" s="4"/>
      <c r="RFK17" s="4"/>
      <c r="RFL17" s="4"/>
      <c r="RFM17" s="4"/>
      <c r="RFN17" s="4"/>
      <c r="RFO17" s="4"/>
      <c r="RFP17" s="4"/>
      <c r="RFQ17" s="4"/>
      <c r="RFR17" s="4"/>
      <c r="RFS17" s="4"/>
      <c r="RFT17" s="4"/>
      <c r="RFU17" s="4"/>
      <c r="RFV17" s="4"/>
      <c r="RFW17" s="4"/>
      <c r="RFX17" s="4"/>
      <c r="RFY17" s="4"/>
      <c r="RFZ17" s="4"/>
      <c r="RGA17" s="4"/>
      <c r="RGB17" s="4"/>
      <c r="RGC17" s="4"/>
      <c r="RGD17" s="4"/>
      <c r="RGE17" s="4"/>
      <c r="RGF17" s="4"/>
      <c r="RGG17" s="4"/>
      <c r="RGH17" s="4"/>
      <c r="RGI17" s="4"/>
      <c r="RGJ17" s="4"/>
      <c r="RGK17" s="4"/>
      <c r="RGL17" s="4"/>
      <c r="RGM17" s="4"/>
      <c r="RGN17" s="4"/>
      <c r="RGO17" s="4"/>
      <c r="RGP17" s="4"/>
      <c r="RGQ17" s="4"/>
      <c r="RGR17" s="4"/>
      <c r="RGS17" s="4"/>
      <c r="RGT17" s="4"/>
      <c r="RGU17" s="4"/>
      <c r="RGV17" s="4"/>
      <c r="RGW17" s="4"/>
      <c r="RGX17" s="4"/>
      <c r="RGY17" s="4"/>
      <c r="RGZ17" s="4"/>
      <c r="RHA17" s="4"/>
      <c r="RHB17" s="4"/>
      <c r="RHC17" s="4"/>
      <c r="RHD17" s="4"/>
      <c r="RHE17" s="4"/>
      <c r="RHF17" s="4"/>
      <c r="RHG17" s="4"/>
      <c r="RHH17" s="4"/>
      <c r="RHI17" s="4"/>
      <c r="RHJ17" s="4"/>
      <c r="RHK17" s="4"/>
      <c r="RHL17" s="4"/>
      <c r="RHM17" s="4"/>
      <c r="RHN17" s="4"/>
      <c r="RHO17" s="4"/>
      <c r="RHP17" s="4"/>
      <c r="RHQ17" s="4"/>
      <c r="RHR17" s="4"/>
      <c r="RHS17" s="4"/>
      <c r="RHT17" s="4"/>
      <c r="RHU17" s="4"/>
      <c r="RHV17" s="4"/>
      <c r="RHW17" s="4"/>
      <c r="RHX17" s="4"/>
      <c r="RHY17" s="4"/>
      <c r="RHZ17" s="4"/>
      <c r="RIA17" s="4"/>
      <c r="RIB17" s="4"/>
      <c r="RIC17" s="4"/>
      <c r="RID17" s="4"/>
      <c r="RIE17" s="4"/>
      <c r="RIF17" s="4"/>
      <c r="RIG17" s="4"/>
      <c r="RIH17" s="4"/>
      <c r="RII17" s="4"/>
      <c r="RIJ17" s="4"/>
      <c r="RIK17" s="4"/>
      <c r="RIL17" s="4"/>
      <c r="RIM17" s="4"/>
      <c r="RIN17" s="4"/>
      <c r="RIO17" s="4"/>
      <c r="RIP17" s="4"/>
      <c r="RIQ17" s="4"/>
      <c r="RIR17" s="4"/>
      <c r="RIS17" s="4"/>
      <c r="RIT17" s="4"/>
      <c r="RIU17" s="4"/>
      <c r="RIV17" s="4"/>
      <c r="RIW17" s="4"/>
      <c r="RIX17" s="4"/>
      <c r="RIY17" s="4"/>
      <c r="RIZ17" s="4"/>
      <c r="RJA17" s="4"/>
      <c r="RJB17" s="4"/>
      <c r="RJC17" s="4"/>
      <c r="RJD17" s="4"/>
      <c r="RJE17" s="4"/>
      <c r="RJF17" s="4"/>
      <c r="RJG17" s="4"/>
      <c r="RJH17" s="4"/>
      <c r="RJI17" s="4"/>
      <c r="RJJ17" s="4"/>
      <c r="RJK17" s="4"/>
      <c r="RJL17" s="4"/>
      <c r="RJM17" s="4"/>
      <c r="RJN17" s="4"/>
      <c r="RJO17" s="4"/>
      <c r="RJP17" s="4"/>
      <c r="RJQ17" s="4"/>
      <c r="RJR17" s="4"/>
      <c r="RJS17" s="4"/>
      <c r="RJT17" s="4"/>
      <c r="RJU17" s="4"/>
      <c r="RJV17" s="4"/>
      <c r="RJW17" s="4"/>
      <c r="RJX17" s="4"/>
      <c r="RJY17" s="4"/>
      <c r="RJZ17" s="4"/>
      <c r="RKA17" s="4"/>
      <c r="RKB17" s="4"/>
      <c r="RKC17" s="4"/>
      <c r="RKD17" s="4"/>
      <c r="RKE17" s="4"/>
      <c r="RKF17" s="4"/>
      <c r="RKG17" s="4"/>
      <c r="RKH17" s="4"/>
      <c r="RKI17" s="4"/>
      <c r="RKJ17" s="4"/>
      <c r="RKK17" s="4"/>
      <c r="RKL17" s="4"/>
      <c r="RKM17" s="4"/>
      <c r="RKN17" s="4"/>
      <c r="RKO17" s="4"/>
      <c r="RKP17" s="4"/>
      <c r="RKQ17" s="4"/>
      <c r="RKR17" s="4"/>
      <c r="RKS17" s="4"/>
      <c r="RKT17" s="4"/>
      <c r="RKU17" s="4"/>
      <c r="RKV17" s="4"/>
      <c r="RKW17" s="4"/>
      <c r="RKX17" s="4"/>
      <c r="RKY17" s="4"/>
      <c r="RKZ17" s="4"/>
      <c r="RLA17" s="4"/>
      <c r="RLB17" s="4"/>
      <c r="RLC17" s="4"/>
      <c r="RLD17" s="4"/>
      <c r="RLE17" s="4"/>
      <c r="RLF17" s="4"/>
      <c r="RLG17" s="4"/>
      <c r="RLH17" s="4"/>
      <c r="RLI17" s="4"/>
      <c r="RLJ17" s="4"/>
      <c r="RLK17" s="4"/>
      <c r="RLL17" s="4"/>
      <c r="RLM17" s="4"/>
      <c r="RLN17" s="4"/>
      <c r="RLO17" s="4"/>
      <c r="RLP17" s="4"/>
      <c r="RLQ17" s="4"/>
      <c r="RLR17" s="4"/>
      <c r="RLS17" s="4"/>
      <c r="RLT17" s="4"/>
      <c r="RLU17" s="4"/>
      <c r="RLV17" s="4"/>
      <c r="RLW17" s="4"/>
      <c r="RLX17" s="4"/>
      <c r="RLY17" s="4"/>
      <c r="RLZ17" s="4"/>
      <c r="RMA17" s="4"/>
      <c r="RMB17" s="4"/>
      <c r="RMC17" s="4"/>
      <c r="RMD17" s="4"/>
      <c r="RME17" s="4"/>
      <c r="RMF17" s="4"/>
      <c r="RMG17" s="4"/>
      <c r="RMH17" s="4"/>
      <c r="RMI17" s="4"/>
      <c r="RMJ17" s="4"/>
      <c r="RMK17" s="4"/>
      <c r="RML17" s="4"/>
      <c r="RMM17" s="4"/>
      <c r="RMN17" s="4"/>
      <c r="RMO17" s="4"/>
      <c r="RMP17" s="4"/>
      <c r="RMQ17" s="4"/>
      <c r="RMR17" s="4"/>
      <c r="RMS17" s="4"/>
      <c r="RMT17" s="4"/>
      <c r="RMU17" s="4"/>
      <c r="RMV17" s="4"/>
      <c r="RMW17" s="4"/>
      <c r="RMX17" s="4"/>
      <c r="RMY17" s="4"/>
      <c r="RMZ17" s="4"/>
      <c r="RNA17" s="4"/>
      <c r="RNB17" s="4"/>
      <c r="RNC17" s="4"/>
      <c r="RND17" s="4"/>
      <c r="RNE17" s="4"/>
      <c r="RNF17" s="4"/>
      <c r="RNG17" s="4"/>
      <c r="RNH17" s="4"/>
      <c r="RNI17" s="4"/>
      <c r="RNJ17" s="4"/>
      <c r="RNK17" s="4"/>
      <c r="RNL17" s="4"/>
      <c r="RNM17" s="4"/>
      <c r="RNN17" s="4"/>
      <c r="RNO17" s="4"/>
      <c r="RNP17" s="4"/>
      <c r="RNQ17" s="4"/>
      <c r="RNR17" s="4"/>
      <c r="RNS17" s="4"/>
      <c r="RNT17" s="4"/>
      <c r="RNU17" s="4"/>
      <c r="RNV17" s="4"/>
      <c r="RNW17" s="4"/>
      <c r="RNX17" s="4"/>
      <c r="RNY17" s="4"/>
      <c r="RNZ17" s="4"/>
      <c r="ROA17" s="4"/>
      <c r="ROB17" s="4"/>
      <c r="ROC17" s="4"/>
      <c r="ROD17" s="4"/>
      <c r="ROE17" s="4"/>
      <c r="ROF17" s="4"/>
      <c r="ROG17" s="4"/>
      <c r="ROH17" s="4"/>
      <c r="ROI17" s="4"/>
      <c r="ROJ17" s="4"/>
      <c r="ROK17" s="4"/>
      <c r="ROL17" s="4"/>
      <c r="ROM17" s="4"/>
      <c r="RON17" s="4"/>
      <c r="ROO17" s="4"/>
      <c r="ROP17" s="4"/>
      <c r="ROQ17" s="4"/>
      <c r="ROR17" s="4"/>
      <c r="ROS17" s="4"/>
      <c r="ROT17" s="4"/>
      <c r="ROU17" s="4"/>
      <c r="ROV17" s="4"/>
      <c r="ROW17" s="4"/>
      <c r="ROX17" s="4"/>
      <c r="ROY17" s="4"/>
      <c r="ROZ17" s="4"/>
      <c r="RPA17" s="4"/>
      <c r="RPB17" s="4"/>
      <c r="RPC17" s="4"/>
      <c r="RPD17" s="4"/>
      <c r="RPE17" s="4"/>
      <c r="RPF17" s="4"/>
      <c r="RPG17" s="4"/>
      <c r="RPH17" s="4"/>
      <c r="RPI17" s="4"/>
      <c r="RPJ17" s="4"/>
      <c r="RPK17" s="4"/>
      <c r="RPL17" s="4"/>
      <c r="RPM17" s="4"/>
      <c r="RPN17" s="4"/>
      <c r="RPO17" s="4"/>
      <c r="RPP17" s="4"/>
      <c r="RPQ17" s="4"/>
      <c r="RPR17" s="4"/>
      <c r="RPS17" s="4"/>
      <c r="RPT17" s="4"/>
      <c r="RPU17" s="4"/>
      <c r="RPV17" s="4"/>
      <c r="RPW17" s="4"/>
      <c r="RPX17" s="4"/>
      <c r="RPY17" s="4"/>
      <c r="RPZ17" s="4"/>
      <c r="RQA17" s="4"/>
      <c r="RQB17" s="4"/>
      <c r="RQC17" s="4"/>
      <c r="RQD17" s="4"/>
      <c r="RQE17" s="4"/>
      <c r="RQF17" s="4"/>
      <c r="RQG17" s="4"/>
      <c r="RQH17" s="4"/>
      <c r="RQI17" s="4"/>
      <c r="RQJ17" s="4"/>
      <c r="RQK17" s="4"/>
      <c r="RQL17" s="4"/>
      <c r="RQM17" s="4"/>
      <c r="RQN17" s="4"/>
      <c r="RQO17" s="4"/>
      <c r="RQP17" s="4"/>
      <c r="RQQ17" s="4"/>
      <c r="RQR17" s="4"/>
      <c r="RQS17" s="4"/>
      <c r="RQT17" s="4"/>
      <c r="RQU17" s="4"/>
      <c r="RQV17" s="4"/>
      <c r="RQW17" s="4"/>
      <c r="RQX17" s="4"/>
      <c r="RQY17" s="4"/>
      <c r="RQZ17" s="4"/>
      <c r="RRA17" s="4"/>
      <c r="RRB17" s="4"/>
      <c r="RRC17" s="4"/>
      <c r="RRD17" s="4"/>
      <c r="RRE17" s="4"/>
      <c r="RRF17" s="4"/>
      <c r="RRG17" s="4"/>
      <c r="RRH17" s="4"/>
      <c r="RRI17" s="4"/>
      <c r="RRJ17" s="4"/>
      <c r="RRK17" s="4"/>
      <c r="RRL17" s="4"/>
      <c r="RRM17" s="4"/>
      <c r="RRN17" s="4"/>
      <c r="RRO17" s="4"/>
      <c r="RRP17" s="4"/>
      <c r="RRQ17" s="4"/>
      <c r="RRR17" s="4"/>
      <c r="RRS17" s="4"/>
      <c r="RRT17" s="4"/>
      <c r="RRU17" s="4"/>
      <c r="RRV17" s="4"/>
      <c r="RRW17" s="4"/>
      <c r="RRX17" s="4"/>
      <c r="RRY17" s="4"/>
      <c r="RRZ17" s="4"/>
      <c r="RSA17" s="4"/>
      <c r="RSB17" s="4"/>
      <c r="RSC17" s="4"/>
      <c r="RSD17" s="4"/>
      <c r="RSE17" s="4"/>
      <c r="RSF17" s="4"/>
      <c r="RSG17" s="4"/>
      <c r="RSH17" s="4"/>
      <c r="RSI17" s="4"/>
      <c r="RSJ17" s="4"/>
      <c r="RSK17" s="4"/>
      <c r="RSL17" s="4"/>
      <c r="RSM17" s="4"/>
      <c r="RSN17" s="4"/>
      <c r="RSO17" s="4"/>
      <c r="RSP17" s="4"/>
      <c r="RSQ17" s="4"/>
      <c r="RSR17" s="4"/>
      <c r="RSS17" s="4"/>
      <c r="RST17" s="4"/>
      <c r="RSU17" s="4"/>
      <c r="RSV17" s="4"/>
      <c r="RSW17" s="4"/>
      <c r="RSX17" s="4"/>
      <c r="RSY17" s="4"/>
      <c r="RSZ17" s="4"/>
      <c r="RTA17" s="4"/>
      <c r="RTB17" s="4"/>
      <c r="RTC17" s="4"/>
      <c r="RTD17" s="4"/>
      <c r="RTE17" s="4"/>
      <c r="RTF17" s="4"/>
      <c r="RTG17" s="4"/>
      <c r="RTH17" s="4"/>
      <c r="RTI17" s="4"/>
      <c r="RTJ17" s="4"/>
      <c r="RTK17" s="4"/>
      <c r="RTL17" s="4"/>
      <c r="RTM17" s="4"/>
      <c r="RTN17" s="4"/>
      <c r="RTO17" s="4"/>
      <c r="RTP17" s="4"/>
      <c r="RTQ17" s="4"/>
      <c r="RTR17" s="4"/>
      <c r="RTS17" s="4"/>
      <c r="RTT17" s="4"/>
      <c r="RTU17" s="4"/>
      <c r="RTV17" s="4"/>
      <c r="RTW17" s="4"/>
      <c r="RTX17" s="4"/>
      <c r="RTY17" s="4"/>
      <c r="RTZ17" s="4"/>
      <c r="RUA17" s="4"/>
      <c r="RUB17" s="4"/>
      <c r="RUC17" s="4"/>
      <c r="RUD17" s="4"/>
      <c r="RUE17" s="4"/>
      <c r="RUF17" s="4"/>
      <c r="RUG17" s="4"/>
      <c r="RUH17" s="4"/>
      <c r="RUI17" s="4"/>
      <c r="RUJ17" s="4"/>
      <c r="RUK17" s="4"/>
      <c r="RUL17" s="4"/>
      <c r="RUM17" s="4"/>
      <c r="RUN17" s="4"/>
      <c r="RUO17" s="4"/>
      <c r="RUP17" s="4"/>
      <c r="RUQ17" s="4"/>
      <c r="RUR17" s="4"/>
      <c r="RUS17" s="4"/>
      <c r="RUT17" s="4"/>
      <c r="RUU17" s="4"/>
      <c r="RUV17" s="4"/>
      <c r="RUW17" s="4"/>
      <c r="RUX17" s="4"/>
      <c r="RUY17" s="4"/>
      <c r="RUZ17" s="4"/>
      <c r="RVA17" s="4"/>
      <c r="RVB17" s="4"/>
      <c r="RVC17" s="4"/>
      <c r="RVD17" s="4"/>
      <c r="RVE17" s="4"/>
      <c r="RVF17" s="4"/>
      <c r="RVG17" s="4"/>
      <c r="RVH17" s="4"/>
      <c r="RVI17" s="4"/>
      <c r="RVJ17" s="4"/>
      <c r="RVK17" s="4"/>
      <c r="RVL17" s="4"/>
      <c r="RVM17" s="4"/>
      <c r="RVN17" s="4"/>
      <c r="RVO17" s="4"/>
      <c r="RVP17" s="4"/>
      <c r="RVQ17" s="4"/>
      <c r="RVR17" s="4"/>
      <c r="RVS17" s="4"/>
      <c r="RVT17" s="4"/>
      <c r="RVU17" s="4"/>
      <c r="RVV17" s="4"/>
      <c r="RVW17" s="4"/>
      <c r="RVX17" s="4"/>
      <c r="RVY17" s="4"/>
      <c r="RVZ17" s="4"/>
      <c r="RWA17" s="4"/>
      <c r="RWB17" s="4"/>
      <c r="RWC17" s="4"/>
      <c r="RWD17" s="4"/>
      <c r="RWE17" s="4"/>
      <c r="RWF17" s="4"/>
      <c r="RWG17" s="4"/>
      <c r="RWH17" s="4"/>
      <c r="RWI17" s="4"/>
      <c r="RWJ17" s="4"/>
      <c r="RWK17" s="4"/>
      <c r="RWL17" s="4"/>
      <c r="RWM17" s="4"/>
      <c r="RWN17" s="4"/>
      <c r="RWO17" s="4"/>
      <c r="RWP17" s="4"/>
      <c r="RWQ17" s="4"/>
      <c r="RWR17" s="4"/>
      <c r="RWS17" s="4"/>
      <c r="RWT17" s="4"/>
      <c r="RWU17" s="4"/>
      <c r="RWV17" s="4"/>
      <c r="RWW17" s="4"/>
      <c r="RWX17" s="4"/>
      <c r="RWY17" s="4"/>
      <c r="RWZ17" s="4"/>
      <c r="RXA17" s="4"/>
      <c r="RXB17" s="4"/>
      <c r="RXC17" s="4"/>
      <c r="RXD17" s="4"/>
      <c r="RXE17" s="4"/>
      <c r="RXF17" s="4"/>
      <c r="RXG17" s="4"/>
      <c r="RXH17" s="4"/>
      <c r="RXI17" s="4"/>
      <c r="RXJ17" s="4"/>
      <c r="RXK17" s="4"/>
      <c r="RXL17" s="4"/>
      <c r="RXM17" s="4"/>
      <c r="RXN17" s="4"/>
      <c r="RXO17" s="4"/>
      <c r="RXP17" s="4"/>
      <c r="RXQ17" s="4"/>
      <c r="RXR17" s="4"/>
      <c r="RXS17" s="4"/>
      <c r="RXT17" s="4"/>
      <c r="RXU17" s="4"/>
      <c r="RXV17" s="4"/>
      <c r="RXW17" s="4"/>
      <c r="RXX17" s="4"/>
      <c r="RXY17" s="4"/>
      <c r="RXZ17" s="4"/>
      <c r="RYA17" s="4"/>
      <c r="RYB17" s="4"/>
      <c r="RYC17" s="4"/>
      <c r="RYD17" s="4"/>
      <c r="RYE17" s="4"/>
      <c r="RYF17" s="4"/>
      <c r="RYG17" s="4"/>
      <c r="RYH17" s="4"/>
      <c r="RYI17" s="4"/>
      <c r="RYJ17" s="4"/>
      <c r="RYK17" s="4"/>
      <c r="RYL17" s="4"/>
      <c r="RYM17" s="4"/>
      <c r="RYN17" s="4"/>
      <c r="RYO17" s="4"/>
      <c r="RYP17" s="4"/>
      <c r="RYQ17" s="4"/>
      <c r="RYR17" s="4"/>
      <c r="RYS17" s="4"/>
      <c r="RYT17" s="4"/>
      <c r="RYU17" s="4"/>
      <c r="RYV17" s="4"/>
      <c r="RYW17" s="4"/>
      <c r="RYX17" s="4"/>
      <c r="RYY17" s="4"/>
      <c r="RYZ17" s="4"/>
      <c r="RZA17" s="4"/>
      <c r="RZB17" s="4"/>
      <c r="RZC17" s="4"/>
      <c r="RZD17" s="4"/>
      <c r="RZE17" s="4"/>
      <c r="RZF17" s="4"/>
      <c r="RZG17" s="4"/>
      <c r="RZH17" s="4"/>
      <c r="RZI17" s="4"/>
      <c r="RZJ17" s="4"/>
      <c r="RZK17" s="4"/>
      <c r="RZL17" s="4"/>
      <c r="RZM17" s="4"/>
      <c r="RZN17" s="4"/>
      <c r="RZO17" s="4"/>
      <c r="RZP17" s="4"/>
      <c r="RZQ17" s="4"/>
      <c r="RZR17" s="4"/>
      <c r="RZS17" s="4"/>
      <c r="RZT17" s="4"/>
      <c r="RZU17" s="4"/>
      <c r="RZV17" s="4"/>
      <c r="RZW17" s="4"/>
      <c r="RZX17" s="4"/>
      <c r="RZY17" s="4"/>
      <c r="RZZ17" s="4"/>
      <c r="SAA17" s="4"/>
      <c r="SAB17" s="4"/>
      <c r="SAC17" s="4"/>
      <c r="SAD17" s="4"/>
      <c r="SAE17" s="4"/>
      <c r="SAF17" s="4"/>
      <c r="SAG17" s="4"/>
      <c r="SAH17" s="4"/>
      <c r="SAI17" s="4"/>
      <c r="SAJ17" s="4"/>
      <c r="SAK17" s="4"/>
      <c r="SAL17" s="4"/>
      <c r="SAM17" s="4"/>
      <c r="SAN17" s="4"/>
      <c r="SAO17" s="4"/>
      <c r="SAP17" s="4"/>
      <c r="SAQ17" s="4"/>
      <c r="SAR17" s="4"/>
      <c r="SAS17" s="4"/>
      <c r="SAT17" s="4"/>
      <c r="SAU17" s="4"/>
      <c r="SAV17" s="4"/>
      <c r="SAW17" s="4"/>
      <c r="SAX17" s="4"/>
      <c r="SAY17" s="4"/>
      <c r="SAZ17" s="4"/>
      <c r="SBA17" s="4"/>
      <c r="SBB17" s="4"/>
      <c r="SBC17" s="4"/>
      <c r="SBD17" s="4"/>
      <c r="SBE17" s="4"/>
      <c r="SBF17" s="4"/>
      <c r="SBG17" s="4"/>
      <c r="SBH17" s="4"/>
      <c r="SBI17" s="4"/>
      <c r="SBJ17" s="4"/>
      <c r="SBK17" s="4"/>
      <c r="SBL17" s="4"/>
      <c r="SBM17" s="4"/>
      <c r="SBN17" s="4"/>
      <c r="SBO17" s="4"/>
      <c r="SBP17" s="4"/>
      <c r="SBQ17" s="4"/>
      <c r="SBR17" s="4"/>
      <c r="SBS17" s="4"/>
      <c r="SBT17" s="4"/>
      <c r="SBU17" s="4"/>
      <c r="SBV17" s="4"/>
      <c r="SBW17" s="4"/>
      <c r="SBX17" s="4"/>
      <c r="SBY17" s="4"/>
      <c r="SBZ17" s="4"/>
      <c r="SCA17" s="4"/>
      <c r="SCB17" s="4"/>
      <c r="SCC17" s="4"/>
      <c r="SCD17" s="4"/>
      <c r="SCE17" s="4"/>
      <c r="SCF17" s="4"/>
      <c r="SCG17" s="4"/>
      <c r="SCH17" s="4"/>
      <c r="SCI17" s="4"/>
      <c r="SCJ17" s="4"/>
      <c r="SCK17" s="4"/>
      <c r="SCL17" s="4"/>
      <c r="SCM17" s="4"/>
      <c r="SCN17" s="4"/>
      <c r="SCO17" s="4"/>
      <c r="SCP17" s="4"/>
      <c r="SCQ17" s="4"/>
      <c r="SCR17" s="4"/>
      <c r="SCS17" s="4"/>
      <c r="SCT17" s="4"/>
      <c r="SCU17" s="4"/>
      <c r="SCV17" s="4"/>
      <c r="SCW17" s="4"/>
      <c r="SCX17" s="4"/>
      <c r="SCY17" s="4"/>
      <c r="SCZ17" s="4"/>
      <c r="SDA17" s="4"/>
      <c r="SDB17" s="4"/>
      <c r="SDC17" s="4"/>
      <c r="SDD17" s="4"/>
      <c r="SDE17" s="4"/>
      <c r="SDF17" s="4"/>
      <c r="SDG17" s="4"/>
      <c r="SDH17" s="4"/>
      <c r="SDI17" s="4"/>
      <c r="SDJ17" s="4"/>
      <c r="SDK17" s="4"/>
      <c r="SDL17" s="4"/>
      <c r="SDM17" s="4"/>
      <c r="SDN17" s="4"/>
      <c r="SDO17" s="4"/>
      <c r="SDP17" s="4"/>
      <c r="SDQ17" s="4"/>
      <c r="SDR17" s="4"/>
      <c r="SDS17" s="4"/>
      <c r="SDT17" s="4"/>
      <c r="SDU17" s="4"/>
      <c r="SDV17" s="4"/>
      <c r="SDW17" s="4"/>
      <c r="SDX17" s="4"/>
      <c r="SDY17" s="4"/>
      <c r="SDZ17" s="4"/>
      <c r="SEA17" s="4"/>
      <c r="SEB17" s="4"/>
      <c r="SEC17" s="4"/>
      <c r="SED17" s="4"/>
      <c r="SEE17" s="4"/>
      <c r="SEF17" s="4"/>
      <c r="SEG17" s="4"/>
      <c r="SEH17" s="4"/>
      <c r="SEI17" s="4"/>
      <c r="SEJ17" s="4"/>
      <c r="SEK17" s="4"/>
      <c r="SEL17" s="4"/>
      <c r="SEM17" s="4"/>
      <c r="SEN17" s="4"/>
      <c r="SEO17" s="4"/>
      <c r="SEP17" s="4"/>
      <c r="SEQ17" s="4"/>
      <c r="SER17" s="4"/>
      <c r="SES17" s="4"/>
      <c r="SET17" s="4"/>
      <c r="SEU17" s="4"/>
      <c r="SEV17" s="4"/>
      <c r="SEW17" s="4"/>
      <c r="SEX17" s="4"/>
      <c r="SEY17" s="4"/>
      <c r="SEZ17" s="4"/>
      <c r="SFA17" s="4"/>
      <c r="SFB17" s="4"/>
      <c r="SFC17" s="4"/>
      <c r="SFD17" s="4"/>
      <c r="SFE17" s="4"/>
      <c r="SFF17" s="4"/>
      <c r="SFG17" s="4"/>
      <c r="SFH17" s="4"/>
      <c r="SFI17" s="4"/>
      <c r="SFJ17" s="4"/>
      <c r="SFK17" s="4"/>
      <c r="SFL17" s="4"/>
      <c r="SFM17" s="4"/>
      <c r="SFN17" s="4"/>
      <c r="SFO17" s="4"/>
      <c r="SFP17" s="4"/>
      <c r="SFQ17" s="4"/>
      <c r="SFR17" s="4"/>
      <c r="SFS17" s="4"/>
      <c r="SFT17" s="4"/>
      <c r="SFU17" s="4"/>
      <c r="SFV17" s="4"/>
      <c r="SFW17" s="4"/>
      <c r="SFX17" s="4"/>
      <c r="SFY17" s="4"/>
      <c r="SFZ17" s="4"/>
      <c r="SGA17" s="4"/>
      <c r="SGB17" s="4"/>
      <c r="SGC17" s="4"/>
      <c r="SGD17" s="4"/>
      <c r="SGE17" s="4"/>
      <c r="SGF17" s="4"/>
      <c r="SGG17" s="4"/>
      <c r="SGH17" s="4"/>
      <c r="SGI17" s="4"/>
      <c r="SGJ17" s="4"/>
      <c r="SGK17" s="4"/>
      <c r="SGL17" s="4"/>
      <c r="SGM17" s="4"/>
      <c r="SGN17" s="4"/>
      <c r="SGO17" s="4"/>
      <c r="SGP17" s="4"/>
      <c r="SGQ17" s="4"/>
      <c r="SGR17" s="4"/>
      <c r="SGS17" s="4"/>
      <c r="SGT17" s="4"/>
      <c r="SGU17" s="4"/>
      <c r="SGV17" s="4"/>
      <c r="SGW17" s="4"/>
      <c r="SGX17" s="4"/>
      <c r="SGY17" s="4"/>
      <c r="SGZ17" s="4"/>
      <c r="SHA17" s="4"/>
      <c r="SHB17" s="4"/>
      <c r="SHC17" s="4"/>
      <c r="SHD17" s="4"/>
      <c r="SHE17" s="4"/>
      <c r="SHF17" s="4"/>
      <c r="SHG17" s="4"/>
      <c r="SHH17" s="4"/>
      <c r="SHI17" s="4"/>
      <c r="SHJ17" s="4"/>
      <c r="SHK17" s="4"/>
      <c r="SHL17" s="4"/>
      <c r="SHM17" s="4"/>
      <c r="SHN17" s="4"/>
      <c r="SHO17" s="4"/>
      <c r="SHP17" s="4"/>
      <c r="SHQ17" s="4"/>
      <c r="SHR17" s="4"/>
      <c r="SHS17" s="4"/>
      <c r="SHT17" s="4"/>
      <c r="SHU17" s="4"/>
      <c r="SHV17" s="4"/>
      <c r="SHW17" s="4"/>
      <c r="SHX17" s="4"/>
      <c r="SHY17" s="4"/>
      <c r="SHZ17" s="4"/>
      <c r="SIA17" s="4"/>
      <c r="SIB17" s="4"/>
      <c r="SIC17" s="4"/>
      <c r="SID17" s="4"/>
      <c r="SIE17" s="4"/>
      <c r="SIF17" s="4"/>
      <c r="SIG17" s="4"/>
      <c r="SIH17" s="4"/>
      <c r="SII17" s="4"/>
      <c r="SIJ17" s="4"/>
      <c r="SIK17" s="4"/>
      <c r="SIL17" s="4"/>
      <c r="SIM17" s="4"/>
      <c r="SIN17" s="4"/>
      <c r="SIO17" s="4"/>
      <c r="SIP17" s="4"/>
      <c r="SIQ17" s="4"/>
      <c r="SIR17" s="4"/>
      <c r="SIS17" s="4"/>
      <c r="SIT17" s="4"/>
      <c r="SIU17" s="4"/>
      <c r="SIV17" s="4"/>
      <c r="SIW17" s="4"/>
      <c r="SIX17" s="4"/>
      <c r="SIY17" s="4"/>
      <c r="SIZ17" s="4"/>
      <c r="SJA17" s="4"/>
      <c r="SJB17" s="4"/>
      <c r="SJC17" s="4"/>
      <c r="SJD17" s="4"/>
      <c r="SJE17" s="4"/>
      <c r="SJF17" s="4"/>
      <c r="SJG17" s="4"/>
      <c r="SJH17" s="4"/>
      <c r="SJI17" s="4"/>
      <c r="SJJ17" s="4"/>
      <c r="SJK17" s="4"/>
      <c r="SJL17" s="4"/>
      <c r="SJM17" s="4"/>
      <c r="SJN17" s="4"/>
      <c r="SJO17" s="4"/>
      <c r="SJP17" s="4"/>
      <c r="SJQ17" s="4"/>
      <c r="SJR17" s="4"/>
      <c r="SJS17" s="4"/>
      <c r="SJT17" s="4"/>
      <c r="SJU17" s="4"/>
      <c r="SJV17" s="4"/>
      <c r="SJW17" s="4"/>
      <c r="SJX17" s="4"/>
      <c r="SJY17" s="4"/>
      <c r="SJZ17" s="4"/>
      <c r="SKA17" s="4"/>
      <c r="SKB17" s="4"/>
      <c r="SKC17" s="4"/>
      <c r="SKD17" s="4"/>
      <c r="SKE17" s="4"/>
      <c r="SKF17" s="4"/>
      <c r="SKG17" s="4"/>
      <c r="SKH17" s="4"/>
      <c r="SKI17" s="4"/>
      <c r="SKJ17" s="4"/>
      <c r="SKK17" s="4"/>
      <c r="SKL17" s="4"/>
      <c r="SKM17" s="4"/>
      <c r="SKN17" s="4"/>
      <c r="SKO17" s="4"/>
      <c r="SKP17" s="4"/>
      <c r="SKQ17" s="4"/>
      <c r="SKR17" s="4"/>
      <c r="SKS17" s="4"/>
      <c r="SKT17" s="4"/>
      <c r="SKU17" s="4"/>
      <c r="SKV17" s="4"/>
      <c r="SKW17" s="4"/>
      <c r="SKX17" s="4"/>
      <c r="SKY17" s="4"/>
      <c r="SKZ17" s="4"/>
      <c r="SLA17" s="4"/>
      <c r="SLB17" s="4"/>
      <c r="SLC17" s="4"/>
      <c r="SLD17" s="4"/>
      <c r="SLE17" s="4"/>
      <c r="SLF17" s="4"/>
      <c r="SLG17" s="4"/>
      <c r="SLH17" s="4"/>
      <c r="SLI17" s="4"/>
      <c r="SLJ17" s="4"/>
      <c r="SLK17" s="4"/>
      <c r="SLL17" s="4"/>
      <c r="SLM17" s="4"/>
      <c r="SLN17" s="4"/>
      <c r="SLO17" s="4"/>
      <c r="SLP17" s="4"/>
      <c r="SLQ17" s="4"/>
      <c r="SLR17" s="4"/>
      <c r="SLS17" s="4"/>
      <c r="SLT17" s="4"/>
      <c r="SLU17" s="4"/>
      <c r="SLV17" s="4"/>
      <c r="SLW17" s="4"/>
      <c r="SLX17" s="4"/>
      <c r="SLY17" s="4"/>
      <c r="SLZ17" s="4"/>
      <c r="SMA17" s="4"/>
      <c r="SMB17" s="4"/>
      <c r="SMC17" s="4"/>
      <c r="SMD17" s="4"/>
      <c r="SME17" s="4"/>
      <c r="SMF17" s="4"/>
      <c r="SMG17" s="4"/>
      <c r="SMH17" s="4"/>
      <c r="SMI17" s="4"/>
      <c r="SMJ17" s="4"/>
      <c r="SMK17" s="4"/>
      <c r="SML17" s="4"/>
      <c r="SMM17" s="4"/>
      <c r="SMN17" s="4"/>
      <c r="SMO17" s="4"/>
      <c r="SMP17" s="4"/>
      <c r="SMQ17" s="4"/>
      <c r="SMR17" s="4"/>
      <c r="SMS17" s="4"/>
      <c r="SMT17" s="4"/>
      <c r="SMU17" s="4"/>
      <c r="SMV17" s="4"/>
      <c r="SMW17" s="4"/>
      <c r="SMX17" s="4"/>
      <c r="SMY17" s="4"/>
      <c r="SMZ17" s="4"/>
      <c r="SNA17" s="4"/>
      <c r="SNB17" s="4"/>
      <c r="SNC17" s="4"/>
      <c r="SND17" s="4"/>
      <c r="SNE17" s="4"/>
      <c r="SNF17" s="4"/>
      <c r="SNG17" s="4"/>
      <c r="SNH17" s="4"/>
      <c r="SNI17" s="4"/>
      <c r="SNJ17" s="4"/>
      <c r="SNK17" s="4"/>
      <c r="SNL17" s="4"/>
      <c r="SNM17" s="4"/>
      <c r="SNN17" s="4"/>
      <c r="SNO17" s="4"/>
      <c r="SNP17" s="4"/>
      <c r="SNQ17" s="4"/>
      <c r="SNR17" s="4"/>
      <c r="SNS17" s="4"/>
      <c r="SNT17" s="4"/>
      <c r="SNU17" s="4"/>
      <c r="SNV17" s="4"/>
      <c r="SNW17" s="4"/>
      <c r="SNX17" s="4"/>
      <c r="SNY17" s="4"/>
      <c r="SNZ17" s="4"/>
      <c r="SOA17" s="4"/>
      <c r="SOB17" s="4"/>
      <c r="SOC17" s="4"/>
      <c r="SOD17" s="4"/>
      <c r="SOE17" s="4"/>
      <c r="SOF17" s="4"/>
      <c r="SOG17" s="4"/>
      <c r="SOH17" s="4"/>
      <c r="SOI17" s="4"/>
      <c r="SOJ17" s="4"/>
      <c r="SOK17" s="4"/>
      <c r="SOL17" s="4"/>
      <c r="SOM17" s="4"/>
      <c r="SON17" s="4"/>
      <c r="SOO17" s="4"/>
      <c r="SOP17" s="4"/>
      <c r="SOQ17" s="4"/>
      <c r="SOR17" s="4"/>
      <c r="SOS17" s="4"/>
      <c r="SOT17" s="4"/>
      <c r="SOU17" s="4"/>
      <c r="SOV17" s="4"/>
      <c r="SOW17" s="4"/>
      <c r="SOX17" s="4"/>
      <c r="SOY17" s="4"/>
      <c r="SOZ17" s="4"/>
      <c r="SPA17" s="4"/>
      <c r="SPB17" s="4"/>
      <c r="SPC17" s="4"/>
      <c r="SPD17" s="4"/>
      <c r="SPE17" s="4"/>
      <c r="SPF17" s="4"/>
      <c r="SPG17" s="4"/>
      <c r="SPH17" s="4"/>
      <c r="SPI17" s="4"/>
      <c r="SPJ17" s="4"/>
      <c r="SPK17" s="4"/>
      <c r="SPL17" s="4"/>
      <c r="SPM17" s="4"/>
      <c r="SPN17" s="4"/>
      <c r="SPO17" s="4"/>
      <c r="SPP17" s="4"/>
      <c r="SPQ17" s="4"/>
      <c r="SPR17" s="4"/>
      <c r="SPS17" s="4"/>
      <c r="SPT17" s="4"/>
      <c r="SPU17" s="4"/>
      <c r="SPV17" s="4"/>
      <c r="SPW17" s="4"/>
      <c r="SPX17" s="4"/>
      <c r="SPY17" s="4"/>
      <c r="SPZ17" s="4"/>
      <c r="SQA17" s="4"/>
      <c r="SQB17" s="4"/>
      <c r="SQC17" s="4"/>
      <c r="SQD17" s="4"/>
      <c r="SQE17" s="4"/>
      <c r="SQF17" s="4"/>
      <c r="SQG17" s="4"/>
      <c r="SQH17" s="4"/>
      <c r="SQI17" s="4"/>
      <c r="SQJ17" s="4"/>
      <c r="SQK17" s="4"/>
      <c r="SQL17" s="4"/>
      <c r="SQM17" s="4"/>
      <c r="SQN17" s="4"/>
      <c r="SQO17" s="4"/>
      <c r="SQP17" s="4"/>
      <c r="SQQ17" s="4"/>
      <c r="SQR17" s="4"/>
      <c r="SQS17" s="4"/>
      <c r="SQT17" s="4"/>
      <c r="SQU17" s="4"/>
      <c r="SQV17" s="4"/>
      <c r="SQW17" s="4"/>
      <c r="SQX17" s="4"/>
      <c r="SQY17" s="4"/>
      <c r="SQZ17" s="4"/>
      <c r="SRA17" s="4"/>
      <c r="SRB17" s="4"/>
      <c r="SRC17" s="4"/>
      <c r="SRD17" s="4"/>
      <c r="SRE17" s="4"/>
      <c r="SRF17" s="4"/>
      <c r="SRG17" s="4"/>
      <c r="SRH17" s="4"/>
      <c r="SRI17" s="4"/>
      <c r="SRJ17" s="4"/>
      <c r="SRK17" s="4"/>
      <c r="SRL17" s="4"/>
      <c r="SRM17" s="4"/>
      <c r="SRN17" s="4"/>
      <c r="SRO17" s="4"/>
      <c r="SRP17" s="4"/>
      <c r="SRQ17" s="4"/>
      <c r="SRR17" s="4"/>
      <c r="SRS17" s="4"/>
      <c r="SRT17" s="4"/>
      <c r="SRU17" s="4"/>
      <c r="SRV17" s="4"/>
      <c r="SRW17" s="4"/>
      <c r="SRX17" s="4"/>
      <c r="SRY17" s="4"/>
      <c r="SRZ17" s="4"/>
      <c r="SSA17" s="4"/>
      <c r="SSB17" s="4"/>
      <c r="SSC17" s="4"/>
      <c r="SSD17" s="4"/>
      <c r="SSE17" s="4"/>
      <c r="SSF17" s="4"/>
      <c r="SSG17" s="4"/>
      <c r="SSH17" s="4"/>
      <c r="SSI17" s="4"/>
      <c r="SSJ17" s="4"/>
      <c r="SSK17" s="4"/>
      <c r="SSL17" s="4"/>
      <c r="SSM17" s="4"/>
      <c r="SSN17" s="4"/>
      <c r="SSO17" s="4"/>
      <c r="SSP17" s="4"/>
      <c r="SSQ17" s="4"/>
      <c r="SSR17" s="4"/>
      <c r="SSS17" s="4"/>
      <c r="SST17" s="4"/>
      <c r="SSU17" s="4"/>
      <c r="SSV17" s="4"/>
      <c r="SSW17" s="4"/>
      <c r="SSX17" s="4"/>
      <c r="SSY17" s="4"/>
      <c r="SSZ17" s="4"/>
      <c r="STA17" s="4"/>
      <c r="STB17" s="4"/>
      <c r="STC17" s="4"/>
      <c r="STD17" s="4"/>
      <c r="STE17" s="4"/>
      <c r="STF17" s="4"/>
      <c r="STG17" s="4"/>
      <c r="STH17" s="4"/>
      <c r="STI17" s="4"/>
      <c r="STJ17" s="4"/>
      <c r="STK17" s="4"/>
      <c r="STL17" s="4"/>
      <c r="STM17" s="4"/>
      <c r="STN17" s="4"/>
      <c r="STO17" s="4"/>
      <c r="STP17" s="4"/>
      <c r="STQ17" s="4"/>
      <c r="STR17" s="4"/>
      <c r="STS17" s="4"/>
      <c r="STT17" s="4"/>
      <c r="STU17" s="4"/>
      <c r="STV17" s="4"/>
      <c r="STW17" s="4"/>
      <c r="STX17" s="4"/>
      <c r="STY17" s="4"/>
      <c r="STZ17" s="4"/>
      <c r="SUA17" s="4"/>
      <c r="SUB17" s="4"/>
      <c r="SUC17" s="4"/>
      <c r="SUD17" s="4"/>
      <c r="SUE17" s="4"/>
      <c r="SUF17" s="4"/>
      <c r="SUG17" s="4"/>
      <c r="SUH17" s="4"/>
      <c r="SUI17" s="4"/>
      <c r="SUJ17" s="4"/>
      <c r="SUK17" s="4"/>
      <c r="SUL17" s="4"/>
      <c r="SUM17" s="4"/>
      <c r="SUN17" s="4"/>
      <c r="SUO17" s="4"/>
      <c r="SUP17" s="4"/>
      <c r="SUQ17" s="4"/>
      <c r="SUR17" s="4"/>
      <c r="SUS17" s="4"/>
      <c r="SUT17" s="4"/>
      <c r="SUU17" s="4"/>
      <c r="SUV17" s="4"/>
      <c r="SUW17" s="4"/>
      <c r="SUX17" s="4"/>
      <c r="SUY17" s="4"/>
      <c r="SUZ17" s="4"/>
      <c r="SVA17" s="4"/>
      <c r="SVB17" s="4"/>
      <c r="SVC17" s="4"/>
      <c r="SVD17" s="4"/>
      <c r="SVE17" s="4"/>
      <c r="SVF17" s="4"/>
      <c r="SVG17" s="4"/>
      <c r="SVH17" s="4"/>
      <c r="SVI17" s="4"/>
      <c r="SVJ17" s="4"/>
      <c r="SVK17" s="4"/>
      <c r="SVL17" s="4"/>
      <c r="SVM17" s="4"/>
      <c r="SVN17" s="4"/>
      <c r="SVO17" s="4"/>
      <c r="SVP17" s="4"/>
      <c r="SVQ17" s="4"/>
      <c r="SVR17" s="4"/>
      <c r="SVS17" s="4"/>
      <c r="SVT17" s="4"/>
      <c r="SVU17" s="4"/>
      <c r="SVV17" s="4"/>
      <c r="SVW17" s="4"/>
      <c r="SVX17" s="4"/>
      <c r="SVY17" s="4"/>
      <c r="SVZ17" s="4"/>
      <c r="SWA17" s="4"/>
      <c r="SWB17" s="4"/>
      <c r="SWC17" s="4"/>
      <c r="SWD17" s="4"/>
      <c r="SWE17" s="4"/>
      <c r="SWF17" s="4"/>
      <c r="SWG17" s="4"/>
      <c r="SWH17" s="4"/>
      <c r="SWI17" s="4"/>
      <c r="SWJ17" s="4"/>
      <c r="SWK17" s="4"/>
      <c r="SWL17" s="4"/>
      <c r="SWM17" s="4"/>
      <c r="SWN17" s="4"/>
      <c r="SWO17" s="4"/>
      <c r="SWP17" s="4"/>
      <c r="SWQ17" s="4"/>
      <c r="SWR17" s="4"/>
      <c r="SWS17" s="4"/>
      <c r="SWT17" s="4"/>
      <c r="SWU17" s="4"/>
      <c r="SWV17" s="4"/>
      <c r="SWW17" s="4"/>
      <c r="SWX17" s="4"/>
      <c r="SWY17" s="4"/>
      <c r="SWZ17" s="4"/>
      <c r="SXA17" s="4"/>
      <c r="SXB17" s="4"/>
      <c r="SXC17" s="4"/>
      <c r="SXD17" s="4"/>
      <c r="SXE17" s="4"/>
      <c r="SXF17" s="4"/>
      <c r="SXG17" s="4"/>
      <c r="SXH17" s="4"/>
      <c r="SXI17" s="4"/>
      <c r="SXJ17" s="4"/>
      <c r="SXK17" s="4"/>
      <c r="SXL17" s="4"/>
      <c r="SXM17" s="4"/>
      <c r="SXN17" s="4"/>
      <c r="SXO17" s="4"/>
      <c r="SXP17" s="4"/>
      <c r="SXQ17" s="4"/>
      <c r="SXR17" s="4"/>
      <c r="SXS17" s="4"/>
      <c r="SXT17" s="4"/>
      <c r="SXU17" s="4"/>
      <c r="SXV17" s="4"/>
      <c r="SXW17" s="4"/>
      <c r="SXX17" s="4"/>
      <c r="SXY17" s="4"/>
      <c r="SXZ17" s="4"/>
      <c r="SYA17" s="4"/>
      <c r="SYB17" s="4"/>
      <c r="SYC17" s="4"/>
      <c r="SYD17" s="4"/>
      <c r="SYE17" s="4"/>
      <c r="SYF17" s="4"/>
      <c r="SYG17" s="4"/>
      <c r="SYH17" s="4"/>
      <c r="SYI17" s="4"/>
      <c r="SYJ17" s="4"/>
      <c r="SYK17" s="4"/>
      <c r="SYL17" s="4"/>
      <c r="SYM17" s="4"/>
      <c r="SYN17" s="4"/>
      <c r="SYO17" s="4"/>
      <c r="SYP17" s="4"/>
      <c r="SYQ17" s="4"/>
      <c r="SYR17" s="4"/>
      <c r="SYS17" s="4"/>
      <c r="SYT17" s="4"/>
      <c r="SYU17" s="4"/>
      <c r="SYV17" s="4"/>
      <c r="SYW17" s="4"/>
      <c r="SYX17" s="4"/>
      <c r="SYY17" s="4"/>
      <c r="SYZ17" s="4"/>
      <c r="SZA17" s="4"/>
      <c r="SZB17" s="4"/>
      <c r="SZC17" s="4"/>
      <c r="SZD17" s="4"/>
      <c r="SZE17" s="4"/>
      <c r="SZF17" s="4"/>
      <c r="SZG17" s="4"/>
      <c r="SZH17" s="4"/>
      <c r="SZI17" s="4"/>
      <c r="SZJ17" s="4"/>
      <c r="SZK17" s="4"/>
      <c r="SZL17" s="4"/>
      <c r="SZM17" s="4"/>
      <c r="SZN17" s="4"/>
      <c r="SZO17" s="4"/>
      <c r="SZP17" s="4"/>
      <c r="SZQ17" s="4"/>
      <c r="SZR17" s="4"/>
      <c r="SZS17" s="4"/>
      <c r="SZT17" s="4"/>
      <c r="SZU17" s="4"/>
      <c r="SZV17" s="4"/>
      <c r="SZW17" s="4"/>
      <c r="SZX17" s="4"/>
      <c r="SZY17" s="4"/>
      <c r="SZZ17" s="4"/>
      <c r="TAA17" s="4"/>
      <c r="TAB17" s="4"/>
      <c r="TAC17" s="4"/>
      <c r="TAD17" s="4"/>
      <c r="TAE17" s="4"/>
      <c r="TAF17" s="4"/>
      <c r="TAG17" s="4"/>
      <c r="TAH17" s="4"/>
      <c r="TAI17" s="4"/>
      <c r="TAJ17" s="4"/>
      <c r="TAK17" s="4"/>
      <c r="TAL17" s="4"/>
      <c r="TAM17" s="4"/>
      <c r="TAN17" s="4"/>
      <c r="TAO17" s="4"/>
      <c r="TAP17" s="4"/>
      <c r="TAQ17" s="4"/>
      <c r="TAR17" s="4"/>
      <c r="TAS17" s="4"/>
      <c r="TAT17" s="4"/>
      <c r="TAU17" s="4"/>
      <c r="TAV17" s="4"/>
      <c r="TAW17" s="4"/>
      <c r="TAX17" s="4"/>
      <c r="TAY17" s="4"/>
      <c r="TAZ17" s="4"/>
      <c r="TBA17" s="4"/>
      <c r="TBB17" s="4"/>
      <c r="TBC17" s="4"/>
      <c r="TBD17" s="4"/>
      <c r="TBE17" s="4"/>
      <c r="TBF17" s="4"/>
      <c r="TBG17" s="4"/>
      <c r="TBH17" s="4"/>
      <c r="TBI17" s="4"/>
      <c r="TBJ17" s="4"/>
      <c r="TBK17" s="4"/>
      <c r="TBL17" s="4"/>
      <c r="TBM17" s="4"/>
      <c r="TBN17" s="4"/>
      <c r="TBO17" s="4"/>
      <c r="TBP17" s="4"/>
      <c r="TBQ17" s="4"/>
      <c r="TBR17" s="4"/>
      <c r="TBS17" s="4"/>
      <c r="TBT17" s="4"/>
      <c r="TBU17" s="4"/>
      <c r="TBV17" s="4"/>
      <c r="TBW17" s="4"/>
      <c r="TBX17" s="4"/>
      <c r="TBY17" s="4"/>
      <c r="TBZ17" s="4"/>
      <c r="TCA17" s="4"/>
      <c r="TCB17" s="4"/>
      <c r="TCC17" s="4"/>
      <c r="TCD17" s="4"/>
      <c r="TCE17" s="4"/>
      <c r="TCF17" s="4"/>
      <c r="TCG17" s="4"/>
      <c r="TCH17" s="4"/>
      <c r="TCI17" s="4"/>
      <c r="TCJ17" s="4"/>
      <c r="TCK17" s="4"/>
      <c r="TCL17" s="4"/>
      <c r="TCM17" s="4"/>
      <c r="TCN17" s="4"/>
      <c r="TCO17" s="4"/>
      <c r="TCP17" s="4"/>
      <c r="TCQ17" s="4"/>
      <c r="TCR17" s="4"/>
      <c r="TCS17" s="4"/>
      <c r="TCT17" s="4"/>
      <c r="TCU17" s="4"/>
      <c r="TCV17" s="4"/>
      <c r="TCW17" s="4"/>
      <c r="TCX17" s="4"/>
      <c r="TCY17" s="4"/>
      <c r="TCZ17" s="4"/>
      <c r="TDA17" s="4"/>
      <c r="TDB17" s="4"/>
      <c r="TDC17" s="4"/>
      <c r="TDD17" s="4"/>
      <c r="TDE17" s="4"/>
      <c r="TDF17" s="4"/>
      <c r="TDG17" s="4"/>
      <c r="TDH17" s="4"/>
      <c r="TDI17" s="4"/>
      <c r="TDJ17" s="4"/>
      <c r="TDK17" s="4"/>
      <c r="TDL17" s="4"/>
      <c r="TDM17" s="4"/>
      <c r="TDN17" s="4"/>
      <c r="TDO17" s="4"/>
      <c r="TDP17" s="4"/>
      <c r="TDQ17" s="4"/>
      <c r="TDR17" s="4"/>
      <c r="TDS17" s="4"/>
      <c r="TDT17" s="4"/>
      <c r="TDU17" s="4"/>
      <c r="TDV17" s="4"/>
      <c r="TDW17" s="4"/>
      <c r="TDX17" s="4"/>
      <c r="TDY17" s="4"/>
      <c r="TDZ17" s="4"/>
      <c r="TEA17" s="4"/>
      <c r="TEB17" s="4"/>
      <c r="TEC17" s="4"/>
      <c r="TED17" s="4"/>
      <c r="TEE17" s="4"/>
      <c r="TEF17" s="4"/>
      <c r="TEG17" s="4"/>
      <c r="TEH17" s="4"/>
      <c r="TEI17" s="4"/>
      <c r="TEJ17" s="4"/>
      <c r="TEK17" s="4"/>
      <c r="TEL17" s="4"/>
      <c r="TEM17" s="4"/>
      <c r="TEN17" s="4"/>
      <c r="TEO17" s="4"/>
      <c r="TEP17" s="4"/>
      <c r="TEQ17" s="4"/>
      <c r="TER17" s="4"/>
      <c r="TES17" s="4"/>
      <c r="TET17" s="4"/>
      <c r="TEU17" s="4"/>
      <c r="TEV17" s="4"/>
      <c r="TEW17" s="4"/>
      <c r="TEX17" s="4"/>
      <c r="TEY17" s="4"/>
      <c r="TEZ17" s="4"/>
      <c r="TFA17" s="4"/>
      <c r="TFB17" s="4"/>
      <c r="TFC17" s="4"/>
      <c r="TFD17" s="4"/>
      <c r="TFE17" s="4"/>
      <c r="TFF17" s="4"/>
      <c r="TFG17" s="4"/>
      <c r="TFH17" s="4"/>
      <c r="TFI17" s="4"/>
      <c r="TFJ17" s="4"/>
      <c r="TFK17" s="4"/>
      <c r="TFL17" s="4"/>
      <c r="TFM17" s="4"/>
      <c r="TFN17" s="4"/>
      <c r="TFO17" s="4"/>
      <c r="TFP17" s="4"/>
      <c r="TFQ17" s="4"/>
      <c r="TFR17" s="4"/>
      <c r="TFS17" s="4"/>
      <c r="TFT17" s="4"/>
      <c r="TFU17" s="4"/>
      <c r="TFV17" s="4"/>
      <c r="TFW17" s="4"/>
      <c r="TFX17" s="4"/>
      <c r="TFY17" s="4"/>
      <c r="TFZ17" s="4"/>
      <c r="TGA17" s="4"/>
      <c r="TGB17" s="4"/>
      <c r="TGC17" s="4"/>
      <c r="TGD17" s="4"/>
      <c r="TGE17" s="4"/>
      <c r="TGF17" s="4"/>
      <c r="TGG17" s="4"/>
      <c r="TGH17" s="4"/>
      <c r="TGI17" s="4"/>
      <c r="TGJ17" s="4"/>
      <c r="TGK17" s="4"/>
      <c r="TGL17" s="4"/>
      <c r="TGM17" s="4"/>
      <c r="TGN17" s="4"/>
      <c r="TGO17" s="4"/>
      <c r="TGP17" s="4"/>
      <c r="TGQ17" s="4"/>
      <c r="TGR17" s="4"/>
      <c r="TGS17" s="4"/>
      <c r="TGT17" s="4"/>
      <c r="TGU17" s="4"/>
      <c r="TGV17" s="4"/>
      <c r="TGW17" s="4"/>
      <c r="TGX17" s="4"/>
      <c r="TGY17" s="4"/>
      <c r="TGZ17" s="4"/>
      <c r="THA17" s="4"/>
      <c r="THB17" s="4"/>
      <c r="THC17" s="4"/>
      <c r="THD17" s="4"/>
      <c r="THE17" s="4"/>
      <c r="THF17" s="4"/>
      <c r="THG17" s="4"/>
      <c r="THH17" s="4"/>
      <c r="THI17" s="4"/>
      <c r="THJ17" s="4"/>
      <c r="THK17" s="4"/>
      <c r="THL17" s="4"/>
      <c r="THM17" s="4"/>
      <c r="THN17" s="4"/>
      <c r="THO17" s="4"/>
      <c r="THP17" s="4"/>
      <c r="THQ17" s="4"/>
      <c r="THR17" s="4"/>
      <c r="THS17" s="4"/>
      <c r="THT17" s="4"/>
      <c r="THU17" s="4"/>
      <c r="THV17" s="4"/>
      <c r="THW17" s="4"/>
      <c r="THX17" s="4"/>
      <c r="THY17" s="4"/>
      <c r="THZ17" s="4"/>
      <c r="TIA17" s="4"/>
      <c r="TIB17" s="4"/>
      <c r="TIC17" s="4"/>
      <c r="TID17" s="4"/>
      <c r="TIE17" s="4"/>
      <c r="TIF17" s="4"/>
      <c r="TIG17" s="4"/>
      <c r="TIH17" s="4"/>
      <c r="TII17" s="4"/>
      <c r="TIJ17" s="4"/>
      <c r="TIK17" s="4"/>
      <c r="TIL17" s="4"/>
      <c r="TIM17" s="4"/>
      <c r="TIN17" s="4"/>
      <c r="TIO17" s="4"/>
      <c r="TIP17" s="4"/>
      <c r="TIQ17" s="4"/>
      <c r="TIR17" s="4"/>
      <c r="TIS17" s="4"/>
      <c r="TIT17" s="4"/>
      <c r="TIU17" s="4"/>
      <c r="TIV17" s="4"/>
      <c r="TIW17" s="4"/>
      <c r="TIX17" s="4"/>
      <c r="TIY17" s="4"/>
      <c r="TIZ17" s="4"/>
      <c r="TJA17" s="4"/>
      <c r="TJB17" s="4"/>
      <c r="TJC17" s="4"/>
      <c r="TJD17" s="4"/>
      <c r="TJE17" s="4"/>
      <c r="TJF17" s="4"/>
      <c r="TJG17" s="4"/>
      <c r="TJH17" s="4"/>
      <c r="TJI17" s="4"/>
      <c r="TJJ17" s="4"/>
      <c r="TJK17" s="4"/>
      <c r="TJL17" s="4"/>
      <c r="TJM17" s="4"/>
      <c r="TJN17" s="4"/>
      <c r="TJO17" s="4"/>
      <c r="TJP17" s="4"/>
      <c r="TJQ17" s="4"/>
      <c r="TJR17" s="4"/>
      <c r="TJS17" s="4"/>
      <c r="TJT17" s="4"/>
      <c r="TJU17" s="4"/>
      <c r="TJV17" s="4"/>
      <c r="TJW17" s="4"/>
      <c r="TJX17" s="4"/>
      <c r="TJY17" s="4"/>
      <c r="TJZ17" s="4"/>
      <c r="TKA17" s="4"/>
      <c r="TKB17" s="4"/>
      <c r="TKC17" s="4"/>
      <c r="TKD17" s="4"/>
      <c r="TKE17" s="4"/>
      <c r="TKF17" s="4"/>
      <c r="TKG17" s="4"/>
      <c r="TKH17" s="4"/>
      <c r="TKI17" s="4"/>
      <c r="TKJ17" s="4"/>
      <c r="TKK17" s="4"/>
      <c r="TKL17" s="4"/>
      <c r="TKM17" s="4"/>
      <c r="TKN17" s="4"/>
      <c r="TKO17" s="4"/>
      <c r="TKP17" s="4"/>
      <c r="TKQ17" s="4"/>
      <c r="TKR17" s="4"/>
      <c r="TKS17" s="4"/>
      <c r="TKT17" s="4"/>
      <c r="TKU17" s="4"/>
      <c r="TKV17" s="4"/>
      <c r="TKW17" s="4"/>
      <c r="TKX17" s="4"/>
      <c r="TKY17" s="4"/>
      <c r="TKZ17" s="4"/>
      <c r="TLA17" s="4"/>
      <c r="TLB17" s="4"/>
      <c r="TLC17" s="4"/>
      <c r="TLD17" s="4"/>
      <c r="TLE17" s="4"/>
      <c r="TLF17" s="4"/>
      <c r="TLG17" s="4"/>
      <c r="TLH17" s="4"/>
      <c r="TLI17" s="4"/>
      <c r="TLJ17" s="4"/>
      <c r="TLK17" s="4"/>
      <c r="TLL17" s="4"/>
      <c r="TLM17" s="4"/>
      <c r="TLN17" s="4"/>
      <c r="TLO17" s="4"/>
      <c r="TLP17" s="4"/>
      <c r="TLQ17" s="4"/>
      <c r="TLR17" s="4"/>
      <c r="TLS17" s="4"/>
      <c r="TLT17" s="4"/>
      <c r="TLU17" s="4"/>
      <c r="TLV17" s="4"/>
      <c r="TLW17" s="4"/>
      <c r="TLX17" s="4"/>
      <c r="TLY17" s="4"/>
      <c r="TLZ17" s="4"/>
      <c r="TMA17" s="4"/>
      <c r="TMB17" s="4"/>
      <c r="TMC17" s="4"/>
      <c r="TMD17" s="4"/>
      <c r="TME17" s="4"/>
      <c r="TMF17" s="4"/>
      <c r="TMG17" s="4"/>
      <c r="TMH17" s="4"/>
      <c r="TMI17" s="4"/>
      <c r="TMJ17" s="4"/>
      <c r="TMK17" s="4"/>
      <c r="TML17" s="4"/>
      <c r="TMM17" s="4"/>
      <c r="TMN17" s="4"/>
      <c r="TMO17" s="4"/>
      <c r="TMP17" s="4"/>
      <c r="TMQ17" s="4"/>
      <c r="TMR17" s="4"/>
      <c r="TMS17" s="4"/>
      <c r="TMT17" s="4"/>
      <c r="TMU17" s="4"/>
      <c r="TMV17" s="4"/>
      <c r="TMW17" s="4"/>
      <c r="TMX17" s="4"/>
      <c r="TMY17" s="4"/>
      <c r="TMZ17" s="4"/>
      <c r="TNA17" s="4"/>
      <c r="TNB17" s="4"/>
      <c r="TNC17" s="4"/>
      <c r="TND17" s="4"/>
      <c r="TNE17" s="4"/>
      <c r="TNF17" s="4"/>
      <c r="TNG17" s="4"/>
      <c r="TNH17" s="4"/>
      <c r="TNI17" s="4"/>
      <c r="TNJ17" s="4"/>
      <c r="TNK17" s="4"/>
      <c r="TNL17" s="4"/>
      <c r="TNM17" s="4"/>
      <c r="TNN17" s="4"/>
      <c r="TNO17" s="4"/>
      <c r="TNP17" s="4"/>
      <c r="TNQ17" s="4"/>
      <c r="TNR17" s="4"/>
      <c r="TNS17" s="4"/>
      <c r="TNT17" s="4"/>
      <c r="TNU17" s="4"/>
      <c r="TNV17" s="4"/>
      <c r="TNW17" s="4"/>
      <c r="TNX17" s="4"/>
      <c r="TNY17" s="4"/>
      <c r="TNZ17" s="4"/>
      <c r="TOA17" s="4"/>
      <c r="TOB17" s="4"/>
      <c r="TOC17" s="4"/>
      <c r="TOD17" s="4"/>
      <c r="TOE17" s="4"/>
      <c r="TOF17" s="4"/>
      <c r="TOG17" s="4"/>
      <c r="TOH17" s="4"/>
      <c r="TOI17" s="4"/>
      <c r="TOJ17" s="4"/>
      <c r="TOK17" s="4"/>
      <c r="TOL17" s="4"/>
      <c r="TOM17" s="4"/>
      <c r="TON17" s="4"/>
      <c r="TOO17" s="4"/>
      <c r="TOP17" s="4"/>
      <c r="TOQ17" s="4"/>
      <c r="TOR17" s="4"/>
      <c r="TOS17" s="4"/>
      <c r="TOT17" s="4"/>
      <c r="TOU17" s="4"/>
      <c r="TOV17" s="4"/>
      <c r="TOW17" s="4"/>
      <c r="TOX17" s="4"/>
      <c r="TOY17" s="4"/>
      <c r="TOZ17" s="4"/>
      <c r="TPA17" s="4"/>
      <c r="TPB17" s="4"/>
      <c r="TPC17" s="4"/>
      <c r="TPD17" s="4"/>
      <c r="TPE17" s="4"/>
      <c r="TPF17" s="4"/>
      <c r="TPG17" s="4"/>
      <c r="TPH17" s="4"/>
      <c r="TPI17" s="4"/>
      <c r="TPJ17" s="4"/>
      <c r="TPK17" s="4"/>
      <c r="TPL17" s="4"/>
      <c r="TPM17" s="4"/>
      <c r="TPN17" s="4"/>
      <c r="TPO17" s="4"/>
      <c r="TPP17" s="4"/>
      <c r="TPQ17" s="4"/>
      <c r="TPR17" s="4"/>
      <c r="TPS17" s="4"/>
      <c r="TPT17" s="4"/>
      <c r="TPU17" s="4"/>
      <c r="TPV17" s="4"/>
      <c r="TPW17" s="4"/>
      <c r="TPX17" s="4"/>
      <c r="TPY17" s="4"/>
      <c r="TPZ17" s="4"/>
      <c r="TQA17" s="4"/>
      <c r="TQB17" s="4"/>
      <c r="TQC17" s="4"/>
      <c r="TQD17" s="4"/>
      <c r="TQE17" s="4"/>
      <c r="TQF17" s="4"/>
      <c r="TQG17" s="4"/>
      <c r="TQH17" s="4"/>
      <c r="TQI17" s="4"/>
      <c r="TQJ17" s="4"/>
      <c r="TQK17" s="4"/>
      <c r="TQL17" s="4"/>
      <c r="TQM17" s="4"/>
      <c r="TQN17" s="4"/>
      <c r="TQO17" s="4"/>
      <c r="TQP17" s="4"/>
      <c r="TQQ17" s="4"/>
      <c r="TQR17" s="4"/>
      <c r="TQS17" s="4"/>
      <c r="TQT17" s="4"/>
      <c r="TQU17" s="4"/>
      <c r="TQV17" s="4"/>
      <c r="TQW17" s="4"/>
      <c r="TQX17" s="4"/>
      <c r="TQY17" s="4"/>
      <c r="TQZ17" s="4"/>
      <c r="TRA17" s="4"/>
      <c r="TRB17" s="4"/>
      <c r="TRC17" s="4"/>
      <c r="TRD17" s="4"/>
      <c r="TRE17" s="4"/>
      <c r="TRF17" s="4"/>
      <c r="TRG17" s="4"/>
      <c r="TRH17" s="4"/>
      <c r="TRI17" s="4"/>
      <c r="TRJ17" s="4"/>
      <c r="TRK17" s="4"/>
      <c r="TRL17" s="4"/>
      <c r="TRM17" s="4"/>
      <c r="TRN17" s="4"/>
      <c r="TRO17" s="4"/>
      <c r="TRP17" s="4"/>
      <c r="TRQ17" s="4"/>
      <c r="TRR17" s="4"/>
      <c r="TRS17" s="4"/>
      <c r="TRT17" s="4"/>
      <c r="TRU17" s="4"/>
      <c r="TRV17" s="4"/>
      <c r="TRW17" s="4"/>
      <c r="TRX17" s="4"/>
      <c r="TRY17" s="4"/>
      <c r="TRZ17" s="4"/>
      <c r="TSA17" s="4"/>
      <c r="TSB17" s="4"/>
      <c r="TSC17" s="4"/>
      <c r="TSD17" s="4"/>
      <c r="TSE17" s="4"/>
      <c r="TSF17" s="4"/>
      <c r="TSG17" s="4"/>
      <c r="TSH17" s="4"/>
      <c r="TSI17" s="4"/>
      <c r="TSJ17" s="4"/>
      <c r="TSK17" s="4"/>
      <c r="TSL17" s="4"/>
      <c r="TSM17" s="4"/>
      <c r="TSN17" s="4"/>
      <c r="TSO17" s="4"/>
      <c r="TSP17" s="4"/>
      <c r="TSQ17" s="4"/>
      <c r="TSR17" s="4"/>
      <c r="TSS17" s="4"/>
      <c r="TST17" s="4"/>
      <c r="TSU17" s="4"/>
      <c r="TSV17" s="4"/>
      <c r="TSW17" s="4"/>
      <c r="TSX17" s="4"/>
      <c r="TSY17" s="4"/>
      <c r="TSZ17" s="4"/>
      <c r="TTA17" s="4"/>
      <c r="TTB17" s="4"/>
      <c r="TTC17" s="4"/>
      <c r="TTD17" s="4"/>
      <c r="TTE17" s="4"/>
      <c r="TTF17" s="4"/>
      <c r="TTG17" s="4"/>
      <c r="TTH17" s="4"/>
      <c r="TTI17" s="4"/>
      <c r="TTJ17" s="4"/>
      <c r="TTK17" s="4"/>
      <c r="TTL17" s="4"/>
      <c r="TTM17" s="4"/>
      <c r="TTN17" s="4"/>
      <c r="TTO17" s="4"/>
      <c r="TTP17" s="4"/>
      <c r="TTQ17" s="4"/>
      <c r="TTR17" s="4"/>
      <c r="TTS17" s="4"/>
      <c r="TTT17" s="4"/>
      <c r="TTU17" s="4"/>
      <c r="TTV17" s="4"/>
      <c r="TTW17" s="4"/>
      <c r="TTX17" s="4"/>
      <c r="TTY17" s="4"/>
      <c r="TTZ17" s="4"/>
      <c r="TUA17" s="4"/>
      <c r="TUB17" s="4"/>
      <c r="TUC17" s="4"/>
      <c r="TUD17" s="4"/>
      <c r="TUE17" s="4"/>
      <c r="TUF17" s="4"/>
      <c r="TUG17" s="4"/>
      <c r="TUH17" s="4"/>
      <c r="TUI17" s="4"/>
      <c r="TUJ17" s="4"/>
      <c r="TUK17" s="4"/>
      <c r="TUL17" s="4"/>
      <c r="TUM17" s="4"/>
      <c r="TUN17" s="4"/>
      <c r="TUO17" s="4"/>
      <c r="TUP17" s="4"/>
      <c r="TUQ17" s="4"/>
      <c r="TUR17" s="4"/>
      <c r="TUS17" s="4"/>
      <c r="TUT17" s="4"/>
      <c r="TUU17" s="4"/>
      <c r="TUV17" s="4"/>
      <c r="TUW17" s="4"/>
      <c r="TUX17" s="4"/>
      <c r="TUY17" s="4"/>
      <c r="TUZ17" s="4"/>
      <c r="TVA17" s="4"/>
      <c r="TVB17" s="4"/>
      <c r="TVC17" s="4"/>
      <c r="TVD17" s="4"/>
      <c r="TVE17" s="4"/>
      <c r="TVF17" s="4"/>
      <c r="TVG17" s="4"/>
      <c r="TVH17" s="4"/>
      <c r="TVI17" s="4"/>
      <c r="TVJ17" s="4"/>
      <c r="TVK17" s="4"/>
      <c r="TVL17" s="4"/>
      <c r="TVM17" s="4"/>
      <c r="TVN17" s="4"/>
      <c r="TVO17" s="4"/>
      <c r="TVP17" s="4"/>
      <c r="TVQ17" s="4"/>
      <c r="TVR17" s="4"/>
      <c r="TVS17" s="4"/>
      <c r="TVT17" s="4"/>
      <c r="TVU17" s="4"/>
      <c r="TVV17" s="4"/>
      <c r="TVW17" s="4"/>
      <c r="TVX17" s="4"/>
      <c r="TVY17" s="4"/>
      <c r="TVZ17" s="4"/>
      <c r="TWA17" s="4"/>
      <c r="TWB17" s="4"/>
      <c r="TWC17" s="4"/>
      <c r="TWD17" s="4"/>
      <c r="TWE17" s="4"/>
      <c r="TWF17" s="4"/>
      <c r="TWG17" s="4"/>
      <c r="TWH17" s="4"/>
      <c r="TWI17" s="4"/>
      <c r="TWJ17" s="4"/>
      <c r="TWK17" s="4"/>
      <c r="TWL17" s="4"/>
      <c r="TWM17" s="4"/>
      <c r="TWN17" s="4"/>
      <c r="TWO17" s="4"/>
      <c r="TWP17" s="4"/>
      <c r="TWQ17" s="4"/>
      <c r="TWR17" s="4"/>
      <c r="TWS17" s="4"/>
      <c r="TWT17" s="4"/>
      <c r="TWU17" s="4"/>
      <c r="TWV17" s="4"/>
      <c r="TWW17" s="4"/>
      <c r="TWX17" s="4"/>
      <c r="TWY17" s="4"/>
      <c r="TWZ17" s="4"/>
      <c r="TXA17" s="4"/>
      <c r="TXB17" s="4"/>
      <c r="TXC17" s="4"/>
      <c r="TXD17" s="4"/>
      <c r="TXE17" s="4"/>
      <c r="TXF17" s="4"/>
      <c r="TXG17" s="4"/>
      <c r="TXH17" s="4"/>
      <c r="TXI17" s="4"/>
      <c r="TXJ17" s="4"/>
      <c r="TXK17" s="4"/>
      <c r="TXL17" s="4"/>
      <c r="TXM17" s="4"/>
      <c r="TXN17" s="4"/>
      <c r="TXO17" s="4"/>
      <c r="TXP17" s="4"/>
      <c r="TXQ17" s="4"/>
      <c r="TXR17" s="4"/>
      <c r="TXS17" s="4"/>
      <c r="TXT17" s="4"/>
      <c r="TXU17" s="4"/>
      <c r="TXV17" s="4"/>
      <c r="TXW17" s="4"/>
      <c r="TXX17" s="4"/>
      <c r="TXY17" s="4"/>
      <c r="TXZ17" s="4"/>
      <c r="TYA17" s="4"/>
      <c r="TYB17" s="4"/>
      <c r="TYC17" s="4"/>
      <c r="TYD17" s="4"/>
      <c r="TYE17" s="4"/>
      <c r="TYF17" s="4"/>
      <c r="TYG17" s="4"/>
      <c r="TYH17" s="4"/>
      <c r="TYI17" s="4"/>
      <c r="TYJ17" s="4"/>
      <c r="TYK17" s="4"/>
      <c r="TYL17" s="4"/>
      <c r="TYM17" s="4"/>
      <c r="TYN17" s="4"/>
      <c r="TYO17" s="4"/>
      <c r="TYP17" s="4"/>
      <c r="TYQ17" s="4"/>
      <c r="TYR17" s="4"/>
      <c r="TYS17" s="4"/>
      <c r="TYT17" s="4"/>
      <c r="TYU17" s="4"/>
      <c r="TYV17" s="4"/>
      <c r="TYW17" s="4"/>
      <c r="TYX17" s="4"/>
      <c r="TYY17" s="4"/>
      <c r="TYZ17" s="4"/>
      <c r="TZA17" s="4"/>
      <c r="TZB17" s="4"/>
      <c r="TZC17" s="4"/>
      <c r="TZD17" s="4"/>
      <c r="TZE17" s="4"/>
      <c r="TZF17" s="4"/>
      <c r="TZG17" s="4"/>
      <c r="TZH17" s="4"/>
      <c r="TZI17" s="4"/>
      <c r="TZJ17" s="4"/>
      <c r="TZK17" s="4"/>
      <c r="TZL17" s="4"/>
      <c r="TZM17" s="4"/>
      <c r="TZN17" s="4"/>
      <c r="TZO17" s="4"/>
      <c r="TZP17" s="4"/>
      <c r="TZQ17" s="4"/>
      <c r="TZR17" s="4"/>
      <c r="TZS17" s="4"/>
      <c r="TZT17" s="4"/>
      <c r="TZU17" s="4"/>
      <c r="TZV17" s="4"/>
      <c r="TZW17" s="4"/>
      <c r="TZX17" s="4"/>
      <c r="TZY17" s="4"/>
      <c r="TZZ17" s="4"/>
      <c r="UAA17" s="4"/>
      <c r="UAB17" s="4"/>
      <c r="UAC17" s="4"/>
      <c r="UAD17" s="4"/>
      <c r="UAE17" s="4"/>
      <c r="UAF17" s="4"/>
      <c r="UAG17" s="4"/>
      <c r="UAH17" s="4"/>
      <c r="UAI17" s="4"/>
      <c r="UAJ17" s="4"/>
      <c r="UAK17" s="4"/>
      <c r="UAL17" s="4"/>
      <c r="UAM17" s="4"/>
      <c r="UAN17" s="4"/>
      <c r="UAO17" s="4"/>
      <c r="UAP17" s="4"/>
      <c r="UAQ17" s="4"/>
      <c r="UAR17" s="4"/>
      <c r="UAS17" s="4"/>
      <c r="UAT17" s="4"/>
      <c r="UAU17" s="4"/>
      <c r="UAV17" s="4"/>
      <c r="UAW17" s="4"/>
      <c r="UAX17" s="4"/>
      <c r="UAY17" s="4"/>
      <c r="UAZ17" s="4"/>
      <c r="UBA17" s="4"/>
      <c r="UBB17" s="4"/>
      <c r="UBC17" s="4"/>
      <c r="UBD17" s="4"/>
      <c r="UBE17" s="4"/>
      <c r="UBF17" s="4"/>
      <c r="UBG17" s="4"/>
      <c r="UBH17" s="4"/>
      <c r="UBI17" s="4"/>
      <c r="UBJ17" s="4"/>
      <c r="UBK17" s="4"/>
      <c r="UBL17" s="4"/>
      <c r="UBM17" s="4"/>
      <c r="UBN17" s="4"/>
      <c r="UBO17" s="4"/>
      <c r="UBP17" s="4"/>
      <c r="UBQ17" s="4"/>
      <c r="UBR17" s="4"/>
      <c r="UBS17" s="4"/>
      <c r="UBT17" s="4"/>
      <c r="UBU17" s="4"/>
      <c r="UBV17" s="4"/>
      <c r="UBW17" s="4"/>
      <c r="UBX17" s="4"/>
      <c r="UBY17" s="4"/>
      <c r="UBZ17" s="4"/>
      <c r="UCA17" s="4"/>
      <c r="UCB17" s="4"/>
      <c r="UCC17" s="4"/>
      <c r="UCD17" s="4"/>
      <c r="UCE17" s="4"/>
      <c r="UCF17" s="4"/>
      <c r="UCG17" s="4"/>
      <c r="UCH17" s="4"/>
      <c r="UCI17" s="4"/>
      <c r="UCJ17" s="4"/>
      <c r="UCK17" s="4"/>
      <c r="UCL17" s="4"/>
      <c r="UCM17" s="4"/>
      <c r="UCN17" s="4"/>
      <c r="UCO17" s="4"/>
      <c r="UCP17" s="4"/>
      <c r="UCQ17" s="4"/>
      <c r="UCR17" s="4"/>
      <c r="UCS17" s="4"/>
      <c r="UCT17" s="4"/>
      <c r="UCU17" s="4"/>
      <c r="UCV17" s="4"/>
      <c r="UCW17" s="4"/>
      <c r="UCX17" s="4"/>
      <c r="UCY17" s="4"/>
      <c r="UCZ17" s="4"/>
      <c r="UDA17" s="4"/>
      <c r="UDB17" s="4"/>
      <c r="UDC17" s="4"/>
      <c r="UDD17" s="4"/>
      <c r="UDE17" s="4"/>
      <c r="UDF17" s="4"/>
      <c r="UDG17" s="4"/>
      <c r="UDH17" s="4"/>
      <c r="UDI17" s="4"/>
      <c r="UDJ17" s="4"/>
      <c r="UDK17" s="4"/>
      <c r="UDL17" s="4"/>
      <c r="UDM17" s="4"/>
      <c r="UDN17" s="4"/>
      <c r="UDO17" s="4"/>
      <c r="UDP17" s="4"/>
      <c r="UDQ17" s="4"/>
      <c r="UDR17" s="4"/>
      <c r="UDS17" s="4"/>
      <c r="UDT17" s="4"/>
      <c r="UDU17" s="4"/>
      <c r="UDV17" s="4"/>
      <c r="UDW17" s="4"/>
      <c r="UDX17" s="4"/>
      <c r="UDY17" s="4"/>
      <c r="UDZ17" s="4"/>
      <c r="UEA17" s="4"/>
      <c r="UEB17" s="4"/>
      <c r="UEC17" s="4"/>
      <c r="UED17" s="4"/>
      <c r="UEE17" s="4"/>
      <c r="UEF17" s="4"/>
      <c r="UEG17" s="4"/>
      <c r="UEH17" s="4"/>
      <c r="UEI17" s="4"/>
      <c r="UEJ17" s="4"/>
      <c r="UEK17" s="4"/>
      <c r="UEL17" s="4"/>
      <c r="UEM17" s="4"/>
      <c r="UEN17" s="4"/>
      <c r="UEO17" s="4"/>
      <c r="UEP17" s="4"/>
      <c r="UEQ17" s="4"/>
      <c r="UER17" s="4"/>
      <c r="UES17" s="4"/>
      <c r="UET17" s="4"/>
      <c r="UEU17" s="4"/>
      <c r="UEV17" s="4"/>
      <c r="UEW17" s="4"/>
      <c r="UEX17" s="4"/>
      <c r="UEY17" s="4"/>
      <c r="UEZ17" s="4"/>
      <c r="UFA17" s="4"/>
      <c r="UFB17" s="4"/>
      <c r="UFC17" s="4"/>
      <c r="UFD17" s="4"/>
      <c r="UFE17" s="4"/>
      <c r="UFF17" s="4"/>
      <c r="UFG17" s="4"/>
      <c r="UFH17" s="4"/>
      <c r="UFI17" s="4"/>
      <c r="UFJ17" s="4"/>
      <c r="UFK17" s="4"/>
      <c r="UFL17" s="4"/>
      <c r="UFM17" s="4"/>
      <c r="UFN17" s="4"/>
      <c r="UFO17" s="4"/>
      <c r="UFP17" s="4"/>
      <c r="UFQ17" s="4"/>
      <c r="UFR17" s="4"/>
      <c r="UFS17" s="4"/>
      <c r="UFT17" s="4"/>
      <c r="UFU17" s="4"/>
      <c r="UFV17" s="4"/>
      <c r="UFW17" s="4"/>
      <c r="UFX17" s="4"/>
      <c r="UFY17" s="4"/>
      <c r="UFZ17" s="4"/>
      <c r="UGA17" s="4"/>
      <c r="UGB17" s="4"/>
      <c r="UGC17" s="4"/>
      <c r="UGD17" s="4"/>
      <c r="UGE17" s="4"/>
      <c r="UGF17" s="4"/>
      <c r="UGG17" s="4"/>
      <c r="UGH17" s="4"/>
      <c r="UGI17" s="4"/>
      <c r="UGJ17" s="4"/>
      <c r="UGK17" s="4"/>
      <c r="UGL17" s="4"/>
      <c r="UGM17" s="4"/>
      <c r="UGN17" s="4"/>
      <c r="UGO17" s="4"/>
      <c r="UGP17" s="4"/>
      <c r="UGQ17" s="4"/>
      <c r="UGR17" s="4"/>
      <c r="UGS17" s="4"/>
      <c r="UGT17" s="4"/>
      <c r="UGU17" s="4"/>
      <c r="UGV17" s="4"/>
      <c r="UGW17" s="4"/>
      <c r="UGX17" s="4"/>
      <c r="UGY17" s="4"/>
      <c r="UGZ17" s="4"/>
      <c r="UHA17" s="4"/>
      <c r="UHB17" s="4"/>
      <c r="UHC17" s="4"/>
      <c r="UHD17" s="4"/>
      <c r="UHE17" s="4"/>
      <c r="UHF17" s="4"/>
      <c r="UHG17" s="4"/>
      <c r="UHH17" s="4"/>
      <c r="UHI17" s="4"/>
      <c r="UHJ17" s="4"/>
      <c r="UHK17" s="4"/>
      <c r="UHL17" s="4"/>
      <c r="UHM17" s="4"/>
      <c r="UHN17" s="4"/>
      <c r="UHO17" s="4"/>
      <c r="UHP17" s="4"/>
      <c r="UHQ17" s="4"/>
      <c r="UHR17" s="4"/>
      <c r="UHS17" s="4"/>
      <c r="UHT17" s="4"/>
      <c r="UHU17" s="4"/>
      <c r="UHV17" s="4"/>
      <c r="UHW17" s="4"/>
      <c r="UHX17" s="4"/>
      <c r="UHY17" s="4"/>
      <c r="UHZ17" s="4"/>
      <c r="UIA17" s="4"/>
      <c r="UIB17" s="4"/>
      <c r="UIC17" s="4"/>
      <c r="UID17" s="4"/>
      <c r="UIE17" s="4"/>
      <c r="UIF17" s="4"/>
      <c r="UIG17" s="4"/>
      <c r="UIH17" s="4"/>
      <c r="UII17" s="4"/>
      <c r="UIJ17" s="4"/>
      <c r="UIK17" s="4"/>
      <c r="UIL17" s="4"/>
      <c r="UIM17" s="4"/>
      <c r="UIN17" s="4"/>
      <c r="UIO17" s="4"/>
      <c r="UIP17" s="4"/>
      <c r="UIQ17" s="4"/>
      <c r="UIR17" s="4"/>
      <c r="UIS17" s="4"/>
      <c r="UIT17" s="4"/>
      <c r="UIU17" s="4"/>
      <c r="UIV17" s="4"/>
      <c r="UIW17" s="4"/>
      <c r="UIX17" s="4"/>
      <c r="UIY17" s="4"/>
      <c r="UIZ17" s="4"/>
      <c r="UJA17" s="4"/>
      <c r="UJB17" s="4"/>
      <c r="UJC17" s="4"/>
      <c r="UJD17" s="4"/>
      <c r="UJE17" s="4"/>
      <c r="UJF17" s="4"/>
      <c r="UJG17" s="4"/>
      <c r="UJH17" s="4"/>
      <c r="UJI17" s="4"/>
      <c r="UJJ17" s="4"/>
      <c r="UJK17" s="4"/>
      <c r="UJL17" s="4"/>
      <c r="UJM17" s="4"/>
      <c r="UJN17" s="4"/>
      <c r="UJO17" s="4"/>
      <c r="UJP17" s="4"/>
      <c r="UJQ17" s="4"/>
      <c r="UJR17" s="4"/>
      <c r="UJS17" s="4"/>
      <c r="UJT17" s="4"/>
      <c r="UJU17" s="4"/>
      <c r="UJV17" s="4"/>
      <c r="UJW17" s="4"/>
      <c r="UJX17" s="4"/>
      <c r="UJY17" s="4"/>
      <c r="UJZ17" s="4"/>
      <c r="UKA17" s="4"/>
      <c r="UKB17" s="4"/>
      <c r="UKC17" s="4"/>
      <c r="UKD17" s="4"/>
      <c r="UKE17" s="4"/>
      <c r="UKF17" s="4"/>
      <c r="UKG17" s="4"/>
      <c r="UKH17" s="4"/>
      <c r="UKI17" s="4"/>
      <c r="UKJ17" s="4"/>
      <c r="UKK17" s="4"/>
      <c r="UKL17" s="4"/>
      <c r="UKM17" s="4"/>
      <c r="UKN17" s="4"/>
      <c r="UKO17" s="4"/>
      <c r="UKP17" s="4"/>
      <c r="UKQ17" s="4"/>
      <c r="UKR17" s="4"/>
      <c r="UKS17" s="4"/>
      <c r="UKT17" s="4"/>
      <c r="UKU17" s="4"/>
      <c r="UKV17" s="4"/>
      <c r="UKW17" s="4"/>
      <c r="UKX17" s="4"/>
      <c r="UKY17" s="4"/>
      <c r="UKZ17" s="4"/>
      <c r="ULA17" s="4"/>
      <c r="ULB17" s="4"/>
      <c r="ULC17" s="4"/>
      <c r="ULD17" s="4"/>
      <c r="ULE17" s="4"/>
      <c r="ULF17" s="4"/>
      <c r="ULG17" s="4"/>
      <c r="ULH17" s="4"/>
      <c r="ULI17" s="4"/>
      <c r="ULJ17" s="4"/>
      <c r="ULK17" s="4"/>
      <c r="ULL17" s="4"/>
      <c r="ULM17" s="4"/>
      <c r="ULN17" s="4"/>
      <c r="ULO17" s="4"/>
      <c r="ULP17" s="4"/>
      <c r="ULQ17" s="4"/>
      <c r="ULR17" s="4"/>
      <c r="ULS17" s="4"/>
      <c r="ULT17" s="4"/>
      <c r="ULU17" s="4"/>
      <c r="ULV17" s="4"/>
      <c r="ULW17" s="4"/>
      <c r="ULX17" s="4"/>
      <c r="ULY17" s="4"/>
      <c r="ULZ17" s="4"/>
      <c r="UMA17" s="4"/>
      <c r="UMB17" s="4"/>
      <c r="UMC17" s="4"/>
      <c r="UMD17" s="4"/>
      <c r="UME17" s="4"/>
      <c r="UMF17" s="4"/>
      <c r="UMG17" s="4"/>
      <c r="UMH17" s="4"/>
      <c r="UMI17" s="4"/>
      <c r="UMJ17" s="4"/>
      <c r="UMK17" s="4"/>
      <c r="UML17" s="4"/>
      <c r="UMM17" s="4"/>
      <c r="UMN17" s="4"/>
      <c r="UMO17" s="4"/>
      <c r="UMP17" s="4"/>
      <c r="UMQ17" s="4"/>
      <c r="UMR17" s="4"/>
      <c r="UMS17" s="4"/>
      <c r="UMT17" s="4"/>
      <c r="UMU17" s="4"/>
      <c r="UMV17" s="4"/>
      <c r="UMW17" s="4"/>
      <c r="UMX17" s="4"/>
      <c r="UMY17" s="4"/>
      <c r="UMZ17" s="4"/>
      <c r="UNA17" s="4"/>
      <c r="UNB17" s="4"/>
      <c r="UNC17" s="4"/>
      <c r="UND17" s="4"/>
      <c r="UNE17" s="4"/>
      <c r="UNF17" s="4"/>
      <c r="UNG17" s="4"/>
      <c r="UNH17" s="4"/>
      <c r="UNI17" s="4"/>
      <c r="UNJ17" s="4"/>
      <c r="UNK17" s="4"/>
      <c r="UNL17" s="4"/>
      <c r="UNM17" s="4"/>
      <c r="UNN17" s="4"/>
      <c r="UNO17" s="4"/>
      <c r="UNP17" s="4"/>
      <c r="UNQ17" s="4"/>
      <c r="UNR17" s="4"/>
      <c r="UNS17" s="4"/>
      <c r="UNT17" s="4"/>
      <c r="UNU17" s="4"/>
      <c r="UNV17" s="4"/>
      <c r="UNW17" s="4"/>
      <c r="UNX17" s="4"/>
      <c r="UNY17" s="4"/>
      <c r="UNZ17" s="4"/>
      <c r="UOA17" s="4"/>
      <c r="UOB17" s="4"/>
      <c r="UOC17" s="4"/>
      <c r="UOD17" s="4"/>
      <c r="UOE17" s="4"/>
      <c r="UOF17" s="4"/>
      <c r="UOG17" s="4"/>
      <c r="UOH17" s="4"/>
      <c r="UOI17" s="4"/>
      <c r="UOJ17" s="4"/>
      <c r="UOK17" s="4"/>
      <c r="UOL17" s="4"/>
      <c r="UOM17" s="4"/>
      <c r="UON17" s="4"/>
      <c r="UOO17" s="4"/>
      <c r="UOP17" s="4"/>
      <c r="UOQ17" s="4"/>
      <c r="UOR17" s="4"/>
      <c r="UOS17" s="4"/>
      <c r="UOT17" s="4"/>
      <c r="UOU17" s="4"/>
      <c r="UOV17" s="4"/>
      <c r="UOW17" s="4"/>
      <c r="UOX17" s="4"/>
      <c r="UOY17" s="4"/>
      <c r="UOZ17" s="4"/>
      <c r="UPA17" s="4"/>
      <c r="UPB17" s="4"/>
      <c r="UPC17" s="4"/>
      <c r="UPD17" s="4"/>
      <c r="UPE17" s="4"/>
      <c r="UPF17" s="4"/>
      <c r="UPG17" s="4"/>
      <c r="UPH17" s="4"/>
      <c r="UPI17" s="4"/>
      <c r="UPJ17" s="4"/>
      <c r="UPK17" s="4"/>
      <c r="UPL17" s="4"/>
      <c r="UPM17" s="4"/>
      <c r="UPN17" s="4"/>
      <c r="UPO17" s="4"/>
      <c r="UPP17" s="4"/>
      <c r="UPQ17" s="4"/>
      <c r="UPR17" s="4"/>
      <c r="UPS17" s="4"/>
      <c r="UPT17" s="4"/>
      <c r="UPU17" s="4"/>
      <c r="UPV17" s="4"/>
      <c r="UPW17" s="4"/>
      <c r="UPX17" s="4"/>
      <c r="UPY17" s="4"/>
      <c r="UPZ17" s="4"/>
      <c r="UQA17" s="4"/>
      <c r="UQB17" s="4"/>
      <c r="UQC17" s="4"/>
      <c r="UQD17" s="4"/>
      <c r="UQE17" s="4"/>
      <c r="UQF17" s="4"/>
      <c r="UQG17" s="4"/>
      <c r="UQH17" s="4"/>
      <c r="UQI17" s="4"/>
      <c r="UQJ17" s="4"/>
      <c r="UQK17" s="4"/>
      <c r="UQL17" s="4"/>
      <c r="UQM17" s="4"/>
      <c r="UQN17" s="4"/>
      <c r="UQO17" s="4"/>
      <c r="UQP17" s="4"/>
      <c r="UQQ17" s="4"/>
      <c r="UQR17" s="4"/>
      <c r="UQS17" s="4"/>
      <c r="UQT17" s="4"/>
      <c r="UQU17" s="4"/>
      <c r="UQV17" s="4"/>
      <c r="UQW17" s="4"/>
      <c r="UQX17" s="4"/>
      <c r="UQY17" s="4"/>
      <c r="UQZ17" s="4"/>
      <c r="URA17" s="4"/>
      <c r="URB17" s="4"/>
      <c r="URC17" s="4"/>
      <c r="URD17" s="4"/>
      <c r="URE17" s="4"/>
      <c r="URF17" s="4"/>
      <c r="URG17" s="4"/>
      <c r="URH17" s="4"/>
      <c r="URI17" s="4"/>
      <c r="URJ17" s="4"/>
      <c r="URK17" s="4"/>
      <c r="URL17" s="4"/>
      <c r="URM17" s="4"/>
      <c r="URN17" s="4"/>
      <c r="URO17" s="4"/>
      <c r="URP17" s="4"/>
      <c r="URQ17" s="4"/>
      <c r="URR17" s="4"/>
      <c r="URS17" s="4"/>
      <c r="URT17" s="4"/>
      <c r="URU17" s="4"/>
      <c r="URV17" s="4"/>
      <c r="URW17" s="4"/>
      <c r="URX17" s="4"/>
      <c r="URY17" s="4"/>
      <c r="URZ17" s="4"/>
      <c r="USA17" s="4"/>
      <c r="USB17" s="4"/>
      <c r="USC17" s="4"/>
      <c r="USD17" s="4"/>
      <c r="USE17" s="4"/>
      <c r="USF17" s="4"/>
      <c r="USG17" s="4"/>
      <c r="USH17" s="4"/>
      <c r="USI17" s="4"/>
      <c r="USJ17" s="4"/>
      <c r="USK17" s="4"/>
      <c r="USL17" s="4"/>
      <c r="USM17" s="4"/>
      <c r="USN17" s="4"/>
      <c r="USO17" s="4"/>
      <c r="USP17" s="4"/>
      <c r="USQ17" s="4"/>
      <c r="USR17" s="4"/>
      <c r="USS17" s="4"/>
      <c r="UST17" s="4"/>
      <c r="USU17" s="4"/>
      <c r="USV17" s="4"/>
      <c r="USW17" s="4"/>
      <c r="USX17" s="4"/>
      <c r="USY17" s="4"/>
      <c r="USZ17" s="4"/>
      <c r="UTA17" s="4"/>
      <c r="UTB17" s="4"/>
      <c r="UTC17" s="4"/>
      <c r="UTD17" s="4"/>
      <c r="UTE17" s="4"/>
      <c r="UTF17" s="4"/>
      <c r="UTG17" s="4"/>
      <c r="UTH17" s="4"/>
      <c r="UTI17" s="4"/>
      <c r="UTJ17" s="4"/>
      <c r="UTK17" s="4"/>
      <c r="UTL17" s="4"/>
      <c r="UTM17" s="4"/>
      <c r="UTN17" s="4"/>
      <c r="UTO17" s="4"/>
      <c r="UTP17" s="4"/>
      <c r="UTQ17" s="4"/>
      <c r="UTR17" s="4"/>
      <c r="UTS17" s="4"/>
      <c r="UTT17" s="4"/>
      <c r="UTU17" s="4"/>
      <c r="UTV17" s="4"/>
      <c r="UTW17" s="4"/>
      <c r="UTX17" s="4"/>
      <c r="UTY17" s="4"/>
      <c r="UTZ17" s="4"/>
      <c r="UUA17" s="4"/>
      <c r="UUB17" s="4"/>
      <c r="UUC17" s="4"/>
      <c r="UUD17" s="4"/>
      <c r="UUE17" s="4"/>
      <c r="UUF17" s="4"/>
      <c r="UUG17" s="4"/>
      <c r="UUH17" s="4"/>
      <c r="UUI17" s="4"/>
      <c r="UUJ17" s="4"/>
      <c r="UUK17" s="4"/>
      <c r="UUL17" s="4"/>
      <c r="UUM17" s="4"/>
      <c r="UUN17" s="4"/>
      <c r="UUO17" s="4"/>
      <c r="UUP17" s="4"/>
      <c r="UUQ17" s="4"/>
      <c r="UUR17" s="4"/>
      <c r="UUS17" s="4"/>
      <c r="UUT17" s="4"/>
      <c r="UUU17" s="4"/>
      <c r="UUV17" s="4"/>
      <c r="UUW17" s="4"/>
      <c r="UUX17" s="4"/>
      <c r="UUY17" s="4"/>
      <c r="UUZ17" s="4"/>
      <c r="UVA17" s="4"/>
      <c r="UVB17" s="4"/>
      <c r="UVC17" s="4"/>
      <c r="UVD17" s="4"/>
      <c r="UVE17" s="4"/>
      <c r="UVF17" s="4"/>
      <c r="UVG17" s="4"/>
      <c r="UVH17" s="4"/>
      <c r="UVI17" s="4"/>
      <c r="UVJ17" s="4"/>
      <c r="UVK17" s="4"/>
      <c r="UVL17" s="4"/>
      <c r="UVM17" s="4"/>
      <c r="UVN17" s="4"/>
      <c r="UVO17" s="4"/>
      <c r="UVP17" s="4"/>
      <c r="UVQ17" s="4"/>
      <c r="UVR17" s="4"/>
      <c r="UVS17" s="4"/>
      <c r="UVT17" s="4"/>
      <c r="UVU17" s="4"/>
      <c r="UVV17" s="4"/>
      <c r="UVW17" s="4"/>
      <c r="UVX17" s="4"/>
      <c r="UVY17" s="4"/>
      <c r="UVZ17" s="4"/>
      <c r="UWA17" s="4"/>
      <c r="UWB17" s="4"/>
      <c r="UWC17" s="4"/>
      <c r="UWD17" s="4"/>
      <c r="UWE17" s="4"/>
      <c r="UWF17" s="4"/>
      <c r="UWG17" s="4"/>
      <c r="UWH17" s="4"/>
      <c r="UWI17" s="4"/>
      <c r="UWJ17" s="4"/>
      <c r="UWK17" s="4"/>
      <c r="UWL17" s="4"/>
      <c r="UWM17" s="4"/>
      <c r="UWN17" s="4"/>
      <c r="UWO17" s="4"/>
      <c r="UWP17" s="4"/>
      <c r="UWQ17" s="4"/>
      <c r="UWR17" s="4"/>
      <c r="UWS17" s="4"/>
      <c r="UWT17" s="4"/>
      <c r="UWU17" s="4"/>
      <c r="UWV17" s="4"/>
      <c r="UWW17" s="4"/>
      <c r="UWX17" s="4"/>
      <c r="UWY17" s="4"/>
      <c r="UWZ17" s="4"/>
      <c r="UXA17" s="4"/>
      <c r="UXB17" s="4"/>
      <c r="UXC17" s="4"/>
      <c r="UXD17" s="4"/>
      <c r="UXE17" s="4"/>
      <c r="UXF17" s="4"/>
      <c r="UXG17" s="4"/>
      <c r="UXH17" s="4"/>
      <c r="UXI17" s="4"/>
      <c r="UXJ17" s="4"/>
      <c r="UXK17" s="4"/>
      <c r="UXL17" s="4"/>
      <c r="UXM17" s="4"/>
      <c r="UXN17" s="4"/>
      <c r="UXO17" s="4"/>
      <c r="UXP17" s="4"/>
      <c r="UXQ17" s="4"/>
      <c r="UXR17" s="4"/>
      <c r="UXS17" s="4"/>
      <c r="UXT17" s="4"/>
      <c r="UXU17" s="4"/>
      <c r="UXV17" s="4"/>
      <c r="UXW17" s="4"/>
      <c r="UXX17" s="4"/>
      <c r="UXY17" s="4"/>
      <c r="UXZ17" s="4"/>
      <c r="UYA17" s="4"/>
      <c r="UYB17" s="4"/>
      <c r="UYC17" s="4"/>
      <c r="UYD17" s="4"/>
      <c r="UYE17" s="4"/>
      <c r="UYF17" s="4"/>
      <c r="UYG17" s="4"/>
      <c r="UYH17" s="4"/>
      <c r="UYI17" s="4"/>
      <c r="UYJ17" s="4"/>
      <c r="UYK17" s="4"/>
      <c r="UYL17" s="4"/>
      <c r="UYM17" s="4"/>
      <c r="UYN17" s="4"/>
      <c r="UYO17" s="4"/>
      <c r="UYP17" s="4"/>
      <c r="UYQ17" s="4"/>
      <c r="UYR17" s="4"/>
      <c r="UYS17" s="4"/>
      <c r="UYT17" s="4"/>
      <c r="UYU17" s="4"/>
      <c r="UYV17" s="4"/>
      <c r="UYW17" s="4"/>
      <c r="UYX17" s="4"/>
      <c r="UYY17" s="4"/>
      <c r="UYZ17" s="4"/>
      <c r="UZA17" s="4"/>
      <c r="UZB17" s="4"/>
      <c r="UZC17" s="4"/>
      <c r="UZD17" s="4"/>
      <c r="UZE17" s="4"/>
      <c r="UZF17" s="4"/>
      <c r="UZG17" s="4"/>
      <c r="UZH17" s="4"/>
      <c r="UZI17" s="4"/>
      <c r="UZJ17" s="4"/>
      <c r="UZK17" s="4"/>
      <c r="UZL17" s="4"/>
      <c r="UZM17" s="4"/>
      <c r="UZN17" s="4"/>
      <c r="UZO17" s="4"/>
      <c r="UZP17" s="4"/>
      <c r="UZQ17" s="4"/>
      <c r="UZR17" s="4"/>
      <c r="UZS17" s="4"/>
      <c r="UZT17" s="4"/>
      <c r="UZU17" s="4"/>
      <c r="UZV17" s="4"/>
      <c r="UZW17" s="4"/>
      <c r="UZX17" s="4"/>
      <c r="UZY17" s="4"/>
      <c r="UZZ17" s="4"/>
      <c r="VAA17" s="4"/>
      <c r="VAB17" s="4"/>
      <c r="VAC17" s="4"/>
      <c r="VAD17" s="4"/>
      <c r="VAE17" s="4"/>
      <c r="VAF17" s="4"/>
      <c r="VAG17" s="4"/>
      <c r="VAH17" s="4"/>
      <c r="VAI17" s="4"/>
      <c r="VAJ17" s="4"/>
      <c r="VAK17" s="4"/>
      <c r="VAL17" s="4"/>
      <c r="VAM17" s="4"/>
      <c r="VAN17" s="4"/>
      <c r="VAO17" s="4"/>
      <c r="VAP17" s="4"/>
      <c r="VAQ17" s="4"/>
      <c r="VAR17" s="4"/>
      <c r="VAS17" s="4"/>
      <c r="VAT17" s="4"/>
      <c r="VAU17" s="4"/>
      <c r="VAV17" s="4"/>
      <c r="VAW17" s="4"/>
      <c r="VAX17" s="4"/>
      <c r="VAY17" s="4"/>
      <c r="VAZ17" s="4"/>
      <c r="VBA17" s="4"/>
      <c r="VBB17" s="4"/>
      <c r="VBC17" s="4"/>
      <c r="VBD17" s="4"/>
      <c r="VBE17" s="4"/>
      <c r="VBF17" s="4"/>
      <c r="VBG17" s="4"/>
      <c r="VBH17" s="4"/>
      <c r="VBI17" s="4"/>
      <c r="VBJ17" s="4"/>
      <c r="VBK17" s="4"/>
      <c r="VBL17" s="4"/>
      <c r="VBM17" s="4"/>
      <c r="VBN17" s="4"/>
      <c r="VBO17" s="4"/>
      <c r="VBP17" s="4"/>
      <c r="VBQ17" s="4"/>
      <c r="VBR17" s="4"/>
      <c r="VBS17" s="4"/>
      <c r="VBT17" s="4"/>
      <c r="VBU17" s="4"/>
      <c r="VBV17" s="4"/>
      <c r="VBW17" s="4"/>
      <c r="VBX17" s="4"/>
      <c r="VBY17" s="4"/>
      <c r="VBZ17" s="4"/>
      <c r="VCA17" s="4"/>
      <c r="VCB17" s="4"/>
      <c r="VCC17" s="4"/>
      <c r="VCD17" s="4"/>
      <c r="VCE17" s="4"/>
      <c r="VCF17" s="4"/>
      <c r="VCG17" s="4"/>
      <c r="VCH17" s="4"/>
      <c r="VCI17" s="4"/>
      <c r="VCJ17" s="4"/>
      <c r="VCK17" s="4"/>
      <c r="VCL17" s="4"/>
      <c r="VCM17" s="4"/>
      <c r="VCN17" s="4"/>
      <c r="VCO17" s="4"/>
      <c r="VCP17" s="4"/>
      <c r="VCQ17" s="4"/>
      <c r="VCR17" s="4"/>
      <c r="VCS17" s="4"/>
      <c r="VCT17" s="4"/>
      <c r="VCU17" s="4"/>
      <c r="VCV17" s="4"/>
      <c r="VCW17" s="4"/>
      <c r="VCX17" s="4"/>
      <c r="VCY17" s="4"/>
      <c r="VCZ17" s="4"/>
      <c r="VDA17" s="4"/>
      <c r="VDB17" s="4"/>
      <c r="VDC17" s="4"/>
      <c r="VDD17" s="4"/>
      <c r="VDE17" s="4"/>
      <c r="VDF17" s="4"/>
      <c r="VDG17" s="4"/>
      <c r="VDH17" s="4"/>
      <c r="VDI17" s="4"/>
      <c r="VDJ17" s="4"/>
      <c r="VDK17" s="4"/>
      <c r="VDL17" s="4"/>
      <c r="VDM17" s="4"/>
      <c r="VDN17" s="4"/>
      <c r="VDO17" s="4"/>
      <c r="VDP17" s="4"/>
      <c r="VDQ17" s="4"/>
      <c r="VDR17" s="4"/>
      <c r="VDS17" s="4"/>
      <c r="VDT17" s="4"/>
      <c r="VDU17" s="4"/>
      <c r="VDV17" s="4"/>
      <c r="VDW17" s="4"/>
      <c r="VDX17" s="4"/>
      <c r="VDY17" s="4"/>
      <c r="VDZ17" s="4"/>
      <c r="VEA17" s="4"/>
      <c r="VEB17" s="4"/>
      <c r="VEC17" s="4"/>
      <c r="VED17" s="4"/>
      <c r="VEE17" s="4"/>
      <c r="VEF17" s="4"/>
      <c r="VEG17" s="4"/>
      <c r="VEH17" s="4"/>
      <c r="VEI17" s="4"/>
      <c r="VEJ17" s="4"/>
      <c r="VEK17" s="4"/>
      <c r="VEL17" s="4"/>
      <c r="VEM17" s="4"/>
      <c r="VEN17" s="4"/>
      <c r="VEO17" s="4"/>
      <c r="VEP17" s="4"/>
      <c r="VEQ17" s="4"/>
      <c r="VER17" s="4"/>
      <c r="VES17" s="4"/>
      <c r="VET17" s="4"/>
      <c r="VEU17" s="4"/>
      <c r="VEV17" s="4"/>
      <c r="VEW17" s="4"/>
      <c r="VEX17" s="4"/>
      <c r="VEY17" s="4"/>
      <c r="VEZ17" s="4"/>
      <c r="VFA17" s="4"/>
      <c r="VFB17" s="4"/>
      <c r="VFC17" s="4"/>
      <c r="VFD17" s="4"/>
      <c r="VFE17" s="4"/>
      <c r="VFF17" s="4"/>
      <c r="VFG17" s="4"/>
      <c r="VFH17" s="4"/>
      <c r="VFI17" s="4"/>
      <c r="VFJ17" s="4"/>
      <c r="VFK17" s="4"/>
      <c r="VFL17" s="4"/>
      <c r="VFM17" s="4"/>
      <c r="VFN17" s="4"/>
      <c r="VFO17" s="4"/>
      <c r="VFP17" s="4"/>
      <c r="VFQ17" s="4"/>
      <c r="VFR17" s="4"/>
      <c r="VFS17" s="4"/>
      <c r="VFT17" s="4"/>
      <c r="VFU17" s="4"/>
      <c r="VFV17" s="4"/>
      <c r="VFW17" s="4"/>
      <c r="VFX17" s="4"/>
      <c r="VFY17" s="4"/>
      <c r="VFZ17" s="4"/>
      <c r="VGA17" s="4"/>
      <c r="VGB17" s="4"/>
      <c r="VGC17" s="4"/>
      <c r="VGD17" s="4"/>
      <c r="VGE17" s="4"/>
      <c r="VGF17" s="4"/>
      <c r="VGG17" s="4"/>
      <c r="VGH17" s="4"/>
      <c r="VGI17" s="4"/>
      <c r="VGJ17" s="4"/>
      <c r="VGK17" s="4"/>
      <c r="VGL17" s="4"/>
      <c r="VGM17" s="4"/>
      <c r="VGN17" s="4"/>
      <c r="VGO17" s="4"/>
      <c r="VGP17" s="4"/>
      <c r="VGQ17" s="4"/>
      <c r="VGR17" s="4"/>
      <c r="VGS17" s="4"/>
      <c r="VGT17" s="4"/>
      <c r="VGU17" s="4"/>
      <c r="VGV17" s="4"/>
      <c r="VGW17" s="4"/>
      <c r="VGX17" s="4"/>
      <c r="VGY17" s="4"/>
      <c r="VGZ17" s="4"/>
      <c r="VHA17" s="4"/>
      <c r="VHB17" s="4"/>
      <c r="VHC17" s="4"/>
      <c r="VHD17" s="4"/>
      <c r="VHE17" s="4"/>
      <c r="VHF17" s="4"/>
      <c r="VHG17" s="4"/>
      <c r="VHH17" s="4"/>
      <c r="VHI17" s="4"/>
      <c r="VHJ17" s="4"/>
      <c r="VHK17" s="4"/>
      <c r="VHL17" s="4"/>
      <c r="VHM17" s="4"/>
      <c r="VHN17" s="4"/>
      <c r="VHO17" s="4"/>
      <c r="VHP17" s="4"/>
      <c r="VHQ17" s="4"/>
      <c r="VHR17" s="4"/>
      <c r="VHS17" s="4"/>
      <c r="VHT17" s="4"/>
      <c r="VHU17" s="4"/>
      <c r="VHV17" s="4"/>
      <c r="VHW17" s="4"/>
      <c r="VHX17" s="4"/>
      <c r="VHY17" s="4"/>
      <c r="VHZ17" s="4"/>
      <c r="VIA17" s="4"/>
      <c r="VIB17" s="4"/>
      <c r="VIC17" s="4"/>
      <c r="VID17" s="4"/>
      <c r="VIE17" s="4"/>
      <c r="VIF17" s="4"/>
      <c r="VIG17" s="4"/>
      <c r="VIH17" s="4"/>
      <c r="VII17" s="4"/>
      <c r="VIJ17" s="4"/>
      <c r="VIK17" s="4"/>
      <c r="VIL17" s="4"/>
      <c r="VIM17" s="4"/>
      <c r="VIN17" s="4"/>
      <c r="VIO17" s="4"/>
      <c r="VIP17" s="4"/>
      <c r="VIQ17" s="4"/>
      <c r="VIR17" s="4"/>
      <c r="VIS17" s="4"/>
      <c r="VIT17" s="4"/>
      <c r="VIU17" s="4"/>
      <c r="VIV17" s="4"/>
      <c r="VIW17" s="4"/>
      <c r="VIX17" s="4"/>
      <c r="VIY17" s="4"/>
      <c r="VIZ17" s="4"/>
      <c r="VJA17" s="4"/>
      <c r="VJB17" s="4"/>
      <c r="VJC17" s="4"/>
      <c r="VJD17" s="4"/>
      <c r="VJE17" s="4"/>
      <c r="VJF17" s="4"/>
      <c r="VJG17" s="4"/>
      <c r="VJH17" s="4"/>
      <c r="VJI17" s="4"/>
      <c r="VJJ17" s="4"/>
      <c r="VJK17" s="4"/>
      <c r="VJL17" s="4"/>
      <c r="VJM17" s="4"/>
      <c r="VJN17" s="4"/>
      <c r="VJO17" s="4"/>
      <c r="VJP17" s="4"/>
      <c r="VJQ17" s="4"/>
      <c r="VJR17" s="4"/>
      <c r="VJS17" s="4"/>
      <c r="VJT17" s="4"/>
      <c r="VJU17" s="4"/>
      <c r="VJV17" s="4"/>
      <c r="VJW17" s="4"/>
      <c r="VJX17" s="4"/>
      <c r="VJY17" s="4"/>
      <c r="VJZ17" s="4"/>
      <c r="VKA17" s="4"/>
      <c r="VKB17" s="4"/>
      <c r="VKC17" s="4"/>
      <c r="VKD17" s="4"/>
      <c r="VKE17" s="4"/>
      <c r="VKF17" s="4"/>
      <c r="VKG17" s="4"/>
      <c r="VKH17" s="4"/>
      <c r="VKI17" s="4"/>
      <c r="VKJ17" s="4"/>
      <c r="VKK17" s="4"/>
      <c r="VKL17" s="4"/>
      <c r="VKM17" s="4"/>
      <c r="VKN17" s="4"/>
      <c r="VKO17" s="4"/>
      <c r="VKP17" s="4"/>
      <c r="VKQ17" s="4"/>
      <c r="VKR17" s="4"/>
      <c r="VKS17" s="4"/>
      <c r="VKT17" s="4"/>
      <c r="VKU17" s="4"/>
      <c r="VKV17" s="4"/>
      <c r="VKW17" s="4"/>
      <c r="VKX17" s="4"/>
      <c r="VKY17" s="4"/>
      <c r="VKZ17" s="4"/>
      <c r="VLA17" s="4"/>
      <c r="VLB17" s="4"/>
      <c r="VLC17" s="4"/>
      <c r="VLD17" s="4"/>
      <c r="VLE17" s="4"/>
      <c r="VLF17" s="4"/>
      <c r="VLG17" s="4"/>
      <c r="VLH17" s="4"/>
      <c r="VLI17" s="4"/>
      <c r="VLJ17" s="4"/>
      <c r="VLK17" s="4"/>
      <c r="VLL17" s="4"/>
      <c r="VLM17" s="4"/>
      <c r="VLN17" s="4"/>
      <c r="VLO17" s="4"/>
      <c r="VLP17" s="4"/>
      <c r="VLQ17" s="4"/>
      <c r="VLR17" s="4"/>
      <c r="VLS17" s="4"/>
      <c r="VLT17" s="4"/>
      <c r="VLU17" s="4"/>
      <c r="VLV17" s="4"/>
      <c r="VLW17" s="4"/>
      <c r="VLX17" s="4"/>
      <c r="VLY17" s="4"/>
      <c r="VLZ17" s="4"/>
      <c r="VMA17" s="4"/>
      <c r="VMB17" s="4"/>
      <c r="VMC17" s="4"/>
      <c r="VMD17" s="4"/>
      <c r="VME17" s="4"/>
      <c r="VMF17" s="4"/>
      <c r="VMG17" s="4"/>
      <c r="VMH17" s="4"/>
      <c r="VMI17" s="4"/>
      <c r="VMJ17" s="4"/>
      <c r="VMK17" s="4"/>
      <c r="VML17" s="4"/>
      <c r="VMM17" s="4"/>
      <c r="VMN17" s="4"/>
      <c r="VMO17" s="4"/>
      <c r="VMP17" s="4"/>
      <c r="VMQ17" s="4"/>
      <c r="VMR17" s="4"/>
      <c r="VMS17" s="4"/>
      <c r="VMT17" s="4"/>
      <c r="VMU17" s="4"/>
      <c r="VMV17" s="4"/>
      <c r="VMW17" s="4"/>
      <c r="VMX17" s="4"/>
      <c r="VMY17" s="4"/>
      <c r="VMZ17" s="4"/>
      <c r="VNA17" s="4"/>
      <c r="VNB17" s="4"/>
      <c r="VNC17" s="4"/>
      <c r="VND17" s="4"/>
      <c r="VNE17" s="4"/>
      <c r="VNF17" s="4"/>
      <c r="VNG17" s="4"/>
      <c r="VNH17" s="4"/>
      <c r="VNI17" s="4"/>
      <c r="VNJ17" s="4"/>
      <c r="VNK17" s="4"/>
      <c r="VNL17" s="4"/>
      <c r="VNM17" s="4"/>
      <c r="VNN17" s="4"/>
      <c r="VNO17" s="4"/>
      <c r="VNP17" s="4"/>
      <c r="VNQ17" s="4"/>
      <c r="VNR17" s="4"/>
      <c r="VNS17" s="4"/>
      <c r="VNT17" s="4"/>
      <c r="VNU17" s="4"/>
      <c r="VNV17" s="4"/>
      <c r="VNW17" s="4"/>
      <c r="VNX17" s="4"/>
      <c r="VNY17" s="4"/>
      <c r="VNZ17" s="4"/>
      <c r="VOA17" s="4"/>
      <c r="VOB17" s="4"/>
      <c r="VOC17" s="4"/>
      <c r="VOD17" s="4"/>
      <c r="VOE17" s="4"/>
      <c r="VOF17" s="4"/>
      <c r="VOG17" s="4"/>
      <c r="VOH17" s="4"/>
      <c r="VOI17" s="4"/>
      <c r="VOJ17" s="4"/>
      <c r="VOK17" s="4"/>
      <c r="VOL17" s="4"/>
      <c r="VOM17" s="4"/>
      <c r="VON17" s="4"/>
      <c r="VOO17" s="4"/>
      <c r="VOP17" s="4"/>
      <c r="VOQ17" s="4"/>
      <c r="VOR17" s="4"/>
      <c r="VOS17" s="4"/>
      <c r="VOT17" s="4"/>
      <c r="VOU17" s="4"/>
      <c r="VOV17" s="4"/>
      <c r="VOW17" s="4"/>
      <c r="VOX17" s="4"/>
      <c r="VOY17" s="4"/>
      <c r="VOZ17" s="4"/>
      <c r="VPA17" s="4"/>
      <c r="VPB17" s="4"/>
      <c r="VPC17" s="4"/>
      <c r="VPD17" s="4"/>
      <c r="VPE17" s="4"/>
      <c r="VPF17" s="4"/>
      <c r="VPG17" s="4"/>
      <c r="VPH17" s="4"/>
      <c r="VPI17" s="4"/>
      <c r="VPJ17" s="4"/>
      <c r="VPK17" s="4"/>
      <c r="VPL17" s="4"/>
      <c r="VPM17" s="4"/>
      <c r="VPN17" s="4"/>
      <c r="VPO17" s="4"/>
      <c r="VPP17" s="4"/>
      <c r="VPQ17" s="4"/>
      <c r="VPR17" s="4"/>
      <c r="VPS17" s="4"/>
      <c r="VPT17" s="4"/>
      <c r="VPU17" s="4"/>
      <c r="VPV17" s="4"/>
      <c r="VPW17" s="4"/>
      <c r="VPX17" s="4"/>
      <c r="VPY17" s="4"/>
      <c r="VPZ17" s="4"/>
      <c r="VQA17" s="4"/>
      <c r="VQB17" s="4"/>
      <c r="VQC17" s="4"/>
      <c r="VQD17" s="4"/>
      <c r="VQE17" s="4"/>
      <c r="VQF17" s="4"/>
      <c r="VQG17" s="4"/>
      <c r="VQH17" s="4"/>
      <c r="VQI17" s="4"/>
      <c r="VQJ17" s="4"/>
      <c r="VQK17" s="4"/>
      <c r="VQL17" s="4"/>
      <c r="VQM17" s="4"/>
      <c r="VQN17" s="4"/>
      <c r="VQO17" s="4"/>
      <c r="VQP17" s="4"/>
      <c r="VQQ17" s="4"/>
      <c r="VQR17" s="4"/>
      <c r="VQS17" s="4"/>
      <c r="VQT17" s="4"/>
      <c r="VQU17" s="4"/>
      <c r="VQV17" s="4"/>
      <c r="VQW17" s="4"/>
      <c r="VQX17" s="4"/>
      <c r="VQY17" s="4"/>
      <c r="VQZ17" s="4"/>
      <c r="VRA17" s="4"/>
      <c r="VRB17" s="4"/>
      <c r="VRC17" s="4"/>
      <c r="VRD17" s="4"/>
      <c r="VRE17" s="4"/>
      <c r="VRF17" s="4"/>
      <c r="VRG17" s="4"/>
      <c r="VRH17" s="4"/>
      <c r="VRI17" s="4"/>
      <c r="VRJ17" s="4"/>
      <c r="VRK17" s="4"/>
      <c r="VRL17" s="4"/>
      <c r="VRM17" s="4"/>
      <c r="VRN17" s="4"/>
      <c r="VRO17" s="4"/>
      <c r="VRP17" s="4"/>
      <c r="VRQ17" s="4"/>
      <c r="VRR17" s="4"/>
      <c r="VRS17" s="4"/>
      <c r="VRT17" s="4"/>
      <c r="VRU17" s="4"/>
      <c r="VRV17" s="4"/>
      <c r="VRW17" s="4"/>
      <c r="VRX17" s="4"/>
      <c r="VRY17" s="4"/>
      <c r="VRZ17" s="4"/>
      <c r="VSA17" s="4"/>
      <c r="VSB17" s="4"/>
      <c r="VSC17" s="4"/>
      <c r="VSD17" s="4"/>
      <c r="VSE17" s="4"/>
      <c r="VSF17" s="4"/>
      <c r="VSG17" s="4"/>
      <c r="VSH17" s="4"/>
      <c r="VSI17" s="4"/>
      <c r="VSJ17" s="4"/>
      <c r="VSK17" s="4"/>
      <c r="VSL17" s="4"/>
      <c r="VSM17" s="4"/>
      <c r="VSN17" s="4"/>
      <c r="VSO17" s="4"/>
      <c r="VSP17" s="4"/>
      <c r="VSQ17" s="4"/>
      <c r="VSR17" s="4"/>
      <c r="VSS17" s="4"/>
      <c r="VST17" s="4"/>
      <c r="VSU17" s="4"/>
      <c r="VSV17" s="4"/>
      <c r="VSW17" s="4"/>
      <c r="VSX17" s="4"/>
      <c r="VSY17" s="4"/>
      <c r="VSZ17" s="4"/>
      <c r="VTA17" s="4"/>
      <c r="VTB17" s="4"/>
      <c r="VTC17" s="4"/>
      <c r="VTD17" s="4"/>
      <c r="VTE17" s="4"/>
      <c r="VTF17" s="4"/>
      <c r="VTG17" s="4"/>
      <c r="VTH17" s="4"/>
      <c r="VTI17" s="4"/>
      <c r="VTJ17" s="4"/>
      <c r="VTK17" s="4"/>
      <c r="VTL17" s="4"/>
      <c r="VTM17" s="4"/>
      <c r="VTN17" s="4"/>
      <c r="VTO17" s="4"/>
      <c r="VTP17" s="4"/>
      <c r="VTQ17" s="4"/>
      <c r="VTR17" s="4"/>
      <c r="VTS17" s="4"/>
      <c r="VTT17" s="4"/>
      <c r="VTU17" s="4"/>
      <c r="VTV17" s="4"/>
      <c r="VTW17" s="4"/>
      <c r="VTX17" s="4"/>
      <c r="VTY17" s="4"/>
      <c r="VTZ17" s="4"/>
      <c r="VUA17" s="4"/>
      <c r="VUB17" s="4"/>
      <c r="VUC17" s="4"/>
      <c r="VUD17" s="4"/>
      <c r="VUE17" s="4"/>
      <c r="VUF17" s="4"/>
      <c r="VUG17" s="4"/>
      <c r="VUH17" s="4"/>
      <c r="VUI17" s="4"/>
      <c r="VUJ17" s="4"/>
      <c r="VUK17" s="4"/>
      <c r="VUL17" s="4"/>
      <c r="VUM17" s="4"/>
      <c r="VUN17" s="4"/>
      <c r="VUO17" s="4"/>
      <c r="VUP17" s="4"/>
      <c r="VUQ17" s="4"/>
      <c r="VUR17" s="4"/>
      <c r="VUS17" s="4"/>
      <c r="VUT17" s="4"/>
      <c r="VUU17" s="4"/>
      <c r="VUV17" s="4"/>
      <c r="VUW17" s="4"/>
      <c r="VUX17" s="4"/>
      <c r="VUY17" s="4"/>
      <c r="VUZ17" s="4"/>
      <c r="VVA17" s="4"/>
      <c r="VVB17" s="4"/>
      <c r="VVC17" s="4"/>
      <c r="VVD17" s="4"/>
      <c r="VVE17" s="4"/>
      <c r="VVF17" s="4"/>
      <c r="VVG17" s="4"/>
      <c r="VVH17" s="4"/>
      <c r="VVI17" s="4"/>
      <c r="VVJ17" s="4"/>
      <c r="VVK17" s="4"/>
      <c r="VVL17" s="4"/>
      <c r="VVM17" s="4"/>
      <c r="VVN17" s="4"/>
      <c r="VVO17" s="4"/>
      <c r="VVP17" s="4"/>
      <c r="VVQ17" s="4"/>
      <c r="VVR17" s="4"/>
      <c r="VVS17" s="4"/>
      <c r="VVT17" s="4"/>
      <c r="VVU17" s="4"/>
      <c r="VVV17" s="4"/>
      <c r="VVW17" s="4"/>
      <c r="VVX17" s="4"/>
      <c r="VVY17" s="4"/>
      <c r="VVZ17" s="4"/>
      <c r="VWA17" s="4"/>
      <c r="VWB17" s="4"/>
      <c r="VWC17" s="4"/>
      <c r="VWD17" s="4"/>
      <c r="VWE17" s="4"/>
      <c r="VWF17" s="4"/>
      <c r="VWG17" s="4"/>
      <c r="VWH17" s="4"/>
      <c r="VWI17" s="4"/>
      <c r="VWJ17" s="4"/>
      <c r="VWK17" s="4"/>
      <c r="VWL17" s="4"/>
      <c r="VWM17" s="4"/>
      <c r="VWN17" s="4"/>
      <c r="VWO17" s="4"/>
      <c r="VWP17" s="4"/>
      <c r="VWQ17" s="4"/>
      <c r="VWR17" s="4"/>
      <c r="VWS17" s="4"/>
      <c r="VWT17" s="4"/>
      <c r="VWU17" s="4"/>
      <c r="VWV17" s="4"/>
      <c r="VWW17" s="4"/>
      <c r="VWX17" s="4"/>
      <c r="VWY17" s="4"/>
      <c r="VWZ17" s="4"/>
      <c r="VXA17" s="4"/>
      <c r="VXB17" s="4"/>
      <c r="VXC17" s="4"/>
      <c r="VXD17" s="4"/>
      <c r="VXE17" s="4"/>
      <c r="VXF17" s="4"/>
      <c r="VXG17" s="4"/>
      <c r="VXH17" s="4"/>
      <c r="VXI17" s="4"/>
      <c r="VXJ17" s="4"/>
      <c r="VXK17" s="4"/>
      <c r="VXL17" s="4"/>
      <c r="VXM17" s="4"/>
      <c r="VXN17" s="4"/>
      <c r="VXO17" s="4"/>
      <c r="VXP17" s="4"/>
      <c r="VXQ17" s="4"/>
      <c r="VXR17" s="4"/>
      <c r="VXS17" s="4"/>
      <c r="VXT17" s="4"/>
      <c r="VXU17" s="4"/>
      <c r="VXV17" s="4"/>
      <c r="VXW17" s="4"/>
      <c r="VXX17" s="4"/>
      <c r="VXY17" s="4"/>
      <c r="VXZ17" s="4"/>
      <c r="VYA17" s="4"/>
      <c r="VYB17" s="4"/>
      <c r="VYC17" s="4"/>
      <c r="VYD17" s="4"/>
      <c r="VYE17" s="4"/>
      <c r="VYF17" s="4"/>
      <c r="VYG17" s="4"/>
      <c r="VYH17" s="4"/>
      <c r="VYI17" s="4"/>
      <c r="VYJ17" s="4"/>
      <c r="VYK17" s="4"/>
      <c r="VYL17" s="4"/>
      <c r="VYM17" s="4"/>
      <c r="VYN17" s="4"/>
      <c r="VYO17" s="4"/>
      <c r="VYP17" s="4"/>
      <c r="VYQ17" s="4"/>
      <c r="VYR17" s="4"/>
      <c r="VYS17" s="4"/>
      <c r="VYT17" s="4"/>
      <c r="VYU17" s="4"/>
      <c r="VYV17" s="4"/>
      <c r="VYW17" s="4"/>
      <c r="VYX17" s="4"/>
      <c r="VYY17" s="4"/>
      <c r="VYZ17" s="4"/>
      <c r="VZA17" s="4"/>
      <c r="VZB17" s="4"/>
      <c r="VZC17" s="4"/>
      <c r="VZD17" s="4"/>
      <c r="VZE17" s="4"/>
      <c r="VZF17" s="4"/>
      <c r="VZG17" s="4"/>
      <c r="VZH17" s="4"/>
      <c r="VZI17" s="4"/>
      <c r="VZJ17" s="4"/>
      <c r="VZK17" s="4"/>
      <c r="VZL17" s="4"/>
      <c r="VZM17" s="4"/>
      <c r="VZN17" s="4"/>
      <c r="VZO17" s="4"/>
      <c r="VZP17" s="4"/>
      <c r="VZQ17" s="4"/>
      <c r="VZR17" s="4"/>
      <c r="VZS17" s="4"/>
      <c r="VZT17" s="4"/>
      <c r="VZU17" s="4"/>
      <c r="VZV17" s="4"/>
      <c r="VZW17" s="4"/>
      <c r="VZX17" s="4"/>
      <c r="VZY17" s="4"/>
      <c r="VZZ17" s="4"/>
      <c r="WAA17" s="4"/>
      <c r="WAB17" s="4"/>
      <c r="WAC17" s="4"/>
      <c r="WAD17" s="4"/>
      <c r="WAE17" s="4"/>
      <c r="WAF17" s="4"/>
      <c r="WAG17" s="4"/>
      <c r="WAH17" s="4"/>
      <c r="WAI17" s="4"/>
      <c r="WAJ17" s="4"/>
      <c r="WAK17" s="4"/>
      <c r="WAL17" s="4"/>
      <c r="WAM17" s="4"/>
      <c r="WAN17" s="4"/>
      <c r="WAO17" s="4"/>
      <c r="WAP17" s="4"/>
      <c r="WAQ17" s="4"/>
      <c r="WAR17" s="4"/>
      <c r="WAS17" s="4"/>
      <c r="WAT17" s="4"/>
      <c r="WAU17" s="4"/>
      <c r="WAV17" s="4"/>
      <c r="WAW17" s="4"/>
      <c r="WAX17" s="4"/>
      <c r="WAY17" s="4"/>
      <c r="WAZ17" s="4"/>
      <c r="WBA17" s="4"/>
      <c r="WBB17" s="4"/>
      <c r="WBC17" s="4"/>
      <c r="WBD17" s="4"/>
      <c r="WBE17" s="4"/>
      <c r="WBF17" s="4"/>
      <c r="WBG17" s="4"/>
      <c r="WBH17" s="4"/>
      <c r="WBI17" s="4"/>
      <c r="WBJ17" s="4"/>
      <c r="WBK17" s="4"/>
      <c r="WBL17" s="4"/>
      <c r="WBM17" s="4"/>
      <c r="WBN17" s="4"/>
      <c r="WBO17" s="4"/>
      <c r="WBP17" s="4"/>
      <c r="WBQ17" s="4"/>
      <c r="WBR17" s="4"/>
      <c r="WBS17" s="4"/>
      <c r="WBT17" s="4"/>
      <c r="WBU17" s="4"/>
      <c r="WBV17" s="4"/>
      <c r="WBW17" s="4"/>
      <c r="WBX17" s="4"/>
      <c r="WBY17" s="4"/>
      <c r="WBZ17" s="4"/>
      <c r="WCA17" s="4"/>
      <c r="WCB17" s="4"/>
      <c r="WCC17" s="4"/>
      <c r="WCD17" s="4"/>
      <c r="WCE17" s="4"/>
      <c r="WCF17" s="4"/>
      <c r="WCG17" s="4"/>
      <c r="WCH17" s="4"/>
      <c r="WCI17" s="4"/>
      <c r="WCJ17" s="4"/>
      <c r="WCK17" s="4"/>
      <c r="WCL17" s="4"/>
      <c r="WCM17" s="4"/>
      <c r="WCN17" s="4"/>
      <c r="WCO17" s="4"/>
      <c r="WCP17" s="4"/>
      <c r="WCQ17" s="4"/>
      <c r="WCR17" s="4"/>
      <c r="WCS17" s="4"/>
      <c r="WCT17" s="4"/>
      <c r="WCU17" s="4"/>
      <c r="WCV17" s="4"/>
      <c r="WCW17" s="4"/>
      <c r="WCX17" s="4"/>
      <c r="WCY17" s="4"/>
      <c r="WCZ17" s="4"/>
      <c r="WDA17" s="4"/>
      <c r="WDB17" s="4"/>
      <c r="WDC17" s="4"/>
      <c r="WDD17" s="4"/>
      <c r="WDE17" s="4"/>
      <c r="WDF17" s="4"/>
      <c r="WDG17" s="4"/>
      <c r="WDH17" s="4"/>
      <c r="WDI17" s="4"/>
      <c r="WDJ17" s="4"/>
      <c r="WDK17" s="4"/>
      <c r="WDL17" s="4"/>
      <c r="WDM17" s="4"/>
      <c r="WDN17" s="4"/>
      <c r="WDO17" s="4"/>
      <c r="WDP17" s="4"/>
      <c r="WDQ17" s="4"/>
      <c r="WDR17" s="4"/>
      <c r="WDS17" s="4"/>
      <c r="WDT17" s="4"/>
      <c r="WDU17" s="4"/>
      <c r="WDV17" s="4"/>
      <c r="WDW17" s="4"/>
      <c r="WDX17" s="4"/>
      <c r="WDY17" s="4"/>
      <c r="WDZ17" s="4"/>
      <c r="WEA17" s="4"/>
      <c r="WEB17" s="4"/>
      <c r="WEC17" s="4"/>
      <c r="WED17" s="4"/>
      <c r="WEE17" s="4"/>
      <c r="WEF17" s="4"/>
      <c r="WEG17" s="4"/>
      <c r="WEH17" s="4"/>
      <c r="WEI17" s="4"/>
      <c r="WEJ17" s="4"/>
      <c r="WEK17" s="4"/>
      <c r="WEL17" s="4"/>
      <c r="WEM17" s="4"/>
      <c r="WEN17" s="4"/>
      <c r="WEO17" s="4"/>
      <c r="WEP17" s="4"/>
      <c r="WEQ17" s="4"/>
      <c r="WER17" s="4"/>
      <c r="WES17" s="4"/>
      <c r="WET17" s="4"/>
      <c r="WEU17" s="4"/>
      <c r="WEV17" s="4"/>
      <c r="WEW17" s="4"/>
      <c r="WEX17" s="4"/>
      <c r="WEY17" s="4"/>
      <c r="WEZ17" s="4"/>
      <c r="WFA17" s="4"/>
      <c r="WFB17" s="4"/>
      <c r="WFC17" s="4"/>
      <c r="WFD17" s="4"/>
      <c r="WFE17" s="4"/>
      <c r="WFF17" s="4"/>
      <c r="WFG17" s="4"/>
      <c r="WFH17" s="4"/>
      <c r="WFI17" s="4"/>
      <c r="WFJ17" s="4"/>
      <c r="WFK17" s="4"/>
      <c r="WFL17" s="4"/>
      <c r="WFM17" s="4"/>
      <c r="WFN17" s="4"/>
      <c r="WFO17" s="4"/>
      <c r="WFP17" s="4"/>
      <c r="WFQ17" s="4"/>
      <c r="WFR17" s="4"/>
      <c r="WFS17" s="4"/>
      <c r="WFT17" s="4"/>
      <c r="WFU17" s="4"/>
      <c r="WFV17" s="4"/>
      <c r="WFW17" s="4"/>
      <c r="WFX17" s="4"/>
      <c r="WFY17" s="4"/>
      <c r="WFZ17" s="4"/>
      <c r="WGA17" s="4"/>
      <c r="WGB17" s="4"/>
      <c r="WGC17" s="4"/>
      <c r="WGD17" s="4"/>
      <c r="WGE17" s="4"/>
      <c r="WGF17" s="4"/>
      <c r="WGG17" s="4"/>
      <c r="WGH17" s="4"/>
      <c r="WGI17" s="4"/>
      <c r="WGJ17" s="4"/>
      <c r="WGK17" s="4"/>
      <c r="WGL17" s="4"/>
      <c r="WGM17" s="4"/>
      <c r="WGN17" s="4"/>
      <c r="WGO17" s="4"/>
      <c r="WGP17" s="4"/>
      <c r="WGQ17" s="4"/>
      <c r="WGR17" s="4"/>
      <c r="WGS17" s="4"/>
      <c r="WGT17" s="4"/>
      <c r="WGU17" s="4"/>
      <c r="WGV17" s="4"/>
      <c r="WGW17" s="4"/>
      <c r="WGX17" s="4"/>
      <c r="WGY17" s="4"/>
      <c r="WGZ17" s="4"/>
      <c r="WHA17" s="4"/>
      <c r="WHB17" s="4"/>
      <c r="WHC17" s="4"/>
      <c r="WHD17" s="4"/>
      <c r="WHE17" s="4"/>
      <c r="WHF17" s="4"/>
      <c r="WHG17" s="4"/>
      <c r="WHH17" s="4"/>
      <c r="WHI17" s="4"/>
      <c r="WHJ17" s="4"/>
      <c r="WHK17" s="4"/>
      <c r="WHL17" s="4"/>
      <c r="WHM17" s="4"/>
      <c r="WHN17" s="4"/>
      <c r="WHO17" s="4"/>
      <c r="WHP17" s="4"/>
      <c r="WHQ17" s="4"/>
      <c r="WHR17" s="4"/>
      <c r="WHS17" s="4"/>
      <c r="WHT17" s="4"/>
      <c r="WHU17" s="4"/>
      <c r="WHV17" s="4"/>
      <c r="WHW17" s="4"/>
      <c r="WHX17" s="4"/>
      <c r="WHY17" s="4"/>
      <c r="WHZ17" s="4"/>
      <c r="WIA17" s="4"/>
      <c r="WIB17" s="4"/>
      <c r="WIC17" s="4"/>
      <c r="WID17" s="4"/>
      <c r="WIE17" s="4"/>
      <c r="WIF17" s="4"/>
      <c r="WIG17" s="4"/>
      <c r="WIH17" s="4"/>
      <c r="WII17" s="4"/>
      <c r="WIJ17" s="4"/>
      <c r="WIK17" s="4"/>
      <c r="WIL17" s="4"/>
      <c r="WIM17" s="4"/>
      <c r="WIN17" s="4"/>
      <c r="WIO17" s="4"/>
      <c r="WIP17" s="4"/>
      <c r="WIQ17" s="4"/>
      <c r="WIR17" s="4"/>
      <c r="WIS17" s="4"/>
      <c r="WIT17" s="4"/>
      <c r="WIU17" s="4"/>
      <c r="WIV17" s="4"/>
      <c r="WIW17" s="4"/>
      <c r="WIX17" s="4"/>
      <c r="WIY17" s="4"/>
      <c r="WIZ17" s="4"/>
      <c r="WJA17" s="4"/>
      <c r="WJB17" s="4"/>
      <c r="WJC17" s="4"/>
      <c r="WJD17" s="4"/>
      <c r="WJE17" s="4"/>
      <c r="WJF17" s="4"/>
      <c r="WJG17" s="4"/>
      <c r="WJH17" s="4"/>
      <c r="WJI17" s="4"/>
      <c r="WJJ17" s="4"/>
      <c r="WJK17" s="4"/>
      <c r="WJL17" s="4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4"/>
      <c r="WNG17" s="4"/>
      <c r="WNH17" s="4"/>
      <c r="WNI17" s="4"/>
      <c r="WNJ17" s="4"/>
      <c r="WNK17" s="4"/>
      <c r="WNL17" s="4"/>
      <c r="WNM17" s="4"/>
      <c r="WNN17" s="4"/>
      <c r="WNO17" s="4"/>
      <c r="WNP17" s="4"/>
      <c r="WNQ17" s="4"/>
      <c r="WNR17" s="4"/>
      <c r="WNS17" s="4"/>
      <c r="WNT17" s="4"/>
      <c r="WNU17" s="4"/>
      <c r="WNV17" s="4"/>
      <c r="WNW17" s="4"/>
      <c r="WNX17" s="4"/>
      <c r="WNY17" s="4"/>
      <c r="WNZ17" s="4"/>
      <c r="WOA17" s="4"/>
      <c r="WOB17" s="4"/>
      <c r="WOC17" s="4"/>
      <c r="WOD17" s="4"/>
      <c r="WOE17" s="4"/>
      <c r="WOF17" s="4"/>
      <c r="WOG17" s="4"/>
      <c r="WOH17" s="4"/>
      <c r="WOI17" s="4"/>
      <c r="WOJ17" s="4"/>
      <c r="WOK17" s="4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4"/>
      <c r="WRY17" s="4"/>
      <c r="WRZ17" s="4"/>
      <c r="WSA17" s="4"/>
      <c r="WSB17" s="4"/>
      <c r="WSC17" s="4"/>
      <c r="WSD17" s="4"/>
      <c r="WSE17" s="4"/>
      <c r="WSF17" s="4"/>
      <c r="WSG17" s="4"/>
      <c r="WSH17" s="4"/>
      <c r="WSI17" s="4"/>
      <c r="WSJ17" s="4"/>
      <c r="WSK17" s="4"/>
      <c r="WSL17" s="4"/>
      <c r="WSM17" s="4"/>
      <c r="WSN17" s="4"/>
      <c r="WSO17" s="4"/>
      <c r="WSP17" s="4"/>
      <c r="WSQ17" s="4"/>
      <c r="WSR17" s="4"/>
      <c r="WSS17" s="4"/>
      <c r="WST17" s="4"/>
      <c r="WSU17" s="4"/>
      <c r="WSV17" s="4"/>
      <c r="WSW17" s="4"/>
      <c r="WSX17" s="4"/>
      <c r="WSY17" s="4"/>
      <c r="WSZ17" s="4"/>
      <c r="WTA17" s="4"/>
      <c r="WTB17" s="4"/>
      <c r="WTC17" s="4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4"/>
      <c r="WWI17" s="4"/>
      <c r="WWJ17" s="4"/>
      <c r="WWK17" s="4"/>
      <c r="WWL17" s="4"/>
      <c r="WWM17" s="4"/>
      <c r="WWN17" s="4"/>
      <c r="WWO17" s="4"/>
      <c r="WWP17" s="4"/>
      <c r="WWQ17" s="4"/>
      <c r="WWR17" s="4"/>
      <c r="WWS17" s="4"/>
      <c r="WWT17" s="4"/>
      <c r="WWU17" s="4"/>
      <c r="WWV17" s="4"/>
      <c r="WWW17" s="4"/>
      <c r="WWX17" s="4"/>
      <c r="WWY17" s="4"/>
      <c r="WWZ17" s="4"/>
      <c r="WXA17" s="4"/>
      <c r="WXB17" s="4"/>
      <c r="WXC17" s="4"/>
      <c r="WXD17" s="4"/>
      <c r="WXE17" s="4"/>
      <c r="WXF17" s="4"/>
      <c r="WXG17" s="4"/>
      <c r="WXH17" s="4"/>
      <c r="WXI17" s="4"/>
      <c r="WXJ17" s="4"/>
      <c r="WXK17" s="4"/>
      <c r="WXL17" s="4"/>
      <c r="WXM17" s="4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  <c r="XFD17" s="4"/>
    </row>
    <row r="19" spans="2:16384" x14ac:dyDescent="0.25">
      <c r="C19" s="8" t="s">
        <v>24</v>
      </c>
      <c r="D19" s="7"/>
      <c r="E19" s="7"/>
      <c r="G19" s="8" t="s">
        <v>25</v>
      </c>
      <c r="H19" s="7"/>
      <c r="I19" s="7"/>
      <c r="K19" s="8" t="s">
        <v>26</v>
      </c>
      <c r="L19" s="7"/>
      <c r="M19" s="7"/>
      <c r="O19" s="8" t="s">
        <v>27</v>
      </c>
      <c r="P19" s="8"/>
      <c r="Q19" s="8"/>
    </row>
    <row r="20" spans="2:16384" x14ac:dyDescent="0.25">
      <c r="C20" s="6" t="s">
        <v>28</v>
      </c>
      <c r="E20" s="9">
        <v>1</v>
      </c>
    </row>
    <row r="21" spans="2:16384" x14ac:dyDescent="0.25">
      <c r="C21" s="6" t="s">
        <v>75</v>
      </c>
      <c r="E21" s="31">
        <f>CHOOSE($E$20,M21,I21,Q21)</f>
        <v>8.4000000000000005E-2</v>
      </c>
      <c r="G21" s="2" t="s">
        <v>30</v>
      </c>
      <c r="I21" s="30">
        <v>6.2E-2</v>
      </c>
      <c r="K21" s="2" t="s">
        <v>30</v>
      </c>
      <c r="M21" s="30">
        <v>8.4000000000000005E-2</v>
      </c>
      <c r="O21" s="2" t="s">
        <v>30</v>
      </c>
      <c r="Q21" s="30">
        <v>0.10100000000000001</v>
      </c>
    </row>
    <row r="22" spans="2:16384" x14ac:dyDescent="0.25">
      <c r="C22" s="6" t="s">
        <v>76</v>
      </c>
      <c r="E22" s="31">
        <f>CHOOSE($E$20,M22,I22,Q22)</f>
        <v>0.25</v>
      </c>
      <c r="G22" s="2" t="s">
        <v>31</v>
      </c>
      <c r="I22" s="30">
        <f>M22-2%</f>
        <v>0.23</v>
      </c>
      <c r="K22" s="2" t="s">
        <v>31</v>
      </c>
      <c r="M22" s="30">
        <v>0.25</v>
      </c>
      <c r="O22" s="2" t="s">
        <v>31</v>
      </c>
      <c r="Q22" s="30">
        <f>M22+2%</f>
        <v>0.27</v>
      </c>
    </row>
    <row r="24" spans="2:16384" x14ac:dyDescent="0.25">
      <c r="C24" s="6" t="s">
        <v>42</v>
      </c>
      <c r="E24" s="31">
        <f>CHOOSE($E$20,M24,I24,Q24)</f>
        <v>0.10710654205607477</v>
      </c>
      <c r="G24" s="2" t="s">
        <v>41</v>
      </c>
      <c r="I24" s="29">
        <f>M24+1%</f>
        <v>0.11710654205607476</v>
      </c>
      <c r="K24" s="2" t="s">
        <v>41</v>
      </c>
      <c r="M24" s="29">
        <f>Comps!E24</f>
        <v>0.10710654205607477</v>
      </c>
      <c r="O24" s="2" t="s">
        <v>41</v>
      </c>
      <c r="Q24" s="29">
        <f>M24-1%</f>
        <v>9.7106542056074774E-2</v>
      </c>
    </row>
    <row r="25" spans="2:16384" x14ac:dyDescent="0.25">
      <c r="C25" s="6" t="s">
        <v>32</v>
      </c>
      <c r="E25" s="31">
        <f>CHOOSE($E$20,M25,I25,Q25)</f>
        <v>0.03</v>
      </c>
      <c r="G25" s="2" t="s">
        <v>29</v>
      </c>
      <c r="I25" s="30">
        <v>0.02</v>
      </c>
      <c r="K25" s="2" t="s">
        <v>29</v>
      </c>
      <c r="M25" s="30">
        <v>0.03</v>
      </c>
      <c r="O25" s="2" t="s">
        <v>29</v>
      </c>
      <c r="Q25" s="30">
        <v>0.04</v>
      </c>
    </row>
    <row r="27" spans="2:16384" x14ac:dyDescent="0.25">
      <c r="B27" s="51" t="s">
        <v>4</v>
      </c>
      <c r="C27" s="3" t="s">
        <v>23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  <c r="ODE27" s="4"/>
      <c r="ODF27" s="4"/>
      <c r="ODG27" s="4"/>
      <c r="ODH27" s="4"/>
      <c r="ODI27" s="4"/>
      <c r="ODJ27" s="4"/>
      <c r="ODK27" s="4"/>
      <c r="ODL27" s="4"/>
      <c r="ODM27" s="4"/>
      <c r="ODN27" s="4"/>
      <c r="ODO27" s="4"/>
      <c r="ODP27" s="4"/>
      <c r="ODQ27" s="4"/>
      <c r="ODR27" s="4"/>
      <c r="ODS27" s="4"/>
      <c r="ODT27" s="4"/>
      <c r="ODU27" s="4"/>
      <c r="ODV27" s="4"/>
      <c r="ODW27" s="4"/>
      <c r="ODX27" s="4"/>
      <c r="ODY27" s="4"/>
      <c r="ODZ27" s="4"/>
      <c r="OEA27" s="4"/>
      <c r="OEB27" s="4"/>
      <c r="OEC27" s="4"/>
      <c r="OED27" s="4"/>
      <c r="OEE27" s="4"/>
      <c r="OEF27" s="4"/>
      <c r="OEG27" s="4"/>
      <c r="OEH27" s="4"/>
      <c r="OEI27" s="4"/>
      <c r="OEJ27" s="4"/>
      <c r="OEK27" s="4"/>
      <c r="OEL27" s="4"/>
      <c r="OEM27" s="4"/>
      <c r="OEN27" s="4"/>
      <c r="OEO27" s="4"/>
      <c r="OEP27" s="4"/>
      <c r="OEQ27" s="4"/>
      <c r="OER27" s="4"/>
      <c r="OES27" s="4"/>
      <c r="OET27" s="4"/>
      <c r="OEU27" s="4"/>
      <c r="OEV27" s="4"/>
      <c r="OEW27" s="4"/>
      <c r="OEX27" s="4"/>
      <c r="OEY27" s="4"/>
      <c r="OEZ27" s="4"/>
      <c r="OFA27" s="4"/>
      <c r="OFB27" s="4"/>
      <c r="OFC27" s="4"/>
      <c r="OFD27" s="4"/>
      <c r="OFE27" s="4"/>
      <c r="OFF27" s="4"/>
      <c r="OFG27" s="4"/>
      <c r="OFH27" s="4"/>
      <c r="OFI27" s="4"/>
      <c r="OFJ27" s="4"/>
      <c r="OFK27" s="4"/>
      <c r="OFL27" s="4"/>
      <c r="OFM27" s="4"/>
      <c r="OFN27" s="4"/>
      <c r="OFO27" s="4"/>
      <c r="OFP27" s="4"/>
      <c r="OFQ27" s="4"/>
      <c r="OFR27" s="4"/>
      <c r="OFS27" s="4"/>
      <c r="OFT27" s="4"/>
      <c r="OFU27" s="4"/>
      <c r="OFV27" s="4"/>
      <c r="OFW27" s="4"/>
      <c r="OFX27" s="4"/>
      <c r="OFY27" s="4"/>
      <c r="OFZ27" s="4"/>
      <c r="OGA27" s="4"/>
      <c r="OGB27" s="4"/>
      <c r="OGC27" s="4"/>
      <c r="OGD27" s="4"/>
      <c r="OGE27" s="4"/>
      <c r="OGF27" s="4"/>
      <c r="OGG27" s="4"/>
      <c r="OGH27" s="4"/>
      <c r="OGI27" s="4"/>
      <c r="OGJ27" s="4"/>
      <c r="OGK27" s="4"/>
      <c r="OGL27" s="4"/>
      <c r="OGM27" s="4"/>
      <c r="OGN27" s="4"/>
      <c r="OGO27" s="4"/>
      <c r="OGP27" s="4"/>
      <c r="OGQ27" s="4"/>
      <c r="OGR27" s="4"/>
      <c r="OGS27" s="4"/>
      <c r="OGT27" s="4"/>
      <c r="OGU27" s="4"/>
      <c r="OGV27" s="4"/>
      <c r="OGW27" s="4"/>
      <c r="OGX27" s="4"/>
      <c r="OGY27" s="4"/>
      <c r="OGZ27" s="4"/>
      <c r="OHA27" s="4"/>
      <c r="OHB27" s="4"/>
      <c r="OHC27" s="4"/>
      <c r="OHD27" s="4"/>
      <c r="OHE27" s="4"/>
      <c r="OHF27" s="4"/>
      <c r="OHG27" s="4"/>
      <c r="OHH27" s="4"/>
      <c r="OHI27" s="4"/>
      <c r="OHJ27" s="4"/>
      <c r="OHK27" s="4"/>
      <c r="OHL27" s="4"/>
      <c r="OHM27" s="4"/>
      <c r="OHN27" s="4"/>
      <c r="OHO27" s="4"/>
      <c r="OHP27" s="4"/>
      <c r="OHQ27" s="4"/>
      <c r="OHR27" s="4"/>
      <c r="OHS27" s="4"/>
      <c r="OHT27" s="4"/>
      <c r="OHU27" s="4"/>
      <c r="OHV27" s="4"/>
      <c r="OHW27" s="4"/>
      <c r="OHX27" s="4"/>
      <c r="OHY27" s="4"/>
      <c r="OHZ27" s="4"/>
      <c r="OIA27" s="4"/>
      <c r="OIB27" s="4"/>
      <c r="OIC27" s="4"/>
      <c r="OID27" s="4"/>
      <c r="OIE27" s="4"/>
      <c r="OIF27" s="4"/>
      <c r="OIG27" s="4"/>
      <c r="OIH27" s="4"/>
      <c r="OII27" s="4"/>
      <c r="OIJ27" s="4"/>
      <c r="OIK27" s="4"/>
      <c r="OIL27" s="4"/>
      <c r="OIM27" s="4"/>
      <c r="OIN27" s="4"/>
      <c r="OIO27" s="4"/>
      <c r="OIP27" s="4"/>
      <c r="OIQ27" s="4"/>
      <c r="OIR27" s="4"/>
      <c r="OIS27" s="4"/>
      <c r="OIT27" s="4"/>
      <c r="OIU27" s="4"/>
      <c r="OIV27" s="4"/>
      <c r="OIW27" s="4"/>
      <c r="OIX27" s="4"/>
      <c r="OIY27" s="4"/>
      <c r="OIZ27" s="4"/>
      <c r="OJA27" s="4"/>
      <c r="OJB27" s="4"/>
      <c r="OJC27" s="4"/>
      <c r="OJD27" s="4"/>
      <c r="OJE27" s="4"/>
      <c r="OJF27" s="4"/>
      <c r="OJG27" s="4"/>
      <c r="OJH27" s="4"/>
      <c r="OJI27" s="4"/>
      <c r="OJJ27" s="4"/>
      <c r="OJK27" s="4"/>
      <c r="OJL27" s="4"/>
      <c r="OJM27" s="4"/>
      <c r="OJN27" s="4"/>
      <c r="OJO27" s="4"/>
      <c r="OJP27" s="4"/>
      <c r="OJQ27" s="4"/>
      <c r="OJR27" s="4"/>
      <c r="OJS27" s="4"/>
      <c r="OJT27" s="4"/>
      <c r="OJU27" s="4"/>
      <c r="OJV27" s="4"/>
      <c r="OJW27" s="4"/>
      <c r="OJX27" s="4"/>
      <c r="OJY27" s="4"/>
      <c r="OJZ27" s="4"/>
      <c r="OKA27" s="4"/>
      <c r="OKB27" s="4"/>
      <c r="OKC27" s="4"/>
      <c r="OKD27" s="4"/>
      <c r="OKE27" s="4"/>
      <c r="OKF27" s="4"/>
      <c r="OKG27" s="4"/>
      <c r="OKH27" s="4"/>
      <c r="OKI27" s="4"/>
      <c r="OKJ27" s="4"/>
      <c r="OKK27" s="4"/>
      <c r="OKL27" s="4"/>
      <c r="OKM27" s="4"/>
      <c r="OKN27" s="4"/>
      <c r="OKO27" s="4"/>
      <c r="OKP27" s="4"/>
      <c r="OKQ27" s="4"/>
      <c r="OKR27" s="4"/>
      <c r="OKS27" s="4"/>
      <c r="OKT27" s="4"/>
      <c r="OKU27" s="4"/>
      <c r="OKV27" s="4"/>
      <c r="OKW27" s="4"/>
      <c r="OKX27" s="4"/>
      <c r="OKY27" s="4"/>
      <c r="OKZ27" s="4"/>
      <c r="OLA27" s="4"/>
      <c r="OLB27" s="4"/>
      <c r="OLC27" s="4"/>
      <c r="OLD27" s="4"/>
      <c r="OLE27" s="4"/>
      <c r="OLF27" s="4"/>
      <c r="OLG27" s="4"/>
      <c r="OLH27" s="4"/>
      <c r="OLI27" s="4"/>
      <c r="OLJ27" s="4"/>
      <c r="OLK27" s="4"/>
      <c r="OLL27" s="4"/>
      <c r="OLM27" s="4"/>
      <c r="OLN27" s="4"/>
      <c r="OLO27" s="4"/>
      <c r="OLP27" s="4"/>
      <c r="OLQ27" s="4"/>
      <c r="OLR27" s="4"/>
      <c r="OLS27" s="4"/>
      <c r="OLT27" s="4"/>
      <c r="OLU27" s="4"/>
      <c r="OLV27" s="4"/>
      <c r="OLW27" s="4"/>
      <c r="OLX27" s="4"/>
      <c r="OLY27" s="4"/>
      <c r="OLZ27" s="4"/>
      <c r="OMA27" s="4"/>
      <c r="OMB27" s="4"/>
      <c r="OMC27" s="4"/>
      <c r="OMD27" s="4"/>
      <c r="OME27" s="4"/>
      <c r="OMF27" s="4"/>
      <c r="OMG27" s="4"/>
      <c r="OMH27" s="4"/>
      <c r="OMI27" s="4"/>
      <c r="OMJ27" s="4"/>
      <c r="OMK27" s="4"/>
      <c r="OML27" s="4"/>
      <c r="OMM27" s="4"/>
      <c r="OMN27" s="4"/>
      <c r="OMO27" s="4"/>
      <c r="OMP27" s="4"/>
      <c r="OMQ27" s="4"/>
      <c r="OMR27" s="4"/>
      <c r="OMS27" s="4"/>
      <c r="OMT27" s="4"/>
      <c r="OMU27" s="4"/>
      <c r="OMV27" s="4"/>
      <c r="OMW27" s="4"/>
      <c r="OMX27" s="4"/>
      <c r="OMY27" s="4"/>
      <c r="OMZ27" s="4"/>
      <c r="ONA27" s="4"/>
      <c r="ONB27" s="4"/>
      <c r="ONC27" s="4"/>
      <c r="OND27" s="4"/>
      <c r="ONE27" s="4"/>
      <c r="ONF27" s="4"/>
      <c r="ONG27" s="4"/>
      <c r="ONH27" s="4"/>
      <c r="ONI27" s="4"/>
      <c r="ONJ27" s="4"/>
      <c r="ONK27" s="4"/>
      <c r="ONL27" s="4"/>
      <c r="ONM27" s="4"/>
      <c r="ONN27" s="4"/>
      <c r="ONO27" s="4"/>
      <c r="ONP27" s="4"/>
      <c r="ONQ27" s="4"/>
      <c r="ONR27" s="4"/>
      <c r="ONS27" s="4"/>
      <c r="ONT27" s="4"/>
      <c r="ONU27" s="4"/>
      <c r="ONV27" s="4"/>
      <c r="ONW27" s="4"/>
      <c r="ONX27" s="4"/>
      <c r="ONY27" s="4"/>
      <c r="ONZ27" s="4"/>
      <c r="OOA27" s="4"/>
      <c r="OOB27" s="4"/>
      <c r="OOC27" s="4"/>
      <c r="OOD27" s="4"/>
      <c r="OOE27" s="4"/>
      <c r="OOF27" s="4"/>
      <c r="OOG27" s="4"/>
      <c r="OOH27" s="4"/>
      <c r="OOI27" s="4"/>
      <c r="OOJ27" s="4"/>
      <c r="OOK27" s="4"/>
      <c r="OOL27" s="4"/>
      <c r="OOM27" s="4"/>
      <c r="OON27" s="4"/>
      <c r="OOO27" s="4"/>
      <c r="OOP27" s="4"/>
      <c r="OOQ27" s="4"/>
      <c r="OOR27" s="4"/>
      <c r="OOS27" s="4"/>
      <c r="OOT27" s="4"/>
      <c r="OOU27" s="4"/>
      <c r="OOV27" s="4"/>
      <c r="OOW27" s="4"/>
      <c r="OOX27" s="4"/>
      <c r="OOY27" s="4"/>
      <c r="OOZ27" s="4"/>
      <c r="OPA27" s="4"/>
      <c r="OPB27" s="4"/>
      <c r="OPC27" s="4"/>
      <c r="OPD27" s="4"/>
      <c r="OPE27" s="4"/>
      <c r="OPF27" s="4"/>
      <c r="OPG27" s="4"/>
      <c r="OPH27" s="4"/>
      <c r="OPI27" s="4"/>
      <c r="OPJ27" s="4"/>
      <c r="OPK27" s="4"/>
      <c r="OPL27" s="4"/>
      <c r="OPM27" s="4"/>
      <c r="OPN27" s="4"/>
      <c r="OPO27" s="4"/>
      <c r="OPP27" s="4"/>
      <c r="OPQ27" s="4"/>
      <c r="OPR27" s="4"/>
      <c r="OPS27" s="4"/>
      <c r="OPT27" s="4"/>
      <c r="OPU27" s="4"/>
      <c r="OPV27" s="4"/>
      <c r="OPW27" s="4"/>
      <c r="OPX27" s="4"/>
      <c r="OPY27" s="4"/>
      <c r="OPZ27" s="4"/>
      <c r="OQA27" s="4"/>
      <c r="OQB27" s="4"/>
      <c r="OQC27" s="4"/>
      <c r="OQD27" s="4"/>
      <c r="OQE27" s="4"/>
      <c r="OQF27" s="4"/>
      <c r="OQG27" s="4"/>
      <c r="OQH27" s="4"/>
      <c r="OQI27" s="4"/>
      <c r="OQJ27" s="4"/>
      <c r="OQK27" s="4"/>
      <c r="OQL27" s="4"/>
      <c r="OQM27" s="4"/>
      <c r="OQN27" s="4"/>
      <c r="OQO27" s="4"/>
      <c r="OQP27" s="4"/>
      <c r="OQQ27" s="4"/>
      <c r="OQR27" s="4"/>
      <c r="OQS27" s="4"/>
      <c r="OQT27" s="4"/>
      <c r="OQU27" s="4"/>
      <c r="OQV27" s="4"/>
      <c r="OQW27" s="4"/>
      <c r="OQX27" s="4"/>
      <c r="OQY27" s="4"/>
      <c r="OQZ27" s="4"/>
      <c r="ORA27" s="4"/>
      <c r="ORB27" s="4"/>
      <c r="ORC27" s="4"/>
      <c r="ORD27" s="4"/>
      <c r="ORE27" s="4"/>
      <c r="ORF27" s="4"/>
      <c r="ORG27" s="4"/>
      <c r="ORH27" s="4"/>
      <c r="ORI27" s="4"/>
      <c r="ORJ27" s="4"/>
      <c r="ORK27" s="4"/>
      <c r="ORL27" s="4"/>
      <c r="ORM27" s="4"/>
      <c r="ORN27" s="4"/>
      <c r="ORO27" s="4"/>
      <c r="ORP27" s="4"/>
      <c r="ORQ27" s="4"/>
      <c r="ORR27" s="4"/>
      <c r="ORS27" s="4"/>
      <c r="ORT27" s="4"/>
      <c r="ORU27" s="4"/>
      <c r="ORV27" s="4"/>
      <c r="ORW27" s="4"/>
      <c r="ORX27" s="4"/>
      <c r="ORY27" s="4"/>
      <c r="ORZ27" s="4"/>
      <c r="OSA27" s="4"/>
      <c r="OSB27" s="4"/>
      <c r="OSC27" s="4"/>
      <c r="OSD27" s="4"/>
      <c r="OSE27" s="4"/>
      <c r="OSF27" s="4"/>
      <c r="OSG27" s="4"/>
      <c r="OSH27" s="4"/>
      <c r="OSI27" s="4"/>
      <c r="OSJ27" s="4"/>
      <c r="OSK27" s="4"/>
      <c r="OSL27" s="4"/>
      <c r="OSM27" s="4"/>
      <c r="OSN27" s="4"/>
      <c r="OSO27" s="4"/>
      <c r="OSP27" s="4"/>
      <c r="OSQ27" s="4"/>
      <c r="OSR27" s="4"/>
      <c r="OSS27" s="4"/>
      <c r="OST27" s="4"/>
      <c r="OSU27" s="4"/>
      <c r="OSV27" s="4"/>
      <c r="OSW27" s="4"/>
      <c r="OSX27" s="4"/>
      <c r="OSY27" s="4"/>
      <c r="OSZ27" s="4"/>
      <c r="OTA27" s="4"/>
      <c r="OTB27" s="4"/>
      <c r="OTC27" s="4"/>
      <c r="OTD27" s="4"/>
      <c r="OTE27" s="4"/>
      <c r="OTF27" s="4"/>
      <c r="OTG27" s="4"/>
      <c r="OTH27" s="4"/>
      <c r="OTI27" s="4"/>
      <c r="OTJ27" s="4"/>
      <c r="OTK27" s="4"/>
      <c r="OTL27" s="4"/>
      <c r="OTM27" s="4"/>
      <c r="OTN27" s="4"/>
      <c r="OTO27" s="4"/>
      <c r="OTP27" s="4"/>
      <c r="OTQ27" s="4"/>
      <c r="OTR27" s="4"/>
      <c r="OTS27" s="4"/>
      <c r="OTT27" s="4"/>
      <c r="OTU27" s="4"/>
      <c r="OTV27" s="4"/>
      <c r="OTW27" s="4"/>
      <c r="OTX27" s="4"/>
      <c r="OTY27" s="4"/>
      <c r="OTZ27" s="4"/>
      <c r="OUA27" s="4"/>
      <c r="OUB27" s="4"/>
      <c r="OUC27" s="4"/>
      <c r="OUD27" s="4"/>
      <c r="OUE27" s="4"/>
      <c r="OUF27" s="4"/>
      <c r="OUG27" s="4"/>
      <c r="OUH27" s="4"/>
      <c r="OUI27" s="4"/>
      <c r="OUJ27" s="4"/>
      <c r="OUK27" s="4"/>
      <c r="OUL27" s="4"/>
      <c r="OUM27" s="4"/>
      <c r="OUN27" s="4"/>
      <c r="OUO27" s="4"/>
      <c r="OUP27" s="4"/>
      <c r="OUQ27" s="4"/>
      <c r="OUR27" s="4"/>
      <c r="OUS27" s="4"/>
      <c r="OUT27" s="4"/>
      <c r="OUU27" s="4"/>
      <c r="OUV27" s="4"/>
      <c r="OUW27" s="4"/>
      <c r="OUX27" s="4"/>
      <c r="OUY27" s="4"/>
      <c r="OUZ27" s="4"/>
      <c r="OVA27" s="4"/>
      <c r="OVB27" s="4"/>
      <c r="OVC27" s="4"/>
      <c r="OVD27" s="4"/>
      <c r="OVE27" s="4"/>
      <c r="OVF27" s="4"/>
      <c r="OVG27" s="4"/>
      <c r="OVH27" s="4"/>
      <c r="OVI27" s="4"/>
      <c r="OVJ27" s="4"/>
      <c r="OVK27" s="4"/>
      <c r="OVL27" s="4"/>
      <c r="OVM27" s="4"/>
      <c r="OVN27" s="4"/>
      <c r="OVO27" s="4"/>
      <c r="OVP27" s="4"/>
      <c r="OVQ27" s="4"/>
      <c r="OVR27" s="4"/>
      <c r="OVS27" s="4"/>
      <c r="OVT27" s="4"/>
      <c r="OVU27" s="4"/>
      <c r="OVV27" s="4"/>
      <c r="OVW27" s="4"/>
      <c r="OVX27" s="4"/>
      <c r="OVY27" s="4"/>
      <c r="OVZ27" s="4"/>
      <c r="OWA27" s="4"/>
      <c r="OWB27" s="4"/>
      <c r="OWC27" s="4"/>
      <c r="OWD27" s="4"/>
      <c r="OWE27" s="4"/>
      <c r="OWF27" s="4"/>
      <c r="OWG27" s="4"/>
      <c r="OWH27" s="4"/>
      <c r="OWI27" s="4"/>
      <c r="OWJ27" s="4"/>
      <c r="OWK27" s="4"/>
      <c r="OWL27" s="4"/>
      <c r="OWM27" s="4"/>
      <c r="OWN27" s="4"/>
      <c r="OWO27" s="4"/>
      <c r="OWP27" s="4"/>
      <c r="OWQ27" s="4"/>
      <c r="OWR27" s="4"/>
      <c r="OWS27" s="4"/>
      <c r="OWT27" s="4"/>
      <c r="OWU27" s="4"/>
      <c r="OWV27" s="4"/>
      <c r="OWW27" s="4"/>
      <c r="OWX27" s="4"/>
      <c r="OWY27" s="4"/>
      <c r="OWZ27" s="4"/>
      <c r="OXA27" s="4"/>
      <c r="OXB27" s="4"/>
      <c r="OXC27" s="4"/>
      <c r="OXD27" s="4"/>
      <c r="OXE27" s="4"/>
      <c r="OXF27" s="4"/>
      <c r="OXG27" s="4"/>
      <c r="OXH27" s="4"/>
      <c r="OXI27" s="4"/>
      <c r="OXJ27" s="4"/>
      <c r="OXK27" s="4"/>
      <c r="OXL27" s="4"/>
      <c r="OXM27" s="4"/>
      <c r="OXN27" s="4"/>
      <c r="OXO27" s="4"/>
      <c r="OXP27" s="4"/>
      <c r="OXQ27" s="4"/>
      <c r="OXR27" s="4"/>
      <c r="OXS27" s="4"/>
      <c r="OXT27" s="4"/>
      <c r="OXU27" s="4"/>
      <c r="OXV27" s="4"/>
      <c r="OXW27" s="4"/>
      <c r="OXX27" s="4"/>
      <c r="OXY27" s="4"/>
      <c r="OXZ27" s="4"/>
      <c r="OYA27" s="4"/>
      <c r="OYB27" s="4"/>
      <c r="OYC27" s="4"/>
      <c r="OYD27" s="4"/>
      <c r="OYE27" s="4"/>
      <c r="OYF27" s="4"/>
      <c r="OYG27" s="4"/>
      <c r="OYH27" s="4"/>
      <c r="OYI27" s="4"/>
      <c r="OYJ27" s="4"/>
      <c r="OYK27" s="4"/>
      <c r="OYL27" s="4"/>
      <c r="OYM27" s="4"/>
      <c r="OYN27" s="4"/>
      <c r="OYO27" s="4"/>
      <c r="OYP27" s="4"/>
      <c r="OYQ27" s="4"/>
      <c r="OYR27" s="4"/>
      <c r="OYS27" s="4"/>
      <c r="OYT27" s="4"/>
      <c r="OYU27" s="4"/>
      <c r="OYV27" s="4"/>
      <c r="OYW27" s="4"/>
      <c r="OYX27" s="4"/>
      <c r="OYY27" s="4"/>
      <c r="OYZ27" s="4"/>
      <c r="OZA27" s="4"/>
      <c r="OZB27" s="4"/>
      <c r="OZC27" s="4"/>
      <c r="OZD27" s="4"/>
      <c r="OZE27" s="4"/>
      <c r="OZF27" s="4"/>
      <c r="OZG27" s="4"/>
      <c r="OZH27" s="4"/>
      <c r="OZI27" s="4"/>
      <c r="OZJ27" s="4"/>
      <c r="OZK27" s="4"/>
      <c r="OZL27" s="4"/>
      <c r="OZM27" s="4"/>
      <c r="OZN27" s="4"/>
      <c r="OZO27" s="4"/>
      <c r="OZP27" s="4"/>
      <c r="OZQ27" s="4"/>
      <c r="OZR27" s="4"/>
      <c r="OZS27" s="4"/>
      <c r="OZT27" s="4"/>
      <c r="OZU27" s="4"/>
      <c r="OZV27" s="4"/>
      <c r="OZW27" s="4"/>
      <c r="OZX27" s="4"/>
      <c r="OZY27" s="4"/>
      <c r="OZZ27" s="4"/>
      <c r="PAA27" s="4"/>
      <c r="PAB27" s="4"/>
      <c r="PAC27" s="4"/>
      <c r="PAD27" s="4"/>
      <c r="PAE27" s="4"/>
      <c r="PAF27" s="4"/>
      <c r="PAG27" s="4"/>
      <c r="PAH27" s="4"/>
      <c r="PAI27" s="4"/>
      <c r="PAJ27" s="4"/>
      <c r="PAK27" s="4"/>
      <c r="PAL27" s="4"/>
      <c r="PAM27" s="4"/>
      <c r="PAN27" s="4"/>
      <c r="PAO27" s="4"/>
      <c r="PAP27" s="4"/>
      <c r="PAQ27" s="4"/>
      <c r="PAR27" s="4"/>
      <c r="PAS27" s="4"/>
      <c r="PAT27" s="4"/>
      <c r="PAU27" s="4"/>
      <c r="PAV27" s="4"/>
      <c r="PAW27" s="4"/>
      <c r="PAX27" s="4"/>
      <c r="PAY27" s="4"/>
      <c r="PAZ27" s="4"/>
      <c r="PBA27" s="4"/>
      <c r="PBB27" s="4"/>
      <c r="PBC27" s="4"/>
      <c r="PBD27" s="4"/>
      <c r="PBE27" s="4"/>
      <c r="PBF27" s="4"/>
      <c r="PBG27" s="4"/>
      <c r="PBH27" s="4"/>
      <c r="PBI27" s="4"/>
      <c r="PBJ27" s="4"/>
      <c r="PBK27" s="4"/>
      <c r="PBL27" s="4"/>
      <c r="PBM27" s="4"/>
      <c r="PBN27" s="4"/>
      <c r="PBO27" s="4"/>
      <c r="PBP27" s="4"/>
      <c r="PBQ27" s="4"/>
      <c r="PBR27" s="4"/>
      <c r="PBS27" s="4"/>
      <c r="PBT27" s="4"/>
      <c r="PBU27" s="4"/>
      <c r="PBV27" s="4"/>
      <c r="PBW27" s="4"/>
      <c r="PBX27" s="4"/>
      <c r="PBY27" s="4"/>
      <c r="PBZ27" s="4"/>
      <c r="PCA27" s="4"/>
      <c r="PCB27" s="4"/>
      <c r="PCC27" s="4"/>
      <c r="PCD27" s="4"/>
      <c r="PCE27" s="4"/>
      <c r="PCF27" s="4"/>
      <c r="PCG27" s="4"/>
      <c r="PCH27" s="4"/>
      <c r="PCI27" s="4"/>
      <c r="PCJ27" s="4"/>
      <c r="PCK27" s="4"/>
      <c r="PCL27" s="4"/>
      <c r="PCM27" s="4"/>
      <c r="PCN27" s="4"/>
      <c r="PCO27" s="4"/>
      <c r="PCP27" s="4"/>
      <c r="PCQ27" s="4"/>
      <c r="PCR27" s="4"/>
      <c r="PCS27" s="4"/>
      <c r="PCT27" s="4"/>
      <c r="PCU27" s="4"/>
      <c r="PCV27" s="4"/>
      <c r="PCW27" s="4"/>
      <c r="PCX27" s="4"/>
      <c r="PCY27" s="4"/>
      <c r="PCZ27" s="4"/>
      <c r="PDA27" s="4"/>
      <c r="PDB27" s="4"/>
      <c r="PDC27" s="4"/>
      <c r="PDD27" s="4"/>
      <c r="PDE27" s="4"/>
      <c r="PDF27" s="4"/>
      <c r="PDG27" s="4"/>
      <c r="PDH27" s="4"/>
      <c r="PDI27" s="4"/>
      <c r="PDJ27" s="4"/>
      <c r="PDK27" s="4"/>
      <c r="PDL27" s="4"/>
      <c r="PDM27" s="4"/>
      <c r="PDN27" s="4"/>
      <c r="PDO27" s="4"/>
      <c r="PDP27" s="4"/>
      <c r="PDQ27" s="4"/>
      <c r="PDR27" s="4"/>
      <c r="PDS27" s="4"/>
      <c r="PDT27" s="4"/>
      <c r="PDU27" s="4"/>
      <c r="PDV27" s="4"/>
      <c r="PDW27" s="4"/>
      <c r="PDX27" s="4"/>
      <c r="PDY27" s="4"/>
      <c r="PDZ27" s="4"/>
      <c r="PEA27" s="4"/>
      <c r="PEB27" s="4"/>
      <c r="PEC27" s="4"/>
      <c r="PED27" s="4"/>
      <c r="PEE27" s="4"/>
      <c r="PEF27" s="4"/>
      <c r="PEG27" s="4"/>
      <c r="PEH27" s="4"/>
      <c r="PEI27" s="4"/>
      <c r="PEJ27" s="4"/>
      <c r="PEK27" s="4"/>
      <c r="PEL27" s="4"/>
      <c r="PEM27" s="4"/>
      <c r="PEN27" s="4"/>
      <c r="PEO27" s="4"/>
      <c r="PEP27" s="4"/>
      <c r="PEQ27" s="4"/>
      <c r="PER27" s="4"/>
      <c r="PES27" s="4"/>
      <c r="PET27" s="4"/>
      <c r="PEU27" s="4"/>
      <c r="PEV27" s="4"/>
      <c r="PEW27" s="4"/>
      <c r="PEX27" s="4"/>
      <c r="PEY27" s="4"/>
      <c r="PEZ27" s="4"/>
      <c r="PFA27" s="4"/>
      <c r="PFB27" s="4"/>
      <c r="PFC27" s="4"/>
      <c r="PFD27" s="4"/>
      <c r="PFE27" s="4"/>
      <c r="PFF27" s="4"/>
      <c r="PFG27" s="4"/>
      <c r="PFH27" s="4"/>
      <c r="PFI27" s="4"/>
      <c r="PFJ27" s="4"/>
      <c r="PFK27" s="4"/>
      <c r="PFL27" s="4"/>
      <c r="PFM27" s="4"/>
      <c r="PFN27" s="4"/>
      <c r="PFO27" s="4"/>
      <c r="PFP27" s="4"/>
      <c r="PFQ27" s="4"/>
      <c r="PFR27" s="4"/>
      <c r="PFS27" s="4"/>
      <c r="PFT27" s="4"/>
      <c r="PFU27" s="4"/>
      <c r="PFV27" s="4"/>
      <c r="PFW27" s="4"/>
      <c r="PFX27" s="4"/>
      <c r="PFY27" s="4"/>
      <c r="PFZ27" s="4"/>
      <c r="PGA27" s="4"/>
      <c r="PGB27" s="4"/>
      <c r="PGC27" s="4"/>
      <c r="PGD27" s="4"/>
      <c r="PGE27" s="4"/>
      <c r="PGF27" s="4"/>
      <c r="PGG27" s="4"/>
      <c r="PGH27" s="4"/>
      <c r="PGI27" s="4"/>
      <c r="PGJ27" s="4"/>
      <c r="PGK27" s="4"/>
      <c r="PGL27" s="4"/>
      <c r="PGM27" s="4"/>
      <c r="PGN27" s="4"/>
      <c r="PGO27" s="4"/>
      <c r="PGP27" s="4"/>
      <c r="PGQ27" s="4"/>
      <c r="PGR27" s="4"/>
      <c r="PGS27" s="4"/>
      <c r="PGT27" s="4"/>
      <c r="PGU27" s="4"/>
      <c r="PGV27" s="4"/>
      <c r="PGW27" s="4"/>
      <c r="PGX27" s="4"/>
      <c r="PGY27" s="4"/>
      <c r="PGZ27" s="4"/>
      <c r="PHA27" s="4"/>
      <c r="PHB27" s="4"/>
      <c r="PHC27" s="4"/>
      <c r="PHD27" s="4"/>
      <c r="PHE27" s="4"/>
      <c r="PHF27" s="4"/>
      <c r="PHG27" s="4"/>
      <c r="PHH27" s="4"/>
      <c r="PHI27" s="4"/>
      <c r="PHJ27" s="4"/>
      <c r="PHK27" s="4"/>
      <c r="PHL27" s="4"/>
      <c r="PHM27" s="4"/>
      <c r="PHN27" s="4"/>
      <c r="PHO27" s="4"/>
      <c r="PHP27" s="4"/>
      <c r="PHQ27" s="4"/>
      <c r="PHR27" s="4"/>
      <c r="PHS27" s="4"/>
      <c r="PHT27" s="4"/>
      <c r="PHU27" s="4"/>
      <c r="PHV27" s="4"/>
      <c r="PHW27" s="4"/>
      <c r="PHX27" s="4"/>
      <c r="PHY27" s="4"/>
      <c r="PHZ27" s="4"/>
      <c r="PIA27" s="4"/>
      <c r="PIB27" s="4"/>
      <c r="PIC27" s="4"/>
      <c r="PID27" s="4"/>
      <c r="PIE27" s="4"/>
      <c r="PIF27" s="4"/>
      <c r="PIG27" s="4"/>
      <c r="PIH27" s="4"/>
      <c r="PII27" s="4"/>
      <c r="PIJ27" s="4"/>
      <c r="PIK27" s="4"/>
      <c r="PIL27" s="4"/>
      <c r="PIM27" s="4"/>
      <c r="PIN27" s="4"/>
      <c r="PIO27" s="4"/>
      <c r="PIP27" s="4"/>
      <c r="PIQ27" s="4"/>
      <c r="PIR27" s="4"/>
      <c r="PIS27" s="4"/>
      <c r="PIT27" s="4"/>
      <c r="PIU27" s="4"/>
      <c r="PIV27" s="4"/>
      <c r="PIW27" s="4"/>
      <c r="PIX27" s="4"/>
      <c r="PIY27" s="4"/>
      <c r="PIZ27" s="4"/>
      <c r="PJA27" s="4"/>
      <c r="PJB27" s="4"/>
      <c r="PJC27" s="4"/>
      <c r="PJD27" s="4"/>
      <c r="PJE27" s="4"/>
      <c r="PJF27" s="4"/>
      <c r="PJG27" s="4"/>
      <c r="PJH27" s="4"/>
      <c r="PJI27" s="4"/>
      <c r="PJJ27" s="4"/>
      <c r="PJK27" s="4"/>
      <c r="PJL27" s="4"/>
      <c r="PJM27" s="4"/>
      <c r="PJN27" s="4"/>
      <c r="PJO27" s="4"/>
      <c r="PJP27" s="4"/>
      <c r="PJQ27" s="4"/>
      <c r="PJR27" s="4"/>
      <c r="PJS27" s="4"/>
      <c r="PJT27" s="4"/>
      <c r="PJU27" s="4"/>
      <c r="PJV27" s="4"/>
      <c r="PJW27" s="4"/>
      <c r="PJX27" s="4"/>
      <c r="PJY27" s="4"/>
      <c r="PJZ27" s="4"/>
      <c r="PKA27" s="4"/>
      <c r="PKB27" s="4"/>
      <c r="PKC27" s="4"/>
      <c r="PKD27" s="4"/>
      <c r="PKE27" s="4"/>
      <c r="PKF27" s="4"/>
      <c r="PKG27" s="4"/>
      <c r="PKH27" s="4"/>
      <c r="PKI27" s="4"/>
      <c r="PKJ27" s="4"/>
      <c r="PKK27" s="4"/>
      <c r="PKL27" s="4"/>
      <c r="PKM27" s="4"/>
      <c r="PKN27" s="4"/>
      <c r="PKO27" s="4"/>
      <c r="PKP27" s="4"/>
      <c r="PKQ27" s="4"/>
      <c r="PKR27" s="4"/>
      <c r="PKS27" s="4"/>
      <c r="PKT27" s="4"/>
      <c r="PKU27" s="4"/>
      <c r="PKV27" s="4"/>
      <c r="PKW27" s="4"/>
      <c r="PKX27" s="4"/>
      <c r="PKY27" s="4"/>
      <c r="PKZ27" s="4"/>
      <c r="PLA27" s="4"/>
      <c r="PLB27" s="4"/>
      <c r="PLC27" s="4"/>
      <c r="PLD27" s="4"/>
      <c r="PLE27" s="4"/>
      <c r="PLF27" s="4"/>
      <c r="PLG27" s="4"/>
      <c r="PLH27" s="4"/>
      <c r="PLI27" s="4"/>
      <c r="PLJ27" s="4"/>
      <c r="PLK27" s="4"/>
      <c r="PLL27" s="4"/>
      <c r="PLM27" s="4"/>
      <c r="PLN27" s="4"/>
      <c r="PLO27" s="4"/>
      <c r="PLP27" s="4"/>
      <c r="PLQ27" s="4"/>
      <c r="PLR27" s="4"/>
      <c r="PLS27" s="4"/>
      <c r="PLT27" s="4"/>
      <c r="PLU27" s="4"/>
      <c r="PLV27" s="4"/>
      <c r="PLW27" s="4"/>
      <c r="PLX27" s="4"/>
      <c r="PLY27" s="4"/>
      <c r="PLZ27" s="4"/>
      <c r="PMA27" s="4"/>
      <c r="PMB27" s="4"/>
      <c r="PMC27" s="4"/>
      <c r="PMD27" s="4"/>
      <c r="PME27" s="4"/>
      <c r="PMF27" s="4"/>
      <c r="PMG27" s="4"/>
      <c r="PMH27" s="4"/>
      <c r="PMI27" s="4"/>
      <c r="PMJ27" s="4"/>
      <c r="PMK27" s="4"/>
      <c r="PML27" s="4"/>
      <c r="PMM27" s="4"/>
      <c r="PMN27" s="4"/>
      <c r="PMO27" s="4"/>
      <c r="PMP27" s="4"/>
      <c r="PMQ27" s="4"/>
      <c r="PMR27" s="4"/>
      <c r="PMS27" s="4"/>
      <c r="PMT27" s="4"/>
      <c r="PMU27" s="4"/>
      <c r="PMV27" s="4"/>
      <c r="PMW27" s="4"/>
      <c r="PMX27" s="4"/>
      <c r="PMY27" s="4"/>
      <c r="PMZ27" s="4"/>
      <c r="PNA27" s="4"/>
      <c r="PNB27" s="4"/>
      <c r="PNC27" s="4"/>
      <c r="PND27" s="4"/>
      <c r="PNE27" s="4"/>
      <c r="PNF27" s="4"/>
      <c r="PNG27" s="4"/>
      <c r="PNH27" s="4"/>
      <c r="PNI27" s="4"/>
      <c r="PNJ27" s="4"/>
      <c r="PNK27" s="4"/>
      <c r="PNL27" s="4"/>
      <c r="PNM27" s="4"/>
      <c r="PNN27" s="4"/>
      <c r="PNO27" s="4"/>
      <c r="PNP27" s="4"/>
      <c r="PNQ27" s="4"/>
      <c r="PNR27" s="4"/>
      <c r="PNS27" s="4"/>
      <c r="PNT27" s="4"/>
      <c r="PNU27" s="4"/>
      <c r="PNV27" s="4"/>
      <c r="PNW27" s="4"/>
      <c r="PNX27" s="4"/>
      <c r="PNY27" s="4"/>
      <c r="PNZ27" s="4"/>
      <c r="POA27" s="4"/>
      <c r="POB27" s="4"/>
      <c r="POC27" s="4"/>
      <c r="POD27" s="4"/>
      <c r="POE27" s="4"/>
      <c r="POF27" s="4"/>
      <c r="POG27" s="4"/>
      <c r="POH27" s="4"/>
      <c r="POI27" s="4"/>
      <c r="POJ27" s="4"/>
      <c r="POK27" s="4"/>
      <c r="POL27" s="4"/>
      <c r="POM27" s="4"/>
      <c r="PON27" s="4"/>
      <c r="POO27" s="4"/>
      <c r="POP27" s="4"/>
      <c r="POQ27" s="4"/>
      <c r="POR27" s="4"/>
      <c r="POS27" s="4"/>
      <c r="POT27" s="4"/>
      <c r="POU27" s="4"/>
      <c r="POV27" s="4"/>
      <c r="POW27" s="4"/>
      <c r="POX27" s="4"/>
      <c r="POY27" s="4"/>
      <c r="POZ27" s="4"/>
      <c r="PPA27" s="4"/>
      <c r="PPB27" s="4"/>
      <c r="PPC27" s="4"/>
      <c r="PPD27" s="4"/>
      <c r="PPE27" s="4"/>
      <c r="PPF27" s="4"/>
      <c r="PPG27" s="4"/>
      <c r="PPH27" s="4"/>
      <c r="PPI27" s="4"/>
      <c r="PPJ27" s="4"/>
      <c r="PPK27" s="4"/>
      <c r="PPL27" s="4"/>
      <c r="PPM27" s="4"/>
      <c r="PPN27" s="4"/>
      <c r="PPO27" s="4"/>
      <c r="PPP27" s="4"/>
      <c r="PPQ27" s="4"/>
      <c r="PPR27" s="4"/>
      <c r="PPS27" s="4"/>
      <c r="PPT27" s="4"/>
      <c r="PPU27" s="4"/>
      <c r="PPV27" s="4"/>
      <c r="PPW27" s="4"/>
      <c r="PPX27" s="4"/>
      <c r="PPY27" s="4"/>
      <c r="PPZ27" s="4"/>
      <c r="PQA27" s="4"/>
      <c r="PQB27" s="4"/>
      <c r="PQC27" s="4"/>
      <c r="PQD27" s="4"/>
      <c r="PQE27" s="4"/>
      <c r="PQF27" s="4"/>
      <c r="PQG27" s="4"/>
      <c r="PQH27" s="4"/>
      <c r="PQI27" s="4"/>
      <c r="PQJ27" s="4"/>
      <c r="PQK27" s="4"/>
      <c r="PQL27" s="4"/>
      <c r="PQM27" s="4"/>
      <c r="PQN27" s="4"/>
      <c r="PQO27" s="4"/>
      <c r="PQP27" s="4"/>
      <c r="PQQ27" s="4"/>
      <c r="PQR27" s="4"/>
      <c r="PQS27" s="4"/>
      <c r="PQT27" s="4"/>
      <c r="PQU27" s="4"/>
      <c r="PQV27" s="4"/>
      <c r="PQW27" s="4"/>
      <c r="PQX27" s="4"/>
      <c r="PQY27" s="4"/>
      <c r="PQZ27" s="4"/>
      <c r="PRA27" s="4"/>
      <c r="PRB27" s="4"/>
      <c r="PRC27" s="4"/>
      <c r="PRD27" s="4"/>
      <c r="PRE27" s="4"/>
      <c r="PRF27" s="4"/>
      <c r="PRG27" s="4"/>
      <c r="PRH27" s="4"/>
      <c r="PRI27" s="4"/>
      <c r="PRJ27" s="4"/>
      <c r="PRK27" s="4"/>
      <c r="PRL27" s="4"/>
      <c r="PRM27" s="4"/>
      <c r="PRN27" s="4"/>
      <c r="PRO27" s="4"/>
      <c r="PRP27" s="4"/>
      <c r="PRQ27" s="4"/>
      <c r="PRR27" s="4"/>
      <c r="PRS27" s="4"/>
      <c r="PRT27" s="4"/>
      <c r="PRU27" s="4"/>
      <c r="PRV27" s="4"/>
      <c r="PRW27" s="4"/>
      <c r="PRX27" s="4"/>
      <c r="PRY27" s="4"/>
      <c r="PRZ27" s="4"/>
      <c r="PSA27" s="4"/>
      <c r="PSB27" s="4"/>
      <c r="PSC27" s="4"/>
      <c r="PSD27" s="4"/>
      <c r="PSE27" s="4"/>
      <c r="PSF27" s="4"/>
      <c r="PSG27" s="4"/>
      <c r="PSH27" s="4"/>
      <c r="PSI27" s="4"/>
      <c r="PSJ27" s="4"/>
      <c r="PSK27" s="4"/>
      <c r="PSL27" s="4"/>
      <c r="PSM27" s="4"/>
      <c r="PSN27" s="4"/>
      <c r="PSO27" s="4"/>
      <c r="PSP27" s="4"/>
      <c r="PSQ27" s="4"/>
      <c r="PSR27" s="4"/>
      <c r="PSS27" s="4"/>
      <c r="PST27" s="4"/>
      <c r="PSU27" s="4"/>
      <c r="PSV27" s="4"/>
      <c r="PSW27" s="4"/>
      <c r="PSX27" s="4"/>
      <c r="PSY27" s="4"/>
      <c r="PSZ27" s="4"/>
      <c r="PTA27" s="4"/>
      <c r="PTB27" s="4"/>
      <c r="PTC27" s="4"/>
      <c r="PTD27" s="4"/>
      <c r="PTE27" s="4"/>
      <c r="PTF27" s="4"/>
      <c r="PTG27" s="4"/>
      <c r="PTH27" s="4"/>
      <c r="PTI27" s="4"/>
      <c r="PTJ27" s="4"/>
      <c r="PTK27" s="4"/>
      <c r="PTL27" s="4"/>
      <c r="PTM27" s="4"/>
      <c r="PTN27" s="4"/>
      <c r="PTO27" s="4"/>
      <c r="PTP27" s="4"/>
      <c r="PTQ27" s="4"/>
      <c r="PTR27" s="4"/>
      <c r="PTS27" s="4"/>
      <c r="PTT27" s="4"/>
      <c r="PTU27" s="4"/>
      <c r="PTV27" s="4"/>
      <c r="PTW27" s="4"/>
      <c r="PTX27" s="4"/>
      <c r="PTY27" s="4"/>
      <c r="PTZ27" s="4"/>
      <c r="PUA27" s="4"/>
      <c r="PUB27" s="4"/>
      <c r="PUC27" s="4"/>
      <c r="PUD27" s="4"/>
      <c r="PUE27" s="4"/>
      <c r="PUF27" s="4"/>
      <c r="PUG27" s="4"/>
      <c r="PUH27" s="4"/>
      <c r="PUI27" s="4"/>
      <c r="PUJ27" s="4"/>
      <c r="PUK27" s="4"/>
      <c r="PUL27" s="4"/>
      <c r="PUM27" s="4"/>
      <c r="PUN27" s="4"/>
      <c r="PUO27" s="4"/>
      <c r="PUP27" s="4"/>
      <c r="PUQ27" s="4"/>
      <c r="PUR27" s="4"/>
      <c r="PUS27" s="4"/>
      <c r="PUT27" s="4"/>
      <c r="PUU27" s="4"/>
      <c r="PUV27" s="4"/>
      <c r="PUW27" s="4"/>
      <c r="PUX27" s="4"/>
      <c r="PUY27" s="4"/>
      <c r="PUZ27" s="4"/>
      <c r="PVA27" s="4"/>
      <c r="PVB27" s="4"/>
      <c r="PVC27" s="4"/>
      <c r="PVD27" s="4"/>
      <c r="PVE27" s="4"/>
      <c r="PVF27" s="4"/>
      <c r="PVG27" s="4"/>
      <c r="PVH27" s="4"/>
      <c r="PVI27" s="4"/>
      <c r="PVJ27" s="4"/>
      <c r="PVK27" s="4"/>
      <c r="PVL27" s="4"/>
      <c r="PVM27" s="4"/>
      <c r="PVN27" s="4"/>
      <c r="PVO27" s="4"/>
      <c r="PVP27" s="4"/>
      <c r="PVQ27" s="4"/>
      <c r="PVR27" s="4"/>
      <c r="PVS27" s="4"/>
      <c r="PVT27" s="4"/>
      <c r="PVU27" s="4"/>
      <c r="PVV27" s="4"/>
      <c r="PVW27" s="4"/>
      <c r="PVX27" s="4"/>
      <c r="PVY27" s="4"/>
      <c r="PVZ27" s="4"/>
      <c r="PWA27" s="4"/>
      <c r="PWB27" s="4"/>
      <c r="PWC27" s="4"/>
      <c r="PWD27" s="4"/>
      <c r="PWE27" s="4"/>
      <c r="PWF27" s="4"/>
      <c r="PWG27" s="4"/>
      <c r="PWH27" s="4"/>
      <c r="PWI27" s="4"/>
      <c r="PWJ27" s="4"/>
      <c r="PWK27" s="4"/>
      <c r="PWL27" s="4"/>
      <c r="PWM27" s="4"/>
      <c r="PWN27" s="4"/>
      <c r="PWO27" s="4"/>
      <c r="PWP27" s="4"/>
      <c r="PWQ27" s="4"/>
      <c r="PWR27" s="4"/>
      <c r="PWS27" s="4"/>
      <c r="PWT27" s="4"/>
      <c r="PWU27" s="4"/>
      <c r="PWV27" s="4"/>
      <c r="PWW27" s="4"/>
      <c r="PWX27" s="4"/>
      <c r="PWY27" s="4"/>
      <c r="PWZ27" s="4"/>
      <c r="PXA27" s="4"/>
      <c r="PXB27" s="4"/>
      <c r="PXC27" s="4"/>
      <c r="PXD27" s="4"/>
      <c r="PXE27" s="4"/>
      <c r="PXF27" s="4"/>
      <c r="PXG27" s="4"/>
      <c r="PXH27" s="4"/>
      <c r="PXI27" s="4"/>
      <c r="PXJ27" s="4"/>
      <c r="PXK27" s="4"/>
      <c r="PXL27" s="4"/>
      <c r="PXM27" s="4"/>
      <c r="PXN27" s="4"/>
      <c r="PXO27" s="4"/>
      <c r="PXP27" s="4"/>
      <c r="PXQ27" s="4"/>
      <c r="PXR27" s="4"/>
      <c r="PXS27" s="4"/>
      <c r="PXT27" s="4"/>
      <c r="PXU27" s="4"/>
      <c r="PXV27" s="4"/>
      <c r="PXW27" s="4"/>
      <c r="PXX27" s="4"/>
      <c r="PXY27" s="4"/>
      <c r="PXZ27" s="4"/>
      <c r="PYA27" s="4"/>
      <c r="PYB27" s="4"/>
      <c r="PYC27" s="4"/>
      <c r="PYD27" s="4"/>
      <c r="PYE27" s="4"/>
      <c r="PYF27" s="4"/>
      <c r="PYG27" s="4"/>
      <c r="PYH27" s="4"/>
      <c r="PYI27" s="4"/>
      <c r="PYJ27" s="4"/>
      <c r="PYK27" s="4"/>
      <c r="PYL27" s="4"/>
      <c r="PYM27" s="4"/>
      <c r="PYN27" s="4"/>
      <c r="PYO27" s="4"/>
      <c r="PYP27" s="4"/>
      <c r="PYQ27" s="4"/>
      <c r="PYR27" s="4"/>
      <c r="PYS27" s="4"/>
      <c r="PYT27" s="4"/>
      <c r="PYU27" s="4"/>
      <c r="PYV27" s="4"/>
      <c r="PYW27" s="4"/>
      <c r="PYX27" s="4"/>
      <c r="PYY27" s="4"/>
      <c r="PYZ27" s="4"/>
      <c r="PZA27" s="4"/>
      <c r="PZB27" s="4"/>
      <c r="PZC27" s="4"/>
      <c r="PZD27" s="4"/>
      <c r="PZE27" s="4"/>
      <c r="PZF27" s="4"/>
      <c r="PZG27" s="4"/>
      <c r="PZH27" s="4"/>
      <c r="PZI27" s="4"/>
      <c r="PZJ27" s="4"/>
      <c r="PZK27" s="4"/>
      <c r="PZL27" s="4"/>
      <c r="PZM27" s="4"/>
      <c r="PZN27" s="4"/>
      <c r="PZO27" s="4"/>
      <c r="PZP27" s="4"/>
      <c r="PZQ27" s="4"/>
      <c r="PZR27" s="4"/>
      <c r="PZS27" s="4"/>
      <c r="PZT27" s="4"/>
      <c r="PZU27" s="4"/>
      <c r="PZV27" s="4"/>
      <c r="PZW27" s="4"/>
      <c r="PZX27" s="4"/>
      <c r="PZY27" s="4"/>
      <c r="PZZ27" s="4"/>
      <c r="QAA27" s="4"/>
      <c r="QAB27" s="4"/>
      <c r="QAC27" s="4"/>
      <c r="QAD27" s="4"/>
      <c r="QAE27" s="4"/>
      <c r="QAF27" s="4"/>
      <c r="QAG27" s="4"/>
      <c r="QAH27" s="4"/>
      <c r="QAI27" s="4"/>
      <c r="QAJ27" s="4"/>
      <c r="QAK27" s="4"/>
      <c r="QAL27" s="4"/>
      <c r="QAM27" s="4"/>
      <c r="QAN27" s="4"/>
      <c r="QAO27" s="4"/>
      <c r="QAP27" s="4"/>
      <c r="QAQ27" s="4"/>
      <c r="QAR27" s="4"/>
      <c r="QAS27" s="4"/>
      <c r="QAT27" s="4"/>
      <c r="QAU27" s="4"/>
      <c r="QAV27" s="4"/>
      <c r="QAW27" s="4"/>
      <c r="QAX27" s="4"/>
      <c r="QAY27" s="4"/>
      <c r="QAZ27" s="4"/>
      <c r="QBA27" s="4"/>
      <c r="QBB27" s="4"/>
      <c r="QBC27" s="4"/>
      <c r="QBD27" s="4"/>
      <c r="QBE27" s="4"/>
      <c r="QBF27" s="4"/>
      <c r="QBG27" s="4"/>
      <c r="QBH27" s="4"/>
      <c r="QBI27" s="4"/>
      <c r="QBJ27" s="4"/>
      <c r="QBK27" s="4"/>
      <c r="QBL27" s="4"/>
      <c r="QBM27" s="4"/>
      <c r="QBN27" s="4"/>
      <c r="QBO27" s="4"/>
      <c r="QBP27" s="4"/>
      <c r="QBQ27" s="4"/>
      <c r="QBR27" s="4"/>
      <c r="QBS27" s="4"/>
      <c r="QBT27" s="4"/>
      <c r="QBU27" s="4"/>
      <c r="QBV27" s="4"/>
      <c r="QBW27" s="4"/>
      <c r="QBX27" s="4"/>
      <c r="QBY27" s="4"/>
      <c r="QBZ27" s="4"/>
      <c r="QCA27" s="4"/>
      <c r="QCB27" s="4"/>
      <c r="QCC27" s="4"/>
      <c r="QCD27" s="4"/>
      <c r="QCE27" s="4"/>
      <c r="QCF27" s="4"/>
      <c r="QCG27" s="4"/>
      <c r="QCH27" s="4"/>
      <c r="QCI27" s="4"/>
      <c r="QCJ27" s="4"/>
      <c r="QCK27" s="4"/>
      <c r="QCL27" s="4"/>
      <c r="QCM27" s="4"/>
      <c r="QCN27" s="4"/>
      <c r="QCO27" s="4"/>
      <c r="QCP27" s="4"/>
      <c r="QCQ27" s="4"/>
      <c r="QCR27" s="4"/>
      <c r="QCS27" s="4"/>
      <c r="QCT27" s="4"/>
      <c r="QCU27" s="4"/>
      <c r="QCV27" s="4"/>
      <c r="QCW27" s="4"/>
      <c r="QCX27" s="4"/>
      <c r="QCY27" s="4"/>
      <c r="QCZ27" s="4"/>
      <c r="QDA27" s="4"/>
      <c r="QDB27" s="4"/>
      <c r="QDC27" s="4"/>
      <c r="QDD27" s="4"/>
      <c r="QDE27" s="4"/>
      <c r="QDF27" s="4"/>
      <c r="QDG27" s="4"/>
      <c r="QDH27" s="4"/>
      <c r="QDI27" s="4"/>
      <c r="QDJ27" s="4"/>
      <c r="QDK27" s="4"/>
      <c r="QDL27" s="4"/>
      <c r="QDM27" s="4"/>
      <c r="QDN27" s="4"/>
      <c r="QDO27" s="4"/>
      <c r="QDP27" s="4"/>
      <c r="QDQ27" s="4"/>
      <c r="QDR27" s="4"/>
      <c r="QDS27" s="4"/>
      <c r="QDT27" s="4"/>
      <c r="QDU27" s="4"/>
      <c r="QDV27" s="4"/>
      <c r="QDW27" s="4"/>
      <c r="QDX27" s="4"/>
      <c r="QDY27" s="4"/>
      <c r="QDZ27" s="4"/>
      <c r="QEA27" s="4"/>
      <c r="QEB27" s="4"/>
      <c r="QEC27" s="4"/>
      <c r="QED27" s="4"/>
      <c r="QEE27" s="4"/>
      <c r="QEF27" s="4"/>
      <c r="QEG27" s="4"/>
      <c r="QEH27" s="4"/>
      <c r="QEI27" s="4"/>
      <c r="QEJ27" s="4"/>
      <c r="QEK27" s="4"/>
      <c r="QEL27" s="4"/>
      <c r="QEM27" s="4"/>
      <c r="QEN27" s="4"/>
      <c r="QEO27" s="4"/>
      <c r="QEP27" s="4"/>
      <c r="QEQ27" s="4"/>
      <c r="QER27" s="4"/>
      <c r="QES27" s="4"/>
      <c r="QET27" s="4"/>
      <c r="QEU27" s="4"/>
      <c r="QEV27" s="4"/>
      <c r="QEW27" s="4"/>
      <c r="QEX27" s="4"/>
      <c r="QEY27" s="4"/>
      <c r="QEZ27" s="4"/>
      <c r="QFA27" s="4"/>
      <c r="QFB27" s="4"/>
      <c r="QFC27" s="4"/>
      <c r="QFD27" s="4"/>
      <c r="QFE27" s="4"/>
      <c r="QFF27" s="4"/>
      <c r="QFG27" s="4"/>
      <c r="QFH27" s="4"/>
      <c r="QFI27" s="4"/>
      <c r="QFJ27" s="4"/>
      <c r="QFK27" s="4"/>
      <c r="QFL27" s="4"/>
      <c r="QFM27" s="4"/>
      <c r="QFN27" s="4"/>
      <c r="QFO27" s="4"/>
      <c r="QFP27" s="4"/>
      <c r="QFQ27" s="4"/>
      <c r="QFR27" s="4"/>
      <c r="QFS27" s="4"/>
      <c r="QFT27" s="4"/>
      <c r="QFU27" s="4"/>
      <c r="QFV27" s="4"/>
      <c r="QFW27" s="4"/>
      <c r="QFX27" s="4"/>
      <c r="QFY27" s="4"/>
      <c r="QFZ27" s="4"/>
      <c r="QGA27" s="4"/>
      <c r="QGB27" s="4"/>
      <c r="QGC27" s="4"/>
      <c r="QGD27" s="4"/>
      <c r="QGE27" s="4"/>
      <c r="QGF27" s="4"/>
      <c r="QGG27" s="4"/>
      <c r="QGH27" s="4"/>
      <c r="QGI27" s="4"/>
      <c r="QGJ27" s="4"/>
      <c r="QGK27" s="4"/>
      <c r="QGL27" s="4"/>
      <c r="QGM27" s="4"/>
      <c r="QGN27" s="4"/>
      <c r="QGO27" s="4"/>
      <c r="QGP27" s="4"/>
      <c r="QGQ27" s="4"/>
      <c r="QGR27" s="4"/>
      <c r="QGS27" s="4"/>
      <c r="QGT27" s="4"/>
      <c r="QGU27" s="4"/>
      <c r="QGV27" s="4"/>
      <c r="QGW27" s="4"/>
      <c r="QGX27" s="4"/>
      <c r="QGY27" s="4"/>
      <c r="QGZ27" s="4"/>
      <c r="QHA27" s="4"/>
      <c r="QHB27" s="4"/>
      <c r="QHC27" s="4"/>
      <c r="QHD27" s="4"/>
      <c r="QHE27" s="4"/>
      <c r="QHF27" s="4"/>
      <c r="QHG27" s="4"/>
      <c r="QHH27" s="4"/>
      <c r="QHI27" s="4"/>
      <c r="QHJ27" s="4"/>
      <c r="QHK27" s="4"/>
      <c r="QHL27" s="4"/>
      <c r="QHM27" s="4"/>
      <c r="QHN27" s="4"/>
      <c r="QHO27" s="4"/>
      <c r="QHP27" s="4"/>
      <c r="QHQ27" s="4"/>
      <c r="QHR27" s="4"/>
      <c r="QHS27" s="4"/>
      <c r="QHT27" s="4"/>
      <c r="QHU27" s="4"/>
      <c r="QHV27" s="4"/>
      <c r="QHW27" s="4"/>
      <c r="QHX27" s="4"/>
      <c r="QHY27" s="4"/>
      <c r="QHZ27" s="4"/>
      <c r="QIA27" s="4"/>
      <c r="QIB27" s="4"/>
      <c r="QIC27" s="4"/>
      <c r="QID27" s="4"/>
      <c r="QIE27" s="4"/>
      <c r="QIF27" s="4"/>
      <c r="QIG27" s="4"/>
      <c r="QIH27" s="4"/>
      <c r="QII27" s="4"/>
      <c r="QIJ27" s="4"/>
      <c r="QIK27" s="4"/>
      <c r="QIL27" s="4"/>
      <c r="QIM27" s="4"/>
      <c r="QIN27" s="4"/>
      <c r="QIO27" s="4"/>
      <c r="QIP27" s="4"/>
      <c r="QIQ27" s="4"/>
      <c r="QIR27" s="4"/>
      <c r="QIS27" s="4"/>
      <c r="QIT27" s="4"/>
      <c r="QIU27" s="4"/>
      <c r="QIV27" s="4"/>
      <c r="QIW27" s="4"/>
      <c r="QIX27" s="4"/>
      <c r="QIY27" s="4"/>
      <c r="QIZ27" s="4"/>
      <c r="QJA27" s="4"/>
      <c r="QJB27" s="4"/>
      <c r="QJC27" s="4"/>
      <c r="QJD27" s="4"/>
      <c r="QJE27" s="4"/>
      <c r="QJF27" s="4"/>
      <c r="QJG27" s="4"/>
      <c r="QJH27" s="4"/>
      <c r="QJI27" s="4"/>
      <c r="QJJ27" s="4"/>
      <c r="QJK27" s="4"/>
      <c r="QJL27" s="4"/>
      <c r="QJM27" s="4"/>
      <c r="QJN27" s="4"/>
      <c r="QJO27" s="4"/>
      <c r="QJP27" s="4"/>
      <c r="QJQ27" s="4"/>
      <c r="QJR27" s="4"/>
      <c r="QJS27" s="4"/>
      <c r="QJT27" s="4"/>
      <c r="QJU27" s="4"/>
      <c r="QJV27" s="4"/>
      <c r="QJW27" s="4"/>
      <c r="QJX27" s="4"/>
      <c r="QJY27" s="4"/>
      <c r="QJZ27" s="4"/>
      <c r="QKA27" s="4"/>
      <c r="QKB27" s="4"/>
      <c r="QKC27" s="4"/>
      <c r="QKD27" s="4"/>
      <c r="QKE27" s="4"/>
      <c r="QKF27" s="4"/>
      <c r="QKG27" s="4"/>
      <c r="QKH27" s="4"/>
      <c r="QKI27" s="4"/>
      <c r="QKJ27" s="4"/>
      <c r="QKK27" s="4"/>
      <c r="QKL27" s="4"/>
      <c r="QKM27" s="4"/>
      <c r="QKN27" s="4"/>
      <c r="QKO27" s="4"/>
      <c r="QKP27" s="4"/>
      <c r="QKQ27" s="4"/>
      <c r="QKR27" s="4"/>
      <c r="QKS27" s="4"/>
      <c r="QKT27" s="4"/>
      <c r="QKU27" s="4"/>
      <c r="QKV27" s="4"/>
      <c r="QKW27" s="4"/>
      <c r="QKX27" s="4"/>
      <c r="QKY27" s="4"/>
      <c r="QKZ27" s="4"/>
      <c r="QLA27" s="4"/>
      <c r="QLB27" s="4"/>
      <c r="QLC27" s="4"/>
      <c r="QLD27" s="4"/>
      <c r="QLE27" s="4"/>
      <c r="QLF27" s="4"/>
      <c r="QLG27" s="4"/>
      <c r="QLH27" s="4"/>
      <c r="QLI27" s="4"/>
      <c r="QLJ27" s="4"/>
      <c r="QLK27" s="4"/>
      <c r="QLL27" s="4"/>
      <c r="QLM27" s="4"/>
      <c r="QLN27" s="4"/>
      <c r="QLO27" s="4"/>
      <c r="QLP27" s="4"/>
      <c r="QLQ27" s="4"/>
      <c r="QLR27" s="4"/>
      <c r="QLS27" s="4"/>
      <c r="QLT27" s="4"/>
      <c r="QLU27" s="4"/>
      <c r="QLV27" s="4"/>
      <c r="QLW27" s="4"/>
      <c r="QLX27" s="4"/>
      <c r="QLY27" s="4"/>
      <c r="QLZ27" s="4"/>
      <c r="QMA27" s="4"/>
      <c r="QMB27" s="4"/>
      <c r="QMC27" s="4"/>
      <c r="QMD27" s="4"/>
      <c r="QME27" s="4"/>
      <c r="QMF27" s="4"/>
      <c r="QMG27" s="4"/>
      <c r="QMH27" s="4"/>
      <c r="QMI27" s="4"/>
      <c r="QMJ27" s="4"/>
      <c r="QMK27" s="4"/>
      <c r="QML27" s="4"/>
      <c r="QMM27" s="4"/>
      <c r="QMN27" s="4"/>
      <c r="QMO27" s="4"/>
      <c r="QMP27" s="4"/>
      <c r="QMQ27" s="4"/>
      <c r="QMR27" s="4"/>
      <c r="QMS27" s="4"/>
      <c r="QMT27" s="4"/>
      <c r="QMU27" s="4"/>
      <c r="QMV27" s="4"/>
      <c r="QMW27" s="4"/>
      <c r="QMX27" s="4"/>
      <c r="QMY27" s="4"/>
      <c r="QMZ27" s="4"/>
      <c r="QNA27" s="4"/>
      <c r="QNB27" s="4"/>
      <c r="QNC27" s="4"/>
      <c r="QND27" s="4"/>
      <c r="QNE27" s="4"/>
      <c r="QNF27" s="4"/>
      <c r="QNG27" s="4"/>
      <c r="QNH27" s="4"/>
      <c r="QNI27" s="4"/>
      <c r="QNJ27" s="4"/>
      <c r="QNK27" s="4"/>
      <c r="QNL27" s="4"/>
      <c r="QNM27" s="4"/>
      <c r="QNN27" s="4"/>
      <c r="QNO27" s="4"/>
      <c r="QNP27" s="4"/>
      <c r="QNQ27" s="4"/>
      <c r="QNR27" s="4"/>
      <c r="QNS27" s="4"/>
      <c r="QNT27" s="4"/>
      <c r="QNU27" s="4"/>
      <c r="QNV27" s="4"/>
      <c r="QNW27" s="4"/>
      <c r="QNX27" s="4"/>
      <c r="QNY27" s="4"/>
      <c r="QNZ27" s="4"/>
      <c r="QOA27" s="4"/>
      <c r="QOB27" s="4"/>
      <c r="QOC27" s="4"/>
      <c r="QOD27" s="4"/>
      <c r="QOE27" s="4"/>
      <c r="QOF27" s="4"/>
      <c r="QOG27" s="4"/>
      <c r="QOH27" s="4"/>
      <c r="QOI27" s="4"/>
      <c r="QOJ27" s="4"/>
      <c r="QOK27" s="4"/>
      <c r="QOL27" s="4"/>
      <c r="QOM27" s="4"/>
      <c r="QON27" s="4"/>
      <c r="QOO27" s="4"/>
      <c r="QOP27" s="4"/>
      <c r="QOQ27" s="4"/>
      <c r="QOR27" s="4"/>
      <c r="QOS27" s="4"/>
      <c r="QOT27" s="4"/>
      <c r="QOU27" s="4"/>
      <c r="QOV27" s="4"/>
      <c r="QOW27" s="4"/>
      <c r="QOX27" s="4"/>
      <c r="QOY27" s="4"/>
      <c r="QOZ27" s="4"/>
      <c r="QPA27" s="4"/>
      <c r="QPB27" s="4"/>
      <c r="QPC27" s="4"/>
      <c r="QPD27" s="4"/>
      <c r="QPE27" s="4"/>
      <c r="QPF27" s="4"/>
      <c r="QPG27" s="4"/>
      <c r="QPH27" s="4"/>
      <c r="QPI27" s="4"/>
      <c r="QPJ27" s="4"/>
      <c r="QPK27" s="4"/>
      <c r="QPL27" s="4"/>
      <c r="QPM27" s="4"/>
      <c r="QPN27" s="4"/>
      <c r="QPO27" s="4"/>
      <c r="QPP27" s="4"/>
      <c r="QPQ27" s="4"/>
      <c r="QPR27" s="4"/>
      <c r="QPS27" s="4"/>
      <c r="QPT27" s="4"/>
      <c r="QPU27" s="4"/>
      <c r="QPV27" s="4"/>
      <c r="QPW27" s="4"/>
      <c r="QPX27" s="4"/>
      <c r="QPY27" s="4"/>
      <c r="QPZ27" s="4"/>
      <c r="QQA27" s="4"/>
      <c r="QQB27" s="4"/>
      <c r="QQC27" s="4"/>
      <c r="QQD27" s="4"/>
      <c r="QQE27" s="4"/>
      <c r="QQF27" s="4"/>
      <c r="QQG27" s="4"/>
      <c r="QQH27" s="4"/>
      <c r="QQI27" s="4"/>
      <c r="QQJ27" s="4"/>
      <c r="QQK27" s="4"/>
      <c r="QQL27" s="4"/>
      <c r="QQM27" s="4"/>
      <c r="QQN27" s="4"/>
      <c r="QQO27" s="4"/>
      <c r="QQP27" s="4"/>
      <c r="QQQ27" s="4"/>
      <c r="QQR27" s="4"/>
      <c r="QQS27" s="4"/>
      <c r="QQT27" s="4"/>
      <c r="QQU27" s="4"/>
      <c r="QQV27" s="4"/>
      <c r="QQW27" s="4"/>
      <c r="QQX27" s="4"/>
      <c r="QQY27" s="4"/>
      <c r="QQZ27" s="4"/>
      <c r="QRA27" s="4"/>
      <c r="QRB27" s="4"/>
      <c r="QRC27" s="4"/>
      <c r="QRD27" s="4"/>
      <c r="QRE27" s="4"/>
      <c r="QRF27" s="4"/>
      <c r="QRG27" s="4"/>
      <c r="QRH27" s="4"/>
      <c r="QRI27" s="4"/>
      <c r="QRJ27" s="4"/>
      <c r="QRK27" s="4"/>
      <c r="QRL27" s="4"/>
      <c r="QRM27" s="4"/>
      <c r="QRN27" s="4"/>
      <c r="QRO27" s="4"/>
      <c r="QRP27" s="4"/>
      <c r="QRQ27" s="4"/>
      <c r="QRR27" s="4"/>
      <c r="QRS27" s="4"/>
      <c r="QRT27" s="4"/>
      <c r="QRU27" s="4"/>
      <c r="QRV27" s="4"/>
      <c r="QRW27" s="4"/>
      <c r="QRX27" s="4"/>
      <c r="QRY27" s="4"/>
      <c r="QRZ27" s="4"/>
      <c r="QSA27" s="4"/>
      <c r="QSB27" s="4"/>
      <c r="QSC27" s="4"/>
      <c r="QSD27" s="4"/>
      <c r="QSE27" s="4"/>
      <c r="QSF27" s="4"/>
      <c r="QSG27" s="4"/>
      <c r="QSH27" s="4"/>
      <c r="QSI27" s="4"/>
      <c r="QSJ27" s="4"/>
      <c r="QSK27" s="4"/>
      <c r="QSL27" s="4"/>
      <c r="QSM27" s="4"/>
      <c r="QSN27" s="4"/>
      <c r="QSO27" s="4"/>
      <c r="QSP27" s="4"/>
      <c r="QSQ27" s="4"/>
      <c r="QSR27" s="4"/>
      <c r="QSS27" s="4"/>
      <c r="QST27" s="4"/>
      <c r="QSU27" s="4"/>
      <c r="QSV27" s="4"/>
      <c r="QSW27" s="4"/>
      <c r="QSX27" s="4"/>
      <c r="QSY27" s="4"/>
      <c r="QSZ27" s="4"/>
      <c r="QTA27" s="4"/>
      <c r="QTB27" s="4"/>
      <c r="QTC27" s="4"/>
      <c r="QTD27" s="4"/>
      <c r="QTE27" s="4"/>
      <c r="QTF27" s="4"/>
      <c r="QTG27" s="4"/>
      <c r="QTH27" s="4"/>
      <c r="QTI27" s="4"/>
      <c r="QTJ27" s="4"/>
      <c r="QTK27" s="4"/>
      <c r="QTL27" s="4"/>
      <c r="QTM27" s="4"/>
      <c r="QTN27" s="4"/>
      <c r="QTO27" s="4"/>
      <c r="QTP27" s="4"/>
      <c r="QTQ27" s="4"/>
      <c r="QTR27" s="4"/>
      <c r="QTS27" s="4"/>
      <c r="QTT27" s="4"/>
      <c r="QTU27" s="4"/>
      <c r="QTV27" s="4"/>
      <c r="QTW27" s="4"/>
      <c r="QTX27" s="4"/>
      <c r="QTY27" s="4"/>
      <c r="QTZ27" s="4"/>
      <c r="QUA27" s="4"/>
      <c r="QUB27" s="4"/>
      <c r="QUC27" s="4"/>
      <c r="QUD27" s="4"/>
      <c r="QUE27" s="4"/>
      <c r="QUF27" s="4"/>
      <c r="QUG27" s="4"/>
      <c r="QUH27" s="4"/>
      <c r="QUI27" s="4"/>
      <c r="QUJ27" s="4"/>
      <c r="QUK27" s="4"/>
      <c r="QUL27" s="4"/>
      <c r="QUM27" s="4"/>
      <c r="QUN27" s="4"/>
      <c r="QUO27" s="4"/>
      <c r="QUP27" s="4"/>
      <c r="QUQ27" s="4"/>
      <c r="QUR27" s="4"/>
      <c r="QUS27" s="4"/>
      <c r="QUT27" s="4"/>
      <c r="QUU27" s="4"/>
      <c r="QUV27" s="4"/>
      <c r="QUW27" s="4"/>
      <c r="QUX27" s="4"/>
      <c r="QUY27" s="4"/>
      <c r="QUZ27" s="4"/>
      <c r="QVA27" s="4"/>
      <c r="QVB27" s="4"/>
      <c r="QVC27" s="4"/>
      <c r="QVD27" s="4"/>
      <c r="QVE27" s="4"/>
      <c r="QVF27" s="4"/>
      <c r="QVG27" s="4"/>
      <c r="QVH27" s="4"/>
      <c r="QVI27" s="4"/>
      <c r="QVJ27" s="4"/>
      <c r="QVK27" s="4"/>
      <c r="QVL27" s="4"/>
      <c r="QVM27" s="4"/>
      <c r="QVN27" s="4"/>
      <c r="QVO27" s="4"/>
      <c r="QVP27" s="4"/>
      <c r="QVQ27" s="4"/>
      <c r="QVR27" s="4"/>
      <c r="QVS27" s="4"/>
      <c r="QVT27" s="4"/>
      <c r="QVU27" s="4"/>
      <c r="QVV27" s="4"/>
      <c r="QVW27" s="4"/>
      <c r="QVX27" s="4"/>
      <c r="QVY27" s="4"/>
      <c r="QVZ27" s="4"/>
      <c r="QWA27" s="4"/>
      <c r="QWB27" s="4"/>
      <c r="QWC27" s="4"/>
      <c r="QWD27" s="4"/>
      <c r="QWE27" s="4"/>
      <c r="QWF27" s="4"/>
      <c r="QWG27" s="4"/>
      <c r="QWH27" s="4"/>
      <c r="QWI27" s="4"/>
      <c r="QWJ27" s="4"/>
      <c r="QWK27" s="4"/>
      <c r="QWL27" s="4"/>
      <c r="QWM27" s="4"/>
      <c r="QWN27" s="4"/>
      <c r="QWO27" s="4"/>
      <c r="QWP27" s="4"/>
      <c r="QWQ27" s="4"/>
      <c r="QWR27" s="4"/>
      <c r="QWS27" s="4"/>
      <c r="QWT27" s="4"/>
      <c r="QWU27" s="4"/>
      <c r="QWV27" s="4"/>
      <c r="QWW27" s="4"/>
      <c r="QWX27" s="4"/>
      <c r="QWY27" s="4"/>
      <c r="QWZ27" s="4"/>
      <c r="QXA27" s="4"/>
      <c r="QXB27" s="4"/>
      <c r="QXC27" s="4"/>
      <c r="QXD27" s="4"/>
      <c r="QXE27" s="4"/>
      <c r="QXF27" s="4"/>
      <c r="QXG27" s="4"/>
      <c r="QXH27" s="4"/>
      <c r="QXI27" s="4"/>
      <c r="QXJ27" s="4"/>
      <c r="QXK27" s="4"/>
      <c r="QXL27" s="4"/>
      <c r="QXM27" s="4"/>
      <c r="QXN27" s="4"/>
      <c r="QXO27" s="4"/>
      <c r="QXP27" s="4"/>
      <c r="QXQ27" s="4"/>
      <c r="QXR27" s="4"/>
      <c r="QXS27" s="4"/>
      <c r="QXT27" s="4"/>
      <c r="QXU27" s="4"/>
      <c r="QXV27" s="4"/>
      <c r="QXW27" s="4"/>
      <c r="QXX27" s="4"/>
      <c r="QXY27" s="4"/>
      <c r="QXZ27" s="4"/>
      <c r="QYA27" s="4"/>
      <c r="QYB27" s="4"/>
      <c r="QYC27" s="4"/>
      <c r="QYD27" s="4"/>
      <c r="QYE27" s="4"/>
      <c r="QYF27" s="4"/>
      <c r="QYG27" s="4"/>
      <c r="QYH27" s="4"/>
      <c r="QYI27" s="4"/>
      <c r="QYJ27" s="4"/>
      <c r="QYK27" s="4"/>
      <c r="QYL27" s="4"/>
      <c r="QYM27" s="4"/>
      <c r="QYN27" s="4"/>
      <c r="QYO27" s="4"/>
      <c r="QYP27" s="4"/>
      <c r="QYQ27" s="4"/>
      <c r="QYR27" s="4"/>
      <c r="QYS27" s="4"/>
      <c r="QYT27" s="4"/>
      <c r="QYU27" s="4"/>
      <c r="QYV27" s="4"/>
      <c r="QYW27" s="4"/>
      <c r="QYX27" s="4"/>
      <c r="QYY27" s="4"/>
      <c r="QYZ27" s="4"/>
      <c r="QZA27" s="4"/>
      <c r="QZB27" s="4"/>
      <c r="QZC27" s="4"/>
      <c r="QZD27" s="4"/>
      <c r="QZE27" s="4"/>
      <c r="QZF27" s="4"/>
      <c r="QZG27" s="4"/>
      <c r="QZH27" s="4"/>
      <c r="QZI27" s="4"/>
      <c r="QZJ27" s="4"/>
      <c r="QZK27" s="4"/>
      <c r="QZL27" s="4"/>
      <c r="QZM27" s="4"/>
      <c r="QZN27" s="4"/>
      <c r="QZO27" s="4"/>
      <c r="QZP27" s="4"/>
      <c r="QZQ27" s="4"/>
      <c r="QZR27" s="4"/>
      <c r="QZS27" s="4"/>
      <c r="QZT27" s="4"/>
      <c r="QZU27" s="4"/>
      <c r="QZV27" s="4"/>
      <c r="QZW27" s="4"/>
      <c r="QZX27" s="4"/>
      <c r="QZY27" s="4"/>
      <c r="QZZ27" s="4"/>
      <c r="RAA27" s="4"/>
      <c r="RAB27" s="4"/>
      <c r="RAC27" s="4"/>
      <c r="RAD27" s="4"/>
      <c r="RAE27" s="4"/>
      <c r="RAF27" s="4"/>
      <c r="RAG27" s="4"/>
      <c r="RAH27" s="4"/>
      <c r="RAI27" s="4"/>
      <c r="RAJ27" s="4"/>
      <c r="RAK27" s="4"/>
      <c r="RAL27" s="4"/>
      <c r="RAM27" s="4"/>
      <c r="RAN27" s="4"/>
      <c r="RAO27" s="4"/>
      <c r="RAP27" s="4"/>
      <c r="RAQ27" s="4"/>
      <c r="RAR27" s="4"/>
      <c r="RAS27" s="4"/>
      <c r="RAT27" s="4"/>
      <c r="RAU27" s="4"/>
      <c r="RAV27" s="4"/>
      <c r="RAW27" s="4"/>
      <c r="RAX27" s="4"/>
      <c r="RAY27" s="4"/>
      <c r="RAZ27" s="4"/>
      <c r="RBA27" s="4"/>
      <c r="RBB27" s="4"/>
      <c r="RBC27" s="4"/>
      <c r="RBD27" s="4"/>
      <c r="RBE27" s="4"/>
      <c r="RBF27" s="4"/>
      <c r="RBG27" s="4"/>
      <c r="RBH27" s="4"/>
      <c r="RBI27" s="4"/>
      <c r="RBJ27" s="4"/>
      <c r="RBK27" s="4"/>
      <c r="RBL27" s="4"/>
      <c r="RBM27" s="4"/>
      <c r="RBN27" s="4"/>
      <c r="RBO27" s="4"/>
      <c r="RBP27" s="4"/>
      <c r="RBQ27" s="4"/>
      <c r="RBR27" s="4"/>
      <c r="RBS27" s="4"/>
      <c r="RBT27" s="4"/>
      <c r="RBU27" s="4"/>
      <c r="RBV27" s="4"/>
      <c r="RBW27" s="4"/>
      <c r="RBX27" s="4"/>
      <c r="RBY27" s="4"/>
      <c r="RBZ27" s="4"/>
      <c r="RCA27" s="4"/>
      <c r="RCB27" s="4"/>
      <c r="RCC27" s="4"/>
      <c r="RCD27" s="4"/>
      <c r="RCE27" s="4"/>
      <c r="RCF27" s="4"/>
      <c r="RCG27" s="4"/>
      <c r="RCH27" s="4"/>
      <c r="RCI27" s="4"/>
      <c r="RCJ27" s="4"/>
      <c r="RCK27" s="4"/>
      <c r="RCL27" s="4"/>
      <c r="RCM27" s="4"/>
      <c r="RCN27" s="4"/>
      <c r="RCO27" s="4"/>
      <c r="RCP27" s="4"/>
      <c r="RCQ27" s="4"/>
      <c r="RCR27" s="4"/>
      <c r="RCS27" s="4"/>
      <c r="RCT27" s="4"/>
      <c r="RCU27" s="4"/>
      <c r="RCV27" s="4"/>
      <c r="RCW27" s="4"/>
      <c r="RCX27" s="4"/>
      <c r="RCY27" s="4"/>
      <c r="RCZ27" s="4"/>
      <c r="RDA27" s="4"/>
      <c r="RDB27" s="4"/>
      <c r="RDC27" s="4"/>
      <c r="RDD27" s="4"/>
      <c r="RDE27" s="4"/>
      <c r="RDF27" s="4"/>
      <c r="RDG27" s="4"/>
      <c r="RDH27" s="4"/>
      <c r="RDI27" s="4"/>
      <c r="RDJ27" s="4"/>
      <c r="RDK27" s="4"/>
      <c r="RDL27" s="4"/>
      <c r="RDM27" s="4"/>
      <c r="RDN27" s="4"/>
      <c r="RDO27" s="4"/>
      <c r="RDP27" s="4"/>
      <c r="RDQ27" s="4"/>
      <c r="RDR27" s="4"/>
      <c r="RDS27" s="4"/>
      <c r="RDT27" s="4"/>
      <c r="RDU27" s="4"/>
      <c r="RDV27" s="4"/>
      <c r="RDW27" s="4"/>
      <c r="RDX27" s="4"/>
      <c r="RDY27" s="4"/>
      <c r="RDZ27" s="4"/>
      <c r="REA27" s="4"/>
      <c r="REB27" s="4"/>
      <c r="REC27" s="4"/>
      <c r="RED27" s="4"/>
      <c r="REE27" s="4"/>
      <c r="REF27" s="4"/>
      <c r="REG27" s="4"/>
      <c r="REH27" s="4"/>
      <c r="REI27" s="4"/>
      <c r="REJ27" s="4"/>
      <c r="REK27" s="4"/>
      <c r="REL27" s="4"/>
      <c r="REM27" s="4"/>
      <c r="REN27" s="4"/>
      <c r="REO27" s="4"/>
      <c r="REP27" s="4"/>
      <c r="REQ27" s="4"/>
      <c r="RER27" s="4"/>
      <c r="RES27" s="4"/>
      <c r="RET27" s="4"/>
      <c r="REU27" s="4"/>
      <c r="REV27" s="4"/>
      <c r="REW27" s="4"/>
      <c r="REX27" s="4"/>
      <c r="REY27" s="4"/>
      <c r="REZ27" s="4"/>
      <c r="RFA27" s="4"/>
      <c r="RFB27" s="4"/>
      <c r="RFC27" s="4"/>
      <c r="RFD27" s="4"/>
      <c r="RFE27" s="4"/>
      <c r="RFF27" s="4"/>
      <c r="RFG27" s="4"/>
      <c r="RFH27" s="4"/>
      <c r="RFI27" s="4"/>
      <c r="RFJ27" s="4"/>
      <c r="RFK27" s="4"/>
      <c r="RFL27" s="4"/>
      <c r="RFM27" s="4"/>
      <c r="RFN27" s="4"/>
      <c r="RFO27" s="4"/>
      <c r="RFP27" s="4"/>
      <c r="RFQ27" s="4"/>
      <c r="RFR27" s="4"/>
      <c r="RFS27" s="4"/>
      <c r="RFT27" s="4"/>
      <c r="RFU27" s="4"/>
      <c r="RFV27" s="4"/>
      <c r="RFW27" s="4"/>
      <c r="RFX27" s="4"/>
      <c r="RFY27" s="4"/>
      <c r="RFZ27" s="4"/>
      <c r="RGA27" s="4"/>
      <c r="RGB27" s="4"/>
      <c r="RGC27" s="4"/>
      <c r="RGD27" s="4"/>
      <c r="RGE27" s="4"/>
      <c r="RGF27" s="4"/>
      <c r="RGG27" s="4"/>
      <c r="RGH27" s="4"/>
      <c r="RGI27" s="4"/>
      <c r="RGJ27" s="4"/>
      <c r="RGK27" s="4"/>
      <c r="RGL27" s="4"/>
      <c r="RGM27" s="4"/>
      <c r="RGN27" s="4"/>
      <c r="RGO27" s="4"/>
      <c r="RGP27" s="4"/>
      <c r="RGQ27" s="4"/>
      <c r="RGR27" s="4"/>
      <c r="RGS27" s="4"/>
      <c r="RGT27" s="4"/>
      <c r="RGU27" s="4"/>
      <c r="RGV27" s="4"/>
      <c r="RGW27" s="4"/>
      <c r="RGX27" s="4"/>
      <c r="RGY27" s="4"/>
      <c r="RGZ27" s="4"/>
      <c r="RHA27" s="4"/>
      <c r="RHB27" s="4"/>
      <c r="RHC27" s="4"/>
      <c r="RHD27" s="4"/>
      <c r="RHE27" s="4"/>
      <c r="RHF27" s="4"/>
      <c r="RHG27" s="4"/>
      <c r="RHH27" s="4"/>
      <c r="RHI27" s="4"/>
      <c r="RHJ27" s="4"/>
      <c r="RHK27" s="4"/>
      <c r="RHL27" s="4"/>
      <c r="RHM27" s="4"/>
      <c r="RHN27" s="4"/>
      <c r="RHO27" s="4"/>
      <c r="RHP27" s="4"/>
      <c r="RHQ27" s="4"/>
      <c r="RHR27" s="4"/>
      <c r="RHS27" s="4"/>
      <c r="RHT27" s="4"/>
      <c r="RHU27" s="4"/>
      <c r="RHV27" s="4"/>
      <c r="RHW27" s="4"/>
      <c r="RHX27" s="4"/>
      <c r="RHY27" s="4"/>
      <c r="RHZ27" s="4"/>
      <c r="RIA27" s="4"/>
      <c r="RIB27" s="4"/>
      <c r="RIC27" s="4"/>
      <c r="RID27" s="4"/>
      <c r="RIE27" s="4"/>
      <c r="RIF27" s="4"/>
      <c r="RIG27" s="4"/>
      <c r="RIH27" s="4"/>
      <c r="RII27" s="4"/>
      <c r="RIJ27" s="4"/>
      <c r="RIK27" s="4"/>
      <c r="RIL27" s="4"/>
      <c r="RIM27" s="4"/>
      <c r="RIN27" s="4"/>
      <c r="RIO27" s="4"/>
      <c r="RIP27" s="4"/>
      <c r="RIQ27" s="4"/>
      <c r="RIR27" s="4"/>
      <c r="RIS27" s="4"/>
      <c r="RIT27" s="4"/>
      <c r="RIU27" s="4"/>
      <c r="RIV27" s="4"/>
      <c r="RIW27" s="4"/>
      <c r="RIX27" s="4"/>
      <c r="RIY27" s="4"/>
      <c r="RIZ27" s="4"/>
      <c r="RJA27" s="4"/>
      <c r="RJB27" s="4"/>
      <c r="RJC27" s="4"/>
      <c r="RJD27" s="4"/>
      <c r="RJE27" s="4"/>
      <c r="RJF27" s="4"/>
      <c r="RJG27" s="4"/>
      <c r="RJH27" s="4"/>
      <c r="RJI27" s="4"/>
      <c r="RJJ27" s="4"/>
      <c r="RJK27" s="4"/>
      <c r="RJL27" s="4"/>
      <c r="RJM27" s="4"/>
      <c r="RJN27" s="4"/>
      <c r="RJO27" s="4"/>
      <c r="RJP27" s="4"/>
      <c r="RJQ27" s="4"/>
      <c r="RJR27" s="4"/>
      <c r="RJS27" s="4"/>
      <c r="RJT27" s="4"/>
      <c r="RJU27" s="4"/>
      <c r="RJV27" s="4"/>
      <c r="RJW27" s="4"/>
      <c r="RJX27" s="4"/>
      <c r="RJY27" s="4"/>
      <c r="RJZ27" s="4"/>
      <c r="RKA27" s="4"/>
      <c r="RKB27" s="4"/>
      <c r="RKC27" s="4"/>
      <c r="RKD27" s="4"/>
      <c r="RKE27" s="4"/>
      <c r="RKF27" s="4"/>
      <c r="RKG27" s="4"/>
      <c r="RKH27" s="4"/>
      <c r="RKI27" s="4"/>
      <c r="RKJ27" s="4"/>
      <c r="RKK27" s="4"/>
      <c r="RKL27" s="4"/>
      <c r="RKM27" s="4"/>
      <c r="RKN27" s="4"/>
      <c r="RKO27" s="4"/>
      <c r="RKP27" s="4"/>
      <c r="RKQ27" s="4"/>
      <c r="RKR27" s="4"/>
      <c r="RKS27" s="4"/>
      <c r="RKT27" s="4"/>
      <c r="RKU27" s="4"/>
      <c r="RKV27" s="4"/>
      <c r="RKW27" s="4"/>
      <c r="RKX27" s="4"/>
      <c r="RKY27" s="4"/>
      <c r="RKZ27" s="4"/>
      <c r="RLA27" s="4"/>
      <c r="RLB27" s="4"/>
      <c r="RLC27" s="4"/>
      <c r="RLD27" s="4"/>
      <c r="RLE27" s="4"/>
      <c r="RLF27" s="4"/>
      <c r="RLG27" s="4"/>
      <c r="RLH27" s="4"/>
      <c r="RLI27" s="4"/>
      <c r="RLJ27" s="4"/>
      <c r="RLK27" s="4"/>
      <c r="RLL27" s="4"/>
      <c r="RLM27" s="4"/>
      <c r="RLN27" s="4"/>
      <c r="RLO27" s="4"/>
      <c r="RLP27" s="4"/>
      <c r="RLQ27" s="4"/>
      <c r="RLR27" s="4"/>
      <c r="RLS27" s="4"/>
      <c r="RLT27" s="4"/>
      <c r="RLU27" s="4"/>
      <c r="RLV27" s="4"/>
      <c r="RLW27" s="4"/>
      <c r="RLX27" s="4"/>
      <c r="RLY27" s="4"/>
      <c r="RLZ27" s="4"/>
      <c r="RMA27" s="4"/>
      <c r="RMB27" s="4"/>
      <c r="RMC27" s="4"/>
      <c r="RMD27" s="4"/>
      <c r="RME27" s="4"/>
      <c r="RMF27" s="4"/>
      <c r="RMG27" s="4"/>
      <c r="RMH27" s="4"/>
      <c r="RMI27" s="4"/>
      <c r="RMJ27" s="4"/>
      <c r="RMK27" s="4"/>
      <c r="RML27" s="4"/>
      <c r="RMM27" s="4"/>
      <c r="RMN27" s="4"/>
      <c r="RMO27" s="4"/>
      <c r="RMP27" s="4"/>
      <c r="RMQ27" s="4"/>
      <c r="RMR27" s="4"/>
      <c r="RMS27" s="4"/>
      <c r="RMT27" s="4"/>
      <c r="RMU27" s="4"/>
      <c r="RMV27" s="4"/>
      <c r="RMW27" s="4"/>
      <c r="RMX27" s="4"/>
      <c r="RMY27" s="4"/>
      <c r="RMZ27" s="4"/>
      <c r="RNA27" s="4"/>
      <c r="RNB27" s="4"/>
      <c r="RNC27" s="4"/>
      <c r="RND27" s="4"/>
      <c r="RNE27" s="4"/>
      <c r="RNF27" s="4"/>
      <c r="RNG27" s="4"/>
      <c r="RNH27" s="4"/>
      <c r="RNI27" s="4"/>
      <c r="RNJ27" s="4"/>
      <c r="RNK27" s="4"/>
      <c r="RNL27" s="4"/>
      <c r="RNM27" s="4"/>
      <c r="RNN27" s="4"/>
      <c r="RNO27" s="4"/>
      <c r="RNP27" s="4"/>
      <c r="RNQ27" s="4"/>
      <c r="RNR27" s="4"/>
      <c r="RNS27" s="4"/>
      <c r="RNT27" s="4"/>
      <c r="RNU27" s="4"/>
      <c r="RNV27" s="4"/>
      <c r="RNW27" s="4"/>
      <c r="RNX27" s="4"/>
      <c r="RNY27" s="4"/>
      <c r="RNZ27" s="4"/>
      <c r="ROA27" s="4"/>
      <c r="ROB27" s="4"/>
      <c r="ROC27" s="4"/>
      <c r="ROD27" s="4"/>
      <c r="ROE27" s="4"/>
      <c r="ROF27" s="4"/>
      <c r="ROG27" s="4"/>
      <c r="ROH27" s="4"/>
      <c r="ROI27" s="4"/>
      <c r="ROJ27" s="4"/>
      <c r="ROK27" s="4"/>
      <c r="ROL27" s="4"/>
      <c r="ROM27" s="4"/>
      <c r="RON27" s="4"/>
      <c r="ROO27" s="4"/>
      <c r="ROP27" s="4"/>
      <c r="ROQ27" s="4"/>
      <c r="ROR27" s="4"/>
      <c r="ROS27" s="4"/>
      <c r="ROT27" s="4"/>
      <c r="ROU27" s="4"/>
      <c r="ROV27" s="4"/>
      <c r="ROW27" s="4"/>
      <c r="ROX27" s="4"/>
      <c r="ROY27" s="4"/>
      <c r="ROZ27" s="4"/>
      <c r="RPA27" s="4"/>
      <c r="RPB27" s="4"/>
      <c r="RPC27" s="4"/>
      <c r="RPD27" s="4"/>
      <c r="RPE27" s="4"/>
      <c r="RPF27" s="4"/>
      <c r="RPG27" s="4"/>
      <c r="RPH27" s="4"/>
      <c r="RPI27" s="4"/>
      <c r="RPJ27" s="4"/>
      <c r="RPK27" s="4"/>
      <c r="RPL27" s="4"/>
      <c r="RPM27" s="4"/>
      <c r="RPN27" s="4"/>
      <c r="RPO27" s="4"/>
      <c r="RPP27" s="4"/>
      <c r="RPQ27" s="4"/>
      <c r="RPR27" s="4"/>
      <c r="RPS27" s="4"/>
      <c r="RPT27" s="4"/>
      <c r="RPU27" s="4"/>
      <c r="RPV27" s="4"/>
      <c r="RPW27" s="4"/>
      <c r="RPX27" s="4"/>
      <c r="RPY27" s="4"/>
      <c r="RPZ27" s="4"/>
      <c r="RQA27" s="4"/>
      <c r="RQB27" s="4"/>
      <c r="RQC27" s="4"/>
      <c r="RQD27" s="4"/>
      <c r="RQE27" s="4"/>
      <c r="RQF27" s="4"/>
      <c r="RQG27" s="4"/>
      <c r="RQH27" s="4"/>
      <c r="RQI27" s="4"/>
      <c r="RQJ27" s="4"/>
      <c r="RQK27" s="4"/>
      <c r="RQL27" s="4"/>
      <c r="RQM27" s="4"/>
      <c r="RQN27" s="4"/>
      <c r="RQO27" s="4"/>
      <c r="RQP27" s="4"/>
      <c r="RQQ27" s="4"/>
      <c r="RQR27" s="4"/>
      <c r="RQS27" s="4"/>
      <c r="RQT27" s="4"/>
      <c r="RQU27" s="4"/>
      <c r="RQV27" s="4"/>
      <c r="RQW27" s="4"/>
      <c r="RQX27" s="4"/>
      <c r="RQY27" s="4"/>
      <c r="RQZ27" s="4"/>
      <c r="RRA27" s="4"/>
      <c r="RRB27" s="4"/>
      <c r="RRC27" s="4"/>
      <c r="RRD27" s="4"/>
      <c r="RRE27" s="4"/>
      <c r="RRF27" s="4"/>
      <c r="RRG27" s="4"/>
      <c r="RRH27" s="4"/>
      <c r="RRI27" s="4"/>
      <c r="RRJ27" s="4"/>
      <c r="RRK27" s="4"/>
      <c r="RRL27" s="4"/>
      <c r="RRM27" s="4"/>
      <c r="RRN27" s="4"/>
      <c r="RRO27" s="4"/>
      <c r="RRP27" s="4"/>
      <c r="RRQ27" s="4"/>
      <c r="RRR27" s="4"/>
      <c r="RRS27" s="4"/>
      <c r="RRT27" s="4"/>
      <c r="RRU27" s="4"/>
      <c r="RRV27" s="4"/>
      <c r="RRW27" s="4"/>
      <c r="RRX27" s="4"/>
      <c r="RRY27" s="4"/>
      <c r="RRZ27" s="4"/>
      <c r="RSA27" s="4"/>
      <c r="RSB27" s="4"/>
      <c r="RSC27" s="4"/>
      <c r="RSD27" s="4"/>
      <c r="RSE27" s="4"/>
      <c r="RSF27" s="4"/>
      <c r="RSG27" s="4"/>
      <c r="RSH27" s="4"/>
      <c r="RSI27" s="4"/>
      <c r="RSJ27" s="4"/>
      <c r="RSK27" s="4"/>
      <c r="RSL27" s="4"/>
      <c r="RSM27" s="4"/>
      <c r="RSN27" s="4"/>
      <c r="RSO27" s="4"/>
      <c r="RSP27" s="4"/>
      <c r="RSQ27" s="4"/>
      <c r="RSR27" s="4"/>
      <c r="RSS27" s="4"/>
      <c r="RST27" s="4"/>
      <c r="RSU27" s="4"/>
      <c r="RSV27" s="4"/>
      <c r="RSW27" s="4"/>
      <c r="RSX27" s="4"/>
      <c r="RSY27" s="4"/>
      <c r="RSZ27" s="4"/>
      <c r="RTA27" s="4"/>
      <c r="RTB27" s="4"/>
      <c r="RTC27" s="4"/>
      <c r="RTD27" s="4"/>
      <c r="RTE27" s="4"/>
      <c r="RTF27" s="4"/>
      <c r="RTG27" s="4"/>
      <c r="RTH27" s="4"/>
      <c r="RTI27" s="4"/>
      <c r="RTJ27" s="4"/>
      <c r="RTK27" s="4"/>
      <c r="RTL27" s="4"/>
      <c r="RTM27" s="4"/>
      <c r="RTN27" s="4"/>
      <c r="RTO27" s="4"/>
      <c r="RTP27" s="4"/>
      <c r="RTQ27" s="4"/>
      <c r="RTR27" s="4"/>
      <c r="RTS27" s="4"/>
      <c r="RTT27" s="4"/>
      <c r="RTU27" s="4"/>
      <c r="RTV27" s="4"/>
      <c r="RTW27" s="4"/>
      <c r="RTX27" s="4"/>
      <c r="RTY27" s="4"/>
      <c r="RTZ27" s="4"/>
      <c r="RUA27" s="4"/>
      <c r="RUB27" s="4"/>
      <c r="RUC27" s="4"/>
      <c r="RUD27" s="4"/>
      <c r="RUE27" s="4"/>
      <c r="RUF27" s="4"/>
      <c r="RUG27" s="4"/>
      <c r="RUH27" s="4"/>
      <c r="RUI27" s="4"/>
      <c r="RUJ27" s="4"/>
      <c r="RUK27" s="4"/>
      <c r="RUL27" s="4"/>
      <c r="RUM27" s="4"/>
      <c r="RUN27" s="4"/>
      <c r="RUO27" s="4"/>
      <c r="RUP27" s="4"/>
      <c r="RUQ27" s="4"/>
      <c r="RUR27" s="4"/>
      <c r="RUS27" s="4"/>
      <c r="RUT27" s="4"/>
      <c r="RUU27" s="4"/>
      <c r="RUV27" s="4"/>
      <c r="RUW27" s="4"/>
      <c r="RUX27" s="4"/>
      <c r="RUY27" s="4"/>
      <c r="RUZ27" s="4"/>
      <c r="RVA27" s="4"/>
      <c r="RVB27" s="4"/>
      <c r="RVC27" s="4"/>
      <c r="RVD27" s="4"/>
      <c r="RVE27" s="4"/>
      <c r="RVF27" s="4"/>
      <c r="RVG27" s="4"/>
      <c r="RVH27" s="4"/>
      <c r="RVI27" s="4"/>
      <c r="RVJ27" s="4"/>
      <c r="RVK27" s="4"/>
      <c r="RVL27" s="4"/>
      <c r="RVM27" s="4"/>
      <c r="RVN27" s="4"/>
      <c r="RVO27" s="4"/>
      <c r="RVP27" s="4"/>
      <c r="RVQ27" s="4"/>
      <c r="RVR27" s="4"/>
      <c r="RVS27" s="4"/>
      <c r="RVT27" s="4"/>
      <c r="RVU27" s="4"/>
      <c r="RVV27" s="4"/>
      <c r="RVW27" s="4"/>
      <c r="RVX27" s="4"/>
      <c r="RVY27" s="4"/>
      <c r="RVZ27" s="4"/>
      <c r="RWA27" s="4"/>
      <c r="RWB27" s="4"/>
      <c r="RWC27" s="4"/>
      <c r="RWD27" s="4"/>
      <c r="RWE27" s="4"/>
      <c r="RWF27" s="4"/>
      <c r="RWG27" s="4"/>
      <c r="RWH27" s="4"/>
      <c r="RWI27" s="4"/>
      <c r="RWJ27" s="4"/>
      <c r="RWK27" s="4"/>
      <c r="RWL27" s="4"/>
      <c r="RWM27" s="4"/>
      <c r="RWN27" s="4"/>
      <c r="RWO27" s="4"/>
      <c r="RWP27" s="4"/>
      <c r="RWQ27" s="4"/>
      <c r="RWR27" s="4"/>
      <c r="RWS27" s="4"/>
      <c r="RWT27" s="4"/>
      <c r="RWU27" s="4"/>
      <c r="RWV27" s="4"/>
      <c r="RWW27" s="4"/>
      <c r="RWX27" s="4"/>
      <c r="RWY27" s="4"/>
      <c r="RWZ27" s="4"/>
      <c r="RXA27" s="4"/>
      <c r="RXB27" s="4"/>
      <c r="RXC27" s="4"/>
      <c r="RXD27" s="4"/>
      <c r="RXE27" s="4"/>
      <c r="RXF27" s="4"/>
      <c r="RXG27" s="4"/>
      <c r="RXH27" s="4"/>
      <c r="RXI27" s="4"/>
      <c r="RXJ27" s="4"/>
      <c r="RXK27" s="4"/>
      <c r="RXL27" s="4"/>
      <c r="RXM27" s="4"/>
      <c r="RXN27" s="4"/>
      <c r="RXO27" s="4"/>
      <c r="RXP27" s="4"/>
      <c r="RXQ27" s="4"/>
      <c r="RXR27" s="4"/>
      <c r="RXS27" s="4"/>
      <c r="RXT27" s="4"/>
      <c r="RXU27" s="4"/>
      <c r="RXV27" s="4"/>
      <c r="RXW27" s="4"/>
      <c r="RXX27" s="4"/>
      <c r="RXY27" s="4"/>
      <c r="RXZ27" s="4"/>
      <c r="RYA27" s="4"/>
      <c r="RYB27" s="4"/>
      <c r="RYC27" s="4"/>
      <c r="RYD27" s="4"/>
      <c r="RYE27" s="4"/>
      <c r="RYF27" s="4"/>
      <c r="RYG27" s="4"/>
      <c r="RYH27" s="4"/>
      <c r="RYI27" s="4"/>
      <c r="RYJ27" s="4"/>
      <c r="RYK27" s="4"/>
      <c r="RYL27" s="4"/>
      <c r="RYM27" s="4"/>
      <c r="RYN27" s="4"/>
      <c r="RYO27" s="4"/>
      <c r="RYP27" s="4"/>
      <c r="RYQ27" s="4"/>
      <c r="RYR27" s="4"/>
      <c r="RYS27" s="4"/>
      <c r="RYT27" s="4"/>
      <c r="RYU27" s="4"/>
      <c r="RYV27" s="4"/>
      <c r="RYW27" s="4"/>
      <c r="RYX27" s="4"/>
      <c r="RYY27" s="4"/>
      <c r="RYZ27" s="4"/>
      <c r="RZA27" s="4"/>
      <c r="RZB27" s="4"/>
      <c r="RZC27" s="4"/>
      <c r="RZD27" s="4"/>
      <c r="RZE27" s="4"/>
      <c r="RZF27" s="4"/>
      <c r="RZG27" s="4"/>
      <c r="RZH27" s="4"/>
      <c r="RZI27" s="4"/>
      <c r="RZJ27" s="4"/>
      <c r="RZK27" s="4"/>
      <c r="RZL27" s="4"/>
      <c r="RZM27" s="4"/>
      <c r="RZN27" s="4"/>
      <c r="RZO27" s="4"/>
      <c r="RZP27" s="4"/>
      <c r="RZQ27" s="4"/>
      <c r="RZR27" s="4"/>
      <c r="RZS27" s="4"/>
      <c r="RZT27" s="4"/>
      <c r="RZU27" s="4"/>
      <c r="RZV27" s="4"/>
      <c r="RZW27" s="4"/>
      <c r="RZX27" s="4"/>
      <c r="RZY27" s="4"/>
      <c r="RZZ27" s="4"/>
      <c r="SAA27" s="4"/>
      <c r="SAB27" s="4"/>
      <c r="SAC27" s="4"/>
      <c r="SAD27" s="4"/>
      <c r="SAE27" s="4"/>
      <c r="SAF27" s="4"/>
      <c r="SAG27" s="4"/>
      <c r="SAH27" s="4"/>
      <c r="SAI27" s="4"/>
      <c r="SAJ27" s="4"/>
      <c r="SAK27" s="4"/>
      <c r="SAL27" s="4"/>
      <c r="SAM27" s="4"/>
      <c r="SAN27" s="4"/>
      <c r="SAO27" s="4"/>
      <c r="SAP27" s="4"/>
      <c r="SAQ27" s="4"/>
      <c r="SAR27" s="4"/>
      <c r="SAS27" s="4"/>
      <c r="SAT27" s="4"/>
      <c r="SAU27" s="4"/>
      <c r="SAV27" s="4"/>
      <c r="SAW27" s="4"/>
      <c r="SAX27" s="4"/>
      <c r="SAY27" s="4"/>
      <c r="SAZ27" s="4"/>
      <c r="SBA27" s="4"/>
      <c r="SBB27" s="4"/>
      <c r="SBC27" s="4"/>
      <c r="SBD27" s="4"/>
      <c r="SBE27" s="4"/>
      <c r="SBF27" s="4"/>
      <c r="SBG27" s="4"/>
      <c r="SBH27" s="4"/>
      <c r="SBI27" s="4"/>
      <c r="SBJ27" s="4"/>
      <c r="SBK27" s="4"/>
      <c r="SBL27" s="4"/>
      <c r="SBM27" s="4"/>
      <c r="SBN27" s="4"/>
      <c r="SBO27" s="4"/>
      <c r="SBP27" s="4"/>
      <c r="SBQ27" s="4"/>
      <c r="SBR27" s="4"/>
      <c r="SBS27" s="4"/>
      <c r="SBT27" s="4"/>
      <c r="SBU27" s="4"/>
      <c r="SBV27" s="4"/>
      <c r="SBW27" s="4"/>
      <c r="SBX27" s="4"/>
      <c r="SBY27" s="4"/>
      <c r="SBZ27" s="4"/>
      <c r="SCA27" s="4"/>
      <c r="SCB27" s="4"/>
      <c r="SCC27" s="4"/>
      <c r="SCD27" s="4"/>
      <c r="SCE27" s="4"/>
      <c r="SCF27" s="4"/>
      <c r="SCG27" s="4"/>
      <c r="SCH27" s="4"/>
      <c r="SCI27" s="4"/>
      <c r="SCJ27" s="4"/>
      <c r="SCK27" s="4"/>
      <c r="SCL27" s="4"/>
      <c r="SCM27" s="4"/>
      <c r="SCN27" s="4"/>
      <c r="SCO27" s="4"/>
      <c r="SCP27" s="4"/>
      <c r="SCQ27" s="4"/>
      <c r="SCR27" s="4"/>
      <c r="SCS27" s="4"/>
      <c r="SCT27" s="4"/>
      <c r="SCU27" s="4"/>
      <c r="SCV27" s="4"/>
      <c r="SCW27" s="4"/>
      <c r="SCX27" s="4"/>
      <c r="SCY27" s="4"/>
      <c r="SCZ27" s="4"/>
      <c r="SDA27" s="4"/>
      <c r="SDB27" s="4"/>
      <c r="SDC27" s="4"/>
      <c r="SDD27" s="4"/>
      <c r="SDE27" s="4"/>
      <c r="SDF27" s="4"/>
      <c r="SDG27" s="4"/>
      <c r="SDH27" s="4"/>
      <c r="SDI27" s="4"/>
      <c r="SDJ27" s="4"/>
      <c r="SDK27" s="4"/>
      <c r="SDL27" s="4"/>
      <c r="SDM27" s="4"/>
      <c r="SDN27" s="4"/>
      <c r="SDO27" s="4"/>
      <c r="SDP27" s="4"/>
      <c r="SDQ27" s="4"/>
      <c r="SDR27" s="4"/>
      <c r="SDS27" s="4"/>
      <c r="SDT27" s="4"/>
      <c r="SDU27" s="4"/>
      <c r="SDV27" s="4"/>
      <c r="SDW27" s="4"/>
      <c r="SDX27" s="4"/>
      <c r="SDY27" s="4"/>
      <c r="SDZ27" s="4"/>
      <c r="SEA27" s="4"/>
      <c r="SEB27" s="4"/>
      <c r="SEC27" s="4"/>
      <c r="SED27" s="4"/>
      <c r="SEE27" s="4"/>
      <c r="SEF27" s="4"/>
      <c r="SEG27" s="4"/>
      <c r="SEH27" s="4"/>
      <c r="SEI27" s="4"/>
      <c r="SEJ27" s="4"/>
      <c r="SEK27" s="4"/>
      <c r="SEL27" s="4"/>
      <c r="SEM27" s="4"/>
      <c r="SEN27" s="4"/>
      <c r="SEO27" s="4"/>
      <c r="SEP27" s="4"/>
      <c r="SEQ27" s="4"/>
      <c r="SER27" s="4"/>
      <c r="SES27" s="4"/>
      <c r="SET27" s="4"/>
      <c r="SEU27" s="4"/>
      <c r="SEV27" s="4"/>
      <c r="SEW27" s="4"/>
      <c r="SEX27" s="4"/>
      <c r="SEY27" s="4"/>
      <c r="SEZ27" s="4"/>
      <c r="SFA27" s="4"/>
      <c r="SFB27" s="4"/>
      <c r="SFC27" s="4"/>
      <c r="SFD27" s="4"/>
      <c r="SFE27" s="4"/>
      <c r="SFF27" s="4"/>
      <c r="SFG27" s="4"/>
      <c r="SFH27" s="4"/>
      <c r="SFI27" s="4"/>
      <c r="SFJ27" s="4"/>
      <c r="SFK27" s="4"/>
      <c r="SFL27" s="4"/>
      <c r="SFM27" s="4"/>
      <c r="SFN27" s="4"/>
      <c r="SFO27" s="4"/>
      <c r="SFP27" s="4"/>
      <c r="SFQ27" s="4"/>
      <c r="SFR27" s="4"/>
      <c r="SFS27" s="4"/>
      <c r="SFT27" s="4"/>
      <c r="SFU27" s="4"/>
      <c r="SFV27" s="4"/>
      <c r="SFW27" s="4"/>
      <c r="SFX27" s="4"/>
      <c r="SFY27" s="4"/>
      <c r="SFZ27" s="4"/>
      <c r="SGA27" s="4"/>
      <c r="SGB27" s="4"/>
      <c r="SGC27" s="4"/>
      <c r="SGD27" s="4"/>
      <c r="SGE27" s="4"/>
      <c r="SGF27" s="4"/>
      <c r="SGG27" s="4"/>
      <c r="SGH27" s="4"/>
      <c r="SGI27" s="4"/>
      <c r="SGJ27" s="4"/>
      <c r="SGK27" s="4"/>
      <c r="SGL27" s="4"/>
      <c r="SGM27" s="4"/>
      <c r="SGN27" s="4"/>
      <c r="SGO27" s="4"/>
      <c r="SGP27" s="4"/>
      <c r="SGQ27" s="4"/>
      <c r="SGR27" s="4"/>
      <c r="SGS27" s="4"/>
      <c r="SGT27" s="4"/>
      <c r="SGU27" s="4"/>
      <c r="SGV27" s="4"/>
      <c r="SGW27" s="4"/>
      <c r="SGX27" s="4"/>
      <c r="SGY27" s="4"/>
      <c r="SGZ27" s="4"/>
      <c r="SHA27" s="4"/>
      <c r="SHB27" s="4"/>
      <c r="SHC27" s="4"/>
      <c r="SHD27" s="4"/>
      <c r="SHE27" s="4"/>
      <c r="SHF27" s="4"/>
      <c r="SHG27" s="4"/>
      <c r="SHH27" s="4"/>
      <c r="SHI27" s="4"/>
      <c r="SHJ27" s="4"/>
      <c r="SHK27" s="4"/>
      <c r="SHL27" s="4"/>
      <c r="SHM27" s="4"/>
      <c r="SHN27" s="4"/>
      <c r="SHO27" s="4"/>
      <c r="SHP27" s="4"/>
      <c r="SHQ27" s="4"/>
      <c r="SHR27" s="4"/>
      <c r="SHS27" s="4"/>
      <c r="SHT27" s="4"/>
      <c r="SHU27" s="4"/>
      <c r="SHV27" s="4"/>
      <c r="SHW27" s="4"/>
      <c r="SHX27" s="4"/>
      <c r="SHY27" s="4"/>
      <c r="SHZ27" s="4"/>
      <c r="SIA27" s="4"/>
      <c r="SIB27" s="4"/>
      <c r="SIC27" s="4"/>
      <c r="SID27" s="4"/>
      <c r="SIE27" s="4"/>
      <c r="SIF27" s="4"/>
      <c r="SIG27" s="4"/>
      <c r="SIH27" s="4"/>
      <c r="SII27" s="4"/>
      <c r="SIJ27" s="4"/>
      <c r="SIK27" s="4"/>
      <c r="SIL27" s="4"/>
      <c r="SIM27" s="4"/>
      <c r="SIN27" s="4"/>
      <c r="SIO27" s="4"/>
      <c r="SIP27" s="4"/>
      <c r="SIQ27" s="4"/>
      <c r="SIR27" s="4"/>
      <c r="SIS27" s="4"/>
      <c r="SIT27" s="4"/>
      <c r="SIU27" s="4"/>
      <c r="SIV27" s="4"/>
      <c r="SIW27" s="4"/>
      <c r="SIX27" s="4"/>
      <c r="SIY27" s="4"/>
      <c r="SIZ27" s="4"/>
      <c r="SJA27" s="4"/>
      <c r="SJB27" s="4"/>
      <c r="SJC27" s="4"/>
      <c r="SJD27" s="4"/>
      <c r="SJE27" s="4"/>
      <c r="SJF27" s="4"/>
      <c r="SJG27" s="4"/>
      <c r="SJH27" s="4"/>
      <c r="SJI27" s="4"/>
      <c r="SJJ27" s="4"/>
      <c r="SJK27" s="4"/>
      <c r="SJL27" s="4"/>
      <c r="SJM27" s="4"/>
      <c r="SJN27" s="4"/>
      <c r="SJO27" s="4"/>
      <c r="SJP27" s="4"/>
      <c r="SJQ27" s="4"/>
      <c r="SJR27" s="4"/>
      <c r="SJS27" s="4"/>
      <c r="SJT27" s="4"/>
      <c r="SJU27" s="4"/>
      <c r="SJV27" s="4"/>
      <c r="SJW27" s="4"/>
      <c r="SJX27" s="4"/>
      <c r="SJY27" s="4"/>
      <c r="SJZ27" s="4"/>
      <c r="SKA27" s="4"/>
      <c r="SKB27" s="4"/>
      <c r="SKC27" s="4"/>
      <c r="SKD27" s="4"/>
      <c r="SKE27" s="4"/>
      <c r="SKF27" s="4"/>
      <c r="SKG27" s="4"/>
      <c r="SKH27" s="4"/>
      <c r="SKI27" s="4"/>
      <c r="SKJ27" s="4"/>
      <c r="SKK27" s="4"/>
      <c r="SKL27" s="4"/>
      <c r="SKM27" s="4"/>
      <c r="SKN27" s="4"/>
      <c r="SKO27" s="4"/>
      <c r="SKP27" s="4"/>
      <c r="SKQ27" s="4"/>
      <c r="SKR27" s="4"/>
      <c r="SKS27" s="4"/>
      <c r="SKT27" s="4"/>
      <c r="SKU27" s="4"/>
      <c r="SKV27" s="4"/>
      <c r="SKW27" s="4"/>
      <c r="SKX27" s="4"/>
      <c r="SKY27" s="4"/>
      <c r="SKZ27" s="4"/>
      <c r="SLA27" s="4"/>
      <c r="SLB27" s="4"/>
      <c r="SLC27" s="4"/>
      <c r="SLD27" s="4"/>
      <c r="SLE27" s="4"/>
      <c r="SLF27" s="4"/>
      <c r="SLG27" s="4"/>
      <c r="SLH27" s="4"/>
      <c r="SLI27" s="4"/>
      <c r="SLJ27" s="4"/>
      <c r="SLK27" s="4"/>
      <c r="SLL27" s="4"/>
      <c r="SLM27" s="4"/>
      <c r="SLN27" s="4"/>
      <c r="SLO27" s="4"/>
      <c r="SLP27" s="4"/>
      <c r="SLQ27" s="4"/>
      <c r="SLR27" s="4"/>
      <c r="SLS27" s="4"/>
      <c r="SLT27" s="4"/>
      <c r="SLU27" s="4"/>
      <c r="SLV27" s="4"/>
      <c r="SLW27" s="4"/>
      <c r="SLX27" s="4"/>
      <c r="SLY27" s="4"/>
      <c r="SLZ27" s="4"/>
      <c r="SMA27" s="4"/>
      <c r="SMB27" s="4"/>
      <c r="SMC27" s="4"/>
      <c r="SMD27" s="4"/>
      <c r="SME27" s="4"/>
      <c r="SMF27" s="4"/>
      <c r="SMG27" s="4"/>
      <c r="SMH27" s="4"/>
      <c r="SMI27" s="4"/>
      <c r="SMJ27" s="4"/>
      <c r="SMK27" s="4"/>
      <c r="SML27" s="4"/>
      <c r="SMM27" s="4"/>
      <c r="SMN27" s="4"/>
      <c r="SMO27" s="4"/>
      <c r="SMP27" s="4"/>
      <c r="SMQ27" s="4"/>
      <c r="SMR27" s="4"/>
      <c r="SMS27" s="4"/>
      <c r="SMT27" s="4"/>
      <c r="SMU27" s="4"/>
      <c r="SMV27" s="4"/>
      <c r="SMW27" s="4"/>
      <c r="SMX27" s="4"/>
      <c r="SMY27" s="4"/>
      <c r="SMZ27" s="4"/>
      <c r="SNA27" s="4"/>
      <c r="SNB27" s="4"/>
      <c r="SNC27" s="4"/>
      <c r="SND27" s="4"/>
      <c r="SNE27" s="4"/>
      <c r="SNF27" s="4"/>
      <c r="SNG27" s="4"/>
      <c r="SNH27" s="4"/>
      <c r="SNI27" s="4"/>
      <c r="SNJ27" s="4"/>
      <c r="SNK27" s="4"/>
      <c r="SNL27" s="4"/>
      <c r="SNM27" s="4"/>
      <c r="SNN27" s="4"/>
      <c r="SNO27" s="4"/>
      <c r="SNP27" s="4"/>
      <c r="SNQ27" s="4"/>
      <c r="SNR27" s="4"/>
      <c r="SNS27" s="4"/>
      <c r="SNT27" s="4"/>
      <c r="SNU27" s="4"/>
      <c r="SNV27" s="4"/>
      <c r="SNW27" s="4"/>
      <c r="SNX27" s="4"/>
      <c r="SNY27" s="4"/>
      <c r="SNZ27" s="4"/>
      <c r="SOA27" s="4"/>
      <c r="SOB27" s="4"/>
      <c r="SOC27" s="4"/>
      <c r="SOD27" s="4"/>
      <c r="SOE27" s="4"/>
      <c r="SOF27" s="4"/>
      <c r="SOG27" s="4"/>
      <c r="SOH27" s="4"/>
      <c r="SOI27" s="4"/>
      <c r="SOJ27" s="4"/>
      <c r="SOK27" s="4"/>
      <c r="SOL27" s="4"/>
      <c r="SOM27" s="4"/>
      <c r="SON27" s="4"/>
      <c r="SOO27" s="4"/>
      <c r="SOP27" s="4"/>
      <c r="SOQ27" s="4"/>
      <c r="SOR27" s="4"/>
      <c r="SOS27" s="4"/>
      <c r="SOT27" s="4"/>
      <c r="SOU27" s="4"/>
      <c r="SOV27" s="4"/>
      <c r="SOW27" s="4"/>
      <c r="SOX27" s="4"/>
      <c r="SOY27" s="4"/>
      <c r="SOZ27" s="4"/>
      <c r="SPA27" s="4"/>
      <c r="SPB27" s="4"/>
      <c r="SPC27" s="4"/>
      <c r="SPD27" s="4"/>
      <c r="SPE27" s="4"/>
      <c r="SPF27" s="4"/>
      <c r="SPG27" s="4"/>
      <c r="SPH27" s="4"/>
      <c r="SPI27" s="4"/>
      <c r="SPJ27" s="4"/>
      <c r="SPK27" s="4"/>
      <c r="SPL27" s="4"/>
      <c r="SPM27" s="4"/>
      <c r="SPN27" s="4"/>
      <c r="SPO27" s="4"/>
      <c r="SPP27" s="4"/>
      <c r="SPQ27" s="4"/>
      <c r="SPR27" s="4"/>
      <c r="SPS27" s="4"/>
      <c r="SPT27" s="4"/>
      <c r="SPU27" s="4"/>
      <c r="SPV27" s="4"/>
      <c r="SPW27" s="4"/>
      <c r="SPX27" s="4"/>
      <c r="SPY27" s="4"/>
      <c r="SPZ27" s="4"/>
      <c r="SQA27" s="4"/>
      <c r="SQB27" s="4"/>
      <c r="SQC27" s="4"/>
      <c r="SQD27" s="4"/>
      <c r="SQE27" s="4"/>
      <c r="SQF27" s="4"/>
      <c r="SQG27" s="4"/>
      <c r="SQH27" s="4"/>
      <c r="SQI27" s="4"/>
      <c r="SQJ27" s="4"/>
      <c r="SQK27" s="4"/>
      <c r="SQL27" s="4"/>
      <c r="SQM27" s="4"/>
      <c r="SQN27" s="4"/>
      <c r="SQO27" s="4"/>
      <c r="SQP27" s="4"/>
      <c r="SQQ27" s="4"/>
      <c r="SQR27" s="4"/>
      <c r="SQS27" s="4"/>
      <c r="SQT27" s="4"/>
      <c r="SQU27" s="4"/>
      <c r="SQV27" s="4"/>
      <c r="SQW27" s="4"/>
      <c r="SQX27" s="4"/>
      <c r="SQY27" s="4"/>
      <c r="SQZ27" s="4"/>
      <c r="SRA27" s="4"/>
      <c r="SRB27" s="4"/>
      <c r="SRC27" s="4"/>
      <c r="SRD27" s="4"/>
      <c r="SRE27" s="4"/>
      <c r="SRF27" s="4"/>
      <c r="SRG27" s="4"/>
      <c r="SRH27" s="4"/>
      <c r="SRI27" s="4"/>
      <c r="SRJ27" s="4"/>
      <c r="SRK27" s="4"/>
      <c r="SRL27" s="4"/>
      <c r="SRM27" s="4"/>
      <c r="SRN27" s="4"/>
      <c r="SRO27" s="4"/>
      <c r="SRP27" s="4"/>
      <c r="SRQ27" s="4"/>
      <c r="SRR27" s="4"/>
      <c r="SRS27" s="4"/>
      <c r="SRT27" s="4"/>
      <c r="SRU27" s="4"/>
      <c r="SRV27" s="4"/>
      <c r="SRW27" s="4"/>
      <c r="SRX27" s="4"/>
      <c r="SRY27" s="4"/>
      <c r="SRZ27" s="4"/>
      <c r="SSA27" s="4"/>
      <c r="SSB27" s="4"/>
      <c r="SSC27" s="4"/>
      <c r="SSD27" s="4"/>
      <c r="SSE27" s="4"/>
      <c r="SSF27" s="4"/>
      <c r="SSG27" s="4"/>
      <c r="SSH27" s="4"/>
      <c r="SSI27" s="4"/>
      <c r="SSJ27" s="4"/>
      <c r="SSK27" s="4"/>
      <c r="SSL27" s="4"/>
      <c r="SSM27" s="4"/>
      <c r="SSN27" s="4"/>
      <c r="SSO27" s="4"/>
      <c r="SSP27" s="4"/>
      <c r="SSQ27" s="4"/>
      <c r="SSR27" s="4"/>
      <c r="SSS27" s="4"/>
      <c r="SST27" s="4"/>
      <c r="SSU27" s="4"/>
      <c r="SSV27" s="4"/>
      <c r="SSW27" s="4"/>
      <c r="SSX27" s="4"/>
      <c r="SSY27" s="4"/>
      <c r="SSZ27" s="4"/>
      <c r="STA27" s="4"/>
      <c r="STB27" s="4"/>
      <c r="STC27" s="4"/>
      <c r="STD27" s="4"/>
      <c r="STE27" s="4"/>
      <c r="STF27" s="4"/>
      <c r="STG27" s="4"/>
      <c r="STH27" s="4"/>
      <c r="STI27" s="4"/>
      <c r="STJ27" s="4"/>
      <c r="STK27" s="4"/>
      <c r="STL27" s="4"/>
      <c r="STM27" s="4"/>
      <c r="STN27" s="4"/>
      <c r="STO27" s="4"/>
      <c r="STP27" s="4"/>
      <c r="STQ27" s="4"/>
      <c r="STR27" s="4"/>
      <c r="STS27" s="4"/>
      <c r="STT27" s="4"/>
      <c r="STU27" s="4"/>
      <c r="STV27" s="4"/>
      <c r="STW27" s="4"/>
      <c r="STX27" s="4"/>
      <c r="STY27" s="4"/>
      <c r="STZ27" s="4"/>
      <c r="SUA27" s="4"/>
      <c r="SUB27" s="4"/>
      <c r="SUC27" s="4"/>
      <c r="SUD27" s="4"/>
      <c r="SUE27" s="4"/>
      <c r="SUF27" s="4"/>
      <c r="SUG27" s="4"/>
      <c r="SUH27" s="4"/>
      <c r="SUI27" s="4"/>
      <c r="SUJ27" s="4"/>
      <c r="SUK27" s="4"/>
      <c r="SUL27" s="4"/>
      <c r="SUM27" s="4"/>
      <c r="SUN27" s="4"/>
      <c r="SUO27" s="4"/>
      <c r="SUP27" s="4"/>
      <c r="SUQ27" s="4"/>
      <c r="SUR27" s="4"/>
      <c r="SUS27" s="4"/>
      <c r="SUT27" s="4"/>
      <c r="SUU27" s="4"/>
      <c r="SUV27" s="4"/>
      <c r="SUW27" s="4"/>
      <c r="SUX27" s="4"/>
      <c r="SUY27" s="4"/>
      <c r="SUZ27" s="4"/>
      <c r="SVA27" s="4"/>
      <c r="SVB27" s="4"/>
      <c r="SVC27" s="4"/>
      <c r="SVD27" s="4"/>
      <c r="SVE27" s="4"/>
      <c r="SVF27" s="4"/>
      <c r="SVG27" s="4"/>
      <c r="SVH27" s="4"/>
      <c r="SVI27" s="4"/>
      <c r="SVJ27" s="4"/>
      <c r="SVK27" s="4"/>
      <c r="SVL27" s="4"/>
      <c r="SVM27" s="4"/>
      <c r="SVN27" s="4"/>
      <c r="SVO27" s="4"/>
      <c r="SVP27" s="4"/>
      <c r="SVQ27" s="4"/>
      <c r="SVR27" s="4"/>
      <c r="SVS27" s="4"/>
      <c r="SVT27" s="4"/>
      <c r="SVU27" s="4"/>
      <c r="SVV27" s="4"/>
      <c r="SVW27" s="4"/>
      <c r="SVX27" s="4"/>
      <c r="SVY27" s="4"/>
      <c r="SVZ27" s="4"/>
      <c r="SWA27" s="4"/>
      <c r="SWB27" s="4"/>
      <c r="SWC27" s="4"/>
      <c r="SWD27" s="4"/>
      <c r="SWE27" s="4"/>
      <c r="SWF27" s="4"/>
      <c r="SWG27" s="4"/>
      <c r="SWH27" s="4"/>
      <c r="SWI27" s="4"/>
      <c r="SWJ27" s="4"/>
      <c r="SWK27" s="4"/>
      <c r="SWL27" s="4"/>
      <c r="SWM27" s="4"/>
      <c r="SWN27" s="4"/>
      <c r="SWO27" s="4"/>
      <c r="SWP27" s="4"/>
      <c r="SWQ27" s="4"/>
      <c r="SWR27" s="4"/>
      <c r="SWS27" s="4"/>
      <c r="SWT27" s="4"/>
      <c r="SWU27" s="4"/>
      <c r="SWV27" s="4"/>
      <c r="SWW27" s="4"/>
      <c r="SWX27" s="4"/>
      <c r="SWY27" s="4"/>
      <c r="SWZ27" s="4"/>
      <c r="SXA27" s="4"/>
      <c r="SXB27" s="4"/>
      <c r="SXC27" s="4"/>
      <c r="SXD27" s="4"/>
      <c r="SXE27" s="4"/>
      <c r="SXF27" s="4"/>
      <c r="SXG27" s="4"/>
      <c r="SXH27" s="4"/>
      <c r="SXI27" s="4"/>
      <c r="SXJ27" s="4"/>
      <c r="SXK27" s="4"/>
      <c r="SXL27" s="4"/>
      <c r="SXM27" s="4"/>
      <c r="SXN27" s="4"/>
      <c r="SXO27" s="4"/>
      <c r="SXP27" s="4"/>
      <c r="SXQ27" s="4"/>
      <c r="SXR27" s="4"/>
      <c r="SXS27" s="4"/>
      <c r="SXT27" s="4"/>
      <c r="SXU27" s="4"/>
      <c r="SXV27" s="4"/>
      <c r="SXW27" s="4"/>
      <c r="SXX27" s="4"/>
      <c r="SXY27" s="4"/>
      <c r="SXZ27" s="4"/>
      <c r="SYA27" s="4"/>
      <c r="SYB27" s="4"/>
      <c r="SYC27" s="4"/>
      <c r="SYD27" s="4"/>
      <c r="SYE27" s="4"/>
      <c r="SYF27" s="4"/>
      <c r="SYG27" s="4"/>
      <c r="SYH27" s="4"/>
      <c r="SYI27" s="4"/>
      <c r="SYJ27" s="4"/>
      <c r="SYK27" s="4"/>
      <c r="SYL27" s="4"/>
      <c r="SYM27" s="4"/>
      <c r="SYN27" s="4"/>
      <c r="SYO27" s="4"/>
      <c r="SYP27" s="4"/>
      <c r="SYQ27" s="4"/>
      <c r="SYR27" s="4"/>
      <c r="SYS27" s="4"/>
      <c r="SYT27" s="4"/>
      <c r="SYU27" s="4"/>
      <c r="SYV27" s="4"/>
      <c r="SYW27" s="4"/>
      <c r="SYX27" s="4"/>
      <c r="SYY27" s="4"/>
      <c r="SYZ27" s="4"/>
      <c r="SZA27" s="4"/>
      <c r="SZB27" s="4"/>
      <c r="SZC27" s="4"/>
      <c r="SZD27" s="4"/>
      <c r="SZE27" s="4"/>
      <c r="SZF27" s="4"/>
      <c r="SZG27" s="4"/>
      <c r="SZH27" s="4"/>
      <c r="SZI27" s="4"/>
      <c r="SZJ27" s="4"/>
      <c r="SZK27" s="4"/>
      <c r="SZL27" s="4"/>
      <c r="SZM27" s="4"/>
      <c r="SZN27" s="4"/>
      <c r="SZO27" s="4"/>
      <c r="SZP27" s="4"/>
      <c r="SZQ27" s="4"/>
      <c r="SZR27" s="4"/>
      <c r="SZS27" s="4"/>
      <c r="SZT27" s="4"/>
      <c r="SZU27" s="4"/>
      <c r="SZV27" s="4"/>
      <c r="SZW27" s="4"/>
      <c r="SZX27" s="4"/>
      <c r="SZY27" s="4"/>
      <c r="SZZ27" s="4"/>
      <c r="TAA27" s="4"/>
      <c r="TAB27" s="4"/>
      <c r="TAC27" s="4"/>
      <c r="TAD27" s="4"/>
      <c r="TAE27" s="4"/>
      <c r="TAF27" s="4"/>
      <c r="TAG27" s="4"/>
      <c r="TAH27" s="4"/>
      <c r="TAI27" s="4"/>
      <c r="TAJ27" s="4"/>
      <c r="TAK27" s="4"/>
      <c r="TAL27" s="4"/>
      <c r="TAM27" s="4"/>
      <c r="TAN27" s="4"/>
      <c r="TAO27" s="4"/>
      <c r="TAP27" s="4"/>
      <c r="TAQ27" s="4"/>
      <c r="TAR27" s="4"/>
      <c r="TAS27" s="4"/>
      <c r="TAT27" s="4"/>
      <c r="TAU27" s="4"/>
      <c r="TAV27" s="4"/>
      <c r="TAW27" s="4"/>
      <c r="TAX27" s="4"/>
      <c r="TAY27" s="4"/>
      <c r="TAZ27" s="4"/>
      <c r="TBA27" s="4"/>
      <c r="TBB27" s="4"/>
      <c r="TBC27" s="4"/>
      <c r="TBD27" s="4"/>
      <c r="TBE27" s="4"/>
      <c r="TBF27" s="4"/>
      <c r="TBG27" s="4"/>
      <c r="TBH27" s="4"/>
      <c r="TBI27" s="4"/>
      <c r="TBJ27" s="4"/>
      <c r="TBK27" s="4"/>
      <c r="TBL27" s="4"/>
      <c r="TBM27" s="4"/>
      <c r="TBN27" s="4"/>
      <c r="TBO27" s="4"/>
      <c r="TBP27" s="4"/>
      <c r="TBQ27" s="4"/>
      <c r="TBR27" s="4"/>
      <c r="TBS27" s="4"/>
      <c r="TBT27" s="4"/>
      <c r="TBU27" s="4"/>
      <c r="TBV27" s="4"/>
      <c r="TBW27" s="4"/>
      <c r="TBX27" s="4"/>
      <c r="TBY27" s="4"/>
      <c r="TBZ27" s="4"/>
      <c r="TCA27" s="4"/>
      <c r="TCB27" s="4"/>
      <c r="TCC27" s="4"/>
      <c r="TCD27" s="4"/>
      <c r="TCE27" s="4"/>
      <c r="TCF27" s="4"/>
      <c r="TCG27" s="4"/>
      <c r="TCH27" s="4"/>
      <c r="TCI27" s="4"/>
      <c r="TCJ27" s="4"/>
      <c r="TCK27" s="4"/>
      <c r="TCL27" s="4"/>
      <c r="TCM27" s="4"/>
      <c r="TCN27" s="4"/>
      <c r="TCO27" s="4"/>
      <c r="TCP27" s="4"/>
      <c r="TCQ27" s="4"/>
      <c r="TCR27" s="4"/>
      <c r="TCS27" s="4"/>
      <c r="TCT27" s="4"/>
      <c r="TCU27" s="4"/>
      <c r="TCV27" s="4"/>
      <c r="TCW27" s="4"/>
      <c r="TCX27" s="4"/>
      <c r="TCY27" s="4"/>
      <c r="TCZ27" s="4"/>
      <c r="TDA27" s="4"/>
      <c r="TDB27" s="4"/>
      <c r="TDC27" s="4"/>
      <c r="TDD27" s="4"/>
      <c r="TDE27" s="4"/>
      <c r="TDF27" s="4"/>
      <c r="TDG27" s="4"/>
      <c r="TDH27" s="4"/>
      <c r="TDI27" s="4"/>
      <c r="TDJ27" s="4"/>
      <c r="TDK27" s="4"/>
      <c r="TDL27" s="4"/>
      <c r="TDM27" s="4"/>
      <c r="TDN27" s="4"/>
      <c r="TDO27" s="4"/>
      <c r="TDP27" s="4"/>
      <c r="TDQ27" s="4"/>
      <c r="TDR27" s="4"/>
      <c r="TDS27" s="4"/>
      <c r="TDT27" s="4"/>
      <c r="TDU27" s="4"/>
      <c r="TDV27" s="4"/>
      <c r="TDW27" s="4"/>
      <c r="TDX27" s="4"/>
      <c r="TDY27" s="4"/>
      <c r="TDZ27" s="4"/>
      <c r="TEA27" s="4"/>
      <c r="TEB27" s="4"/>
      <c r="TEC27" s="4"/>
      <c r="TED27" s="4"/>
      <c r="TEE27" s="4"/>
      <c r="TEF27" s="4"/>
      <c r="TEG27" s="4"/>
      <c r="TEH27" s="4"/>
      <c r="TEI27" s="4"/>
      <c r="TEJ27" s="4"/>
      <c r="TEK27" s="4"/>
      <c r="TEL27" s="4"/>
      <c r="TEM27" s="4"/>
      <c r="TEN27" s="4"/>
      <c r="TEO27" s="4"/>
      <c r="TEP27" s="4"/>
      <c r="TEQ27" s="4"/>
      <c r="TER27" s="4"/>
      <c r="TES27" s="4"/>
      <c r="TET27" s="4"/>
      <c r="TEU27" s="4"/>
      <c r="TEV27" s="4"/>
      <c r="TEW27" s="4"/>
      <c r="TEX27" s="4"/>
      <c r="TEY27" s="4"/>
      <c r="TEZ27" s="4"/>
      <c r="TFA27" s="4"/>
      <c r="TFB27" s="4"/>
      <c r="TFC27" s="4"/>
      <c r="TFD27" s="4"/>
      <c r="TFE27" s="4"/>
      <c r="TFF27" s="4"/>
      <c r="TFG27" s="4"/>
      <c r="TFH27" s="4"/>
      <c r="TFI27" s="4"/>
      <c r="TFJ27" s="4"/>
      <c r="TFK27" s="4"/>
      <c r="TFL27" s="4"/>
      <c r="TFM27" s="4"/>
      <c r="TFN27" s="4"/>
      <c r="TFO27" s="4"/>
      <c r="TFP27" s="4"/>
      <c r="TFQ27" s="4"/>
      <c r="TFR27" s="4"/>
      <c r="TFS27" s="4"/>
      <c r="TFT27" s="4"/>
      <c r="TFU27" s="4"/>
      <c r="TFV27" s="4"/>
      <c r="TFW27" s="4"/>
      <c r="TFX27" s="4"/>
      <c r="TFY27" s="4"/>
      <c r="TFZ27" s="4"/>
      <c r="TGA27" s="4"/>
      <c r="TGB27" s="4"/>
      <c r="TGC27" s="4"/>
      <c r="TGD27" s="4"/>
      <c r="TGE27" s="4"/>
      <c r="TGF27" s="4"/>
      <c r="TGG27" s="4"/>
      <c r="TGH27" s="4"/>
      <c r="TGI27" s="4"/>
      <c r="TGJ27" s="4"/>
      <c r="TGK27" s="4"/>
      <c r="TGL27" s="4"/>
      <c r="TGM27" s="4"/>
      <c r="TGN27" s="4"/>
      <c r="TGO27" s="4"/>
      <c r="TGP27" s="4"/>
      <c r="TGQ27" s="4"/>
      <c r="TGR27" s="4"/>
      <c r="TGS27" s="4"/>
      <c r="TGT27" s="4"/>
      <c r="TGU27" s="4"/>
      <c r="TGV27" s="4"/>
      <c r="TGW27" s="4"/>
      <c r="TGX27" s="4"/>
      <c r="TGY27" s="4"/>
      <c r="TGZ27" s="4"/>
      <c r="THA27" s="4"/>
      <c r="THB27" s="4"/>
      <c r="THC27" s="4"/>
      <c r="THD27" s="4"/>
      <c r="THE27" s="4"/>
      <c r="THF27" s="4"/>
      <c r="THG27" s="4"/>
      <c r="THH27" s="4"/>
      <c r="THI27" s="4"/>
      <c r="THJ27" s="4"/>
      <c r="THK27" s="4"/>
      <c r="THL27" s="4"/>
      <c r="THM27" s="4"/>
      <c r="THN27" s="4"/>
      <c r="THO27" s="4"/>
      <c r="THP27" s="4"/>
      <c r="THQ27" s="4"/>
      <c r="THR27" s="4"/>
      <c r="THS27" s="4"/>
      <c r="THT27" s="4"/>
      <c r="THU27" s="4"/>
      <c r="THV27" s="4"/>
      <c r="THW27" s="4"/>
      <c r="THX27" s="4"/>
      <c r="THY27" s="4"/>
      <c r="THZ27" s="4"/>
      <c r="TIA27" s="4"/>
      <c r="TIB27" s="4"/>
      <c r="TIC27" s="4"/>
      <c r="TID27" s="4"/>
      <c r="TIE27" s="4"/>
      <c r="TIF27" s="4"/>
      <c r="TIG27" s="4"/>
      <c r="TIH27" s="4"/>
      <c r="TII27" s="4"/>
      <c r="TIJ27" s="4"/>
      <c r="TIK27" s="4"/>
      <c r="TIL27" s="4"/>
      <c r="TIM27" s="4"/>
      <c r="TIN27" s="4"/>
      <c r="TIO27" s="4"/>
      <c r="TIP27" s="4"/>
      <c r="TIQ27" s="4"/>
      <c r="TIR27" s="4"/>
      <c r="TIS27" s="4"/>
      <c r="TIT27" s="4"/>
      <c r="TIU27" s="4"/>
      <c r="TIV27" s="4"/>
      <c r="TIW27" s="4"/>
      <c r="TIX27" s="4"/>
      <c r="TIY27" s="4"/>
      <c r="TIZ27" s="4"/>
      <c r="TJA27" s="4"/>
      <c r="TJB27" s="4"/>
      <c r="TJC27" s="4"/>
      <c r="TJD27" s="4"/>
      <c r="TJE27" s="4"/>
      <c r="TJF27" s="4"/>
      <c r="TJG27" s="4"/>
      <c r="TJH27" s="4"/>
      <c r="TJI27" s="4"/>
      <c r="TJJ27" s="4"/>
      <c r="TJK27" s="4"/>
      <c r="TJL27" s="4"/>
      <c r="TJM27" s="4"/>
      <c r="TJN27" s="4"/>
      <c r="TJO27" s="4"/>
      <c r="TJP27" s="4"/>
      <c r="TJQ27" s="4"/>
      <c r="TJR27" s="4"/>
      <c r="TJS27" s="4"/>
      <c r="TJT27" s="4"/>
      <c r="TJU27" s="4"/>
      <c r="TJV27" s="4"/>
      <c r="TJW27" s="4"/>
      <c r="TJX27" s="4"/>
      <c r="TJY27" s="4"/>
      <c r="TJZ27" s="4"/>
      <c r="TKA27" s="4"/>
      <c r="TKB27" s="4"/>
      <c r="TKC27" s="4"/>
      <c r="TKD27" s="4"/>
      <c r="TKE27" s="4"/>
      <c r="TKF27" s="4"/>
      <c r="TKG27" s="4"/>
      <c r="TKH27" s="4"/>
      <c r="TKI27" s="4"/>
      <c r="TKJ27" s="4"/>
      <c r="TKK27" s="4"/>
      <c r="TKL27" s="4"/>
      <c r="TKM27" s="4"/>
      <c r="TKN27" s="4"/>
      <c r="TKO27" s="4"/>
      <c r="TKP27" s="4"/>
      <c r="TKQ27" s="4"/>
      <c r="TKR27" s="4"/>
      <c r="TKS27" s="4"/>
      <c r="TKT27" s="4"/>
      <c r="TKU27" s="4"/>
      <c r="TKV27" s="4"/>
      <c r="TKW27" s="4"/>
      <c r="TKX27" s="4"/>
      <c r="TKY27" s="4"/>
      <c r="TKZ27" s="4"/>
      <c r="TLA27" s="4"/>
      <c r="TLB27" s="4"/>
      <c r="TLC27" s="4"/>
      <c r="TLD27" s="4"/>
      <c r="TLE27" s="4"/>
      <c r="TLF27" s="4"/>
      <c r="TLG27" s="4"/>
      <c r="TLH27" s="4"/>
      <c r="TLI27" s="4"/>
      <c r="TLJ27" s="4"/>
      <c r="TLK27" s="4"/>
      <c r="TLL27" s="4"/>
      <c r="TLM27" s="4"/>
      <c r="TLN27" s="4"/>
      <c r="TLO27" s="4"/>
      <c r="TLP27" s="4"/>
      <c r="TLQ27" s="4"/>
      <c r="TLR27" s="4"/>
      <c r="TLS27" s="4"/>
      <c r="TLT27" s="4"/>
      <c r="TLU27" s="4"/>
      <c r="TLV27" s="4"/>
      <c r="TLW27" s="4"/>
      <c r="TLX27" s="4"/>
      <c r="TLY27" s="4"/>
      <c r="TLZ27" s="4"/>
      <c r="TMA27" s="4"/>
      <c r="TMB27" s="4"/>
      <c r="TMC27" s="4"/>
      <c r="TMD27" s="4"/>
      <c r="TME27" s="4"/>
      <c r="TMF27" s="4"/>
      <c r="TMG27" s="4"/>
      <c r="TMH27" s="4"/>
      <c r="TMI27" s="4"/>
      <c r="TMJ27" s="4"/>
      <c r="TMK27" s="4"/>
      <c r="TML27" s="4"/>
      <c r="TMM27" s="4"/>
      <c r="TMN27" s="4"/>
      <c r="TMO27" s="4"/>
      <c r="TMP27" s="4"/>
      <c r="TMQ27" s="4"/>
      <c r="TMR27" s="4"/>
      <c r="TMS27" s="4"/>
      <c r="TMT27" s="4"/>
      <c r="TMU27" s="4"/>
      <c r="TMV27" s="4"/>
      <c r="TMW27" s="4"/>
      <c r="TMX27" s="4"/>
      <c r="TMY27" s="4"/>
      <c r="TMZ27" s="4"/>
      <c r="TNA27" s="4"/>
      <c r="TNB27" s="4"/>
      <c r="TNC27" s="4"/>
      <c r="TND27" s="4"/>
      <c r="TNE27" s="4"/>
      <c r="TNF27" s="4"/>
      <c r="TNG27" s="4"/>
      <c r="TNH27" s="4"/>
      <c r="TNI27" s="4"/>
      <c r="TNJ27" s="4"/>
      <c r="TNK27" s="4"/>
      <c r="TNL27" s="4"/>
      <c r="TNM27" s="4"/>
      <c r="TNN27" s="4"/>
      <c r="TNO27" s="4"/>
      <c r="TNP27" s="4"/>
      <c r="TNQ27" s="4"/>
      <c r="TNR27" s="4"/>
      <c r="TNS27" s="4"/>
      <c r="TNT27" s="4"/>
      <c r="TNU27" s="4"/>
      <c r="TNV27" s="4"/>
      <c r="TNW27" s="4"/>
      <c r="TNX27" s="4"/>
      <c r="TNY27" s="4"/>
      <c r="TNZ27" s="4"/>
      <c r="TOA27" s="4"/>
      <c r="TOB27" s="4"/>
      <c r="TOC27" s="4"/>
      <c r="TOD27" s="4"/>
      <c r="TOE27" s="4"/>
      <c r="TOF27" s="4"/>
      <c r="TOG27" s="4"/>
      <c r="TOH27" s="4"/>
      <c r="TOI27" s="4"/>
      <c r="TOJ27" s="4"/>
      <c r="TOK27" s="4"/>
      <c r="TOL27" s="4"/>
      <c r="TOM27" s="4"/>
      <c r="TON27" s="4"/>
      <c r="TOO27" s="4"/>
      <c r="TOP27" s="4"/>
      <c r="TOQ27" s="4"/>
      <c r="TOR27" s="4"/>
      <c r="TOS27" s="4"/>
      <c r="TOT27" s="4"/>
      <c r="TOU27" s="4"/>
      <c r="TOV27" s="4"/>
      <c r="TOW27" s="4"/>
      <c r="TOX27" s="4"/>
      <c r="TOY27" s="4"/>
      <c r="TOZ27" s="4"/>
      <c r="TPA27" s="4"/>
      <c r="TPB27" s="4"/>
      <c r="TPC27" s="4"/>
      <c r="TPD27" s="4"/>
      <c r="TPE27" s="4"/>
      <c r="TPF27" s="4"/>
      <c r="TPG27" s="4"/>
      <c r="TPH27" s="4"/>
      <c r="TPI27" s="4"/>
      <c r="TPJ27" s="4"/>
      <c r="TPK27" s="4"/>
      <c r="TPL27" s="4"/>
      <c r="TPM27" s="4"/>
      <c r="TPN27" s="4"/>
      <c r="TPO27" s="4"/>
      <c r="TPP27" s="4"/>
      <c r="TPQ27" s="4"/>
      <c r="TPR27" s="4"/>
      <c r="TPS27" s="4"/>
      <c r="TPT27" s="4"/>
      <c r="TPU27" s="4"/>
      <c r="TPV27" s="4"/>
      <c r="TPW27" s="4"/>
      <c r="TPX27" s="4"/>
      <c r="TPY27" s="4"/>
      <c r="TPZ27" s="4"/>
      <c r="TQA27" s="4"/>
      <c r="TQB27" s="4"/>
      <c r="TQC27" s="4"/>
      <c r="TQD27" s="4"/>
      <c r="TQE27" s="4"/>
      <c r="TQF27" s="4"/>
      <c r="TQG27" s="4"/>
      <c r="TQH27" s="4"/>
      <c r="TQI27" s="4"/>
      <c r="TQJ27" s="4"/>
      <c r="TQK27" s="4"/>
      <c r="TQL27" s="4"/>
      <c r="TQM27" s="4"/>
      <c r="TQN27" s="4"/>
      <c r="TQO27" s="4"/>
      <c r="TQP27" s="4"/>
      <c r="TQQ27" s="4"/>
      <c r="TQR27" s="4"/>
      <c r="TQS27" s="4"/>
      <c r="TQT27" s="4"/>
      <c r="TQU27" s="4"/>
      <c r="TQV27" s="4"/>
      <c r="TQW27" s="4"/>
      <c r="TQX27" s="4"/>
      <c r="TQY27" s="4"/>
      <c r="TQZ27" s="4"/>
      <c r="TRA27" s="4"/>
      <c r="TRB27" s="4"/>
      <c r="TRC27" s="4"/>
      <c r="TRD27" s="4"/>
      <c r="TRE27" s="4"/>
      <c r="TRF27" s="4"/>
      <c r="TRG27" s="4"/>
      <c r="TRH27" s="4"/>
      <c r="TRI27" s="4"/>
      <c r="TRJ27" s="4"/>
      <c r="TRK27" s="4"/>
      <c r="TRL27" s="4"/>
      <c r="TRM27" s="4"/>
      <c r="TRN27" s="4"/>
      <c r="TRO27" s="4"/>
      <c r="TRP27" s="4"/>
      <c r="TRQ27" s="4"/>
      <c r="TRR27" s="4"/>
      <c r="TRS27" s="4"/>
      <c r="TRT27" s="4"/>
      <c r="TRU27" s="4"/>
      <c r="TRV27" s="4"/>
      <c r="TRW27" s="4"/>
      <c r="TRX27" s="4"/>
      <c r="TRY27" s="4"/>
      <c r="TRZ27" s="4"/>
      <c r="TSA27" s="4"/>
      <c r="TSB27" s="4"/>
      <c r="TSC27" s="4"/>
      <c r="TSD27" s="4"/>
      <c r="TSE27" s="4"/>
      <c r="TSF27" s="4"/>
      <c r="TSG27" s="4"/>
      <c r="TSH27" s="4"/>
      <c r="TSI27" s="4"/>
      <c r="TSJ27" s="4"/>
      <c r="TSK27" s="4"/>
      <c r="TSL27" s="4"/>
      <c r="TSM27" s="4"/>
      <c r="TSN27" s="4"/>
      <c r="TSO27" s="4"/>
      <c r="TSP27" s="4"/>
      <c r="TSQ27" s="4"/>
      <c r="TSR27" s="4"/>
      <c r="TSS27" s="4"/>
      <c r="TST27" s="4"/>
      <c r="TSU27" s="4"/>
      <c r="TSV27" s="4"/>
      <c r="TSW27" s="4"/>
      <c r="TSX27" s="4"/>
      <c r="TSY27" s="4"/>
      <c r="TSZ27" s="4"/>
      <c r="TTA27" s="4"/>
      <c r="TTB27" s="4"/>
      <c r="TTC27" s="4"/>
      <c r="TTD27" s="4"/>
      <c r="TTE27" s="4"/>
      <c r="TTF27" s="4"/>
      <c r="TTG27" s="4"/>
      <c r="TTH27" s="4"/>
      <c r="TTI27" s="4"/>
      <c r="TTJ27" s="4"/>
      <c r="TTK27" s="4"/>
      <c r="TTL27" s="4"/>
      <c r="TTM27" s="4"/>
      <c r="TTN27" s="4"/>
      <c r="TTO27" s="4"/>
      <c r="TTP27" s="4"/>
      <c r="TTQ27" s="4"/>
      <c r="TTR27" s="4"/>
      <c r="TTS27" s="4"/>
      <c r="TTT27" s="4"/>
      <c r="TTU27" s="4"/>
      <c r="TTV27" s="4"/>
      <c r="TTW27" s="4"/>
      <c r="TTX27" s="4"/>
      <c r="TTY27" s="4"/>
      <c r="TTZ27" s="4"/>
      <c r="TUA27" s="4"/>
      <c r="TUB27" s="4"/>
      <c r="TUC27" s="4"/>
      <c r="TUD27" s="4"/>
      <c r="TUE27" s="4"/>
      <c r="TUF27" s="4"/>
      <c r="TUG27" s="4"/>
      <c r="TUH27" s="4"/>
      <c r="TUI27" s="4"/>
      <c r="TUJ27" s="4"/>
      <c r="TUK27" s="4"/>
      <c r="TUL27" s="4"/>
      <c r="TUM27" s="4"/>
      <c r="TUN27" s="4"/>
      <c r="TUO27" s="4"/>
      <c r="TUP27" s="4"/>
      <c r="TUQ27" s="4"/>
      <c r="TUR27" s="4"/>
      <c r="TUS27" s="4"/>
      <c r="TUT27" s="4"/>
      <c r="TUU27" s="4"/>
      <c r="TUV27" s="4"/>
      <c r="TUW27" s="4"/>
      <c r="TUX27" s="4"/>
      <c r="TUY27" s="4"/>
      <c r="TUZ27" s="4"/>
      <c r="TVA27" s="4"/>
      <c r="TVB27" s="4"/>
      <c r="TVC27" s="4"/>
      <c r="TVD27" s="4"/>
      <c r="TVE27" s="4"/>
      <c r="TVF27" s="4"/>
      <c r="TVG27" s="4"/>
      <c r="TVH27" s="4"/>
      <c r="TVI27" s="4"/>
      <c r="TVJ27" s="4"/>
      <c r="TVK27" s="4"/>
      <c r="TVL27" s="4"/>
      <c r="TVM27" s="4"/>
      <c r="TVN27" s="4"/>
      <c r="TVO27" s="4"/>
      <c r="TVP27" s="4"/>
      <c r="TVQ27" s="4"/>
      <c r="TVR27" s="4"/>
      <c r="TVS27" s="4"/>
      <c r="TVT27" s="4"/>
      <c r="TVU27" s="4"/>
      <c r="TVV27" s="4"/>
      <c r="TVW27" s="4"/>
      <c r="TVX27" s="4"/>
      <c r="TVY27" s="4"/>
      <c r="TVZ27" s="4"/>
      <c r="TWA27" s="4"/>
      <c r="TWB27" s="4"/>
      <c r="TWC27" s="4"/>
      <c r="TWD27" s="4"/>
      <c r="TWE27" s="4"/>
      <c r="TWF27" s="4"/>
      <c r="TWG27" s="4"/>
      <c r="TWH27" s="4"/>
      <c r="TWI27" s="4"/>
      <c r="TWJ27" s="4"/>
      <c r="TWK27" s="4"/>
      <c r="TWL27" s="4"/>
      <c r="TWM27" s="4"/>
      <c r="TWN27" s="4"/>
      <c r="TWO27" s="4"/>
      <c r="TWP27" s="4"/>
      <c r="TWQ27" s="4"/>
      <c r="TWR27" s="4"/>
      <c r="TWS27" s="4"/>
      <c r="TWT27" s="4"/>
      <c r="TWU27" s="4"/>
      <c r="TWV27" s="4"/>
      <c r="TWW27" s="4"/>
      <c r="TWX27" s="4"/>
      <c r="TWY27" s="4"/>
      <c r="TWZ27" s="4"/>
      <c r="TXA27" s="4"/>
      <c r="TXB27" s="4"/>
      <c r="TXC27" s="4"/>
      <c r="TXD27" s="4"/>
      <c r="TXE27" s="4"/>
      <c r="TXF27" s="4"/>
      <c r="TXG27" s="4"/>
      <c r="TXH27" s="4"/>
      <c r="TXI27" s="4"/>
      <c r="TXJ27" s="4"/>
      <c r="TXK27" s="4"/>
      <c r="TXL27" s="4"/>
      <c r="TXM27" s="4"/>
      <c r="TXN27" s="4"/>
      <c r="TXO27" s="4"/>
      <c r="TXP27" s="4"/>
      <c r="TXQ27" s="4"/>
      <c r="TXR27" s="4"/>
      <c r="TXS27" s="4"/>
      <c r="TXT27" s="4"/>
      <c r="TXU27" s="4"/>
      <c r="TXV27" s="4"/>
      <c r="TXW27" s="4"/>
      <c r="TXX27" s="4"/>
      <c r="TXY27" s="4"/>
      <c r="TXZ27" s="4"/>
      <c r="TYA27" s="4"/>
      <c r="TYB27" s="4"/>
      <c r="TYC27" s="4"/>
      <c r="TYD27" s="4"/>
      <c r="TYE27" s="4"/>
      <c r="TYF27" s="4"/>
      <c r="TYG27" s="4"/>
      <c r="TYH27" s="4"/>
      <c r="TYI27" s="4"/>
      <c r="TYJ27" s="4"/>
      <c r="TYK27" s="4"/>
      <c r="TYL27" s="4"/>
      <c r="TYM27" s="4"/>
      <c r="TYN27" s="4"/>
      <c r="TYO27" s="4"/>
      <c r="TYP27" s="4"/>
      <c r="TYQ27" s="4"/>
      <c r="TYR27" s="4"/>
      <c r="TYS27" s="4"/>
      <c r="TYT27" s="4"/>
      <c r="TYU27" s="4"/>
      <c r="TYV27" s="4"/>
      <c r="TYW27" s="4"/>
      <c r="TYX27" s="4"/>
      <c r="TYY27" s="4"/>
      <c r="TYZ27" s="4"/>
      <c r="TZA27" s="4"/>
      <c r="TZB27" s="4"/>
      <c r="TZC27" s="4"/>
      <c r="TZD27" s="4"/>
      <c r="TZE27" s="4"/>
      <c r="TZF27" s="4"/>
      <c r="TZG27" s="4"/>
      <c r="TZH27" s="4"/>
      <c r="TZI27" s="4"/>
      <c r="TZJ27" s="4"/>
      <c r="TZK27" s="4"/>
      <c r="TZL27" s="4"/>
      <c r="TZM27" s="4"/>
      <c r="TZN27" s="4"/>
      <c r="TZO27" s="4"/>
      <c r="TZP27" s="4"/>
      <c r="TZQ27" s="4"/>
      <c r="TZR27" s="4"/>
      <c r="TZS27" s="4"/>
      <c r="TZT27" s="4"/>
      <c r="TZU27" s="4"/>
      <c r="TZV27" s="4"/>
      <c r="TZW27" s="4"/>
      <c r="TZX27" s="4"/>
      <c r="TZY27" s="4"/>
      <c r="TZZ27" s="4"/>
      <c r="UAA27" s="4"/>
      <c r="UAB27" s="4"/>
      <c r="UAC27" s="4"/>
      <c r="UAD27" s="4"/>
      <c r="UAE27" s="4"/>
      <c r="UAF27" s="4"/>
      <c r="UAG27" s="4"/>
      <c r="UAH27" s="4"/>
      <c r="UAI27" s="4"/>
      <c r="UAJ27" s="4"/>
      <c r="UAK27" s="4"/>
      <c r="UAL27" s="4"/>
      <c r="UAM27" s="4"/>
      <c r="UAN27" s="4"/>
      <c r="UAO27" s="4"/>
      <c r="UAP27" s="4"/>
      <c r="UAQ27" s="4"/>
      <c r="UAR27" s="4"/>
      <c r="UAS27" s="4"/>
      <c r="UAT27" s="4"/>
      <c r="UAU27" s="4"/>
      <c r="UAV27" s="4"/>
      <c r="UAW27" s="4"/>
      <c r="UAX27" s="4"/>
      <c r="UAY27" s="4"/>
      <c r="UAZ27" s="4"/>
      <c r="UBA27" s="4"/>
      <c r="UBB27" s="4"/>
      <c r="UBC27" s="4"/>
      <c r="UBD27" s="4"/>
      <c r="UBE27" s="4"/>
      <c r="UBF27" s="4"/>
      <c r="UBG27" s="4"/>
      <c r="UBH27" s="4"/>
      <c r="UBI27" s="4"/>
      <c r="UBJ27" s="4"/>
      <c r="UBK27" s="4"/>
      <c r="UBL27" s="4"/>
      <c r="UBM27" s="4"/>
      <c r="UBN27" s="4"/>
      <c r="UBO27" s="4"/>
      <c r="UBP27" s="4"/>
      <c r="UBQ27" s="4"/>
      <c r="UBR27" s="4"/>
      <c r="UBS27" s="4"/>
      <c r="UBT27" s="4"/>
      <c r="UBU27" s="4"/>
      <c r="UBV27" s="4"/>
      <c r="UBW27" s="4"/>
      <c r="UBX27" s="4"/>
      <c r="UBY27" s="4"/>
      <c r="UBZ27" s="4"/>
      <c r="UCA27" s="4"/>
      <c r="UCB27" s="4"/>
      <c r="UCC27" s="4"/>
      <c r="UCD27" s="4"/>
      <c r="UCE27" s="4"/>
      <c r="UCF27" s="4"/>
      <c r="UCG27" s="4"/>
      <c r="UCH27" s="4"/>
      <c r="UCI27" s="4"/>
      <c r="UCJ27" s="4"/>
      <c r="UCK27" s="4"/>
      <c r="UCL27" s="4"/>
      <c r="UCM27" s="4"/>
      <c r="UCN27" s="4"/>
      <c r="UCO27" s="4"/>
      <c r="UCP27" s="4"/>
      <c r="UCQ27" s="4"/>
      <c r="UCR27" s="4"/>
      <c r="UCS27" s="4"/>
      <c r="UCT27" s="4"/>
      <c r="UCU27" s="4"/>
      <c r="UCV27" s="4"/>
      <c r="UCW27" s="4"/>
      <c r="UCX27" s="4"/>
      <c r="UCY27" s="4"/>
      <c r="UCZ27" s="4"/>
      <c r="UDA27" s="4"/>
      <c r="UDB27" s="4"/>
      <c r="UDC27" s="4"/>
      <c r="UDD27" s="4"/>
      <c r="UDE27" s="4"/>
      <c r="UDF27" s="4"/>
      <c r="UDG27" s="4"/>
      <c r="UDH27" s="4"/>
      <c r="UDI27" s="4"/>
      <c r="UDJ27" s="4"/>
      <c r="UDK27" s="4"/>
      <c r="UDL27" s="4"/>
      <c r="UDM27" s="4"/>
      <c r="UDN27" s="4"/>
      <c r="UDO27" s="4"/>
      <c r="UDP27" s="4"/>
      <c r="UDQ27" s="4"/>
      <c r="UDR27" s="4"/>
      <c r="UDS27" s="4"/>
      <c r="UDT27" s="4"/>
      <c r="UDU27" s="4"/>
      <c r="UDV27" s="4"/>
      <c r="UDW27" s="4"/>
      <c r="UDX27" s="4"/>
      <c r="UDY27" s="4"/>
      <c r="UDZ27" s="4"/>
      <c r="UEA27" s="4"/>
      <c r="UEB27" s="4"/>
      <c r="UEC27" s="4"/>
      <c r="UED27" s="4"/>
      <c r="UEE27" s="4"/>
      <c r="UEF27" s="4"/>
      <c r="UEG27" s="4"/>
      <c r="UEH27" s="4"/>
      <c r="UEI27" s="4"/>
      <c r="UEJ27" s="4"/>
      <c r="UEK27" s="4"/>
      <c r="UEL27" s="4"/>
      <c r="UEM27" s="4"/>
      <c r="UEN27" s="4"/>
      <c r="UEO27" s="4"/>
      <c r="UEP27" s="4"/>
      <c r="UEQ27" s="4"/>
      <c r="UER27" s="4"/>
      <c r="UES27" s="4"/>
      <c r="UET27" s="4"/>
      <c r="UEU27" s="4"/>
      <c r="UEV27" s="4"/>
      <c r="UEW27" s="4"/>
      <c r="UEX27" s="4"/>
      <c r="UEY27" s="4"/>
      <c r="UEZ27" s="4"/>
      <c r="UFA27" s="4"/>
      <c r="UFB27" s="4"/>
      <c r="UFC27" s="4"/>
      <c r="UFD27" s="4"/>
      <c r="UFE27" s="4"/>
      <c r="UFF27" s="4"/>
      <c r="UFG27" s="4"/>
      <c r="UFH27" s="4"/>
      <c r="UFI27" s="4"/>
      <c r="UFJ27" s="4"/>
      <c r="UFK27" s="4"/>
      <c r="UFL27" s="4"/>
      <c r="UFM27" s="4"/>
      <c r="UFN27" s="4"/>
      <c r="UFO27" s="4"/>
      <c r="UFP27" s="4"/>
      <c r="UFQ27" s="4"/>
      <c r="UFR27" s="4"/>
      <c r="UFS27" s="4"/>
      <c r="UFT27" s="4"/>
      <c r="UFU27" s="4"/>
      <c r="UFV27" s="4"/>
      <c r="UFW27" s="4"/>
      <c r="UFX27" s="4"/>
      <c r="UFY27" s="4"/>
      <c r="UFZ27" s="4"/>
      <c r="UGA27" s="4"/>
      <c r="UGB27" s="4"/>
      <c r="UGC27" s="4"/>
      <c r="UGD27" s="4"/>
      <c r="UGE27" s="4"/>
      <c r="UGF27" s="4"/>
      <c r="UGG27" s="4"/>
      <c r="UGH27" s="4"/>
      <c r="UGI27" s="4"/>
      <c r="UGJ27" s="4"/>
      <c r="UGK27" s="4"/>
      <c r="UGL27" s="4"/>
      <c r="UGM27" s="4"/>
      <c r="UGN27" s="4"/>
      <c r="UGO27" s="4"/>
      <c r="UGP27" s="4"/>
      <c r="UGQ27" s="4"/>
      <c r="UGR27" s="4"/>
      <c r="UGS27" s="4"/>
      <c r="UGT27" s="4"/>
      <c r="UGU27" s="4"/>
      <c r="UGV27" s="4"/>
      <c r="UGW27" s="4"/>
      <c r="UGX27" s="4"/>
      <c r="UGY27" s="4"/>
      <c r="UGZ27" s="4"/>
      <c r="UHA27" s="4"/>
      <c r="UHB27" s="4"/>
      <c r="UHC27" s="4"/>
      <c r="UHD27" s="4"/>
      <c r="UHE27" s="4"/>
      <c r="UHF27" s="4"/>
      <c r="UHG27" s="4"/>
      <c r="UHH27" s="4"/>
      <c r="UHI27" s="4"/>
      <c r="UHJ27" s="4"/>
      <c r="UHK27" s="4"/>
      <c r="UHL27" s="4"/>
      <c r="UHM27" s="4"/>
      <c r="UHN27" s="4"/>
      <c r="UHO27" s="4"/>
      <c r="UHP27" s="4"/>
      <c r="UHQ27" s="4"/>
      <c r="UHR27" s="4"/>
      <c r="UHS27" s="4"/>
      <c r="UHT27" s="4"/>
      <c r="UHU27" s="4"/>
      <c r="UHV27" s="4"/>
      <c r="UHW27" s="4"/>
      <c r="UHX27" s="4"/>
      <c r="UHY27" s="4"/>
      <c r="UHZ27" s="4"/>
      <c r="UIA27" s="4"/>
      <c r="UIB27" s="4"/>
      <c r="UIC27" s="4"/>
      <c r="UID27" s="4"/>
      <c r="UIE27" s="4"/>
      <c r="UIF27" s="4"/>
      <c r="UIG27" s="4"/>
      <c r="UIH27" s="4"/>
      <c r="UII27" s="4"/>
      <c r="UIJ27" s="4"/>
      <c r="UIK27" s="4"/>
      <c r="UIL27" s="4"/>
      <c r="UIM27" s="4"/>
      <c r="UIN27" s="4"/>
      <c r="UIO27" s="4"/>
      <c r="UIP27" s="4"/>
      <c r="UIQ27" s="4"/>
      <c r="UIR27" s="4"/>
      <c r="UIS27" s="4"/>
      <c r="UIT27" s="4"/>
      <c r="UIU27" s="4"/>
      <c r="UIV27" s="4"/>
      <c r="UIW27" s="4"/>
      <c r="UIX27" s="4"/>
      <c r="UIY27" s="4"/>
      <c r="UIZ27" s="4"/>
      <c r="UJA27" s="4"/>
      <c r="UJB27" s="4"/>
      <c r="UJC27" s="4"/>
      <c r="UJD27" s="4"/>
      <c r="UJE27" s="4"/>
      <c r="UJF27" s="4"/>
      <c r="UJG27" s="4"/>
      <c r="UJH27" s="4"/>
      <c r="UJI27" s="4"/>
      <c r="UJJ27" s="4"/>
      <c r="UJK27" s="4"/>
      <c r="UJL27" s="4"/>
      <c r="UJM27" s="4"/>
      <c r="UJN27" s="4"/>
      <c r="UJO27" s="4"/>
      <c r="UJP27" s="4"/>
      <c r="UJQ27" s="4"/>
      <c r="UJR27" s="4"/>
      <c r="UJS27" s="4"/>
      <c r="UJT27" s="4"/>
      <c r="UJU27" s="4"/>
      <c r="UJV27" s="4"/>
      <c r="UJW27" s="4"/>
      <c r="UJX27" s="4"/>
      <c r="UJY27" s="4"/>
      <c r="UJZ27" s="4"/>
      <c r="UKA27" s="4"/>
      <c r="UKB27" s="4"/>
      <c r="UKC27" s="4"/>
      <c r="UKD27" s="4"/>
      <c r="UKE27" s="4"/>
      <c r="UKF27" s="4"/>
      <c r="UKG27" s="4"/>
      <c r="UKH27" s="4"/>
      <c r="UKI27" s="4"/>
      <c r="UKJ27" s="4"/>
      <c r="UKK27" s="4"/>
      <c r="UKL27" s="4"/>
      <c r="UKM27" s="4"/>
      <c r="UKN27" s="4"/>
      <c r="UKO27" s="4"/>
      <c r="UKP27" s="4"/>
      <c r="UKQ27" s="4"/>
      <c r="UKR27" s="4"/>
      <c r="UKS27" s="4"/>
      <c r="UKT27" s="4"/>
      <c r="UKU27" s="4"/>
      <c r="UKV27" s="4"/>
      <c r="UKW27" s="4"/>
      <c r="UKX27" s="4"/>
      <c r="UKY27" s="4"/>
      <c r="UKZ27" s="4"/>
      <c r="ULA27" s="4"/>
      <c r="ULB27" s="4"/>
      <c r="ULC27" s="4"/>
      <c r="ULD27" s="4"/>
      <c r="ULE27" s="4"/>
      <c r="ULF27" s="4"/>
      <c r="ULG27" s="4"/>
      <c r="ULH27" s="4"/>
      <c r="ULI27" s="4"/>
      <c r="ULJ27" s="4"/>
      <c r="ULK27" s="4"/>
      <c r="ULL27" s="4"/>
      <c r="ULM27" s="4"/>
      <c r="ULN27" s="4"/>
      <c r="ULO27" s="4"/>
      <c r="ULP27" s="4"/>
      <c r="ULQ27" s="4"/>
      <c r="ULR27" s="4"/>
      <c r="ULS27" s="4"/>
      <c r="ULT27" s="4"/>
      <c r="ULU27" s="4"/>
      <c r="ULV27" s="4"/>
      <c r="ULW27" s="4"/>
      <c r="ULX27" s="4"/>
      <c r="ULY27" s="4"/>
      <c r="ULZ27" s="4"/>
      <c r="UMA27" s="4"/>
      <c r="UMB27" s="4"/>
      <c r="UMC27" s="4"/>
      <c r="UMD27" s="4"/>
      <c r="UME27" s="4"/>
      <c r="UMF27" s="4"/>
      <c r="UMG27" s="4"/>
      <c r="UMH27" s="4"/>
      <c r="UMI27" s="4"/>
      <c r="UMJ27" s="4"/>
      <c r="UMK27" s="4"/>
      <c r="UML27" s="4"/>
      <c r="UMM27" s="4"/>
      <c r="UMN27" s="4"/>
      <c r="UMO27" s="4"/>
      <c r="UMP27" s="4"/>
      <c r="UMQ27" s="4"/>
      <c r="UMR27" s="4"/>
      <c r="UMS27" s="4"/>
      <c r="UMT27" s="4"/>
      <c r="UMU27" s="4"/>
      <c r="UMV27" s="4"/>
      <c r="UMW27" s="4"/>
      <c r="UMX27" s="4"/>
      <c r="UMY27" s="4"/>
      <c r="UMZ27" s="4"/>
      <c r="UNA27" s="4"/>
      <c r="UNB27" s="4"/>
      <c r="UNC27" s="4"/>
      <c r="UND27" s="4"/>
      <c r="UNE27" s="4"/>
      <c r="UNF27" s="4"/>
      <c r="UNG27" s="4"/>
      <c r="UNH27" s="4"/>
      <c r="UNI27" s="4"/>
      <c r="UNJ27" s="4"/>
      <c r="UNK27" s="4"/>
      <c r="UNL27" s="4"/>
      <c r="UNM27" s="4"/>
      <c r="UNN27" s="4"/>
      <c r="UNO27" s="4"/>
      <c r="UNP27" s="4"/>
      <c r="UNQ27" s="4"/>
      <c r="UNR27" s="4"/>
      <c r="UNS27" s="4"/>
      <c r="UNT27" s="4"/>
      <c r="UNU27" s="4"/>
      <c r="UNV27" s="4"/>
      <c r="UNW27" s="4"/>
      <c r="UNX27" s="4"/>
      <c r="UNY27" s="4"/>
      <c r="UNZ27" s="4"/>
      <c r="UOA27" s="4"/>
      <c r="UOB27" s="4"/>
      <c r="UOC27" s="4"/>
      <c r="UOD27" s="4"/>
      <c r="UOE27" s="4"/>
      <c r="UOF27" s="4"/>
      <c r="UOG27" s="4"/>
      <c r="UOH27" s="4"/>
      <c r="UOI27" s="4"/>
      <c r="UOJ27" s="4"/>
      <c r="UOK27" s="4"/>
      <c r="UOL27" s="4"/>
      <c r="UOM27" s="4"/>
      <c r="UON27" s="4"/>
      <c r="UOO27" s="4"/>
      <c r="UOP27" s="4"/>
      <c r="UOQ27" s="4"/>
      <c r="UOR27" s="4"/>
      <c r="UOS27" s="4"/>
      <c r="UOT27" s="4"/>
      <c r="UOU27" s="4"/>
      <c r="UOV27" s="4"/>
      <c r="UOW27" s="4"/>
      <c r="UOX27" s="4"/>
      <c r="UOY27" s="4"/>
      <c r="UOZ27" s="4"/>
      <c r="UPA27" s="4"/>
      <c r="UPB27" s="4"/>
      <c r="UPC27" s="4"/>
      <c r="UPD27" s="4"/>
      <c r="UPE27" s="4"/>
      <c r="UPF27" s="4"/>
      <c r="UPG27" s="4"/>
      <c r="UPH27" s="4"/>
      <c r="UPI27" s="4"/>
      <c r="UPJ27" s="4"/>
      <c r="UPK27" s="4"/>
      <c r="UPL27" s="4"/>
      <c r="UPM27" s="4"/>
      <c r="UPN27" s="4"/>
      <c r="UPO27" s="4"/>
      <c r="UPP27" s="4"/>
      <c r="UPQ27" s="4"/>
      <c r="UPR27" s="4"/>
      <c r="UPS27" s="4"/>
      <c r="UPT27" s="4"/>
      <c r="UPU27" s="4"/>
      <c r="UPV27" s="4"/>
      <c r="UPW27" s="4"/>
      <c r="UPX27" s="4"/>
      <c r="UPY27" s="4"/>
      <c r="UPZ27" s="4"/>
      <c r="UQA27" s="4"/>
      <c r="UQB27" s="4"/>
      <c r="UQC27" s="4"/>
      <c r="UQD27" s="4"/>
      <c r="UQE27" s="4"/>
      <c r="UQF27" s="4"/>
      <c r="UQG27" s="4"/>
      <c r="UQH27" s="4"/>
      <c r="UQI27" s="4"/>
      <c r="UQJ27" s="4"/>
      <c r="UQK27" s="4"/>
      <c r="UQL27" s="4"/>
      <c r="UQM27" s="4"/>
      <c r="UQN27" s="4"/>
      <c r="UQO27" s="4"/>
      <c r="UQP27" s="4"/>
      <c r="UQQ27" s="4"/>
      <c r="UQR27" s="4"/>
      <c r="UQS27" s="4"/>
      <c r="UQT27" s="4"/>
      <c r="UQU27" s="4"/>
      <c r="UQV27" s="4"/>
      <c r="UQW27" s="4"/>
      <c r="UQX27" s="4"/>
      <c r="UQY27" s="4"/>
      <c r="UQZ27" s="4"/>
      <c r="URA27" s="4"/>
      <c r="URB27" s="4"/>
      <c r="URC27" s="4"/>
      <c r="URD27" s="4"/>
      <c r="URE27" s="4"/>
      <c r="URF27" s="4"/>
      <c r="URG27" s="4"/>
      <c r="URH27" s="4"/>
      <c r="URI27" s="4"/>
      <c r="URJ27" s="4"/>
      <c r="URK27" s="4"/>
      <c r="URL27" s="4"/>
      <c r="URM27" s="4"/>
      <c r="URN27" s="4"/>
      <c r="URO27" s="4"/>
      <c r="URP27" s="4"/>
      <c r="URQ27" s="4"/>
      <c r="URR27" s="4"/>
      <c r="URS27" s="4"/>
      <c r="URT27" s="4"/>
      <c r="URU27" s="4"/>
      <c r="URV27" s="4"/>
      <c r="URW27" s="4"/>
      <c r="URX27" s="4"/>
      <c r="URY27" s="4"/>
      <c r="URZ27" s="4"/>
      <c r="USA27" s="4"/>
      <c r="USB27" s="4"/>
      <c r="USC27" s="4"/>
      <c r="USD27" s="4"/>
      <c r="USE27" s="4"/>
      <c r="USF27" s="4"/>
      <c r="USG27" s="4"/>
      <c r="USH27" s="4"/>
      <c r="USI27" s="4"/>
      <c r="USJ27" s="4"/>
      <c r="USK27" s="4"/>
      <c r="USL27" s="4"/>
      <c r="USM27" s="4"/>
      <c r="USN27" s="4"/>
      <c r="USO27" s="4"/>
      <c r="USP27" s="4"/>
      <c r="USQ27" s="4"/>
      <c r="USR27" s="4"/>
      <c r="USS27" s="4"/>
      <c r="UST27" s="4"/>
      <c r="USU27" s="4"/>
      <c r="USV27" s="4"/>
      <c r="USW27" s="4"/>
      <c r="USX27" s="4"/>
      <c r="USY27" s="4"/>
      <c r="USZ27" s="4"/>
      <c r="UTA27" s="4"/>
      <c r="UTB27" s="4"/>
      <c r="UTC27" s="4"/>
      <c r="UTD27" s="4"/>
      <c r="UTE27" s="4"/>
      <c r="UTF27" s="4"/>
      <c r="UTG27" s="4"/>
      <c r="UTH27" s="4"/>
      <c r="UTI27" s="4"/>
      <c r="UTJ27" s="4"/>
      <c r="UTK27" s="4"/>
      <c r="UTL27" s="4"/>
      <c r="UTM27" s="4"/>
      <c r="UTN27" s="4"/>
      <c r="UTO27" s="4"/>
      <c r="UTP27" s="4"/>
      <c r="UTQ27" s="4"/>
      <c r="UTR27" s="4"/>
      <c r="UTS27" s="4"/>
      <c r="UTT27" s="4"/>
      <c r="UTU27" s="4"/>
      <c r="UTV27" s="4"/>
      <c r="UTW27" s="4"/>
      <c r="UTX27" s="4"/>
      <c r="UTY27" s="4"/>
      <c r="UTZ27" s="4"/>
      <c r="UUA27" s="4"/>
      <c r="UUB27" s="4"/>
      <c r="UUC27" s="4"/>
      <c r="UUD27" s="4"/>
      <c r="UUE27" s="4"/>
      <c r="UUF27" s="4"/>
      <c r="UUG27" s="4"/>
      <c r="UUH27" s="4"/>
      <c r="UUI27" s="4"/>
      <c r="UUJ27" s="4"/>
      <c r="UUK27" s="4"/>
      <c r="UUL27" s="4"/>
      <c r="UUM27" s="4"/>
      <c r="UUN27" s="4"/>
      <c r="UUO27" s="4"/>
      <c r="UUP27" s="4"/>
      <c r="UUQ27" s="4"/>
      <c r="UUR27" s="4"/>
      <c r="UUS27" s="4"/>
      <c r="UUT27" s="4"/>
      <c r="UUU27" s="4"/>
      <c r="UUV27" s="4"/>
      <c r="UUW27" s="4"/>
      <c r="UUX27" s="4"/>
      <c r="UUY27" s="4"/>
      <c r="UUZ27" s="4"/>
      <c r="UVA27" s="4"/>
      <c r="UVB27" s="4"/>
      <c r="UVC27" s="4"/>
      <c r="UVD27" s="4"/>
      <c r="UVE27" s="4"/>
      <c r="UVF27" s="4"/>
      <c r="UVG27" s="4"/>
      <c r="UVH27" s="4"/>
      <c r="UVI27" s="4"/>
      <c r="UVJ27" s="4"/>
      <c r="UVK27" s="4"/>
      <c r="UVL27" s="4"/>
      <c r="UVM27" s="4"/>
      <c r="UVN27" s="4"/>
      <c r="UVO27" s="4"/>
      <c r="UVP27" s="4"/>
      <c r="UVQ27" s="4"/>
      <c r="UVR27" s="4"/>
      <c r="UVS27" s="4"/>
      <c r="UVT27" s="4"/>
      <c r="UVU27" s="4"/>
      <c r="UVV27" s="4"/>
      <c r="UVW27" s="4"/>
      <c r="UVX27" s="4"/>
      <c r="UVY27" s="4"/>
      <c r="UVZ27" s="4"/>
      <c r="UWA27" s="4"/>
      <c r="UWB27" s="4"/>
      <c r="UWC27" s="4"/>
      <c r="UWD27" s="4"/>
      <c r="UWE27" s="4"/>
      <c r="UWF27" s="4"/>
      <c r="UWG27" s="4"/>
      <c r="UWH27" s="4"/>
      <c r="UWI27" s="4"/>
      <c r="UWJ27" s="4"/>
      <c r="UWK27" s="4"/>
      <c r="UWL27" s="4"/>
      <c r="UWM27" s="4"/>
      <c r="UWN27" s="4"/>
      <c r="UWO27" s="4"/>
      <c r="UWP27" s="4"/>
      <c r="UWQ27" s="4"/>
      <c r="UWR27" s="4"/>
      <c r="UWS27" s="4"/>
      <c r="UWT27" s="4"/>
      <c r="UWU27" s="4"/>
      <c r="UWV27" s="4"/>
      <c r="UWW27" s="4"/>
      <c r="UWX27" s="4"/>
      <c r="UWY27" s="4"/>
      <c r="UWZ27" s="4"/>
      <c r="UXA27" s="4"/>
      <c r="UXB27" s="4"/>
      <c r="UXC27" s="4"/>
      <c r="UXD27" s="4"/>
      <c r="UXE27" s="4"/>
      <c r="UXF27" s="4"/>
      <c r="UXG27" s="4"/>
      <c r="UXH27" s="4"/>
      <c r="UXI27" s="4"/>
      <c r="UXJ27" s="4"/>
      <c r="UXK27" s="4"/>
      <c r="UXL27" s="4"/>
      <c r="UXM27" s="4"/>
      <c r="UXN27" s="4"/>
      <c r="UXO27" s="4"/>
      <c r="UXP27" s="4"/>
      <c r="UXQ27" s="4"/>
      <c r="UXR27" s="4"/>
      <c r="UXS27" s="4"/>
      <c r="UXT27" s="4"/>
      <c r="UXU27" s="4"/>
      <c r="UXV27" s="4"/>
      <c r="UXW27" s="4"/>
      <c r="UXX27" s="4"/>
      <c r="UXY27" s="4"/>
      <c r="UXZ27" s="4"/>
      <c r="UYA27" s="4"/>
      <c r="UYB27" s="4"/>
      <c r="UYC27" s="4"/>
      <c r="UYD27" s="4"/>
      <c r="UYE27" s="4"/>
      <c r="UYF27" s="4"/>
      <c r="UYG27" s="4"/>
      <c r="UYH27" s="4"/>
      <c r="UYI27" s="4"/>
      <c r="UYJ27" s="4"/>
      <c r="UYK27" s="4"/>
      <c r="UYL27" s="4"/>
      <c r="UYM27" s="4"/>
      <c r="UYN27" s="4"/>
      <c r="UYO27" s="4"/>
      <c r="UYP27" s="4"/>
      <c r="UYQ27" s="4"/>
      <c r="UYR27" s="4"/>
      <c r="UYS27" s="4"/>
      <c r="UYT27" s="4"/>
      <c r="UYU27" s="4"/>
      <c r="UYV27" s="4"/>
      <c r="UYW27" s="4"/>
      <c r="UYX27" s="4"/>
      <c r="UYY27" s="4"/>
      <c r="UYZ27" s="4"/>
      <c r="UZA27" s="4"/>
      <c r="UZB27" s="4"/>
      <c r="UZC27" s="4"/>
      <c r="UZD27" s="4"/>
      <c r="UZE27" s="4"/>
      <c r="UZF27" s="4"/>
      <c r="UZG27" s="4"/>
      <c r="UZH27" s="4"/>
      <c r="UZI27" s="4"/>
      <c r="UZJ27" s="4"/>
      <c r="UZK27" s="4"/>
      <c r="UZL27" s="4"/>
      <c r="UZM27" s="4"/>
      <c r="UZN27" s="4"/>
      <c r="UZO27" s="4"/>
      <c r="UZP27" s="4"/>
      <c r="UZQ27" s="4"/>
      <c r="UZR27" s="4"/>
      <c r="UZS27" s="4"/>
      <c r="UZT27" s="4"/>
      <c r="UZU27" s="4"/>
      <c r="UZV27" s="4"/>
      <c r="UZW27" s="4"/>
      <c r="UZX27" s="4"/>
      <c r="UZY27" s="4"/>
      <c r="UZZ27" s="4"/>
      <c r="VAA27" s="4"/>
      <c r="VAB27" s="4"/>
      <c r="VAC27" s="4"/>
      <c r="VAD27" s="4"/>
      <c r="VAE27" s="4"/>
      <c r="VAF27" s="4"/>
      <c r="VAG27" s="4"/>
      <c r="VAH27" s="4"/>
      <c r="VAI27" s="4"/>
      <c r="VAJ27" s="4"/>
      <c r="VAK27" s="4"/>
      <c r="VAL27" s="4"/>
      <c r="VAM27" s="4"/>
      <c r="VAN27" s="4"/>
      <c r="VAO27" s="4"/>
      <c r="VAP27" s="4"/>
      <c r="VAQ27" s="4"/>
      <c r="VAR27" s="4"/>
      <c r="VAS27" s="4"/>
      <c r="VAT27" s="4"/>
      <c r="VAU27" s="4"/>
      <c r="VAV27" s="4"/>
      <c r="VAW27" s="4"/>
      <c r="VAX27" s="4"/>
      <c r="VAY27" s="4"/>
      <c r="VAZ27" s="4"/>
      <c r="VBA27" s="4"/>
      <c r="VBB27" s="4"/>
      <c r="VBC27" s="4"/>
      <c r="VBD27" s="4"/>
      <c r="VBE27" s="4"/>
      <c r="VBF27" s="4"/>
      <c r="VBG27" s="4"/>
      <c r="VBH27" s="4"/>
      <c r="VBI27" s="4"/>
      <c r="VBJ27" s="4"/>
      <c r="VBK27" s="4"/>
      <c r="VBL27" s="4"/>
      <c r="VBM27" s="4"/>
      <c r="VBN27" s="4"/>
      <c r="VBO27" s="4"/>
      <c r="VBP27" s="4"/>
      <c r="VBQ27" s="4"/>
      <c r="VBR27" s="4"/>
      <c r="VBS27" s="4"/>
      <c r="VBT27" s="4"/>
      <c r="VBU27" s="4"/>
      <c r="VBV27" s="4"/>
      <c r="VBW27" s="4"/>
      <c r="VBX27" s="4"/>
      <c r="VBY27" s="4"/>
      <c r="VBZ27" s="4"/>
      <c r="VCA27" s="4"/>
      <c r="VCB27" s="4"/>
      <c r="VCC27" s="4"/>
      <c r="VCD27" s="4"/>
      <c r="VCE27" s="4"/>
      <c r="VCF27" s="4"/>
      <c r="VCG27" s="4"/>
      <c r="VCH27" s="4"/>
      <c r="VCI27" s="4"/>
      <c r="VCJ27" s="4"/>
      <c r="VCK27" s="4"/>
      <c r="VCL27" s="4"/>
      <c r="VCM27" s="4"/>
      <c r="VCN27" s="4"/>
      <c r="VCO27" s="4"/>
      <c r="VCP27" s="4"/>
      <c r="VCQ27" s="4"/>
      <c r="VCR27" s="4"/>
      <c r="VCS27" s="4"/>
      <c r="VCT27" s="4"/>
      <c r="VCU27" s="4"/>
      <c r="VCV27" s="4"/>
      <c r="VCW27" s="4"/>
      <c r="VCX27" s="4"/>
      <c r="VCY27" s="4"/>
      <c r="VCZ27" s="4"/>
      <c r="VDA27" s="4"/>
      <c r="VDB27" s="4"/>
      <c r="VDC27" s="4"/>
      <c r="VDD27" s="4"/>
      <c r="VDE27" s="4"/>
      <c r="VDF27" s="4"/>
      <c r="VDG27" s="4"/>
      <c r="VDH27" s="4"/>
      <c r="VDI27" s="4"/>
      <c r="VDJ27" s="4"/>
      <c r="VDK27" s="4"/>
      <c r="VDL27" s="4"/>
      <c r="VDM27" s="4"/>
      <c r="VDN27" s="4"/>
      <c r="VDO27" s="4"/>
      <c r="VDP27" s="4"/>
      <c r="VDQ27" s="4"/>
      <c r="VDR27" s="4"/>
      <c r="VDS27" s="4"/>
      <c r="VDT27" s="4"/>
      <c r="VDU27" s="4"/>
      <c r="VDV27" s="4"/>
      <c r="VDW27" s="4"/>
      <c r="VDX27" s="4"/>
      <c r="VDY27" s="4"/>
      <c r="VDZ27" s="4"/>
      <c r="VEA27" s="4"/>
      <c r="VEB27" s="4"/>
      <c r="VEC27" s="4"/>
      <c r="VED27" s="4"/>
      <c r="VEE27" s="4"/>
      <c r="VEF27" s="4"/>
      <c r="VEG27" s="4"/>
      <c r="VEH27" s="4"/>
      <c r="VEI27" s="4"/>
      <c r="VEJ27" s="4"/>
      <c r="VEK27" s="4"/>
      <c r="VEL27" s="4"/>
      <c r="VEM27" s="4"/>
      <c r="VEN27" s="4"/>
      <c r="VEO27" s="4"/>
      <c r="VEP27" s="4"/>
      <c r="VEQ27" s="4"/>
      <c r="VER27" s="4"/>
      <c r="VES27" s="4"/>
      <c r="VET27" s="4"/>
      <c r="VEU27" s="4"/>
      <c r="VEV27" s="4"/>
      <c r="VEW27" s="4"/>
      <c r="VEX27" s="4"/>
      <c r="VEY27" s="4"/>
      <c r="VEZ27" s="4"/>
      <c r="VFA27" s="4"/>
      <c r="VFB27" s="4"/>
      <c r="VFC27" s="4"/>
      <c r="VFD27" s="4"/>
      <c r="VFE27" s="4"/>
      <c r="VFF27" s="4"/>
      <c r="VFG27" s="4"/>
      <c r="VFH27" s="4"/>
      <c r="VFI27" s="4"/>
      <c r="VFJ27" s="4"/>
      <c r="VFK27" s="4"/>
      <c r="VFL27" s="4"/>
      <c r="VFM27" s="4"/>
      <c r="VFN27" s="4"/>
      <c r="VFO27" s="4"/>
      <c r="VFP27" s="4"/>
      <c r="VFQ27" s="4"/>
      <c r="VFR27" s="4"/>
      <c r="VFS27" s="4"/>
      <c r="VFT27" s="4"/>
      <c r="VFU27" s="4"/>
      <c r="VFV27" s="4"/>
      <c r="VFW27" s="4"/>
      <c r="VFX27" s="4"/>
      <c r="VFY27" s="4"/>
      <c r="VFZ27" s="4"/>
      <c r="VGA27" s="4"/>
      <c r="VGB27" s="4"/>
      <c r="VGC27" s="4"/>
      <c r="VGD27" s="4"/>
      <c r="VGE27" s="4"/>
      <c r="VGF27" s="4"/>
      <c r="VGG27" s="4"/>
      <c r="VGH27" s="4"/>
      <c r="VGI27" s="4"/>
      <c r="VGJ27" s="4"/>
      <c r="VGK27" s="4"/>
      <c r="VGL27" s="4"/>
      <c r="VGM27" s="4"/>
      <c r="VGN27" s="4"/>
      <c r="VGO27" s="4"/>
      <c r="VGP27" s="4"/>
      <c r="VGQ27" s="4"/>
      <c r="VGR27" s="4"/>
      <c r="VGS27" s="4"/>
      <c r="VGT27" s="4"/>
      <c r="VGU27" s="4"/>
      <c r="VGV27" s="4"/>
      <c r="VGW27" s="4"/>
      <c r="VGX27" s="4"/>
      <c r="VGY27" s="4"/>
      <c r="VGZ27" s="4"/>
      <c r="VHA27" s="4"/>
      <c r="VHB27" s="4"/>
      <c r="VHC27" s="4"/>
      <c r="VHD27" s="4"/>
      <c r="VHE27" s="4"/>
      <c r="VHF27" s="4"/>
      <c r="VHG27" s="4"/>
      <c r="VHH27" s="4"/>
      <c r="VHI27" s="4"/>
      <c r="VHJ27" s="4"/>
      <c r="VHK27" s="4"/>
      <c r="VHL27" s="4"/>
      <c r="VHM27" s="4"/>
      <c r="VHN27" s="4"/>
      <c r="VHO27" s="4"/>
      <c r="VHP27" s="4"/>
      <c r="VHQ27" s="4"/>
      <c r="VHR27" s="4"/>
      <c r="VHS27" s="4"/>
      <c r="VHT27" s="4"/>
      <c r="VHU27" s="4"/>
      <c r="VHV27" s="4"/>
      <c r="VHW27" s="4"/>
      <c r="VHX27" s="4"/>
      <c r="VHY27" s="4"/>
      <c r="VHZ27" s="4"/>
      <c r="VIA27" s="4"/>
      <c r="VIB27" s="4"/>
      <c r="VIC27" s="4"/>
      <c r="VID27" s="4"/>
      <c r="VIE27" s="4"/>
      <c r="VIF27" s="4"/>
      <c r="VIG27" s="4"/>
      <c r="VIH27" s="4"/>
      <c r="VII27" s="4"/>
      <c r="VIJ27" s="4"/>
      <c r="VIK27" s="4"/>
      <c r="VIL27" s="4"/>
      <c r="VIM27" s="4"/>
      <c r="VIN27" s="4"/>
      <c r="VIO27" s="4"/>
      <c r="VIP27" s="4"/>
      <c r="VIQ27" s="4"/>
      <c r="VIR27" s="4"/>
      <c r="VIS27" s="4"/>
      <c r="VIT27" s="4"/>
      <c r="VIU27" s="4"/>
      <c r="VIV27" s="4"/>
      <c r="VIW27" s="4"/>
      <c r="VIX27" s="4"/>
      <c r="VIY27" s="4"/>
      <c r="VIZ27" s="4"/>
      <c r="VJA27" s="4"/>
      <c r="VJB27" s="4"/>
      <c r="VJC27" s="4"/>
      <c r="VJD27" s="4"/>
      <c r="VJE27" s="4"/>
      <c r="VJF27" s="4"/>
      <c r="VJG27" s="4"/>
      <c r="VJH27" s="4"/>
      <c r="VJI27" s="4"/>
      <c r="VJJ27" s="4"/>
      <c r="VJK27" s="4"/>
      <c r="VJL27" s="4"/>
      <c r="VJM27" s="4"/>
      <c r="VJN27" s="4"/>
      <c r="VJO27" s="4"/>
      <c r="VJP27" s="4"/>
      <c r="VJQ27" s="4"/>
      <c r="VJR27" s="4"/>
      <c r="VJS27" s="4"/>
      <c r="VJT27" s="4"/>
      <c r="VJU27" s="4"/>
      <c r="VJV27" s="4"/>
      <c r="VJW27" s="4"/>
      <c r="VJX27" s="4"/>
      <c r="VJY27" s="4"/>
      <c r="VJZ27" s="4"/>
      <c r="VKA27" s="4"/>
      <c r="VKB27" s="4"/>
      <c r="VKC27" s="4"/>
      <c r="VKD27" s="4"/>
      <c r="VKE27" s="4"/>
      <c r="VKF27" s="4"/>
      <c r="VKG27" s="4"/>
      <c r="VKH27" s="4"/>
      <c r="VKI27" s="4"/>
      <c r="VKJ27" s="4"/>
      <c r="VKK27" s="4"/>
      <c r="VKL27" s="4"/>
      <c r="VKM27" s="4"/>
      <c r="VKN27" s="4"/>
      <c r="VKO27" s="4"/>
      <c r="VKP27" s="4"/>
      <c r="VKQ27" s="4"/>
      <c r="VKR27" s="4"/>
      <c r="VKS27" s="4"/>
      <c r="VKT27" s="4"/>
      <c r="VKU27" s="4"/>
      <c r="VKV27" s="4"/>
      <c r="VKW27" s="4"/>
      <c r="VKX27" s="4"/>
      <c r="VKY27" s="4"/>
      <c r="VKZ27" s="4"/>
      <c r="VLA27" s="4"/>
      <c r="VLB27" s="4"/>
      <c r="VLC27" s="4"/>
      <c r="VLD27" s="4"/>
      <c r="VLE27" s="4"/>
      <c r="VLF27" s="4"/>
      <c r="VLG27" s="4"/>
      <c r="VLH27" s="4"/>
      <c r="VLI27" s="4"/>
      <c r="VLJ27" s="4"/>
      <c r="VLK27" s="4"/>
      <c r="VLL27" s="4"/>
      <c r="VLM27" s="4"/>
      <c r="VLN27" s="4"/>
      <c r="VLO27" s="4"/>
      <c r="VLP27" s="4"/>
      <c r="VLQ27" s="4"/>
      <c r="VLR27" s="4"/>
      <c r="VLS27" s="4"/>
      <c r="VLT27" s="4"/>
      <c r="VLU27" s="4"/>
      <c r="VLV27" s="4"/>
      <c r="VLW27" s="4"/>
      <c r="VLX27" s="4"/>
      <c r="VLY27" s="4"/>
      <c r="VLZ27" s="4"/>
      <c r="VMA27" s="4"/>
      <c r="VMB27" s="4"/>
      <c r="VMC27" s="4"/>
      <c r="VMD27" s="4"/>
      <c r="VME27" s="4"/>
      <c r="VMF27" s="4"/>
      <c r="VMG27" s="4"/>
      <c r="VMH27" s="4"/>
      <c r="VMI27" s="4"/>
      <c r="VMJ27" s="4"/>
      <c r="VMK27" s="4"/>
      <c r="VML27" s="4"/>
      <c r="VMM27" s="4"/>
      <c r="VMN27" s="4"/>
      <c r="VMO27" s="4"/>
      <c r="VMP27" s="4"/>
      <c r="VMQ27" s="4"/>
      <c r="VMR27" s="4"/>
      <c r="VMS27" s="4"/>
      <c r="VMT27" s="4"/>
      <c r="VMU27" s="4"/>
      <c r="VMV27" s="4"/>
      <c r="VMW27" s="4"/>
      <c r="VMX27" s="4"/>
      <c r="VMY27" s="4"/>
      <c r="VMZ27" s="4"/>
      <c r="VNA27" s="4"/>
      <c r="VNB27" s="4"/>
      <c r="VNC27" s="4"/>
      <c r="VND27" s="4"/>
      <c r="VNE27" s="4"/>
      <c r="VNF27" s="4"/>
      <c r="VNG27" s="4"/>
      <c r="VNH27" s="4"/>
      <c r="VNI27" s="4"/>
      <c r="VNJ27" s="4"/>
      <c r="VNK27" s="4"/>
      <c r="VNL27" s="4"/>
      <c r="VNM27" s="4"/>
      <c r="VNN27" s="4"/>
      <c r="VNO27" s="4"/>
      <c r="VNP27" s="4"/>
      <c r="VNQ27" s="4"/>
      <c r="VNR27" s="4"/>
      <c r="VNS27" s="4"/>
      <c r="VNT27" s="4"/>
      <c r="VNU27" s="4"/>
      <c r="VNV27" s="4"/>
      <c r="VNW27" s="4"/>
      <c r="VNX27" s="4"/>
      <c r="VNY27" s="4"/>
      <c r="VNZ27" s="4"/>
      <c r="VOA27" s="4"/>
      <c r="VOB27" s="4"/>
      <c r="VOC27" s="4"/>
      <c r="VOD27" s="4"/>
      <c r="VOE27" s="4"/>
      <c r="VOF27" s="4"/>
      <c r="VOG27" s="4"/>
      <c r="VOH27" s="4"/>
      <c r="VOI27" s="4"/>
      <c r="VOJ27" s="4"/>
      <c r="VOK27" s="4"/>
      <c r="VOL27" s="4"/>
      <c r="VOM27" s="4"/>
      <c r="VON27" s="4"/>
      <c r="VOO27" s="4"/>
      <c r="VOP27" s="4"/>
      <c r="VOQ27" s="4"/>
      <c r="VOR27" s="4"/>
      <c r="VOS27" s="4"/>
      <c r="VOT27" s="4"/>
      <c r="VOU27" s="4"/>
      <c r="VOV27" s="4"/>
      <c r="VOW27" s="4"/>
      <c r="VOX27" s="4"/>
      <c r="VOY27" s="4"/>
      <c r="VOZ27" s="4"/>
      <c r="VPA27" s="4"/>
      <c r="VPB27" s="4"/>
      <c r="VPC27" s="4"/>
      <c r="VPD27" s="4"/>
      <c r="VPE27" s="4"/>
      <c r="VPF27" s="4"/>
      <c r="VPG27" s="4"/>
      <c r="VPH27" s="4"/>
      <c r="VPI27" s="4"/>
      <c r="VPJ27" s="4"/>
      <c r="VPK27" s="4"/>
      <c r="VPL27" s="4"/>
      <c r="VPM27" s="4"/>
      <c r="VPN27" s="4"/>
      <c r="VPO27" s="4"/>
      <c r="VPP27" s="4"/>
      <c r="VPQ27" s="4"/>
      <c r="VPR27" s="4"/>
      <c r="VPS27" s="4"/>
      <c r="VPT27" s="4"/>
      <c r="VPU27" s="4"/>
      <c r="VPV27" s="4"/>
      <c r="VPW27" s="4"/>
      <c r="VPX27" s="4"/>
      <c r="VPY27" s="4"/>
      <c r="VPZ27" s="4"/>
      <c r="VQA27" s="4"/>
      <c r="VQB27" s="4"/>
      <c r="VQC27" s="4"/>
      <c r="VQD27" s="4"/>
      <c r="VQE27" s="4"/>
      <c r="VQF27" s="4"/>
      <c r="VQG27" s="4"/>
      <c r="VQH27" s="4"/>
      <c r="VQI27" s="4"/>
      <c r="VQJ27" s="4"/>
      <c r="VQK27" s="4"/>
      <c r="VQL27" s="4"/>
      <c r="VQM27" s="4"/>
      <c r="VQN27" s="4"/>
      <c r="VQO27" s="4"/>
      <c r="VQP27" s="4"/>
      <c r="VQQ27" s="4"/>
      <c r="VQR27" s="4"/>
      <c r="VQS27" s="4"/>
      <c r="VQT27" s="4"/>
      <c r="VQU27" s="4"/>
      <c r="VQV27" s="4"/>
      <c r="VQW27" s="4"/>
      <c r="VQX27" s="4"/>
      <c r="VQY27" s="4"/>
      <c r="VQZ27" s="4"/>
      <c r="VRA27" s="4"/>
      <c r="VRB27" s="4"/>
      <c r="VRC27" s="4"/>
      <c r="VRD27" s="4"/>
      <c r="VRE27" s="4"/>
      <c r="VRF27" s="4"/>
      <c r="VRG27" s="4"/>
      <c r="VRH27" s="4"/>
      <c r="VRI27" s="4"/>
      <c r="VRJ27" s="4"/>
      <c r="VRK27" s="4"/>
      <c r="VRL27" s="4"/>
      <c r="VRM27" s="4"/>
      <c r="VRN27" s="4"/>
      <c r="VRO27" s="4"/>
      <c r="VRP27" s="4"/>
      <c r="VRQ27" s="4"/>
      <c r="VRR27" s="4"/>
      <c r="VRS27" s="4"/>
      <c r="VRT27" s="4"/>
      <c r="VRU27" s="4"/>
      <c r="VRV27" s="4"/>
      <c r="VRW27" s="4"/>
      <c r="VRX27" s="4"/>
      <c r="VRY27" s="4"/>
      <c r="VRZ27" s="4"/>
      <c r="VSA27" s="4"/>
      <c r="VSB27" s="4"/>
      <c r="VSC27" s="4"/>
      <c r="VSD27" s="4"/>
      <c r="VSE27" s="4"/>
      <c r="VSF27" s="4"/>
      <c r="VSG27" s="4"/>
      <c r="VSH27" s="4"/>
      <c r="VSI27" s="4"/>
      <c r="VSJ27" s="4"/>
      <c r="VSK27" s="4"/>
      <c r="VSL27" s="4"/>
      <c r="VSM27" s="4"/>
      <c r="VSN27" s="4"/>
      <c r="VSO27" s="4"/>
      <c r="VSP27" s="4"/>
      <c r="VSQ27" s="4"/>
      <c r="VSR27" s="4"/>
      <c r="VSS27" s="4"/>
      <c r="VST27" s="4"/>
      <c r="VSU27" s="4"/>
      <c r="VSV27" s="4"/>
      <c r="VSW27" s="4"/>
      <c r="VSX27" s="4"/>
      <c r="VSY27" s="4"/>
      <c r="VSZ27" s="4"/>
      <c r="VTA27" s="4"/>
      <c r="VTB27" s="4"/>
      <c r="VTC27" s="4"/>
      <c r="VTD27" s="4"/>
      <c r="VTE27" s="4"/>
      <c r="VTF27" s="4"/>
      <c r="VTG27" s="4"/>
      <c r="VTH27" s="4"/>
      <c r="VTI27" s="4"/>
      <c r="VTJ27" s="4"/>
      <c r="VTK27" s="4"/>
      <c r="VTL27" s="4"/>
      <c r="VTM27" s="4"/>
      <c r="VTN27" s="4"/>
      <c r="VTO27" s="4"/>
      <c r="VTP27" s="4"/>
      <c r="VTQ27" s="4"/>
      <c r="VTR27" s="4"/>
      <c r="VTS27" s="4"/>
      <c r="VTT27" s="4"/>
      <c r="VTU27" s="4"/>
      <c r="VTV27" s="4"/>
      <c r="VTW27" s="4"/>
      <c r="VTX27" s="4"/>
      <c r="VTY27" s="4"/>
      <c r="VTZ27" s="4"/>
      <c r="VUA27" s="4"/>
      <c r="VUB27" s="4"/>
      <c r="VUC27" s="4"/>
      <c r="VUD27" s="4"/>
      <c r="VUE27" s="4"/>
      <c r="VUF27" s="4"/>
      <c r="VUG27" s="4"/>
      <c r="VUH27" s="4"/>
      <c r="VUI27" s="4"/>
      <c r="VUJ27" s="4"/>
      <c r="VUK27" s="4"/>
      <c r="VUL27" s="4"/>
      <c r="VUM27" s="4"/>
      <c r="VUN27" s="4"/>
      <c r="VUO27" s="4"/>
      <c r="VUP27" s="4"/>
      <c r="VUQ27" s="4"/>
      <c r="VUR27" s="4"/>
      <c r="VUS27" s="4"/>
      <c r="VUT27" s="4"/>
      <c r="VUU27" s="4"/>
      <c r="VUV27" s="4"/>
      <c r="VUW27" s="4"/>
      <c r="VUX27" s="4"/>
      <c r="VUY27" s="4"/>
      <c r="VUZ27" s="4"/>
      <c r="VVA27" s="4"/>
      <c r="VVB27" s="4"/>
      <c r="VVC27" s="4"/>
      <c r="VVD27" s="4"/>
      <c r="VVE27" s="4"/>
      <c r="VVF27" s="4"/>
      <c r="VVG27" s="4"/>
      <c r="VVH27" s="4"/>
      <c r="VVI27" s="4"/>
      <c r="VVJ27" s="4"/>
      <c r="VVK27" s="4"/>
      <c r="VVL27" s="4"/>
      <c r="VVM27" s="4"/>
      <c r="VVN27" s="4"/>
      <c r="VVO27" s="4"/>
      <c r="VVP27" s="4"/>
      <c r="VVQ27" s="4"/>
      <c r="VVR27" s="4"/>
      <c r="VVS27" s="4"/>
      <c r="VVT27" s="4"/>
      <c r="VVU27" s="4"/>
      <c r="VVV27" s="4"/>
      <c r="VVW27" s="4"/>
      <c r="VVX27" s="4"/>
      <c r="VVY27" s="4"/>
      <c r="VVZ27" s="4"/>
      <c r="VWA27" s="4"/>
      <c r="VWB27" s="4"/>
      <c r="VWC27" s="4"/>
      <c r="VWD27" s="4"/>
      <c r="VWE27" s="4"/>
      <c r="VWF27" s="4"/>
      <c r="VWG27" s="4"/>
      <c r="VWH27" s="4"/>
      <c r="VWI27" s="4"/>
      <c r="VWJ27" s="4"/>
      <c r="VWK27" s="4"/>
      <c r="VWL27" s="4"/>
      <c r="VWM27" s="4"/>
      <c r="VWN27" s="4"/>
      <c r="VWO27" s="4"/>
      <c r="VWP27" s="4"/>
      <c r="VWQ27" s="4"/>
      <c r="VWR27" s="4"/>
      <c r="VWS27" s="4"/>
      <c r="VWT27" s="4"/>
      <c r="VWU27" s="4"/>
      <c r="VWV27" s="4"/>
      <c r="VWW27" s="4"/>
      <c r="VWX27" s="4"/>
      <c r="VWY27" s="4"/>
      <c r="VWZ27" s="4"/>
      <c r="VXA27" s="4"/>
      <c r="VXB27" s="4"/>
      <c r="VXC27" s="4"/>
      <c r="VXD27" s="4"/>
      <c r="VXE27" s="4"/>
      <c r="VXF27" s="4"/>
      <c r="VXG27" s="4"/>
      <c r="VXH27" s="4"/>
      <c r="VXI27" s="4"/>
      <c r="VXJ27" s="4"/>
      <c r="VXK27" s="4"/>
      <c r="VXL27" s="4"/>
      <c r="VXM27" s="4"/>
      <c r="VXN27" s="4"/>
      <c r="VXO27" s="4"/>
      <c r="VXP27" s="4"/>
      <c r="VXQ27" s="4"/>
      <c r="VXR27" s="4"/>
      <c r="VXS27" s="4"/>
      <c r="VXT27" s="4"/>
      <c r="VXU27" s="4"/>
      <c r="VXV27" s="4"/>
      <c r="VXW27" s="4"/>
      <c r="VXX27" s="4"/>
      <c r="VXY27" s="4"/>
      <c r="VXZ27" s="4"/>
      <c r="VYA27" s="4"/>
      <c r="VYB27" s="4"/>
      <c r="VYC27" s="4"/>
      <c r="VYD27" s="4"/>
      <c r="VYE27" s="4"/>
      <c r="VYF27" s="4"/>
      <c r="VYG27" s="4"/>
      <c r="VYH27" s="4"/>
      <c r="VYI27" s="4"/>
      <c r="VYJ27" s="4"/>
      <c r="VYK27" s="4"/>
      <c r="VYL27" s="4"/>
      <c r="VYM27" s="4"/>
      <c r="VYN27" s="4"/>
      <c r="VYO27" s="4"/>
      <c r="VYP27" s="4"/>
      <c r="VYQ27" s="4"/>
      <c r="VYR27" s="4"/>
      <c r="VYS27" s="4"/>
      <c r="VYT27" s="4"/>
      <c r="VYU27" s="4"/>
      <c r="VYV27" s="4"/>
      <c r="VYW27" s="4"/>
      <c r="VYX27" s="4"/>
      <c r="VYY27" s="4"/>
      <c r="VYZ27" s="4"/>
      <c r="VZA27" s="4"/>
      <c r="VZB27" s="4"/>
      <c r="VZC27" s="4"/>
      <c r="VZD27" s="4"/>
      <c r="VZE27" s="4"/>
      <c r="VZF27" s="4"/>
      <c r="VZG27" s="4"/>
      <c r="VZH27" s="4"/>
      <c r="VZI27" s="4"/>
      <c r="VZJ27" s="4"/>
      <c r="VZK27" s="4"/>
      <c r="VZL27" s="4"/>
      <c r="VZM27" s="4"/>
      <c r="VZN27" s="4"/>
      <c r="VZO27" s="4"/>
      <c r="VZP27" s="4"/>
      <c r="VZQ27" s="4"/>
      <c r="VZR27" s="4"/>
      <c r="VZS27" s="4"/>
      <c r="VZT27" s="4"/>
      <c r="VZU27" s="4"/>
      <c r="VZV27" s="4"/>
      <c r="VZW27" s="4"/>
      <c r="VZX27" s="4"/>
      <c r="VZY27" s="4"/>
      <c r="VZZ27" s="4"/>
      <c r="WAA27" s="4"/>
      <c r="WAB27" s="4"/>
      <c r="WAC27" s="4"/>
      <c r="WAD27" s="4"/>
      <c r="WAE27" s="4"/>
      <c r="WAF27" s="4"/>
      <c r="WAG27" s="4"/>
      <c r="WAH27" s="4"/>
      <c r="WAI27" s="4"/>
      <c r="WAJ27" s="4"/>
      <c r="WAK27" s="4"/>
      <c r="WAL27" s="4"/>
      <c r="WAM27" s="4"/>
      <c r="WAN27" s="4"/>
      <c r="WAO27" s="4"/>
      <c r="WAP27" s="4"/>
      <c r="WAQ27" s="4"/>
      <c r="WAR27" s="4"/>
      <c r="WAS27" s="4"/>
      <c r="WAT27" s="4"/>
      <c r="WAU27" s="4"/>
      <c r="WAV27" s="4"/>
      <c r="WAW27" s="4"/>
      <c r="WAX27" s="4"/>
      <c r="WAY27" s="4"/>
      <c r="WAZ27" s="4"/>
      <c r="WBA27" s="4"/>
      <c r="WBB27" s="4"/>
      <c r="WBC27" s="4"/>
      <c r="WBD27" s="4"/>
      <c r="WBE27" s="4"/>
      <c r="WBF27" s="4"/>
      <c r="WBG27" s="4"/>
      <c r="WBH27" s="4"/>
      <c r="WBI27" s="4"/>
      <c r="WBJ27" s="4"/>
      <c r="WBK27" s="4"/>
      <c r="WBL27" s="4"/>
      <c r="WBM27" s="4"/>
      <c r="WBN27" s="4"/>
      <c r="WBO27" s="4"/>
      <c r="WBP27" s="4"/>
      <c r="WBQ27" s="4"/>
      <c r="WBR27" s="4"/>
      <c r="WBS27" s="4"/>
      <c r="WBT27" s="4"/>
      <c r="WBU27" s="4"/>
      <c r="WBV27" s="4"/>
      <c r="WBW27" s="4"/>
      <c r="WBX27" s="4"/>
      <c r="WBY27" s="4"/>
      <c r="WBZ27" s="4"/>
      <c r="WCA27" s="4"/>
      <c r="WCB27" s="4"/>
      <c r="WCC27" s="4"/>
      <c r="WCD27" s="4"/>
      <c r="WCE27" s="4"/>
      <c r="WCF27" s="4"/>
      <c r="WCG27" s="4"/>
      <c r="WCH27" s="4"/>
      <c r="WCI27" s="4"/>
      <c r="WCJ27" s="4"/>
      <c r="WCK27" s="4"/>
      <c r="WCL27" s="4"/>
      <c r="WCM27" s="4"/>
      <c r="WCN27" s="4"/>
      <c r="WCO27" s="4"/>
      <c r="WCP27" s="4"/>
      <c r="WCQ27" s="4"/>
      <c r="WCR27" s="4"/>
      <c r="WCS27" s="4"/>
      <c r="WCT27" s="4"/>
      <c r="WCU27" s="4"/>
      <c r="WCV27" s="4"/>
      <c r="WCW27" s="4"/>
      <c r="WCX27" s="4"/>
      <c r="WCY27" s="4"/>
      <c r="WCZ27" s="4"/>
      <c r="WDA27" s="4"/>
      <c r="WDB27" s="4"/>
      <c r="WDC27" s="4"/>
      <c r="WDD27" s="4"/>
      <c r="WDE27" s="4"/>
      <c r="WDF27" s="4"/>
      <c r="WDG27" s="4"/>
      <c r="WDH27" s="4"/>
      <c r="WDI27" s="4"/>
      <c r="WDJ27" s="4"/>
      <c r="WDK27" s="4"/>
      <c r="WDL27" s="4"/>
      <c r="WDM27" s="4"/>
      <c r="WDN27" s="4"/>
      <c r="WDO27" s="4"/>
      <c r="WDP27" s="4"/>
      <c r="WDQ27" s="4"/>
      <c r="WDR27" s="4"/>
      <c r="WDS27" s="4"/>
      <c r="WDT27" s="4"/>
      <c r="WDU27" s="4"/>
      <c r="WDV27" s="4"/>
      <c r="WDW27" s="4"/>
      <c r="WDX27" s="4"/>
      <c r="WDY27" s="4"/>
      <c r="WDZ27" s="4"/>
      <c r="WEA27" s="4"/>
      <c r="WEB27" s="4"/>
      <c r="WEC27" s="4"/>
      <c r="WED27" s="4"/>
      <c r="WEE27" s="4"/>
      <c r="WEF27" s="4"/>
      <c r="WEG27" s="4"/>
      <c r="WEH27" s="4"/>
      <c r="WEI27" s="4"/>
      <c r="WEJ27" s="4"/>
      <c r="WEK27" s="4"/>
      <c r="WEL27" s="4"/>
      <c r="WEM27" s="4"/>
      <c r="WEN27" s="4"/>
      <c r="WEO27" s="4"/>
      <c r="WEP27" s="4"/>
      <c r="WEQ27" s="4"/>
      <c r="WER27" s="4"/>
      <c r="WES27" s="4"/>
      <c r="WET27" s="4"/>
      <c r="WEU27" s="4"/>
      <c r="WEV27" s="4"/>
      <c r="WEW27" s="4"/>
      <c r="WEX27" s="4"/>
      <c r="WEY27" s="4"/>
      <c r="WEZ27" s="4"/>
      <c r="WFA27" s="4"/>
      <c r="WFB27" s="4"/>
      <c r="WFC27" s="4"/>
      <c r="WFD27" s="4"/>
      <c r="WFE27" s="4"/>
      <c r="WFF27" s="4"/>
      <c r="WFG27" s="4"/>
      <c r="WFH27" s="4"/>
      <c r="WFI27" s="4"/>
      <c r="WFJ27" s="4"/>
      <c r="WFK27" s="4"/>
      <c r="WFL27" s="4"/>
      <c r="WFM27" s="4"/>
      <c r="WFN27" s="4"/>
      <c r="WFO27" s="4"/>
      <c r="WFP27" s="4"/>
      <c r="WFQ27" s="4"/>
      <c r="WFR27" s="4"/>
      <c r="WFS27" s="4"/>
      <c r="WFT27" s="4"/>
      <c r="WFU27" s="4"/>
      <c r="WFV27" s="4"/>
      <c r="WFW27" s="4"/>
      <c r="WFX27" s="4"/>
      <c r="WFY27" s="4"/>
      <c r="WFZ27" s="4"/>
      <c r="WGA27" s="4"/>
      <c r="WGB27" s="4"/>
      <c r="WGC27" s="4"/>
      <c r="WGD27" s="4"/>
      <c r="WGE27" s="4"/>
      <c r="WGF27" s="4"/>
      <c r="WGG27" s="4"/>
      <c r="WGH27" s="4"/>
      <c r="WGI27" s="4"/>
      <c r="WGJ27" s="4"/>
      <c r="WGK27" s="4"/>
      <c r="WGL27" s="4"/>
      <c r="WGM27" s="4"/>
      <c r="WGN27" s="4"/>
      <c r="WGO27" s="4"/>
      <c r="WGP27" s="4"/>
      <c r="WGQ27" s="4"/>
      <c r="WGR27" s="4"/>
      <c r="WGS27" s="4"/>
      <c r="WGT27" s="4"/>
      <c r="WGU27" s="4"/>
      <c r="WGV27" s="4"/>
      <c r="WGW27" s="4"/>
      <c r="WGX27" s="4"/>
      <c r="WGY27" s="4"/>
      <c r="WGZ27" s="4"/>
      <c r="WHA27" s="4"/>
      <c r="WHB27" s="4"/>
      <c r="WHC27" s="4"/>
      <c r="WHD27" s="4"/>
      <c r="WHE27" s="4"/>
      <c r="WHF27" s="4"/>
      <c r="WHG27" s="4"/>
      <c r="WHH27" s="4"/>
      <c r="WHI27" s="4"/>
      <c r="WHJ27" s="4"/>
      <c r="WHK27" s="4"/>
      <c r="WHL27" s="4"/>
      <c r="WHM27" s="4"/>
      <c r="WHN27" s="4"/>
      <c r="WHO27" s="4"/>
      <c r="WHP27" s="4"/>
      <c r="WHQ27" s="4"/>
      <c r="WHR27" s="4"/>
      <c r="WHS27" s="4"/>
      <c r="WHT27" s="4"/>
      <c r="WHU27" s="4"/>
      <c r="WHV27" s="4"/>
      <c r="WHW27" s="4"/>
      <c r="WHX27" s="4"/>
      <c r="WHY27" s="4"/>
      <c r="WHZ27" s="4"/>
      <c r="WIA27" s="4"/>
      <c r="WIB27" s="4"/>
      <c r="WIC27" s="4"/>
      <c r="WID27" s="4"/>
      <c r="WIE27" s="4"/>
      <c r="WIF27" s="4"/>
      <c r="WIG27" s="4"/>
      <c r="WIH27" s="4"/>
      <c r="WII27" s="4"/>
      <c r="WIJ27" s="4"/>
      <c r="WIK27" s="4"/>
      <c r="WIL27" s="4"/>
      <c r="WIM27" s="4"/>
      <c r="WIN27" s="4"/>
      <c r="WIO27" s="4"/>
      <c r="WIP27" s="4"/>
      <c r="WIQ27" s="4"/>
      <c r="WIR27" s="4"/>
      <c r="WIS27" s="4"/>
      <c r="WIT27" s="4"/>
      <c r="WIU27" s="4"/>
      <c r="WIV27" s="4"/>
      <c r="WIW27" s="4"/>
      <c r="WIX27" s="4"/>
      <c r="WIY27" s="4"/>
      <c r="WIZ27" s="4"/>
      <c r="WJA27" s="4"/>
      <c r="WJB27" s="4"/>
      <c r="WJC27" s="4"/>
      <c r="WJD27" s="4"/>
      <c r="WJE27" s="4"/>
      <c r="WJF27" s="4"/>
      <c r="WJG27" s="4"/>
      <c r="WJH27" s="4"/>
      <c r="WJI27" s="4"/>
      <c r="WJJ27" s="4"/>
      <c r="WJK27" s="4"/>
      <c r="WJL27" s="4"/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4"/>
      <c r="WNG27" s="4"/>
      <c r="WNH27" s="4"/>
      <c r="WNI27" s="4"/>
      <c r="WNJ27" s="4"/>
      <c r="WNK27" s="4"/>
      <c r="WNL27" s="4"/>
      <c r="WNM27" s="4"/>
      <c r="WNN27" s="4"/>
      <c r="WNO27" s="4"/>
      <c r="WNP27" s="4"/>
      <c r="WNQ27" s="4"/>
      <c r="WNR27" s="4"/>
      <c r="WNS27" s="4"/>
      <c r="WNT27" s="4"/>
      <c r="WNU27" s="4"/>
      <c r="WNV27" s="4"/>
      <c r="WNW27" s="4"/>
      <c r="WNX27" s="4"/>
      <c r="WNY27" s="4"/>
      <c r="WNZ27" s="4"/>
      <c r="WOA27" s="4"/>
      <c r="WOB27" s="4"/>
      <c r="WOC27" s="4"/>
      <c r="WOD27" s="4"/>
      <c r="WOE27" s="4"/>
      <c r="WOF27" s="4"/>
      <c r="WOG27" s="4"/>
      <c r="WOH27" s="4"/>
      <c r="WOI27" s="4"/>
      <c r="WOJ27" s="4"/>
      <c r="WOK27" s="4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4"/>
      <c r="WRY27" s="4"/>
      <c r="WRZ27" s="4"/>
      <c r="WSA27" s="4"/>
      <c r="WSB27" s="4"/>
      <c r="WSC27" s="4"/>
      <c r="WSD27" s="4"/>
      <c r="WSE27" s="4"/>
      <c r="WSF27" s="4"/>
      <c r="WSG27" s="4"/>
      <c r="WSH27" s="4"/>
      <c r="WSI27" s="4"/>
      <c r="WSJ27" s="4"/>
      <c r="WSK27" s="4"/>
      <c r="WSL27" s="4"/>
      <c r="WSM27" s="4"/>
      <c r="WSN27" s="4"/>
      <c r="WSO27" s="4"/>
      <c r="WSP27" s="4"/>
      <c r="WSQ27" s="4"/>
      <c r="WSR27" s="4"/>
      <c r="WSS27" s="4"/>
      <c r="WST27" s="4"/>
      <c r="WSU27" s="4"/>
      <c r="WSV27" s="4"/>
      <c r="WSW27" s="4"/>
      <c r="WSX27" s="4"/>
      <c r="WSY27" s="4"/>
      <c r="WSZ27" s="4"/>
      <c r="WTA27" s="4"/>
      <c r="WTB27" s="4"/>
      <c r="WTC27" s="4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4"/>
      <c r="WWI27" s="4"/>
      <c r="WWJ27" s="4"/>
      <c r="WWK27" s="4"/>
      <c r="WWL27" s="4"/>
      <c r="WWM27" s="4"/>
      <c r="WWN27" s="4"/>
      <c r="WWO27" s="4"/>
      <c r="WWP27" s="4"/>
      <c r="WWQ27" s="4"/>
      <c r="WWR27" s="4"/>
      <c r="WWS27" s="4"/>
      <c r="WWT27" s="4"/>
      <c r="WWU27" s="4"/>
      <c r="WWV27" s="4"/>
      <c r="WWW27" s="4"/>
      <c r="WWX27" s="4"/>
      <c r="WWY27" s="4"/>
      <c r="WWZ27" s="4"/>
      <c r="WXA27" s="4"/>
      <c r="WXB27" s="4"/>
      <c r="WXC27" s="4"/>
      <c r="WXD27" s="4"/>
      <c r="WXE27" s="4"/>
      <c r="WXF27" s="4"/>
      <c r="WXG27" s="4"/>
      <c r="WXH27" s="4"/>
      <c r="WXI27" s="4"/>
      <c r="WXJ27" s="4"/>
      <c r="WXK27" s="4"/>
      <c r="WXL27" s="4"/>
      <c r="WXM27" s="4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9" spans="2:16384" hidden="1" outlineLevel="1" x14ac:dyDescent="0.25">
      <c r="C29" s="2" t="s">
        <v>34</v>
      </c>
      <c r="E29" s="10">
        <v>470466.91</v>
      </c>
      <c r="G29" s="2" t="s">
        <v>38</v>
      </c>
      <c r="J29" s="11">
        <v>0.03</v>
      </c>
    </row>
    <row r="30" spans="2:16384" hidden="1" outlineLevel="1" x14ac:dyDescent="0.25">
      <c r="C30" s="2" t="s">
        <v>35</v>
      </c>
      <c r="E30" s="10">
        <v>538148.43000000005</v>
      </c>
      <c r="G30" s="2" t="s">
        <v>39</v>
      </c>
      <c r="J30" s="11">
        <v>0.15</v>
      </c>
    </row>
    <row r="31" spans="2:16384" hidden="1" outlineLevel="1" x14ac:dyDescent="0.25">
      <c r="C31" s="2" t="s">
        <v>36</v>
      </c>
      <c r="E31" s="10">
        <v>2660003.89</v>
      </c>
      <c r="G31" s="2" t="s">
        <v>87</v>
      </c>
      <c r="J31" s="11">
        <v>0.13</v>
      </c>
    </row>
    <row r="32" spans="2:16384" hidden="1" outlineLevel="1" x14ac:dyDescent="0.25">
      <c r="J32" s="11"/>
    </row>
    <row r="33" spans="2:16384" hidden="1" outlineLevel="1" x14ac:dyDescent="0.25">
      <c r="C33" s="2" t="s">
        <v>37</v>
      </c>
      <c r="E33" s="12">
        <v>0.1769</v>
      </c>
      <c r="G33" s="2" t="s">
        <v>40</v>
      </c>
      <c r="J33" s="11">
        <v>0</v>
      </c>
    </row>
    <row r="34" spans="2:16384" hidden="1" outlineLevel="1" x14ac:dyDescent="0.25">
      <c r="C34" s="2" t="s">
        <v>69</v>
      </c>
      <c r="E34" s="33">
        <f>Comps!H6</f>
        <v>0.14449999999999999</v>
      </c>
    </row>
    <row r="35" spans="2:16384" collapsed="1" x14ac:dyDescent="0.25"/>
    <row r="36" spans="2:16384" x14ac:dyDescent="0.25">
      <c r="B36" s="51" t="s">
        <v>4</v>
      </c>
      <c r="C36" s="3" t="s">
        <v>43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4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"/>
    </row>
    <row r="38" spans="2:16384" hidden="1" outlineLevel="1" x14ac:dyDescent="0.25">
      <c r="B38" s="51" t="s">
        <v>81</v>
      </c>
      <c r="C38" s="6" t="s">
        <v>80</v>
      </c>
      <c r="G38" s="6" t="s">
        <v>45</v>
      </c>
      <c r="H38" s="44">
        <v>1</v>
      </c>
      <c r="I38" s="39">
        <v>2</v>
      </c>
      <c r="J38" s="39">
        <v>3</v>
      </c>
      <c r="K38" s="39">
        <v>4</v>
      </c>
      <c r="L38" s="39">
        <v>5</v>
      </c>
      <c r="M38" s="13"/>
    </row>
    <row r="39" spans="2:16384" hidden="1" outlineLevel="1" x14ac:dyDescent="0.25">
      <c r="C39" s="35" t="s">
        <v>44</v>
      </c>
      <c r="D39" s="35"/>
      <c r="E39" s="35"/>
      <c r="F39" s="35"/>
      <c r="G39" s="36">
        <v>220837.82</v>
      </c>
      <c r="H39" s="45">
        <f>G39*(1+$G$44)</f>
        <v>239388.19688000003</v>
      </c>
      <c r="I39" s="36">
        <f t="shared" ref="I39:K39" si="0">H39*(1+$G$44)</f>
        <v>259496.80541792006</v>
      </c>
      <c r="J39" s="36">
        <f t="shared" si="0"/>
        <v>281294.53707302536</v>
      </c>
      <c r="K39" s="36">
        <f t="shared" si="0"/>
        <v>304923.27818715951</v>
      </c>
      <c r="L39" s="36">
        <f>K39*(1+$L$44)</f>
        <v>322913.75160020188</v>
      </c>
    </row>
    <row r="40" spans="2:16384" hidden="1" outlineLevel="1" x14ac:dyDescent="0.25">
      <c r="H40" s="43"/>
    </row>
    <row r="41" spans="2:16384" hidden="1" outlineLevel="1" x14ac:dyDescent="0.25">
      <c r="C41" s="35" t="s">
        <v>70</v>
      </c>
      <c r="D41" s="35"/>
      <c r="E41" s="35"/>
      <c r="F41" s="35"/>
      <c r="G41" s="36">
        <v>14826.19</v>
      </c>
      <c r="H41" s="45">
        <f>H39*H42</f>
        <v>62240.931188800008</v>
      </c>
      <c r="I41" s="36">
        <f t="shared" ref="I41:L41" si="1">I39*I42</f>
        <v>70712.879476383227</v>
      </c>
      <c r="J41" s="36">
        <f t="shared" si="1"/>
        <v>80168.943065812244</v>
      </c>
      <c r="K41" s="36">
        <f t="shared" si="1"/>
        <v>90714.675260679971</v>
      </c>
      <c r="L41" s="36">
        <f t="shared" si="1"/>
        <v>96874.125480060567</v>
      </c>
    </row>
    <row r="42" spans="2:16384" hidden="1" outlineLevel="1" x14ac:dyDescent="0.25">
      <c r="C42" s="7" t="s">
        <v>71</v>
      </c>
      <c r="D42" s="7"/>
      <c r="E42" s="7"/>
      <c r="F42" s="7"/>
      <c r="G42" s="38">
        <f>divid_payout</f>
        <v>0.25</v>
      </c>
      <c r="H42" s="46">
        <f>G42+($L$42-$G$42)/5</f>
        <v>0.26</v>
      </c>
      <c r="I42" s="38">
        <f t="shared" ref="I42:K42" si="2">H42+($L$42-$G$42)/4</f>
        <v>0.27250000000000002</v>
      </c>
      <c r="J42" s="38">
        <f t="shared" si="2"/>
        <v>0.28500000000000003</v>
      </c>
      <c r="K42" s="38">
        <f t="shared" si="2"/>
        <v>0.29750000000000004</v>
      </c>
      <c r="L42" s="38">
        <f>G42+5%</f>
        <v>0.3</v>
      </c>
    </row>
    <row r="43" spans="2:16384" hidden="1" outlineLevel="1" x14ac:dyDescent="0.25">
      <c r="H43" s="43"/>
    </row>
    <row r="44" spans="2:16384" hidden="1" outlineLevel="1" x14ac:dyDescent="0.25">
      <c r="C44" s="2" t="s">
        <v>72</v>
      </c>
      <c r="G44" s="12">
        <f>net_income</f>
        <v>8.4000000000000005E-2</v>
      </c>
      <c r="H44" s="43"/>
      <c r="L44" s="12">
        <f>G44-2.5%</f>
        <v>5.9000000000000004E-2</v>
      </c>
    </row>
    <row r="45" spans="2:16384" hidden="1" outlineLevel="1" x14ac:dyDescent="0.25">
      <c r="C45" s="2" t="s">
        <v>69</v>
      </c>
      <c r="G45" s="12">
        <f>E34</f>
        <v>0.14449999999999999</v>
      </c>
      <c r="H45" s="43"/>
    </row>
    <row r="46" spans="2:16384" hidden="1" outlineLevel="1" x14ac:dyDescent="0.25">
      <c r="C46" s="35" t="s">
        <v>73</v>
      </c>
      <c r="D46" s="35"/>
      <c r="E46" s="35"/>
      <c r="F46" s="35"/>
      <c r="G46" s="35"/>
      <c r="H46" s="47"/>
      <c r="I46" s="35"/>
      <c r="J46" s="35"/>
      <c r="K46" s="35"/>
      <c r="L46" s="36">
        <f>L41/(coe-tgr)</f>
        <v>1256367.1369105109</v>
      </c>
    </row>
    <row r="47" spans="2:16384" hidden="1" outlineLevel="1" x14ac:dyDescent="0.25">
      <c r="C47" s="7" t="s">
        <v>74</v>
      </c>
      <c r="D47" s="7"/>
      <c r="E47" s="7"/>
      <c r="F47" s="7"/>
      <c r="G47" s="7"/>
      <c r="H47" s="48">
        <f>H41/(1+coe)^H38</f>
        <v>56219.459306245801</v>
      </c>
      <c r="I47" s="37">
        <f>I41/(1+coe)^I38</f>
        <v>57692.543767254996</v>
      </c>
      <c r="J47" s="37">
        <f>J41/(1+coe)^J38</f>
        <v>59079.649036148032</v>
      </c>
      <c r="K47" s="37">
        <f>K41/(1+coe)^K38</f>
        <v>60383.722394888093</v>
      </c>
      <c r="L47" s="37">
        <f>(L41+L46)/(1+coe)^L38</f>
        <v>813632.23459222703</v>
      </c>
    </row>
    <row r="48" spans="2:16384" hidden="1" outlineLevel="1" x14ac:dyDescent="0.25">
      <c r="C48" s="6" t="s">
        <v>77</v>
      </c>
      <c r="D48" s="6"/>
      <c r="E48" s="6"/>
      <c r="F48" s="6"/>
      <c r="G48" s="34">
        <f>SUM(H47:L47)</f>
        <v>1047007.6090967639</v>
      </c>
      <c r="H48" s="49"/>
      <c r="I48" s="32"/>
      <c r="J48" s="32"/>
      <c r="K48" s="32"/>
      <c r="L48" s="32"/>
      <c r="M48" s="32"/>
      <c r="N48" s="32"/>
      <c r="O48" s="32"/>
      <c r="P48" s="32"/>
    </row>
    <row r="49" spans="2:12" hidden="1" outlineLevel="1" x14ac:dyDescent="0.25">
      <c r="C49" s="2" t="s">
        <v>78</v>
      </c>
      <c r="G49" s="10">
        <f>7661970571/10^7</f>
        <v>766.19705710000005</v>
      </c>
      <c r="H49" s="43"/>
    </row>
    <row r="50" spans="2:12" hidden="1" outlineLevel="1" x14ac:dyDescent="0.25">
      <c r="C50" s="40" t="s">
        <v>79</v>
      </c>
      <c r="D50" s="40"/>
      <c r="E50" s="40"/>
      <c r="F50" s="40"/>
      <c r="G50" s="41">
        <f>G48/G49</f>
        <v>1366.4991262947567</v>
      </c>
      <c r="H50" s="50"/>
      <c r="I50" s="42"/>
      <c r="J50" s="42"/>
      <c r="K50" s="42"/>
      <c r="L50" s="42"/>
    </row>
    <row r="51" spans="2:12" hidden="1" outlineLevel="1" x14ac:dyDescent="0.25"/>
    <row r="52" spans="2:12" hidden="1" outlineLevel="1" x14ac:dyDescent="0.25">
      <c r="B52" s="51" t="s">
        <v>81</v>
      </c>
      <c r="C52" s="8" t="s">
        <v>82</v>
      </c>
      <c r="D52" s="7"/>
      <c r="E52" s="7"/>
      <c r="F52" s="7"/>
      <c r="G52" s="8" t="s">
        <v>45</v>
      </c>
      <c r="H52" s="52">
        <v>1</v>
      </c>
      <c r="I52" s="53">
        <v>2</v>
      </c>
      <c r="J52" s="53">
        <v>3</v>
      </c>
      <c r="K52" s="53">
        <v>4</v>
      </c>
      <c r="L52" s="53">
        <v>5</v>
      </c>
    </row>
    <row r="53" spans="2:12" hidden="1" outlineLevel="1" x14ac:dyDescent="0.25">
      <c r="C53" s="35" t="s">
        <v>83</v>
      </c>
      <c r="G53" s="10">
        <f>E31</f>
        <v>2660003.89</v>
      </c>
      <c r="H53" s="56">
        <f>G53*(1+$J$29)</f>
        <v>2739804.0067000003</v>
      </c>
      <c r="I53" s="10">
        <f t="shared" ref="I53:L53" si="3">H53*(1+$J$29)</f>
        <v>2821998.1269010003</v>
      </c>
      <c r="J53" s="10">
        <f t="shared" si="3"/>
        <v>2906658.0707080304</v>
      </c>
      <c r="K53" s="10">
        <f t="shared" si="3"/>
        <v>2993857.8128292714</v>
      </c>
      <c r="L53" s="10">
        <f t="shared" si="3"/>
        <v>3083673.5472141495</v>
      </c>
    </row>
    <row r="54" spans="2:12" hidden="1" outlineLevel="1" x14ac:dyDescent="0.25">
      <c r="C54" s="2" t="s">
        <v>37</v>
      </c>
      <c r="G54" s="12">
        <f>E33</f>
        <v>0.1769</v>
      </c>
      <c r="H54" s="57">
        <f>G54+($L$54-$G$54)/5</f>
        <v>0.17152000000000001</v>
      </c>
      <c r="I54" s="12">
        <f t="shared" ref="I54:K54" si="4">H54+($L$54-$G$54)/5</f>
        <v>0.16614000000000001</v>
      </c>
      <c r="J54" s="12">
        <f t="shared" si="4"/>
        <v>0.16076000000000001</v>
      </c>
      <c r="K54" s="12">
        <f t="shared" si="4"/>
        <v>0.15538000000000002</v>
      </c>
      <c r="L54" s="12">
        <f>J30</f>
        <v>0.15</v>
      </c>
    </row>
    <row r="55" spans="2:12" hidden="1" outlineLevel="1" x14ac:dyDescent="0.25">
      <c r="C55" s="2" t="s">
        <v>34</v>
      </c>
      <c r="G55" s="10">
        <f>E29</f>
        <v>470466.91</v>
      </c>
      <c r="H55" s="56">
        <f>H53*H54</f>
        <v>469931.18322918407</v>
      </c>
      <c r="I55" s="10">
        <f t="shared" ref="I55:L55" si="5">I53*I54</f>
        <v>468846.76880333223</v>
      </c>
      <c r="J55" s="10">
        <f t="shared" si="5"/>
        <v>467274.35144702299</v>
      </c>
      <c r="K55" s="10">
        <f t="shared" si="5"/>
        <v>465185.62695741223</v>
      </c>
      <c r="L55" s="10">
        <f t="shared" si="5"/>
        <v>462551.0320821224</v>
      </c>
    </row>
    <row r="56" spans="2:12" hidden="1" outlineLevel="1" x14ac:dyDescent="0.25">
      <c r="C56" s="2" t="s">
        <v>84</v>
      </c>
      <c r="H56" s="58">
        <f>H55-G55</f>
        <v>-535.72677081590518</v>
      </c>
      <c r="I56" s="14">
        <f t="shared" ref="I56:L56" si="6">I55-H55</f>
        <v>-1084.4144258518354</v>
      </c>
      <c r="J56" s="14">
        <f t="shared" si="6"/>
        <v>-1572.4173563092481</v>
      </c>
      <c r="K56" s="14">
        <f t="shared" si="6"/>
        <v>-2088.7244896107586</v>
      </c>
      <c r="L56" s="14">
        <f t="shared" si="6"/>
        <v>-2634.5948752898257</v>
      </c>
    </row>
    <row r="57" spans="2:12" hidden="1" outlineLevel="1" x14ac:dyDescent="0.25">
      <c r="C57" s="7" t="s">
        <v>85</v>
      </c>
      <c r="D57" s="7"/>
      <c r="E57" s="7"/>
      <c r="F57" s="7"/>
      <c r="G57" s="54">
        <f>E30</f>
        <v>538148.43000000005</v>
      </c>
      <c r="H57" s="59"/>
      <c r="I57" s="7"/>
      <c r="J57" s="7"/>
      <c r="K57" s="7"/>
      <c r="L57" s="7"/>
    </row>
    <row r="58" spans="2:12" hidden="1" outlineLevel="1" x14ac:dyDescent="0.25">
      <c r="H58" s="43"/>
    </row>
    <row r="59" spans="2:12" hidden="1" outlineLevel="1" x14ac:dyDescent="0.25">
      <c r="C59" s="2" t="s">
        <v>69</v>
      </c>
      <c r="G59" s="12">
        <f>E34</f>
        <v>0.14449999999999999</v>
      </c>
      <c r="H59" s="43"/>
    </row>
    <row r="60" spans="2:12" hidden="1" outlineLevel="1" x14ac:dyDescent="0.25">
      <c r="C60" s="2" t="s">
        <v>30</v>
      </c>
      <c r="G60" s="14">
        <f>G39</f>
        <v>220837.82</v>
      </c>
      <c r="H60" s="58">
        <f t="shared" ref="H60:L60" si="7">H39</f>
        <v>239388.19688000003</v>
      </c>
      <c r="I60" s="14">
        <f t="shared" si="7"/>
        <v>259496.80541792006</v>
      </c>
      <c r="J60" s="14">
        <f t="shared" si="7"/>
        <v>281294.53707302536</v>
      </c>
      <c r="K60" s="14">
        <f t="shared" si="7"/>
        <v>304923.27818715951</v>
      </c>
      <c r="L60" s="14">
        <f t="shared" si="7"/>
        <v>322913.75160020188</v>
      </c>
    </row>
    <row r="61" spans="2:12" hidden="1" outlineLevel="1" x14ac:dyDescent="0.25">
      <c r="C61" s="2" t="s">
        <v>86</v>
      </c>
      <c r="H61" s="58">
        <f>H56</f>
        <v>-535.72677081590518</v>
      </c>
      <c r="I61" s="14">
        <f t="shared" ref="I61:L61" si="8">I56</f>
        <v>-1084.4144258518354</v>
      </c>
      <c r="J61" s="14">
        <f t="shared" si="8"/>
        <v>-1572.4173563092481</v>
      </c>
      <c r="K61" s="14">
        <f t="shared" si="8"/>
        <v>-2088.7244896107586</v>
      </c>
      <c r="L61" s="14">
        <f t="shared" si="8"/>
        <v>-2634.5948752898257</v>
      </c>
    </row>
    <row r="62" spans="2:12" hidden="1" outlineLevel="1" x14ac:dyDescent="0.25">
      <c r="C62" s="40" t="s">
        <v>88</v>
      </c>
      <c r="D62" s="42"/>
      <c r="E62" s="42"/>
      <c r="F62" s="42"/>
      <c r="G62" s="42"/>
      <c r="H62" s="60">
        <f>SUM(H60:H61)</f>
        <v>238852.47010918413</v>
      </c>
      <c r="I62" s="55">
        <f t="shared" ref="I62:L62" si="9">SUM(I60:I61)</f>
        <v>258412.39099206822</v>
      </c>
      <c r="J62" s="55">
        <f t="shared" si="9"/>
        <v>279722.11971671612</v>
      </c>
      <c r="K62" s="55">
        <f t="shared" si="9"/>
        <v>302834.55369754875</v>
      </c>
      <c r="L62" s="55">
        <f t="shared" si="9"/>
        <v>320279.15672491206</v>
      </c>
    </row>
    <row r="63" spans="2:12" hidden="1" outlineLevel="1" x14ac:dyDescent="0.25">
      <c r="H63" s="43"/>
    </row>
    <row r="64" spans="2:12" hidden="1" outlineLevel="1" x14ac:dyDescent="0.25">
      <c r="C64" s="35" t="s">
        <v>73</v>
      </c>
      <c r="D64" s="35"/>
      <c r="E64" s="35"/>
      <c r="F64" s="35"/>
      <c r="G64" s="35"/>
      <c r="H64" s="45"/>
      <c r="I64" s="36"/>
      <c r="J64" s="36"/>
      <c r="K64" s="36"/>
      <c r="L64" s="36">
        <f>L62*(1+tgr)/(coe-tgr)</f>
        <v>4278333.8823151067</v>
      </c>
    </row>
    <row r="65" spans="2:12" hidden="1" outlineLevel="1" x14ac:dyDescent="0.25">
      <c r="C65" s="7" t="s">
        <v>89</v>
      </c>
      <c r="D65" s="7"/>
      <c r="E65" s="7"/>
      <c r="F65" s="7"/>
      <c r="G65" s="7"/>
      <c r="H65" s="48">
        <f>H62/(1+coe)^H52</f>
        <v>215744.79152259068</v>
      </c>
      <c r="I65" s="37">
        <f>I62/(1+coe)^I52</f>
        <v>210831.01533561584</v>
      </c>
      <c r="J65" s="37">
        <f>J62/(1+coe)^J52</f>
        <v>206138.23793266868</v>
      </c>
      <c r="K65" s="37">
        <f>K62/(1+coe)^K52</f>
        <v>201580.14752855265</v>
      </c>
      <c r="L65" s="37">
        <f>(L62+L64)/(1+coe)^L52</f>
        <v>2764902.2439423599</v>
      </c>
    </row>
    <row r="66" spans="2:12" hidden="1" outlineLevel="1" x14ac:dyDescent="0.25">
      <c r="C66" s="6" t="s">
        <v>77</v>
      </c>
      <c r="D66" s="6"/>
      <c r="E66" s="6"/>
      <c r="F66" s="6"/>
      <c r="G66" s="34">
        <f t="array" ref="G66">SUM(H65:L65)</f>
        <v>3599196.436261788</v>
      </c>
      <c r="H66" s="43"/>
    </row>
    <row r="67" spans="2:12" hidden="1" outlineLevel="1" x14ac:dyDescent="0.25">
      <c r="C67" s="2" t="s">
        <v>78</v>
      </c>
      <c r="G67" s="10">
        <f>G49</f>
        <v>766.19705710000005</v>
      </c>
      <c r="H67" s="43"/>
    </row>
    <row r="68" spans="2:12" hidden="1" outlineLevel="1" x14ac:dyDescent="0.25">
      <c r="C68" s="40" t="s">
        <v>79</v>
      </c>
      <c r="D68" s="40"/>
      <c r="E68" s="40"/>
      <c r="F68" s="40"/>
      <c r="G68" s="41">
        <f>G66/G67</f>
        <v>4697.4814154004762</v>
      </c>
      <c r="H68" s="50"/>
      <c r="I68" s="42"/>
      <c r="J68" s="42"/>
      <c r="K68" s="42"/>
      <c r="L68" s="42"/>
    </row>
    <row r="69" spans="2:12" collapsed="1" x14ac:dyDescent="0.25"/>
    <row r="71" spans="2:12" x14ac:dyDescent="0.25">
      <c r="B71" s="51" t="s">
        <v>4</v>
      </c>
      <c r="C71" s="8" t="s">
        <v>92</v>
      </c>
      <c r="D71" s="7"/>
      <c r="E71" s="7"/>
      <c r="F71" s="7"/>
      <c r="G71" s="7"/>
      <c r="H71" s="7"/>
      <c r="I71" s="7"/>
      <c r="J71" s="7"/>
      <c r="K71" s="7"/>
      <c r="L71" s="7"/>
    </row>
    <row r="73" spans="2:12" x14ac:dyDescent="0.25">
      <c r="C73" s="6" t="s">
        <v>93</v>
      </c>
      <c r="J73" s="6"/>
    </row>
    <row r="75" spans="2:12" x14ac:dyDescent="0.25">
      <c r="C75" s="75"/>
      <c r="D75" s="117" t="s">
        <v>98</v>
      </c>
      <c r="E75" s="117"/>
      <c r="F75" s="117"/>
      <c r="G75" s="117"/>
      <c r="H75" s="117"/>
      <c r="I75" s="118"/>
    </row>
    <row r="76" spans="2:12" x14ac:dyDescent="0.25">
      <c r="C76" s="115" t="s">
        <v>99</v>
      </c>
      <c r="D76" s="77">
        <f>G50</f>
        <v>1366.4991262947567</v>
      </c>
      <c r="E76" s="78">
        <v>0.01</v>
      </c>
      <c r="F76" s="79">
        <f>E76+1%</f>
        <v>0.02</v>
      </c>
      <c r="G76" s="80">
        <f t="shared" ref="G76:I76" si="10">F76+1%</f>
        <v>0.03</v>
      </c>
      <c r="H76" s="79">
        <f t="shared" si="10"/>
        <v>0.04</v>
      </c>
      <c r="I76" s="81">
        <f t="shared" si="10"/>
        <v>0.05</v>
      </c>
    </row>
    <row r="77" spans="2:12" x14ac:dyDescent="0.25">
      <c r="C77" s="115"/>
      <c r="D77" s="57">
        <f t="shared" ref="D77:D79" si="11">D78+1%</f>
        <v>0.11999999999999998</v>
      </c>
      <c r="E77" s="67">
        <f t="dataTable" ref="E77:I81" dt2D="1" dtr="1" r1="E25" r2="E24"/>
        <v>1019.7697809643731</v>
      </c>
      <c r="F77" s="83">
        <v>1084.9903399840703</v>
      </c>
      <c r="G77" s="68">
        <v>1164.7043565637005</v>
      </c>
      <c r="H77" s="83">
        <v>1264.3468772882379</v>
      </c>
      <c r="I77" s="69">
        <v>1392.4586896483579</v>
      </c>
    </row>
    <row r="78" spans="2:12" x14ac:dyDescent="0.25">
      <c r="C78" s="115"/>
      <c r="D78" s="57">
        <f t="shared" si="11"/>
        <v>0.10999999999999999</v>
      </c>
      <c r="E78" s="84">
        <v>1127.9491764206205</v>
      </c>
      <c r="F78" s="85">
        <v>1211.3191976441558</v>
      </c>
      <c r="G78" s="86">
        <v>1315.5317241735747</v>
      </c>
      <c r="H78" s="87">
        <v>1449.5192582828279</v>
      </c>
      <c r="I78" s="62">
        <v>1628.1693037618315</v>
      </c>
    </row>
    <row r="79" spans="2:12" x14ac:dyDescent="0.25">
      <c r="C79" s="115"/>
      <c r="D79" s="82">
        <f t="shared" si="11"/>
        <v>9.9999999999999992E-2</v>
      </c>
      <c r="E79" s="70">
        <v>1260.3970467976831</v>
      </c>
      <c r="F79" s="88">
        <v>1369.4334189356846</v>
      </c>
      <c r="G79" s="89">
        <v>1509.6230402559715</v>
      </c>
      <c r="H79" s="90">
        <v>1696.542535349688</v>
      </c>
      <c r="I79" s="71">
        <v>1958.2298284808912</v>
      </c>
    </row>
    <row r="80" spans="2:12" x14ac:dyDescent="0.25">
      <c r="C80" s="115"/>
      <c r="D80" s="57">
        <f>D81+1%</f>
        <v>0.09</v>
      </c>
      <c r="E80" s="84">
        <v>1426.2255277369038</v>
      </c>
      <c r="F80" s="91">
        <v>1572.9649479269463</v>
      </c>
      <c r="G80" s="92">
        <v>1768.617508180336</v>
      </c>
      <c r="H80" s="93">
        <v>2042.5310925350818</v>
      </c>
      <c r="I80" s="62">
        <v>2453.4014690672002</v>
      </c>
    </row>
    <row r="81" spans="3:9" x14ac:dyDescent="0.25">
      <c r="C81" s="116"/>
      <c r="D81" s="46">
        <v>0.08</v>
      </c>
      <c r="E81" s="72">
        <v>1639.7544130754609</v>
      </c>
      <c r="F81" s="76">
        <v>1844.6342631216107</v>
      </c>
      <c r="G81" s="73">
        <v>2131.4660531862196</v>
      </c>
      <c r="H81" s="76">
        <v>2561.7137382831334</v>
      </c>
      <c r="I81" s="74">
        <v>3278.7932134446569</v>
      </c>
    </row>
    <row r="83" spans="3:9" x14ac:dyDescent="0.25">
      <c r="C83" s="6" t="s">
        <v>94</v>
      </c>
    </row>
    <row r="85" spans="3:9" x14ac:dyDescent="0.25">
      <c r="C85" s="75"/>
      <c r="D85" s="117" t="s">
        <v>98</v>
      </c>
      <c r="E85" s="117"/>
      <c r="F85" s="117"/>
      <c r="G85" s="117"/>
      <c r="H85" s="117"/>
      <c r="I85" s="118"/>
    </row>
    <row r="86" spans="3:9" x14ac:dyDescent="0.25">
      <c r="C86" s="115" t="s">
        <v>99</v>
      </c>
      <c r="D86" s="77">
        <f>G68</f>
        <v>4697.4814154004762</v>
      </c>
      <c r="E86" s="78">
        <v>0.01</v>
      </c>
      <c r="F86" s="79">
        <f>E86+1%</f>
        <v>0.02</v>
      </c>
      <c r="G86" s="80">
        <f t="shared" ref="G86:I86" si="12">F86+1%</f>
        <v>0.03</v>
      </c>
      <c r="H86" s="79">
        <f t="shared" si="12"/>
        <v>0.04</v>
      </c>
      <c r="I86" s="81">
        <f t="shared" si="12"/>
        <v>0.05</v>
      </c>
    </row>
    <row r="87" spans="3:9" x14ac:dyDescent="0.25">
      <c r="C87" s="115"/>
      <c r="D87" s="57">
        <f t="shared" ref="D87:D89" si="13">D88+1%</f>
        <v>0.11999999999999998</v>
      </c>
      <c r="E87" s="67">
        <f t="dataTable" ref="E87:I91" dt2D="1" dtr="1" r1="E25" r2="E24" ca="1"/>
        <v>3473.2789346322029</v>
      </c>
      <c r="F87" s="83">
        <v>3714.7824300732664</v>
      </c>
      <c r="G87" s="68">
        <v>4009.9533689456762</v>
      </c>
      <c r="H87" s="83">
        <v>4378.917042536189</v>
      </c>
      <c r="I87" s="69">
        <v>4853.2989085811332</v>
      </c>
    </row>
    <row r="88" spans="3:9" x14ac:dyDescent="0.25">
      <c r="C88" s="115"/>
      <c r="D88" s="57">
        <f t="shared" si="13"/>
        <v>0.10999999999999999</v>
      </c>
      <c r="E88" s="84">
        <v>3835.4501424469399</v>
      </c>
      <c r="F88" s="85">
        <v>4141.402477572894</v>
      </c>
      <c r="G88" s="86">
        <v>4523.8428964803352</v>
      </c>
      <c r="H88" s="87">
        <v>5015.5520065041901</v>
      </c>
      <c r="I88" s="62">
        <v>5671.1641532026615</v>
      </c>
    </row>
    <row r="89" spans="3:9" x14ac:dyDescent="0.25">
      <c r="C89" s="115"/>
      <c r="D89" s="82">
        <f t="shared" si="13"/>
        <v>9.9999999999999992E-2</v>
      </c>
      <c r="E89" s="70">
        <v>4278.6810504715741</v>
      </c>
      <c r="F89" s="88">
        <v>4675.2191855247765</v>
      </c>
      <c r="G89" s="89">
        <v>5185.053930593177</v>
      </c>
      <c r="H89" s="90">
        <v>5864.8335906843786</v>
      </c>
      <c r="I89" s="71">
        <v>6816.5251148120597</v>
      </c>
    </row>
    <row r="90" spans="3:9" x14ac:dyDescent="0.25">
      <c r="C90" s="115"/>
      <c r="D90" s="57">
        <f>D91+1%</f>
        <v>0.09</v>
      </c>
      <c r="E90" s="84">
        <v>4833.3995924704268</v>
      </c>
      <c r="F90" s="91">
        <v>5362.2029184464909</v>
      </c>
      <c r="G90" s="92">
        <v>6067.2740197479079</v>
      </c>
      <c r="H90" s="93">
        <v>7054.3735615698924</v>
      </c>
      <c r="I90" s="62">
        <v>8535.0228743028692</v>
      </c>
    </row>
    <row r="91" spans="3:9" x14ac:dyDescent="0.25">
      <c r="C91" s="116"/>
      <c r="D91" s="46">
        <v>0.08</v>
      </c>
      <c r="E91" s="72">
        <v>5547.4231319172213</v>
      </c>
      <c r="F91" s="76">
        <v>6278.9729126221901</v>
      </c>
      <c r="G91" s="73">
        <v>7303.1426056091423</v>
      </c>
      <c r="H91" s="76">
        <v>8839.3971450895715</v>
      </c>
      <c r="I91" s="74">
        <v>11399.821377556955</v>
      </c>
    </row>
  </sheetData>
  <mergeCells count="9">
    <mergeCell ref="C86:C91"/>
    <mergeCell ref="C76:C81"/>
    <mergeCell ref="D75:I75"/>
    <mergeCell ref="D85:I85"/>
    <mergeCell ref="E8:F8"/>
    <mergeCell ref="E9:F9"/>
    <mergeCell ref="E10:F10"/>
    <mergeCell ref="E11:F11"/>
    <mergeCell ref="E12:F12"/>
  </mergeCells>
  <dataValidations disablePrompts="1" count="1">
    <dataValidation type="list" allowBlank="1" showInputMessage="1" showErrorMessage="1" sqref="E20" xr:uid="{34CCDF6C-C5E4-427D-B866-DB95865E4044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D9C5-E761-4E41-AA4C-3ED856649ADF}">
  <dimension ref="C2:K24"/>
  <sheetViews>
    <sheetView showGridLines="0" workbookViewId="0">
      <selection activeCell="O15" sqref="O15"/>
    </sheetView>
  </sheetViews>
  <sheetFormatPr defaultRowHeight="14.4" x14ac:dyDescent="0.3"/>
  <cols>
    <col min="1" max="2" width="2.88671875" customWidth="1"/>
    <col min="3" max="10" width="12.77734375" customWidth="1"/>
  </cols>
  <sheetData>
    <row r="2" spans="3:11" x14ac:dyDescent="0.3">
      <c r="C2" s="6" t="s">
        <v>46</v>
      </c>
    </row>
    <row r="3" spans="3:11" x14ac:dyDescent="0.3">
      <c r="C3" s="15" t="s">
        <v>47</v>
      </c>
    </row>
    <row r="5" spans="3:11" x14ac:dyDescent="0.3">
      <c r="C5" s="105" t="s">
        <v>48</v>
      </c>
      <c r="D5" s="106"/>
      <c r="E5" s="107" t="s">
        <v>49</v>
      </c>
      <c r="F5" s="107" t="s">
        <v>30</v>
      </c>
      <c r="G5" s="107" t="s">
        <v>61</v>
      </c>
      <c r="H5" s="107" t="s">
        <v>69</v>
      </c>
      <c r="I5" s="107" t="s">
        <v>59</v>
      </c>
      <c r="J5" s="108" t="s">
        <v>60</v>
      </c>
      <c r="K5" s="23" t="s">
        <v>68</v>
      </c>
    </row>
    <row r="6" spans="3:11" x14ac:dyDescent="0.3">
      <c r="C6" s="95" t="s">
        <v>0</v>
      </c>
      <c r="D6" s="18"/>
      <c r="E6" s="19">
        <v>743.75</v>
      </c>
      <c r="F6" s="19">
        <v>348211.99</v>
      </c>
      <c r="G6" s="19">
        <v>74510.09</v>
      </c>
      <c r="H6" s="24">
        <v>0.14449999999999999</v>
      </c>
      <c r="I6" s="18">
        <v>2.04</v>
      </c>
      <c r="J6" s="96">
        <v>1144778.7</v>
      </c>
    </row>
    <row r="7" spans="3:11" x14ac:dyDescent="0.3">
      <c r="C7" s="97" t="s">
        <v>50</v>
      </c>
      <c r="E7" s="98">
        <v>1222.6500000000001</v>
      </c>
      <c r="F7" s="98">
        <v>194011.63</v>
      </c>
      <c r="G7" s="98">
        <v>52954.86</v>
      </c>
      <c r="H7" s="99">
        <v>0.1789</v>
      </c>
      <c r="I7">
        <v>2.5299999999999998</v>
      </c>
      <c r="J7" s="100">
        <v>875177.37</v>
      </c>
    </row>
    <row r="8" spans="3:11" x14ac:dyDescent="0.3">
      <c r="C8" s="97" t="s">
        <v>51</v>
      </c>
      <c r="E8" s="98">
        <v>1170.6500000000001</v>
      </c>
      <c r="F8" s="98">
        <v>130819.57</v>
      </c>
      <c r="G8" s="98">
        <v>26257.35</v>
      </c>
      <c r="H8" s="99">
        <v>0.16300000000000001</v>
      </c>
      <c r="I8">
        <v>1.77</v>
      </c>
      <c r="J8" s="100">
        <v>363699.61</v>
      </c>
    </row>
    <row r="9" spans="3:11" x14ac:dyDescent="0.3">
      <c r="C9" s="97" t="s">
        <v>52</v>
      </c>
      <c r="E9" s="98">
        <v>356.55</v>
      </c>
      <c r="F9" s="98">
        <v>68725.78</v>
      </c>
      <c r="G9" s="98">
        <v>18797.5</v>
      </c>
      <c r="H9" s="99">
        <v>0.1537</v>
      </c>
      <c r="I9">
        <v>2.11</v>
      </c>
      <c r="J9" s="100">
        <v>354447.63</v>
      </c>
    </row>
    <row r="10" spans="3:11" x14ac:dyDescent="0.3">
      <c r="C10" s="97" t="s">
        <v>53</v>
      </c>
      <c r="E10" s="98">
        <v>67.349999999999994</v>
      </c>
      <c r="F10" s="98">
        <v>28198.84</v>
      </c>
      <c r="G10" s="98">
        <v>9290.34</v>
      </c>
      <c r="H10" s="99">
        <v>0.13550000000000001</v>
      </c>
      <c r="I10">
        <v>1.04</v>
      </c>
      <c r="J10" s="100">
        <v>72387.710000000006</v>
      </c>
    </row>
    <row r="11" spans="3:11" x14ac:dyDescent="0.3">
      <c r="C11" s="97" t="s">
        <v>54</v>
      </c>
      <c r="E11" s="98">
        <v>254.65</v>
      </c>
      <c r="F11" s="98">
        <v>28835.439999999999</v>
      </c>
      <c r="G11" s="98">
        <v>4095.27</v>
      </c>
      <c r="H11" s="99">
        <v>0.12859999999999999</v>
      </c>
      <c r="I11">
        <v>1.73</v>
      </c>
      <c r="J11" s="100">
        <v>62797.4</v>
      </c>
    </row>
    <row r="12" spans="3:11" x14ac:dyDescent="0.3">
      <c r="C12" s="97" t="s">
        <v>55</v>
      </c>
      <c r="E12" s="98">
        <v>778</v>
      </c>
      <c r="F12" s="98">
        <v>45879.23</v>
      </c>
      <c r="G12" s="98">
        <v>-2033.7</v>
      </c>
      <c r="H12" s="99">
        <v>4.02E-2</v>
      </c>
      <c r="I12">
        <v>0.93</v>
      </c>
      <c r="J12" s="100">
        <v>60514.66</v>
      </c>
    </row>
    <row r="13" spans="3:11" x14ac:dyDescent="0.3">
      <c r="C13" s="97" t="s">
        <v>56</v>
      </c>
      <c r="E13" s="98">
        <v>17.66</v>
      </c>
      <c r="F13" s="98">
        <v>30169.38</v>
      </c>
      <c r="G13" s="98">
        <v>3174.04</v>
      </c>
      <c r="H13" s="99">
        <v>5.4600000000000003E-2</v>
      </c>
      <c r="I13">
        <v>1.1000000000000001</v>
      </c>
      <c r="J13" s="100">
        <v>55416.41</v>
      </c>
    </row>
    <row r="14" spans="3:11" x14ac:dyDescent="0.3">
      <c r="C14" s="97" t="s">
        <v>57</v>
      </c>
      <c r="E14" s="98">
        <v>60.27</v>
      </c>
      <c r="F14" s="98">
        <v>39409.019999999997</v>
      </c>
      <c r="G14" s="98">
        <v>1575.52</v>
      </c>
      <c r="H14" s="99">
        <v>4.2099999999999999E-2</v>
      </c>
      <c r="I14">
        <v>1.1100000000000001</v>
      </c>
      <c r="J14" s="100">
        <v>51839.54</v>
      </c>
    </row>
    <row r="15" spans="3:11" x14ac:dyDescent="0.3">
      <c r="C15" s="101" t="s">
        <v>58</v>
      </c>
      <c r="D15" s="17"/>
      <c r="E15" s="102">
        <v>261.14999999999998</v>
      </c>
      <c r="F15" s="102">
        <v>10686.63</v>
      </c>
      <c r="G15" s="102">
        <v>2298.73</v>
      </c>
      <c r="H15" s="103">
        <v>0.17649999999999999</v>
      </c>
      <c r="I15" s="17">
        <v>1.98</v>
      </c>
      <c r="J15" s="104">
        <v>25230.79</v>
      </c>
    </row>
    <row r="17" spans="3:10" x14ac:dyDescent="0.3">
      <c r="G17" s="20" t="s">
        <v>62</v>
      </c>
      <c r="H17" s="25">
        <f>AVERAGE(H7:H15)</f>
        <v>0.11923333333333336</v>
      </c>
      <c r="I17" s="27">
        <f>AVERAGE(I7:I15)</f>
        <v>1.5888888888888888</v>
      </c>
      <c r="J17" s="21"/>
    </row>
    <row r="18" spans="3:10" x14ac:dyDescent="0.3">
      <c r="G18" s="16" t="s">
        <v>63</v>
      </c>
      <c r="H18" s="26">
        <f>AVERAGE(H8:H16)</f>
        <v>0.111775</v>
      </c>
      <c r="I18" s="28">
        <f>AVERAGE(I8:I16)</f>
        <v>1.4712499999999999</v>
      </c>
      <c r="J18" s="17"/>
    </row>
    <row r="20" spans="3:10" x14ac:dyDescent="0.3">
      <c r="C20" s="105" t="s">
        <v>41</v>
      </c>
      <c r="D20" s="109"/>
      <c r="E20" s="110"/>
    </row>
    <row r="21" spans="3:10" x14ac:dyDescent="0.3">
      <c r="C21" s="97" t="s">
        <v>64</v>
      </c>
      <c r="E21" s="111">
        <f>I18</f>
        <v>1.4712499999999999</v>
      </c>
    </row>
    <row r="22" spans="3:10" x14ac:dyDescent="0.3">
      <c r="C22" s="97" t="s">
        <v>65</v>
      </c>
      <c r="E22" s="112">
        <f>H18</f>
        <v>0.111775</v>
      </c>
    </row>
    <row r="23" spans="3:10" x14ac:dyDescent="0.3">
      <c r="C23" s="97" t="s">
        <v>66</v>
      </c>
      <c r="E23" s="113">
        <v>9.7199999999999995E-2</v>
      </c>
      <c r="F23" s="22" t="s">
        <v>67</v>
      </c>
    </row>
    <row r="24" spans="3:10" x14ac:dyDescent="0.3">
      <c r="C24" s="94" t="s">
        <v>41</v>
      </c>
      <c r="D24" s="18"/>
      <c r="E24" s="114">
        <f>((E22-E23)/E21)+E23</f>
        <v>0.10710654205607477</v>
      </c>
    </row>
  </sheetData>
  <pageMargins left="0.7" right="0.7" top="0.75" bottom="0.75" header="0.3" footer="0.3"/>
  <ignoredErrors>
    <ignoredError sqref="H17:I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Val</vt:lpstr>
      <vt:lpstr>Comps</vt:lpstr>
      <vt:lpstr>coe</vt:lpstr>
      <vt:lpstr>divid_payout</vt:lpstr>
      <vt:lpstr>net_income</vt:lpstr>
      <vt:lpstr>tgr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2026-03-23T10:15:55Z</dcterms:created>
  <dcterms:modified xsi:type="dcterms:W3CDTF">2026-03-25T08:11:00Z</dcterms:modified>
</cp:coreProperties>
</file>