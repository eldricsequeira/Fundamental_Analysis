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Projects\Resume projects\DCF\"/>
    </mc:Choice>
  </mc:AlternateContent>
  <xr:revisionPtr revIDLastSave="0" documentId="13_ncr:1_{2C68EE2B-C709-423C-86D5-C0CB6FD50083}" xr6:coauthVersionLast="47" xr6:coauthVersionMax="47" xr10:uidLastSave="{00000000-0000-0000-0000-000000000000}"/>
  <bookViews>
    <workbookView xWindow="-108" yWindow="-108" windowWidth="23256" windowHeight="13176" tabRatio="888" xr2:uid="{1007293A-AF4A-47EA-A676-D828CECA6A18}"/>
  </bookViews>
  <sheets>
    <sheet name="Overview" sheetId="2" r:id="rId1"/>
    <sheet name="Comps_Sum" sheetId="18" r:id="rId2"/>
    <sheet name="DCF_Sum" sheetId="17" r:id="rId3"/>
    <sheet name="Comps Analysis-&gt;" sheetId="8" r:id="rId4"/>
    <sheet name="CHH" sheetId="1" r:id="rId5"/>
    <sheet name="MAR" sheetId="3" r:id="rId6"/>
    <sheet name="ABNB" sheetId="4" r:id="rId7"/>
    <sheet name="HLT" sheetId="5" r:id="rId8"/>
    <sheet name="H" sheetId="6" r:id="rId9"/>
    <sheet name="WH" sheetId="7" r:id="rId10"/>
    <sheet name="Comps1" sheetId="9" r:id="rId11"/>
    <sheet name="Comps2" sheetId="10" r:id="rId12"/>
    <sheet name="CompsVal" sheetId="11" r:id="rId13"/>
    <sheet name="DCF-&gt;" sheetId="12" r:id="rId14"/>
    <sheet name="Historical" sheetId="13" r:id="rId15"/>
    <sheet name="WACC" sheetId="14" r:id="rId16"/>
    <sheet name="DCF" sheetId="15" r:id="rId17"/>
    <sheet name="ValGraph" sheetId="16" r:id="rId18"/>
  </sheets>
  <externalReferences>
    <externalReference r:id="rId19"/>
  </externalReferences>
  <definedNames>
    <definedName name="_xlnm.Print_Area" localSheetId="1">Comps_Sum!$D$2:$O$93</definedName>
    <definedName name="_xlnm.Print_Area" localSheetId="2">DCF_Sum!$D$2:$O$106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 i="18" l="1"/>
  <c r="D11" i="18"/>
  <c r="H86" i="18"/>
  <c r="F86" i="18"/>
  <c r="D86" i="18"/>
  <c r="N64" i="18"/>
  <c r="L64" i="18"/>
  <c r="J64" i="18"/>
  <c r="N63" i="18"/>
  <c r="L63" i="18"/>
  <c r="J63" i="18"/>
  <c r="N62" i="18"/>
  <c r="L62" i="18"/>
  <c r="J62" i="18"/>
  <c r="N61" i="18"/>
  <c r="L61" i="18"/>
  <c r="J61" i="18"/>
  <c r="N60" i="18"/>
  <c r="L60" i="18"/>
  <c r="J60" i="18"/>
  <c r="L59" i="18"/>
  <c r="N59" i="18"/>
  <c r="J59" i="18"/>
  <c r="N55" i="18"/>
  <c r="L55" i="18"/>
  <c r="J55" i="18"/>
  <c r="N54" i="18"/>
  <c r="L54" i="18"/>
  <c r="J54" i="18"/>
  <c r="N53" i="18"/>
  <c r="L53" i="18"/>
  <c r="J53" i="18"/>
  <c r="N52" i="18"/>
  <c r="L52" i="18"/>
  <c r="J52" i="18"/>
  <c r="N51" i="18"/>
  <c r="L51" i="18"/>
  <c r="J51" i="18"/>
  <c r="N50" i="18"/>
  <c r="L50" i="18"/>
  <c r="J50" i="18"/>
  <c r="I54" i="18"/>
  <c r="H54" i="18"/>
  <c r="G54" i="18"/>
  <c r="I53" i="18"/>
  <c r="H53" i="18"/>
  <c r="G53" i="18"/>
  <c r="I52" i="18"/>
  <c r="H52" i="18"/>
  <c r="G52" i="18"/>
  <c r="I51" i="18"/>
  <c r="H51" i="18"/>
  <c r="G51" i="18"/>
  <c r="I50" i="18"/>
  <c r="H50" i="18"/>
  <c r="G50" i="18"/>
  <c r="E52" i="18"/>
  <c r="E51" i="18"/>
  <c r="E50" i="18"/>
  <c r="E54" i="18"/>
  <c r="E53" i="18"/>
  <c r="M44" i="18"/>
  <c r="M43" i="18"/>
  <c r="M42" i="18"/>
  <c r="M41" i="18"/>
  <c r="M40" i="18"/>
  <c r="J41" i="18"/>
  <c r="K41" i="18"/>
  <c r="L41" i="18"/>
  <c r="J42" i="18"/>
  <c r="K42" i="18"/>
  <c r="L42" i="18"/>
  <c r="J43" i="18"/>
  <c r="K43" i="18"/>
  <c r="L43" i="18"/>
  <c r="J44" i="18"/>
  <c r="K44" i="18"/>
  <c r="L44" i="18"/>
  <c r="L40" i="18"/>
  <c r="K40" i="18"/>
  <c r="J40" i="18"/>
  <c r="I41" i="18"/>
  <c r="I42" i="18"/>
  <c r="I43" i="18"/>
  <c r="I44" i="18"/>
  <c r="I40" i="18"/>
  <c r="H44" i="18"/>
  <c r="H43" i="18"/>
  <c r="H42" i="18"/>
  <c r="H41" i="18"/>
  <c r="H40" i="18"/>
  <c r="G44" i="18"/>
  <c r="G43" i="18"/>
  <c r="G42" i="18"/>
  <c r="G41" i="18"/>
  <c r="G40" i="18"/>
  <c r="D42" i="18"/>
  <c r="D43" i="18"/>
  <c r="D44" i="18"/>
  <c r="D40" i="18"/>
  <c r="M35" i="18"/>
  <c r="N29" i="18"/>
  <c r="N28" i="18"/>
  <c r="N27" i="18"/>
  <c r="N26" i="18"/>
  <c r="N25" i="18"/>
  <c r="N35" i="18" s="1"/>
  <c r="M29" i="18"/>
  <c r="M28" i="18"/>
  <c r="M27" i="18"/>
  <c r="M26" i="18"/>
  <c r="M25" i="18"/>
  <c r="M33" i="18" s="1"/>
  <c r="L29" i="18"/>
  <c r="L26" i="18"/>
  <c r="L27" i="18"/>
  <c r="L28" i="18"/>
  <c r="L25" i="18"/>
  <c r="L33" i="18" s="1"/>
  <c r="K26" i="18"/>
  <c r="K35" i="18" s="1"/>
  <c r="K27" i="18"/>
  <c r="K28" i="18"/>
  <c r="K29" i="18"/>
  <c r="K25" i="18"/>
  <c r="J26" i="18"/>
  <c r="J27" i="18"/>
  <c r="J28" i="18"/>
  <c r="J29" i="18"/>
  <c r="J25" i="18"/>
  <c r="J31" i="18" s="1"/>
  <c r="I26" i="18"/>
  <c r="I33" i="18" s="1"/>
  <c r="I27" i="18"/>
  <c r="I28" i="18"/>
  <c r="I29" i="18"/>
  <c r="I25" i="18"/>
  <c r="H26" i="18"/>
  <c r="H27" i="18"/>
  <c r="H28" i="18"/>
  <c r="H29" i="18"/>
  <c r="H25" i="18"/>
  <c r="G26" i="18"/>
  <c r="G27" i="18"/>
  <c r="G28" i="18"/>
  <c r="G29" i="18"/>
  <c r="G25" i="18"/>
  <c r="D26" i="18"/>
  <c r="D41" i="18" s="1"/>
  <c r="D27" i="18"/>
  <c r="D28" i="18"/>
  <c r="D29" i="18"/>
  <c r="D25" i="18"/>
  <c r="M21" i="18"/>
  <c r="M20" i="18"/>
  <c r="M19" i="18"/>
  <c r="M18" i="18"/>
  <c r="M17" i="18"/>
  <c r="M16" i="18"/>
  <c r="H20" i="15"/>
  <c r="G20" i="15"/>
  <c r="F20" i="15"/>
  <c r="H18" i="15"/>
  <c r="G18" i="15"/>
  <c r="F18" i="15"/>
  <c r="M15" i="18"/>
  <c r="F16" i="18"/>
  <c r="F17" i="18"/>
  <c r="H17" i="18"/>
  <c r="H16" i="18"/>
  <c r="E82" i="17"/>
  <c r="L19" i="17"/>
  <c r="L18" i="17"/>
  <c r="L16" i="17"/>
  <c r="L17" i="17"/>
  <c r="L15" i="17"/>
  <c r="G20" i="17"/>
  <c r="G18" i="17"/>
  <c r="G17" i="17"/>
  <c r="N11" i="17"/>
  <c r="H61" i="13"/>
  <c r="G61" i="13"/>
  <c r="F61" i="13"/>
  <c r="O78" i="16"/>
  <c r="O79" i="16"/>
  <c r="O77" i="16"/>
  <c r="M78" i="16"/>
  <c r="M79" i="16"/>
  <c r="M77" i="16"/>
  <c r="L78" i="16"/>
  <c r="L79" i="16"/>
  <c r="L77" i="16"/>
  <c r="J78" i="16"/>
  <c r="K78" i="16" s="1"/>
  <c r="J79" i="16"/>
  <c r="K79" i="16" s="1"/>
  <c r="J77" i="16"/>
  <c r="O74" i="16"/>
  <c r="O75" i="16"/>
  <c r="O73" i="16"/>
  <c r="M74" i="16"/>
  <c r="M75" i="16"/>
  <c r="M73" i="16"/>
  <c r="L74" i="16"/>
  <c r="L75" i="16"/>
  <c r="J74" i="16"/>
  <c r="J75" i="16"/>
  <c r="L73" i="16"/>
  <c r="K73" i="16" s="1"/>
  <c r="J73" i="16"/>
  <c r="N79" i="16"/>
  <c r="N78" i="16"/>
  <c r="N77" i="16"/>
  <c r="K77" i="16"/>
  <c r="N75" i="16"/>
  <c r="N74" i="16"/>
  <c r="L36" i="18" l="1"/>
  <c r="M46" i="18"/>
  <c r="I34" i="18"/>
  <c r="I46" i="18"/>
  <c r="I35" i="18"/>
  <c r="J46" i="18"/>
  <c r="K33" i="18"/>
  <c r="N32" i="18"/>
  <c r="J36" i="18"/>
  <c r="I36" i="18"/>
  <c r="L46" i="18"/>
  <c r="N34" i="18"/>
  <c r="I31" i="18"/>
  <c r="J33" i="18"/>
  <c r="I32" i="18"/>
  <c r="K31" i="18"/>
  <c r="N36" i="18"/>
  <c r="K46" i="18"/>
  <c r="L35" i="18"/>
  <c r="J35" i="18"/>
  <c r="M32" i="18"/>
  <c r="L32" i="18"/>
  <c r="M34" i="18"/>
  <c r="K32" i="18"/>
  <c r="L34" i="18"/>
  <c r="J32" i="18"/>
  <c r="M36" i="18"/>
  <c r="K34" i="18"/>
  <c r="N31" i="18"/>
  <c r="J34" i="18"/>
  <c r="M31" i="18"/>
  <c r="K36" i="18"/>
  <c r="N33" i="18"/>
  <c r="L31" i="18"/>
  <c r="N73" i="16"/>
  <c r="K75" i="16"/>
  <c r="K74" i="16"/>
  <c r="O40" i="16" l="1"/>
  <c r="O41" i="16"/>
  <c r="O39" i="16"/>
  <c r="M40" i="16"/>
  <c r="M41" i="16"/>
  <c r="M39" i="16"/>
  <c r="L40" i="16"/>
  <c r="L41" i="16"/>
  <c r="L39" i="16"/>
  <c r="J40" i="16"/>
  <c r="J41" i="16"/>
  <c r="J39" i="16"/>
  <c r="O36" i="16"/>
  <c r="O37" i="16"/>
  <c r="O35" i="16"/>
  <c r="M36" i="16"/>
  <c r="M37" i="16"/>
  <c r="M35" i="16"/>
  <c r="L36" i="16"/>
  <c r="L37" i="16"/>
  <c r="L35" i="16"/>
  <c r="J36" i="16"/>
  <c r="K36" i="16" s="1"/>
  <c r="J37" i="16"/>
  <c r="J35" i="16"/>
  <c r="J38" i="2"/>
  <c r="I38" i="2"/>
  <c r="H38" i="2"/>
  <c r="G38" i="2"/>
  <c r="J37" i="2"/>
  <c r="I37" i="2"/>
  <c r="H37" i="2"/>
  <c r="G37" i="2"/>
  <c r="J36" i="2"/>
  <c r="I36" i="2"/>
  <c r="H36" i="2"/>
  <c r="G36" i="2"/>
  <c r="J35" i="2"/>
  <c r="I35" i="2"/>
  <c r="H35" i="2"/>
  <c r="G35" i="2"/>
  <c r="J34" i="2"/>
  <c r="I34" i="2"/>
  <c r="H34" i="2"/>
  <c r="G34" i="2"/>
  <c r="M12" i="13" a="1"/>
  <c r="M12" i="13" s="1"/>
  <c r="L12" i="13" a="1"/>
  <c r="L12" i="13" s="1"/>
  <c r="K12" i="13" a="1"/>
  <c r="K12" i="13" s="1"/>
  <c r="J12" i="13" a="1"/>
  <c r="J12" i="13" s="1"/>
  <c r="I12" i="13" a="1"/>
  <c r="I12" i="13" s="1"/>
  <c r="K47" i="15"/>
  <c r="K41" i="15"/>
  <c r="G62" i="17" s="1"/>
  <c r="K42" i="15"/>
  <c r="K43" i="15"/>
  <c r="G63" i="17" s="1"/>
  <c r="K40" i="15"/>
  <c r="H28" i="15"/>
  <c r="G28" i="15"/>
  <c r="F28" i="15"/>
  <c r="N24" i="15"/>
  <c r="J35" i="17" s="1"/>
  <c r="H24" i="15"/>
  <c r="G24" i="15"/>
  <c r="F24" i="15"/>
  <c r="N16" i="15"/>
  <c r="M16" i="15"/>
  <c r="L16" i="15"/>
  <c r="K16" i="15"/>
  <c r="J16" i="15"/>
  <c r="H16" i="15"/>
  <c r="G16" i="15"/>
  <c r="F16" i="15"/>
  <c r="H14" i="15"/>
  <c r="G14" i="15"/>
  <c r="F14" i="15"/>
  <c r="H27" i="15"/>
  <c r="G27" i="15"/>
  <c r="F27" i="15"/>
  <c r="E32" i="15"/>
  <c r="L11" i="17" s="1"/>
  <c r="H10" i="15"/>
  <c r="G10" i="15"/>
  <c r="F10" i="15"/>
  <c r="G8" i="15"/>
  <c r="H8" i="15"/>
  <c r="F8" i="15"/>
  <c r="J33" i="15"/>
  <c r="K33" i="15" s="1"/>
  <c r="L33" i="15" s="1"/>
  <c r="M33" i="15" s="1"/>
  <c r="N33" i="15" s="1"/>
  <c r="J21" i="15"/>
  <c r="K21" i="15" s="1"/>
  <c r="H21" i="15"/>
  <c r="G21" i="15"/>
  <c r="F21" i="15"/>
  <c r="F9" i="15"/>
  <c r="O4" i="15"/>
  <c r="F10" i="14"/>
  <c r="L23" i="14" s="1"/>
  <c r="N23" i="14" s="1"/>
  <c r="K23" i="14"/>
  <c r="N14" i="14"/>
  <c r="N13" i="14"/>
  <c r="N12" i="14"/>
  <c r="N11" i="14"/>
  <c r="N10" i="14"/>
  <c r="L14" i="14"/>
  <c r="L13" i="14"/>
  <c r="L12" i="14"/>
  <c r="L11" i="14"/>
  <c r="L10" i="14"/>
  <c r="M11" i="14"/>
  <c r="M12" i="14"/>
  <c r="M13" i="14"/>
  <c r="M14" i="14"/>
  <c r="M10" i="14"/>
  <c r="K14" i="14"/>
  <c r="K13" i="14"/>
  <c r="K12" i="14"/>
  <c r="K11" i="14"/>
  <c r="K10" i="14"/>
  <c r="J14" i="14"/>
  <c r="J13" i="14"/>
  <c r="J12" i="14"/>
  <c r="J11" i="14"/>
  <c r="J10" i="14"/>
  <c r="I14" i="14"/>
  <c r="I13" i="14"/>
  <c r="I12" i="14"/>
  <c r="I11" i="14"/>
  <c r="I10" i="14"/>
  <c r="I17" i="14" s="1"/>
  <c r="H14" i="14"/>
  <c r="H13" i="14"/>
  <c r="H12" i="14"/>
  <c r="H11" i="14"/>
  <c r="H10" i="14"/>
  <c r="I19" i="13"/>
  <c r="F15" i="14" s="1"/>
  <c r="M23" i="14" s="1"/>
  <c r="F14" i="14"/>
  <c r="F21" i="14"/>
  <c r="G60" i="17" l="1"/>
  <c r="G61" i="17"/>
  <c r="J11" i="17"/>
  <c r="G65" i="17"/>
  <c r="F17" i="15"/>
  <c r="F11" i="15"/>
  <c r="G9" i="15"/>
  <c r="F15" i="15"/>
  <c r="H15" i="15"/>
  <c r="H17" i="15"/>
  <c r="H11" i="15"/>
  <c r="G12" i="15"/>
  <c r="G17" i="15"/>
  <c r="I8" i="15"/>
  <c r="K35" i="16"/>
  <c r="K37" i="16"/>
  <c r="N35" i="16"/>
  <c r="K39" i="16"/>
  <c r="N39" i="16"/>
  <c r="N36" i="16"/>
  <c r="K40" i="16"/>
  <c r="N40" i="16"/>
  <c r="N37" i="16"/>
  <c r="K41" i="16"/>
  <c r="N41" i="16"/>
  <c r="H12" i="15"/>
  <c r="H9" i="15"/>
  <c r="G15" i="15"/>
  <c r="G11" i="15"/>
  <c r="F12" i="15"/>
  <c r="N34" i="15"/>
  <c r="L21" i="15"/>
  <c r="J34" i="15"/>
  <c r="F41" i="17" s="1"/>
  <c r="K34" i="15"/>
  <c r="G41" i="17" s="1"/>
  <c r="L34" i="15"/>
  <c r="H41" i="17" s="1"/>
  <c r="P40" i="15"/>
  <c r="M34" i="15"/>
  <c r="I41" i="17" s="1"/>
  <c r="I16" i="14"/>
  <c r="F16" i="14"/>
  <c r="L17" i="14"/>
  <c r="L16" i="14"/>
  <c r="F45" i="15" l="1"/>
  <c r="J41" i="17"/>
  <c r="H13" i="15"/>
  <c r="G13" i="15"/>
  <c r="G19" i="15"/>
  <c r="G22" i="15"/>
  <c r="G23" i="15" s="1"/>
  <c r="F13" i="15"/>
  <c r="I12" i="15"/>
  <c r="P47" i="15"/>
  <c r="H19" i="15"/>
  <c r="H22" i="15"/>
  <c r="H23" i="15" s="1"/>
  <c r="M21" i="15"/>
  <c r="N17" i="14"/>
  <c r="N16" i="14"/>
  <c r="F22" i="15" l="1"/>
  <c r="F19" i="15"/>
  <c r="I18" i="15"/>
  <c r="N21" i="15"/>
  <c r="F22" i="14"/>
  <c r="F24" i="14" s="1"/>
  <c r="F26" i="14" s="1"/>
  <c r="I27" i="14" s="1"/>
  <c r="I22" i="15" l="1"/>
  <c r="F23" i="15"/>
  <c r="M145" i="13"/>
  <c r="L145" i="13"/>
  <c r="K145" i="13"/>
  <c r="J145" i="13"/>
  <c r="I145" i="13"/>
  <c r="F18" i="13"/>
  <c r="G18" i="13"/>
  <c r="H18" i="13"/>
  <c r="I108" i="13"/>
  <c r="I109" i="13"/>
  <c r="J109" i="13" s="1"/>
  <c r="K109" i="13" s="1"/>
  <c r="L109" i="13" s="1"/>
  <c r="M109" i="13" s="1"/>
  <c r="F34" i="13" l="1"/>
  <c r="G34" i="13"/>
  <c r="H34" i="13"/>
  <c r="I34" i="13" s="1"/>
  <c r="J34" i="13" s="1"/>
  <c r="K34" i="13" s="1"/>
  <c r="L34" i="13" s="1"/>
  <c r="M34" i="13" s="1"/>
  <c r="H35" i="13"/>
  <c r="I35" i="13" s="1"/>
  <c r="G35" i="13"/>
  <c r="F35" i="13"/>
  <c r="I122" i="13"/>
  <c r="I79" i="13" s="1"/>
  <c r="H16" i="13"/>
  <c r="I16" i="13" s="1"/>
  <c r="J16" i="13" s="1"/>
  <c r="K16" i="13" s="1"/>
  <c r="L16" i="13" s="1"/>
  <c r="M16" i="13" s="1"/>
  <c r="H114" i="13"/>
  <c r="G114" i="13"/>
  <c r="F114" i="13"/>
  <c r="F31" i="13"/>
  <c r="H30" i="13"/>
  <c r="I30" i="13" s="1"/>
  <c r="J30" i="13" s="1"/>
  <c r="K30" i="13" s="1"/>
  <c r="L30" i="13" s="1"/>
  <c r="M30" i="13" s="1"/>
  <c r="G30" i="13"/>
  <c r="F30" i="13"/>
  <c r="H29" i="13"/>
  <c r="I29" i="13" s="1"/>
  <c r="J29" i="13" s="1"/>
  <c r="K29" i="13" s="1"/>
  <c r="L29" i="13" s="1"/>
  <c r="M29" i="13" s="1"/>
  <c r="G29" i="13"/>
  <c r="F29" i="13"/>
  <c r="H27" i="13"/>
  <c r="H28" i="13" s="1"/>
  <c r="I28" i="13" s="1"/>
  <c r="G27" i="13"/>
  <c r="G28" i="13" s="1"/>
  <c r="F27" i="13"/>
  <c r="F28" i="13" s="1"/>
  <c r="I92" i="13"/>
  <c r="J92" i="13" s="1"/>
  <c r="K92" i="13" s="1"/>
  <c r="L92" i="13" s="1"/>
  <c r="M92" i="13" s="1"/>
  <c r="I93" i="13"/>
  <c r="J93" i="13" s="1"/>
  <c r="K93" i="13" s="1"/>
  <c r="L93" i="13" s="1"/>
  <c r="M93" i="13" s="1"/>
  <c r="J108" i="13"/>
  <c r="K108" i="13" s="1"/>
  <c r="L108" i="13" s="1"/>
  <c r="M108" i="13" s="1"/>
  <c r="I107" i="13"/>
  <c r="I106" i="13"/>
  <c r="J106" i="13" s="1"/>
  <c r="K106" i="13" s="1"/>
  <c r="L106" i="13" s="1"/>
  <c r="M106" i="13" s="1"/>
  <c r="I102" i="13"/>
  <c r="J102" i="13" s="1"/>
  <c r="K102" i="13" s="1"/>
  <c r="L102" i="13" s="1"/>
  <c r="M102" i="13" s="1"/>
  <c r="I101" i="13"/>
  <c r="J101" i="13" s="1"/>
  <c r="K101" i="13" s="1"/>
  <c r="L101" i="13" s="1"/>
  <c r="M101" i="13" s="1"/>
  <c r="I100" i="13"/>
  <c r="J100" i="13" s="1"/>
  <c r="K100" i="13" s="1"/>
  <c r="L100" i="13" s="1"/>
  <c r="M100" i="13" s="1"/>
  <c r="I99" i="13"/>
  <c r="J99" i="13" s="1"/>
  <c r="K99" i="13" s="1"/>
  <c r="L99" i="13" s="1"/>
  <c r="M99" i="13" s="1"/>
  <c r="I98" i="13"/>
  <c r="J98" i="13" s="1"/>
  <c r="K98" i="13" s="1"/>
  <c r="L98" i="13" s="1"/>
  <c r="M98" i="13" s="1"/>
  <c r="I84" i="13"/>
  <c r="J84" i="13" s="1"/>
  <c r="K84" i="13" s="1"/>
  <c r="L84" i="13" s="1"/>
  <c r="M84" i="13" s="1"/>
  <c r="I83" i="13"/>
  <c r="J83" i="13" s="1"/>
  <c r="K83" i="13" s="1"/>
  <c r="L83" i="13" s="1"/>
  <c r="M83" i="13" s="1"/>
  <c r="I82" i="13"/>
  <c r="J82" i="13" s="1"/>
  <c r="K82" i="13" s="1"/>
  <c r="L82" i="13" s="1"/>
  <c r="M82" i="13" s="1"/>
  <c r="I80" i="13"/>
  <c r="J80" i="13" s="1"/>
  <c r="K80" i="13" s="1"/>
  <c r="L80" i="13" s="1"/>
  <c r="M80" i="13" s="1"/>
  <c r="J25" i="13"/>
  <c r="I78" i="13"/>
  <c r="J78" i="13" s="1"/>
  <c r="K78" i="13" s="1"/>
  <c r="L78" i="13" s="1"/>
  <c r="M78" i="13" s="1"/>
  <c r="I77" i="13"/>
  <c r="J77" i="13" s="1"/>
  <c r="K77" i="13" s="1"/>
  <c r="L77" i="13" s="1"/>
  <c r="M77" i="13" s="1"/>
  <c r="I72" i="13"/>
  <c r="J72" i="13" s="1"/>
  <c r="K72" i="13" s="1"/>
  <c r="L72" i="13" s="1"/>
  <c r="M72" i="13" s="1"/>
  <c r="I71" i="13"/>
  <c r="J71" i="13" s="1"/>
  <c r="K71" i="13" s="1"/>
  <c r="L71" i="13" s="1"/>
  <c r="M71" i="13" s="1"/>
  <c r="I18" i="13"/>
  <c r="I44" i="13"/>
  <c r="J8" i="15" s="1"/>
  <c r="F24" i="17" s="1"/>
  <c r="H33" i="13"/>
  <c r="I33" i="13" s="1"/>
  <c r="J33" i="13" s="1"/>
  <c r="K33" i="13" s="1"/>
  <c r="L33" i="13" s="1"/>
  <c r="M33" i="13" s="1"/>
  <c r="G33" i="13"/>
  <c r="F33" i="13"/>
  <c r="H31" i="13"/>
  <c r="I31" i="13" s="1"/>
  <c r="J31" i="13" s="1"/>
  <c r="K31" i="13" s="1"/>
  <c r="L31" i="13" s="1"/>
  <c r="M31" i="13" s="1"/>
  <c r="G31" i="13"/>
  <c r="H24" i="13"/>
  <c r="I24" i="13" s="1"/>
  <c r="J24" i="13" s="1"/>
  <c r="K24" i="13" s="1"/>
  <c r="L24" i="13" s="1"/>
  <c r="M24" i="13" s="1"/>
  <c r="G24" i="13"/>
  <c r="F24" i="13"/>
  <c r="H23" i="13"/>
  <c r="I23" i="13" s="1"/>
  <c r="J23" i="13" s="1"/>
  <c r="K23" i="13" s="1"/>
  <c r="L23" i="13" s="1"/>
  <c r="M23" i="13" s="1"/>
  <c r="G23" i="13"/>
  <c r="F23" i="13"/>
  <c r="H21" i="13"/>
  <c r="H22" i="13" s="1"/>
  <c r="I22" i="13" s="1"/>
  <c r="G21" i="13"/>
  <c r="G22" i="13" s="1"/>
  <c r="F21" i="13"/>
  <c r="F22" i="13" s="1"/>
  <c r="J17" i="13"/>
  <c r="K17" i="13" s="1"/>
  <c r="L17" i="13" s="1"/>
  <c r="M17" i="13" s="1"/>
  <c r="G16" i="13"/>
  <c r="F16" i="13"/>
  <c r="H14" i="13"/>
  <c r="I14" i="13" s="1"/>
  <c r="J14" i="13" s="1"/>
  <c r="K14" i="13" s="1"/>
  <c r="L14" i="13" s="1"/>
  <c r="M14" i="13" s="1"/>
  <c r="G14" i="13"/>
  <c r="F14" i="13"/>
  <c r="H13" i="13"/>
  <c r="I13" i="13" s="1"/>
  <c r="J13" i="13" s="1"/>
  <c r="K13" i="13" s="1"/>
  <c r="L13" i="13" s="1"/>
  <c r="M13" i="13" s="1"/>
  <c r="G13" i="13"/>
  <c r="F13" i="13"/>
  <c r="H46" i="13"/>
  <c r="H50" i="13" s="1"/>
  <c r="G46" i="13"/>
  <c r="G50" i="13" s="1"/>
  <c r="F46" i="13"/>
  <c r="F50" i="13" s="1"/>
  <c r="F58" i="13"/>
  <c r="H58" i="13"/>
  <c r="G58" i="13"/>
  <c r="M12" i="1"/>
  <c r="H12" i="13"/>
  <c r="G12" i="13"/>
  <c r="F12" i="13"/>
  <c r="J9" i="15" l="1"/>
  <c r="F25" i="17" s="1"/>
  <c r="J17" i="15"/>
  <c r="K25" i="13"/>
  <c r="J122" i="13"/>
  <c r="J79" i="13" s="1"/>
  <c r="I52" i="13"/>
  <c r="I136" i="13"/>
  <c r="J28" i="15" s="1"/>
  <c r="F38" i="17" s="1"/>
  <c r="I38" i="13"/>
  <c r="I142" i="13" s="1"/>
  <c r="J35" i="13"/>
  <c r="I37" i="13"/>
  <c r="I143" i="13" s="1"/>
  <c r="I85" i="13"/>
  <c r="I47" i="13"/>
  <c r="J14" i="15" s="1"/>
  <c r="J15" i="15" s="1"/>
  <c r="I48" i="13"/>
  <c r="J20" i="15" s="1"/>
  <c r="J107" i="13"/>
  <c r="K107" i="13" s="1"/>
  <c r="L107" i="13" s="1"/>
  <c r="M107" i="13" s="1"/>
  <c r="I97" i="13"/>
  <c r="I91" i="13"/>
  <c r="J18" i="13"/>
  <c r="K18" i="13" s="1"/>
  <c r="L18" i="13" s="1"/>
  <c r="M18" i="13" s="1"/>
  <c r="I73" i="13"/>
  <c r="J44" i="13"/>
  <c r="I45" i="13"/>
  <c r="J10" i="15" s="1"/>
  <c r="J11" i="15" s="1"/>
  <c r="J28" i="13"/>
  <c r="I27" i="13"/>
  <c r="J22" i="13"/>
  <c r="I21" i="13"/>
  <c r="I70" i="13" s="1"/>
  <c r="F59" i="13"/>
  <c r="F19" i="13" s="1"/>
  <c r="G59" i="13"/>
  <c r="G19" i="13" s="1"/>
  <c r="H59" i="13"/>
  <c r="H19" i="13" s="1"/>
  <c r="J19" i="13" s="1"/>
  <c r="K19" i="13" s="1"/>
  <c r="L19" i="13" s="1"/>
  <c r="M19" i="13" s="1"/>
  <c r="O28" i="11"/>
  <c r="O27" i="11"/>
  <c r="M28" i="11"/>
  <c r="M27" i="11"/>
  <c r="L28" i="11"/>
  <c r="L27" i="11"/>
  <c r="L26" i="11"/>
  <c r="K28" i="11"/>
  <c r="I28" i="11"/>
  <c r="K27" i="11"/>
  <c r="I27" i="11"/>
  <c r="H27" i="11"/>
  <c r="H28" i="11"/>
  <c r="F27" i="11"/>
  <c r="F28" i="11"/>
  <c r="E27" i="11"/>
  <c r="E28" i="11"/>
  <c r="E26" i="11"/>
  <c r="L20" i="11"/>
  <c r="L19" i="11"/>
  <c r="L18" i="11"/>
  <c r="K20" i="11"/>
  <c r="O20" i="11" s="1"/>
  <c r="I20" i="11"/>
  <c r="M20" i="11" s="1"/>
  <c r="K19" i="11"/>
  <c r="O19" i="11" s="1"/>
  <c r="I19" i="11"/>
  <c r="M19" i="11" s="1"/>
  <c r="H20" i="11"/>
  <c r="H19" i="11"/>
  <c r="F20" i="11"/>
  <c r="F19" i="11"/>
  <c r="E18" i="11"/>
  <c r="E19" i="11"/>
  <c r="E20" i="11"/>
  <c r="S12" i="11"/>
  <c r="S11" i="11"/>
  <c r="S10" i="11"/>
  <c r="Q12" i="11"/>
  <c r="Q11" i="11"/>
  <c r="Q10" i="11"/>
  <c r="P12" i="11"/>
  <c r="P11" i="11"/>
  <c r="P10" i="11"/>
  <c r="O12" i="11"/>
  <c r="O11" i="11"/>
  <c r="O10" i="11"/>
  <c r="M12" i="11"/>
  <c r="M11" i="11"/>
  <c r="M10" i="11"/>
  <c r="L12" i="11"/>
  <c r="L11" i="11"/>
  <c r="L10" i="11"/>
  <c r="K12" i="11"/>
  <c r="K11" i="11"/>
  <c r="K10" i="11"/>
  <c r="I12" i="11"/>
  <c r="I11" i="11"/>
  <c r="I10" i="11"/>
  <c r="H12" i="11"/>
  <c r="H11" i="11"/>
  <c r="F12" i="11"/>
  <c r="F11" i="11"/>
  <c r="H10" i="11"/>
  <c r="F10" i="11"/>
  <c r="E12" i="11"/>
  <c r="E11" i="11"/>
  <c r="E10" i="11"/>
  <c r="T11" i="10"/>
  <c r="T12" i="10"/>
  <c r="T13" i="10"/>
  <c r="T14" i="10"/>
  <c r="T15" i="10"/>
  <c r="S15" i="10"/>
  <c r="S14" i="10"/>
  <c r="S13" i="10"/>
  <c r="S12" i="10"/>
  <c r="S11" i="10"/>
  <c r="R15" i="10"/>
  <c r="R14" i="10"/>
  <c r="R12" i="10"/>
  <c r="Q15" i="10"/>
  <c r="Q14" i="10"/>
  <c r="Q13" i="10"/>
  <c r="Q12" i="10"/>
  <c r="Q11" i="10"/>
  <c r="P11" i="10"/>
  <c r="P12" i="10"/>
  <c r="P13" i="10"/>
  <c r="P14" i="10"/>
  <c r="P15" i="10"/>
  <c r="O15" i="10"/>
  <c r="O14" i="10"/>
  <c r="O13" i="10"/>
  <c r="O12" i="10"/>
  <c r="O11" i="10"/>
  <c r="N14" i="10"/>
  <c r="N15" i="10"/>
  <c r="N13" i="10"/>
  <c r="N12" i="10"/>
  <c r="N11" i="10"/>
  <c r="N18" i="10" s="1"/>
  <c r="M15" i="10"/>
  <c r="M14" i="10"/>
  <c r="M13" i="10"/>
  <c r="M12" i="10"/>
  <c r="M11" i="10"/>
  <c r="L15" i="10"/>
  <c r="L14" i="10"/>
  <c r="L17" i="10" s="1"/>
  <c r="L13" i="10"/>
  <c r="L12" i="10"/>
  <c r="L11" i="10"/>
  <c r="K11" i="10"/>
  <c r="K12" i="10"/>
  <c r="K13" i="10"/>
  <c r="K14" i="10"/>
  <c r="K15" i="10"/>
  <c r="J15" i="10"/>
  <c r="J14" i="10"/>
  <c r="J13" i="10"/>
  <c r="J12" i="10"/>
  <c r="J11" i="10"/>
  <c r="E11" i="10"/>
  <c r="F11" i="10"/>
  <c r="G11" i="10"/>
  <c r="H11" i="10"/>
  <c r="I11" i="10"/>
  <c r="E12" i="10"/>
  <c r="F12" i="10"/>
  <c r="G12" i="10"/>
  <c r="H12" i="10"/>
  <c r="I12" i="10"/>
  <c r="E13" i="10"/>
  <c r="F13" i="10"/>
  <c r="G13" i="10"/>
  <c r="H13" i="10"/>
  <c r="I13" i="10"/>
  <c r="E14" i="10"/>
  <c r="F14" i="10"/>
  <c r="G14" i="10"/>
  <c r="H14" i="10"/>
  <c r="I14" i="10"/>
  <c r="E15" i="10"/>
  <c r="F15" i="10"/>
  <c r="G15" i="10"/>
  <c r="H15" i="10"/>
  <c r="I15" i="10"/>
  <c r="D12" i="10"/>
  <c r="D13" i="10"/>
  <c r="D14" i="10"/>
  <c r="D15" i="10"/>
  <c r="D11" i="10"/>
  <c r="X22" i="9"/>
  <c r="W22" i="9"/>
  <c r="V22" i="9"/>
  <c r="T22" i="9"/>
  <c r="S22" i="9"/>
  <c r="R22" i="9"/>
  <c r="Q22" i="9"/>
  <c r="P22" i="9"/>
  <c r="O22" i="9"/>
  <c r="N22" i="9"/>
  <c r="M22" i="9"/>
  <c r="L22" i="9"/>
  <c r="K22" i="9"/>
  <c r="X21" i="9"/>
  <c r="W21" i="9"/>
  <c r="V21" i="9"/>
  <c r="T21" i="9"/>
  <c r="S21" i="9"/>
  <c r="R21" i="9"/>
  <c r="Q21" i="9"/>
  <c r="P21" i="9"/>
  <c r="O21" i="9"/>
  <c r="N21" i="9"/>
  <c r="M21" i="9"/>
  <c r="L21" i="9"/>
  <c r="K21" i="9"/>
  <c r="X19" i="9"/>
  <c r="W19" i="9"/>
  <c r="V19" i="9"/>
  <c r="T19" i="9"/>
  <c r="S19" i="9"/>
  <c r="R19" i="9"/>
  <c r="Q19" i="9"/>
  <c r="P19" i="9"/>
  <c r="O19" i="9"/>
  <c r="N19" i="9"/>
  <c r="M19" i="9"/>
  <c r="L19" i="9"/>
  <c r="K19" i="9"/>
  <c r="X18" i="9"/>
  <c r="W18" i="9"/>
  <c r="V18" i="9"/>
  <c r="T18" i="9"/>
  <c r="S18" i="9"/>
  <c r="R18" i="9"/>
  <c r="Q18" i="9"/>
  <c r="P18" i="9"/>
  <c r="O18" i="9"/>
  <c r="N18" i="9"/>
  <c r="M18" i="9"/>
  <c r="L18" i="9"/>
  <c r="K18" i="9"/>
  <c r="J22" i="9"/>
  <c r="J21" i="9"/>
  <c r="J19" i="9"/>
  <c r="J18" i="9"/>
  <c r="Q12" i="9"/>
  <c r="R12" i="9"/>
  <c r="Q13" i="9"/>
  <c r="R13" i="9"/>
  <c r="Q14" i="9"/>
  <c r="R14" i="9"/>
  <c r="Q15" i="9"/>
  <c r="R15" i="9"/>
  <c r="Q16" i="9"/>
  <c r="R16" i="9"/>
  <c r="P16" i="9"/>
  <c r="P15" i="9"/>
  <c r="P14" i="9"/>
  <c r="P13" i="9"/>
  <c r="P12" i="9"/>
  <c r="N12" i="9"/>
  <c r="O12" i="9"/>
  <c r="N13" i="9"/>
  <c r="O13" i="9"/>
  <c r="N14" i="9"/>
  <c r="O14" i="9"/>
  <c r="N15" i="9"/>
  <c r="O15" i="9"/>
  <c r="N16" i="9"/>
  <c r="O16" i="9"/>
  <c r="M16" i="9"/>
  <c r="M15" i="9"/>
  <c r="M14" i="9"/>
  <c r="M13" i="9"/>
  <c r="M12" i="9"/>
  <c r="K12" i="9"/>
  <c r="L12" i="9"/>
  <c r="K13" i="9"/>
  <c r="L13" i="9"/>
  <c r="K14" i="9"/>
  <c r="L14" i="9"/>
  <c r="K15" i="9"/>
  <c r="L15" i="9"/>
  <c r="K16" i="9"/>
  <c r="L16" i="9"/>
  <c r="J16" i="9"/>
  <c r="J15" i="9"/>
  <c r="J14" i="9"/>
  <c r="J13" i="9"/>
  <c r="J12" i="9"/>
  <c r="X16" i="9"/>
  <c r="X15" i="9"/>
  <c r="X14" i="9"/>
  <c r="X13" i="9"/>
  <c r="X12" i="9"/>
  <c r="V12" i="9"/>
  <c r="W12" i="9"/>
  <c r="V13" i="9"/>
  <c r="W13" i="9"/>
  <c r="V14" i="9"/>
  <c r="W14" i="9"/>
  <c r="V15" i="9"/>
  <c r="W15" i="9"/>
  <c r="V16" i="9"/>
  <c r="W16" i="9"/>
  <c r="U16" i="9"/>
  <c r="U14" i="9"/>
  <c r="U13" i="9"/>
  <c r="U12" i="9"/>
  <c r="T16" i="9"/>
  <c r="T15" i="9"/>
  <c r="T14" i="9"/>
  <c r="T13" i="9"/>
  <c r="T12" i="9"/>
  <c r="S16" i="9"/>
  <c r="S15" i="9"/>
  <c r="S14" i="9"/>
  <c r="S13" i="9"/>
  <c r="S12" i="9"/>
  <c r="I15" i="9"/>
  <c r="I16" i="9"/>
  <c r="I14" i="9"/>
  <c r="I13" i="9"/>
  <c r="I12" i="9"/>
  <c r="H16" i="9"/>
  <c r="H15" i="9"/>
  <c r="H14" i="9"/>
  <c r="H13" i="9"/>
  <c r="H12" i="9"/>
  <c r="G16" i="9"/>
  <c r="G15" i="9"/>
  <c r="G14" i="9"/>
  <c r="G13" i="9"/>
  <c r="G12" i="9"/>
  <c r="F16" i="9"/>
  <c r="F15" i="9"/>
  <c r="F14" i="9"/>
  <c r="F13" i="9"/>
  <c r="F12" i="9"/>
  <c r="D16" i="9"/>
  <c r="D15" i="9"/>
  <c r="D14" i="9"/>
  <c r="D13" i="9"/>
  <c r="D12" i="9"/>
  <c r="H45" i="7"/>
  <c r="H45" i="1"/>
  <c r="H27" i="7"/>
  <c r="H27" i="6"/>
  <c r="H27" i="5"/>
  <c r="H27" i="3"/>
  <c r="H27" i="4"/>
  <c r="R56" i="1"/>
  <c r="O57" i="1"/>
  <c r="N57" i="1"/>
  <c r="M57" i="1"/>
  <c r="E43" i="1"/>
  <c r="O37" i="1"/>
  <c r="N37" i="1"/>
  <c r="M37" i="1"/>
  <c r="O58" i="1"/>
  <c r="N58" i="1"/>
  <c r="M58" i="1"/>
  <c r="H27" i="1"/>
  <c r="O25" i="1"/>
  <c r="O18" i="1"/>
  <c r="N18" i="1"/>
  <c r="M18" i="1"/>
  <c r="O22" i="1"/>
  <c r="O17" i="1"/>
  <c r="M16" i="1"/>
  <c r="N17" i="1"/>
  <c r="M17" i="1"/>
  <c r="O16" i="1"/>
  <c r="R16" i="1" s="1"/>
  <c r="N16" i="1"/>
  <c r="R17" i="1"/>
  <c r="O15" i="1"/>
  <c r="O12" i="1"/>
  <c r="O13" i="1" s="1"/>
  <c r="N12" i="1"/>
  <c r="W16" i="1"/>
  <c r="W17" i="1"/>
  <c r="W27" i="1"/>
  <c r="W10" i="1"/>
  <c r="W13" i="1" s="1"/>
  <c r="X51" i="1"/>
  <c r="W51" i="1"/>
  <c r="W54" i="1" s="1"/>
  <c r="X40" i="1" s="1"/>
  <c r="W50" i="1"/>
  <c r="X50" i="1" s="1"/>
  <c r="W49" i="1"/>
  <c r="X49" i="1" s="1"/>
  <c r="E43" i="3"/>
  <c r="E42" i="3" s="1"/>
  <c r="E43" i="4"/>
  <c r="E43" i="5"/>
  <c r="E43" i="7"/>
  <c r="H67" i="7" s="1"/>
  <c r="M48" i="1"/>
  <c r="M48" i="3"/>
  <c r="M50" i="4"/>
  <c r="O49" i="4"/>
  <c r="N49" i="4"/>
  <c r="O48" i="5"/>
  <c r="N48" i="5"/>
  <c r="M48" i="5"/>
  <c r="O48" i="6"/>
  <c r="N48" i="6"/>
  <c r="M48" i="6"/>
  <c r="O49" i="7"/>
  <c r="N49" i="7"/>
  <c r="M49" i="7"/>
  <c r="M50" i="7" s="1"/>
  <c r="M60" i="7"/>
  <c r="M37" i="7"/>
  <c r="N37" i="7"/>
  <c r="O37" i="7"/>
  <c r="O38" i="7"/>
  <c r="N38" i="7"/>
  <c r="M38" i="7"/>
  <c r="O19" i="7"/>
  <c r="N19" i="7"/>
  <c r="M19" i="7"/>
  <c r="R18" i="7"/>
  <c r="O12" i="7"/>
  <c r="O13" i="7" s="1"/>
  <c r="O16" i="7" s="1"/>
  <c r="M12" i="7"/>
  <c r="N12" i="7"/>
  <c r="W27" i="7"/>
  <c r="W16" i="7"/>
  <c r="X50" i="7"/>
  <c r="W50" i="7"/>
  <c r="W49" i="7"/>
  <c r="X49" i="7" s="1"/>
  <c r="X54" i="7" s="1"/>
  <c r="X41" i="7" s="1"/>
  <c r="E41" i="3"/>
  <c r="E41" i="4"/>
  <c r="E41" i="5"/>
  <c r="E41" i="6"/>
  <c r="O37" i="6"/>
  <c r="N37" i="6"/>
  <c r="M36" i="6"/>
  <c r="M37" i="6"/>
  <c r="O17" i="6"/>
  <c r="O18" i="6" s="1"/>
  <c r="N18" i="6"/>
  <c r="M18" i="6"/>
  <c r="N17" i="6"/>
  <c r="M17" i="6"/>
  <c r="O15" i="6"/>
  <c r="N15" i="6"/>
  <c r="M15" i="6"/>
  <c r="O12" i="6"/>
  <c r="N12" i="6"/>
  <c r="M12" i="6"/>
  <c r="M13" i="6" s="1"/>
  <c r="W27" i="6"/>
  <c r="W23" i="6"/>
  <c r="W17" i="6"/>
  <c r="W16" i="6"/>
  <c r="W12" i="6"/>
  <c r="W13" i="6" s="1"/>
  <c r="O25" i="6"/>
  <c r="R25" i="6" s="1"/>
  <c r="W51" i="6"/>
  <c r="X51" i="6" s="1"/>
  <c r="W50" i="6"/>
  <c r="X50" i="6" s="1"/>
  <c r="W49" i="6"/>
  <c r="X49" i="6" s="1"/>
  <c r="M36" i="5"/>
  <c r="N36" i="5"/>
  <c r="O36" i="5"/>
  <c r="O47" i="5" s="1"/>
  <c r="M47" i="5"/>
  <c r="N47" i="5"/>
  <c r="M17" i="5"/>
  <c r="O17" i="5"/>
  <c r="R17" i="5" s="1"/>
  <c r="N17" i="5"/>
  <c r="O12" i="5"/>
  <c r="N12" i="5"/>
  <c r="M12" i="5"/>
  <c r="M13" i="5" s="1"/>
  <c r="M29" i="5" s="1"/>
  <c r="M31" i="5" s="1"/>
  <c r="M32" i="5" s="1"/>
  <c r="W30" i="5"/>
  <c r="H29" i="5" s="1"/>
  <c r="W27" i="5"/>
  <c r="W17" i="5"/>
  <c r="W16" i="5"/>
  <c r="W9" i="5"/>
  <c r="O25" i="5"/>
  <c r="R25" i="5" s="1"/>
  <c r="X41" i="5"/>
  <c r="X40" i="5"/>
  <c r="X51" i="5"/>
  <c r="X50" i="5"/>
  <c r="X49" i="5"/>
  <c r="X54" i="5" s="1"/>
  <c r="W51" i="5"/>
  <c r="W50" i="5"/>
  <c r="W49" i="5"/>
  <c r="E65" i="1"/>
  <c r="X64" i="1"/>
  <c r="W64" i="1"/>
  <c r="V64" i="1"/>
  <c r="U64" i="1"/>
  <c r="E64" i="1"/>
  <c r="O62" i="1"/>
  <c r="O63" i="1" s="1"/>
  <c r="R63" i="1" s="1"/>
  <c r="N62" i="1"/>
  <c r="N63" i="1" s="1"/>
  <c r="M62" i="1"/>
  <c r="M63" i="1" s="1"/>
  <c r="R55" i="1"/>
  <c r="V54" i="1"/>
  <c r="U54" i="1"/>
  <c r="H54" i="1"/>
  <c r="H51" i="1"/>
  <c r="O47" i="1"/>
  <c r="O48" i="1" s="1"/>
  <c r="R48" i="1" s="1"/>
  <c r="N47" i="1"/>
  <c r="N48" i="1" s="1"/>
  <c r="M47" i="1"/>
  <c r="R46" i="1"/>
  <c r="M46" i="1"/>
  <c r="R45" i="1"/>
  <c r="M45" i="1"/>
  <c r="R40" i="1"/>
  <c r="R36" i="1"/>
  <c r="R35" i="1"/>
  <c r="R30" i="1"/>
  <c r="H30" i="1"/>
  <c r="H29" i="1"/>
  <c r="H28" i="1"/>
  <c r="R25" i="1"/>
  <c r="W24" i="1"/>
  <c r="W28" i="1" s="1"/>
  <c r="W33" i="1" s="1"/>
  <c r="R21" i="1"/>
  <c r="R20" i="1"/>
  <c r="R19" i="1"/>
  <c r="H19" i="1"/>
  <c r="R14" i="1"/>
  <c r="N13" i="1"/>
  <c r="N15" i="1" s="1"/>
  <c r="M13" i="1"/>
  <c r="M15" i="1" s="1"/>
  <c r="R11" i="1"/>
  <c r="E37" i="1" s="1"/>
  <c r="E65" i="7"/>
  <c r="X64" i="7"/>
  <c r="W64" i="7"/>
  <c r="V64" i="7"/>
  <c r="U64" i="7"/>
  <c r="E64" i="7"/>
  <c r="O63" i="7"/>
  <c r="O64" i="7" s="1"/>
  <c r="R64" i="7" s="1"/>
  <c r="N63" i="7"/>
  <c r="N64" i="7" s="1"/>
  <c r="M63" i="7"/>
  <c r="M64" i="7" s="1"/>
  <c r="N59" i="7"/>
  <c r="N60" i="7" s="1"/>
  <c r="M59" i="7"/>
  <c r="M61" i="7" s="1"/>
  <c r="O58" i="7"/>
  <c r="R58" i="7" s="1"/>
  <c r="M58" i="7"/>
  <c r="R57" i="7"/>
  <c r="O59" i="7"/>
  <c r="N58" i="7"/>
  <c r="R56" i="7"/>
  <c r="V54" i="7"/>
  <c r="U54" i="7"/>
  <c r="H54" i="7"/>
  <c r="H51" i="7"/>
  <c r="O48" i="7"/>
  <c r="R48" i="7" s="1"/>
  <c r="N48" i="7"/>
  <c r="M48" i="7"/>
  <c r="R47" i="7"/>
  <c r="M47" i="7"/>
  <c r="R46" i="7"/>
  <c r="M46" i="7"/>
  <c r="R41" i="7"/>
  <c r="R37" i="7"/>
  <c r="R36" i="7"/>
  <c r="R31" i="7"/>
  <c r="H30" i="7"/>
  <c r="H29" i="7"/>
  <c r="H28" i="7"/>
  <c r="R26" i="7"/>
  <c r="W24" i="7"/>
  <c r="R22" i="7"/>
  <c r="R21" i="7"/>
  <c r="R20" i="7"/>
  <c r="H19" i="7"/>
  <c r="R17" i="7"/>
  <c r="R15" i="7"/>
  <c r="R14" i="7"/>
  <c r="W13" i="7"/>
  <c r="N13" i="7"/>
  <c r="N16" i="7" s="1"/>
  <c r="M13" i="7"/>
  <c r="M16" i="7" s="1"/>
  <c r="R11" i="7"/>
  <c r="E37" i="7" s="1"/>
  <c r="E65" i="6"/>
  <c r="X64" i="6"/>
  <c r="W64" i="6"/>
  <c r="V64" i="6"/>
  <c r="U64" i="6"/>
  <c r="E64" i="6"/>
  <c r="O62" i="6"/>
  <c r="R62" i="6" s="1"/>
  <c r="N62" i="6"/>
  <c r="N63" i="6" s="1"/>
  <c r="M62" i="6"/>
  <c r="M63" i="6" s="1"/>
  <c r="M57" i="6"/>
  <c r="O56" i="6"/>
  <c r="O58" i="6" s="1"/>
  <c r="N56" i="6"/>
  <c r="N58" i="6" s="1"/>
  <c r="M56" i="6"/>
  <c r="M58" i="6" s="1"/>
  <c r="R55" i="6"/>
  <c r="V54" i="6"/>
  <c r="U54" i="6"/>
  <c r="H54" i="6"/>
  <c r="H51" i="6"/>
  <c r="M47" i="6"/>
  <c r="R46" i="6"/>
  <c r="M46" i="6"/>
  <c r="R45" i="6"/>
  <c r="M45" i="6"/>
  <c r="X44" i="6"/>
  <c r="H24" i="6" s="1"/>
  <c r="H42" i="6" s="1"/>
  <c r="R40" i="6"/>
  <c r="R35" i="6"/>
  <c r="R30" i="6"/>
  <c r="H30" i="6"/>
  <c r="H29" i="6"/>
  <c r="H28" i="6"/>
  <c r="W24" i="6"/>
  <c r="R21" i="6"/>
  <c r="R20" i="6"/>
  <c r="R19" i="6"/>
  <c r="H19" i="6"/>
  <c r="R16" i="6"/>
  <c r="R14" i="6"/>
  <c r="O13" i="6"/>
  <c r="N13" i="6"/>
  <c r="R11" i="6"/>
  <c r="E37" i="6" s="1"/>
  <c r="E65" i="5"/>
  <c r="X64" i="5"/>
  <c r="W64" i="5"/>
  <c r="V64" i="5"/>
  <c r="U64" i="5"/>
  <c r="E64" i="5"/>
  <c r="O63" i="5"/>
  <c r="R63" i="5" s="1"/>
  <c r="R62" i="5"/>
  <c r="O62" i="5"/>
  <c r="N62" i="5"/>
  <c r="N63" i="5" s="1"/>
  <c r="M62" i="5"/>
  <c r="M63" i="5" s="1"/>
  <c r="N58" i="5"/>
  <c r="N60" i="5" s="1"/>
  <c r="M58" i="5"/>
  <c r="M60" i="5" s="1"/>
  <c r="N57" i="5"/>
  <c r="M57" i="5"/>
  <c r="O58" i="5"/>
  <c r="R55" i="5"/>
  <c r="W54" i="5"/>
  <c r="V54" i="5"/>
  <c r="U54" i="5"/>
  <c r="H54" i="5"/>
  <c r="H51" i="5"/>
  <c r="R13" i="10" s="1"/>
  <c r="R46" i="5"/>
  <c r="M46" i="5"/>
  <c r="R45" i="5"/>
  <c r="M45" i="5"/>
  <c r="X44" i="5"/>
  <c r="R40" i="5"/>
  <c r="R36" i="5"/>
  <c r="R35" i="5"/>
  <c r="R30" i="5"/>
  <c r="H30" i="5"/>
  <c r="H28" i="5"/>
  <c r="W24" i="5"/>
  <c r="W28" i="5" s="1"/>
  <c r="H24" i="5"/>
  <c r="H42" i="5" s="1"/>
  <c r="R21" i="5"/>
  <c r="R20" i="5"/>
  <c r="R19" i="5"/>
  <c r="H19" i="5"/>
  <c r="R15" i="5"/>
  <c r="R14" i="5"/>
  <c r="W13" i="5"/>
  <c r="W18" i="5" s="1"/>
  <c r="O13" i="5"/>
  <c r="N13" i="5"/>
  <c r="R11" i="5"/>
  <c r="E37" i="5" s="1"/>
  <c r="H43" i="4"/>
  <c r="G43" i="4"/>
  <c r="F43" i="4"/>
  <c r="F43" i="3"/>
  <c r="M48" i="4"/>
  <c r="M36" i="4"/>
  <c r="M47" i="4" s="1"/>
  <c r="O36" i="4"/>
  <c r="O38" i="4"/>
  <c r="N36" i="4"/>
  <c r="O35" i="4"/>
  <c r="E45" i="4"/>
  <c r="E37" i="4"/>
  <c r="N46" i="4"/>
  <c r="O46" i="4"/>
  <c r="N47" i="4"/>
  <c r="N48" i="4"/>
  <c r="O48" i="4"/>
  <c r="M46" i="4"/>
  <c r="N45" i="4"/>
  <c r="O45" i="4"/>
  <c r="M45" i="4"/>
  <c r="N35" i="4"/>
  <c r="M35" i="4"/>
  <c r="O27" i="4"/>
  <c r="N27" i="4"/>
  <c r="M27" i="4"/>
  <c r="O23" i="4"/>
  <c r="N23" i="4"/>
  <c r="M23" i="4"/>
  <c r="O19" i="4"/>
  <c r="N19" i="4"/>
  <c r="M19" i="4"/>
  <c r="O16" i="4"/>
  <c r="N16" i="4"/>
  <c r="M16" i="4"/>
  <c r="O15" i="4"/>
  <c r="N15" i="4"/>
  <c r="M15" i="4"/>
  <c r="M12" i="4"/>
  <c r="N12" i="4"/>
  <c r="O12" i="4"/>
  <c r="O13" i="4"/>
  <c r="N13" i="4"/>
  <c r="M13" i="4"/>
  <c r="X50" i="4"/>
  <c r="W50" i="4"/>
  <c r="X49" i="4"/>
  <c r="X54" i="4" s="1"/>
  <c r="X41" i="4" s="1"/>
  <c r="W49" i="4"/>
  <c r="W54" i="4" s="1"/>
  <c r="X40" i="4" s="1"/>
  <c r="E65" i="4"/>
  <c r="X64" i="4"/>
  <c r="W64" i="4"/>
  <c r="V64" i="4"/>
  <c r="U64" i="4"/>
  <c r="E64" i="4"/>
  <c r="O63" i="4"/>
  <c r="R63" i="4" s="1"/>
  <c r="N63" i="4"/>
  <c r="N64" i="4" s="1"/>
  <c r="M63" i="4"/>
  <c r="M64" i="4" s="1"/>
  <c r="O59" i="4"/>
  <c r="R59" i="4" s="1"/>
  <c r="O58" i="4"/>
  <c r="R58" i="4" s="1"/>
  <c r="N58" i="4"/>
  <c r="M58" i="4"/>
  <c r="R57" i="4"/>
  <c r="N59" i="4"/>
  <c r="M59" i="4"/>
  <c r="R56" i="4"/>
  <c r="V54" i="4"/>
  <c r="U54" i="4"/>
  <c r="H54" i="4"/>
  <c r="H51" i="4"/>
  <c r="R49" i="4"/>
  <c r="R46" i="4"/>
  <c r="R41" i="4"/>
  <c r="R37" i="4"/>
  <c r="R31" i="4"/>
  <c r="H30" i="4"/>
  <c r="H29" i="4"/>
  <c r="H28" i="4"/>
  <c r="R26" i="4"/>
  <c r="W24" i="4"/>
  <c r="W28" i="4" s="1"/>
  <c r="W33" i="4" s="1"/>
  <c r="R22" i="4"/>
  <c r="R21" i="4"/>
  <c r="R20" i="4"/>
  <c r="H19" i="4"/>
  <c r="R18" i="4"/>
  <c r="R14" i="4"/>
  <c r="W13" i="4"/>
  <c r="W18" i="4" s="1"/>
  <c r="R11" i="4"/>
  <c r="H68" i="3"/>
  <c r="H67" i="3"/>
  <c r="G68" i="3"/>
  <c r="G67" i="3"/>
  <c r="F68" i="3"/>
  <c r="F67" i="3"/>
  <c r="E68" i="3"/>
  <c r="E67" i="3"/>
  <c r="H65" i="3"/>
  <c r="H64" i="3"/>
  <c r="G65" i="3"/>
  <c r="G64" i="3"/>
  <c r="F65" i="3"/>
  <c r="F64" i="3"/>
  <c r="E65" i="3"/>
  <c r="E64" i="3"/>
  <c r="F42" i="3"/>
  <c r="G42" i="3"/>
  <c r="H42" i="3"/>
  <c r="H44" i="3"/>
  <c r="G44" i="3"/>
  <c r="F44" i="3"/>
  <c r="E44" i="3"/>
  <c r="H43" i="3"/>
  <c r="G43" i="3"/>
  <c r="H59" i="3"/>
  <c r="H58" i="3"/>
  <c r="H57" i="3"/>
  <c r="H56" i="3"/>
  <c r="H55" i="3"/>
  <c r="H54" i="3"/>
  <c r="H51" i="3"/>
  <c r="R11" i="10" s="1"/>
  <c r="H50" i="3"/>
  <c r="H49" i="3"/>
  <c r="H48" i="3"/>
  <c r="E45" i="3"/>
  <c r="E39" i="3"/>
  <c r="E37" i="3"/>
  <c r="R55" i="3"/>
  <c r="R46" i="3"/>
  <c r="R45" i="3"/>
  <c r="R40" i="3"/>
  <c r="R36" i="3"/>
  <c r="R35" i="3"/>
  <c r="R30" i="3"/>
  <c r="O62" i="3"/>
  <c r="O63" i="3" s="1"/>
  <c r="R63" i="3" s="1"/>
  <c r="N62" i="3"/>
  <c r="N63" i="3" s="1"/>
  <c r="M62" i="3"/>
  <c r="M63" i="3" s="1"/>
  <c r="M56" i="3"/>
  <c r="M57" i="3" s="1"/>
  <c r="N56" i="3"/>
  <c r="N58" i="3" s="1"/>
  <c r="O56" i="3"/>
  <c r="O57" i="3" s="1"/>
  <c r="R57" i="3" s="1"/>
  <c r="N48" i="3"/>
  <c r="N47" i="3"/>
  <c r="O47" i="3"/>
  <c r="O48" i="3" s="1"/>
  <c r="R48" i="3" s="1"/>
  <c r="M47" i="3"/>
  <c r="M46" i="3"/>
  <c r="M45" i="3"/>
  <c r="N57" i="3"/>
  <c r="R25" i="3"/>
  <c r="R21" i="3"/>
  <c r="R20" i="3"/>
  <c r="R19" i="3"/>
  <c r="R15" i="3"/>
  <c r="R14" i="3"/>
  <c r="R12" i="3"/>
  <c r="R11" i="3"/>
  <c r="M17" i="3"/>
  <c r="O17" i="3"/>
  <c r="R17" i="3" s="1"/>
  <c r="N17" i="3"/>
  <c r="O12" i="3"/>
  <c r="O13" i="3" s="1"/>
  <c r="N12" i="3"/>
  <c r="N13" i="3" s="1"/>
  <c r="M12" i="3"/>
  <c r="M13" i="3" s="1"/>
  <c r="H30" i="3"/>
  <c r="H29" i="3"/>
  <c r="H28" i="3"/>
  <c r="W27" i="3"/>
  <c r="W22" i="3"/>
  <c r="W24" i="3" s="1"/>
  <c r="W17" i="3"/>
  <c r="W16" i="3"/>
  <c r="W13" i="3"/>
  <c r="X54" i="3"/>
  <c r="W54" i="3"/>
  <c r="V54" i="3"/>
  <c r="U54" i="3"/>
  <c r="X64" i="3"/>
  <c r="W64" i="3"/>
  <c r="V64" i="3"/>
  <c r="U64" i="3"/>
  <c r="H19" i="3"/>
  <c r="J12" i="15" l="1"/>
  <c r="I128" i="13"/>
  <c r="J136" i="13"/>
  <c r="K28" i="15" s="1"/>
  <c r="G38" i="17" s="1"/>
  <c r="K8" i="15"/>
  <c r="G24" i="17" s="1"/>
  <c r="I121" i="13"/>
  <c r="I76" i="13" s="1"/>
  <c r="I135" i="13"/>
  <c r="I139" i="13" s="1"/>
  <c r="I126" i="13"/>
  <c r="I125" i="13"/>
  <c r="I147" i="13"/>
  <c r="I46" i="13"/>
  <c r="I50" i="13" s="1"/>
  <c r="I90" i="13"/>
  <c r="I129" i="13" s="1"/>
  <c r="L25" i="13"/>
  <c r="K122" i="13"/>
  <c r="K79" i="13" s="1"/>
  <c r="J37" i="13"/>
  <c r="J143" i="13" s="1"/>
  <c r="J38" i="13"/>
  <c r="J142" i="13" s="1"/>
  <c r="K35" i="13"/>
  <c r="R17" i="10"/>
  <c r="J97" i="13"/>
  <c r="J85" i="13"/>
  <c r="J91" i="13"/>
  <c r="I89" i="13"/>
  <c r="J52" i="13"/>
  <c r="J73" i="13"/>
  <c r="K44" i="13"/>
  <c r="J45" i="13"/>
  <c r="J47" i="13"/>
  <c r="K14" i="15" s="1"/>
  <c r="J48" i="13"/>
  <c r="K20" i="15" s="1"/>
  <c r="K28" i="13"/>
  <c r="J27" i="13"/>
  <c r="K22" i="13"/>
  <c r="J21" i="13"/>
  <c r="J70" i="13" s="1"/>
  <c r="J17" i="10"/>
  <c r="T20" i="10"/>
  <c r="K17" i="10"/>
  <c r="S20" i="10"/>
  <c r="O20" i="10"/>
  <c r="L21" i="10"/>
  <c r="L18" i="10"/>
  <c r="S17" i="10"/>
  <c r="P17" i="10"/>
  <c r="Q17" i="10"/>
  <c r="S18" i="10"/>
  <c r="Q18" i="10"/>
  <c r="L20" i="10"/>
  <c r="O17" i="10"/>
  <c r="M17" i="10"/>
  <c r="R18" i="10"/>
  <c r="T18" i="10"/>
  <c r="K20" i="10"/>
  <c r="T17" i="10"/>
  <c r="T21" i="10"/>
  <c r="M21" i="10"/>
  <c r="J18" i="10"/>
  <c r="M18" i="10"/>
  <c r="N20" i="10"/>
  <c r="O21" i="10"/>
  <c r="J21" i="10"/>
  <c r="K21" i="10"/>
  <c r="K18" i="10"/>
  <c r="N21" i="10"/>
  <c r="P21" i="10"/>
  <c r="N17" i="10"/>
  <c r="O18" i="10"/>
  <c r="P20" i="10"/>
  <c r="Q21" i="10"/>
  <c r="M20" i="10"/>
  <c r="P18" i="10"/>
  <c r="Q20" i="10"/>
  <c r="R21" i="10"/>
  <c r="J20" i="10"/>
  <c r="R20" i="10"/>
  <c r="S21" i="10"/>
  <c r="R62" i="1"/>
  <c r="X54" i="1"/>
  <c r="X41" i="1" s="1"/>
  <c r="X42" i="1" s="1"/>
  <c r="X44" i="1" s="1"/>
  <c r="H24" i="1" s="1"/>
  <c r="N61" i="7"/>
  <c r="R49" i="7"/>
  <c r="R63" i="7"/>
  <c r="R12" i="7"/>
  <c r="W18" i="7"/>
  <c r="W54" i="7"/>
  <c r="X40" i="7" s="1"/>
  <c r="X42" i="7" s="1"/>
  <c r="X44" i="7" s="1"/>
  <c r="H24" i="7" s="1"/>
  <c r="H42" i="7" s="1"/>
  <c r="O30" i="7"/>
  <c r="R16" i="7"/>
  <c r="R13" i="7"/>
  <c r="W28" i="7"/>
  <c r="W33" i="7" s="1"/>
  <c r="W35" i="7" s="1"/>
  <c r="N57" i="6"/>
  <c r="R56" i="6"/>
  <c r="O57" i="6"/>
  <c r="R57" i="6" s="1"/>
  <c r="O63" i="6"/>
  <c r="R63" i="6" s="1"/>
  <c r="W28" i="6"/>
  <c r="W33" i="6" s="1"/>
  <c r="W18" i="6"/>
  <c r="X54" i="6"/>
  <c r="X41" i="6" s="1"/>
  <c r="W54" i="6"/>
  <c r="X40" i="6" s="1"/>
  <c r="H25" i="6"/>
  <c r="H44" i="6" s="1"/>
  <c r="H31" i="6"/>
  <c r="H38" i="6" s="1"/>
  <c r="N59" i="5"/>
  <c r="M59" i="5"/>
  <c r="R47" i="5"/>
  <c r="R48" i="5"/>
  <c r="E67" i="5"/>
  <c r="E68" i="5"/>
  <c r="W33" i="5"/>
  <c r="N60" i="1"/>
  <c r="N59" i="1"/>
  <c r="M60" i="1"/>
  <c r="G65" i="1"/>
  <c r="R57" i="1"/>
  <c r="M59" i="1"/>
  <c r="M29" i="1"/>
  <c r="M31" i="1" s="1"/>
  <c r="M32" i="1" s="1"/>
  <c r="N29" i="1"/>
  <c r="N31" i="1" s="1"/>
  <c r="N32" i="1" s="1"/>
  <c r="O29" i="1"/>
  <c r="R13" i="1"/>
  <c r="W18" i="1"/>
  <c r="W35" i="1" s="1"/>
  <c r="E68" i="1"/>
  <c r="E67" i="1"/>
  <c r="R47" i="1"/>
  <c r="R12" i="1"/>
  <c r="R30" i="7"/>
  <c r="O32" i="7"/>
  <c r="R59" i="7"/>
  <c r="E45" i="7" s="1"/>
  <c r="G64" i="7"/>
  <c r="O61" i="7"/>
  <c r="R61" i="7" s="1"/>
  <c r="O60" i="7"/>
  <c r="R60" i="7" s="1"/>
  <c r="G65" i="7"/>
  <c r="E68" i="7"/>
  <c r="E67" i="7"/>
  <c r="M30" i="7"/>
  <c r="M32" i="7" s="1"/>
  <c r="M33" i="7" s="1"/>
  <c r="N30" i="7"/>
  <c r="N32" i="7" s="1"/>
  <c r="N33" i="7" s="1"/>
  <c r="H25" i="7"/>
  <c r="G42" i="7"/>
  <c r="O59" i="6"/>
  <c r="R59" i="6" s="1"/>
  <c r="R58" i="6"/>
  <c r="E45" i="6" s="1"/>
  <c r="G64" i="6"/>
  <c r="O60" i="6"/>
  <c r="R60" i="6" s="1"/>
  <c r="R13" i="6"/>
  <c r="O29" i="6"/>
  <c r="M59" i="6"/>
  <c r="M60" i="6"/>
  <c r="G65" i="6"/>
  <c r="M29" i="6"/>
  <c r="M31" i="6" s="1"/>
  <c r="M32" i="6" s="1"/>
  <c r="N29" i="6"/>
  <c r="N31" i="6" s="1"/>
  <c r="N32" i="6" s="1"/>
  <c r="E67" i="6"/>
  <c r="E68" i="6"/>
  <c r="N59" i="6"/>
  <c r="N60" i="6"/>
  <c r="R12" i="6"/>
  <c r="G42" i="6"/>
  <c r="N29" i="5"/>
  <c r="N31" i="5" s="1"/>
  <c r="N32" i="5" s="1"/>
  <c r="N16" i="5"/>
  <c r="O29" i="5"/>
  <c r="O16" i="5"/>
  <c r="R13" i="5"/>
  <c r="W35" i="5"/>
  <c r="R58" i="5"/>
  <c r="E45" i="5" s="1"/>
  <c r="O60" i="5"/>
  <c r="R60" i="5" s="1"/>
  <c r="G64" i="5"/>
  <c r="O59" i="5"/>
  <c r="R59" i="5" s="1"/>
  <c r="G65" i="5"/>
  <c r="R56" i="5"/>
  <c r="M16" i="5"/>
  <c r="O57" i="5"/>
  <c r="R57" i="5" s="1"/>
  <c r="H25" i="5"/>
  <c r="R12" i="5"/>
  <c r="G42" i="5"/>
  <c r="R36" i="4"/>
  <c r="O47" i="4"/>
  <c r="R47" i="4" s="1"/>
  <c r="X42" i="4"/>
  <c r="X44" i="4" s="1"/>
  <c r="H24" i="4" s="1"/>
  <c r="H42" i="4" s="1"/>
  <c r="O61" i="4"/>
  <c r="R61" i="4" s="1"/>
  <c r="O60" i="4"/>
  <c r="R60" i="4" s="1"/>
  <c r="O64" i="4"/>
  <c r="R64" i="4" s="1"/>
  <c r="W35" i="4"/>
  <c r="H25" i="4"/>
  <c r="H44" i="4" s="1"/>
  <c r="G42" i="4"/>
  <c r="H31" i="4"/>
  <c r="G36" i="4" s="1"/>
  <c r="M30" i="4"/>
  <c r="M32" i="4" s="1"/>
  <c r="M33" i="4" s="1"/>
  <c r="G64" i="4"/>
  <c r="N61" i="4"/>
  <c r="N60" i="4"/>
  <c r="R13" i="4"/>
  <c r="O30" i="4"/>
  <c r="E68" i="4"/>
  <c r="E67" i="4"/>
  <c r="M61" i="4"/>
  <c r="M60" i="4"/>
  <c r="G65" i="4"/>
  <c r="N30" i="4"/>
  <c r="N32" i="4" s="1"/>
  <c r="N33" i="4" s="1"/>
  <c r="E44" i="4"/>
  <c r="G68" i="4"/>
  <c r="G67" i="4"/>
  <c r="R48" i="4"/>
  <c r="R12" i="4"/>
  <c r="M29" i="3"/>
  <c r="M31" i="3" s="1"/>
  <c r="M32" i="3" s="1"/>
  <c r="M16" i="3"/>
  <c r="N29" i="3"/>
  <c r="N31" i="3" s="1"/>
  <c r="N32" i="3" s="1"/>
  <c r="N16" i="3"/>
  <c r="O16" i="3"/>
  <c r="O18" i="3" s="1"/>
  <c r="R13" i="3"/>
  <c r="O29" i="3"/>
  <c r="W28" i="3"/>
  <c r="W33" i="3" s="1"/>
  <c r="N60" i="3"/>
  <c r="N59" i="3"/>
  <c r="W18" i="3"/>
  <c r="R56" i="3"/>
  <c r="M58" i="3"/>
  <c r="R47" i="3"/>
  <c r="O58" i="3"/>
  <c r="R62" i="3"/>
  <c r="X44" i="3"/>
  <c r="H24" i="3" s="1"/>
  <c r="H25" i="3" s="1"/>
  <c r="H31" i="3" s="1"/>
  <c r="F26" i="17" l="1"/>
  <c r="J18" i="15"/>
  <c r="F28" i="17" s="1"/>
  <c r="K15" i="15"/>
  <c r="J121" i="13"/>
  <c r="J76" i="13" s="1"/>
  <c r="J90" i="13"/>
  <c r="J129" i="13" s="1"/>
  <c r="K10" i="15"/>
  <c r="K11" i="15" s="1"/>
  <c r="K136" i="13"/>
  <c r="L28" i="15" s="1"/>
  <c r="H38" i="17" s="1"/>
  <c r="L8" i="15"/>
  <c r="H24" i="17" s="1"/>
  <c r="K17" i="15"/>
  <c r="K9" i="15"/>
  <c r="G25" i="17" s="1"/>
  <c r="J27" i="15"/>
  <c r="F37" i="17" s="1"/>
  <c r="J13" i="15"/>
  <c r="F27" i="17" s="1"/>
  <c r="J135" i="13"/>
  <c r="J139" i="13" s="1"/>
  <c r="J147" i="13"/>
  <c r="I96" i="13"/>
  <c r="J125" i="13"/>
  <c r="J126" i="13"/>
  <c r="M25" i="13"/>
  <c r="M122" i="13" s="1"/>
  <c r="L122" i="13"/>
  <c r="L79" i="13" s="1"/>
  <c r="M79" i="13" s="1"/>
  <c r="J128" i="13"/>
  <c r="K37" i="13"/>
  <c r="K143" i="13" s="1"/>
  <c r="J46" i="13"/>
  <c r="J50" i="13" s="1"/>
  <c r="J89" i="13"/>
  <c r="L35" i="13"/>
  <c r="K38" i="13"/>
  <c r="K142" i="13" s="1"/>
  <c r="I94" i="13"/>
  <c r="I127" i="13"/>
  <c r="J29" i="15" s="1"/>
  <c r="K97" i="13"/>
  <c r="K85" i="13"/>
  <c r="K91" i="13"/>
  <c r="K73" i="13"/>
  <c r="K52" i="13"/>
  <c r="L44" i="13"/>
  <c r="M44" i="13" s="1"/>
  <c r="K48" i="13"/>
  <c r="L20" i="15" s="1"/>
  <c r="K47" i="13"/>
  <c r="L14" i="15" s="1"/>
  <c r="K45" i="13"/>
  <c r="L28" i="13"/>
  <c r="K27" i="13"/>
  <c r="L22" i="13"/>
  <c r="K21" i="13"/>
  <c r="K70" i="13" s="1"/>
  <c r="E38" i="3"/>
  <c r="F38" i="3"/>
  <c r="G38" i="3"/>
  <c r="H36" i="3"/>
  <c r="H40" i="3"/>
  <c r="G36" i="3"/>
  <c r="F36" i="3"/>
  <c r="E36" i="3"/>
  <c r="E40" i="3"/>
  <c r="F40" i="3"/>
  <c r="G40" i="3"/>
  <c r="H38" i="3"/>
  <c r="H25" i="1"/>
  <c r="H42" i="1"/>
  <c r="G42" i="1"/>
  <c r="F44" i="1"/>
  <c r="R19" i="7"/>
  <c r="O35" i="7"/>
  <c r="W35" i="6"/>
  <c r="F40" i="6"/>
  <c r="G38" i="6"/>
  <c r="H36" i="6"/>
  <c r="F38" i="6"/>
  <c r="E36" i="6"/>
  <c r="H40" i="6"/>
  <c r="G36" i="6"/>
  <c r="G40" i="6"/>
  <c r="F36" i="6"/>
  <c r="G44" i="6"/>
  <c r="F44" i="6"/>
  <c r="N34" i="1"/>
  <c r="M34" i="1"/>
  <c r="F42" i="1"/>
  <c r="R58" i="1"/>
  <c r="E45" i="1" s="1"/>
  <c r="G64" i="1"/>
  <c r="O60" i="1"/>
  <c r="R60" i="1" s="1"/>
  <c r="O59" i="1"/>
  <c r="R59" i="1" s="1"/>
  <c r="O34" i="1"/>
  <c r="R15" i="1"/>
  <c r="O31" i="1"/>
  <c r="R29" i="1"/>
  <c r="M35" i="7"/>
  <c r="N35" i="7"/>
  <c r="G44" i="7"/>
  <c r="H31" i="7"/>
  <c r="F44" i="7"/>
  <c r="F42" i="7"/>
  <c r="O23" i="7"/>
  <c r="E44" i="7"/>
  <c r="G68" i="7"/>
  <c r="G67" i="7"/>
  <c r="O33" i="7"/>
  <c r="R33" i="7" s="1"/>
  <c r="R32" i="7"/>
  <c r="O34" i="6"/>
  <c r="R15" i="6"/>
  <c r="F42" i="6"/>
  <c r="R29" i="6"/>
  <c r="O31" i="6"/>
  <c r="M34" i="6"/>
  <c r="E44" i="6"/>
  <c r="G68" i="6"/>
  <c r="G67" i="6"/>
  <c r="N34" i="6"/>
  <c r="G68" i="5"/>
  <c r="G67" i="5"/>
  <c r="E44" i="5"/>
  <c r="M18" i="5"/>
  <c r="M34" i="5"/>
  <c r="M37" i="5" s="1"/>
  <c r="F42" i="5"/>
  <c r="R16" i="5"/>
  <c r="O18" i="5"/>
  <c r="O34" i="5"/>
  <c r="H44" i="5"/>
  <c r="H31" i="5"/>
  <c r="G44" i="5"/>
  <c r="F44" i="5"/>
  <c r="O31" i="5"/>
  <c r="R29" i="5"/>
  <c r="N18" i="5"/>
  <c r="N34" i="5"/>
  <c r="N37" i="5" s="1"/>
  <c r="H40" i="4"/>
  <c r="F38" i="4"/>
  <c r="G44" i="4"/>
  <c r="E36" i="4"/>
  <c r="F44" i="4"/>
  <c r="G38" i="4"/>
  <c r="F36" i="4"/>
  <c r="H36" i="4"/>
  <c r="G40" i="4"/>
  <c r="F40" i="4"/>
  <c r="H38" i="4"/>
  <c r="R16" i="4"/>
  <c r="R30" i="4"/>
  <c r="O32" i="4"/>
  <c r="F42" i="4"/>
  <c r="N38" i="4"/>
  <c r="M38" i="4"/>
  <c r="W35" i="3"/>
  <c r="R29" i="3"/>
  <c r="O31" i="3"/>
  <c r="N34" i="3"/>
  <c r="N37" i="3" s="1"/>
  <c r="N18" i="3"/>
  <c r="R16" i="3"/>
  <c r="O34" i="3"/>
  <c r="M18" i="3"/>
  <c r="M34" i="3"/>
  <c r="M37" i="3" s="1"/>
  <c r="O60" i="3"/>
  <c r="R60" i="3" s="1"/>
  <c r="R58" i="3"/>
  <c r="O59" i="3"/>
  <c r="R59" i="3" s="1"/>
  <c r="M59" i="3"/>
  <c r="M60" i="3"/>
  <c r="O23" i="3"/>
  <c r="R23" i="3" s="1"/>
  <c r="R18" i="3"/>
  <c r="O22" i="3"/>
  <c r="G19" i="17" l="1"/>
  <c r="F39" i="17"/>
  <c r="L15" i="15"/>
  <c r="K12" i="15"/>
  <c r="K18" i="15" s="1"/>
  <c r="K90" i="13"/>
  <c r="K129" i="13" s="1"/>
  <c r="L10" i="15"/>
  <c r="L11" i="15" s="1"/>
  <c r="K121" i="13"/>
  <c r="K76" i="13" s="1"/>
  <c r="L136" i="13"/>
  <c r="M28" i="15" s="1"/>
  <c r="I38" i="17" s="1"/>
  <c r="M8" i="15"/>
  <c r="I24" i="17" s="1"/>
  <c r="L9" i="15"/>
  <c r="H25" i="17" s="1"/>
  <c r="L12" i="15"/>
  <c r="L17" i="15"/>
  <c r="K27" i="15"/>
  <c r="G37" i="17" s="1"/>
  <c r="J19" i="15"/>
  <c r="J22" i="15"/>
  <c r="I103" i="13"/>
  <c r="K135" i="13"/>
  <c r="K139" i="13" s="1"/>
  <c r="K147" i="13"/>
  <c r="J96" i="13"/>
  <c r="I51" i="13"/>
  <c r="I58" i="13" s="1"/>
  <c r="I59" i="13" s="1"/>
  <c r="J51" i="13"/>
  <c r="J58" i="13" s="1"/>
  <c r="J59" i="13" s="1"/>
  <c r="J60" i="13" s="1"/>
  <c r="J94" i="13"/>
  <c r="J103" i="13" s="1"/>
  <c r="J127" i="13"/>
  <c r="K29" i="15" s="1"/>
  <c r="G39" i="17" s="1"/>
  <c r="K125" i="13"/>
  <c r="K126" i="13"/>
  <c r="K128" i="13"/>
  <c r="L37" i="13"/>
  <c r="L143" i="13" s="1"/>
  <c r="K46" i="13"/>
  <c r="K50" i="13" s="1"/>
  <c r="M35" i="13"/>
  <c r="L38" i="13"/>
  <c r="L142" i="13" s="1"/>
  <c r="K89" i="13"/>
  <c r="L97" i="13"/>
  <c r="L85" i="13"/>
  <c r="L91" i="13"/>
  <c r="L73" i="13"/>
  <c r="L52" i="13"/>
  <c r="L47" i="13"/>
  <c r="M14" i="15" s="1"/>
  <c r="L48" i="13"/>
  <c r="M20" i="15" s="1"/>
  <c r="L45" i="13"/>
  <c r="M10" i="15" s="1"/>
  <c r="M28" i="13"/>
  <c r="M27" i="13" s="1"/>
  <c r="L27" i="13"/>
  <c r="M22" i="13"/>
  <c r="M21" i="13" s="1"/>
  <c r="L21" i="13"/>
  <c r="L70" i="13" s="1"/>
  <c r="G44" i="1"/>
  <c r="H31" i="1"/>
  <c r="O24" i="7"/>
  <c r="R24" i="7" s="1"/>
  <c r="R35" i="7"/>
  <c r="R34" i="1"/>
  <c r="E41" i="1" s="1"/>
  <c r="G68" i="1"/>
  <c r="G67" i="1"/>
  <c r="E44" i="1"/>
  <c r="M22" i="1"/>
  <c r="M23" i="1"/>
  <c r="M38" i="1"/>
  <c r="O32" i="1"/>
  <c r="R32" i="1" s="1"/>
  <c r="R31" i="1"/>
  <c r="N38" i="1"/>
  <c r="N42" i="1"/>
  <c r="R18" i="1"/>
  <c r="O23" i="1"/>
  <c r="R23" i="1" s="1"/>
  <c r="N23" i="1"/>
  <c r="N22" i="1"/>
  <c r="R23" i="7"/>
  <c r="O45" i="7"/>
  <c r="O27" i="7"/>
  <c r="M23" i="7"/>
  <c r="M24" i="7"/>
  <c r="F36" i="7"/>
  <c r="H36" i="7"/>
  <c r="G36" i="7"/>
  <c r="H38" i="7"/>
  <c r="G38" i="7"/>
  <c r="E36" i="7"/>
  <c r="F38" i="7"/>
  <c r="H40" i="7"/>
  <c r="G40" i="7"/>
  <c r="F40" i="7"/>
  <c r="N39" i="7"/>
  <c r="N43" i="7"/>
  <c r="N23" i="7"/>
  <c r="N24" i="7"/>
  <c r="M39" i="7"/>
  <c r="M38" i="6"/>
  <c r="N42" i="6"/>
  <c r="M22" i="6"/>
  <c r="M23" i="6"/>
  <c r="O32" i="6"/>
  <c r="R32" i="6" s="1"/>
  <c r="R31" i="6"/>
  <c r="O23" i="6"/>
  <c r="R23" i="6" s="1"/>
  <c r="R18" i="6"/>
  <c r="O22" i="6"/>
  <c r="N22" i="6"/>
  <c r="N23" i="6"/>
  <c r="R34" i="6"/>
  <c r="H36" i="5"/>
  <c r="G36" i="5"/>
  <c r="F36" i="5"/>
  <c r="E36" i="5"/>
  <c r="F38" i="5"/>
  <c r="H38" i="5"/>
  <c r="G38" i="5"/>
  <c r="H40" i="5"/>
  <c r="G40" i="5"/>
  <c r="F40" i="5"/>
  <c r="R34" i="5"/>
  <c r="O37" i="5"/>
  <c r="O23" i="5"/>
  <c r="R23" i="5" s="1"/>
  <c r="R18" i="5"/>
  <c r="O22" i="5"/>
  <c r="N41" i="5"/>
  <c r="N42" i="5" s="1"/>
  <c r="N38" i="5"/>
  <c r="N22" i="5"/>
  <c r="N23" i="5"/>
  <c r="M41" i="5"/>
  <c r="M38" i="5"/>
  <c r="M22" i="5"/>
  <c r="M23" i="5"/>
  <c r="O32" i="5"/>
  <c r="R32" i="5" s="1"/>
  <c r="R31" i="5"/>
  <c r="M24" i="4"/>
  <c r="M39" i="4"/>
  <c r="M42" i="4"/>
  <c r="N24" i="4"/>
  <c r="N39" i="4"/>
  <c r="N42" i="4"/>
  <c r="N43" i="4" s="1"/>
  <c r="O33" i="4"/>
  <c r="R33" i="4" s="1"/>
  <c r="R32" i="4"/>
  <c r="R35" i="4"/>
  <c r="O24" i="4"/>
  <c r="R24" i="4" s="1"/>
  <c r="R19" i="4"/>
  <c r="N23" i="3"/>
  <c r="N22" i="3"/>
  <c r="O32" i="3"/>
  <c r="R32" i="3" s="1"/>
  <c r="R31" i="3"/>
  <c r="M38" i="3"/>
  <c r="M41" i="3"/>
  <c r="M42" i="3" s="1"/>
  <c r="M23" i="3"/>
  <c r="M22" i="3"/>
  <c r="O37" i="3"/>
  <c r="R34" i="3"/>
  <c r="N38" i="3"/>
  <c r="N41" i="3"/>
  <c r="N42" i="3" s="1"/>
  <c r="O44" i="3"/>
  <c r="R22" i="3"/>
  <c r="O26" i="3"/>
  <c r="R26" i="3" s="1"/>
  <c r="H26" i="17" l="1"/>
  <c r="L18" i="15"/>
  <c r="H28" i="17" s="1"/>
  <c r="F30" i="17"/>
  <c r="F34" i="17"/>
  <c r="F29" i="17"/>
  <c r="G16" i="17"/>
  <c r="G28" i="17"/>
  <c r="G26" i="17"/>
  <c r="K13" i="15"/>
  <c r="G27" i="17" s="1"/>
  <c r="J61" i="13"/>
  <c r="J120" i="13" s="1"/>
  <c r="J130" i="13" s="1"/>
  <c r="J149" i="13" s="1"/>
  <c r="J24" i="15"/>
  <c r="M17" i="15"/>
  <c r="M12" i="15"/>
  <c r="M9" i="15"/>
  <c r="I25" i="17" s="1"/>
  <c r="L13" i="15"/>
  <c r="H27" i="17" s="1"/>
  <c r="L27" i="15"/>
  <c r="H37" i="17" s="1"/>
  <c r="M11" i="15"/>
  <c r="L121" i="13"/>
  <c r="L76" i="13" s="1"/>
  <c r="J23" i="15"/>
  <c r="K19" i="15"/>
  <c r="G29" i="17" s="1"/>
  <c r="K22" i="15"/>
  <c r="M15" i="15"/>
  <c r="M136" i="13"/>
  <c r="N28" i="15" s="1"/>
  <c r="J38" i="17" s="1"/>
  <c r="N8" i="15"/>
  <c r="J24" i="17" s="1"/>
  <c r="L128" i="13"/>
  <c r="L147" i="13"/>
  <c r="L135" i="13"/>
  <c r="L139" i="13" s="1"/>
  <c r="I60" i="13"/>
  <c r="I61" i="13" s="1"/>
  <c r="K94" i="13"/>
  <c r="K127" i="13"/>
  <c r="L29" i="15" s="1"/>
  <c r="H39" i="17" s="1"/>
  <c r="K96" i="13"/>
  <c r="L96" i="13" s="1"/>
  <c r="K51" i="13"/>
  <c r="K58" i="13" s="1"/>
  <c r="K59" i="13" s="1"/>
  <c r="K60" i="13" s="1"/>
  <c r="L125" i="13"/>
  <c r="L126" i="13"/>
  <c r="M37" i="13"/>
  <c r="M143" i="13" s="1"/>
  <c r="M38" i="13"/>
  <c r="M142" i="13" s="1"/>
  <c r="L46" i="13"/>
  <c r="L50" i="13" s="1"/>
  <c r="L90" i="13"/>
  <c r="L129" i="13" s="1"/>
  <c r="M97" i="13"/>
  <c r="M85" i="13"/>
  <c r="M135" i="13" s="1"/>
  <c r="M91" i="13"/>
  <c r="L89" i="13"/>
  <c r="L127" i="13" s="1"/>
  <c r="M73" i="13"/>
  <c r="M126" i="13" s="1"/>
  <c r="M70" i="13"/>
  <c r="M125" i="13" s="1"/>
  <c r="M52" i="13"/>
  <c r="M47" i="13"/>
  <c r="N14" i="15" s="1"/>
  <c r="M45" i="13"/>
  <c r="M48" i="13"/>
  <c r="N20" i="15" s="1"/>
  <c r="H38" i="1"/>
  <c r="F38" i="1"/>
  <c r="E36" i="1"/>
  <c r="F40" i="1"/>
  <c r="G38" i="1"/>
  <c r="H40" i="1"/>
  <c r="F36" i="1"/>
  <c r="G36" i="1"/>
  <c r="G40" i="1"/>
  <c r="H36" i="1"/>
  <c r="R38" i="7"/>
  <c r="O39" i="7"/>
  <c r="R39" i="7" s="1"/>
  <c r="M42" i="1"/>
  <c r="M44" i="1"/>
  <c r="M49" i="1" s="1"/>
  <c r="M26" i="1"/>
  <c r="O44" i="1"/>
  <c r="R22" i="1"/>
  <c r="O26" i="1"/>
  <c r="O38" i="1"/>
  <c r="R38" i="1" s="1"/>
  <c r="R37" i="1"/>
  <c r="N44" i="1"/>
  <c r="N49" i="1" s="1"/>
  <c r="N26" i="1"/>
  <c r="M27" i="7"/>
  <c r="H65" i="7" s="1"/>
  <c r="M45" i="7"/>
  <c r="M43" i="7"/>
  <c r="F65" i="7"/>
  <c r="R27" i="7"/>
  <c r="O50" i="7"/>
  <c r="R45" i="7"/>
  <c r="N45" i="7"/>
  <c r="N50" i="7" s="1"/>
  <c r="N27" i="7"/>
  <c r="H64" i="7" s="1"/>
  <c r="F64" i="7"/>
  <c r="R22" i="6"/>
  <c r="O26" i="6"/>
  <c r="O44" i="6"/>
  <c r="N44" i="6"/>
  <c r="N26" i="6"/>
  <c r="M26" i="6"/>
  <c r="M44" i="6"/>
  <c r="M49" i="6" s="1"/>
  <c r="F65" i="6"/>
  <c r="M42" i="6"/>
  <c r="M44" i="5"/>
  <c r="M49" i="5" s="1"/>
  <c r="M26" i="5"/>
  <c r="N44" i="5"/>
  <c r="N49" i="5" s="1"/>
  <c r="N26" i="5"/>
  <c r="O44" i="5"/>
  <c r="O26" i="5"/>
  <c r="R22" i="5"/>
  <c r="M42" i="5"/>
  <c r="O38" i="5"/>
  <c r="R38" i="5" s="1"/>
  <c r="O41" i="5"/>
  <c r="R37" i="5"/>
  <c r="N50" i="4"/>
  <c r="M43" i="4"/>
  <c r="R23" i="4"/>
  <c r="H65" i="4"/>
  <c r="O39" i="4"/>
  <c r="R39" i="4" s="1"/>
  <c r="O42" i="4"/>
  <c r="O43" i="4" s="1"/>
  <c r="R38" i="4"/>
  <c r="R37" i="3"/>
  <c r="O41" i="3"/>
  <c r="O38" i="3"/>
  <c r="R38" i="3" s="1"/>
  <c r="M44" i="3"/>
  <c r="M49" i="3" s="1"/>
  <c r="M26" i="3"/>
  <c r="N44" i="3"/>
  <c r="N49" i="3" s="1"/>
  <c r="N26" i="3"/>
  <c r="O49" i="3"/>
  <c r="R44" i="3"/>
  <c r="I26" i="17" l="1"/>
  <c r="M18" i="15"/>
  <c r="I28" i="17" s="1"/>
  <c r="G34" i="17"/>
  <c r="G30" i="17"/>
  <c r="J25" i="15"/>
  <c r="F35" i="17"/>
  <c r="N15" i="15"/>
  <c r="J63" i="13"/>
  <c r="J64" i="13"/>
  <c r="M128" i="13"/>
  <c r="M89" i="13"/>
  <c r="M127" i="13" s="1"/>
  <c r="N10" i="15"/>
  <c r="N11" i="15" s="1"/>
  <c r="M29" i="15"/>
  <c r="I39" i="17" s="1"/>
  <c r="N17" i="15"/>
  <c r="N9" i="15"/>
  <c r="J25" i="17" s="1"/>
  <c r="O8" i="15"/>
  <c r="L19" i="15"/>
  <c r="H29" i="17" s="1"/>
  <c r="L22" i="15"/>
  <c r="K61" i="13"/>
  <c r="K64" i="13" s="1"/>
  <c r="K24" i="15"/>
  <c r="K23" i="15"/>
  <c r="M13" i="15"/>
  <c r="I27" i="17" s="1"/>
  <c r="M121" i="13"/>
  <c r="M76" i="13" s="1"/>
  <c r="M27" i="15"/>
  <c r="I37" i="17" s="1"/>
  <c r="M139" i="13"/>
  <c r="M147" i="13"/>
  <c r="M96" i="13"/>
  <c r="M51" i="13" s="1"/>
  <c r="M58" i="13" s="1"/>
  <c r="L51" i="13"/>
  <c r="L58" i="13" s="1"/>
  <c r="L59" i="13" s="1"/>
  <c r="L60" i="13" s="1"/>
  <c r="K103" i="13"/>
  <c r="I110" i="13"/>
  <c r="I64" i="13"/>
  <c r="I63" i="13"/>
  <c r="I120" i="13"/>
  <c r="L94" i="13"/>
  <c r="L103" i="13" s="1"/>
  <c r="M46" i="13"/>
  <c r="M50" i="13" s="1"/>
  <c r="M90" i="13"/>
  <c r="R42" i="7"/>
  <c r="O43" i="7"/>
  <c r="R43" i="7" s="1"/>
  <c r="H59" i="7"/>
  <c r="E41" i="7"/>
  <c r="E40" i="7" s="1"/>
  <c r="H65" i="6"/>
  <c r="E40" i="1"/>
  <c r="H59" i="1"/>
  <c r="R41" i="1"/>
  <c r="F64" i="1"/>
  <c r="O42" i="1"/>
  <c r="R42" i="1" s="1"/>
  <c r="H64" i="1"/>
  <c r="R26" i="1"/>
  <c r="M52" i="1"/>
  <c r="M50" i="1"/>
  <c r="N52" i="1"/>
  <c r="N50" i="1"/>
  <c r="R44" i="1"/>
  <c r="O49" i="1"/>
  <c r="F65" i="1"/>
  <c r="H65" i="1"/>
  <c r="N53" i="7"/>
  <c r="N51" i="7"/>
  <c r="M53" i="7"/>
  <c r="M51" i="7"/>
  <c r="O53" i="7"/>
  <c r="R53" i="7" s="1"/>
  <c r="O51" i="7"/>
  <c r="R51" i="7" s="1"/>
  <c r="R50" i="7"/>
  <c r="R41" i="6"/>
  <c r="F64" i="6"/>
  <c r="O42" i="6"/>
  <c r="R42" i="6" s="1"/>
  <c r="M52" i="6"/>
  <c r="M50" i="6"/>
  <c r="R44" i="6"/>
  <c r="H64" i="6"/>
  <c r="R26" i="6"/>
  <c r="E43" i="6" s="1"/>
  <c r="E42" i="6" s="1"/>
  <c r="U15" i="9" s="1"/>
  <c r="E40" i="5"/>
  <c r="H59" i="5"/>
  <c r="R41" i="5"/>
  <c r="O42" i="5"/>
  <c r="R42" i="5" s="1"/>
  <c r="F64" i="5"/>
  <c r="F65" i="5"/>
  <c r="H64" i="5"/>
  <c r="R26" i="5"/>
  <c r="R44" i="5"/>
  <c r="O49" i="5"/>
  <c r="N52" i="5"/>
  <c r="N50" i="5"/>
  <c r="H65" i="5"/>
  <c r="M52" i="5"/>
  <c r="M50" i="5"/>
  <c r="H59" i="4"/>
  <c r="E40" i="4"/>
  <c r="R42" i="4"/>
  <c r="E39" i="4" s="1"/>
  <c r="F64" i="4"/>
  <c r="R43" i="4"/>
  <c r="M53" i="4"/>
  <c r="M51" i="4"/>
  <c r="O50" i="4"/>
  <c r="R45" i="4"/>
  <c r="H64" i="4"/>
  <c r="R27" i="4"/>
  <c r="F65" i="4"/>
  <c r="N53" i="4"/>
  <c r="N51" i="4"/>
  <c r="O50" i="3"/>
  <c r="R50" i="3" s="1"/>
  <c r="R49" i="3"/>
  <c r="O52" i="3"/>
  <c r="R52" i="3" s="1"/>
  <c r="N50" i="3"/>
  <c r="N52" i="3"/>
  <c r="M50" i="3"/>
  <c r="M52" i="3"/>
  <c r="O42" i="3"/>
  <c r="R42" i="3" s="1"/>
  <c r="R41" i="3"/>
  <c r="H34" i="17" l="1"/>
  <c r="H30" i="17"/>
  <c r="K25" i="15"/>
  <c r="G35" i="17"/>
  <c r="J31" i="15"/>
  <c r="F40" i="17" s="1"/>
  <c r="F36" i="17"/>
  <c r="G15" i="17"/>
  <c r="N12" i="15"/>
  <c r="N18" i="15" s="1"/>
  <c r="K63" i="13"/>
  <c r="L23" i="15"/>
  <c r="N27" i="15"/>
  <c r="J37" i="17" s="1"/>
  <c r="K120" i="13"/>
  <c r="K130" i="13" s="1"/>
  <c r="K149" i="13" s="1"/>
  <c r="M19" i="15"/>
  <c r="I29" i="17" s="1"/>
  <c r="M22" i="15"/>
  <c r="L61" i="13"/>
  <c r="L120" i="13" s="1"/>
  <c r="L130" i="13" s="1"/>
  <c r="L149" i="13" s="1"/>
  <c r="L24" i="15"/>
  <c r="M59" i="13"/>
  <c r="M60" i="13" s="1"/>
  <c r="I130" i="13"/>
  <c r="I149" i="13" s="1"/>
  <c r="I150" i="13" s="1"/>
  <c r="I69" i="13" s="1"/>
  <c r="I111" i="13"/>
  <c r="J110" i="13"/>
  <c r="M94" i="13"/>
  <c r="M103" i="13" s="1"/>
  <c r="M129" i="13"/>
  <c r="N29" i="15" s="1"/>
  <c r="J39" i="17" s="1"/>
  <c r="U21" i="9"/>
  <c r="H18" i="11" s="1"/>
  <c r="U18" i="9"/>
  <c r="U22" i="9"/>
  <c r="F18" i="11" s="1"/>
  <c r="U19" i="9"/>
  <c r="H56" i="7"/>
  <c r="E39" i="7"/>
  <c r="H58" i="7"/>
  <c r="H55" i="7"/>
  <c r="H57" i="7"/>
  <c r="H56" i="1"/>
  <c r="H58" i="1"/>
  <c r="H55" i="1"/>
  <c r="H57" i="1"/>
  <c r="E39" i="1"/>
  <c r="O50" i="1"/>
  <c r="R50" i="1" s="1"/>
  <c r="R49" i="1"/>
  <c r="O52" i="1"/>
  <c r="R52" i="1" s="1"/>
  <c r="H49" i="7"/>
  <c r="H48" i="7"/>
  <c r="H50" i="7"/>
  <c r="H68" i="7"/>
  <c r="E42" i="7"/>
  <c r="E39" i="6"/>
  <c r="H56" i="6"/>
  <c r="H58" i="6"/>
  <c r="H55" i="6"/>
  <c r="H57" i="6"/>
  <c r="O50" i="5"/>
  <c r="R50" i="5" s="1"/>
  <c r="R49" i="5"/>
  <c r="O52" i="5"/>
  <c r="R52" i="5" s="1"/>
  <c r="H55" i="5"/>
  <c r="H56" i="5"/>
  <c r="H58" i="5"/>
  <c r="H57" i="5"/>
  <c r="E39" i="5"/>
  <c r="O53" i="4"/>
  <c r="R53" i="4" s="1"/>
  <c r="O51" i="4"/>
  <c r="R51" i="4" s="1"/>
  <c r="R50" i="4"/>
  <c r="H56" i="4"/>
  <c r="H58" i="4"/>
  <c r="H55" i="4"/>
  <c r="H57" i="4"/>
  <c r="J35" i="15" l="1"/>
  <c r="F42" i="17" s="1"/>
  <c r="I34" i="17"/>
  <c r="I30" i="17"/>
  <c r="I112" i="13"/>
  <c r="L20" i="17"/>
  <c r="N13" i="15"/>
  <c r="J27" i="17" s="1"/>
  <c r="J26" i="17"/>
  <c r="L25" i="15"/>
  <c r="H35" i="17"/>
  <c r="K31" i="15"/>
  <c r="G36" i="17"/>
  <c r="O12" i="15"/>
  <c r="M23" i="15"/>
  <c r="L63" i="13"/>
  <c r="L64" i="13"/>
  <c r="M61" i="13"/>
  <c r="M120" i="13" s="1"/>
  <c r="M130" i="13" s="1"/>
  <c r="M149" i="13" s="1"/>
  <c r="M24" i="15"/>
  <c r="I74" i="13"/>
  <c r="I86" i="13" s="1"/>
  <c r="I114" i="13" s="1"/>
  <c r="J150" i="13"/>
  <c r="J69" i="13" s="1"/>
  <c r="K150" i="13" s="1"/>
  <c r="K69" i="13" s="1"/>
  <c r="K74" i="13" s="1"/>
  <c r="K86" i="13" s="1"/>
  <c r="J111" i="13"/>
  <c r="J112" i="13" s="1"/>
  <c r="K110" i="13"/>
  <c r="F26" i="11"/>
  <c r="I26" i="11" s="1"/>
  <c r="M26" i="11" s="1"/>
  <c r="I18" i="11"/>
  <c r="M18" i="11" s="1"/>
  <c r="H26" i="11"/>
  <c r="K26" i="11" s="1"/>
  <c r="O26" i="11" s="1"/>
  <c r="K18" i="11"/>
  <c r="O18" i="11" s="1"/>
  <c r="F68" i="7"/>
  <c r="F67" i="7"/>
  <c r="E38" i="7"/>
  <c r="H68" i="1"/>
  <c r="E42" i="1"/>
  <c r="H67" i="1"/>
  <c r="H49" i="1"/>
  <c r="H48" i="1"/>
  <c r="H50" i="1"/>
  <c r="F68" i="1"/>
  <c r="F67" i="1"/>
  <c r="E38" i="1"/>
  <c r="F68" i="6"/>
  <c r="F67" i="6"/>
  <c r="E38" i="6"/>
  <c r="F68" i="5"/>
  <c r="F67" i="5"/>
  <c r="E38" i="5"/>
  <c r="H68" i="5"/>
  <c r="E42" i="5"/>
  <c r="H67" i="5"/>
  <c r="H49" i="5"/>
  <c r="H48" i="5"/>
  <c r="H50" i="5"/>
  <c r="H49" i="4"/>
  <c r="H48" i="4"/>
  <c r="H50" i="4"/>
  <c r="H68" i="4"/>
  <c r="E42" i="4"/>
  <c r="H67" i="4"/>
  <c r="F68" i="4"/>
  <c r="F67" i="4"/>
  <c r="E38" i="4"/>
  <c r="R37" i="6"/>
  <c r="E40" i="6" s="1"/>
  <c r="H59" i="6"/>
  <c r="N36" i="6"/>
  <c r="N47" i="6" s="1"/>
  <c r="N38" i="6"/>
  <c r="O36" i="6"/>
  <c r="O47" i="6" s="1"/>
  <c r="O38" i="6"/>
  <c r="R38" i="6" s="1"/>
  <c r="K35" i="15" l="1"/>
  <c r="G42" i="17" s="1"/>
  <c r="G40" i="17"/>
  <c r="N19" i="15"/>
  <c r="J28" i="17"/>
  <c r="L31" i="15"/>
  <c r="H36" i="17"/>
  <c r="M25" i="15"/>
  <c r="I35" i="17"/>
  <c r="O18" i="15"/>
  <c r="N22" i="15"/>
  <c r="F42" i="15"/>
  <c r="F44" i="15" s="1"/>
  <c r="F46" i="15" s="1"/>
  <c r="M63" i="13"/>
  <c r="M64" i="13"/>
  <c r="L150" i="13"/>
  <c r="L69" i="13" s="1"/>
  <c r="L74" i="13" s="1"/>
  <c r="L86" i="13" s="1"/>
  <c r="J74" i="13"/>
  <c r="J86" i="13" s="1"/>
  <c r="J114" i="13" s="1"/>
  <c r="K111" i="13"/>
  <c r="K112" i="13" s="1"/>
  <c r="K114" i="13" s="1"/>
  <c r="L110" i="13"/>
  <c r="R47" i="6"/>
  <c r="R48" i="6"/>
  <c r="N49" i="6"/>
  <c r="R36" i="6"/>
  <c r="N23" i="15" l="1"/>
  <c r="J30" i="17"/>
  <c r="J34" i="17"/>
  <c r="M31" i="15"/>
  <c r="I36" i="17"/>
  <c r="L35" i="15"/>
  <c r="H42" i="17" s="1"/>
  <c r="H40" i="17"/>
  <c r="J29" i="17"/>
  <c r="P41" i="15"/>
  <c r="O22" i="15"/>
  <c r="N25" i="15"/>
  <c r="M150" i="13"/>
  <c r="M69" i="13" s="1"/>
  <c r="M74" i="13" s="1"/>
  <c r="M86" i="13" s="1"/>
  <c r="L111" i="13"/>
  <c r="L112" i="13" s="1"/>
  <c r="L114" i="13" s="1"/>
  <c r="M110" i="13"/>
  <c r="M111" i="13" s="1"/>
  <c r="M112" i="13" s="1"/>
  <c r="N50" i="6"/>
  <c r="N52" i="6"/>
  <c r="O49" i="6"/>
  <c r="M35" i="15" l="1"/>
  <c r="I42" i="17" s="1"/>
  <c r="I40" i="17"/>
  <c r="N31" i="15"/>
  <c r="N35" i="15" s="1"/>
  <c r="J36" i="17"/>
  <c r="M114" i="13"/>
  <c r="R49" i="6"/>
  <c r="O50" i="6"/>
  <c r="R50" i="6" s="1"/>
  <c r="O52" i="6"/>
  <c r="R52" i="6" s="1"/>
  <c r="P39" i="15" l="1"/>
  <c r="J40" i="17"/>
  <c r="F39" i="15"/>
  <c r="F49" i="15" s="1"/>
  <c r="J42" i="17"/>
  <c r="H48" i="6"/>
  <c r="H49" i="6"/>
  <c r="H50" i="6"/>
  <c r="H67" i="6"/>
  <c r="H68" i="6"/>
  <c r="F11" i="17" l="1"/>
  <c r="E80" i="15"/>
  <c r="E91" i="15"/>
  <c r="F47" i="15"/>
  <c r="P46" i="15"/>
  <c r="P49" i="15" s="1"/>
  <c r="K39" i="15"/>
  <c r="K45" i="15" l="1"/>
  <c r="G59" i="17"/>
  <c r="E115" i="15" l="1"/>
  <c r="G64" i="17"/>
  <c r="H11" i="17"/>
  <c r="K49" i="15"/>
  <c r="E104" i="15"/>
  <c r="H101" i="17" l="1"/>
  <c r="D101" i="17"/>
  <c r="F101" i="17"/>
  <c r="E71" i="17"/>
  <c r="E67" i="15"/>
  <c r="G66" i="17"/>
  <c r="D11" i="17"/>
  <c r="E56"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<sst xmlns="http://schemas.openxmlformats.org/spreadsheetml/2006/main" count="1856" uniqueCount="595">
  <si>
    <t>Input Page</t>
  </si>
  <si>
    <t>($ in millions, except per share data)</t>
  </si>
  <si>
    <t>General Information</t>
  </si>
  <si>
    <t>Reported Income Statement</t>
  </si>
  <si>
    <t>Balance Sheet Data</t>
  </si>
  <si>
    <t>Company Name</t>
  </si>
  <si>
    <t>Ticker</t>
  </si>
  <si>
    <t>Fiscal Year Ending December 31,</t>
  </si>
  <si>
    <t>Cash &amp; Cash Equivalents</t>
  </si>
  <si>
    <t>Stock Exchange</t>
  </si>
  <si>
    <t>Accounts Receivables</t>
  </si>
  <si>
    <t>Fisical Year Ending</t>
  </si>
  <si>
    <t>Sales</t>
  </si>
  <si>
    <t>Inventories</t>
  </si>
  <si>
    <t>Moody's Corporate Rating</t>
  </si>
  <si>
    <t>COGS (incl. D&amp;A)</t>
  </si>
  <si>
    <t>Prepaids &amp; Other Current Assets</t>
  </si>
  <si>
    <t>S&amp;P Corporate Rating</t>
  </si>
  <si>
    <t>Gross Profit</t>
  </si>
  <si>
    <t>Total Current Assets</t>
  </si>
  <si>
    <t>Predicted Beta</t>
  </si>
  <si>
    <t>SG&amp;A</t>
  </si>
  <si>
    <t>Marginal Tax</t>
  </si>
  <si>
    <t>Other Income/(Expense)</t>
  </si>
  <si>
    <t>Property, Plant &amp; Equivalent, net</t>
  </si>
  <si>
    <t>EBIT</t>
  </si>
  <si>
    <t>Goodwill &amp; Intangible Assets</t>
  </si>
  <si>
    <t>Selected Market Data</t>
  </si>
  <si>
    <t>Interest Expense</t>
  </si>
  <si>
    <t>Other Assets</t>
  </si>
  <si>
    <t>Current Price</t>
  </si>
  <si>
    <t>Pre-tax Income</t>
  </si>
  <si>
    <t>Total Assets</t>
  </si>
  <si>
    <t>% of 52-week High</t>
  </si>
  <si>
    <t>Income Taxes</t>
  </si>
  <si>
    <t>52-week High Price</t>
  </si>
  <si>
    <t>Non-controlling Interest</t>
  </si>
  <si>
    <t>Accounts Payable</t>
  </si>
  <si>
    <t>52-week Low Price</t>
  </si>
  <si>
    <t>Preferred Dividends</t>
  </si>
  <si>
    <t>Accrued Liabilities</t>
  </si>
  <si>
    <t>Dividend Per Share</t>
  </si>
  <si>
    <t>Net Income</t>
  </si>
  <si>
    <t>Other Current Liabilties</t>
  </si>
  <si>
    <t>Effective Tax Rate</t>
  </si>
  <si>
    <t>Total Current Liabilities</t>
  </si>
  <si>
    <t>Fully Diluted Shares Outstanding</t>
  </si>
  <si>
    <t>Equity Value</t>
  </si>
  <si>
    <t>Weighted Avg. Diluted Shares</t>
  </si>
  <si>
    <t>Total Debt</t>
  </si>
  <si>
    <t>Diluted EPS</t>
  </si>
  <si>
    <t>Other Long-term Liabilities</t>
  </si>
  <si>
    <t>Plus: Total Debt</t>
  </si>
  <si>
    <t>Total Liabilities</t>
  </si>
  <si>
    <t>Plus: Preferred Stock</t>
  </si>
  <si>
    <t>Adjusted Income Statement</t>
  </si>
  <si>
    <t>Plus: Non-controlling Intererst</t>
  </si>
  <si>
    <t>Reported Gross Profit</t>
  </si>
  <si>
    <t>Non-Controlling Interest</t>
  </si>
  <si>
    <t>Less: Cash &amp; Cash Equivalents</t>
  </si>
  <si>
    <t>Non-recurring items in COGS</t>
  </si>
  <si>
    <t>Preferred Stock</t>
  </si>
  <si>
    <t>Enterprise Value</t>
  </si>
  <si>
    <t>Adj. Gross Profit</t>
  </si>
  <si>
    <t>Shareholder's Equity</t>
  </si>
  <si>
    <t>% Margin</t>
  </si>
  <si>
    <t>Total Liabilities &amp; Equity</t>
  </si>
  <si>
    <t>Trading Multiples</t>
  </si>
  <si>
    <t>Reported EBIT</t>
  </si>
  <si>
    <t>Balance Check</t>
  </si>
  <si>
    <t>EV/Sales</t>
  </si>
  <si>
    <t>Other Non-recurring items</t>
  </si>
  <si>
    <t>Metric</t>
  </si>
  <si>
    <t>Adjusted EBIT</t>
  </si>
  <si>
    <t>Calculation of Fully Diluted Shares Outstanding</t>
  </si>
  <si>
    <t>EV/EBITDA</t>
  </si>
  <si>
    <t>Basic Shares Outstanding</t>
  </si>
  <si>
    <t>Plus: Shares from In-the-Money Options</t>
  </si>
  <si>
    <t>EV/EBIT</t>
  </si>
  <si>
    <t>Depreciation &amp; Amortization</t>
  </si>
  <si>
    <t>Less: Shares Repurchased</t>
  </si>
  <si>
    <t>Adjusted EBITDA</t>
  </si>
  <si>
    <t>Net New Shares from Options</t>
  </si>
  <si>
    <t>P/E</t>
  </si>
  <si>
    <t>Plus: Shares from Convertible Securities</t>
  </si>
  <si>
    <t>FCF Yield</t>
  </si>
  <si>
    <t>Reported Net Income</t>
  </si>
  <si>
    <t>Options/Warrants</t>
  </si>
  <si>
    <t>Number of Shares</t>
  </si>
  <si>
    <t>Exercise Price</t>
  </si>
  <si>
    <t>In-the-Money Shares</t>
  </si>
  <si>
    <t>Proceeds</t>
  </si>
  <si>
    <t>LTM Return on Investment Ratio</t>
  </si>
  <si>
    <t>Non-operating Non-rec. Items</t>
  </si>
  <si>
    <t>Tranche</t>
  </si>
  <si>
    <t>Return on Invested Capital</t>
  </si>
  <si>
    <t>Tax Adjustment</t>
  </si>
  <si>
    <t>Tranche 1</t>
  </si>
  <si>
    <t>Return on Equity</t>
  </si>
  <si>
    <t>Adjusted Net Income</t>
  </si>
  <si>
    <t>Tranche 2</t>
  </si>
  <si>
    <t>Return on Assets</t>
  </si>
  <si>
    <t>Tranche 3</t>
  </si>
  <si>
    <t>Implied Annual Dividend per Share</t>
  </si>
  <si>
    <t>Tranche 4</t>
  </si>
  <si>
    <t>Adjusted Diluted EPS</t>
  </si>
  <si>
    <t>Tranche 5</t>
  </si>
  <si>
    <t>LTM Credit Statistics</t>
  </si>
  <si>
    <t>Total</t>
  </si>
  <si>
    <t>Debt/Total Capitalization</t>
  </si>
  <si>
    <t>Cash Flow Statement Data</t>
  </si>
  <si>
    <t>Total Debt/EBITDA</t>
  </si>
  <si>
    <t>Cash From Operations</t>
  </si>
  <si>
    <t>Convertible Securities</t>
  </si>
  <si>
    <t>Net Debt/EBITDA</t>
  </si>
  <si>
    <t>Capital Expenditure</t>
  </si>
  <si>
    <t>Amount</t>
  </si>
  <si>
    <t>Conversion Price</t>
  </si>
  <si>
    <t>Conversion Ratio</t>
  </si>
  <si>
    <t>New Shares</t>
  </si>
  <si>
    <t>EBITDA/Interest Expense</t>
  </si>
  <si>
    <t>% Sales</t>
  </si>
  <si>
    <t>(EBITDA - Capex)/Interest Expense</t>
  </si>
  <si>
    <t>Free Cash Flow</t>
  </si>
  <si>
    <t>Issue 1</t>
  </si>
  <si>
    <t>EBIT/Interest Expense</t>
  </si>
  <si>
    <t>Issue 2</t>
  </si>
  <si>
    <t>FCF/Share</t>
  </si>
  <si>
    <t>Issue 3</t>
  </si>
  <si>
    <t>Growth Rates</t>
  </si>
  <si>
    <t>Issue 4</t>
  </si>
  <si>
    <t>EBITDA</t>
  </si>
  <si>
    <t>FCF</t>
  </si>
  <si>
    <t>EPS</t>
  </si>
  <si>
    <t>Issue 5</t>
  </si>
  <si>
    <t>Historical</t>
  </si>
  <si>
    <t>1-year</t>
  </si>
  <si>
    <t>2-year CAGR</t>
  </si>
  <si>
    <t>Notes</t>
  </si>
  <si>
    <t>Estimated</t>
  </si>
  <si>
    <t>Long-term</t>
  </si>
  <si>
    <t>Valuation &amp; Analysis of Choice Hotels International Inc. (NYSE: CHH)</t>
  </si>
  <si>
    <t>Overview</t>
  </si>
  <si>
    <t>Comparable Company Analysis</t>
  </si>
  <si>
    <t>Universe of Comparable Companies</t>
  </si>
  <si>
    <t>Sector:</t>
  </si>
  <si>
    <t xml:space="preserve">Industry: </t>
  </si>
  <si>
    <t>Geography:</t>
  </si>
  <si>
    <t>Products:</t>
  </si>
  <si>
    <t>Customers:</t>
  </si>
  <si>
    <t>Competitors:</t>
  </si>
  <si>
    <t>Distribution Channel:</t>
  </si>
  <si>
    <t>End Markets:</t>
  </si>
  <si>
    <t>Consumer Discretionary</t>
  </si>
  <si>
    <t>Hotels, Resorts &amp; Cruise Lines (Hospitality / Lodging – Asset-light franchising model)</t>
  </si>
  <si>
    <t>Primarily United States (core revenue concentration), with operations in 50+ countries and territories through direct and master franchising</t>
  </si>
  <si>
    <t>Hotel franchising services under multiple brands (economy to upscale), reservation systems, loyalty programs, and ancillary services via travel and vendor partnerships</t>
  </si>
  <si>
    <t>Business travel, Leisure travel, Budget to midscale lodging segments, Extended stay and select upscale segments</t>
  </si>
  <si>
    <t>Franchisees (hotel owners, developers, operators), End consumers (business and leisure travelers across price segments)</t>
  </si>
  <si>
    <t>($ in millions)</t>
  </si>
  <si>
    <t>List of Comparable Companies</t>
  </si>
  <si>
    <t xml:space="preserve">Company </t>
  </si>
  <si>
    <t>Sector</t>
  </si>
  <si>
    <t xml:space="preserve">Equity </t>
  </si>
  <si>
    <t>Value</t>
  </si>
  <si>
    <t xml:space="preserve">Enterprise </t>
  </si>
  <si>
    <t xml:space="preserve">LTM </t>
  </si>
  <si>
    <t>Marriot International Inc</t>
  </si>
  <si>
    <t>MAR</t>
  </si>
  <si>
    <t>ABNB</t>
  </si>
  <si>
    <t>Airbnb Inc CI A</t>
  </si>
  <si>
    <t>Hilton Worldwide Holdings Inc.</t>
  </si>
  <si>
    <t>HLT</t>
  </si>
  <si>
    <t>Wyndham Hotels &amp; Resorts Inc</t>
  </si>
  <si>
    <t>Marriott International, Airbnb Inc, Hilton Worldwide Holdings, Wyndham Hotels &amp; Resorts Inc, Hyatt Hotels Corporation</t>
  </si>
  <si>
    <t>WH</t>
  </si>
  <si>
    <t xml:space="preserve">Hyatt Hotels Corporation </t>
  </si>
  <si>
    <t>H</t>
  </si>
  <si>
    <t xml:space="preserve">Primarily B2B (franchise agreements with hotel owners) supported by B2C channels including direct bookings via brand websites, mobile apps, central reservation systems, </t>
  </si>
  <si>
    <t>and third-party travel platforms (OTAs)</t>
  </si>
  <si>
    <t>Marriott International (NYSE: MAR)</t>
  </si>
  <si>
    <t>Marriott International Inc.</t>
  </si>
  <si>
    <t>NYSE</t>
  </si>
  <si>
    <t>12/31/2025</t>
  </si>
  <si>
    <t>BBB</t>
  </si>
  <si>
    <t>Baa2</t>
  </si>
  <si>
    <t>Current Portion of Long-term Debt</t>
  </si>
  <si>
    <t>2025A</t>
  </si>
  <si>
    <t>-</t>
  </si>
  <si>
    <t>2023A</t>
  </si>
  <si>
    <t>2024A</t>
  </si>
  <si>
    <t>Prior Stub 12/31/2025</t>
  </si>
  <si>
    <t>Current Stub 12/31/2025</t>
  </si>
  <si>
    <t>LTM 12/31/2025</t>
  </si>
  <si>
    <t>NFY 12/31/2026</t>
  </si>
  <si>
    <t>NFY+1 12/31/2027</t>
  </si>
  <si>
    <t>NFY+2 12/31/2028</t>
  </si>
  <si>
    <t>Airbnb Inc. Cl A (NYSE: ABNB)</t>
  </si>
  <si>
    <t>Airbnb Inc. Cl A</t>
  </si>
  <si>
    <t>Baa1</t>
  </si>
  <si>
    <t>A-</t>
  </si>
  <si>
    <t>Short-term investments</t>
  </si>
  <si>
    <t>Deferred income tax assets</t>
  </si>
  <si>
    <t xml:space="preserve">Accrued exp, Acc payable and current </t>
  </si>
  <si>
    <t>Funds payable and amount payable</t>
  </si>
  <si>
    <t>Current portion of long-term debt</t>
  </si>
  <si>
    <t>Product &amp; Development</t>
  </si>
  <si>
    <t>Other expense, net</t>
  </si>
  <si>
    <t>Interest Income</t>
  </si>
  <si>
    <t>Hilton Worldwide Holding Inc. (NYSE: HLT)</t>
  </si>
  <si>
    <t>BB+</t>
  </si>
  <si>
    <t>Ba2</t>
  </si>
  <si>
    <t>Hyatt Hotels Corporation (NYSE: H)</t>
  </si>
  <si>
    <t>Baa3</t>
  </si>
  <si>
    <t>BBB-</t>
  </si>
  <si>
    <t>Wyndham Hotels &amp; Resorts Inc. (NYSE: WH)</t>
  </si>
  <si>
    <t>Wyndham Hotels &amp; Resorts Inc.</t>
  </si>
  <si>
    <t>Choice Hotels International Inc.</t>
  </si>
  <si>
    <t>Choice Hotels International Inc. (NYSE: CHH)</t>
  </si>
  <si>
    <t>CHH</t>
  </si>
  <si>
    <t>Prepaid expenses</t>
  </si>
  <si>
    <t>Other Current Assets</t>
  </si>
  <si>
    <t>Prepaid Expenses</t>
  </si>
  <si>
    <t>Deferred Revenue</t>
  </si>
  <si>
    <t>Early extingushment of debt</t>
  </si>
  <si>
    <t>Income Tax receivables</t>
  </si>
  <si>
    <t>Liability for guest loyalty program</t>
  </si>
  <si>
    <t>Deferred revenue</t>
  </si>
  <si>
    <t>Other income/(expenses), net</t>
  </si>
  <si>
    <r>
      <rPr>
        <b/>
        <sz val="14"/>
        <color theme="0"/>
        <rFont val="Calibri"/>
        <family val="2"/>
      </rPr>
      <t>Company Comparable Analysis</t>
    </r>
    <r>
      <rPr>
        <b/>
        <sz val="12"/>
        <color theme="0"/>
        <rFont val="Calibri"/>
        <family val="2"/>
      </rPr>
      <t xml:space="preserve"> </t>
    </r>
    <r>
      <rPr>
        <i/>
        <sz val="12"/>
        <color theme="0"/>
        <rFont val="Calibri"/>
        <family val="2"/>
      </rPr>
      <t>(Trading Multiples Output Page)</t>
    </r>
  </si>
  <si>
    <t>Current Share Price</t>
  </si>
  <si>
    <t xml:space="preserve">Enterprise Value / </t>
  </si>
  <si>
    <t>LTM</t>
  </si>
  <si>
    <t>Price/</t>
  </si>
  <si>
    <t>LT</t>
  </si>
  <si>
    <t>2026E</t>
  </si>
  <si>
    <t>2027E</t>
  </si>
  <si>
    <t>Debt/</t>
  </si>
  <si>
    <t>Company</t>
  </si>
  <si>
    <t>Margin</t>
  </si>
  <si>
    <t>Growth</t>
  </si>
  <si>
    <r>
      <rPr>
        <b/>
        <sz val="14"/>
        <color theme="0"/>
        <rFont val="Calibri"/>
        <family val="2"/>
      </rPr>
      <t>Company Comparable Analysis</t>
    </r>
    <r>
      <rPr>
        <b/>
        <sz val="12"/>
        <color theme="0"/>
        <rFont val="Calibri"/>
        <family val="2"/>
      </rPr>
      <t xml:space="preserve"> </t>
    </r>
    <r>
      <rPr>
        <i/>
        <sz val="12"/>
        <color theme="0"/>
        <rFont val="Calibri"/>
        <family val="2"/>
      </rPr>
      <t>(For Equity Research Analysts and Equity Investors)</t>
    </r>
  </si>
  <si>
    <t xml:space="preserve">Int Exp/ </t>
  </si>
  <si>
    <t>Div</t>
  </si>
  <si>
    <t>Yield</t>
  </si>
  <si>
    <t>Mean</t>
  </si>
  <si>
    <t>Median</t>
  </si>
  <si>
    <t>Maximum</t>
  </si>
  <si>
    <t>Minimum</t>
  </si>
  <si>
    <t>Valuation Implied by EV/EBITDA</t>
  </si>
  <si>
    <t xml:space="preserve">Financial </t>
  </si>
  <si>
    <t>Multiple Range</t>
  </si>
  <si>
    <t>Implied</t>
  </si>
  <si>
    <t>Less:</t>
  </si>
  <si>
    <t>Net</t>
  </si>
  <si>
    <t>Debt</t>
  </si>
  <si>
    <t>Fully</t>
  </si>
  <si>
    <t xml:space="preserve">Diluted </t>
  </si>
  <si>
    <t>Shares</t>
  </si>
  <si>
    <t>Valuation Implied by P/E - Share Price</t>
  </si>
  <si>
    <t>Income</t>
  </si>
  <si>
    <t>Share Value</t>
  </si>
  <si>
    <t>Valuation Implied by P/E - Enterprise Value</t>
  </si>
  <si>
    <t>Plus:</t>
  </si>
  <si>
    <t>($ in millions, except per share amounts, Fiscal year ending December 31)</t>
  </si>
  <si>
    <t>Historical Period</t>
  </si>
  <si>
    <t>Selling, general and administrative</t>
  </si>
  <si>
    <t>Depreciation and amortization</t>
  </si>
  <si>
    <t>Impairment of long-lived assets</t>
  </si>
  <si>
    <t>Operating income</t>
  </si>
  <si>
    <t>Interest expense</t>
  </si>
  <si>
    <t>Interest income</t>
  </si>
  <si>
    <t>Gain from an acquisition of a joint venture</t>
  </si>
  <si>
    <t>Gain on sale of assets</t>
  </si>
  <si>
    <t>Loss (gain) on extinguishment of debt</t>
  </si>
  <si>
    <t>Other (gains) losses, net</t>
  </si>
  <si>
    <t>Equity in net loss (gain) of affiliates</t>
  </si>
  <si>
    <t>Total other expenses and (income), net</t>
  </si>
  <si>
    <t>Income before income taxes</t>
  </si>
  <si>
    <t>Income tax expense</t>
  </si>
  <si>
    <t>Net income</t>
  </si>
  <si>
    <t>Basic earnings per share</t>
  </si>
  <si>
    <t>Diluted earnings per share</t>
  </si>
  <si>
    <t>Cash and cash equivalents</t>
  </si>
  <si>
    <t>Income taxes receivable</t>
  </si>
  <si>
    <t>Prepaid expenses and other current assets</t>
  </si>
  <si>
    <t>Total current assets</t>
  </si>
  <si>
    <t>Property and equipment, net</t>
  </si>
  <si>
    <t>Operating lease right-of-use assets</t>
  </si>
  <si>
    <t>Goodwill</t>
  </si>
  <si>
    <t>Intangible assets, net</t>
  </si>
  <si>
    <t>Investments in affiliates</t>
  </si>
  <si>
    <t>Deferred income taxes</t>
  </si>
  <si>
    <t>Other assets</t>
  </si>
  <si>
    <t>Total assets</t>
  </si>
  <si>
    <t>Accounts payable</t>
  </si>
  <si>
    <t>Accrued expenses and other current liabilities</t>
  </si>
  <si>
    <t>Total current liabilities</t>
  </si>
  <si>
    <t>Long-term debt</t>
  </si>
  <si>
    <t>Long-term deferred revenue</t>
  </si>
  <si>
    <t>Operating lease liabilities</t>
  </si>
  <si>
    <t>Other liabilities</t>
  </si>
  <si>
    <t>Total liabilities</t>
  </si>
  <si>
    <t>Additional paid-in-capital</t>
  </si>
  <si>
    <t>Accumulated other comprehensive loss</t>
  </si>
  <si>
    <t>Retained earnings</t>
  </si>
  <si>
    <t>Total shareholders' equity (deficit)</t>
  </si>
  <si>
    <t>Total liabilities and shareholders' equity (deficit)</t>
  </si>
  <si>
    <t>Financial Statements</t>
  </si>
  <si>
    <t>Accounts receivables</t>
  </si>
  <si>
    <t>Notes receivable</t>
  </si>
  <si>
    <t xml:space="preserve">Notes receivable </t>
  </si>
  <si>
    <t>Balance Sheet</t>
  </si>
  <si>
    <t>Income Statement</t>
  </si>
  <si>
    <t>Investments for employee benefit plans</t>
  </si>
  <si>
    <t>Deferred compensation and retirement plan</t>
  </si>
  <si>
    <t>Common stock</t>
  </si>
  <si>
    <t>Treasury stock</t>
  </si>
  <si>
    <t>Investments in equity securities, at fair value</t>
  </si>
  <si>
    <t>Liabilities &amp; Shareholder's Equity</t>
  </si>
  <si>
    <t>Projection Period</t>
  </si>
  <si>
    <t>2028E</t>
  </si>
  <si>
    <t>2029E</t>
  </si>
  <si>
    <t>2030E</t>
  </si>
  <si>
    <t>Cash Flow Statement</t>
  </si>
  <si>
    <t>Choice Hotels International Inc. Summary Historical and Projection Data</t>
  </si>
  <si>
    <t>Revenue Growth %</t>
  </si>
  <si>
    <t>COGS % Revenue</t>
  </si>
  <si>
    <t>SG&amp;A % Revenue</t>
  </si>
  <si>
    <t>Depreciation &amp; Amortization % Revenue</t>
  </si>
  <si>
    <t>Debt Interest Rate</t>
  </si>
  <si>
    <t>Accounts Receivable % Revenue</t>
  </si>
  <si>
    <t>Accounts Receivable Days</t>
  </si>
  <si>
    <t>Accounts Payable % COGS</t>
  </si>
  <si>
    <t>Accounts Payable Days</t>
  </si>
  <si>
    <t>Accrued Expenses % Operating Expenses</t>
  </si>
  <si>
    <t>Short-Term Deferred Revenue % Revenue</t>
  </si>
  <si>
    <t>Long-Term Deferred Revenue % Revenue</t>
  </si>
  <si>
    <t>CapEx % Revenue</t>
  </si>
  <si>
    <t>Operating Expenses</t>
  </si>
  <si>
    <t>Prepaid Expenses and Other % Revenue</t>
  </si>
  <si>
    <t>Other Non-current Assets % Revenue</t>
  </si>
  <si>
    <t>Operating Assumptions</t>
  </si>
  <si>
    <t>Interest Income % Revenue</t>
  </si>
  <si>
    <t>Revenue</t>
  </si>
  <si>
    <t xml:space="preserve">Amortization of Intangibles </t>
  </si>
  <si>
    <t>Raise / (Pay Off) Long-Term Debt</t>
  </si>
  <si>
    <t>Operating Activities</t>
  </si>
  <si>
    <t>Depreciation &amp; Amortization of PP&amp;E</t>
  </si>
  <si>
    <t>Amortization of Intangibles</t>
  </si>
  <si>
    <t>Changes in Operating Assets &amp; Liabilities</t>
  </si>
  <si>
    <t>Accounts Receivable</t>
  </si>
  <si>
    <t>Other Liabilities</t>
  </si>
  <si>
    <t>Cash Flow from Operations</t>
  </si>
  <si>
    <t>Investing Activities</t>
  </si>
  <si>
    <t>Purchases of Securities</t>
  </si>
  <si>
    <t>Proceeds from Maturities &amp; Sales</t>
  </si>
  <si>
    <t>Purchases of LT Investments</t>
  </si>
  <si>
    <t>Capital Expenditures</t>
  </si>
  <si>
    <t>Acquisition of Intangibles</t>
  </si>
  <si>
    <t>Other</t>
  </si>
  <si>
    <t>Cash Flow from Investing</t>
  </si>
  <si>
    <t>Financing Activities</t>
  </si>
  <si>
    <t>Common Stock Repurchased</t>
  </si>
  <si>
    <t>Dividends Issued</t>
  </si>
  <si>
    <t>Tax Benefits from Stock-Based Comp</t>
  </si>
  <si>
    <t>Cash Used for Equity Awards</t>
  </si>
  <si>
    <t>Cash Flow from Financing</t>
  </si>
  <si>
    <t>Increase / Decrease in Cash</t>
  </si>
  <si>
    <t>Deferred Income Tax</t>
  </si>
  <si>
    <t>Dividends Paid % Revenue</t>
  </si>
  <si>
    <t>Common Share Repurchases</t>
  </si>
  <si>
    <t>Common Share Repurchases % Revenue</t>
  </si>
  <si>
    <t>Long-term Debt Repayment</t>
  </si>
  <si>
    <t>Weighted Average Cost of Capital Analysis</t>
  </si>
  <si>
    <t>WACC Calculation</t>
  </si>
  <si>
    <t>Comparable Companies Unlevered Beta</t>
  </si>
  <si>
    <t>Target Capital Structure</t>
  </si>
  <si>
    <t>Predicted</t>
  </si>
  <si>
    <t>Market</t>
  </si>
  <si>
    <t>Marginal</t>
  </si>
  <si>
    <t>Unlevered</t>
  </si>
  <si>
    <t>Debt-to-Total Capitalization</t>
  </si>
  <si>
    <r>
      <t xml:space="preserve">Levered Beta </t>
    </r>
    <r>
      <rPr>
        <b/>
        <vertAlign val="superscript"/>
        <sz val="11"/>
        <color theme="1"/>
        <rFont val="Calibri"/>
        <family val="2"/>
      </rPr>
      <t>(4)</t>
    </r>
  </si>
  <si>
    <t>Value of Debt</t>
  </si>
  <si>
    <t>Value of Equity</t>
  </si>
  <si>
    <t>Equity</t>
  </si>
  <si>
    <t>Tax Rate</t>
  </si>
  <si>
    <t>Beta</t>
  </si>
  <si>
    <t>Equity-to-Total Capitalization</t>
  </si>
  <si>
    <t>Cost of Debt</t>
  </si>
  <si>
    <r>
      <t xml:space="preserve">Cost-of-Debt </t>
    </r>
    <r>
      <rPr>
        <vertAlign val="superscript"/>
        <sz val="11"/>
        <color theme="1"/>
        <rFont val="Calibri"/>
        <family val="2"/>
      </rPr>
      <t>(5)</t>
    </r>
  </si>
  <si>
    <t>After-tax Cost of Debt</t>
  </si>
  <si>
    <t>Cost of Equity</t>
  </si>
  <si>
    <t>Alphabet Inc Relevered Beta</t>
  </si>
  <si>
    <r>
      <t xml:space="preserve">Risk-free Rate </t>
    </r>
    <r>
      <rPr>
        <vertAlign val="superscript"/>
        <sz val="11"/>
        <color theme="1"/>
        <rFont val="Calibri"/>
        <family val="2"/>
      </rPr>
      <t>(1)</t>
    </r>
  </si>
  <si>
    <t>Target</t>
  </si>
  <si>
    <r>
      <t xml:space="preserve">Market Risk Premium </t>
    </r>
    <r>
      <rPr>
        <vertAlign val="superscript"/>
        <sz val="11"/>
        <color theme="1"/>
        <rFont val="Calibri"/>
        <family val="2"/>
      </rPr>
      <t>(2)</t>
    </r>
  </si>
  <si>
    <t>UnLevered</t>
  </si>
  <si>
    <t>Relevered</t>
  </si>
  <si>
    <t>Levered Beta</t>
  </si>
  <si>
    <r>
      <t xml:space="preserve">Country Risk Premium </t>
    </r>
    <r>
      <rPr>
        <vertAlign val="superscript"/>
        <sz val="11"/>
        <color theme="1"/>
        <rFont val="Calibri"/>
        <family val="2"/>
      </rPr>
      <t>(3)</t>
    </r>
  </si>
  <si>
    <t>Relevered Beta</t>
  </si>
  <si>
    <t>WACC Sensitivity Analysis</t>
  </si>
  <si>
    <t>WACC</t>
  </si>
  <si>
    <t>Pre-Tax Cost of Debt</t>
  </si>
  <si>
    <t>(1) Interpolated yield on 10-year U.S. Treasury bond, sourced from investing.com</t>
  </si>
  <si>
    <t>(2), (3) Obtained from Aswath Damodaran's Country Default Spreads and Risk Premiums</t>
  </si>
  <si>
    <t>(4) Sourced from market watch.com</t>
  </si>
  <si>
    <t>(5) Average cost of debt across Choice Hotels International Inc.'s capital structure</t>
  </si>
  <si>
    <t>Discounted Cash Flow Analysis</t>
  </si>
  <si>
    <t>Operating Scenario</t>
  </si>
  <si>
    <t>Opearting Scenario</t>
  </si>
  <si>
    <t>Mid-Year Convention</t>
  </si>
  <si>
    <t>Y</t>
  </si>
  <si>
    <t>CAGR</t>
  </si>
  <si>
    <t>('23-'25)</t>
  </si>
  <si>
    <t>('26-'30)</t>
  </si>
  <si>
    <t>% growth</t>
  </si>
  <si>
    <t>Costs and expenses</t>
  </si>
  <si>
    <t>% sales</t>
  </si>
  <si>
    <t>% margin</t>
  </si>
  <si>
    <t xml:space="preserve">Depreciation </t>
  </si>
  <si>
    <t>Taxes</t>
  </si>
  <si>
    <t>NOPAT</t>
  </si>
  <si>
    <t>Plus: D&amp;A</t>
  </si>
  <si>
    <t>Less: Capex</t>
  </si>
  <si>
    <t>Unlevered Free Cash Flow</t>
  </si>
  <si>
    <t>Discount Period</t>
  </si>
  <si>
    <t>Discount Factor</t>
  </si>
  <si>
    <t>Present Value of Free Cash Flow</t>
  </si>
  <si>
    <t>Implied Equity Value and Share Price</t>
  </si>
  <si>
    <t>Implied Perpetuity Growth Rate</t>
  </si>
  <si>
    <t>Cumulative Present Value of FCF</t>
  </si>
  <si>
    <t>Treminal Year Free Cash Flow (2030E)</t>
  </si>
  <si>
    <t>Less: Total Debt</t>
  </si>
  <si>
    <t>Terminal Value</t>
  </si>
  <si>
    <t>Less: Preferred Stock</t>
  </si>
  <si>
    <t>Terminal Year EBITDA (2030E)</t>
  </si>
  <si>
    <t>Less: Noncontrolling Interest</t>
  </si>
  <si>
    <t>Exit Multiple</t>
  </si>
  <si>
    <t>Plus: Cash &amp; Cash Equivalents</t>
  </si>
  <si>
    <t>Implied Equity Value</t>
  </si>
  <si>
    <t>Implied EV/EBITDA</t>
  </si>
  <si>
    <t>Present Value of Terminal Value</t>
  </si>
  <si>
    <t>% of Enterprise Value</t>
  </si>
  <si>
    <t>12/31/2025 EBITDA</t>
  </si>
  <si>
    <t>Implied Share Price</t>
  </si>
  <si>
    <t>S,G&amp;A</t>
  </si>
  <si>
    <t>Use Multiple Method?</t>
  </si>
  <si>
    <t>Choice Hotels International Inc. Sensitivity Analysis - Terminal Growth Rate</t>
  </si>
  <si>
    <t>Discount Rate</t>
  </si>
  <si>
    <t>Choice Hotels International Inc. Sensitivity Analysis - Exit Multiple</t>
  </si>
  <si>
    <t>Valuation Graph</t>
  </si>
  <si>
    <t>Comparable Companies Valuation</t>
  </si>
  <si>
    <t>6% - 8% Discount Rate, 1.5% - 4.5% Perpetuity Growth Rate</t>
  </si>
  <si>
    <t>6% - 8% Discount Rate, 13.0x - 19.0x EBITDA Multiple</t>
  </si>
  <si>
    <t>Min</t>
  </si>
  <si>
    <t>Max</t>
  </si>
  <si>
    <t>LTM, EV/EBITDA</t>
  </si>
  <si>
    <t>2026E, EV/EBITDA</t>
  </si>
  <si>
    <t>2027E, EV/EBITDA</t>
  </si>
  <si>
    <t>LTM, P/E</t>
  </si>
  <si>
    <t>2026E, P/E</t>
  </si>
  <si>
    <t>2027E, P/E</t>
  </si>
  <si>
    <t>Range of Multiples</t>
  </si>
  <si>
    <t>Implied Share Price Range</t>
  </si>
  <si>
    <t>Public Company Comparables</t>
  </si>
  <si>
    <t>Valuation Statistics - Choice Hotels International Inc. (Implied Share Price)</t>
  </si>
  <si>
    <t>Valuation Statistics - Choice Hotels International Inc. (Implied Enterprise Value)</t>
  </si>
  <si>
    <t>Implied Enterprise Value Range</t>
  </si>
  <si>
    <t>Implied Enterprise Value</t>
  </si>
  <si>
    <t>Intrinsic Value Assessment &amp; Equity Valuation Report</t>
  </si>
  <si>
    <t>DCF Valuation Summary — Choice Hotels International Inc. (NYSE: CHH)</t>
  </si>
  <si>
    <t>Valuation Date</t>
  </si>
  <si>
    <t>04/17/2026</t>
  </si>
  <si>
    <t>Prepared By</t>
  </si>
  <si>
    <t>Fiscal Year End</t>
  </si>
  <si>
    <t>1 · Valuation Snapshot</t>
  </si>
  <si>
    <t>Currency</t>
  </si>
  <si>
    <t>Intrinsic Value per Share</t>
  </si>
  <si>
    <t>Enterprise Value (EV)</t>
  </si>
  <si>
    <t>Shares Outstanding</t>
  </si>
  <si>
    <t>Terminal Growth Rate</t>
  </si>
  <si>
    <t>2 · Key Assumptions</t>
  </si>
  <si>
    <t>WACC Components</t>
  </si>
  <si>
    <t>Risk-Free Rate</t>
  </si>
  <si>
    <t>Equity Risk Premium</t>
  </si>
  <si>
    <t>Beta (Levered)</t>
  </si>
  <si>
    <t>Cost of Equity (Ke)</t>
  </si>
  <si>
    <t>Pre-Tax Cost of Debt (Kd)</t>
  </si>
  <si>
    <t>Debt / Total Capital</t>
  </si>
  <si>
    <t>Revenue CAGR ('FY26 - 'FY30)</t>
  </si>
  <si>
    <t xml:space="preserve">EBITDA Margin </t>
  </si>
  <si>
    <t>Dep. &amp; Amort. % of Revenue</t>
  </si>
  <si>
    <t>Capex % of Revenue</t>
  </si>
  <si>
    <t>Change in NWC % of Revenue</t>
  </si>
  <si>
    <t>3 · Revenue &amp; EBITDA Projections (USD Millions)</t>
  </si>
  <si>
    <t>YoY Growth (%)</t>
  </si>
  <si>
    <t>Gross Margin (%)</t>
  </si>
  <si>
    <t>EBITDA Margin (%)</t>
  </si>
  <si>
    <t>EBIT (NOPAT adj.)</t>
  </si>
  <si>
    <t>USD (millions)</t>
  </si>
  <si>
    <t>5 Years ('FY26 - 'FY30)</t>
  </si>
  <si>
    <t>Eldric Sequeira</t>
  </si>
  <si>
    <t>4 · Unlevered Free Cash Flow Forecast (USD Millions)</t>
  </si>
  <si>
    <t>Less: Taxes on EBIT</t>
  </si>
  <si>
    <t>Add: Dep. &amp; Amort.</t>
  </si>
  <si>
    <t>Inc/Dec in NWC</t>
  </si>
  <si>
    <t>Unlevered FCF</t>
  </si>
  <si>
    <t>Present Value of FCF</t>
  </si>
  <si>
    <t>5 · NPV &amp; Terminal Value Build (USD Millions)</t>
  </si>
  <si>
    <t>Bridge to Equity Value</t>
  </si>
  <si>
    <t>Amount (USD M)</t>
  </si>
  <si>
    <t>Add: Cash &amp; Cash Equivalents</t>
  </si>
  <si>
    <t>Less: Minority Interest</t>
  </si>
  <si>
    <t>Diluted Shares Outstanding</t>
  </si>
  <si>
    <t>6 · Sensitivity Analysis — Equity Value per Share (USD)</t>
  </si>
  <si>
    <t>7 · Scenario Analysis</t>
  </si>
  <si>
    <t>Scenario</t>
  </si>
  <si>
    <t>Rev. CAGR</t>
  </si>
  <si>
    <t>EBITDA Margin</t>
  </si>
  <si>
    <t>Bull Case</t>
  </si>
  <si>
    <t>Base Case</t>
  </si>
  <si>
    <t>Bear Case</t>
  </si>
  <si>
    <t>TGR</t>
  </si>
  <si>
    <t>EV</t>
  </si>
  <si>
    <t xml:space="preserve">Share Value </t>
  </si>
  <si>
    <t>EV ($M)</t>
  </si>
  <si>
    <t>8 · Valuation Conclusion</t>
  </si>
  <si>
    <t>Intrinsic Value Range — Base Case DCF</t>
  </si>
  <si>
    <t>→</t>
  </si>
  <si>
    <t>Public Market Comparable Valuation — Choice Hotels International Inc. (NYSE: CHH)</t>
  </si>
  <si>
    <t>Peer Trading Multiples &amp; Implied Equity Value Assessment</t>
  </si>
  <si>
    <t>Implied EV Range</t>
  </si>
  <si>
    <t xml:space="preserve">Implied Share Price </t>
  </si>
  <si>
    <t xml:space="preserve">EV/EBITDA </t>
  </si>
  <si>
    <t xml:space="preserve">EV/Revenue </t>
  </si>
  <si>
    <t>2 · Peer Universe &amp; Selection Criteria</t>
  </si>
  <si>
    <t> Current Price</t>
  </si>
  <si>
    <t>Screening criteria applied</t>
  </si>
  <si>
    <t>Sector / Industry</t>
  </si>
  <si>
    <t>Market Cap Range</t>
  </si>
  <si>
    <t>Revenue Range</t>
  </si>
  <si>
    <t>Geography</t>
  </si>
  <si>
    <t xml:space="preserve">North America </t>
  </si>
  <si>
    <t>LTM Revenue</t>
  </si>
  <si>
    <t>LTM EBITDA</t>
  </si>
  <si>
    <t>EBITDA Margin (LTM)</t>
  </si>
  <si>
    <t>Revenue Growth (YoY)</t>
  </si>
  <si>
    <t>Net Debt</t>
  </si>
  <si>
    <t>Current Market Cap</t>
  </si>
  <si>
    <t>Target company profile</t>
  </si>
  <si>
    <t>6.5% - 9.5% Discount Rate, 1.5% - 4.5% Perpetuity Growth Rate</t>
  </si>
  <si>
    <t>6.5% - 9.5% Discount Rate, 13.0x - 19.0x EBITDA Multiple</t>
  </si>
  <si>
    <t>3 · Comparable Companies — Trading Multiples</t>
  </si>
  <si>
    <t>Mkt Cap</t>
  </si>
  <si>
    <t>EV / Rev</t>
  </si>
  <si>
    <t>EV / EBITDA</t>
  </si>
  <si>
    <t>EV / EBIT</t>
  </si>
  <si>
    <t>Rev Growth</t>
  </si>
  <si>
    <t>EBITDA Mg.</t>
  </si>
  <si>
    <t>25th Percentile</t>
  </si>
  <si>
    <t>75th Percentile</t>
  </si>
  <si>
    <t>4 · Forward Multiple Benchmarking</t>
  </si>
  <si>
    <t>PEG Ratio</t>
  </si>
  <si>
    <t>5 · Implied Enterprise &amp; Equity Value (USD Millions)</t>
  </si>
  <si>
    <t>Metric Used</t>
  </si>
  <si>
    <t>Subject Metric</t>
  </si>
  <si>
    <t>Peer Low</t>
  </si>
  <si>
    <t>Peer Median</t>
  </si>
  <si>
    <t>Peer High</t>
  </si>
  <si>
    <t>Implied EV (Low)</t>
  </si>
  <si>
    <t>Implied EV (Mid)</t>
  </si>
  <si>
    <t>NTM EBITDA</t>
  </si>
  <si>
    <t>Blended</t>
  </si>
  <si>
    <t>Implied EV</t>
  </si>
  <si>
    <t>Implied EV (High)</t>
  </si>
  <si>
    <t>Equity Value per Share</t>
  </si>
  <si>
    <t>Less: Net Debt</t>
  </si>
  <si>
    <t>Implied Price per Share</t>
  </si>
  <si>
    <t>Low</t>
  </si>
  <si>
    <t>High</t>
  </si>
  <si>
    <t>Mid (Base)</t>
  </si>
  <si>
    <t>7 · Football Field — Implied Share Price Range (USD)</t>
  </si>
  <si>
    <t>LTM Sales</t>
  </si>
  <si>
    <t>LTM EBIT</t>
  </si>
  <si>
    <t>NTM Sales</t>
  </si>
  <si>
    <t>Comps-Implied Equity Value Range — Choice Hotels International Inc.</t>
  </si>
  <si>
    <t>Low Case</t>
  </si>
  <si>
    <t>High Case</t>
  </si>
  <si>
    <t>$ 8,076.9 - $ 15,863.5</t>
  </si>
  <si>
    <t>18.4x</t>
  </si>
  <si>
    <t>28.0x</t>
  </si>
  <si>
    <t>6.5x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</si>
</sst>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0.0%"/>
    <numFmt numFmtId="165" formatCode="0.0"/>
    <numFmt numFmtId="166" formatCode="_-[$$-409]* #,##0.00_ ;_-[$$-409]* \-#,##0.00\ ;_-[$$-409]* &quot;-&quot;??_ ;_-@_ "/>
    <numFmt numFmtId="167" formatCode="_-[$$-409]* #,##0.0_ ;_-[$$-409]* \-#,##0.0\ ;_-[$$-409]* &quot;-&quot;??_ ;_-@_ "/>
    <numFmt numFmtId="168" formatCode="#,##0.0"/>
    <numFmt numFmtId="169" formatCode="#,##0;\(#,##0\);\-"/>
    <numFmt numFmtId="170" formatCode="#,##0.0;\(#,##0.0\);\-"/>
    <numFmt numFmtId="171" formatCode="_-[$$-409]* #,##0_ ;_-[$$-409]* \-#,##0\ ;_-[$$-409]* &quot;-&quot;??_ ;_-@_ "/>
    <numFmt numFmtId="172" formatCode="0.000"/>
    <numFmt numFmtId="173" formatCode="0.0\x"/>
    <numFmt numFmtId="174" formatCode="_ * #,##0.0_ ;_ * \-#,##0.0_ ;_ * &quot;-&quot;??_ ;_ @_ "/>
    <numFmt numFmtId="175" formatCode="_ * #,##0_ ;_ * \-#,##0_ ;_ * &quot;-&quot;??_ ;_ @_ "/>
    <numFmt numFmtId="176" formatCode="#,##0;\(#,##0\);\ \-"/>
    <numFmt numFmtId="177" formatCode="\$_###0.0;\(\$_###0.0\);\-"/>
    <numFmt numFmtId="182" formatCode="#,##0.0;\(#,##0.0\);\ \-"/>
    <numFmt numFmtId="183" formatCode="#,##0.00;\(#,##0.00\);\ \-"/>
  </numFmts>
  <fonts count="25" x14ac:knownFonts="1">
    <font>
      <sz val="11"/>
      <color theme="1"/>
      <name val="Calibri"/>
      <family val="2"/>
    </font>
    <font>
      <sz val="11"/>
      <color theme="1"/>
      <name val="Calibri"/>
      <family val="2"/>
    </font>
    <font>
      <b/>
      <sz val="11"/>
      <color theme="0"/>
      <name val="Calibri"/>
      <family val="2"/>
    </font>
    <font>
      <b/>
      <sz val="11"/>
      <color theme="1"/>
      <name val="Calibri"/>
      <family val="2"/>
    </font>
    <font>
      <sz val="11"/>
      <color theme="0"/>
      <name val="Calibri"/>
      <family val="2"/>
    </font>
    <font>
      <b/>
      <sz val="16"/>
      <color theme="0"/>
      <name val="Calibri"/>
      <family val="2"/>
    </font>
    <font>
      <b/>
      <sz val="14"/>
      <color theme="0"/>
      <name val="Calibri"/>
      <family val="2"/>
    </font>
    <font>
      <i/>
      <sz val="11"/>
      <color theme="0"/>
      <name val="Calibri"/>
      <family val="2"/>
    </font>
    <font>
      <i/>
      <sz val="11"/>
      <color theme="1"/>
      <name val="Calibri"/>
      <family val="2"/>
    </font>
    <font>
      <b/>
      <i/>
      <sz val="11"/>
      <color theme="1"/>
      <name val="Calibri"/>
      <family val="2"/>
    </font>
    <font>
      <b/>
      <sz val="12"/>
      <color theme="0"/>
      <name val="Calibri"/>
      <family val="2"/>
    </font>
    <font>
      <i/>
      <sz val="12"/>
      <color theme="0"/>
      <name val="Calibri"/>
      <family val="2"/>
    </font>
    <font>
      <sz val="11"/>
      <color rgb="FFFF0000"/>
      <name val="Calibri"/>
      <family val="2"/>
    </font>
    <font>
      <i/>
      <sz val="11"/>
      <color rgb="FFFF0000"/>
      <name val="Calibri"/>
      <family val="2"/>
    </font>
    <font>
      <u/>
      <sz val="11"/>
      <color theme="1"/>
      <name val="Calibri"/>
      <family val="2"/>
    </font>
    <font>
      <b/>
      <vertAlign val="superscript"/>
      <sz val="11"/>
      <color theme="1"/>
      <name val="Calibri"/>
      <family val="2"/>
    </font>
    <font>
      <vertAlign val="superscript"/>
      <sz val="11"/>
      <color theme="1"/>
      <name val="Calibri"/>
      <family val="2"/>
    </font>
    <font>
      <sz val="11"/>
      <color theme="0" tint="-0.14999847407452621"/>
      <name val="Calibri"/>
      <family val="2"/>
    </font>
    <font>
      <b/>
      <sz val="11"/>
      <color theme="0" tint="-4.9989318521683403E-2"/>
      <name val="Calibri"/>
      <family val="2"/>
    </font>
    <font>
      <b/>
      <sz val="11"/>
      <color rgb="FF558ED5"/>
      <name val="Calibri"/>
      <family val="2"/>
    </font>
    <font>
      <sz val="11"/>
      <color rgb="FF558ED5"/>
      <name val="Calibri"/>
      <family val="2"/>
    </font>
    <font>
      <i/>
      <sz val="11"/>
      <color rgb="FF558ED5"/>
      <name val="Calibri"/>
      <family val="2"/>
    </font>
    <font>
      <b/>
      <sz val="11"/>
      <color rgb="FF000000"/>
      <name val="Calibri"/>
      <family val="2"/>
    </font>
    <font>
      <sz val="11"/>
      <color rgb="FF000000"/>
      <name val="Calibri"/>
      <family val="2"/>
    </font>
    <font>
      <sz val="11"/>
      <color theme="0" tint="-4.9989318521683403E-2"/>
      <name val="Calibri"/>
      <family val="2"/>
    </font>
  </fonts>
  <fills count="8">
    <fill>
      <patternFill patternType="none"/>
    </fill>
    <fill>
      <patternFill patternType="gray125"/>
    </fill>
    <fill>
      <patternFill patternType="solid">
        <fgColor rgb="FF141836"/>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79998168889431442"/>
        <bgColor indexed="64"/>
      </patternFill>
    </fill>
  </fills>
  <borders count="2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style="dotted">
        <color indexed="64"/>
      </left>
      <right/>
      <top style="thin">
        <color indexed="64"/>
      </top>
      <bottom/>
      <diagonal/>
    </border>
    <border>
      <left/>
      <right style="dotted">
        <color indexed="64"/>
      </right>
      <top style="thin">
        <color indexed="64"/>
      </top>
      <bottom/>
      <diagonal/>
    </border>
    <border>
      <left style="dotted">
        <color indexed="64"/>
      </left>
      <right/>
      <top/>
      <bottom style="thin">
        <color indexed="64"/>
      </bottom>
      <diagonal/>
    </border>
    <border>
      <left/>
      <right style="dotted">
        <color indexed="64"/>
      </right>
      <top/>
      <bottom style="thin">
        <color indexed="64"/>
      </bottom>
      <diagonal/>
    </border>
    <border>
      <left style="dotted">
        <color indexed="64"/>
      </left>
      <right/>
      <top/>
      <bottom/>
      <diagonal/>
    </border>
    <border>
      <left/>
      <right style="dotted">
        <color indexed="64"/>
      </right>
      <top/>
      <bottom/>
      <diagonal/>
    </border>
    <border>
      <left style="dotted">
        <color indexed="64"/>
      </left>
      <right/>
      <top style="thin">
        <color indexed="64"/>
      </top>
      <bottom style="double">
        <color indexed="64"/>
      </bottom>
      <diagonal/>
    </border>
    <border>
      <left/>
      <right style="dotted">
        <color indexed="64"/>
      </right>
      <top style="thin">
        <color indexed="64"/>
      </top>
      <bottom style="double">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auto="1"/>
      </left>
      <right/>
      <top style="thin">
        <color auto="1"/>
      </top>
      <bottom/>
      <diagonal/>
    </border>
    <border>
      <left style="thin">
        <color auto="1"/>
      </left>
      <right/>
      <top/>
      <bottom/>
      <diagonal/>
    </border>
    <border>
      <left style="thin">
        <color auto="1"/>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dotted">
        <color auto="1"/>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09">
    <xf numFmtId="0" fontId="0" fillId="0" borderId="0" xfId="0"/>
    <xf numFmtId="0" fontId="5" fillId="2" borderId="0" xfId="0" applyFont="1" applyFill="1"/>
    <xf numFmtId="0" fontId="4" fillId="2" borderId="0" xfId="0" applyFont="1" applyFill="1"/>
    <xf numFmtId="0" fontId="6" fillId="2" borderId="0" xfId="0" applyFont="1" applyFill="1"/>
    <xf numFmtId="0" fontId="7" fillId="2" borderId="0" xfId="0" applyFont="1" applyFill="1"/>
    <xf numFmtId="0" fontId="8" fillId="0" borderId="0" xfId="0" applyFont="1"/>
    <xf numFmtId="0" fontId="2" fillId="2" borderId="0" xfId="0" applyFont="1" applyFill="1"/>
    <xf numFmtId="0" fontId="3" fillId="0" borderId="0" xfId="0" applyFont="1"/>
    <xf numFmtId="0" fontId="3" fillId="0" borderId="1" xfId="0" applyFont="1" applyBorder="1"/>
    <xf numFmtId="0" fontId="0" fillId="0" borderId="1" xfId="0" applyBorder="1"/>
    <xf numFmtId="0" fontId="3" fillId="0" borderId="0" xfId="0" applyFont="1" applyAlignment="1">
      <alignment horizontal="left" indent="1"/>
    </xf>
    <xf numFmtId="0" fontId="0" fillId="0" borderId="2" xfId="0" applyBorder="1"/>
    <xf numFmtId="0" fontId="0" fillId="0" borderId="3" xfId="0" applyBorder="1"/>
    <xf numFmtId="0" fontId="0" fillId="0" borderId="0" xfId="0" applyAlignment="1">
      <alignment horizontal="left"/>
    </xf>
    <xf numFmtId="0" fontId="8" fillId="0" borderId="0" xfId="0" applyFont="1" applyAlignment="1">
      <alignment horizontal="left" indent="1"/>
    </xf>
    <xf numFmtId="0" fontId="0" fillId="0" borderId="0" xfId="0" applyAlignment="1">
      <alignment horizontal="left" indent="1"/>
    </xf>
    <xf numFmtId="0" fontId="3" fillId="0" borderId="0" xfId="0" applyFont="1" applyAlignment="1">
      <alignment horizontal="left"/>
    </xf>
    <xf numFmtId="0" fontId="3" fillId="0" borderId="2" xfId="0" applyFont="1" applyBorder="1"/>
    <xf numFmtId="0" fontId="2" fillId="2" borderId="0" xfId="0" applyFont="1" applyFill="1" applyAlignment="1">
      <alignment horizontal="left"/>
    </xf>
    <xf numFmtId="0" fontId="3" fillId="0" borderId="1" xfId="0" applyFont="1" applyBorder="1" applyAlignment="1">
      <alignment horizontal="center"/>
    </xf>
    <xf numFmtId="49" fontId="0" fillId="0" borderId="0" xfId="0" applyNumberFormat="1"/>
    <xf numFmtId="0" fontId="8" fillId="0" borderId="0" xfId="0" applyFont="1" applyAlignment="1">
      <alignment horizontal="left"/>
    </xf>
    <xf numFmtId="0" fontId="0" fillId="0" borderId="0" xfId="0" applyAlignment="1">
      <alignment horizontal="center"/>
    </xf>
    <xf numFmtId="0" fontId="3" fillId="0" borderId="0" xfId="0" applyFont="1" applyAlignment="1">
      <alignment horizontal="center"/>
    </xf>
    <xf numFmtId="0" fontId="6" fillId="2" borderId="0" xfId="0" applyFont="1" applyFill="1" applyAlignment="1">
      <alignment horizontal="left"/>
    </xf>
    <xf numFmtId="0" fontId="0" fillId="0" borderId="5" xfId="0" applyBorder="1" applyAlignment="1">
      <alignment vertical="center"/>
    </xf>
    <xf numFmtId="0" fontId="0" fillId="0" borderId="6" xfId="0" applyBorder="1" applyAlignment="1">
      <alignment vertical="center"/>
    </xf>
    <xf numFmtId="0" fontId="0" fillId="0" borderId="0" xfId="0" applyAlignment="1">
      <alignment horizontal="right"/>
    </xf>
    <xf numFmtId="165" fontId="0" fillId="0" borderId="0" xfId="0" applyNumberFormat="1"/>
    <xf numFmtId="2" fontId="0" fillId="0" borderId="0" xfId="0" applyNumberFormat="1"/>
    <xf numFmtId="164" fontId="8" fillId="0" borderId="0" xfId="2" applyNumberFormat="1" applyFont="1"/>
    <xf numFmtId="164" fontId="8" fillId="0" borderId="0" xfId="0" applyNumberFormat="1" applyFont="1" applyAlignment="1">
      <alignment horizontal="right"/>
    </xf>
    <xf numFmtId="166" fontId="0" fillId="0" borderId="0" xfId="0" applyNumberFormat="1"/>
    <xf numFmtId="167" fontId="0" fillId="0" borderId="0" xfId="0" applyNumberFormat="1"/>
    <xf numFmtId="3" fontId="0" fillId="0" borderId="0" xfId="0" applyNumberFormat="1"/>
    <xf numFmtId="168" fontId="0" fillId="0" borderId="0" xfId="0" applyNumberFormat="1"/>
    <xf numFmtId="166" fontId="3" fillId="0" borderId="2" xfId="0" applyNumberFormat="1" applyFont="1" applyBorder="1"/>
    <xf numFmtId="167" fontId="3" fillId="0" borderId="2" xfId="0" applyNumberFormat="1" applyFont="1" applyBorder="1"/>
    <xf numFmtId="169" fontId="0" fillId="0" borderId="0" xfId="0" applyNumberFormat="1"/>
    <xf numFmtId="170" fontId="0" fillId="0" borderId="0" xfId="0" applyNumberFormat="1"/>
    <xf numFmtId="170" fontId="3" fillId="0" borderId="2" xfId="0" applyNumberFormat="1" applyFont="1" applyBorder="1"/>
    <xf numFmtId="168" fontId="3" fillId="0" borderId="3" xfId="0" applyNumberFormat="1" applyFont="1" applyBorder="1"/>
    <xf numFmtId="168" fontId="0" fillId="0" borderId="1" xfId="0" applyNumberFormat="1" applyBorder="1"/>
    <xf numFmtId="166" fontId="3" fillId="0" borderId="0" xfId="0" applyNumberFormat="1" applyFont="1"/>
    <xf numFmtId="167" fontId="3" fillId="0" borderId="0" xfId="0" applyNumberFormat="1" applyFont="1"/>
    <xf numFmtId="172" fontId="8" fillId="0" borderId="0" xfId="0" applyNumberFormat="1" applyFont="1"/>
    <xf numFmtId="169" fontId="3" fillId="0" borderId="2" xfId="0" applyNumberFormat="1" applyFont="1" applyBorder="1"/>
    <xf numFmtId="169" fontId="3" fillId="0" borderId="3" xfId="0" applyNumberFormat="1" applyFont="1" applyBorder="1"/>
    <xf numFmtId="167" fontId="3" fillId="0" borderId="3" xfId="0" applyNumberFormat="1" applyFont="1" applyBorder="1"/>
    <xf numFmtId="169" fontId="0" fillId="0" borderId="1" xfId="0" applyNumberFormat="1" applyBorder="1"/>
    <xf numFmtId="169" fontId="3" fillId="0" borderId="0" xfId="0" applyNumberFormat="1" applyFont="1"/>
    <xf numFmtId="169" fontId="3" fillId="0" borderId="4" xfId="0" applyNumberFormat="1"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69" fontId="0" fillId="0" borderId="2" xfId="0" applyNumberFormat="1" applyBorder="1"/>
    <xf numFmtId="0" fontId="3" fillId="0" borderId="7" xfId="0" applyFont="1" applyBorder="1"/>
    <xf numFmtId="0" fontId="3" fillId="0" borderId="8" xfId="0" applyFont="1" applyBorder="1"/>
    <xf numFmtId="164" fontId="0" fillId="0" borderId="0" xfId="2" applyNumberFormat="1" applyFont="1"/>
    <xf numFmtId="173" fontId="0" fillId="0" borderId="0" xfId="0" applyNumberFormat="1"/>
    <xf numFmtId="164" fontId="0" fillId="0" borderId="0" xfId="0" applyNumberFormat="1"/>
    <xf numFmtId="171" fontId="0" fillId="0" borderId="0" xfId="0" applyNumberFormat="1"/>
    <xf numFmtId="0" fontId="0" fillId="3" borderId="0" xfId="0" applyFill="1"/>
    <xf numFmtId="0" fontId="3" fillId="3" borderId="0" xfId="0" applyFont="1" applyFill="1"/>
    <xf numFmtId="0" fontId="3" fillId="3" borderId="1" xfId="0" applyFont="1" applyFill="1" applyBorder="1"/>
    <xf numFmtId="0" fontId="3" fillId="3" borderId="1" xfId="0" applyFont="1" applyFill="1" applyBorder="1" applyAlignment="1">
      <alignment horizontal="center"/>
    </xf>
    <xf numFmtId="169" fontId="3" fillId="0" borderId="7" xfId="0" applyNumberFormat="1" applyFont="1" applyBorder="1"/>
    <xf numFmtId="0" fontId="10" fillId="2" borderId="0" xfId="0" applyFont="1" applyFill="1"/>
    <xf numFmtId="0" fontId="3" fillId="4" borderId="0" xfId="0" applyFont="1" applyFill="1" applyAlignment="1">
      <alignment horizontal="center"/>
    </xf>
    <xf numFmtId="0" fontId="3" fillId="4" borderId="1" xfId="0" applyFont="1" applyFill="1" applyBorder="1" applyAlignment="1">
      <alignment horizontal="center"/>
    </xf>
    <xf numFmtId="0" fontId="3" fillId="4" borderId="0" xfId="0" applyFont="1" applyFill="1"/>
    <xf numFmtId="0" fontId="3" fillId="4" borderId="1" xfId="0" applyFont="1" applyFill="1" applyBorder="1"/>
    <xf numFmtId="174" fontId="0" fillId="0" borderId="0" xfId="1" applyNumberFormat="1" applyFont="1"/>
    <xf numFmtId="164" fontId="9" fillId="0" borderId="0" xfId="2" applyNumberFormat="1" applyFont="1"/>
    <xf numFmtId="0" fontId="3" fillId="3" borderId="2" xfId="0" applyFont="1" applyFill="1" applyBorder="1"/>
    <xf numFmtId="173" fontId="3" fillId="3" borderId="2" xfId="0" applyNumberFormat="1" applyFont="1" applyFill="1" applyBorder="1"/>
    <xf numFmtId="164" fontId="9" fillId="3" borderId="2" xfId="2" applyNumberFormat="1" applyFont="1" applyFill="1" applyBorder="1"/>
    <xf numFmtId="173" fontId="3" fillId="3" borderId="1" xfId="0" applyNumberFormat="1" applyFont="1" applyFill="1" applyBorder="1"/>
    <xf numFmtId="164" fontId="9" fillId="3" borderId="1" xfId="2" applyNumberFormat="1" applyFont="1" applyFill="1" applyBorder="1"/>
    <xf numFmtId="164" fontId="3" fillId="3" borderId="2" xfId="2" applyNumberFormat="1" applyFont="1" applyFill="1" applyBorder="1"/>
    <xf numFmtId="164" fontId="3" fillId="3" borderId="1" xfId="2" applyNumberFormat="1" applyFont="1" applyFill="1" applyBorder="1"/>
    <xf numFmtId="164" fontId="3" fillId="0" borderId="0" xfId="2" applyNumberFormat="1" applyFont="1"/>
    <xf numFmtId="0" fontId="3" fillId="3" borderId="0" xfId="0" applyFont="1" applyFill="1" applyAlignment="1">
      <alignment horizontal="center"/>
    </xf>
    <xf numFmtId="171" fontId="0" fillId="0" borderId="0" xfId="0" applyNumberFormat="1" applyAlignment="1">
      <alignment horizontal="center"/>
    </xf>
    <xf numFmtId="173" fontId="0" fillId="0" borderId="0" xfId="0" applyNumberFormat="1" applyAlignment="1">
      <alignment horizontal="center"/>
    </xf>
    <xf numFmtId="169"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71" fontId="0" fillId="0" borderId="0" xfId="0" applyNumberFormat="1" applyAlignment="1">
      <alignment horizontal="left"/>
    </xf>
    <xf numFmtId="165" fontId="0" fillId="0" borderId="0" xfId="0" applyNumberFormat="1" applyAlignment="1">
      <alignment horizontal="center"/>
    </xf>
    <xf numFmtId="175" fontId="0" fillId="0" borderId="0" xfId="1" applyNumberFormat="1" applyFont="1" applyAlignment="1">
      <alignment horizontal="center"/>
    </xf>
    <xf numFmtId="164" fontId="8" fillId="0" borderId="11" xfId="2" applyNumberFormat="1" applyFont="1" applyBorder="1" applyAlignment="1">
      <alignment horizontal="center"/>
    </xf>
    <xf numFmtId="164" fontId="8" fillId="0" borderId="0" xfId="2" applyNumberFormat="1" applyFont="1" applyBorder="1" applyAlignment="1">
      <alignment horizontal="center"/>
    </xf>
    <xf numFmtId="164" fontId="8" fillId="0" borderId="12" xfId="2" applyNumberFormat="1" applyFont="1" applyBorder="1" applyAlignment="1">
      <alignment horizontal="center"/>
    </xf>
    <xf numFmtId="165" fontId="1" fillId="0" borderId="11" xfId="2" applyNumberFormat="1" applyFont="1" applyBorder="1" applyAlignment="1">
      <alignment horizontal="center"/>
    </xf>
    <xf numFmtId="165" fontId="1" fillId="0" borderId="0" xfId="2" applyNumberFormat="1" applyFont="1" applyBorder="1" applyAlignment="1">
      <alignment horizontal="center"/>
    </xf>
    <xf numFmtId="165" fontId="1" fillId="0" borderId="12" xfId="2" applyNumberFormat="1" applyFont="1" applyBorder="1" applyAlignment="1">
      <alignment horizontal="center"/>
    </xf>
    <xf numFmtId="169" fontId="0" fillId="0" borderId="11" xfId="0" applyNumberFormat="1" applyBorder="1" applyAlignment="1">
      <alignment horizontal="center"/>
    </xf>
    <xf numFmtId="169" fontId="0" fillId="0" borderId="12"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69" fontId="3" fillId="0" borderId="11" xfId="0" applyNumberFormat="1" applyFont="1" applyBorder="1" applyAlignment="1">
      <alignment horizontal="center"/>
    </xf>
    <xf numFmtId="169" fontId="3" fillId="0" borderId="0" xfId="0" applyNumberFormat="1" applyFont="1" applyAlignment="1">
      <alignment horizontal="center"/>
    </xf>
    <xf numFmtId="169" fontId="3" fillId="0" borderId="12" xfId="0" applyNumberFormat="1" applyFont="1" applyBorder="1" applyAlignment="1">
      <alignment horizontal="center"/>
    </xf>
    <xf numFmtId="169" fontId="3" fillId="0" borderId="7" xfId="0" applyNumberFormat="1" applyFont="1" applyBorder="1" applyAlignment="1">
      <alignment horizontal="center"/>
    </xf>
    <xf numFmtId="169" fontId="3" fillId="0" borderId="2" xfId="0" applyNumberFormat="1" applyFont="1" applyBorder="1" applyAlignment="1">
      <alignment horizontal="center"/>
    </xf>
    <xf numFmtId="169" fontId="3" fillId="0" borderId="8" xfId="0" applyNumberFormat="1" applyFont="1" applyBorder="1" applyAlignment="1">
      <alignment horizontal="center"/>
    </xf>
    <xf numFmtId="169" fontId="3" fillId="0" borderId="15" xfId="0" applyNumberFormat="1" applyFont="1" applyBorder="1" applyAlignment="1">
      <alignment horizontal="center"/>
    </xf>
    <xf numFmtId="169" fontId="3" fillId="0" borderId="3" xfId="0" applyNumberFormat="1" applyFont="1" applyBorder="1" applyAlignment="1">
      <alignment horizontal="center"/>
    </xf>
    <xf numFmtId="169" fontId="3" fillId="0" borderId="16" xfId="0" applyNumberFormat="1" applyFont="1" applyBorder="1" applyAlignment="1">
      <alignment horizontal="center"/>
    </xf>
    <xf numFmtId="171" fontId="8" fillId="0" borderId="0" xfId="2" applyNumberFormat="1" applyFont="1" applyBorder="1" applyAlignment="1">
      <alignment horizontal="center"/>
    </xf>
    <xf numFmtId="171" fontId="8" fillId="0" borderId="12" xfId="2" applyNumberFormat="1" applyFont="1" applyBorder="1" applyAlignment="1">
      <alignment horizontal="center"/>
    </xf>
    <xf numFmtId="0" fontId="13" fillId="0" borderId="0" xfId="0" applyFont="1" applyAlignment="1">
      <alignment horizontal="center"/>
    </xf>
    <xf numFmtId="0" fontId="12" fillId="0" borderId="0" xfId="0" applyFont="1"/>
    <xf numFmtId="172" fontId="13" fillId="0" borderId="0" xfId="0" applyNumberFormat="1" applyFont="1"/>
    <xf numFmtId="166" fontId="3" fillId="0" borderId="11" xfId="0" applyNumberFormat="1" applyFont="1" applyBorder="1" applyAlignment="1">
      <alignment horizontal="center"/>
    </xf>
    <xf numFmtId="166" fontId="3" fillId="0" borderId="0" xfId="0" applyNumberFormat="1" applyFont="1" applyAlignment="1">
      <alignment horizontal="center"/>
    </xf>
    <xf numFmtId="166" fontId="3" fillId="0" borderId="12" xfId="0" applyNumberFormat="1" applyFont="1" applyBorder="1" applyAlignment="1">
      <alignment horizontal="center"/>
    </xf>
    <xf numFmtId="0" fontId="3" fillId="4" borderId="9" xfId="0" applyFont="1" applyFill="1" applyBorder="1" applyAlignment="1">
      <alignment horizontal="center"/>
    </xf>
    <xf numFmtId="0" fontId="3" fillId="4" borderId="10" xfId="0" applyFont="1" applyFill="1" applyBorder="1" applyAlignment="1">
      <alignment horizontal="center"/>
    </xf>
    <xf numFmtId="0" fontId="0" fillId="4" borderId="11" xfId="0" applyFill="1" applyBorder="1"/>
    <xf numFmtId="0" fontId="0" fillId="4" borderId="0" xfId="0" applyFill="1"/>
    <xf numFmtId="0" fontId="0" fillId="4" borderId="12" xfId="0" applyFill="1" applyBorder="1"/>
    <xf numFmtId="0" fontId="0" fillId="4" borderId="12" xfId="0" applyFill="1" applyBorder="1" applyAlignment="1">
      <alignment vertical="top"/>
    </xf>
    <xf numFmtId="0" fontId="14" fillId="0" borderId="0" xfId="0" applyFont="1"/>
    <xf numFmtId="0" fontId="14" fillId="0" borderId="11" xfId="0" applyFont="1" applyBorder="1"/>
    <xf numFmtId="0" fontId="14" fillId="0" borderId="12" xfId="0" applyFont="1" applyBorder="1"/>
    <xf numFmtId="0" fontId="9" fillId="0" borderId="0" xfId="0" applyFont="1"/>
    <xf numFmtId="10" fontId="0" fillId="0" borderId="0" xfId="0" applyNumberFormat="1"/>
    <xf numFmtId="176" fontId="0" fillId="0" borderId="0" xfId="0" applyNumberFormat="1"/>
    <xf numFmtId="10" fontId="0" fillId="0" borderId="0" xfId="2" applyNumberFormat="1" applyFont="1"/>
    <xf numFmtId="9" fontId="0" fillId="0" borderId="0" xfId="0" applyNumberFormat="1"/>
    <xf numFmtId="10" fontId="3" fillId="3" borderId="17" xfId="2" applyNumberFormat="1" applyFont="1" applyFill="1" applyBorder="1"/>
    <xf numFmtId="10" fontId="3" fillId="3" borderId="2" xfId="2" applyNumberFormat="1" applyFont="1" applyFill="1" applyBorder="1"/>
    <xf numFmtId="2" fontId="3" fillId="3" borderId="2" xfId="0" applyNumberFormat="1" applyFont="1" applyFill="1" applyBorder="1"/>
    <xf numFmtId="164" fontId="3" fillId="0" borderId="0" xfId="2" applyNumberFormat="1" applyFont="1" applyBorder="1"/>
    <xf numFmtId="2" fontId="3" fillId="3" borderId="1" xfId="0" applyNumberFormat="1" applyFont="1" applyFill="1" applyBorder="1"/>
    <xf numFmtId="10" fontId="3" fillId="3" borderId="1" xfId="2" applyNumberFormat="1" applyFont="1" applyFill="1" applyBorder="1"/>
    <xf numFmtId="10" fontId="17" fillId="3" borderId="0" xfId="0" applyNumberFormat="1" applyFont="1" applyFill="1"/>
    <xf numFmtId="10" fontId="3" fillId="3" borderId="3" xfId="0" applyNumberFormat="1" applyFont="1" applyFill="1" applyBorder="1"/>
    <xf numFmtId="10" fontId="3" fillId="3" borderId="18" xfId="0" applyNumberFormat="1" applyFont="1" applyFill="1" applyBorder="1"/>
    <xf numFmtId="10" fontId="0" fillId="3" borderId="0" xfId="2" applyNumberFormat="1" applyFont="1" applyFill="1"/>
    <xf numFmtId="10" fontId="3" fillId="4" borderId="0" xfId="2" applyNumberFormat="1" applyFont="1" applyFill="1"/>
    <xf numFmtId="0" fontId="2" fillId="2" borderId="0" xfId="0" applyFont="1" applyFill="1" applyAlignment="1">
      <alignment horizontal="right"/>
    </xf>
    <xf numFmtId="0" fontId="3" fillId="4" borderId="15" xfId="0" applyFont="1" applyFill="1" applyBorder="1" applyAlignment="1">
      <alignment horizontal="center"/>
    </xf>
    <xf numFmtId="171" fontId="3" fillId="0" borderId="0" xfId="0" applyNumberFormat="1" applyFont="1"/>
    <xf numFmtId="164" fontId="8" fillId="0" borderId="0" xfId="2" applyNumberFormat="1" applyFont="1" applyAlignment="1">
      <alignment horizontal="center"/>
    </xf>
    <xf numFmtId="171" fontId="3" fillId="0" borderId="11" xfId="0" applyNumberFormat="1" applyFont="1" applyBorder="1"/>
    <xf numFmtId="0" fontId="8" fillId="0" borderId="0" xfId="0" applyFont="1" applyAlignment="1">
      <alignment horizontal="right"/>
    </xf>
    <xf numFmtId="164" fontId="8" fillId="0" borderId="11" xfId="2" applyNumberFormat="1" applyFont="1" applyBorder="1"/>
    <xf numFmtId="176" fontId="0" fillId="0" borderId="11" xfId="0" applyNumberFormat="1" applyBorder="1"/>
    <xf numFmtId="171" fontId="3" fillId="0" borderId="2" xfId="0" applyNumberFormat="1" applyFont="1" applyBorder="1"/>
    <xf numFmtId="171" fontId="3" fillId="0" borderId="7" xfId="0" applyNumberFormat="1" applyFont="1" applyBorder="1"/>
    <xf numFmtId="164" fontId="0" fillId="0" borderId="11" xfId="0" applyNumberFormat="1" applyBorder="1"/>
    <xf numFmtId="3" fontId="0" fillId="0" borderId="9" xfId="0" applyNumberFormat="1" applyBorder="1"/>
    <xf numFmtId="3" fontId="0" fillId="0" borderId="1" xfId="0" applyNumberFormat="1" applyBorder="1"/>
    <xf numFmtId="171" fontId="3" fillId="4" borderId="15" xfId="0" applyNumberFormat="1" applyFont="1" applyFill="1" applyBorder="1"/>
    <xf numFmtId="171" fontId="3" fillId="4" borderId="3" xfId="0" applyNumberFormat="1" applyFont="1" applyFill="1" applyBorder="1"/>
    <xf numFmtId="10" fontId="0" fillId="3" borderId="17" xfId="0" applyNumberFormat="1" applyFill="1" applyBorder="1" applyAlignment="1">
      <alignment horizontal="center"/>
    </xf>
    <xf numFmtId="173" fontId="0" fillId="0" borderId="1" xfId="0" applyNumberFormat="1" applyBorder="1"/>
    <xf numFmtId="176" fontId="0" fillId="0" borderId="1" xfId="0" applyNumberFormat="1" applyBorder="1"/>
    <xf numFmtId="9" fontId="3" fillId="3" borderId="17" xfId="0" applyNumberFormat="1" applyFont="1" applyFill="1" applyBorder="1"/>
    <xf numFmtId="10" fontId="0" fillId="0" borderId="1" xfId="0" applyNumberFormat="1" applyBorder="1"/>
    <xf numFmtId="171" fontId="3" fillId="3" borderId="17" xfId="0" applyNumberFormat="1" applyFont="1" applyFill="1" applyBorder="1"/>
    <xf numFmtId="166" fontId="3" fillId="3" borderId="17" xfId="0" applyNumberFormat="1" applyFont="1" applyFill="1" applyBorder="1" applyAlignment="1">
      <alignment horizontal="left" indent="1"/>
    </xf>
    <xf numFmtId="173" fontId="3" fillId="3" borderId="17" xfId="0" applyNumberFormat="1" applyFont="1" applyFill="1" applyBorder="1"/>
    <xf numFmtId="171" fontId="0" fillId="0" borderId="5" xfId="0" applyNumberFormat="1" applyBorder="1" applyAlignment="1">
      <alignment vertical="center"/>
    </xf>
    <xf numFmtId="171" fontId="0" fillId="0" borderId="6" xfId="0" applyNumberFormat="1" applyBorder="1" applyAlignment="1">
      <alignment vertical="center"/>
    </xf>
    <xf numFmtId="167" fontId="0" fillId="5" borderId="0" xfId="0" applyNumberFormat="1" applyFill="1"/>
    <xf numFmtId="167" fontId="0" fillId="4" borderId="19" xfId="0" applyNumberFormat="1" applyFill="1" applyBorder="1"/>
    <xf numFmtId="167" fontId="0" fillId="4" borderId="2" xfId="0" applyNumberFormat="1" applyFill="1" applyBorder="1"/>
    <xf numFmtId="167" fontId="0" fillId="4" borderId="20" xfId="0" applyNumberFormat="1" applyFill="1" applyBorder="1"/>
    <xf numFmtId="167" fontId="0" fillId="4" borderId="0" xfId="0" applyNumberFormat="1" applyFill="1"/>
    <xf numFmtId="173" fontId="3" fillId="4" borderId="20" xfId="0" applyNumberFormat="1" applyFont="1" applyFill="1" applyBorder="1"/>
    <xf numFmtId="166" fontId="18" fillId="4" borderId="19" xfId="0" applyNumberFormat="1" applyFont="1" applyFill="1" applyBorder="1"/>
    <xf numFmtId="167" fontId="3" fillId="6" borderId="0" xfId="0" applyNumberFormat="1" applyFont="1" applyFill="1"/>
    <xf numFmtId="166" fontId="0" fillId="4" borderId="0" xfId="0" applyNumberFormat="1" applyFill="1"/>
    <xf numFmtId="167" fontId="0" fillId="4" borderId="21" xfId="0" applyNumberFormat="1" applyFill="1" applyBorder="1"/>
    <xf numFmtId="167" fontId="0" fillId="4" borderId="1" xfId="0" applyNumberFormat="1" applyFill="1" applyBorder="1"/>
    <xf numFmtId="173" fontId="3" fillId="4" borderId="21" xfId="0" applyNumberFormat="1" applyFont="1" applyFill="1" applyBorder="1"/>
    <xf numFmtId="164" fontId="3" fillId="4" borderId="20" xfId="0" applyNumberFormat="1" applyFont="1" applyFill="1" applyBorder="1"/>
    <xf numFmtId="164" fontId="3" fillId="4" borderId="21" xfId="0" applyNumberFormat="1" applyFont="1" applyFill="1" applyBorder="1"/>
    <xf numFmtId="10" fontId="3" fillId="4" borderId="2" xfId="2" applyNumberFormat="1" applyFont="1" applyFill="1" applyBorder="1"/>
    <xf numFmtId="167" fontId="0" fillId="0" borderId="11" xfId="0" applyNumberFormat="1" applyBorder="1" applyAlignment="1">
      <alignment horizontal="center"/>
    </xf>
    <xf numFmtId="167" fontId="0" fillId="0" borderId="11" xfId="0" applyNumberFormat="1" applyBorder="1"/>
    <xf numFmtId="0" fontId="3" fillId="4" borderId="3" xfId="0" applyFont="1" applyFill="1" applyBorder="1" applyAlignment="1">
      <alignment horizontal="center"/>
    </xf>
    <xf numFmtId="171" fontId="0" fillId="0" borderId="11" xfId="0" applyNumberFormat="1" applyBorder="1"/>
    <xf numFmtId="169" fontId="20" fillId="0" borderId="11" xfId="0" applyNumberFormat="1" applyFont="1" applyBorder="1" applyAlignment="1">
      <alignment horizontal="center"/>
    </xf>
    <xf numFmtId="169" fontId="20" fillId="0" borderId="0" xfId="0" applyNumberFormat="1" applyFont="1" applyAlignment="1">
      <alignment horizontal="center"/>
    </xf>
    <xf numFmtId="169" fontId="20" fillId="0" borderId="12" xfId="0" applyNumberFormat="1" applyFont="1" applyBorder="1" applyAlignment="1">
      <alignment horizontal="center"/>
    </xf>
    <xf numFmtId="166" fontId="19" fillId="0" borderId="11" xfId="0" applyNumberFormat="1" applyFont="1" applyBorder="1" applyAlignment="1">
      <alignment horizontal="center"/>
    </xf>
    <xf numFmtId="166" fontId="19" fillId="0" borderId="0" xfId="0" applyNumberFormat="1" applyFont="1" applyAlignment="1">
      <alignment horizontal="center"/>
    </xf>
    <xf numFmtId="166" fontId="19" fillId="0" borderId="12" xfId="0" applyNumberFormat="1" applyFont="1" applyBorder="1" applyAlignment="1">
      <alignment horizontal="center"/>
    </xf>
    <xf numFmtId="171" fontId="19" fillId="0" borderId="11" xfId="0" applyNumberFormat="1" applyFont="1" applyBorder="1" applyAlignment="1">
      <alignment horizontal="center"/>
    </xf>
    <xf numFmtId="171" fontId="19" fillId="0" borderId="0" xfId="0" applyNumberFormat="1" applyFont="1" applyAlignment="1">
      <alignment horizontal="center"/>
    </xf>
    <xf numFmtId="171" fontId="19" fillId="0" borderId="12" xfId="0" applyNumberFormat="1" applyFont="1" applyBorder="1" applyAlignment="1">
      <alignment horizontal="center"/>
    </xf>
    <xf numFmtId="171" fontId="3" fillId="0" borderId="11" xfId="0" applyNumberFormat="1" applyFont="1" applyBorder="1" applyAlignment="1">
      <alignment horizontal="center"/>
    </xf>
    <xf numFmtId="171" fontId="3" fillId="0" borderId="0" xfId="0" applyNumberFormat="1" applyFont="1" applyAlignment="1">
      <alignment horizontal="center"/>
    </xf>
    <xf numFmtId="171" fontId="3" fillId="0" borderId="12" xfId="0" applyNumberFormat="1" applyFont="1" applyBorder="1" applyAlignment="1">
      <alignment horizontal="center"/>
    </xf>
    <xf numFmtId="171" fontId="3" fillId="0" borderId="7" xfId="0" applyNumberFormat="1" applyFont="1" applyBorder="1" applyAlignment="1">
      <alignment horizontal="center"/>
    </xf>
    <xf numFmtId="171" fontId="3" fillId="0" borderId="2" xfId="0" applyNumberFormat="1" applyFont="1" applyBorder="1" applyAlignment="1">
      <alignment horizontal="center"/>
    </xf>
    <xf numFmtId="171" fontId="3" fillId="0" borderId="8" xfId="0" applyNumberFormat="1" applyFont="1" applyBorder="1" applyAlignment="1">
      <alignment horizontal="center"/>
    </xf>
    <xf numFmtId="164" fontId="21" fillId="0" borderId="11" xfId="2" applyNumberFormat="1" applyFont="1" applyBorder="1" applyAlignment="1">
      <alignment horizontal="center"/>
    </xf>
    <xf numFmtId="164" fontId="21" fillId="0" borderId="0" xfId="2" applyNumberFormat="1" applyFont="1" applyBorder="1" applyAlignment="1">
      <alignment horizontal="center"/>
    </xf>
    <xf numFmtId="164" fontId="21" fillId="0" borderId="12" xfId="2" applyNumberFormat="1" applyFont="1" applyBorder="1" applyAlignment="1">
      <alignment horizontal="center"/>
    </xf>
    <xf numFmtId="171" fontId="21" fillId="0" borderId="11" xfId="2" applyNumberFormat="1" applyFont="1" applyBorder="1" applyAlignment="1">
      <alignment horizontal="center"/>
    </xf>
    <xf numFmtId="10" fontId="20" fillId="0" borderId="0" xfId="0" applyNumberFormat="1" applyFont="1"/>
    <xf numFmtId="16" fontId="0" fillId="0" borderId="0" xfId="0" applyNumberFormat="1"/>
    <xf numFmtId="10" fontId="8" fillId="0" borderId="0" xfId="0" applyNumberFormat="1" applyFont="1" applyAlignment="1">
      <alignment horizontal="center"/>
    </xf>
    <xf numFmtId="177" fontId="0" fillId="0" borderId="0" xfId="0" applyNumberFormat="1" applyAlignment="1">
      <alignment horizontal="center"/>
    </xf>
    <xf numFmtId="2" fontId="0" fillId="0" borderId="0" xfId="0" applyNumberFormat="1" applyAlignment="1">
      <alignment horizontal="center"/>
    </xf>
    <xf numFmtId="0" fontId="3" fillId="7" borderId="1" xfId="0" applyFont="1" applyFill="1" applyBorder="1"/>
    <xf numFmtId="0" fontId="0" fillId="7" borderId="1" xfId="0" applyFill="1" applyBorder="1"/>
    <xf numFmtId="0" fontId="3" fillId="7" borderId="3" xfId="0" applyFont="1" applyFill="1" applyBorder="1"/>
    <xf numFmtId="0" fontId="3" fillId="7" borderId="3" xfId="0" applyFont="1" applyFill="1" applyBorder="1" applyAlignment="1">
      <alignment horizontal="center"/>
    </xf>
    <xf numFmtId="176" fontId="0" fillId="0" borderId="0" xfId="0" applyNumberFormat="1" applyAlignment="1">
      <alignment horizontal="center"/>
    </xf>
    <xf numFmtId="177" fontId="0" fillId="0" borderId="0" xfId="0" applyNumberFormat="1" applyAlignment="1">
      <alignment horizontal="center"/>
    </xf>
    <xf numFmtId="168" fontId="0" fillId="0" borderId="0" xfId="0" applyNumberFormat="1" applyAlignment="1">
      <alignment horizontal="center"/>
    </xf>
    <xf numFmtId="10" fontId="8" fillId="0" borderId="0" xfId="0" applyNumberFormat="1" applyFont="1" applyAlignment="1">
      <alignment horizontal="center"/>
    </xf>
    <xf numFmtId="0" fontId="3" fillId="7" borderId="17" xfId="0" applyFont="1" applyFill="1" applyBorder="1" applyAlignment="1">
      <alignment horizontal="center"/>
    </xf>
    <xf numFmtId="0" fontId="3" fillId="3" borderId="0" xfId="0" applyFont="1" applyFill="1" applyAlignment="1">
      <alignment horizontal="center" wrapText="1"/>
    </xf>
    <xf numFmtId="0" fontId="3" fillId="3" borderId="1" xfId="0" applyFont="1" applyFill="1" applyBorder="1" applyAlignment="1">
      <alignment horizontal="center" wrapText="1"/>
    </xf>
    <xf numFmtId="0" fontId="3" fillId="0" borderId="2" xfId="0" applyFont="1" applyBorder="1" applyAlignment="1">
      <alignment horizontal="center" wrapText="1"/>
    </xf>
    <xf numFmtId="0" fontId="3" fillId="0" borderId="1" xfId="0" applyFont="1" applyBorder="1" applyAlignment="1">
      <alignment horizontal="center" wrapText="1"/>
    </xf>
    <xf numFmtId="0" fontId="3" fillId="4"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2" fillId="2" borderId="0" xfId="0" applyFont="1" applyFill="1" applyAlignment="1">
      <alignment horizontal="center"/>
    </xf>
    <xf numFmtId="0" fontId="3" fillId="3" borderId="0" xfId="0" applyFont="1" applyFill="1" applyAlignment="1">
      <alignment horizontal="center"/>
    </xf>
    <xf numFmtId="0" fontId="3" fillId="3" borderId="9" xfId="0" applyFont="1" applyFill="1" applyBorder="1" applyAlignment="1">
      <alignment horizontal="center"/>
    </xf>
    <xf numFmtId="0" fontId="3" fillId="3" borderId="1" xfId="0" applyFont="1" applyFill="1" applyBorder="1" applyAlignment="1">
      <alignment horizontal="center"/>
    </xf>
    <xf numFmtId="0" fontId="3" fillId="3" borderId="10"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right" vertical="center" textRotation="90" wrapText="1"/>
    </xf>
    <xf numFmtId="0" fontId="3" fillId="4" borderId="0" xfId="0" applyFont="1" applyFill="1" applyAlignment="1">
      <alignment horizontal="center" vertical="center" textRotation="90" wrapText="1"/>
    </xf>
    <xf numFmtId="0" fontId="3" fillId="4" borderId="1" xfId="0" applyFont="1" applyFill="1" applyBorder="1" applyAlignment="1">
      <alignment horizontal="center" vertical="center" textRotation="90" wrapText="1"/>
    </xf>
    <xf numFmtId="0" fontId="3" fillId="4" borderId="1" xfId="0" applyFont="1" applyFill="1" applyBorder="1" applyAlignment="1">
      <alignment horizontal="center"/>
    </xf>
    <xf numFmtId="0" fontId="2" fillId="2" borderId="1"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182" fontId="0" fillId="0" borderId="0" xfId="0" applyNumberFormat="1"/>
    <xf numFmtId="183" fontId="0" fillId="0" borderId="0" xfId="0" applyNumberFormat="1"/>
    <xf numFmtId="0" fontId="3" fillId="7" borderId="1" xfId="0" applyFont="1" applyFill="1" applyBorder="1" applyAlignment="1">
      <alignment horizontal="center"/>
    </xf>
    <xf numFmtId="167" fontId="0" fillId="0" borderId="2" xfId="0" applyNumberFormat="1" applyBorder="1"/>
    <xf numFmtId="176" fontId="0" fillId="0" borderId="2" xfId="0" applyNumberFormat="1" applyBorder="1"/>
    <xf numFmtId="0" fontId="0" fillId="0" borderId="0" xfId="0" applyAlignment="1">
      <alignment horizontal="center"/>
    </xf>
    <xf numFmtId="0" fontId="3" fillId="0" borderId="0" xfId="0" applyFont="1" applyAlignment="1">
      <alignment horizontal="center" vertical="center" textRotation="90" wrapText="1"/>
    </xf>
    <xf numFmtId="167" fontId="0" fillId="0" borderId="0" xfId="0" applyNumberFormat="1" applyBorder="1"/>
    <xf numFmtId="167" fontId="0" fillId="0" borderId="19" xfId="0" applyNumberFormat="1" applyBorder="1"/>
    <xf numFmtId="167" fontId="0" fillId="0" borderId="20" xfId="0" applyNumberFormat="1" applyBorder="1"/>
    <xf numFmtId="10" fontId="3" fillId="4" borderId="20" xfId="2" applyNumberFormat="1" applyFont="1" applyFill="1" applyBorder="1"/>
    <xf numFmtId="1" fontId="24" fillId="4" borderId="19" xfId="0" applyNumberFormat="1" applyFont="1" applyFill="1" applyBorder="1"/>
    <xf numFmtId="167" fontId="3" fillId="0" borderId="0" xfId="0" applyNumberFormat="1" applyFont="1" applyBorder="1"/>
    <xf numFmtId="0" fontId="22" fillId="7" borderId="22" xfId="0" applyFont="1" applyFill="1" applyBorder="1" applyAlignment="1">
      <alignment horizontal="center"/>
    </xf>
    <xf numFmtId="0" fontId="22" fillId="7" borderId="23" xfId="0" applyFont="1" applyFill="1" applyBorder="1" applyAlignment="1">
      <alignment horizontal="center"/>
    </xf>
    <xf numFmtId="0" fontId="23" fillId="0" borderId="2" xfId="0" applyFont="1" applyBorder="1" applyAlignment="1">
      <alignment horizontal="center"/>
    </xf>
    <xf numFmtId="14" fontId="23" fillId="0" borderId="2" xfId="0" applyNumberFormat="1" applyFont="1" applyBorder="1" applyAlignment="1">
      <alignment horizontal="center"/>
    </xf>
    <xf numFmtId="0" fontId="3" fillId="7" borderId="1" xfId="0" applyFont="1" applyFill="1" applyBorder="1" applyAlignment="1">
      <alignment horizontal="center"/>
    </xf>
    <xf numFmtId="0" fontId="0" fillId="0" borderId="2" xfId="0" applyBorder="1" applyAlignment="1">
      <alignment horizontal="center"/>
    </xf>
    <xf numFmtId="177" fontId="0" fillId="0" borderId="2" xfId="2" applyNumberFormat="1" applyFont="1" applyBorder="1" applyAlignment="1">
      <alignment horizontal="center"/>
    </xf>
    <xf numFmtId="177" fontId="0" fillId="0" borderId="2" xfId="0" applyNumberFormat="1" applyBorder="1" applyAlignment="1">
      <alignment horizontal="center"/>
    </xf>
    <xf numFmtId="0" fontId="0" fillId="0" borderId="0" xfId="0" applyBorder="1"/>
    <xf numFmtId="177" fontId="0" fillId="0" borderId="0" xfId="2" applyNumberFormat="1" applyFont="1" applyBorder="1" applyAlignment="1">
      <alignment horizontal="center"/>
    </xf>
    <xf numFmtId="177" fontId="0" fillId="0" borderId="0" xfId="0" applyNumberFormat="1" applyBorder="1" applyAlignment="1">
      <alignment horizontal="center"/>
    </xf>
    <xf numFmtId="177" fontId="0" fillId="0" borderId="1" xfId="2" applyNumberFormat="1" applyFont="1" applyBorder="1" applyAlignment="1">
      <alignment horizontal="center"/>
    </xf>
    <xf numFmtId="177" fontId="0" fillId="0" borderId="1" xfId="0" applyNumberFormat="1" applyBorder="1" applyAlignment="1">
      <alignment horizontal="center"/>
    </xf>
    <xf numFmtId="167" fontId="3" fillId="0" borderId="20" xfId="0" applyNumberFormat="1" applyFont="1" applyBorder="1"/>
    <xf numFmtId="164" fontId="8" fillId="0" borderId="2" xfId="2" applyNumberFormat="1" applyFont="1" applyBorder="1" applyAlignment="1">
      <alignment horizontal="center"/>
    </xf>
    <xf numFmtId="164" fontId="8" fillId="0" borderId="2" xfId="2" applyNumberFormat="1" applyFont="1" applyBorder="1" applyAlignment="1">
      <alignment horizontal="center"/>
    </xf>
    <xf numFmtId="164" fontId="8" fillId="0" borderId="0" xfId="2" applyNumberFormat="1" applyFont="1" applyBorder="1" applyAlignment="1">
      <alignment horizontal="center"/>
    </xf>
    <xf numFmtId="164" fontId="8" fillId="0" borderId="1" xfId="2" applyNumberFormat="1" applyFont="1" applyBorder="1" applyAlignment="1">
      <alignment horizontal="center"/>
    </xf>
    <xf numFmtId="164" fontId="8" fillId="0" borderId="1" xfId="2" applyNumberFormat="1" applyFont="1" applyBorder="1" applyAlignment="1">
      <alignment horizontal="center"/>
    </xf>
    <xf numFmtId="177" fontId="3" fillId="0" borderId="0" xfId="0" applyNumberFormat="1" applyFont="1" applyAlignment="1">
      <alignment horizontal="center"/>
    </xf>
    <xf numFmtId="0" fontId="0" fillId="0" borderId="0" xfId="0" applyFont="1" applyAlignment="1">
      <alignment horizontal="center"/>
    </xf>
    <xf numFmtId="171" fontId="0" fillId="0" borderId="0" xfId="2" applyNumberFormat="1" applyFont="1"/>
    <xf numFmtId="0" fontId="3" fillId="7" borderId="3" xfId="0" applyFont="1" applyFill="1" applyBorder="1" applyAlignment="1">
      <alignment horizontal="left"/>
    </xf>
    <xf numFmtId="3" fontId="0" fillId="0" borderId="0" xfId="0" applyNumberFormat="1" applyAlignment="1">
      <alignment horizontal="center"/>
    </xf>
    <xf numFmtId="173" fontId="3" fillId="0" borderId="0" xfId="0" applyNumberFormat="1" applyFont="1" applyAlignment="1">
      <alignment horizontal="center"/>
    </xf>
    <xf numFmtId="165" fontId="3" fillId="0" borderId="0" xfId="0" applyNumberFormat="1" applyFont="1" applyAlignment="1">
      <alignment horizontal="center"/>
    </xf>
    <xf numFmtId="0" fontId="3" fillId="0" borderId="5" xfId="0" applyFont="1" applyBorder="1"/>
    <xf numFmtId="173" fontId="3" fillId="0" borderId="5" xfId="0" applyNumberFormat="1" applyFont="1" applyBorder="1" applyAlignment="1">
      <alignment horizontal="center"/>
    </xf>
    <xf numFmtId="164" fontId="9" fillId="0" borderId="5" xfId="2" applyNumberFormat="1" applyFont="1" applyBorder="1" applyAlignment="1">
      <alignment horizontal="center"/>
    </xf>
    <xf numFmtId="0" fontId="3" fillId="0" borderId="6" xfId="0" applyFont="1" applyBorder="1"/>
    <xf numFmtId="173" fontId="3" fillId="0" borderId="6" xfId="0" applyNumberFormat="1" applyFont="1" applyBorder="1" applyAlignment="1">
      <alignment horizontal="center"/>
    </xf>
    <xf numFmtId="164" fontId="9" fillId="0" borderId="6" xfId="2" applyNumberFormat="1" applyFont="1" applyBorder="1" applyAlignment="1">
      <alignment horizontal="center"/>
    </xf>
    <xf numFmtId="0" fontId="3" fillId="0" borderId="24" xfId="0" applyFont="1" applyBorder="1"/>
    <xf numFmtId="173" fontId="3" fillId="0" borderId="24" xfId="0" applyNumberFormat="1" applyFont="1" applyBorder="1" applyAlignment="1">
      <alignment horizontal="center"/>
    </xf>
    <xf numFmtId="164" fontId="9" fillId="0" borderId="24" xfId="2" applyNumberFormat="1" applyFont="1" applyBorder="1" applyAlignment="1">
      <alignment horizontal="center"/>
    </xf>
    <xf numFmtId="0" fontId="0" fillId="0" borderId="0" xfId="0" applyFont="1" applyFill="1" applyBorder="1"/>
    <xf numFmtId="0" fontId="3" fillId="7" borderId="3" xfId="0" applyFont="1" applyFill="1" applyBorder="1" applyAlignment="1">
      <alignment horizontal="center"/>
    </xf>
    <xf numFmtId="176" fontId="0" fillId="0" borderId="0" xfId="0" applyNumberFormat="1" applyAlignment="1">
      <alignment horizontal="center"/>
    </xf>
    <xf numFmtId="182" fontId="0" fillId="0" borderId="0" xfId="0" applyNumberFormat="1" applyAlignment="1">
      <alignment horizontal="center"/>
    </xf>
    <xf numFmtId="182" fontId="0" fillId="0" borderId="0" xfId="0" applyNumberFormat="1" applyBorder="1" applyAlignment="1">
      <alignment horizontal="center"/>
    </xf>
    <xf numFmtId="182" fontId="0" fillId="0" borderId="1" xfId="0" applyNumberFormat="1" applyBorder="1" applyAlignment="1">
      <alignment horizontal="center"/>
    </xf>
    <xf numFmtId="167" fontId="0" fillId="0" borderId="2" xfId="2" applyNumberFormat="1" applyFont="1" applyBorder="1" applyAlignment="1"/>
    <xf numFmtId="167" fontId="0" fillId="0" borderId="2" xfId="0" applyNumberFormat="1" applyBorder="1" applyAlignment="1">
      <alignment horizontal="center"/>
    </xf>
    <xf numFmtId="167" fontId="0" fillId="0" borderId="0" xfId="0" applyNumberFormat="1" applyAlignment="1">
      <alignment horizontal="center"/>
    </xf>
    <xf numFmtId="167" fontId="0" fillId="0" borderId="1" xfId="0" applyNumberFormat="1" applyBorder="1" applyAlignment="1">
      <alignment horizontal="center"/>
    </xf>
    <xf numFmtId="167" fontId="3" fillId="0" borderId="2" xfId="0" applyNumberFormat="1" applyFont="1" applyBorder="1" applyAlignment="1">
      <alignment horizontal="center" vertical="center"/>
    </xf>
    <xf numFmtId="167" fontId="3" fillId="0" borderId="0" xfId="0" applyNumberFormat="1" applyFont="1" applyBorder="1" applyAlignment="1">
      <alignment horizontal="center" vertical="center"/>
    </xf>
    <xf numFmtId="0" fontId="0" fillId="0" borderId="0" xfId="0" applyFont="1"/>
    <xf numFmtId="167" fontId="3" fillId="0" borderId="0" xfId="0" applyNumberFormat="1" applyFont="1"/>
    <xf numFmtId="167" fontId="3" fillId="0" borderId="0" xfId="0" applyNumberFormat="1" applyFont="1" applyAlignment="1">
      <alignment horizontal="center"/>
    </xf>
    <xf numFmtId="0" fontId="5" fillId="2" borderId="0" xfId="0" applyFont="1" applyFill="1" applyAlignment="1">
      <alignment horizontal="left"/>
    </xf>
    <xf numFmtId="0" fontId="10" fillId="2" borderId="0" xfId="0" applyFont="1" applyFill="1" applyAlignment="1">
      <alignment horizontal="left"/>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141836"/>
      <color rgb="FF558ED5"/>
      <color rgb="FF1846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Comps_Sum!$D$50:$D$54</c:f>
              <c:strCache>
                <c:ptCount val="5"/>
                <c:pt idx="0">
                  <c:v>LTM Sales</c:v>
                </c:pt>
                <c:pt idx="1">
                  <c:v>LTM EBITDA</c:v>
                </c:pt>
                <c:pt idx="2">
                  <c:v>LTM EBIT</c:v>
                </c:pt>
                <c:pt idx="3">
                  <c:v>NTM Sales</c:v>
                </c:pt>
                <c:pt idx="4">
                  <c:v>NTM EBITDA</c:v>
                </c:pt>
              </c:strCache>
            </c:strRef>
          </c:cat>
          <c:val>
            <c:numRef>
              <c:f>Comps_Sum!$J$50:$J$54</c:f>
              <c:numCache>
                <c:formatCode>_-[$$-409]* #,##0.0_ ;_-[$$-409]* \-#,##0.0\ ;_-[$$-409]* "-"??_ ;_-@_ </c:formatCode>
                <c:ptCount val="5"/>
                <c:pt idx="0">
                  <c:v>4459.8165745481065</c:v>
                </c:pt>
                <c:pt idx="1">
                  <c:v>6560.1487482924786</c:v>
                </c:pt>
                <c:pt idx="2">
                  <c:v>6336.3296866753035</c:v>
                </c:pt>
                <c:pt idx="3">
                  <c:v>4446.2252314710913</c:v>
                </c:pt>
                <c:pt idx="4">
                  <c:v>7954.0621804075026</c:v>
                </c:pt>
              </c:numCache>
            </c:numRef>
          </c:val>
          <c:extLst>
            <c:ext xmlns:c16="http://schemas.microsoft.com/office/drawing/2014/chart" uri="{C3380CC4-5D6E-409C-BE32-E72D297353CC}">
              <c16:uniqueId val="{00000000-D297-45B9-A1C9-DEF452DF8EA2}"/>
            </c:ext>
          </c:extLst>
        </c:ser>
        <c:ser>
          <c:idx val="1"/>
          <c:order val="1"/>
          <c:spPr>
            <a:solidFill>
              <a:schemeClr val="accent2"/>
            </a:solidFill>
            <a:ln>
              <a:noFill/>
            </a:ln>
            <a:effectLst/>
          </c:spPr>
          <c:invertIfNegative val="0"/>
          <c:cat>
            <c:strRef>
              <c:f>Comps_Sum!$D$50:$D$54</c:f>
              <c:strCache>
                <c:ptCount val="5"/>
                <c:pt idx="0">
                  <c:v>LTM Sales</c:v>
                </c:pt>
                <c:pt idx="1">
                  <c:v>LTM EBITDA</c:v>
                </c:pt>
                <c:pt idx="2">
                  <c:v>LTM EBIT</c:v>
                </c:pt>
                <c:pt idx="3">
                  <c:v>NTM Sales</c:v>
                </c:pt>
                <c:pt idx="4">
                  <c:v>NTM EBITDA</c:v>
                </c:pt>
              </c:strCache>
            </c:strRef>
          </c:cat>
          <c:val>
            <c:numRef>
              <c:f>Comps_Sum!$K$50:$K$54</c:f>
              <c:numCache>
                <c:formatCode>_-[$$-409]* #,##0.0_ ;_-[$$-409]* \-#,##0.0\ ;_-[$$-409]* "-"??_ ;_-@_ </c:formatCode>
                <c:ptCount val="5"/>
              </c:numCache>
            </c:numRef>
          </c:val>
          <c:extLst>
            <c:ext xmlns:c16="http://schemas.microsoft.com/office/drawing/2014/chart" uri="{C3380CC4-5D6E-409C-BE32-E72D297353CC}">
              <c16:uniqueId val="{00000001-D297-45B9-A1C9-DEF452DF8EA2}"/>
            </c:ext>
          </c:extLst>
        </c:ser>
        <c:ser>
          <c:idx val="2"/>
          <c:order val="2"/>
          <c:spPr>
            <a:solidFill>
              <a:srgbClr val="558ED5"/>
            </a:solidFill>
            <a:ln>
              <a:solidFill>
                <a:srgbClr val="141836"/>
              </a:solidFill>
            </a:ln>
            <a:effectLst/>
          </c:spPr>
          <c:invertIfNegative val="0"/>
          <c:cat>
            <c:strRef>
              <c:f>Comps_Sum!$D$50:$D$54</c:f>
              <c:strCache>
                <c:ptCount val="5"/>
                <c:pt idx="0">
                  <c:v>LTM Sales</c:v>
                </c:pt>
                <c:pt idx="1">
                  <c:v>LTM EBITDA</c:v>
                </c:pt>
                <c:pt idx="2">
                  <c:v>LTM EBIT</c:v>
                </c:pt>
                <c:pt idx="3">
                  <c:v>NTM Sales</c:v>
                </c:pt>
                <c:pt idx="4">
                  <c:v>NTM EBITDA</c:v>
                </c:pt>
              </c:strCache>
            </c:strRef>
          </c:cat>
          <c:val>
            <c:numRef>
              <c:f>Comps_Sum!$L$50:$L$54</c:f>
              <c:numCache>
                <c:formatCode>_-[$$-409]* #,##0.0_ ;_-[$$-409]* \-#,##0.0\ ;_-[$$-409]* "-"??_ ;_-@_ </c:formatCode>
                <c:ptCount val="5"/>
                <c:pt idx="0">
                  <c:v>10323.600035263456</c:v>
                </c:pt>
                <c:pt idx="1">
                  <c:v>9358.2632047195675</c:v>
                </c:pt>
                <c:pt idx="2">
                  <c:v>13949.125340951252</c:v>
                </c:pt>
                <c:pt idx="3">
                  <c:v>9319.8379250930848</c:v>
                </c:pt>
                <c:pt idx="4">
                  <c:v>10697.022508836601</c:v>
                </c:pt>
              </c:numCache>
            </c:numRef>
          </c:val>
          <c:extLst>
            <c:ext xmlns:c16="http://schemas.microsoft.com/office/drawing/2014/chart" uri="{C3380CC4-5D6E-409C-BE32-E72D297353CC}">
              <c16:uniqueId val="{00000002-D297-45B9-A1C9-DEF452DF8EA2}"/>
            </c:ext>
          </c:extLst>
        </c:ser>
        <c:ser>
          <c:idx val="3"/>
          <c:order val="3"/>
          <c:spPr>
            <a:solidFill>
              <a:schemeClr val="accent4"/>
            </a:solidFill>
            <a:ln>
              <a:noFill/>
            </a:ln>
            <a:effectLst/>
          </c:spPr>
          <c:invertIfNegative val="0"/>
          <c:cat>
            <c:strRef>
              <c:f>Comps_Sum!$D$50:$D$54</c:f>
              <c:strCache>
                <c:ptCount val="5"/>
                <c:pt idx="0">
                  <c:v>LTM Sales</c:v>
                </c:pt>
                <c:pt idx="1">
                  <c:v>LTM EBITDA</c:v>
                </c:pt>
                <c:pt idx="2">
                  <c:v>LTM EBIT</c:v>
                </c:pt>
                <c:pt idx="3">
                  <c:v>NTM Sales</c:v>
                </c:pt>
                <c:pt idx="4">
                  <c:v>NTM EBITDA</c:v>
                </c:pt>
              </c:strCache>
            </c:strRef>
          </c:cat>
          <c:val>
            <c:numRef>
              <c:f>Comps_Sum!$M$50:$M$54</c:f>
              <c:numCache>
                <c:formatCode>_-[$$-409]* #,##0.0_ ;_-[$$-409]* \-#,##0.0\ ;_-[$$-409]* "-"??_ ;_-@_ </c:formatCode>
                <c:ptCount val="5"/>
              </c:numCache>
            </c:numRef>
          </c:val>
          <c:extLst>
            <c:ext xmlns:c16="http://schemas.microsoft.com/office/drawing/2014/chart" uri="{C3380CC4-5D6E-409C-BE32-E72D297353CC}">
              <c16:uniqueId val="{00000003-D297-45B9-A1C9-DEF452DF8EA2}"/>
            </c:ext>
          </c:extLst>
        </c:ser>
        <c:ser>
          <c:idx val="4"/>
          <c:order val="4"/>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Comps_Sum!$D$50:$D$54</c:f>
              <c:strCache>
                <c:ptCount val="5"/>
                <c:pt idx="0">
                  <c:v>LTM Sales</c:v>
                </c:pt>
                <c:pt idx="1">
                  <c:v>LTM EBITDA</c:v>
                </c:pt>
                <c:pt idx="2">
                  <c:v>LTM EBIT</c:v>
                </c:pt>
                <c:pt idx="3">
                  <c:v>NTM Sales</c:v>
                </c:pt>
                <c:pt idx="4">
                  <c:v>NTM EBITDA</c:v>
                </c:pt>
              </c:strCache>
            </c:strRef>
          </c:cat>
          <c:val>
            <c:numRef>
              <c:f>Comps_Sum!$N$50:$N$54</c:f>
              <c:numCache>
                <c:formatCode>_-[$$-409]* #,##0.0_ ;_-[$$-409]* \-#,##0.0\ ;_-[$$-409]* "-"??_ ;_-@_ </c:formatCode>
                <c:ptCount val="5"/>
                <c:pt idx="0">
                  <c:v>11899.225701403851</c:v>
                </c:pt>
                <c:pt idx="1">
                  <c:v>12884.389021621815</c:v>
                </c:pt>
                <c:pt idx="2">
                  <c:v>25554.846768961041</c:v>
                </c:pt>
                <c:pt idx="3">
                  <c:v>11050.689113478425</c:v>
                </c:pt>
                <c:pt idx="4">
                  <c:v>14149.099416245037</c:v>
                </c:pt>
              </c:numCache>
            </c:numRef>
          </c:val>
          <c:extLst>
            <c:ext xmlns:c16="http://schemas.microsoft.com/office/drawing/2014/chart" uri="{C3380CC4-5D6E-409C-BE32-E72D297353CC}">
              <c16:uniqueId val="{00000004-D297-45B9-A1C9-DEF452DF8EA2}"/>
            </c:ext>
          </c:extLst>
        </c:ser>
        <c:ser>
          <c:idx val="5"/>
          <c:order val="5"/>
          <c:spPr>
            <a:solidFill>
              <a:schemeClr val="accent6"/>
            </a:solidFill>
            <a:ln>
              <a:noFill/>
            </a:ln>
            <a:effectLst/>
          </c:spPr>
          <c:invertIfNegative val="0"/>
          <c:cat>
            <c:strRef>
              <c:f>Comps_Sum!$D$50:$D$54</c:f>
              <c:strCache>
                <c:ptCount val="5"/>
                <c:pt idx="0">
                  <c:v>LTM Sales</c:v>
                </c:pt>
                <c:pt idx="1">
                  <c:v>LTM EBITDA</c:v>
                </c:pt>
                <c:pt idx="2">
                  <c:v>LTM EBIT</c:v>
                </c:pt>
                <c:pt idx="3">
                  <c:v>NTM Sales</c:v>
                </c:pt>
                <c:pt idx="4">
                  <c:v>NTM EBITDA</c:v>
                </c:pt>
              </c:strCache>
            </c:strRef>
          </c:cat>
          <c:val>
            <c:numRef>
              <c:f>Comps_Sum!$O$50:$O$54</c:f>
              <c:numCache>
                <c:formatCode>_-[$$-409]* #,##0.0_ ;_-[$$-409]* \-#,##0.0\ ;_-[$$-409]* "-"??_ ;_-@_ </c:formatCode>
                <c:ptCount val="5"/>
              </c:numCache>
            </c:numRef>
          </c:val>
          <c:extLst>
            <c:ext xmlns:c16="http://schemas.microsoft.com/office/drawing/2014/chart" uri="{C3380CC4-5D6E-409C-BE32-E72D297353CC}">
              <c16:uniqueId val="{00000005-D297-45B9-A1C9-DEF452DF8EA2}"/>
            </c:ext>
          </c:extLst>
        </c:ser>
        <c:dLbls>
          <c:showLegendKey val="0"/>
          <c:showVal val="0"/>
          <c:showCatName val="0"/>
          <c:showSerName val="0"/>
          <c:showPercent val="0"/>
          <c:showBubbleSize val="0"/>
        </c:dLbls>
        <c:gapWidth val="150"/>
        <c:overlap val="100"/>
        <c:axId val="1131910463"/>
        <c:axId val="1131898463"/>
      </c:barChart>
      <c:catAx>
        <c:axId val="113191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98463"/>
        <c:crosses val="autoZero"/>
        <c:auto val="1"/>
        <c:lblAlgn val="ctr"/>
        <c:lblOffset val="100"/>
        <c:noMultiLvlLbl val="0"/>
      </c:catAx>
      <c:valAx>
        <c:axId val="1131898463"/>
        <c:scaling>
          <c:orientation val="minMax"/>
          <c:max val="30000"/>
        </c:scaling>
        <c:delete val="1"/>
        <c:axPos val="b"/>
        <c:numFmt formatCode="_-[$$-409]* #,##0.0_ ;_-[$$-409]* \-#,##0.0\ ;_-[$$-409]* &quot;-&quot;??_ ;_-@_ " sourceLinked="1"/>
        <c:majorTickMark val="none"/>
        <c:minorTickMark val="none"/>
        <c:tickLblPos val="nextTo"/>
        <c:crossAx val="113191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cat>
            <c:strRef>
              <c:f>(DCF!$D$39,DCF!$D$44,DCF!$D$46,DCF!$D$49)</c:f>
              <c:strCache>
                <c:ptCount val="4"/>
                <c:pt idx="0">
                  <c:v>Cumulative Present Value of FCF</c:v>
                </c:pt>
                <c:pt idx="1">
                  <c:v>Terminal Value</c:v>
                </c:pt>
                <c:pt idx="2">
                  <c:v>Present Value of Terminal Value</c:v>
                </c:pt>
                <c:pt idx="3">
                  <c:v>Enterprise Value</c:v>
                </c:pt>
              </c:strCache>
            </c:strRef>
          </c:cat>
          <c:val>
            <c:numRef>
              <c:f>(DCF!$E$39,DCF!$E$44,DCF!$E$46,DCF!$E$49)</c:f>
              <c:numCache>
                <c:formatCode>General</c:formatCode>
                <c:ptCount val="4"/>
              </c:numCache>
            </c:numRef>
          </c:val>
          <c:extLst>
            <c:ext xmlns:c16="http://schemas.microsoft.com/office/drawing/2014/chart" uri="{C3380CC4-5D6E-409C-BE32-E72D297353CC}">
              <c16:uniqueId val="{00000000-E5F9-464D-AAE1-8A87E0F424D5}"/>
            </c:ext>
          </c:extLst>
        </c:ser>
        <c:ser>
          <c:idx val="1"/>
          <c:order val="1"/>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(DCF!$D$39,DCF!$D$44,DCF!$D$46,DCF!$D$49)</c:f>
              <c:strCache>
                <c:ptCount val="4"/>
                <c:pt idx="0">
                  <c:v>Cumulative Present Value of FCF</c:v>
                </c:pt>
                <c:pt idx="1">
                  <c:v>Terminal Value</c:v>
                </c:pt>
                <c:pt idx="2">
                  <c:v>Present Value of Terminal Value</c:v>
                </c:pt>
                <c:pt idx="3">
                  <c:v>Enterprise Value</c:v>
                </c:pt>
              </c:strCache>
            </c:strRef>
          </c:cat>
          <c:val>
            <c:numRef>
              <c:f>(DCF!$F$39,DCF!$F$44,DCF!$F$46,DCF!$F$49)</c:f>
              <c:numCache>
                <c:formatCode>_-[$$-409]* #,##0_ ;_-[$$-409]* \-#,##0\ ;_-[$$-409]* "-"??_ ;_-@_ </c:formatCode>
                <c:ptCount val="4"/>
                <c:pt idx="0">
                  <c:v>1766.0775332473536</c:v>
                </c:pt>
                <c:pt idx="1">
                  <c:v>9755.4991169090681</c:v>
                </c:pt>
                <c:pt idx="2">
                  <c:v>6945.8741018281216</c:v>
                </c:pt>
                <c:pt idx="3">
                  <c:v>8711.9516350754748</c:v>
                </c:pt>
              </c:numCache>
            </c:numRef>
          </c:val>
          <c:extLst>
            <c:ext xmlns:c16="http://schemas.microsoft.com/office/drawing/2014/chart" uri="{C3380CC4-5D6E-409C-BE32-E72D297353CC}">
              <c16:uniqueId val="{00000001-E5F9-464D-AAE1-8A87E0F424D5}"/>
            </c:ext>
          </c:extLst>
        </c:ser>
        <c:dLbls>
          <c:showLegendKey val="0"/>
          <c:showVal val="0"/>
          <c:showCatName val="0"/>
          <c:showSerName val="0"/>
          <c:showPercent val="0"/>
          <c:showBubbleSize val="0"/>
        </c:dLbls>
        <c:gapWidth val="150"/>
        <c:overlap val="100"/>
        <c:axId val="162266576"/>
        <c:axId val="162254576"/>
      </c:barChart>
      <c:catAx>
        <c:axId val="1622665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254576"/>
        <c:crosses val="autoZero"/>
        <c:auto val="1"/>
        <c:lblAlgn val="ctr"/>
        <c:lblOffset val="100"/>
        <c:noMultiLvlLbl val="0"/>
      </c:catAx>
      <c:valAx>
        <c:axId val="162254576"/>
        <c:scaling>
          <c:orientation val="minMax"/>
        </c:scaling>
        <c:delete val="1"/>
        <c:axPos val="t"/>
        <c:numFmt formatCode="General" sourceLinked="1"/>
        <c:majorTickMark val="none"/>
        <c:minorTickMark val="none"/>
        <c:tickLblPos val="nextTo"/>
        <c:crossAx val="16226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ValGraph!$D$30:$D$41</c15:sqref>
                  </c15:fullRef>
                </c:ext>
              </c:extLst>
              <c:f>(ValGraph!$D$30:$D$32,ValGraph!$D$34:$D$37,ValGraph!$D$40:$D$41)</c:f>
              <c:strCache>
                <c:ptCount val="9"/>
                <c:pt idx="0">
                  <c:v>Discounted Cash Flow Analysis</c:v>
                </c:pt>
                <c:pt idx="1">
                  <c:v>6.5% - 9.5% Discount Rate, 1.5% - 4.5% Perpetuity Growth Rate</c:v>
                </c:pt>
                <c:pt idx="2">
                  <c:v>6.5% - 9.5% Discount Rate, 13.0x - 19.0x EBITDA Multiple</c:v>
                </c:pt>
                <c:pt idx="3">
                  <c:v>Public Company Comparables</c:v>
                </c:pt>
                <c:pt idx="4">
                  <c:v>LTM, EV/EBITDA</c:v>
                </c:pt>
                <c:pt idx="5">
                  <c:v>2026E, EV/EBITDA</c:v>
                </c:pt>
                <c:pt idx="6">
                  <c:v>2027E, EV/EBITDA</c:v>
                </c:pt>
                <c:pt idx="7">
                  <c:v>2026E, P/E</c:v>
                </c:pt>
                <c:pt idx="8">
                  <c:v>2027E, P/E</c:v>
                </c:pt>
              </c:strCache>
            </c:strRef>
          </c:cat>
          <c:val>
            <c:numRef>
              <c:extLst>
                <c:ext xmlns:c15="http://schemas.microsoft.com/office/drawing/2012/chart" uri="{02D57815-91ED-43cb-92C2-25804820EDAC}">
                  <c15:fullRef>
                    <c15:sqref>ValGraph!$M$30:$M$41</c15:sqref>
                  </c15:fullRef>
                </c:ext>
              </c:extLst>
              <c:f>(ValGraph!$M$30:$M$32,ValGraph!$M$34:$M$37,ValGraph!$M$40:$M$41)</c:f>
              <c:numCache>
                <c:formatCode>_-[$$-409]* #,##0.0_ ;_-[$$-409]* \-#,##0.0\ ;_-[$$-409]* "-"??_ ;_-@_ </c:formatCode>
                <c:ptCount val="9"/>
                <c:pt idx="1">
                  <c:v>104.4227642545174</c:v>
                </c:pt>
                <c:pt idx="2">
                  <c:v>124.09282312202973</c:v>
                </c:pt>
                <c:pt idx="4">
                  <c:v>133.55735073952178</c:v>
                </c:pt>
                <c:pt idx="5">
                  <c:v>130.89690915554738</c:v>
                </c:pt>
                <c:pt idx="6">
                  <c:v>123.8578052440335</c:v>
                </c:pt>
                <c:pt idx="7">
                  <c:v>98.304457255326184</c:v>
                </c:pt>
                <c:pt idx="8">
                  <c:v>110.15062436068784</c:v>
                </c:pt>
              </c:numCache>
            </c:numRef>
          </c:val>
          <c:extLst>
            <c:ext xmlns:c16="http://schemas.microsoft.com/office/drawing/2014/chart" uri="{C3380CC4-5D6E-409C-BE32-E72D297353CC}">
              <c16:uniqueId val="{00000000-2071-427D-8DE0-40FDE7CC8DCC}"/>
            </c:ext>
          </c:extLst>
        </c:ser>
        <c:ser>
          <c:idx val="1"/>
          <c:order val="1"/>
          <c:spPr>
            <a:solidFill>
              <a:srgbClr val="558ED5"/>
            </a:solidFill>
            <a:ln>
              <a:solidFill>
                <a:srgbClr val="141836"/>
              </a:solidFill>
            </a:ln>
            <a:effectLst/>
          </c:spPr>
          <c:invertIfNegative val="0"/>
          <c:cat>
            <c:strRef>
              <c:extLst>
                <c:ext xmlns:c15="http://schemas.microsoft.com/office/drawing/2012/chart" uri="{02D57815-91ED-43cb-92C2-25804820EDAC}">
                  <c15:fullRef>
                    <c15:sqref>ValGraph!$D$30:$D$41</c15:sqref>
                  </c15:fullRef>
                </c:ext>
              </c:extLst>
              <c:f>(ValGraph!$D$30:$D$32,ValGraph!$D$34:$D$37,ValGraph!$D$40:$D$41)</c:f>
              <c:strCache>
                <c:ptCount val="9"/>
                <c:pt idx="0">
                  <c:v>Discounted Cash Flow Analysis</c:v>
                </c:pt>
                <c:pt idx="1">
                  <c:v>6.5% - 9.5% Discount Rate, 1.5% - 4.5% Perpetuity Growth Rate</c:v>
                </c:pt>
                <c:pt idx="2">
                  <c:v>6.5% - 9.5% Discount Rate, 13.0x - 19.0x EBITDA Multiple</c:v>
                </c:pt>
                <c:pt idx="3">
                  <c:v>Public Company Comparables</c:v>
                </c:pt>
                <c:pt idx="4">
                  <c:v>LTM, EV/EBITDA</c:v>
                </c:pt>
                <c:pt idx="5">
                  <c:v>2026E, EV/EBITDA</c:v>
                </c:pt>
                <c:pt idx="6">
                  <c:v>2027E, EV/EBITDA</c:v>
                </c:pt>
                <c:pt idx="7">
                  <c:v>2026E, P/E</c:v>
                </c:pt>
                <c:pt idx="8">
                  <c:v>2027E, P/E</c:v>
                </c:pt>
              </c:strCache>
            </c:strRef>
          </c:cat>
          <c:val>
            <c:numRef>
              <c:extLst>
                <c:ext xmlns:c15="http://schemas.microsoft.com/office/drawing/2012/chart" uri="{02D57815-91ED-43cb-92C2-25804820EDAC}">
                  <c15:fullRef>
                    <c15:sqref>ValGraph!$N$30:$N$41</c15:sqref>
                  </c15:fullRef>
                </c:ext>
              </c:extLst>
              <c:f>(ValGraph!$N$30:$N$32,ValGraph!$N$34:$N$37,ValGraph!$N$40:$N$41)</c:f>
              <c:numCache>
                <c:formatCode>_-[$$-409]* #,##0.0_ ;_-[$$-409]* \-#,##0.0\ ;_-[$$-409]* "-"??_ ;_-@_ </c:formatCode>
                <c:ptCount val="9"/>
                <c:pt idx="1">
                  <c:v>184.24421055960136</c:v>
                </c:pt>
                <c:pt idx="2">
                  <c:v>147.13647854285452</c:v>
                </c:pt>
                <c:pt idx="4">
                  <c:v>217.82014359504183</c:v>
                </c:pt>
                <c:pt idx="5">
                  <c:v>197.93719081223708</c:v>
                </c:pt>
                <c:pt idx="6">
                  <c:v>185.06258745815379</c:v>
                </c:pt>
                <c:pt idx="7">
                  <c:v>297.8009861033795</c:v>
                </c:pt>
                <c:pt idx="8">
                  <c:v>233.01409752083947</c:v>
                </c:pt>
              </c:numCache>
            </c:numRef>
          </c:val>
          <c:extLst>
            <c:ext xmlns:c16="http://schemas.microsoft.com/office/drawing/2014/chart" uri="{C3380CC4-5D6E-409C-BE32-E72D297353CC}">
              <c16:uniqueId val="{00000001-2071-427D-8DE0-40FDE7CC8DCC}"/>
            </c:ext>
          </c:extLst>
        </c:ser>
        <c:ser>
          <c:idx val="2"/>
          <c:order val="2"/>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ValGraph!$D$30:$D$41</c15:sqref>
                  </c15:fullRef>
                </c:ext>
              </c:extLst>
              <c:f>(ValGraph!$D$30:$D$32,ValGraph!$D$34:$D$37,ValGraph!$D$40:$D$41)</c:f>
              <c:strCache>
                <c:ptCount val="9"/>
                <c:pt idx="0">
                  <c:v>Discounted Cash Flow Analysis</c:v>
                </c:pt>
                <c:pt idx="1">
                  <c:v>6.5% - 9.5% Discount Rate, 1.5% - 4.5% Perpetuity Growth Rate</c:v>
                </c:pt>
                <c:pt idx="2">
                  <c:v>6.5% - 9.5% Discount Rate, 13.0x - 19.0x EBITDA Multiple</c:v>
                </c:pt>
                <c:pt idx="3">
                  <c:v>Public Company Comparables</c:v>
                </c:pt>
                <c:pt idx="4">
                  <c:v>LTM, EV/EBITDA</c:v>
                </c:pt>
                <c:pt idx="5">
                  <c:v>2026E, EV/EBITDA</c:v>
                </c:pt>
                <c:pt idx="6">
                  <c:v>2027E, EV/EBITDA</c:v>
                </c:pt>
                <c:pt idx="7">
                  <c:v>2026E, P/E</c:v>
                </c:pt>
                <c:pt idx="8">
                  <c:v>2027E, P/E</c:v>
                </c:pt>
              </c:strCache>
            </c:strRef>
          </c:cat>
          <c:val>
            <c:numRef>
              <c:extLst>
                <c:ext xmlns:c15="http://schemas.microsoft.com/office/drawing/2012/chart" uri="{02D57815-91ED-43cb-92C2-25804820EDAC}">
                  <c15:fullRef>
                    <c15:sqref>ValGraph!$O$30:$O$41</c15:sqref>
                  </c15:fullRef>
                </c:ext>
              </c:extLst>
              <c:f>(ValGraph!$O$30:$O$32,ValGraph!$O$34:$O$37,ValGraph!$O$40:$O$41)</c:f>
              <c:numCache>
                <c:formatCode>_-[$$-409]* #,##0.0_ ;_-[$$-409]* \-#,##0.0\ ;_-[$$-409]* "-"??_ ;_-@_ </c:formatCode>
                <c:ptCount val="9"/>
                <c:pt idx="1">
                  <c:v>502.7957456083015</c:v>
                </c:pt>
                <c:pt idx="2">
                  <c:v>172.67349642252313</c:v>
                </c:pt>
                <c:pt idx="4">
                  <c:v>302.08293645056187</c:v>
                </c:pt>
                <c:pt idx="5">
                  <c:v>264.97747246892675</c:v>
                </c:pt>
                <c:pt idx="6">
                  <c:v>246.26736967227407</c:v>
                </c:pt>
                <c:pt idx="7">
                  <c:v>497.29751495143273</c:v>
                </c:pt>
                <c:pt idx="8">
                  <c:v>355.87757068099114</c:v>
                </c:pt>
              </c:numCache>
            </c:numRef>
          </c:val>
          <c:extLst>
            <c:ext xmlns:c16="http://schemas.microsoft.com/office/drawing/2014/chart" uri="{C3380CC4-5D6E-409C-BE32-E72D297353CC}">
              <c16:uniqueId val="{00000002-2071-427D-8DE0-40FDE7CC8DCC}"/>
            </c:ext>
          </c:extLst>
        </c:ser>
        <c:dLbls>
          <c:showLegendKey val="0"/>
          <c:showVal val="0"/>
          <c:showCatName val="0"/>
          <c:showSerName val="0"/>
          <c:showPercent val="0"/>
          <c:showBubbleSize val="0"/>
        </c:dLbls>
        <c:gapWidth val="150"/>
        <c:overlap val="100"/>
        <c:axId val="1239688544"/>
        <c:axId val="1239690464"/>
      </c:barChart>
      <c:catAx>
        <c:axId val="12396885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239690464"/>
        <c:crosses val="autoZero"/>
        <c:auto val="1"/>
        <c:lblAlgn val="ctr"/>
        <c:lblOffset val="100"/>
        <c:noMultiLvlLbl val="0"/>
      </c:catAx>
      <c:valAx>
        <c:axId val="1239690464"/>
        <c:scaling>
          <c:orientation val="minMax"/>
          <c:max val="600"/>
        </c:scaling>
        <c:delete val="0"/>
        <c:axPos val="b"/>
        <c:majorGridlines>
          <c:spPr>
            <a:ln w="9525" cap="flat" cmpd="sng" algn="ctr">
              <a:noFill/>
              <a:round/>
            </a:ln>
            <a:effectLst/>
          </c:spPr>
        </c:majorGridlines>
        <c:numFmt formatCode="General"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688544"/>
        <c:crosses val="max"/>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ValGraph!$D$68:$D$79</c15:sqref>
                  </c15:fullRef>
                </c:ext>
              </c:extLst>
              <c:f>(ValGraph!$D$68:$D$70,ValGraph!$D$72:$D$75,ValGraph!$D$78:$D$79)</c:f>
              <c:strCache>
                <c:ptCount val="9"/>
                <c:pt idx="0">
                  <c:v>Discounted Cash Flow Analysis</c:v>
                </c:pt>
                <c:pt idx="1">
                  <c:v>6% - 8% Discount Rate, 1.5% - 4.5% Perpetuity Growth Rate</c:v>
                </c:pt>
                <c:pt idx="2">
                  <c:v>6% - 8% Discount Rate, 13.0x - 19.0x EBITDA Multiple</c:v>
                </c:pt>
                <c:pt idx="3">
                  <c:v>Public Company Comparables</c:v>
                </c:pt>
                <c:pt idx="4">
                  <c:v>LTM, EV/EBITDA</c:v>
                </c:pt>
                <c:pt idx="5">
                  <c:v>2026E, EV/EBITDA</c:v>
                </c:pt>
                <c:pt idx="6">
                  <c:v>2027E, EV/EBITDA</c:v>
                </c:pt>
                <c:pt idx="7">
                  <c:v>2026E, P/E</c:v>
                </c:pt>
                <c:pt idx="8">
                  <c:v>2027E, P/E</c:v>
                </c:pt>
              </c:strCache>
            </c:strRef>
          </c:cat>
          <c:val>
            <c:numRef>
              <c:extLst>
                <c:ext xmlns:c15="http://schemas.microsoft.com/office/drawing/2012/chart" uri="{02D57815-91ED-43cb-92C2-25804820EDAC}">
                  <c15:fullRef>
                    <c15:sqref>ValGraph!$M$68:$M$79</c15:sqref>
                  </c15:fullRef>
                </c:ext>
              </c:extLst>
              <c:f>(ValGraph!$M$68:$M$70,ValGraph!$M$72:$M$75,ValGraph!$M$78:$M$79)</c:f>
              <c:numCache>
                <c:formatCode>_-[$$-409]* #,##0.0_ ;_-[$$-409]* \-#,##0.0\ ;_-[$$-409]* "-"??_ ;_-@_ </c:formatCode>
                <c:ptCount val="9"/>
                <c:pt idx="1">
                  <c:v>7040.0318455025981</c:v>
                </c:pt>
                <c:pt idx="2">
                  <c:v>7121.7329044664239</c:v>
                </c:pt>
                <c:pt idx="4">
                  <c:v>8076.9848044568262</c:v>
                </c:pt>
                <c:pt idx="5">
                  <c:v>7954.0621804075026</c:v>
                </c:pt>
                <c:pt idx="6">
                  <c:v>7628.8285316135562</c:v>
                </c:pt>
                <c:pt idx="7">
                  <c:v>6448.1656646149995</c:v>
                </c:pt>
                <c:pt idx="8">
                  <c:v>6995.5041043271349</c:v>
                </c:pt>
              </c:numCache>
            </c:numRef>
          </c:val>
          <c:extLst>
            <c:ext xmlns:c16="http://schemas.microsoft.com/office/drawing/2014/chart" uri="{C3380CC4-5D6E-409C-BE32-E72D297353CC}">
              <c16:uniqueId val="{00000000-EDCC-45BF-BA0B-CB45896D8058}"/>
            </c:ext>
          </c:extLst>
        </c:ser>
        <c:ser>
          <c:idx val="1"/>
          <c:order val="1"/>
          <c:spPr>
            <a:solidFill>
              <a:srgbClr val="558ED5"/>
            </a:solidFill>
            <a:ln>
              <a:solidFill>
                <a:srgbClr val="141836"/>
              </a:solidFill>
            </a:ln>
            <a:effectLst/>
          </c:spPr>
          <c:invertIfNegative val="0"/>
          <c:cat>
            <c:strRef>
              <c:extLst>
                <c:ext xmlns:c15="http://schemas.microsoft.com/office/drawing/2012/chart" uri="{02D57815-91ED-43cb-92C2-25804820EDAC}">
                  <c15:fullRef>
                    <c15:sqref>ValGraph!$D$68:$D$79</c15:sqref>
                  </c15:fullRef>
                </c:ext>
              </c:extLst>
              <c:f>(ValGraph!$D$68:$D$70,ValGraph!$D$72:$D$75,ValGraph!$D$78:$D$79)</c:f>
              <c:strCache>
                <c:ptCount val="9"/>
                <c:pt idx="0">
                  <c:v>Discounted Cash Flow Analysis</c:v>
                </c:pt>
                <c:pt idx="1">
                  <c:v>6% - 8% Discount Rate, 1.5% - 4.5% Perpetuity Growth Rate</c:v>
                </c:pt>
                <c:pt idx="2">
                  <c:v>6% - 8% Discount Rate, 13.0x - 19.0x EBITDA Multiple</c:v>
                </c:pt>
                <c:pt idx="3">
                  <c:v>Public Company Comparables</c:v>
                </c:pt>
                <c:pt idx="4">
                  <c:v>LTM, EV/EBITDA</c:v>
                </c:pt>
                <c:pt idx="5">
                  <c:v>2026E, EV/EBITDA</c:v>
                </c:pt>
                <c:pt idx="6">
                  <c:v>2027E, EV/EBITDA</c:v>
                </c:pt>
                <c:pt idx="7">
                  <c:v>2026E, P/E</c:v>
                </c:pt>
                <c:pt idx="8">
                  <c:v>2027E, P/E</c:v>
                </c:pt>
              </c:strCache>
            </c:strRef>
          </c:cat>
          <c:val>
            <c:numRef>
              <c:extLst>
                <c:ext xmlns:c15="http://schemas.microsoft.com/office/drawing/2012/chart" uri="{02D57815-91ED-43cb-92C2-25804820EDAC}">
                  <c15:fullRef>
                    <c15:sqref>ValGraph!$N$68:$N$79</c15:sqref>
                  </c15:fullRef>
                </c:ext>
              </c:extLst>
              <c:f>(ValGraph!$N$68:$N$70,ValGraph!$N$72:$N$75,ValGraph!$N$78:$N$79)</c:f>
              <c:numCache>
                <c:formatCode>_-[$$-409]* #,##0.0_ ;_-[$$-409]* \-#,##0.0\ ;_-[$$-409]* "-"??_ ;_-@_ </c:formatCode>
                <c:ptCount val="9"/>
                <c:pt idx="1">
                  <c:v>9093.6334964375455</c:v>
                </c:pt>
                <c:pt idx="2">
                  <c:v>7580.6089249924789</c:v>
                </c:pt>
                <c:pt idx="4">
                  <c:v>11970.249618056563</c:v>
                </c:pt>
                <c:pt idx="5">
                  <c:v>11051.580798326269</c:v>
                </c:pt>
                <c:pt idx="6">
                  <c:v>10456.724652109393</c:v>
                </c:pt>
                <c:pt idx="7">
                  <c:v>15665.671872024424</c:v>
                </c:pt>
                <c:pt idx="8">
                  <c:v>12672.268672898375</c:v>
                </c:pt>
              </c:numCache>
            </c:numRef>
          </c:val>
          <c:extLst>
            <c:ext xmlns:c16="http://schemas.microsoft.com/office/drawing/2014/chart" uri="{C3380CC4-5D6E-409C-BE32-E72D297353CC}">
              <c16:uniqueId val="{00000001-EDCC-45BF-BA0B-CB45896D8058}"/>
            </c:ext>
          </c:extLst>
        </c:ser>
        <c:ser>
          <c:idx val="2"/>
          <c:order val="2"/>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ValGraph!$D$68:$D$79</c15:sqref>
                  </c15:fullRef>
                </c:ext>
              </c:extLst>
              <c:f>(ValGraph!$D$68:$D$70,ValGraph!$D$72:$D$75,ValGraph!$D$78:$D$79)</c:f>
              <c:strCache>
                <c:ptCount val="9"/>
                <c:pt idx="0">
                  <c:v>Discounted Cash Flow Analysis</c:v>
                </c:pt>
                <c:pt idx="1">
                  <c:v>6% - 8% Discount Rate, 1.5% - 4.5% Perpetuity Growth Rate</c:v>
                </c:pt>
                <c:pt idx="2">
                  <c:v>6% - 8% Discount Rate, 13.0x - 19.0x EBITDA Multiple</c:v>
                </c:pt>
                <c:pt idx="3">
                  <c:v>Public Company Comparables</c:v>
                </c:pt>
                <c:pt idx="4">
                  <c:v>LTM, EV/EBITDA</c:v>
                </c:pt>
                <c:pt idx="5">
                  <c:v>2026E, EV/EBITDA</c:v>
                </c:pt>
                <c:pt idx="6">
                  <c:v>2027E, EV/EBITDA</c:v>
                </c:pt>
                <c:pt idx="7">
                  <c:v>2026E, P/E</c:v>
                </c:pt>
                <c:pt idx="8">
                  <c:v>2027E, P/E</c:v>
                </c:pt>
              </c:strCache>
            </c:strRef>
          </c:cat>
          <c:val>
            <c:numRef>
              <c:extLst>
                <c:ext xmlns:c15="http://schemas.microsoft.com/office/drawing/2012/chart" uri="{02D57815-91ED-43cb-92C2-25804820EDAC}">
                  <c15:fullRef>
                    <c15:sqref>ValGraph!$O$68:$O$79</c15:sqref>
                  </c15:fullRef>
                </c:ext>
              </c:extLst>
              <c:f>(ValGraph!$O$68:$O$70,ValGraph!$O$72:$O$75,ValGraph!$O$78:$O$79)</c:f>
              <c:numCache>
                <c:formatCode>_-[$$-409]* #,##0.0_ ;_-[$$-409]* \-#,##0.0\ ;_-[$$-409]* "-"??_ ;_-@_ </c:formatCode>
                <c:ptCount val="9"/>
                <c:pt idx="1">
                  <c:v>12906.78207044358</c:v>
                </c:pt>
                <c:pt idx="2">
                  <c:v>8069.2188186226531</c:v>
                </c:pt>
                <c:pt idx="4">
                  <c:v>15863.5144316563</c:v>
                </c:pt>
                <c:pt idx="5">
                  <c:v>14149.099416245037</c:v>
                </c:pt>
                <c:pt idx="6">
                  <c:v>13284.620772605231</c:v>
                </c:pt>
                <c:pt idx="7">
                  <c:v>24883.178079433852</c:v>
                </c:pt>
                <c:pt idx="8">
                  <c:v>18349.033241469617</c:v>
                </c:pt>
              </c:numCache>
            </c:numRef>
          </c:val>
          <c:extLst>
            <c:ext xmlns:c16="http://schemas.microsoft.com/office/drawing/2014/chart" uri="{C3380CC4-5D6E-409C-BE32-E72D297353CC}">
              <c16:uniqueId val="{00000002-EDCC-45BF-BA0B-CB45896D8058}"/>
            </c:ext>
          </c:extLst>
        </c:ser>
        <c:dLbls>
          <c:showLegendKey val="0"/>
          <c:showVal val="0"/>
          <c:showCatName val="0"/>
          <c:showSerName val="0"/>
          <c:showPercent val="0"/>
          <c:showBubbleSize val="0"/>
        </c:dLbls>
        <c:gapWidth val="150"/>
        <c:overlap val="100"/>
        <c:axId val="1236195472"/>
        <c:axId val="1236194032"/>
      </c:barChart>
      <c:catAx>
        <c:axId val="12361954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94032"/>
        <c:crosses val="autoZero"/>
        <c:auto val="1"/>
        <c:lblAlgn val="ctr"/>
        <c:lblOffset val="100"/>
        <c:noMultiLvlLbl val="0"/>
      </c:catAx>
      <c:valAx>
        <c:axId val="1236194032"/>
        <c:scaling>
          <c:orientation val="minMax"/>
          <c:max val="30000"/>
        </c:scaling>
        <c:delete val="0"/>
        <c:axPos val="b"/>
        <c:numFmt formatCode="General"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95472"/>
        <c:crosses val="max"/>
        <c:crossBetween val="between"/>
        <c:majorUnit val="2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xdr:col>
      <xdr:colOff>83820</xdr:colOff>
      <xdr:row>4</xdr:row>
      <xdr:rowOff>7620</xdr:rowOff>
    </xdr:from>
    <xdr:ext cx="11269980" cy="1950720"/>
    <xdr:sp macro="" textlink="">
      <xdr:nvSpPr>
        <xdr:cNvPr id="2" name="TextBox 1">
          <a:extLst>
            <a:ext uri="{FF2B5EF4-FFF2-40B4-BE49-F238E27FC236}">
              <a16:creationId xmlns:a16="http://schemas.microsoft.com/office/drawing/2014/main" id="{1B4671DD-9736-BFB1-132A-0B3293F289C4}"/>
            </a:ext>
          </a:extLst>
        </xdr:cNvPr>
        <xdr:cNvSpPr txBox="1"/>
      </xdr:nvSpPr>
      <xdr:spPr>
        <a:xfrm>
          <a:off x="403860" y="822960"/>
          <a:ext cx="11269980" cy="1950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i="0" u="none" strike="noStrike">
              <a:solidFill>
                <a:schemeClr val="tx1"/>
              </a:solidFill>
              <a:effectLst/>
              <a:latin typeface="+mn-lt"/>
              <a:ea typeface="+mn-ea"/>
              <a:cs typeface="+mn-cs"/>
            </a:rPr>
            <a:t>Choice Hotels International Inc. is a global hotel franchisor operating across 49 U.S. states, the District of Columbia, and more than 50 countries and territories.</a:t>
          </a:r>
          <a:r>
            <a:rPr lang="en-IN">
              <a:effectLst/>
            </a:rPr>
            <a:t> </a:t>
          </a:r>
          <a:r>
            <a:rPr lang="en-IN" sz="1100" b="0" i="0" u="none" strike="noStrike">
              <a:solidFill>
                <a:schemeClr val="tx1"/>
              </a:solidFill>
              <a:effectLst/>
              <a:latin typeface="+mn-lt"/>
              <a:ea typeface="+mn-ea"/>
              <a:cs typeface="+mn-cs"/>
            </a:rPr>
            <a:t>As of December 31, 2025, the company’s system included 7,575 hotels with over 656,000 rooms in operation, along with a strong development pipeline of 825 additional hotels.</a:t>
          </a:r>
          <a:r>
            <a:rPr lang="en-IN">
              <a:effectLst/>
            </a:rPr>
            <a:t> </a:t>
          </a:r>
          <a:r>
            <a:rPr lang="en-IN" sz="1100" b="0" i="0" u="none" strike="noStrike">
              <a:solidFill>
                <a:schemeClr val="tx1"/>
              </a:solidFill>
              <a:effectLst/>
              <a:latin typeface="+mn-lt"/>
              <a:ea typeface="+mn-ea"/>
              <a:cs typeface="+mn-cs"/>
            </a:rPr>
            <a:t>The company’s core business model centers on franchising, generating the majority of its revenue through franchise fees tied to room revenues or the number of rooms at franchised properties. </a:t>
          </a:r>
        </a:p>
        <a:p>
          <a:r>
            <a:rPr lang="en-IN" sz="1100" b="0" i="0" u="none" strike="noStrike">
              <a:solidFill>
                <a:schemeClr val="tx1"/>
              </a:solidFill>
              <a:effectLst/>
              <a:latin typeface="+mn-lt"/>
              <a:ea typeface="+mn-ea"/>
              <a:cs typeface="+mn-cs"/>
            </a:rPr>
            <a:t>While it owns and manages a limited number of hotels, its asset-light strategy emphasizes scaling through franchise and master franchise agreements, particularly in international markets.</a:t>
          </a:r>
          <a:r>
            <a:rPr lang="en-IN">
              <a:effectLst/>
            </a:rPr>
            <a:t> </a:t>
          </a:r>
          <a:r>
            <a:rPr lang="en-IN" sz="1100" b="0" i="0" u="none" strike="noStrike">
              <a:solidFill>
                <a:schemeClr val="tx1"/>
              </a:solidFill>
              <a:effectLst/>
              <a:latin typeface="+mn-lt"/>
              <a:ea typeface="+mn-ea"/>
              <a:cs typeface="+mn-cs"/>
            </a:rPr>
            <a:t>Choice Hotels operates a diverse portfolio of well-known brands spanning multiple price segments, catering to a broad customer base from economy to upscale travelers. Its revenues are further supported by partnerships with travel providers and qualified vendors, offering value-added services to both franchisees and guests.</a:t>
          </a:r>
          <a:r>
            <a:rPr lang="en-IN" sz="1100" b="0" i="0" u="none" strike="noStrike" baseline="0">
              <a:solidFill>
                <a:schemeClr val="tx1"/>
              </a:solidFill>
              <a:effectLst/>
              <a:latin typeface="+mn-lt"/>
              <a:ea typeface="+mn-ea"/>
              <a:cs typeface="+mn-cs"/>
            </a:rPr>
            <a:t> </a:t>
          </a:r>
        </a:p>
        <a:p>
          <a:r>
            <a:rPr lang="en-IN" sz="1100" b="0" i="0" u="none" strike="noStrike">
              <a:solidFill>
                <a:schemeClr val="tx1"/>
              </a:solidFill>
              <a:effectLst/>
              <a:latin typeface="+mn-lt"/>
              <a:ea typeface="+mn-ea"/>
              <a:cs typeface="+mn-cs"/>
            </a:rPr>
            <a:t>The company benefits from economies of scale inherent in franchising, enabling operating leverage as its network expands. Key performance drivers include occupancy rates, average daily room rates (ADR), and revenue per available room (RevPAR), alongside growth in franchised rooms and effective cost management.</a:t>
          </a:r>
          <a:r>
            <a:rPr lang="en-IN">
              <a:effectLst/>
            </a:rPr>
            <a:t> </a:t>
          </a:r>
        </a:p>
        <a:p>
          <a:r>
            <a:rPr lang="en-IN" sz="1100" b="0" i="0" u="none" strike="noStrike">
              <a:solidFill>
                <a:schemeClr val="tx1"/>
              </a:solidFill>
              <a:effectLst/>
              <a:latin typeface="+mn-lt"/>
              <a:ea typeface="+mn-ea"/>
              <a:cs typeface="+mn-cs"/>
            </a:rPr>
            <a:t>Overall, Choice Hotels focuses on maximizing franchisee profitability by delivering strong brand recognition, centralized marketing and reservation systems, and operational efficiencies designed to enhance returns on investment.</a:t>
          </a:r>
          <a:r>
            <a:rPr lang="en-IN">
              <a:effectLst/>
            </a:rPr>
            <a:t> </a:t>
          </a:r>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563880</xdr:colOff>
      <xdr:row>66</xdr:row>
      <xdr:rowOff>137160</xdr:rowOff>
    </xdr:from>
    <xdr:to>
      <xdr:col>12</xdr:col>
      <xdr:colOff>579120</xdr:colOff>
      <xdr:row>80</xdr:row>
      <xdr:rowOff>60960</xdr:rowOff>
    </xdr:to>
    <xdr:graphicFrame macro="">
      <xdr:nvGraphicFramePr>
        <xdr:cNvPr id="6" name="Chart 5">
          <a:extLst>
            <a:ext uri="{FF2B5EF4-FFF2-40B4-BE49-F238E27FC236}">
              <a16:creationId xmlns:a16="http://schemas.microsoft.com/office/drawing/2014/main" id="{E6FA5807-6896-D059-D636-565E4A227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15240</xdr:colOff>
      <xdr:row>86</xdr:row>
      <xdr:rowOff>144780</xdr:rowOff>
    </xdr:from>
    <xdr:ext cx="8854440" cy="781240"/>
    <xdr:sp macro="" textlink="">
      <xdr:nvSpPr>
        <xdr:cNvPr id="7" name="TextBox 6">
          <a:extLst>
            <a:ext uri="{FF2B5EF4-FFF2-40B4-BE49-F238E27FC236}">
              <a16:creationId xmlns:a16="http://schemas.microsoft.com/office/drawing/2014/main" id="{DFE4E32B-8C6C-A6E9-B5A3-3C8AFA01D9E5}"/>
            </a:ext>
          </a:extLst>
        </xdr:cNvPr>
        <xdr:cNvSpPr txBox="1"/>
      </xdr:nvSpPr>
      <xdr:spPr>
        <a:xfrm>
          <a:off x="495300" y="15918180"/>
          <a:ext cx="885444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0" i="0">
              <a:solidFill>
                <a:schemeClr val="tx1"/>
              </a:solidFill>
              <a:effectLst/>
              <a:latin typeface="+mn-lt"/>
              <a:ea typeface="+mn-ea"/>
              <a:cs typeface="+mn-cs"/>
            </a:rPr>
            <a:t>Based on a peer universe of </a:t>
          </a:r>
          <a:r>
            <a:rPr lang="en-IN" sz="1100" b="1" i="0">
              <a:solidFill>
                <a:schemeClr val="tx1"/>
              </a:solidFill>
              <a:effectLst/>
              <a:latin typeface="+mn-lt"/>
              <a:ea typeface="+mn-ea"/>
              <a:cs typeface="+mn-cs"/>
            </a:rPr>
            <a:t>5</a:t>
          </a:r>
          <a:r>
            <a:rPr lang="en-IN" sz="1100" b="0" i="0">
              <a:solidFill>
                <a:schemeClr val="tx1"/>
              </a:solidFill>
              <a:effectLst/>
              <a:latin typeface="+mn-lt"/>
              <a:ea typeface="+mn-ea"/>
              <a:cs typeface="+mn-cs"/>
            </a:rPr>
            <a:t> publicly traded companies operating in </a:t>
          </a:r>
          <a:r>
            <a:rPr lang="en-IN" sz="1100" b="1" i="0">
              <a:solidFill>
                <a:schemeClr val="tx1"/>
              </a:solidFill>
              <a:effectLst/>
              <a:latin typeface="+mn-lt"/>
              <a:ea typeface="+mn-ea"/>
              <a:cs typeface="+mn-cs"/>
            </a:rPr>
            <a:t>Consumer Discretionary</a:t>
          </a:r>
          <a:r>
            <a:rPr lang="en-IN" sz="1100" b="0" i="0">
              <a:solidFill>
                <a:schemeClr val="tx1"/>
              </a:solidFill>
              <a:effectLst/>
              <a:latin typeface="+mn-lt"/>
              <a:ea typeface="+mn-ea"/>
              <a:cs typeface="+mn-cs"/>
            </a:rPr>
            <a:t>, our comparable company analysis yields a blended implied share price of </a:t>
          </a:r>
          <a:r>
            <a:rPr lang="en-IN" sz="1100" b="1" i="0">
              <a:solidFill>
                <a:schemeClr val="tx1"/>
              </a:solidFill>
              <a:effectLst/>
              <a:latin typeface="+mn-lt"/>
              <a:ea typeface="+mn-ea"/>
              <a:cs typeface="+mn-cs"/>
            </a:rPr>
            <a:t>$191.0</a:t>
          </a:r>
          <a:r>
            <a:rPr lang="en-IN" sz="1100" b="0" i="0">
              <a:solidFill>
                <a:schemeClr val="tx1"/>
              </a:solidFill>
              <a:effectLst/>
              <a:latin typeface="+mn-lt"/>
              <a:ea typeface="+mn-ea"/>
              <a:cs typeface="+mn-cs"/>
            </a:rPr>
            <a:t> (median basis). Applying the peer median EV/NTM EBITDA of </a:t>
          </a:r>
          <a:r>
            <a:rPr lang="en-IN" sz="1100" b="1" i="0">
              <a:solidFill>
                <a:schemeClr val="tx1"/>
              </a:solidFill>
              <a:effectLst/>
              <a:latin typeface="+mn-lt"/>
              <a:ea typeface="+mn-ea"/>
              <a:cs typeface="+mn-cs"/>
            </a:rPr>
            <a:t>18.4x</a:t>
          </a:r>
          <a:r>
            <a:rPr lang="en-IN" sz="1100" b="0" i="0">
              <a:solidFill>
                <a:schemeClr val="tx1"/>
              </a:solidFill>
              <a:effectLst/>
              <a:latin typeface="+mn-lt"/>
              <a:ea typeface="+mn-ea"/>
              <a:cs typeface="+mn-cs"/>
            </a:rPr>
            <a:t> to </a:t>
          </a:r>
          <a:r>
            <a:rPr lang="en-IN" sz="1100" b="1" i="0">
              <a:solidFill>
                <a:schemeClr val="tx1"/>
              </a:solidFill>
              <a:effectLst/>
              <a:latin typeface="+mn-lt"/>
              <a:ea typeface="+mn-ea"/>
              <a:cs typeface="+mn-cs"/>
            </a:rPr>
            <a:t>NYSE: CHH</a:t>
          </a:r>
          <a:r>
            <a:rPr lang="en-IN" sz="1100" b="0" i="0">
              <a:solidFill>
                <a:schemeClr val="tx1"/>
              </a:solidFill>
              <a:effectLst/>
              <a:latin typeface="+mn-lt"/>
              <a:ea typeface="+mn-ea"/>
              <a:cs typeface="+mn-cs"/>
            </a:rPr>
            <a:t>'s estimated NTM EBITDA of </a:t>
          </a:r>
          <a:r>
            <a:rPr lang="en-IN" sz="1100" b="1" i="0">
              <a:solidFill>
                <a:schemeClr val="tx1"/>
              </a:solidFill>
              <a:effectLst/>
              <a:latin typeface="+mn-lt"/>
              <a:ea typeface="+mn-ea"/>
              <a:cs typeface="+mn-cs"/>
            </a:rPr>
            <a:t>$1,613M </a:t>
          </a:r>
          <a:r>
            <a:rPr lang="en-IN" sz="1100" b="0" i="0">
              <a:solidFill>
                <a:schemeClr val="tx1"/>
              </a:solidFill>
              <a:effectLst/>
              <a:latin typeface="+mn-lt"/>
              <a:ea typeface="+mn-ea"/>
              <a:cs typeface="+mn-cs"/>
            </a:rPr>
            <a:t>produces an enterprise value of </a:t>
          </a:r>
          <a:r>
            <a:rPr lang="en-IN" sz="1100" b="1" i="0">
              <a:solidFill>
                <a:schemeClr val="tx1"/>
              </a:solidFill>
              <a:effectLst/>
              <a:latin typeface="+mn-lt"/>
              <a:ea typeface="+mn-ea"/>
              <a:cs typeface="+mn-cs"/>
            </a:rPr>
            <a:t>$10,697.0M</a:t>
          </a:r>
          <a:r>
            <a:rPr lang="en-IN" sz="1100" b="0" i="0">
              <a:solidFill>
                <a:schemeClr val="tx1"/>
              </a:solidFill>
              <a:effectLst/>
              <a:latin typeface="+mn-lt"/>
              <a:ea typeface="+mn-ea"/>
              <a:cs typeface="+mn-cs"/>
            </a:rPr>
            <a:t>, implying equity of </a:t>
          </a:r>
          <a:r>
            <a:rPr lang="en-IN" sz="1100" b="1" i="0">
              <a:solidFill>
                <a:schemeClr val="tx1"/>
              </a:solidFill>
              <a:effectLst/>
              <a:latin typeface="+mn-lt"/>
              <a:ea typeface="+mn-ea"/>
              <a:cs typeface="+mn-cs"/>
            </a:rPr>
            <a:t>$8,823.4M</a:t>
          </a:r>
          <a:r>
            <a:rPr lang="en-IN" sz="1100" b="0" i="0">
              <a:solidFill>
                <a:schemeClr val="tx1"/>
              </a:solidFill>
              <a:effectLst/>
              <a:latin typeface="+mn-lt"/>
              <a:ea typeface="+mn-ea"/>
              <a:cs typeface="+mn-cs"/>
            </a:rPr>
            <a:t> or </a:t>
          </a:r>
          <a:r>
            <a:rPr lang="en-IN" sz="1100" b="1" i="0">
              <a:solidFill>
                <a:schemeClr val="tx1"/>
              </a:solidFill>
              <a:effectLst/>
              <a:latin typeface="+mn-lt"/>
              <a:ea typeface="+mn-ea"/>
              <a:cs typeface="+mn-cs"/>
            </a:rPr>
            <a:t>$191.0</a:t>
          </a:r>
          <a:r>
            <a:rPr lang="en-IN" sz="1100" b="0" i="0">
              <a:solidFill>
                <a:schemeClr val="tx1"/>
              </a:solidFill>
              <a:effectLst/>
              <a:latin typeface="+mn-lt"/>
              <a:ea typeface="+mn-ea"/>
              <a:cs typeface="+mn-cs"/>
            </a:rPr>
            <a:t> per share — a </a:t>
          </a:r>
          <a:r>
            <a:rPr lang="en-IN" sz="1100" b="1" i="1">
              <a:solidFill>
                <a:schemeClr val="tx1"/>
              </a:solidFill>
              <a:effectLst/>
              <a:latin typeface="+mn-lt"/>
              <a:ea typeface="+mn-ea"/>
              <a:cs typeface="+mn-cs"/>
            </a:rPr>
            <a:t>63.9%</a:t>
          </a:r>
          <a:r>
            <a:rPr lang="en-IN" sz="1100" b="0" i="0">
              <a:solidFill>
                <a:schemeClr val="tx1"/>
              </a:solidFill>
              <a:effectLst/>
              <a:latin typeface="+mn-lt"/>
              <a:ea typeface="+mn-ea"/>
              <a:cs typeface="+mn-cs"/>
            </a:rPr>
            <a:t> discount to the current trading price of </a:t>
          </a:r>
          <a:r>
            <a:rPr lang="en-IN" sz="1100" b="1" i="0">
              <a:solidFill>
                <a:schemeClr val="tx1"/>
              </a:solidFill>
              <a:effectLst/>
              <a:latin typeface="+mn-lt"/>
              <a:ea typeface="+mn-ea"/>
              <a:cs typeface="+mn-cs"/>
            </a:rPr>
            <a:t>$116.7</a:t>
          </a:r>
          <a:r>
            <a:rPr lang="en-IN" sz="1100" b="0" i="0">
              <a:solidFill>
                <a:schemeClr val="tx1"/>
              </a:solidFill>
              <a:effectLst/>
              <a:latin typeface="+mn-lt"/>
              <a:ea typeface="+mn-ea"/>
              <a:cs typeface="+mn-cs"/>
            </a:rPr>
            <a:t>. The dicsount is justified given the company's superior growth profile.</a:t>
          </a:r>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708660</xdr:colOff>
      <xdr:row>44</xdr:row>
      <xdr:rowOff>83820</xdr:rowOff>
    </xdr:from>
    <xdr:to>
      <xdr:col>11</xdr:col>
      <xdr:colOff>640080</xdr:colOff>
      <xdr:row>56</xdr:row>
      <xdr:rowOff>99060</xdr:rowOff>
    </xdr:to>
    <xdr:graphicFrame macro="">
      <xdr:nvGraphicFramePr>
        <xdr:cNvPr id="2" name="Chart 1">
          <a:extLst>
            <a:ext uri="{FF2B5EF4-FFF2-40B4-BE49-F238E27FC236}">
              <a16:creationId xmlns:a16="http://schemas.microsoft.com/office/drawing/2014/main" id="{6998B167-44B7-41C8-997C-08F6FADE2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144780</xdr:colOff>
      <xdr:row>101</xdr:row>
      <xdr:rowOff>68580</xdr:rowOff>
    </xdr:from>
    <xdr:ext cx="8351520" cy="1223200"/>
    <xdr:sp macro="" textlink="">
      <xdr:nvSpPr>
        <xdr:cNvPr id="3" name="TextBox 2">
          <a:extLst>
            <a:ext uri="{FF2B5EF4-FFF2-40B4-BE49-F238E27FC236}">
              <a16:creationId xmlns:a16="http://schemas.microsoft.com/office/drawing/2014/main" id="{A219DF9C-532E-96E8-4DEA-02F8B61FCF5F}"/>
            </a:ext>
          </a:extLst>
        </xdr:cNvPr>
        <xdr:cNvSpPr txBox="1"/>
      </xdr:nvSpPr>
      <xdr:spPr>
        <a:xfrm>
          <a:off x="464820" y="18585180"/>
          <a:ext cx="8351520" cy="1223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a:t>Our DCF analysis, anchored on a </a:t>
          </a:r>
          <a:r>
            <a:rPr lang="en-IN" sz="1100" b="1" i="1"/>
            <a:t>7.8%</a:t>
          </a:r>
          <a:r>
            <a:rPr lang="en-IN" sz="1100" b="1"/>
            <a:t> </a:t>
          </a:r>
          <a:r>
            <a:rPr lang="en-IN" sz="1100"/>
            <a:t>WACC and a </a:t>
          </a:r>
          <a:r>
            <a:rPr lang="en-IN" sz="1100" b="1" i="1"/>
            <a:t>16.5x</a:t>
          </a:r>
          <a:r>
            <a:rPr lang="en-IN" sz="1100" b="1"/>
            <a:t> </a:t>
          </a:r>
          <a:r>
            <a:rPr lang="en-IN" sz="1100"/>
            <a:t>EBITDA Multiple, yields a base-case intrinsic value of </a:t>
          </a:r>
          <a:r>
            <a:rPr lang="en-IN" sz="1100" b="1"/>
            <a:t>$148.3</a:t>
          </a:r>
          <a:r>
            <a:rPr lang="en-IN" sz="1100"/>
            <a:t> per share. This implies a </a:t>
          </a:r>
          <a:r>
            <a:rPr lang="en-IN" sz="1100" b="1" i="1"/>
            <a:t>27.0%</a:t>
          </a:r>
          <a:r>
            <a:rPr lang="en-IN" sz="1100"/>
            <a:t> discount to the current market price of </a:t>
          </a:r>
          <a:r>
            <a:rPr lang="en-IN" sz="1100" b="1"/>
            <a:t>$116.7</a:t>
          </a:r>
          <a:r>
            <a:rPr lang="en-IN" sz="1100"/>
            <a:t>, suggesting the stock is </a:t>
          </a:r>
          <a:r>
            <a:rPr lang="en-IN" sz="1100" b="1"/>
            <a:t>undervalued </a:t>
          </a:r>
          <a:r>
            <a:rPr lang="en-IN" sz="1100"/>
            <a:t>on a standalone basis. The terminal value represents approximately </a:t>
          </a:r>
          <a:r>
            <a:rPr lang="en-IN" sz="1100" b="1" i="1"/>
            <a:t>111.1%</a:t>
          </a:r>
          <a:r>
            <a:rPr lang="en-IN" sz="1100"/>
            <a:t> of total enterprise value, consistent with sector peers.</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213360</xdr:colOff>
      <xdr:row>4</xdr:row>
      <xdr:rowOff>83820</xdr:rowOff>
    </xdr:from>
    <xdr:to>
      <xdr:col>16</xdr:col>
      <xdr:colOff>579120</xdr:colOff>
      <xdr:row>24</xdr:row>
      <xdr:rowOff>83820</xdr:rowOff>
    </xdr:to>
    <xdr:graphicFrame macro="">
      <xdr:nvGraphicFramePr>
        <xdr:cNvPr id="3" name="Chart 2">
          <a:extLst>
            <a:ext uri="{FF2B5EF4-FFF2-40B4-BE49-F238E27FC236}">
              <a16:creationId xmlns:a16="http://schemas.microsoft.com/office/drawing/2014/main" id="{AC759868-7D57-35D9-21F5-71AD6A1B0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213360</xdr:colOff>
      <xdr:row>41</xdr:row>
      <xdr:rowOff>175260</xdr:rowOff>
    </xdr:from>
    <xdr:to>
      <xdr:col>16</xdr:col>
      <xdr:colOff>563880</xdr:colOff>
      <xdr:row>63</xdr:row>
      <xdr:rowOff>38100</xdr:rowOff>
    </xdr:to>
    <xdr:graphicFrame macro="">
      <xdr:nvGraphicFramePr>
        <xdr:cNvPr id="7" name="Chart 6">
          <a:extLst>
            <a:ext uri="{FF2B5EF4-FFF2-40B4-BE49-F238E27FC236}">
              <a16:creationId xmlns:a16="http://schemas.microsoft.com/office/drawing/2014/main" id="{37C06A10-A1B9-9366-DDB4-32C9BE15B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0.07079</cdr:x>
      <cdr:y>0.05208</cdr:y>
    </cdr:from>
    <cdr:to>
      <cdr:x>0.2847</cdr:x>
      <cdr:y>0.125</cdr:y>
    </cdr:to>
    <cdr:sp macro="" textlink="">
      <cdr:nvSpPr>
        <cdr:cNvPr id="2" name="TextBox 1">
          <a:extLst xmlns:a="http://schemas.openxmlformats.org/drawingml/2006/main">
            <a:ext uri="{FF2B5EF4-FFF2-40B4-BE49-F238E27FC236}">
              <a16:creationId xmlns:a16="http://schemas.microsoft.com/office/drawing/2014/main" id="{C9A83987-041F-224B-BE50-F28513D2B2F0}"/>
            </a:ext>
          </a:extLst>
        </cdr:cNvPr>
        <cdr:cNvSpPr txBox="1"/>
      </cdr:nvSpPr>
      <cdr:spPr>
        <a:xfrm xmlns:a="http://schemas.openxmlformats.org/drawingml/2006/main">
          <a:off x="706120" y="190500"/>
          <a:ext cx="2133600" cy="266700"/>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none" rtlCol="0"/>
        <a:lstStyle xmlns:a="http://schemas.openxmlformats.org/drawingml/2006/main"/>
        <a:p xmlns:a="http://schemas.openxmlformats.org/drawingml/2006/main">
          <a:r>
            <a:rPr lang="en-IN" sz="1100" b="1" kern="1200">
              <a:solidFill>
                <a:schemeClr val="accent1">
                  <a:lumMod val="50000"/>
                </a:schemeClr>
              </a:solidFill>
            </a:rPr>
            <a:t>Discounted Cash Flow Analysis</a:t>
          </a:r>
        </a:p>
      </cdr:txBody>
    </cdr:sp>
  </cdr:relSizeAnchor>
  <cdr:relSizeAnchor xmlns:cdr="http://schemas.openxmlformats.org/drawingml/2006/chartDrawing">
    <cdr:from>
      <cdr:x>0.07079</cdr:x>
      <cdr:y>0.34306</cdr:y>
    </cdr:from>
    <cdr:to>
      <cdr:x>0.2847</cdr:x>
      <cdr:y>0.41597</cdr:y>
    </cdr:to>
    <cdr:sp macro="" textlink="">
      <cdr:nvSpPr>
        <cdr:cNvPr id="3" name="TextBox 1">
          <a:extLst xmlns:a="http://schemas.openxmlformats.org/drawingml/2006/main">
            <a:ext uri="{FF2B5EF4-FFF2-40B4-BE49-F238E27FC236}">
              <a16:creationId xmlns:a16="http://schemas.microsoft.com/office/drawing/2014/main" id="{AD1F007D-3484-90C7-49D3-BB6642C80915}"/>
            </a:ext>
          </a:extLst>
        </cdr:cNvPr>
        <cdr:cNvSpPr txBox="1"/>
      </cdr:nvSpPr>
      <cdr:spPr>
        <a:xfrm xmlns:a="http://schemas.openxmlformats.org/drawingml/2006/main">
          <a:off x="706120" y="1254760"/>
          <a:ext cx="2133600" cy="266700"/>
        </a:xfrm>
        <a:prstGeom xmlns:a="http://schemas.openxmlformats.org/drawingml/2006/main" prst="rect">
          <a:avLst/>
        </a:prstGeom>
        <a:solidFill xmlns:a="http://schemas.openxmlformats.org/drawingml/2006/main">
          <a:schemeClr val="bg1"/>
        </a:solidFill>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b="1" kern="1200">
              <a:solidFill>
                <a:schemeClr val="accent1">
                  <a:lumMod val="50000"/>
                </a:schemeClr>
              </a:solidFill>
            </a:rPr>
            <a:t>Public Company Comparables</a:t>
          </a:r>
        </a:p>
        <a:p xmlns:a="http://schemas.openxmlformats.org/drawingml/2006/main">
          <a:endParaRPr lang="en-IN" sz="1100" b="1" kern="1200">
            <a:solidFill>
              <a:schemeClr val="accent1">
                <a:lumMod val="50000"/>
              </a:schemeClr>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0.07014</cdr:x>
      <cdr:y>0.05033</cdr:y>
    </cdr:from>
    <cdr:to>
      <cdr:x>0.28437</cdr:x>
      <cdr:y>0.11895</cdr:y>
    </cdr:to>
    <cdr:sp macro="" textlink="">
      <cdr:nvSpPr>
        <cdr:cNvPr id="2" name="TextBox 1">
          <a:extLst xmlns:a="http://schemas.openxmlformats.org/drawingml/2006/main">
            <a:ext uri="{FF2B5EF4-FFF2-40B4-BE49-F238E27FC236}">
              <a16:creationId xmlns:a16="http://schemas.microsoft.com/office/drawing/2014/main" id="{9F313A5D-118E-2B86-0549-7954FC3CF9BD}"/>
            </a:ext>
          </a:extLst>
        </cdr:cNvPr>
        <cdr:cNvSpPr txBox="1"/>
      </cdr:nvSpPr>
      <cdr:spPr>
        <a:xfrm xmlns:a="http://schemas.openxmlformats.org/drawingml/2006/main">
          <a:off x="698500" y="195580"/>
          <a:ext cx="2133600" cy="266700"/>
        </a:xfrm>
        <a:prstGeom xmlns:a="http://schemas.openxmlformats.org/drawingml/2006/main" prst="rect">
          <a:avLst/>
        </a:prstGeom>
        <a:solidFill xmlns:a="http://schemas.openxmlformats.org/drawingml/2006/main">
          <a:schemeClr val="bg1"/>
        </a:solidFill>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b="1" kern="1200">
              <a:solidFill>
                <a:schemeClr val="accent1">
                  <a:lumMod val="50000"/>
                </a:schemeClr>
              </a:solidFill>
            </a:rPr>
            <a:t>Discounted Cash Flow Analysis</a:t>
          </a:r>
        </a:p>
      </cdr:txBody>
    </cdr:sp>
  </cdr:relSizeAnchor>
  <cdr:relSizeAnchor xmlns:cdr="http://schemas.openxmlformats.org/drawingml/2006/chartDrawing">
    <cdr:from>
      <cdr:x>0.07014</cdr:x>
      <cdr:y>0.34248</cdr:y>
    </cdr:from>
    <cdr:to>
      <cdr:x>0.28437</cdr:x>
      <cdr:y>0.41111</cdr:y>
    </cdr:to>
    <cdr:sp macro="" textlink="">
      <cdr:nvSpPr>
        <cdr:cNvPr id="3" name="TextBox 1">
          <a:extLst xmlns:a="http://schemas.openxmlformats.org/drawingml/2006/main">
            <a:ext uri="{FF2B5EF4-FFF2-40B4-BE49-F238E27FC236}">
              <a16:creationId xmlns:a16="http://schemas.microsoft.com/office/drawing/2014/main" id="{F2320FAF-CAE7-4F65-D569-0B379988229F}"/>
            </a:ext>
          </a:extLst>
        </cdr:cNvPr>
        <cdr:cNvSpPr txBox="1"/>
      </cdr:nvSpPr>
      <cdr:spPr>
        <a:xfrm xmlns:a="http://schemas.openxmlformats.org/drawingml/2006/main">
          <a:off x="698500" y="1330960"/>
          <a:ext cx="2133600" cy="266700"/>
        </a:xfrm>
        <a:prstGeom xmlns:a="http://schemas.openxmlformats.org/drawingml/2006/main" prst="rect">
          <a:avLst/>
        </a:prstGeom>
        <a:solidFill xmlns:a="http://schemas.openxmlformats.org/drawingml/2006/main">
          <a:schemeClr val="bg1"/>
        </a:solidFill>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b="1" kern="1200">
              <a:solidFill>
                <a:schemeClr val="accent1">
                  <a:lumMod val="50000"/>
                </a:schemeClr>
              </a:solidFill>
            </a:rPr>
            <a:t>Public Company Comparables</a:t>
          </a:r>
        </a:p>
        <a:p xmlns:a="http://schemas.openxmlformats.org/drawingml/2006/main">
          <a:endParaRPr lang="en-IN" sz="1100" b="1" kern="1200">
            <a:solidFill>
              <a:schemeClr val="accent1">
                <a:lumMod val="50000"/>
              </a:schemeClr>
            </a:solidFill>
          </a:endParaRP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ojects\Resume%20projects\DCF\Alphabet.xlsx" TargetMode="External"/><Relationship Id="rId1" Type="http://schemas.openxmlformats.org/officeDocument/2006/relationships/externalLinkPath" Target="Alphab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Input"/>
      <sheetName val="Projections"/>
      <sheetName val="WACC"/>
      <sheetName val="DCF"/>
    </sheetNames>
    <sheetDataSet>
      <sheetData sheetId="0">
        <row r="4">
          <cell r="K4">
            <v>1</v>
          </cell>
          <cell r="L4" t="str">
            <v>Base</v>
          </cell>
        </row>
        <row r="5">
          <cell r="K5">
            <v>2</v>
          </cell>
          <cell r="L5" t="str">
            <v>Upside</v>
          </cell>
        </row>
        <row r="6">
          <cell r="K6">
            <v>3</v>
          </cell>
          <cell r="L6" t="str">
            <v>Downside</v>
          </cell>
        </row>
      </sheetData>
      <sheetData sheetId="1">
        <row r="32">
          <cell r="F32" t="str">
            <v>NA</v>
          </cell>
        </row>
        <row r="46">
          <cell r="F46">
            <v>3.8862176880485634E-2</v>
          </cell>
          <cell r="G46">
            <v>4.3743464621819446E-2</v>
          </cell>
          <cell r="H46">
            <v>5.2468001866764639E-2</v>
          </cell>
        </row>
      </sheetData>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05EE3-433B-40BA-B541-235BEDF98672}">
  <dimension ref="C2:P46"/>
  <sheetViews>
    <sheetView showGridLines="0" tabSelected="1" workbookViewId="0">
      <selection activeCell="R9" sqref="R9"/>
    </sheetView>
  </sheetViews>
  <sheetFormatPr defaultRowHeight="14.4" x14ac:dyDescent="0.3"/>
  <cols>
    <col min="1" max="2" width="2.33203125" customWidth="1"/>
    <col min="3" max="3" width="2.33203125" style="20" customWidth="1"/>
    <col min="4" max="4" width="30.77734375" customWidth="1"/>
    <col min="6" max="6" width="20.77734375" customWidth="1"/>
    <col min="7" max="10" width="12.77734375" customWidth="1"/>
  </cols>
  <sheetData>
    <row r="2" spans="4:16" ht="21" x14ac:dyDescent="0.4">
      <c r="D2" s="307" t="s">
        <v>141</v>
      </c>
      <c r="E2" s="24"/>
      <c r="F2" s="24"/>
      <c r="G2" s="24"/>
      <c r="H2" s="24"/>
      <c r="I2" s="24"/>
      <c r="J2" s="24"/>
      <c r="K2" s="24"/>
      <c r="L2" s="24"/>
      <c r="M2" s="24"/>
      <c r="N2" s="24"/>
      <c r="O2" s="24"/>
      <c r="P2" s="24"/>
    </row>
    <row r="4" spans="4:16" x14ac:dyDescent="0.3">
      <c r="D4" s="7" t="s">
        <v>142</v>
      </c>
    </row>
    <row r="16" spans="4:16" ht="15.6" x14ac:dyDescent="0.3">
      <c r="D16" s="308" t="s">
        <v>143</v>
      </c>
      <c r="E16" s="18"/>
      <c r="F16" s="18"/>
      <c r="G16" s="18"/>
      <c r="H16" s="18"/>
      <c r="I16" s="18"/>
      <c r="J16" s="18"/>
      <c r="K16" s="18"/>
      <c r="L16" s="18"/>
      <c r="M16" s="18"/>
      <c r="N16" s="18"/>
      <c r="O16" s="18"/>
      <c r="P16" s="18"/>
    </row>
    <row r="18" spans="4:10" x14ac:dyDescent="0.3">
      <c r="D18" s="7" t="s">
        <v>144</v>
      </c>
    </row>
    <row r="20" spans="4:10" x14ac:dyDescent="0.3">
      <c r="D20" s="16" t="s">
        <v>145</v>
      </c>
      <c r="E20" t="s">
        <v>153</v>
      </c>
    </row>
    <row r="21" spans="4:10" x14ac:dyDescent="0.3">
      <c r="D21" s="16" t="s">
        <v>146</v>
      </c>
      <c r="E21" t="s">
        <v>154</v>
      </c>
    </row>
    <row r="22" spans="4:10" x14ac:dyDescent="0.3">
      <c r="D22" s="16" t="s">
        <v>147</v>
      </c>
      <c r="E22" t="s">
        <v>155</v>
      </c>
    </row>
    <row r="23" spans="4:10" x14ac:dyDescent="0.3">
      <c r="D23" s="16" t="s">
        <v>148</v>
      </c>
      <c r="E23" t="s">
        <v>156</v>
      </c>
    </row>
    <row r="24" spans="4:10" x14ac:dyDescent="0.3">
      <c r="D24" s="16" t="s">
        <v>149</v>
      </c>
      <c r="E24" t="s">
        <v>158</v>
      </c>
    </row>
    <row r="25" spans="4:10" x14ac:dyDescent="0.3">
      <c r="D25" s="16" t="s">
        <v>150</v>
      </c>
      <c r="E25" t="s">
        <v>174</v>
      </c>
    </row>
    <row r="26" spans="4:10" x14ac:dyDescent="0.3">
      <c r="D26" s="16" t="s">
        <v>151</v>
      </c>
      <c r="E26" t="s">
        <v>178</v>
      </c>
    </row>
    <row r="27" spans="4:10" x14ac:dyDescent="0.3">
      <c r="D27" s="16"/>
      <c r="E27" t="s">
        <v>179</v>
      </c>
    </row>
    <row r="28" spans="4:10" x14ac:dyDescent="0.3">
      <c r="D28" s="16" t="s">
        <v>152</v>
      </c>
      <c r="E28" t="s">
        <v>157</v>
      </c>
    </row>
    <row r="30" spans="4:10" x14ac:dyDescent="0.3">
      <c r="D30" s="21" t="s">
        <v>159</v>
      </c>
    </row>
    <row r="31" spans="4:10" ht="15.6" x14ac:dyDescent="0.3">
      <c r="D31" s="308" t="s">
        <v>160</v>
      </c>
      <c r="E31" s="2"/>
      <c r="F31" s="2"/>
      <c r="G31" s="2"/>
      <c r="H31" s="2"/>
      <c r="I31" s="2"/>
      <c r="J31" s="2"/>
    </row>
    <row r="32" spans="4:10" x14ac:dyDescent="0.3">
      <c r="D32" s="23"/>
      <c r="E32" s="23"/>
      <c r="F32" s="23"/>
      <c r="G32" s="23" t="s">
        <v>163</v>
      </c>
      <c r="H32" s="23" t="s">
        <v>165</v>
      </c>
      <c r="I32" s="23" t="s">
        <v>166</v>
      </c>
      <c r="J32" s="23" t="s">
        <v>166</v>
      </c>
    </row>
    <row r="33" spans="4:16" x14ac:dyDescent="0.3">
      <c r="D33" s="19" t="s">
        <v>161</v>
      </c>
      <c r="E33" s="19" t="s">
        <v>6</v>
      </c>
      <c r="F33" s="19" t="s">
        <v>162</v>
      </c>
      <c r="G33" s="19" t="s">
        <v>164</v>
      </c>
      <c r="H33" s="19" t="s">
        <v>164</v>
      </c>
      <c r="I33" s="19" t="s">
        <v>12</v>
      </c>
      <c r="J33" s="19" t="s">
        <v>131</v>
      </c>
    </row>
    <row r="34" spans="4:16" ht="19.95" customHeight="1" x14ac:dyDescent="0.3">
      <c r="D34" s="25" t="s">
        <v>167</v>
      </c>
      <c r="E34" s="25" t="s">
        <v>168</v>
      </c>
      <c r="F34" s="25" t="s">
        <v>153</v>
      </c>
      <c r="G34" s="171">
        <f>MAR!H25</f>
        <v>96703.863964920005</v>
      </c>
      <c r="H34" s="171">
        <f>MAR!H31</f>
        <v>112549.86396492</v>
      </c>
      <c r="I34" s="171">
        <f>MAR!R11</f>
        <v>26186</v>
      </c>
      <c r="J34" s="171">
        <f>MAR!R41</f>
        <v>4695</v>
      </c>
    </row>
    <row r="35" spans="4:16" ht="19.95" customHeight="1" x14ac:dyDescent="0.3">
      <c r="D35" s="26" t="s">
        <v>170</v>
      </c>
      <c r="E35" s="26" t="s">
        <v>169</v>
      </c>
      <c r="F35" s="26" t="s">
        <v>153</v>
      </c>
      <c r="G35" s="172">
        <f>ABNB!H25</f>
        <v>83701.619999999981</v>
      </c>
      <c r="H35" s="172">
        <f>ABNB!H31</f>
        <v>79140.619999999981</v>
      </c>
      <c r="I35" s="172">
        <f>ABNB!R11</f>
        <v>12241</v>
      </c>
      <c r="J35" s="172">
        <f>ABNB!R42</f>
        <v>4297</v>
      </c>
    </row>
    <row r="36" spans="4:16" ht="19.95" customHeight="1" x14ac:dyDescent="0.3">
      <c r="D36" s="26" t="s">
        <v>171</v>
      </c>
      <c r="E36" s="26" t="s">
        <v>172</v>
      </c>
      <c r="F36" s="26" t="s">
        <v>153</v>
      </c>
      <c r="G36" s="172">
        <f>HLT!H25</f>
        <v>78279.056999999986</v>
      </c>
      <c r="H36" s="172">
        <f>HLT!H31</f>
        <v>89714.056999999986</v>
      </c>
      <c r="I36" s="172">
        <f>HLT!R11</f>
        <v>12039</v>
      </c>
      <c r="J36" s="172">
        <f>HLT!R41</f>
        <v>3538</v>
      </c>
    </row>
    <row r="37" spans="4:16" ht="19.95" customHeight="1" x14ac:dyDescent="0.3">
      <c r="D37" s="26" t="s">
        <v>176</v>
      </c>
      <c r="E37" s="26" t="s">
        <v>177</v>
      </c>
      <c r="F37" s="26" t="s">
        <v>153</v>
      </c>
      <c r="G37" s="172">
        <f>H!H25</f>
        <v>16017.976156499999</v>
      </c>
      <c r="H37" s="172">
        <f>H!H31</f>
        <v>19832.976156500001</v>
      </c>
      <c r="I37" s="172">
        <f>H!R11</f>
        <v>7101</v>
      </c>
      <c r="J37" s="172">
        <f>H!R41</f>
        <v>1159</v>
      </c>
    </row>
    <row r="38" spans="4:16" ht="19.95" customHeight="1" x14ac:dyDescent="0.3">
      <c r="D38" s="26" t="s">
        <v>173</v>
      </c>
      <c r="E38" s="26" t="s">
        <v>175</v>
      </c>
      <c r="F38" s="26" t="s">
        <v>153</v>
      </c>
      <c r="G38" s="172">
        <f>WH!H25</f>
        <v>6773.9410000000007</v>
      </c>
      <c r="H38" s="172">
        <f>WH!H31</f>
        <v>9269.9410000000007</v>
      </c>
      <c r="I38" s="172">
        <f>WH!R11</f>
        <v>1429</v>
      </c>
      <c r="J38" s="172">
        <f>WH!R42</f>
        <v>718</v>
      </c>
    </row>
    <row r="40" spans="4:16" x14ac:dyDescent="0.3">
      <c r="D40" s="18"/>
      <c r="E40" s="18"/>
      <c r="F40" s="18"/>
      <c r="G40" s="18"/>
      <c r="H40" s="18"/>
      <c r="I40" s="18"/>
      <c r="J40" s="18"/>
      <c r="K40" s="18"/>
      <c r="L40" s="18"/>
      <c r="M40" s="18"/>
      <c r="N40" s="18"/>
      <c r="O40" s="18"/>
      <c r="P40" s="18"/>
    </row>
    <row r="46" spans="4:16" x14ac:dyDescent="0.3">
      <c r="G46" s="21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972CB-A27C-444B-959E-1D858C7E6A75}">
  <sheetPr>
    <pageSetUpPr fitToPage="1"/>
  </sheetPr>
  <dimension ref="D2:O86"/>
  <sheetViews>
    <sheetView showGridLines="0" topLeftCell="F1" workbookViewId="0">
      <selection activeCell="Q6" sqref="Q6:Z10"/>
    </sheetView>
  </sheetViews>
  <sheetFormatPr defaultRowHeight="14.4" x14ac:dyDescent="0.3"/>
  <cols>
    <col min="1" max="3" width="2.33203125" customWidth="1"/>
    <col min="4" max="15" width="10.77734375" customWidth="1"/>
  </cols>
  <sheetData>
    <row r="2" spans="4:15" ht="18" x14ac:dyDescent="0.35">
      <c r="D2" s="3" t="s">
        <v>532</v>
      </c>
      <c r="E2" s="6"/>
      <c r="F2" s="6"/>
      <c r="G2" s="6"/>
      <c r="H2" s="6"/>
      <c r="I2" s="6"/>
      <c r="J2" s="6"/>
      <c r="K2" s="6"/>
      <c r="L2" s="6"/>
      <c r="M2" s="6"/>
      <c r="N2" s="6"/>
      <c r="O2" s="6"/>
    </row>
    <row r="3" spans="4:15" x14ac:dyDescent="0.3">
      <c r="D3" s="2" t="s">
        <v>533</v>
      </c>
      <c r="E3" s="6"/>
      <c r="F3" s="6"/>
      <c r="G3" s="6"/>
      <c r="H3" s="6"/>
      <c r="I3" s="6"/>
      <c r="J3" s="6"/>
      <c r="K3" s="6"/>
      <c r="L3" s="6"/>
      <c r="M3" s="6"/>
      <c r="N3" s="6"/>
      <c r="O3" s="6"/>
    </row>
    <row r="5" spans="4:15" x14ac:dyDescent="0.3">
      <c r="D5" s="7"/>
      <c r="E5" s="257" t="s">
        <v>474</v>
      </c>
      <c r="F5" s="258"/>
      <c r="G5" s="257" t="s">
        <v>476</v>
      </c>
      <c r="H5" s="258"/>
      <c r="I5" s="257" t="s">
        <v>477</v>
      </c>
      <c r="J5" s="258"/>
      <c r="K5" s="257" t="s">
        <v>479</v>
      </c>
      <c r="L5" s="258"/>
      <c r="M5" s="257" t="s">
        <v>320</v>
      </c>
      <c r="N5" s="258"/>
    </row>
    <row r="6" spans="4:15" x14ac:dyDescent="0.3">
      <c r="E6" s="259" t="s">
        <v>475</v>
      </c>
      <c r="F6" s="259"/>
      <c r="G6" s="259" t="s">
        <v>504</v>
      </c>
      <c r="H6" s="259"/>
      <c r="I6" s="260" t="s">
        <v>183</v>
      </c>
      <c r="J6" s="260"/>
      <c r="K6" s="259" t="s">
        <v>502</v>
      </c>
      <c r="L6" s="259"/>
      <c r="M6" s="259" t="s">
        <v>503</v>
      </c>
      <c r="N6" s="259"/>
    </row>
    <row r="7" spans="4:15" x14ac:dyDescent="0.3">
      <c r="D7" s="16"/>
    </row>
    <row r="8" spans="4:15" x14ac:dyDescent="0.3">
      <c r="D8" s="8" t="s">
        <v>478</v>
      </c>
      <c r="E8" s="9"/>
      <c r="F8" s="9"/>
      <c r="G8" s="9"/>
      <c r="H8" s="9"/>
      <c r="I8" s="9"/>
      <c r="J8" s="9"/>
      <c r="K8" s="9"/>
      <c r="L8" s="9"/>
      <c r="M8" s="9"/>
      <c r="N8" s="9"/>
      <c r="O8" s="9"/>
    </row>
    <row r="10" spans="4:15" x14ac:dyDescent="0.3">
      <c r="D10" s="224" t="s">
        <v>535</v>
      </c>
      <c r="E10" s="224"/>
      <c r="F10" s="224" t="s">
        <v>534</v>
      </c>
      <c r="G10" s="224"/>
      <c r="H10" s="224" t="s">
        <v>536</v>
      </c>
      <c r="I10" s="224"/>
      <c r="J10" s="224" t="s">
        <v>537</v>
      </c>
      <c r="K10" s="224"/>
      <c r="L10" s="224" t="s">
        <v>83</v>
      </c>
      <c r="M10" s="224"/>
      <c r="N10" s="224" t="s">
        <v>539</v>
      </c>
      <c r="O10" s="224"/>
    </row>
    <row r="11" spans="4:15" x14ac:dyDescent="0.3">
      <c r="D11" s="221">
        <f>L64</f>
        <v>190.96783550306606</v>
      </c>
      <c r="E11" s="221"/>
      <c r="F11" s="249" t="s">
        <v>591</v>
      </c>
      <c r="G11" s="249"/>
      <c r="H11" s="249" t="s">
        <v>592</v>
      </c>
      <c r="I11" s="249"/>
      <c r="J11" s="249" t="s">
        <v>594</v>
      </c>
      <c r="K11" s="249"/>
      <c r="L11" s="249" t="s">
        <v>593</v>
      </c>
      <c r="M11" s="249"/>
      <c r="N11" s="221">
        <f>116.7</f>
        <v>116.7</v>
      </c>
      <c r="O11" s="221"/>
    </row>
    <row r="13" spans="4:15" x14ac:dyDescent="0.3">
      <c r="D13" s="8" t="s">
        <v>538</v>
      </c>
      <c r="E13" s="9"/>
      <c r="F13" s="9"/>
      <c r="G13" s="9"/>
      <c r="H13" s="9"/>
      <c r="I13" s="9"/>
      <c r="J13" s="9"/>
      <c r="K13" s="9"/>
      <c r="L13" s="9"/>
      <c r="M13" s="9"/>
      <c r="N13" s="9"/>
      <c r="O13" s="9"/>
    </row>
    <row r="14" spans="4:15" x14ac:dyDescent="0.3">
      <c r="D14" s="216" t="s">
        <v>540</v>
      </c>
      <c r="E14" s="216"/>
      <c r="F14" s="216"/>
      <c r="G14" s="216"/>
      <c r="H14" s="216"/>
      <c r="J14" s="216" t="s">
        <v>552</v>
      </c>
      <c r="K14" s="216"/>
      <c r="L14" s="216"/>
      <c r="M14" s="216"/>
    </row>
    <row r="15" spans="4:15" x14ac:dyDescent="0.3">
      <c r="D15" t="s">
        <v>541</v>
      </c>
      <c r="H15" s="27" t="s">
        <v>153</v>
      </c>
      <c r="J15" t="s">
        <v>546</v>
      </c>
      <c r="M15" s="66">
        <f>CHH!R11</f>
        <v>1596.7929999999999</v>
      </c>
    </row>
    <row r="16" spans="4:15" x14ac:dyDescent="0.3">
      <c r="D16" t="s">
        <v>542</v>
      </c>
      <c r="F16" s="66">
        <f>CompsVal!M10</f>
        <v>6170.8628044568259</v>
      </c>
      <c r="G16" s="22" t="s">
        <v>188</v>
      </c>
      <c r="H16" s="66">
        <f>CompsVal!O10</f>
        <v>13957.392431656301</v>
      </c>
      <c r="J16" t="s">
        <v>547</v>
      </c>
      <c r="M16" s="134">
        <f>DCF!H18</f>
        <v>508.11399999999986</v>
      </c>
    </row>
    <row r="17" spans="4:15" x14ac:dyDescent="0.3">
      <c r="D17" t="s">
        <v>543</v>
      </c>
      <c r="F17" s="278">
        <f>WH!R11</f>
        <v>1429</v>
      </c>
      <c r="G17" s="22" t="s">
        <v>188</v>
      </c>
      <c r="H17" s="278">
        <f>ABNB!R11</f>
        <v>12241</v>
      </c>
      <c r="J17" t="s">
        <v>548</v>
      </c>
      <c r="M17" s="30">
        <f>DCF!H19</f>
        <v>0.31820906028520912</v>
      </c>
    </row>
    <row r="18" spans="4:15" x14ac:dyDescent="0.3">
      <c r="D18" t="s">
        <v>544</v>
      </c>
      <c r="H18" s="27" t="s">
        <v>545</v>
      </c>
      <c r="J18" t="s">
        <v>549</v>
      </c>
      <c r="M18" s="30">
        <f>DCF!H9</f>
        <v>7.5427220052004529E-3</v>
      </c>
    </row>
    <row r="19" spans="4:15" x14ac:dyDescent="0.3">
      <c r="J19" t="s">
        <v>550</v>
      </c>
      <c r="M19" s="134">
        <f>CHH!H27</f>
        <v>1906.1220000000001</v>
      </c>
    </row>
    <row r="20" spans="4:15" x14ac:dyDescent="0.3">
      <c r="J20" t="s">
        <v>482</v>
      </c>
      <c r="M20" s="244">
        <f>CHH!H24</f>
        <v>46.203842546202644</v>
      </c>
    </row>
    <row r="21" spans="4:15" x14ac:dyDescent="0.3">
      <c r="J21" t="s">
        <v>551</v>
      </c>
      <c r="M21" s="134">
        <f>CHH!H25</f>
        <v>5390.1402714400001</v>
      </c>
    </row>
    <row r="23" spans="4:15" x14ac:dyDescent="0.3">
      <c r="D23" s="8" t="s">
        <v>555</v>
      </c>
      <c r="E23" s="9"/>
      <c r="F23" s="9"/>
      <c r="G23" s="9"/>
      <c r="H23" s="9"/>
      <c r="I23" s="9"/>
      <c r="J23" s="9"/>
      <c r="K23" s="9"/>
      <c r="L23" s="9"/>
      <c r="M23" s="9"/>
      <c r="N23" s="9"/>
      <c r="O23" s="9"/>
    </row>
    <row r="24" spans="4:15" x14ac:dyDescent="0.3">
      <c r="D24" s="279" t="s">
        <v>238</v>
      </c>
      <c r="E24" s="279"/>
      <c r="F24" s="279"/>
      <c r="G24" s="246" t="s">
        <v>556</v>
      </c>
      <c r="H24" s="246" t="s">
        <v>526</v>
      </c>
      <c r="I24" s="246" t="s">
        <v>557</v>
      </c>
      <c r="J24" s="246" t="s">
        <v>558</v>
      </c>
      <c r="K24" s="246" t="s">
        <v>559</v>
      </c>
      <c r="L24" s="246" t="s">
        <v>83</v>
      </c>
      <c r="M24" s="246" t="s">
        <v>560</v>
      </c>
      <c r="N24" s="246" t="s">
        <v>561</v>
      </c>
    </row>
    <row r="25" spans="4:15" x14ac:dyDescent="0.3">
      <c r="D25" t="str">
        <f>Comps2!D11</f>
        <v>Marriott International Inc.</v>
      </c>
      <c r="G25" s="88">
        <f>Comps2!H11</f>
        <v>96703.863964920005</v>
      </c>
      <c r="H25" s="88">
        <f>Comps2!I11</f>
        <v>112549.86396492</v>
      </c>
      <c r="I25" s="89">
        <f>Comps1!J12</f>
        <v>4.298093025468571</v>
      </c>
      <c r="J25" s="89">
        <f>Comps1!M12</f>
        <v>23.972281994658147</v>
      </c>
      <c r="K25" s="89">
        <f>Comps1!P12</f>
        <v>27.120449148173496</v>
      </c>
      <c r="L25" s="89">
        <f>Comps1!U12</f>
        <v>9.5065789473684195</v>
      </c>
      <c r="M25" s="151">
        <f>MAR!E64</f>
        <v>4.326693227091627E-2</v>
      </c>
      <c r="N25" s="151">
        <f>MAR!R42</f>
        <v>0.17929427938593143</v>
      </c>
    </row>
    <row r="26" spans="4:15" x14ac:dyDescent="0.3">
      <c r="D26" t="str">
        <f>Comps2!D12</f>
        <v>Airbnb Inc. Cl A</v>
      </c>
      <c r="G26" s="220">
        <f>Comps2!H12</f>
        <v>83701.619999999981</v>
      </c>
      <c r="H26" s="220">
        <f>Comps2!I12</f>
        <v>79140.619999999981</v>
      </c>
      <c r="I26" s="89">
        <f>Comps1!J13</f>
        <v>6.4652087247773862</v>
      </c>
      <c r="J26" s="89">
        <f>Comps1!M13</f>
        <v>18.417644868512912</v>
      </c>
      <c r="K26" s="89">
        <f>Comps1!P13</f>
        <v>31.108734276729553</v>
      </c>
      <c r="L26" s="89">
        <f>Comps1!U13</f>
        <v>22.269394100451766</v>
      </c>
      <c r="M26" s="151">
        <f>ABNB!E64</f>
        <v>0.10259412718429117</v>
      </c>
      <c r="N26" s="151">
        <f>ABNB!R43</f>
        <v>0.3510334123029164</v>
      </c>
    </row>
    <row r="27" spans="4:15" x14ac:dyDescent="0.3">
      <c r="D27" t="str">
        <f>Comps2!D13</f>
        <v>Hilton Worldwide Holdings Inc.</v>
      </c>
      <c r="G27" s="220">
        <f>Comps2!H13</f>
        <v>78279.056999999986</v>
      </c>
      <c r="H27" s="220">
        <f>Comps2!I13</f>
        <v>89714.056999999986</v>
      </c>
      <c r="I27" s="89">
        <f>Comps1!J14</f>
        <v>7.4519525708115282</v>
      </c>
      <c r="J27" s="89">
        <f>Comps1!M14</f>
        <v>25.357280101752398</v>
      </c>
      <c r="K27" s="89">
        <f>Comps1!P14</f>
        <v>33.313797623468247</v>
      </c>
      <c r="L27" s="89">
        <f>Comps1!U14</f>
        <v>53.57909445585215</v>
      </c>
      <c r="M27" s="151">
        <f>HLT!E64</f>
        <v>7.7411848935027727E-2</v>
      </c>
      <c r="N27" s="151">
        <f>HLT!R42</f>
        <v>0.29387822908879474</v>
      </c>
    </row>
    <row r="28" spans="4:15" x14ac:dyDescent="0.3">
      <c r="D28" t="str">
        <f>Comps2!D14</f>
        <v xml:space="preserve">Hyatt Hotels Corporation </v>
      </c>
      <c r="G28" s="220">
        <f>Comps2!H14</f>
        <v>16017.976156499999</v>
      </c>
      <c r="H28" s="220">
        <f>Comps2!I14</f>
        <v>19832.976156500001</v>
      </c>
      <c r="I28" s="89">
        <f>Comps1!J15</f>
        <v>2.7929835454865515</v>
      </c>
      <c r="J28" s="89">
        <f>Comps1!M15</f>
        <v>17.112145087575495</v>
      </c>
      <c r="K28" s="89">
        <f>Comps1!P15</f>
        <v>56.991310794540233</v>
      </c>
      <c r="L28" s="89">
        <f>Comps1!U15</f>
        <v>-308.03800300961535</v>
      </c>
      <c r="M28" s="151">
        <f>H!E64</f>
        <v>6.8140794223826795E-2</v>
      </c>
      <c r="N28" s="151">
        <f>H!R42</f>
        <v>0.16321644838755106</v>
      </c>
    </row>
    <row r="29" spans="4:15" x14ac:dyDescent="0.3">
      <c r="D29" t="str">
        <f>Comps2!D15</f>
        <v>Wyndham Hotels &amp; Resorts Inc.</v>
      </c>
      <c r="G29" s="220">
        <f>Comps2!H15</f>
        <v>6773.9410000000007</v>
      </c>
      <c r="H29" s="220">
        <f>Comps2!I15</f>
        <v>9269.9410000000007</v>
      </c>
      <c r="I29" s="89">
        <f>Comps1!J16</f>
        <v>6.4870125962211338</v>
      </c>
      <c r="J29" s="89">
        <f>Comps1!M16</f>
        <v>12.910781337047355</v>
      </c>
      <c r="K29" s="89">
        <f>Comps1!P16</f>
        <v>14.13100762195122</v>
      </c>
      <c r="L29" s="89">
        <f>Comps1!U16</f>
        <v>28.845322033898309</v>
      </c>
      <c r="M29" s="151">
        <f>WH!E64</f>
        <v>1.4914772727272707E-2</v>
      </c>
      <c r="N29" s="151">
        <f>WH!R43</f>
        <v>0.50244926522043387</v>
      </c>
    </row>
    <row r="31" spans="4:15" x14ac:dyDescent="0.3">
      <c r="D31" s="283" t="s">
        <v>457</v>
      </c>
      <c r="E31" s="283"/>
      <c r="F31" s="283"/>
      <c r="G31" s="283"/>
      <c r="H31" s="283"/>
      <c r="I31" s="284">
        <f>MIN(I$25:I$29)</f>
        <v>2.7929835454865515</v>
      </c>
      <c r="J31" s="284">
        <f t="shared" ref="J31:N31" si="0">MIN(J$25:J$29)</f>
        <v>12.910781337047355</v>
      </c>
      <c r="K31" s="284">
        <f t="shared" si="0"/>
        <v>14.13100762195122</v>
      </c>
      <c r="L31" s="284">
        <f t="shared" si="0"/>
        <v>-308.03800300961535</v>
      </c>
      <c r="M31" s="285">
        <f t="shared" si="0"/>
        <v>1.4914772727272707E-2</v>
      </c>
      <c r="N31" s="285">
        <f t="shared" si="0"/>
        <v>0.16321644838755106</v>
      </c>
    </row>
    <row r="32" spans="4:15" x14ac:dyDescent="0.3">
      <c r="D32" s="286" t="s">
        <v>562</v>
      </c>
      <c r="E32" s="286"/>
      <c r="F32" s="286"/>
      <c r="G32" s="286"/>
      <c r="H32" s="286"/>
      <c r="I32" s="287">
        <f>PERCENTILE(I$25:I$29,25%)</f>
        <v>4.298093025468571</v>
      </c>
      <c r="J32" s="287">
        <f t="shared" ref="J32:N32" si="1">PERCENTILE(J$25:J$29,25%)</f>
        <v>17.112145087575495</v>
      </c>
      <c r="K32" s="287">
        <f t="shared" si="1"/>
        <v>27.120449148173496</v>
      </c>
      <c r="L32" s="287">
        <f t="shared" si="1"/>
        <v>9.5065789473684195</v>
      </c>
      <c r="M32" s="288">
        <f t="shared" si="1"/>
        <v>4.326693227091627E-2</v>
      </c>
      <c r="N32" s="288">
        <f t="shared" si="1"/>
        <v>0.17929427938593143</v>
      </c>
    </row>
    <row r="33" spans="4:15" x14ac:dyDescent="0.3">
      <c r="D33" s="286" t="s">
        <v>246</v>
      </c>
      <c r="E33" s="286"/>
      <c r="F33" s="286"/>
      <c r="G33" s="286"/>
      <c r="H33" s="286"/>
      <c r="I33" s="287">
        <f>MEDIAN(I$25:I$29)</f>
        <v>6.4652087247773862</v>
      </c>
      <c r="J33" s="287">
        <f t="shared" ref="J33:N33" si="2">MEDIAN(J$25:J$29)</f>
        <v>18.417644868512912</v>
      </c>
      <c r="K33" s="287">
        <f t="shared" si="2"/>
        <v>31.108734276729553</v>
      </c>
      <c r="L33" s="287">
        <f t="shared" si="2"/>
        <v>22.269394100451766</v>
      </c>
      <c r="M33" s="288">
        <f t="shared" si="2"/>
        <v>6.8140794223826795E-2</v>
      </c>
      <c r="N33" s="288">
        <f t="shared" si="2"/>
        <v>0.29387822908879474</v>
      </c>
    </row>
    <row r="34" spans="4:15" x14ac:dyDescent="0.3">
      <c r="D34" s="286" t="s">
        <v>245</v>
      </c>
      <c r="E34" s="286"/>
      <c r="F34" s="286"/>
      <c r="G34" s="286"/>
      <c r="H34" s="286"/>
      <c r="I34" s="287">
        <f>AVERAGE(I$25:I$29)</f>
        <v>5.4990500925530341</v>
      </c>
      <c r="J34" s="287">
        <f t="shared" ref="J34:N34" si="3">AVERAGE(J$25:J$29)</f>
        <v>19.55402667790926</v>
      </c>
      <c r="K34" s="287">
        <f t="shared" si="3"/>
        <v>32.533059892972553</v>
      </c>
      <c r="L34" s="287">
        <f t="shared" si="3"/>
        <v>-38.767522694408946</v>
      </c>
      <c r="M34" s="288">
        <f t="shared" si="3"/>
        <v>6.1265695068266936E-2</v>
      </c>
      <c r="N34" s="288">
        <f t="shared" si="3"/>
        <v>0.29797432687712549</v>
      </c>
    </row>
    <row r="35" spans="4:15" x14ac:dyDescent="0.3">
      <c r="D35" s="286" t="s">
        <v>563</v>
      </c>
      <c r="E35" s="286"/>
      <c r="F35" s="286"/>
      <c r="G35" s="286"/>
      <c r="H35" s="286"/>
      <c r="I35" s="287">
        <f>PERCENTILE(I$25:I$29,75%)</f>
        <v>6.4870125962211338</v>
      </c>
      <c r="J35" s="287">
        <f t="shared" ref="J35:N35" si="4">PERCENTILE(J$25:J$29,75%)</f>
        <v>23.972281994658147</v>
      </c>
      <c r="K35" s="287">
        <f t="shared" si="4"/>
        <v>33.313797623468247</v>
      </c>
      <c r="L35" s="287">
        <f t="shared" si="4"/>
        <v>28.845322033898309</v>
      </c>
      <c r="M35" s="288">
        <f t="shared" si="4"/>
        <v>7.7411848935027727E-2</v>
      </c>
      <c r="N35" s="288">
        <f t="shared" si="4"/>
        <v>0.3510334123029164</v>
      </c>
    </row>
    <row r="36" spans="4:15" x14ac:dyDescent="0.3">
      <c r="D36" s="289" t="s">
        <v>458</v>
      </c>
      <c r="E36" s="289"/>
      <c r="F36" s="289"/>
      <c r="G36" s="289"/>
      <c r="H36" s="289"/>
      <c r="I36" s="290">
        <f>MAX(I$25:I$29)</f>
        <v>7.4519525708115282</v>
      </c>
      <c r="J36" s="290">
        <f t="shared" ref="J36:N36" si="5">MAX(J$25:J$29)</f>
        <v>25.357280101752398</v>
      </c>
      <c r="K36" s="290">
        <f t="shared" si="5"/>
        <v>56.991310794540233</v>
      </c>
      <c r="L36" s="290">
        <f t="shared" si="5"/>
        <v>53.57909445585215</v>
      </c>
      <c r="M36" s="291">
        <f t="shared" si="5"/>
        <v>0.10259412718429117</v>
      </c>
      <c r="N36" s="291">
        <f t="shared" si="5"/>
        <v>0.50244926522043387</v>
      </c>
    </row>
    <row r="38" spans="4:15" x14ac:dyDescent="0.3">
      <c r="D38" s="8" t="s">
        <v>564</v>
      </c>
      <c r="E38" s="9"/>
      <c r="F38" s="9"/>
      <c r="G38" s="9"/>
      <c r="H38" s="9"/>
      <c r="I38" s="9"/>
      <c r="J38" s="9"/>
      <c r="K38" s="9"/>
      <c r="L38" s="9"/>
      <c r="M38" s="9"/>
      <c r="N38" s="9"/>
      <c r="O38" s="9"/>
    </row>
    <row r="39" spans="4:15" x14ac:dyDescent="0.3">
      <c r="D39" s="279" t="s">
        <v>238</v>
      </c>
      <c r="E39" s="279"/>
      <c r="F39" s="279"/>
      <c r="G39" s="246" t="s">
        <v>344</v>
      </c>
      <c r="H39" s="246" t="s">
        <v>131</v>
      </c>
      <c r="I39" s="246" t="s">
        <v>557</v>
      </c>
      <c r="J39" s="246" t="s">
        <v>558</v>
      </c>
      <c r="K39" s="246" t="s">
        <v>559</v>
      </c>
      <c r="L39" s="246" t="s">
        <v>83</v>
      </c>
      <c r="M39" s="246" t="s">
        <v>565</v>
      </c>
    </row>
    <row r="40" spans="4:15" x14ac:dyDescent="0.3">
      <c r="D40" t="str">
        <f>D25</f>
        <v>Marriott International Inc.</v>
      </c>
      <c r="G40" s="88">
        <f>MAR!F37</f>
        <v>27901</v>
      </c>
      <c r="H40" s="88">
        <f>MAR!F39</f>
        <v>5900</v>
      </c>
      <c r="I40" s="89">
        <f>Comps1!K12</f>
        <v>4.0339007191469838</v>
      </c>
      <c r="J40" s="89">
        <f>Comps1!N12</f>
        <v>19.076248129647457</v>
      </c>
      <c r="K40" s="89">
        <f>Comps1!Q12</f>
        <v>22.769545612971882</v>
      </c>
      <c r="L40" s="89">
        <f>Comps1!V12</f>
        <v>11.310405346334134</v>
      </c>
      <c r="M40" s="94">
        <f>Comps2!O11/Comps2!Q11/100</f>
        <v>5.3634977240665558</v>
      </c>
    </row>
    <row r="41" spans="4:15" x14ac:dyDescent="0.3">
      <c r="D41" t="str">
        <f t="shared" ref="D41:D44" si="6">D26</f>
        <v>Airbnb Inc. Cl A</v>
      </c>
      <c r="G41" s="280">
        <f>ABNB!F37</f>
        <v>13697</v>
      </c>
      <c r="H41" s="280">
        <f>ABNB!F39</f>
        <v>4812</v>
      </c>
      <c r="I41" s="89">
        <f>Comps1!K13</f>
        <v>5.777952836387529</v>
      </c>
      <c r="J41" s="89">
        <f>Comps1!N13</f>
        <v>16.446512884455522</v>
      </c>
      <c r="K41" s="89">
        <f>Comps1!Q13</f>
        <v>26.424247078464102</v>
      </c>
      <c r="L41" s="89">
        <f>Comps1!V13</f>
        <v>27.956452905811616</v>
      </c>
      <c r="M41" s="94">
        <f>Comps2!O12/Comps2!Q12/100</f>
        <v>2.3297044088176349</v>
      </c>
    </row>
    <row r="42" spans="4:15" x14ac:dyDescent="0.3">
      <c r="D42" t="str">
        <f t="shared" si="6"/>
        <v>Hilton Worldwide Holdings Inc.</v>
      </c>
      <c r="G42" s="280">
        <f>HLT!F37</f>
        <v>13095</v>
      </c>
      <c r="H42" s="280">
        <f>HLT!F39</f>
        <v>4032</v>
      </c>
      <c r="I42" s="89">
        <f>Comps1!K14</f>
        <v>6.8510161893852608</v>
      </c>
      <c r="J42" s="89">
        <f>Comps1!N14</f>
        <v>22.250510168650791</v>
      </c>
      <c r="K42" s="89">
        <f>Comps1!Q14</f>
        <v>25.93641428158427</v>
      </c>
      <c r="L42" s="89">
        <f>Comps1!V14</f>
        <v>37.580681818181816</v>
      </c>
      <c r="M42" s="94">
        <f>Comps2!O13/Comps2!Q13/100</f>
        <v>2.5917711598746083</v>
      </c>
    </row>
    <row r="43" spans="4:15" x14ac:dyDescent="0.3">
      <c r="D43" t="str">
        <f t="shared" si="6"/>
        <v xml:space="preserve">Hyatt Hotels Corporation </v>
      </c>
      <c r="G43" s="280">
        <f>H!F37</f>
        <v>7195</v>
      </c>
      <c r="H43" s="280">
        <f>H!F39</f>
        <v>1179</v>
      </c>
      <c r="I43" s="89">
        <f>Comps1!K15</f>
        <v>2.7564942538568453</v>
      </c>
      <c r="J43" s="89">
        <f>Comps1!N15</f>
        <v>16.821862728159459</v>
      </c>
      <c r="K43" s="89">
        <f>Comps1!Q15</f>
        <v>30.758337711693553</v>
      </c>
      <c r="L43" s="89">
        <f>Comps1!V15</f>
        <v>57.21649484536082</v>
      </c>
      <c r="M43" s="94">
        <f>Comps2!O14/Comps2!Q14/100</f>
        <v>8.1737849779086886</v>
      </c>
    </row>
    <row r="44" spans="4:15" x14ac:dyDescent="0.3">
      <c r="D44" t="str">
        <f t="shared" si="6"/>
        <v>Wyndham Hotels &amp; Resorts Inc.</v>
      </c>
      <c r="G44" s="280">
        <f>WH!F37</f>
        <v>1481</v>
      </c>
      <c r="H44" s="280">
        <f>WH!F39</f>
        <v>741.1</v>
      </c>
      <c r="I44" s="89">
        <f>Comps1!K16</f>
        <v>6.2592444294395682</v>
      </c>
      <c r="J44" s="89">
        <f>Comps1!N16</f>
        <v>12.508353798407773</v>
      </c>
      <c r="K44" s="89">
        <f>Comps1!Q16</f>
        <v>15.296932343234324</v>
      </c>
      <c r="L44" s="89">
        <f>Comps1!V16</f>
        <v>19.169565217391309</v>
      </c>
      <c r="M44" s="94">
        <f>Comps2!O15/Comps2!Q15/100</f>
        <v>2.3961956521739136</v>
      </c>
    </row>
    <row r="46" spans="4:15" x14ac:dyDescent="0.3">
      <c r="D46" s="7" t="s">
        <v>246</v>
      </c>
      <c r="E46" s="7"/>
      <c r="F46" s="7"/>
      <c r="G46" s="7"/>
      <c r="H46" s="7"/>
      <c r="I46" s="281">
        <f>MEDIAN(I40:I44)</f>
        <v>5.777952836387529</v>
      </c>
      <c r="J46" s="281">
        <f t="shared" ref="J46:M46" si="7">MEDIAN(J40:J44)</f>
        <v>16.821862728159459</v>
      </c>
      <c r="K46" s="281">
        <f t="shared" si="7"/>
        <v>25.93641428158427</v>
      </c>
      <c r="L46" s="281">
        <f t="shared" si="7"/>
        <v>27.956452905811616</v>
      </c>
      <c r="M46" s="282">
        <f t="shared" si="7"/>
        <v>2.5917711598746083</v>
      </c>
    </row>
    <row r="48" spans="4:15" x14ac:dyDescent="0.3">
      <c r="D48" s="8" t="s">
        <v>566</v>
      </c>
      <c r="E48" s="9"/>
      <c r="F48" s="9"/>
      <c r="G48" s="9"/>
      <c r="H48" s="9"/>
      <c r="I48" s="9"/>
      <c r="J48" s="9"/>
      <c r="K48" s="9"/>
      <c r="L48" s="9"/>
      <c r="M48" s="9"/>
      <c r="N48" s="9"/>
      <c r="O48" s="9"/>
    </row>
    <row r="49" spans="4:15" x14ac:dyDescent="0.3">
      <c r="D49" s="218" t="s">
        <v>567</v>
      </c>
      <c r="E49" s="293" t="s">
        <v>568</v>
      </c>
      <c r="F49" s="293"/>
      <c r="G49" s="218" t="s">
        <v>569</v>
      </c>
      <c r="H49" s="218" t="s">
        <v>570</v>
      </c>
      <c r="I49" s="218" t="s">
        <v>571</v>
      </c>
      <c r="J49" s="293" t="s">
        <v>572</v>
      </c>
      <c r="K49" s="293"/>
      <c r="L49" s="293" t="s">
        <v>573</v>
      </c>
      <c r="M49" s="293"/>
      <c r="N49" s="293" t="s">
        <v>577</v>
      </c>
      <c r="O49" s="293"/>
    </row>
    <row r="50" spans="4:15" x14ac:dyDescent="0.3">
      <c r="D50" s="292" t="s">
        <v>585</v>
      </c>
      <c r="E50" s="298">
        <f>DCF!H8</f>
        <v>1596.7929999999999</v>
      </c>
      <c r="F50" s="298"/>
      <c r="G50" s="89">
        <f>Comps1!J22</f>
        <v>2.7929835454865515</v>
      </c>
      <c r="H50" s="89">
        <f>Comps1!J19</f>
        <v>6.4652087247773862</v>
      </c>
      <c r="I50" s="89">
        <f>Comps1!J21</f>
        <v>7.4519525708115282</v>
      </c>
      <c r="J50" s="299">
        <f>G50*E50</f>
        <v>4459.8165745481065</v>
      </c>
      <c r="K50" s="299"/>
      <c r="L50" s="299">
        <f>H50*E50</f>
        <v>10323.600035263456</v>
      </c>
      <c r="M50" s="299"/>
      <c r="N50" s="299">
        <f>I50*E50</f>
        <v>11899.225701403851</v>
      </c>
      <c r="O50" s="299"/>
    </row>
    <row r="51" spans="4:15" x14ac:dyDescent="0.3">
      <c r="D51" t="s">
        <v>547</v>
      </c>
      <c r="E51" s="295">
        <f>DCF!H18</f>
        <v>508.11399999999986</v>
      </c>
      <c r="F51" s="295"/>
      <c r="G51" s="89">
        <f>Comps1!M22</f>
        <v>12.910781337047355</v>
      </c>
      <c r="H51" s="89">
        <f>Comps1!M19</f>
        <v>18.417644868512912</v>
      </c>
      <c r="I51" s="89">
        <f>Comps1!M21</f>
        <v>25.357280101752398</v>
      </c>
      <c r="J51" s="300">
        <f t="shared" ref="J51:J54" si="8">G51*E51</f>
        <v>6560.1487482924786</v>
      </c>
      <c r="K51" s="300"/>
      <c r="L51" s="300">
        <f t="shared" ref="L51:L54" si="9">H51*E51</f>
        <v>9358.2632047195675</v>
      </c>
      <c r="M51" s="300"/>
      <c r="N51" s="300">
        <f t="shared" ref="N51:N54" si="10">I51*E51</f>
        <v>12884.389021621815</v>
      </c>
      <c r="O51" s="300"/>
    </row>
    <row r="52" spans="4:15" x14ac:dyDescent="0.3">
      <c r="D52" t="s">
        <v>586</v>
      </c>
      <c r="E52" s="296">
        <f>DCF!H22</f>
        <v>448.39899999999989</v>
      </c>
      <c r="F52" s="296"/>
      <c r="G52" s="89">
        <f>Comps1!P22</f>
        <v>14.13100762195122</v>
      </c>
      <c r="H52" s="89">
        <f>Comps1!P19</f>
        <v>31.108734276729553</v>
      </c>
      <c r="I52" s="89">
        <f>Comps1!P21</f>
        <v>56.991310794540233</v>
      </c>
      <c r="J52" s="300">
        <f t="shared" si="8"/>
        <v>6336.3296866753035</v>
      </c>
      <c r="K52" s="300"/>
      <c r="L52" s="300">
        <f t="shared" si="9"/>
        <v>13949.125340951252</v>
      </c>
      <c r="M52" s="300"/>
      <c r="N52" s="300">
        <f t="shared" si="10"/>
        <v>25554.846768961041</v>
      </c>
      <c r="O52" s="300"/>
    </row>
    <row r="53" spans="4:15" x14ac:dyDescent="0.3">
      <c r="D53" t="s">
        <v>587</v>
      </c>
      <c r="E53" s="296">
        <f>CHH!F37</f>
        <v>1613</v>
      </c>
      <c r="F53" s="296"/>
      <c r="G53" s="89">
        <f>Comps1!K22</f>
        <v>2.7564942538568453</v>
      </c>
      <c r="H53" s="89">
        <f>Comps1!K19</f>
        <v>5.777952836387529</v>
      </c>
      <c r="I53" s="89">
        <f>Comps1!K21</f>
        <v>6.8510161893852608</v>
      </c>
      <c r="J53" s="300">
        <f t="shared" si="8"/>
        <v>4446.2252314710913</v>
      </c>
      <c r="K53" s="300"/>
      <c r="L53" s="300">
        <f t="shared" si="9"/>
        <v>9319.8379250930848</v>
      </c>
      <c r="M53" s="300"/>
      <c r="N53" s="300">
        <f t="shared" si="10"/>
        <v>11050.689113478425</v>
      </c>
      <c r="O53" s="300"/>
    </row>
    <row r="54" spans="4:15" x14ac:dyDescent="0.3">
      <c r="D54" t="s">
        <v>574</v>
      </c>
      <c r="E54" s="297">
        <f>CHH!F39</f>
        <v>635.9</v>
      </c>
      <c r="F54" s="297"/>
      <c r="G54" s="89">
        <f>Comps1!N22</f>
        <v>12.508353798407773</v>
      </c>
      <c r="H54" s="89">
        <f>Comps1!N19</f>
        <v>16.821862728159459</v>
      </c>
      <c r="I54" s="89">
        <f>Comps1!N21</f>
        <v>22.250510168650791</v>
      </c>
      <c r="J54" s="301">
        <f t="shared" si="8"/>
        <v>7954.0621804075026</v>
      </c>
      <c r="K54" s="301"/>
      <c r="L54" s="301">
        <f t="shared" si="9"/>
        <v>10697.022508836601</v>
      </c>
      <c r="M54" s="301"/>
      <c r="N54" s="301">
        <f t="shared" si="10"/>
        <v>14149.099416245037</v>
      </c>
      <c r="O54" s="301"/>
    </row>
    <row r="55" spans="4:15" x14ac:dyDescent="0.3">
      <c r="D55" s="17" t="s">
        <v>575</v>
      </c>
      <c r="E55" s="17"/>
      <c r="F55" s="17"/>
      <c r="G55" s="17"/>
      <c r="H55" s="17"/>
      <c r="I55" s="17"/>
      <c r="J55" s="302">
        <f>AVERAGE(J50:K54)</f>
        <v>5951.3164842788965</v>
      </c>
      <c r="K55" s="302"/>
      <c r="L55" s="302">
        <f t="shared" ref="L55:O55" si="11">AVERAGE(L50:M54)</f>
        <v>10729.56980297279</v>
      </c>
      <c r="M55" s="302"/>
      <c r="N55" s="302">
        <f t="shared" ref="N55:O55" si="12">AVERAGE(N50:O54)</f>
        <v>15107.650004342035</v>
      </c>
      <c r="O55" s="302"/>
    </row>
    <row r="56" spans="4:15" x14ac:dyDescent="0.3">
      <c r="D56" s="7" t="s">
        <v>576</v>
      </c>
      <c r="E56" s="7"/>
      <c r="F56" s="7"/>
      <c r="G56" s="7"/>
      <c r="H56" s="7"/>
      <c r="I56" s="7"/>
      <c r="J56" s="303"/>
      <c r="K56" s="303"/>
      <c r="L56" s="303"/>
      <c r="M56" s="303"/>
      <c r="N56" s="303"/>
      <c r="O56" s="303"/>
    </row>
    <row r="58" spans="4:15" x14ac:dyDescent="0.3">
      <c r="D58" s="216" t="s">
        <v>578</v>
      </c>
      <c r="E58" s="217"/>
      <c r="F58" s="217"/>
      <c r="G58" s="217"/>
      <c r="H58" s="217"/>
      <c r="I58" s="217"/>
      <c r="J58" s="261" t="s">
        <v>581</v>
      </c>
      <c r="K58" s="261"/>
      <c r="L58" s="261" t="s">
        <v>583</v>
      </c>
      <c r="M58" s="261"/>
      <c r="N58" s="261" t="s">
        <v>582</v>
      </c>
      <c r="O58" s="261"/>
    </row>
    <row r="59" spans="4:15" x14ac:dyDescent="0.3">
      <c r="D59" s="304" t="s">
        <v>471</v>
      </c>
      <c r="J59" s="299">
        <f>J55</f>
        <v>5951.3164842788965</v>
      </c>
      <c r="K59" s="262"/>
      <c r="L59" s="299">
        <f t="shared" ref="L59:O59" si="13">L55</f>
        <v>10729.56980297279</v>
      </c>
      <c r="M59" s="262"/>
      <c r="N59" s="299">
        <f t="shared" ref="N59:O59" si="14">N55</f>
        <v>15107.650004342035</v>
      </c>
      <c r="O59" s="262"/>
    </row>
    <row r="60" spans="4:15" x14ac:dyDescent="0.3">
      <c r="D60" s="304" t="s">
        <v>579</v>
      </c>
      <c r="J60" s="294">
        <f>DCF!$K$40</f>
        <v>-1906.1220000000001</v>
      </c>
      <c r="K60" s="294"/>
      <c r="L60" s="294">
        <f>DCF!$K$40</f>
        <v>-1906.1220000000001</v>
      </c>
      <c r="M60" s="294"/>
      <c r="N60" s="294">
        <f>DCF!$K$40</f>
        <v>-1906.1220000000001</v>
      </c>
      <c r="O60" s="294"/>
    </row>
    <row r="61" spans="4:15" x14ac:dyDescent="0.3">
      <c r="D61" s="304" t="s">
        <v>515</v>
      </c>
      <c r="J61" s="294">
        <f>DCF!$K$42</f>
        <v>0</v>
      </c>
      <c r="K61" s="294"/>
      <c r="L61" s="294">
        <f>DCF!$K$42</f>
        <v>0</v>
      </c>
      <c r="M61" s="294"/>
      <c r="N61" s="294">
        <f>DCF!$K$42</f>
        <v>0</v>
      </c>
      <c r="O61" s="294"/>
    </row>
    <row r="62" spans="4:15" x14ac:dyDescent="0.3">
      <c r="D62" s="7" t="s">
        <v>442</v>
      </c>
      <c r="J62" s="306">
        <f>SUM(J59:K61)</f>
        <v>4045.1944842788962</v>
      </c>
      <c r="K62" s="306"/>
      <c r="L62" s="306">
        <f t="shared" ref="L62:O62" si="15">SUM(L59:M61)</f>
        <v>8823.4478029727907</v>
      </c>
      <c r="M62" s="306"/>
      <c r="N62" s="306">
        <f t="shared" ref="N62:O62" si="16">SUM(N59:O61)</f>
        <v>13201.528004342035</v>
      </c>
      <c r="O62" s="306"/>
    </row>
    <row r="63" spans="4:15" x14ac:dyDescent="0.3">
      <c r="D63" s="304" t="s">
        <v>516</v>
      </c>
      <c r="J63" s="222">
        <f>DCF!$K$47</f>
        <v>46.203842546202644</v>
      </c>
      <c r="K63" s="222"/>
      <c r="L63" s="222">
        <f>DCF!$K$47</f>
        <v>46.203842546202644</v>
      </c>
      <c r="M63" s="222"/>
      <c r="N63" s="222">
        <f>DCF!$K$47</f>
        <v>46.203842546202644</v>
      </c>
      <c r="O63" s="222"/>
    </row>
    <row r="64" spans="4:15" x14ac:dyDescent="0.3">
      <c r="D64" s="7" t="s">
        <v>580</v>
      </c>
      <c r="J64" s="305">
        <f>J62/J63</f>
        <v>87.551040375782748</v>
      </c>
      <c r="K64" s="305"/>
      <c r="L64" s="305">
        <f t="shared" ref="L64" si="17">L62/L63</f>
        <v>190.96783550306606</v>
      </c>
      <c r="M64" s="305"/>
      <c r="N64" s="305">
        <f t="shared" ref="N64" si="18">N62/N63</f>
        <v>285.72359519970337</v>
      </c>
      <c r="O64" s="305"/>
    </row>
    <row r="66" spans="4:15" x14ac:dyDescent="0.3">
      <c r="D66" s="8" t="s">
        <v>584</v>
      </c>
      <c r="E66" s="9"/>
      <c r="F66" s="9"/>
      <c r="G66" s="9"/>
      <c r="H66" s="9"/>
      <c r="I66" s="9"/>
      <c r="J66" s="9"/>
      <c r="K66" s="9"/>
      <c r="L66" s="9"/>
      <c r="M66" s="9"/>
      <c r="N66" s="9"/>
      <c r="O66" s="9"/>
    </row>
    <row r="82" spans="4:15" x14ac:dyDescent="0.3">
      <c r="D82" s="8" t="s">
        <v>529</v>
      </c>
      <c r="E82" s="9"/>
      <c r="F82" s="9"/>
      <c r="G82" s="9"/>
      <c r="H82" s="9"/>
      <c r="I82" s="9"/>
      <c r="J82" s="9"/>
      <c r="K82" s="9"/>
      <c r="L82" s="9"/>
      <c r="M82" s="9"/>
      <c r="N82" s="9"/>
      <c r="O82" s="9"/>
    </row>
    <row r="83" spans="4:15" x14ac:dyDescent="0.3">
      <c r="D83" s="7" t="s">
        <v>588</v>
      </c>
    </row>
    <row r="85" spans="4:15" x14ac:dyDescent="0.3">
      <c r="D85" s="277" t="s">
        <v>589</v>
      </c>
      <c r="E85" s="23" t="s">
        <v>531</v>
      </c>
      <c r="F85" s="277" t="s">
        <v>523</v>
      </c>
      <c r="G85" s="23" t="s">
        <v>531</v>
      </c>
      <c r="H85" s="277" t="s">
        <v>590</v>
      </c>
    </row>
    <row r="86" spans="4:15" x14ac:dyDescent="0.3">
      <c r="D86" s="44">
        <f>J64</f>
        <v>87.551040375782748</v>
      </c>
      <c r="E86" s="7"/>
      <c r="F86" s="44">
        <f>L64</f>
        <v>190.96783550306606</v>
      </c>
      <c r="G86" s="7"/>
      <c r="H86" s="44">
        <f>N64</f>
        <v>285.72359519970337</v>
      </c>
    </row>
  </sheetData>
  <mergeCells count="72">
    <mergeCell ref="N59:O59"/>
    <mergeCell ref="N60:O60"/>
    <mergeCell ref="N61:O61"/>
    <mergeCell ref="N62:O62"/>
    <mergeCell ref="N63:O63"/>
    <mergeCell ref="N64:O64"/>
    <mergeCell ref="L59:M59"/>
    <mergeCell ref="L60:M60"/>
    <mergeCell ref="L61:M61"/>
    <mergeCell ref="L62:M62"/>
    <mergeCell ref="L63:M63"/>
    <mergeCell ref="L64:M64"/>
    <mergeCell ref="J59:K59"/>
    <mergeCell ref="J60:K60"/>
    <mergeCell ref="J61:K61"/>
    <mergeCell ref="J62:K62"/>
    <mergeCell ref="J63:K63"/>
    <mergeCell ref="J64:K64"/>
    <mergeCell ref="J55:K56"/>
    <mergeCell ref="L55:M56"/>
    <mergeCell ref="N55:O56"/>
    <mergeCell ref="J58:K58"/>
    <mergeCell ref="L58:M58"/>
    <mergeCell ref="N58:O58"/>
    <mergeCell ref="L50:M50"/>
    <mergeCell ref="L51:M51"/>
    <mergeCell ref="L52:M52"/>
    <mergeCell ref="L53:M53"/>
    <mergeCell ref="L54:M54"/>
    <mergeCell ref="N50:O50"/>
    <mergeCell ref="N51:O51"/>
    <mergeCell ref="N52:O52"/>
    <mergeCell ref="N53:O53"/>
    <mergeCell ref="N54:O54"/>
    <mergeCell ref="E50:F50"/>
    <mergeCell ref="E51:F51"/>
    <mergeCell ref="E52:F52"/>
    <mergeCell ref="E53:F53"/>
    <mergeCell ref="E54:F54"/>
    <mergeCell ref="J50:K50"/>
    <mergeCell ref="J51:K51"/>
    <mergeCell ref="J52:K52"/>
    <mergeCell ref="J53:K53"/>
    <mergeCell ref="J54:K54"/>
    <mergeCell ref="D24:F24"/>
    <mergeCell ref="D39:F39"/>
    <mergeCell ref="E49:F49"/>
    <mergeCell ref="J49:K49"/>
    <mergeCell ref="L49:M49"/>
    <mergeCell ref="N49:O49"/>
    <mergeCell ref="D11:E11"/>
    <mergeCell ref="F11:G11"/>
    <mergeCell ref="H11:I11"/>
    <mergeCell ref="J11:K11"/>
    <mergeCell ref="L11:M11"/>
    <mergeCell ref="N11:O11"/>
    <mergeCell ref="D10:E10"/>
    <mergeCell ref="F10:G10"/>
    <mergeCell ref="H10:I10"/>
    <mergeCell ref="J10:K10"/>
    <mergeCell ref="L10:M10"/>
    <mergeCell ref="N10:O10"/>
    <mergeCell ref="E5:F5"/>
    <mergeCell ref="G5:H5"/>
    <mergeCell ref="I5:J5"/>
    <mergeCell ref="K5:L5"/>
    <mergeCell ref="M5:N5"/>
    <mergeCell ref="E6:F6"/>
    <mergeCell ref="G6:H6"/>
    <mergeCell ref="I6:J6"/>
    <mergeCell ref="K6:L6"/>
    <mergeCell ref="M6:N6"/>
  </mergeCells>
  <pageMargins left="0.70866141732283472" right="0.70866141732283472" top="0.74803149606299213" bottom="0.74803149606299213" header="0.31496062992125984" footer="0.31496062992125984"/>
  <pageSetup scale="5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FFE0F-72E5-454D-B0E6-94DC3780E64F}">
  <sheetPr>
    <pageSetUpPr fitToPage="1"/>
  </sheetPr>
  <dimension ref="D2:O101"/>
  <sheetViews>
    <sheetView showGridLines="0" workbookViewId="0">
      <selection activeCell="D101" sqref="D101"/>
    </sheetView>
  </sheetViews>
  <sheetFormatPr defaultRowHeight="14.4" x14ac:dyDescent="0.3"/>
  <cols>
    <col min="1" max="3" width="2.33203125" customWidth="1"/>
    <col min="4" max="15" width="10.77734375" customWidth="1"/>
  </cols>
  <sheetData>
    <row r="2" spans="4:15" ht="18" x14ac:dyDescent="0.35">
      <c r="D2" s="3" t="s">
        <v>473</v>
      </c>
      <c r="E2" s="6"/>
      <c r="F2" s="6"/>
      <c r="G2" s="6"/>
      <c r="H2" s="6"/>
      <c r="I2" s="6"/>
      <c r="J2" s="6"/>
      <c r="K2" s="6"/>
      <c r="L2" s="6"/>
      <c r="M2" s="6"/>
      <c r="N2" s="6"/>
      <c r="O2" s="6"/>
    </row>
    <row r="3" spans="4:15" x14ac:dyDescent="0.3">
      <c r="D3" s="2" t="s">
        <v>472</v>
      </c>
      <c r="E3" s="6"/>
      <c r="F3" s="6"/>
      <c r="G3" s="6"/>
      <c r="H3" s="6"/>
      <c r="I3" s="6"/>
      <c r="J3" s="6"/>
      <c r="K3" s="6"/>
      <c r="L3" s="6"/>
      <c r="M3" s="6"/>
      <c r="N3" s="6"/>
      <c r="O3" s="6"/>
    </row>
    <row r="5" spans="4:15" x14ac:dyDescent="0.3">
      <c r="E5" s="257" t="s">
        <v>474</v>
      </c>
      <c r="F5" s="258"/>
      <c r="G5" s="257" t="s">
        <v>476</v>
      </c>
      <c r="H5" s="258"/>
      <c r="I5" s="257" t="s">
        <v>477</v>
      </c>
      <c r="J5" s="258"/>
      <c r="K5" s="257" t="s">
        <v>479</v>
      </c>
      <c r="L5" s="258"/>
      <c r="M5" s="257" t="s">
        <v>320</v>
      </c>
      <c r="N5" s="258"/>
    </row>
    <row r="6" spans="4:15" x14ac:dyDescent="0.3">
      <c r="E6" s="259" t="s">
        <v>475</v>
      </c>
      <c r="F6" s="259"/>
      <c r="G6" s="259" t="s">
        <v>504</v>
      </c>
      <c r="H6" s="259"/>
      <c r="I6" s="260" t="s">
        <v>183</v>
      </c>
      <c r="J6" s="260"/>
      <c r="K6" s="259" t="s">
        <v>502</v>
      </c>
      <c r="L6" s="259"/>
      <c r="M6" s="259" t="s">
        <v>503</v>
      </c>
      <c r="N6" s="259"/>
    </row>
    <row r="8" spans="4:15" x14ac:dyDescent="0.3">
      <c r="D8" s="8" t="s">
        <v>478</v>
      </c>
      <c r="E8" s="9"/>
      <c r="F8" s="9"/>
      <c r="G8" s="9"/>
      <c r="H8" s="9"/>
      <c r="I8" s="9"/>
      <c r="J8" s="9"/>
      <c r="K8" s="9"/>
      <c r="L8" s="9"/>
      <c r="M8" s="9"/>
      <c r="N8" s="9"/>
      <c r="O8" s="9"/>
    </row>
    <row r="10" spans="4:15" x14ac:dyDescent="0.3">
      <c r="D10" s="224" t="s">
        <v>480</v>
      </c>
      <c r="E10" s="224"/>
      <c r="F10" s="224" t="s">
        <v>481</v>
      </c>
      <c r="G10" s="224"/>
      <c r="H10" s="224" t="s">
        <v>47</v>
      </c>
      <c r="I10" s="224"/>
      <c r="J10" s="224" t="s">
        <v>482</v>
      </c>
      <c r="K10" s="224"/>
      <c r="L10" s="224" t="s">
        <v>404</v>
      </c>
      <c r="M10" s="224"/>
      <c r="N10" s="224" t="s">
        <v>483</v>
      </c>
      <c r="O10" s="224"/>
    </row>
    <row r="11" spans="4:15" x14ac:dyDescent="0.3">
      <c r="D11" s="221">
        <f>DCF!K49</f>
        <v>148.27395856145137</v>
      </c>
      <c r="E11" s="221"/>
      <c r="F11" s="221">
        <f>DCF!F49</f>
        <v>8711.9516350754748</v>
      </c>
      <c r="G11" s="221"/>
      <c r="H11" s="221">
        <f>DCF!K45</f>
        <v>6850.8266350754748</v>
      </c>
      <c r="I11" s="221"/>
      <c r="J11" s="222">
        <f>DCF!K47</f>
        <v>46.203842546202644</v>
      </c>
      <c r="K11" s="222"/>
      <c r="L11" s="223">
        <f>DCF!E32</f>
        <v>7.840724539443876E-2</v>
      </c>
      <c r="M11" s="223"/>
      <c r="N11" s="223">
        <f>DCF!P43</f>
        <v>0.03</v>
      </c>
      <c r="O11" s="223"/>
    </row>
    <row r="13" spans="4:15" x14ac:dyDescent="0.3">
      <c r="D13" s="8" t="s">
        <v>484</v>
      </c>
      <c r="E13" s="9"/>
      <c r="F13" s="9"/>
      <c r="G13" s="9"/>
      <c r="H13" s="9"/>
      <c r="I13" s="9"/>
      <c r="J13" s="9"/>
      <c r="K13" s="9"/>
      <c r="L13" s="9"/>
      <c r="M13" s="9"/>
      <c r="N13" s="9"/>
      <c r="O13" s="9"/>
    </row>
    <row r="14" spans="4:15" x14ac:dyDescent="0.3">
      <c r="D14" s="216" t="s">
        <v>342</v>
      </c>
      <c r="E14" s="216"/>
      <c r="F14" s="216"/>
      <c r="G14" s="216"/>
      <c r="I14" s="216" t="s">
        <v>485</v>
      </c>
      <c r="J14" s="217"/>
      <c r="K14" s="217"/>
      <c r="L14" s="217"/>
    </row>
    <row r="15" spans="4:15" x14ac:dyDescent="0.3">
      <c r="D15" t="s">
        <v>492</v>
      </c>
      <c r="G15" s="151">
        <f>DCF!O8</f>
        <v>3.4747978397761781E-2</v>
      </c>
      <c r="I15" t="s">
        <v>486</v>
      </c>
      <c r="L15" s="213">
        <f>WACC!F20</f>
        <v>4.2610000000000002E-2</v>
      </c>
    </row>
    <row r="16" spans="4:15" x14ac:dyDescent="0.3">
      <c r="D16" t="s">
        <v>493</v>
      </c>
      <c r="G16" s="151">
        <f>DCF!J19</f>
        <v>0.31820906028520918</v>
      </c>
      <c r="I16" t="s">
        <v>487</v>
      </c>
      <c r="L16" s="213">
        <f>WACC!F21</f>
        <v>4.2300000000000004E-2</v>
      </c>
    </row>
    <row r="17" spans="4:15" x14ac:dyDescent="0.3">
      <c r="D17" t="s">
        <v>494</v>
      </c>
      <c r="G17" s="151">
        <f>Historical!I16</f>
        <v>3.7396832275692599E-2</v>
      </c>
      <c r="I17" t="s">
        <v>488</v>
      </c>
      <c r="L17" s="215">
        <f>WACC!F22</f>
        <v>0.94879002626724407</v>
      </c>
    </row>
    <row r="18" spans="4:15" x14ac:dyDescent="0.3">
      <c r="D18" t="s">
        <v>495</v>
      </c>
      <c r="G18" s="151">
        <f>Historical!I33</f>
        <v>2.437635936530283E-2</v>
      </c>
      <c r="I18" t="s">
        <v>489</v>
      </c>
      <c r="L18" s="213">
        <f>WACC!F24</f>
        <v>8.5043818111104424E-2</v>
      </c>
    </row>
    <row r="19" spans="4:15" x14ac:dyDescent="0.3">
      <c r="D19" t="s">
        <v>496</v>
      </c>
      <c r="G19" s="151">
        <f>DCF!J29/DCF!J8</f>
        <v>2.4053939716404166E-3</v>
      </c>
      <c r="I19" t="s">
        <v>490</v>
      </c>
      <c r="L19" s="213">
        <f>WACC!F14</f>
        <v>5.0999999999999997E-2</v>
      </c>
    </row>
    <row r="20" spans="4:15" x14ac:dyDescent="0.3">
      <c r="D20" t="s">
        <v>44</v>
      </c>
      <c r="G20" s="151">
        <f>Historical!I19</f>
        <v>0.2</v>
      </c>
      <c r="I20" t="s">
        <v>491</v>
      </c>
      <c r="L20" s="151">
        <f>Historical!I96/(Historical!I96+Historical!I111)</f>
        <v>0.75116644189340243</v>
      </c>
    </row>
    <row r="22" spans="4:15" x14ac:dyDescent="0.3">
      <c r="D22" s="8" t="s">
        <v>497</v>
      </c>
      <c r="E22" s="9"/>
      <c r="F22" s="9"/>
      <c r="G22" s="9"/>
      <c r="H22" s="9"/>
      <c r="I22" s="9"/>
      <c r="J22" s="9"/>
      <c r="K22" s="9"/>
      <c r="L22" s="9"/>
      <c r="M22" s="9"/>
      <c r="N22" s="9"/>
      <c r="O22" s="9"/>
    </row>
    <row r="23" spans="4:15" x14ac:dyDescent="0.3">
      <c r="D23" s="218" t="s">
        <v>72</v>
      </c>
      <c r="E23" s="218"/>
      <c r="F23" s="219" t="s">
        <v>235</v>
      </c>
      <c r="G23" s="219" t="s">
        <v>236</v>
      </c>
      <c r="H23" s="219" t="s">
        <v>321</v>
      </c>
      <c r="I23" s="219" t="s">
        <v>322</v>
      </c>
      <c r="J23" s="219" t="s">
        <v>323</v>
      </c>
    </row>
    <row r="24" spans="4:15" x14ac:dyDescent="0.3">
      <c r="D24" t="s">
        <v>344</v>
      </c>
      <c r="F24" s="214">
        <f>DCF!J8</f>
        <v>1620.7448949999998</v>
      </c>
      <c r="G24" s="214">
        <f>DCF!K8</f>
        <v>1674.2294765349998</v>
      </c>
      <c r="H24" s="214">
        <f>DCF!L8</f>
        <v>1729.4790492606546</v>
      </c>
      <c r="I24" s="214">
        <f>DCF!M8</f>
        <v>1795.1992531325595</v>
      </c>
      <c r="J24" s="214">
        <f>DCF!N8</f>
        <v>1858.031226992199</v>
      </c>
    </row>
    <row r="25" spans="4:15" x14ac:dyDescent="0.3">
      <c r="D25" s="5" t="s">
        <v>498</v>
      </c>
      <c r="E25" s="5"/>
      <c r="F25" s="151">
        <f>DCF!J9</f>
        <v>1.4999999999999902E-2</v>
      </c>
      <c r="G25" s="151">
        <f>DCF!K9</f>
        <v>3.2999999999999918E-2</v>
      </c>
      <c r="H25" s="151">
        <f>DCF!L9</f>
        <v>3.2999999999999918E-2</v>
      </c>
      <c r="I25" s="151">
        <f>DCF!M9</f>
        <v>3.8000000000000034E-2</v>
      </c>
      <c r="J25" s="151">
        <f>DCF!N9</f>
        <v>3.499999999999992E-2</v>
      </c>
    </row>
    <row r="26" spans="4:15" x14ac:dyDescent="0.3">
      <c r="D26" t="s">
        <v>18</v>
      </c>
      <c r="F26" s="220">
        <f>DCF!J12</f>
        <v>849.62807999999984</v>
      </c>
      <c r="G26" s="220">
        <f>DCF!K12</f>
        <v>877.6658066399998</v>
      </c>
      <c r="H26" s="220">
        <f>DCF!L12</f>
        <v>906.62877825911971</v>
      </c>
      <c r="I26" s="220">
        <f>DCF!M12</f>
        <v>941.08067183296623</v>
      </c>
      <c r="J26" s="220">
        <f>DCF!N12</f>
        <v>974.01849534712005</v>
      </c>
    </row>
    <row r="27" spans="4:15" x14ac:dyDescent="0.3">
      <c r="D27" s="5" t="s">
        <v>499</v>
      </c>
      <c r="E27" s="5"/>
      <c r="F27" s="151">
        <f>DCF!J13</f>
        <v>0.52422073493558652</v>
      </c>
      <c r="G27" s="151">
        <f>DCF!K13</f>
        <v>0.52422073493558652</v>
      </c>
      <c r="H27" s="151">
        <f>DCF!L13</f>
        <v>0.52422073493558652</v>
      </c>
      <c r="I27" s="151">
        <f>DCF!M13</f>
        <v>0.52422073493558641</v>
      </c>
      <c r="J27" s="151">
        <f>DCF!N13</f>
        <v>0.52422073493558652</v>
      </c>
    </row>
    <row r="28" spans="4:15" x14ac:dyDescent="0.3">
      <c r="D28" t="s">
        <v>131</v>
      </c>
      <c r="F28" s="220">
        <f>DCF!J18</f>
        <v>515.73570999999993</v>
      </c>
      <c r="G28" s="220">
        <f>DCF!K18</f>
        <v>532.7549884299998</v>
      </c>
      <c r="H28" s="220">
        <f>DCF!L18</f>
        <v>550.33590304818972</v>
      </c>
      <c r="I28" s="220">
        <f>DCF!M18</f>
        <v>571.248667364021</v>
      </c>
      <c r="J28" s="220">
        <f>DCF!N18</f>
        <v>591.24237072176174</v>
      </c>
    </row>
    <row r="29" spans="4:15" x14ac:dyDescent="0.3">
      <c r="D29" s="5" t="s">
        <v>500</v>
      </c>
      <c r="E29" s="5"/>
      <c r="F29" s="151">
        <f>DCF!J19</f>
        <v>0.31820906028520918</v>
      </c>
      <c r="G29" s="151">
        <f>DCF!K19</f>
        <v>0.31820906028520907</v>
      </c>
      <c r="H29" s="151">
        <f>DCF!L19</f>
        <v>0.31820906028520907</v>
      </c>
      <c r="I29" s="151">
        <f>DCF!M19</f>
        <v>0.31820906028520912</v>
      </c>
      <c r="J29" s="151">
        <f>DCF!N19</f>
        <v>0.31820906028520912</v>
      </c>
    </row>
    <row r="30" spans="4:15" x14ac:dyDescent="0.3">
      <c r="D30" t="s">
        <v>501</v>
      </c>
      <c r="F30" s="220">
        <f>DCF!J22</f>
        <v>455.12498499999992</v>
      </c>
      <c r="G30" s="220">
        <f>DCF!K22</f>
        <v>470.14410950499979</v>
      </c>
      <c r="H30" s="220">
        <f>DCF!L22</f>
        <v>485.65886511866472</v>
      </c>
      <c r="I30" s="220">
        <f>DCF!M22</f>
        <v>504.11390199317407</v>
      </c>
      <c r="J30" s="220">
        <f>DCF!N22</f>
        <v>521.75788856293514</v>
      </c>
    </row>
    <row r="32" spans="4:15" x14ac:dyDescent="0.3">
      <c r="D32" s="8" t="s">
        <v>505</v>
      </c>
      <c r="E32" s="9"/>
      <c r="F32" s="9"/>
      <c r="G32" s="9"/>
      <c r="H32" s="9"/>
      <c r="I32" s="9"/>
      <c r="J32" s="9"/>
      <c r="K32" s="9"/>
      <c r="L32" s="9"/>
      <c r="M32" s="9"/>
      <c r="N32" s="9"/>
      <c r="O32" s="9"/>
    </row>
    <row r="33" spans="4:15" x14ac:dyDescent="0.3">
      <c r="D33" s="216" t="s">
        <v>72</v>
      </c>
      <c r="E33" s="216"/>
      <c r="F33" s="246" t="s">
        <v>235</v>
      </c>
      <c r="G33" s="246" t="s">
        <v>236</v>
      </c>
      <c r="H33" s="246" t="s">
        <v>321</v>
      </c>
      <c r="I33" s="246" t="s">
        <v>322</v>
      </c>
      <c r="J33" s="246" t="s">
        <v>323</v>
      </c>
    </row>
    <row r="34" spans="4:15" x14ac:dyDescent="0.3">
      <c r="D34" t="s">
        <v>25</v>
      </c>
      <c r="F34" s="33">
        <f>DCF!J22</f>
        <v>455.12498499999992</v>
      </c>
      <c r="G34" s="33">
        <f>DCF!K22</f>
        <v>470.14410950499979</v>
      </c>
      <c r="H34" s="33">
        <f>DCF!L22</f>
        <v>485.65886511866472</v>
      </c>
      <c r="I34" s="33">
        <f>DCF!M22</f>
        <v>504.11390199317407</v>
      </c>
      <c r="J34" s="33">
        <f>DCF!N22</f>
        <v>521.75788856293514</v>
      </c>
    </row>
    <row r="35" spans="4:15" x14ac:dyDescent="0.3">
      <c r="D35" t="s">
        <v>506</v>
      </c>
      <c r="F35" s="134">
        <f>-DCF!J24</f>
        <v>-108.46587363799995</v>
      </c>
      <c r="G35" s="134">
        <f>-DCF!K24</f>
        <v>-109.35816430285395</v>
      </c>
      <c r="H35" s="134">
        <f>-DCF!L24</f>
        <v>-111.08533165916241</v>
      </c>
      <c r="I35" s="134">
        <f>-DCF!M24</f>
        <v>-112.90754521323306</v>
      </c>
      <c r="J35" s="134">
        <f>-DCF!N24</f>
        <v>0</v>
      </c>
    </row>
    <row r="36" spans="4:15" x14ac:dyDescent="0.3">
      <c r="D36" t="s">
        <v>424</v>
      </c>
      <c r="F36" s="248">
        <f>DCF!J25</f>
        <v>346.65911136199998</v>
      </c>
      <c r="G36" s="248">
        <f>DCF!K25</f>
        <v>360.78594520214585</v>
      </c>
      <c r="H36" s="248">
        <f>DCF!L25</f>
        <v>374.5735334595023</v>
      </c>
      <c r="I36" s="248">
        <f>DCF!M25</f>
        <v>391.20635677994102</v>
      </c>
      <c r="J36" s="248">
        <f>DCF!N25</f>
        <v>521.75788856293514</v>
      </c>
    </row>
    <row r="37" spans="4:15" x14ac:dyDescent="0.3">
      <c r="D37" t="s">
        <v>507</v>
      </c>
      <c r="F37" s="134">
        <f>DCF!J27</f>
        <v>60.610725000000002</v>
      </c>
      <c r="G37" s="134">
        <f>DCF!K27</f>
        <v>62.610878925000002</v>
      </c>
      <c r="H37" s="134">
        <f>DCF!L27</f>
        <v>64.677037929525</v>
      </c>
      <c r="I37" s="134">
        <f>DCF!M27</f>
        <v>67.134765370846949</v>
      </c>
      <c r="J37" s="134">
        <f>DCF!N27</f>
        <v>69.484482158826594</v>
      </c>
    </row>
    <row r="38" spans="4:15" x14ac:dyDescent="0.3">
      <c r="D38" t="s">
        <v>426</v>
      </c>
      <c r="F38" s="134">
        <f>DCF!J28</f>
        <v>-39.507859999999994</v>
      </c>
      <c r="G38" s="134">
        <f>DCF!K28</f>
        <v>-40.811619379999996</v>
      </c>
      <c r="H38" s="134">
        <f>DCF!L28</f>
        <v>-42.158402819539994</v>
      </c>
      <c r="I38" s="134">
        <f>DCF!M28</f>
        <v>-43.760422126682514</v>
      </c>
      <c r="J38" s="134">
        <f>DCF!N28</f>
        <v>-45.292036901116397</v>
      </c>
    </row>
    <row r="39" spans="4:15" x14ac:dyDescent="0.3">
      <c r="D39" t="s">
        <v>508</v>
      </c>
      <c r="F39" s="134">
        <f>DCF!J29</f>
        <v>3.8985299999999796</v>
      </c>
      <c r="G39" s="134">
        <f>DCF!K29</f>
        <v>8.7054174900000163</v>
      </c>
      <c r="H39" s="134">
        <f>DCF!L29</f>
        <v>8.9926962671699542</v>
      </c>
      <c r="I39" s="134">
        <f>DCF!M29</f>
        <v>10.696948462772525</v>
      </c>
      <c r="J39" s="134">
        <f>DCF!N29</f>
        <v>10.226845727697928</v>
      </c>
    </row>
    <row r="40" spans="4:15" x14ac:dyDescent="0.3">
      <c r="D40" t="s">
        <v>509</v>
      </c>
      <c r="F40" s="248">
        <f>DCF!J31</f>
        <v>371.66050636199998</v>
      </c>
      <c r="G40" s="248">
        <f>DCF!K31</f>
        <v>391.2906222371459</v>
      </c>
      <c r="H40" s="248">
        <f>DCF!L31</f>
        <v>406.08486483665723</v>
      </c>
      <c r="I40" s="248">
        <f>DCF!M31</f>
        <v>425.27764848687798</v>
      </c>
      <c r="J40" s="248">
        <f>DCF!N31</f>
        <v>556.17717954834325</v>
      </c>
    </row>
    <row r="41" spans="4:15" x14ac:dyDescent="0.3">
      <c r="D41" t="s">
        <v>429</v>
      </c>
      <c r="F41" s="245">
        <f>DCF!J34</f>
        <v>0.96296078482035941</v>
      </c>
      <c r="G41" s="245">
        <f>DCF!K34</f>
        <v>0.89294725061694724</v>
      </c>
      <c r="H41" s="245">
        <f>DCF!L34</f>
        <v>0.82802415732133028</v>
      </c>
      <c r="I41" s="245">
        <f>DCF!M34</f>
        <v>0.76782139665472282</v>
      </c>
      <c r="J41" s="245">
        <f>DCF!N34</f>
        <v>0.7119957696258653</v>
      </c>
    </row>
    <row r="42" spans="4:15" x14ac:dyDescent="0.3">
      <c r="D42" t="s">
        <v>510</v>
      </c>
      <c r="F42" s="248">
        <f>DCF!J35</f>
        <v>357.89449289308368</v>
      </c>
      <c r="G42" s="248">
        <f>DCF!K35</f>
        <v>349.40188531885394</v>
      </c>
      <c r="H42" s="248">
        <f>DCF!L35</f>
        <v>336.24807800731941</v>
      </c>
      <c r="I42" s="248">
        <f>DCF!M35</f>
        <v>326.53727802723091</v>
      </c>
      <c r="J42" s="248">
        <f>DCF!N35</f>
        <v>395.9957990008657</v>
      </c>
    </row>
    <row r="44" spans="4:15" x14ac:dyDescent="0.3">
      <c r="D44" s="8" t="s">
        <v>511</v>
      </c>
      <c r="E44" s="9"/>
      <c r="F44" s="9"/>
      <c r="G44" s="9"/>
      <c r="H44" s="9"/>
      <c r="I44" s="9"/>
      <c r="J44" s="9"/>
      <c r="K44" s="9"/>
      <c r="L44" s="9"/>
      <c r="M44" s="9"/>
      <c r="N44" s="9"/>
      <c r="O44" s="9"/>
    </row>
    <row r="58" spans="4:8" x14ac:dyDescent="0.3">
      <c r="D58" s="216" t="s">
        <v>512</v>
      </c>
      <c r="E58" s="216"/>
      <c r="F58" s="216"/>
      <c r="G58" s="216" t="s">
        <v>513</v>
      </c>
      <c r="H58" s="216"/>
    </row>
    <row r="59" spans="4:8" x14ac:dyDescent="0.3">
      <c r="D59" t="s">
        <v>62</v>
      </c>
      <c r="G59" s="33">
        <f>DCF!K39</f>
        <v>8711.9516350754748</v>
      </c>
    </row>
    <row r="60" spans="4:8" x14ac:dyDescent="0.3">
      <c r="D60" t="s">
        <v>435</v>
      </c>
      <c r="G60" s="134">
        <f>DCF!K40</f>
        <v>-1906.1220000000001</v>
      </c>
    </row>
    <row r="61" spans="4:8" x14ac:dyDescent="0.3">
      <c r="D61" t="s">
        <v>437</v>
      </c>
      <c r="G61" s="134">
        <f>DCF!K40</f>
        <v>-1906.1220000000001</v>
      </c>
    </row>
    <row r="62" spans="4:8" x14ac:dyDescent="0.3">
      <c r="D62" t="s">
        <v>515</v>
      </c>
      <c r="G62" s="134">
        <f>DCF!K41</f>
        <v>0</v>
      </c>
    </row>
    <row r="63" spans="4:8" x14ac:dyDescent="0.3">
      <c r="D63" t="s">
        <v>514</v>
      </c>
      <c r="G63" s="134">
        <f>DCF!K43</f>
        <v>44.997</v>
      </c>
    </row>
    <row r="64" spans="4:8" x14ac:dyDescent="0.3">
      <c r="D64" t="s">
        <v>47</v>
      </c>
      <c r="G64" s="247">
        <f>DCF!K45</f>
        <v>6850.8266350754748</v>
      </c>
    </row>
    <row r="65" spans="4:15" x14ac:dyDescent="0.3">
      <c r="D65" t="s">
        <v>516</v>
      </c>
      <c r="G65" s="34">
        <f>DCF!K47</f>
        <v>46.203842546202644</v>
      </c>
    </row>
    <row r="66" spans="4:15" x14ac:dyDescent="0.3">
      <c r="D66" t="s">
        <v>480</v>
      </c>
      <c r="G66" s="247">
        <f>DCF!K49</f>
        <v>148.27395856145137</v>
      </c>
    </row>
    <row r="68" spans="4:15" x14ac:dyDescent="0.3">
      <c r="D68" s="8" t="s">
        <v>517</v>
      </c>
      <c r="E68" s="9"/>
      <c r="F68" s="9"/>
      <c r="G68" s="9"/>
      <c r="H68" s="9"/>
      <c r="I68" s="9"/>
      <c r="J68" s="9"/>
      <c r="K68" s="9"/>
      <c r="L68" s="9"/>
      <c r="M68" s="9"/>
      <c r="N68" s="9"/>
      <c r="O68" s="9"/>
    </row>
    <row r="69" spans="4:15" x14ac:dyDescent="0.3">
      <c r="D69" s="216" t="s">
        <v>450</v>
      </c>
      <c r="E69" s="217"/>
      <c r="F69" s="217"/>
      <c r="G69" s="217"/>
      <c r="H69" s="217"/>
      <c r="I69" s="217"/>
      <c r="J69" s="217"/>
      <c r="K69" s="217"/>
      <c r="L69" s="217"/>
    </row>
    <row r="70" spans="4:15" x14ac:dyDescent="0.3">
      <c r="F70" s="236" t="s">
        <v>451</v>
      </c>
      <c r="G70" s="236"/>
      <c r="H70" s="236"/>
      <c r="I70" s="236"/>
      <c r="J70" s="236"/>
      <c r="K70" s="236"/>
      <c r="L70" s="236"/>
    </row>
    <row r="71" spans="4:15" x14ac:dyDescent="0.3">
      <c r="E71" s="255">
        <f>DCF!K49</f>
        <v>148.27395856145137</v>
      </c>
      <c r="F71" s="187">
        <v>0.05</v>
      </c>
      <c r="G71" s="187">
        <v>0.06</v>
      </c>
      <c r="H71" s="187">
        <v>7.0000000000000007E-2</v>
      </c>
      <c r="I71" s="187">
        <v>0.08</v>
      </c>
      <c r="J71" s="187">
        <v>0.09</v>
      </c>
      <c r="K71" s="187">
        <v>0.1</v>
      </c>
      <c r="L71" s="187">
        <v>0.11</v>
      </c>
    </row>
    <row r="72" spans="4:15" x14ac:dyDescent="0.3">
      <c r="D72" s="250" t="s">
        <v>432</v>
      </c>
      <c r="E72" s="254">
        <v>1.4999999999999999E-2</v>
      </c>
      <c r="F72" s="252">
        <v>257.36133299465996</v>
      </c>
      <c r="G72" s="247">
        <v>189.54951566285294</v>
      </c>
      <c r="H72" s="247">
        <v>146.47725184434975</v>
      </c>
      <c r="I72" s="37">
        <v>116.72262897096097</v>
      </c>
      <c r="J72" s="247">
        <v>94.955616704613547</v>
      </c>
      <c r="K72" s="247">
        <v>78.3545946744064</v>
      </c>
      <c r="L72" s="247">
        <v>65.286126708635422</v>
      </c>
    </row>
    <row r="73" spans="4:15" x14ac:dyDescent="0.3">
      <c r="D73" s="250"/>
      <c r="E73" s="254">
        <v>0.02</v>
      </c>
      <c r="F73" s="253">
        <v>302.69377214826056</v>
      </c>
      <c r="G73" s="251">
        <v>215.1305381567189</v>
      </c>
      <c r="H73" s="251">
        <v>162.67986329243621</v>
      </c>
      <c r="I73" s="256">
        <v>127.78156082425994</v>
      </c>
      <c r="J73" s="251">
        <v>102.91004345492379</v>
      </c>
      <c r="K73" s="251">
        <v>84.302685923301894</v>
      </c>
      <c r="L73" s="251">
        <v>69.869280099502944</v>
      </c>
    </row>
    <row r="74" spans="4:15" x14ac:dyDescent="0.3">
      <c r="D74" s="250"/>
      <c r="E74" s="254">
        <v>2.5000000000000001E-2</v>
      </c>
      <c r="F74" s="253">
        <v>366.15918696330147</v>
      </c>
      <c r="G74" s="251">
        <v>248.02042422026079</v>
      </c>
      <c r="H74" s="251">
        <v>182.48305506231961</v>
      </c>
      <c r="I74" s="256">
        <v>140.85120755997684</v>
      </c>
      <c r="J74" s="251">
        <v>112.08822816682023</v>
      </c>
      <c r="K74" s="251">
        <v>91.043856005383432</v>
      </c>
      <c r="L74" s="251">
        <v>74.991628006943102</v>
      </c>
    </row>
    <row r="75" spans="4:15" x14ac:dyDescent="0.3">
      <c r="D75" s="250"/>
      <c r="E75" s="254">
        <v>0.03</v>
      </c>
      <c r="F75" s="270">
        <v>461.35730918586268</v>
      </c>
      <c r="G75" s="256">
        <v>291.87360563831663</v>
      </c>
      <c r="H75" s="256">
        <v>207.23704477467382</v>
      </c>
      <c r="I75" s="256">
        <v>156.53478364283717</v>
      </c>
      <c r="J75" s="251">
        <v>122.79611033069941</v>
      </c>
      <c r="K75" s="251">
        <v>98.748050384905198</v>
      </c>
      <c r="L75" s="251">
        <v>80.754269402813293</v>
      </c>
    </row>
    <row r="76" spans="4:15" x14ac:dyDescent="0.3">
      <c r="D76" s="250"/>
      <c r="E76" s="254">
        <v>3.5000000000000003E-2</v>
      </c>
      <c r="F76" s="253">
        <v>620.02084622346501</v>
      </c>
      <c r="G76" s="251">
        <v>353.26805962359487</v>
      </c>
      <c r="H76" s="251">
        <v>239.06360297627214</v>
      </c>
      <c r="I76" s="251">
        <v>175.703598855222</v>
      </c>
      <c r="J76" s="251">
        <v>135.45088016073845</v>
      </c>
      <c r="K76" s="251">
        <v>107.63750543819954</v>
      </c>
      <c r="L76" s="251">
        <v>87.285262984799473</v>
      </c>
    </row>
    <row r="77" spans="4:15" x14ac:dyDescent="0.3">
      <c r="D77" s="250"/>
      <c r="E77" s="254">
        <v>0.04</v>
      </c>
      <c r="F77" s="253">
        <v>937.34792029866935</v>
      </c>
      <c r="G77" s="251">
        <v>445.35974060151233</v>
      </c>
      <c r="H77" s="251">
        <v>281.4990139117366</v>
      </c>
      <c r="I77" s="251">
        <v>199.6646178707031</v>
      </c>
      <c r="J77" s="251">
        <v>150.63660395678531</v>
      </c>
      <c r="K77" s="251">
        <v>118.00853633370964</v>
      </c>
      <c r="L77" s="251">
        <v>94.749255649926596</v>
      </c>
    </row>
    <row r="78" spans="4:15" x14ac:dyDescent="0.3">
      <c r="D78" s="250"/>
      <c r="E78" s="254">
        <v>4.4999999999999998E-2</v>
      </c>
      <c r="F78" s="253">
        <v>1889.3291425242805</v>
      </c>
      <c r="G78" s="251">
        <v>598.84587556470774</v>
      </c>
      <c r="H78" s="251">
        <v>340.90858922138665</v>
      </c>
      <c r="I78" s="251">
        <v>230.47164231917867</v>
      </c>
      <c r="J78" s="251">
        <v>169.19693304084251</v>
      </c>
      <c r="K78" s="251">
        <v>130.26520921022149</v>
      </c>
      <c r="L78" s="251">
        <v>103.36155487891938</v>
      </c>
    </row>
    <row r="80" spans="4:15" x14ac:dyDescent="0.3">
      <c r="D80" s="216" t="s">
        <v>450</v>
      </c>
      <c r="E80" s="217"/>
      <c r="F80" s="217"/>
      <c r="G80" s="217"/>
      <c r="H80" s="217"/>
      <c r="I80" s="217"/>
      <c r="J80" s="217"/>
      <c r="K80" s="217"/>
      <c r="L80" s="217"/>
    </row>
    <row r="81" spans="4:15" x14ac:dyDescent="0.3">
      <c r="F81" s="236" t="s">
        <v>451</v>
      </c>
      <c r="G81" s="236"/>
      <c r="H81" s="236"/>
      <c r="I81" s="236"/>
      <c r="J81" s="236"/>
      <c r="K81" s="236"/>
      <c r="L81" s="236"/>
    </row>
    <row r="82" spans="4:15" x14ac:dyDescent="0.3">
      <c r="E82" s="255">
        <f>DCF!K60</f>
        <v>140.19604012292717</v>
      </c>
      <c r="F82" s="187">
        <v>0.05</v>
      </c>
      <c r="G82" s="187">
        <v>0.06</v>
      </c>
      <c r="H82" s="187">
        <v>7.0000000000000007E-2</v>
      </c>
      <c r="I82" s="187">
        <v>0.08</v>
      </c>
      <c r="J82" s="187">
        <v>0.09</v>
      </c>
      <c r="K82" s="187">
        <v>0.1</v>
      </c>
      <c r="L82" s="187">
        <v>0.11</v>
      </c>
    </row>
    <row r="83" spans="4:15" x14ac:dyDescent="0.3">
      <c r="D83" s="250" t="s">
        <v>432</v>
      </c>
      <c r="E83" s="254">
        <v>1.4999999999999999E-2</v>
      </c>
      <c r="F83" s="252">
        <v>130.43050336457819</v>
      </c>
      <c r="G83" s="247">
        <v>123.90764662198944</v>
      </c>
      <c r="H83" s="247">
        <v>117.70625955335522</v>
      </c>
      <c r="I83" s="37">
        <v>111.80754814727256</v>
      </c>
      <c r="J83" s="247">
        <v>106.19398110413442</v>
      </c>
      <c r="K83" s="247">
        <v>100.84919430659296</v>
      </c>
      <c r="L83" s="247">
        <v>95.757903307376196</v>
      </c>
    </row>
    <row r="84" spans="4:15" x14ac:dyDescent="0.3">
      <c r="D84" s="250"/>
      <c r="E84" s="254">
        <v>0.02</v>
      </c>
      <c r="F84" s="253">
        <v>134.96374727993825</v>
      </c>
      <c r="G84" s="251">
        <v>128.25159383792897</v>
      </c>
      <c r="H84" s="251">
        <v>121.87048212178867</v>
      </c>
      <c r="I84" s="256">
        <v>115.80105131651941</v>
      </c>
      <c r="J84" s="251">
        <v>110.02524169488019</v>
      </c>
      <c r="K84" s="251">
        <v>104.52619616954655</v>
      </c>
      <c r="L84" s="251">
        <v>99.288170108449805</v>
      </c>
    </row>
    <row r="85" spans="4:15" x14ac:dyDescent="0.3">
      <c r="D85" s="250"/>
      <c r="E85" s="254">
        <v>2.5000000000000001E-2</v>
      </c>
      <c r="F85" s="253">
        <v>139.49699119529834</v>
      </c>
      <c r="G85" s="251">
        <v>132.59554105386843</v>
      </c>
      <c r="H85" s="251">
        <v>126.03470469022209</v>
      </c>
      <c r="I85" s="256">
        <v>119.79455448576624</v>
      </c>
      <c r="J85" s="251">
        <v>113.85650228562598</v>
      </c>
      <c r="K85" s="251">
        <v>108.20319803250011</v>
      </c>
      <c r="L85" s="251">
        <v>102.81843690952344</v>
      </c>
    </row>
    <row r="86" spans="4:15" x14ac:dyDescent="0.3">
      <c r="D86" s="250"/>
      <c r="E86" s="254">
        <v>0.03</v>
      </c>
      <c r="F86" s="270">
        <v>144.0302351106584</v>
      </c>
      <c r="G86" s="256">
        <v>136.93948826980792</v>
      </c>
      <c r="H86" s="256">
        <v>130.19892725865552</v>
      </c>
      <c r="I86" s="256">
        <v>123.78805765501308</v>
      </c>
      <c r="J86" s="251">
        <v>117.68776287637172</v>
      </c>
      <c r="K86" s="251">
        <v>111.88019989545367</v>
      </c>
      <c r="L86" s="251">
        <v>106.34870371059706</v>
      </c>
    </row>
    <row r="87" spans="4:15" x14ac:dyDescent="0.3">
      <c r="D87" s="250"/>
      <c r="E87" s="254">
        <v>3.5000000000000003E-2</v>
      </c>
      <c r="F87" s="253">
        <v>148.56347902601846</v>
      </c>
      <c r="G87" s="251">
        <v>141.28343548574745</v>
      </c>
      <c r="H87" s="251">
        <v>134.36314982708896</v>
      </c>
      <c r="I87" s="251">
        <v>127.78156082425994</v>
      </c>
      <c r="J87" s="251">
        <v>121.51902346711749</v>
      </c>
      <c r="K87" s="251">
        <v>115.55720175840725</v>
      </c>
      <c r="L87" s="251">
        <v>109.8789705116707</v>
      </c>
    </row>
    <row r="88" spans="4:15" x14ac:dyDescent="0.3">
      <c r="D88" s="250"/>
      <c r="E88" s="254">
        <v>0.04</v>
      </c>
      <c r="F88" s="253">
        <v>153.09672294137852</v>
      </c>
      <c r="G88" s="251">
        <v>145.62738270168691</v>
      </c>
      <c r="H88" s="251">
        <v>138.52737239552235</v>
      </c>
      <c r="I88" s="251">
        <v>131.77506399350676</v>
      </c>
      <c r="J88" s="251">
        <v>125.35028405786325</v>
      </c>
      <c r="K88" s="251">
        <v>119.23420362136081</v>
      </c>
      <c r="L88" s="251">
        <v>113.40923731274431</v>
      </c>
    </row>
    <row r="89" spans="4:15" x14ac:dyDescent="0.3">
      <c r="D89" s="250"/>
      <c r="E89" s="254">
        <v>4.4999999999999998E-2</v>
      </c>
      <c r="F89" s="253">
        <v>157.6299668567386</v>
      </c>
      <c r="G89" s="251">
        <v>149.97132991762643</v>
      </c>
      <c r="H89" s="251">
        <v>142.69159496395579</v>
      </c>
      <c r="I89" s="251">
        <v>135.76856716275361</v>
      </c>
      <c r="J89" s="251">
        <v>129.18154464860902</v>
      </c>
      <c r="K89" s="251">
        <v>122.91120548431439</v>
      </c>
      <c r="L89" s="251">
        <v>116.93950411381795</v>
      </c>
    </row>
    <row r="91" spans="4:15" x14ac:dyDescent="0.3">
      <c r="D91" s="8" t="s">
        <v>518</v>
      </c>
      <c r="E91" s="9"/>
      <c r="F91" s="9"/>
      <c r="G91" s="9"/>
      <c r="H91" s="9"/>
      <c r="I91" s="9"/>
      <c r="J91" s="9"/>
      <c r="K91" s="9"/>
      <c r="L91" s="9"/>
      <c r="M91" s="9"/>
      <c r="N91" s="9"/>
      <c r="O91" s="9"/>
    </row>
    <row r="92" spans="4:15" x14ac:dyDescent="0.3">
      <c r="D92" s="216" t="s">
        <v>519</v>
      </c>
      <c r="E92" s="216" t="s">
        <v>520</v>
      </c>
      <c r="F92" s="261" t="s">
        <v>521</v>
      </c>
      <c r="G92" s="261"/>
      <c r="H92" s="246" t="s">
        <v>404</v>
      </c>
      <c r="I92" s="246" t="s">
        <v>525</v>
      </c>
      <c r="J92" s="261" t="s">
        <v>528</v>
      </c>
      <c r="K92" s="261"/>
      <c r="L92" s="246" t="s">
        <v>527</v>
      </c>
    </row>
    <row r="93" spans="4:15" x14ac:dyDescent="0.3">
      <c r="D93" s="11" t="s">
        <v>522</v>
      </c>
      <c r="E93" s="271">
        <v>4.0998317535861473E-2</v>
      </c>
      <c r="F93" s="272">
        <v>0.2808122280095165</v>
      </c>
      <c r="G93" s="272"/>
      <c r="H93" s="271">
        <v>7.840724539443876E-2</v>
      </c>
      <c r="I93" s="271">
        <v>0.03</v>
      </c>
      <c r="J93" s="263">
        <v>8952.660993893669</v>
      </c>
      <c r="K93" s="263"/>
      <c r="L93" s="264">
        <v>153.48368453992364</v>
      </c>
    </row>
    <row r="94" spans="4:15" x14ac:dyDescent="0.3">
      <c r="D94" s="265" t="s">
        <v>523</v>
      </c>
      <c r="E94" s="97">
        <v>3.4747978397761781E-2</v>
      </c>
      <c r="F94" s="273">
        <v>0.28081222800951644</v>
      </c>
      <c r="G94" s="273"/>
      <c r="H94" s="97">
        <v>7.840724539443876E-2</v>
      </c>
      <c r="I94" s="97">
        <v>0.03</v>
      </c>
      <c r="J94" s="266">
        <v>8711.9516350754748</v>
      </c>
      <c r="K94" s="266"/>
      <c r="L94" s="267">
        <v>148.27395856145137</v>
      </c>
    </row>
    <row r="95" spans="4:15" x14ac:dyDescent="0.3">
      <c r="D95" s="9" t="s">
        <v>524</v>
      </c>
      <c r="E95" s="274">
        <v>2.4747713891088541E-2</v>
      </c>
      <c r="F95" s="275">
        <v>0.2808122280095165</v>
      </c>
      <c r="G95" s="275"/>
      <c r="H95" s="274">
        <v>7.840724539443876E-2</v>
      </c>
      <c r="I95" s="274">
        <v>0.03</v>
      </c>
      <c r="J95" s="268">
        <v>8367.0336131924814</v>
      </c>
      <c r="K95" s="268"/>
      <c r="L95" s="269">
        <v>140.80882140239183</v>
      </c>
    </row>
    <row r="97" spans="4:15" x14ac:dyDescent="0.3">
      <c r="D97" s="8" t="s">
        <v>529</v>
      </c>
      <c r="E97" s="9"/>
      <c r="F97" s="9"/>
      <c r="G97" s="9"/>
      <c r="H97" s="9"/>
      <c r="I97" s="9"/>
      <c r="J97" s="9"/>
      <c r="K97" s="9"/>
      <c r="L97" s="9"/>
      <c r="M97" s="9"/>
      <c r="N97" s="9"/>
      <c r="O97" s="9"/>
    </row>
    <row r="98" spans="4:15" x14ac:dyDescent="0.3">
      <c r="D98" s="7" t="s">
        <v>530</v>
      </c>
    </row>
    <row r="100" spans="4:15" x14ac:dyDescent="0.3">
      <c r="D100" s="277" t="s">
        <v>524</v>
      </c>
      <c r="E100" s="23" t="s">
        <v>531</v>
      </c>
      <c r="F100" s="277" t="s">
        <v>523</v>
      </c>
      <c r="G100" s="23" t="s">
        <v>531</v>
      </c>
      <c r="H100" s="277" t="s">
        <v>522</v>
      </c>
    </row>
    <row r="101" spans="4:15" x14ac:dyDescent="0.3">
      <c r="D101" s="276">
        <f>L95</f>
        <v>140.80882140239183</v>
      </c>
      <c r="E101" s="23"/>
      <c r="F101" s="276">
        <f>L94</f>
        <v>148.27395856145137</v>
      </c>
      <c r="G101" s="23"/>
      <c r="H101" s="276">
        <f>L93</f>
        <v>153.48368453992364</v>
      </c>
    </row>
  </sheetData>
  <mergeCells count="34">
    <mergeCell ref="F92:G92"/>
    <mergeCell ref="J92:K92"/>
    <mergeCell ref="F93:G93"/>
    <mergeCell ref="F94:G94"/>
    <mergeCell ref="F95:G95"/>
    <mergeCell ref="J93:K93"/>
    <mergeCell ref="J94:K94"/>
    <mergeCell ref="J95:K95"/>
    <mergeCell ref="D72:D78"/>
    <mergeCell ref="F70:L70"/>
    <mergeCell ref="F81:L81"/>
    <mergeCell ref="D83:D89"/>
    <mergeCell ref="E5:F5"/>
    <mergeCell ref="G5:H5"/>
    <mergeCell ref="I5:J5"/>
    <mergeCell ref="K5:L5"/>
    <mergeCell ref="E6:F6"/>
    <mergeCell ref="G6:H6"/>
    <mergeCell ref="I6:J6"/>
    <mergeCell ref="K6:L6"/>
    <mergeCell ref="N11:O11"/>
    <mergeCell ref="D10:E10"/>
    <mergeCell ref="F10:G10"/>
    <mergeCell ref="H10:I10"/>
    <mergeCell ref="J10:K10"/>
    <mergeCell ref="L10:M10"/>
    <mergeCell ref="N10:O10"/>
    <mergeCell ref="D11:E11"/>
    <mergeCell ref="F11:G11"/>
    <mergeCell ref="H11:I11"/>
    <mergeCell ref="J11:K11"/>
    <mergeCell ref="L11:M11"/>
    <mergeCell ref="M5:N5"/>
    <mergeCell ref="M6:N6"/>
  </mergeCells>
  <pageMargins left="0.70866141732283472" right="0.70866141732283472" top="0.74803149606299213" bottom="0.74803149606299213" header="0.31496062992125984" footer="0.31496062992125984"/>
  <pageSetup scale="45" orientation="portrait" r:id="rId1"/>
  <rowBreaks count="1" manualBreakCount="1">
    <brk id="1" max="16383" man="1"/>
  </rowBreaks>
  <colBreaks count="1" manualBreakCount="1">
    <brk id="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B562A-4C26-41B3-AC7E-5D54EAB3A38F}">
  <sheetPr>
    <tabColor rgb="FF141836"/>
  </sheetPr>
  <dimension ref="A1"/>
  <sheetViews>
    <sheetView showGridLines="0" workbookViewId="0">
      <selection activeCell="L19" sqref="L19"/>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B162A-0292-49EF-915F-550DD6EFE347}">
  <dimension ref="D2:X69"/>
  <sheetViews>
    <sheetView showGridLines="0" topLeftCell="A22" zoomScale="85" zoomScaleNormal="85" workbookViewId="0">
      <selection activeCell="D2" sqref="D2"/>
    </sheetView>
  </sheetViews>
  <sheetFormatPr defaultRowHeight="14.4" x14ac:dyDescent="0.3"/>
  <cols>
    <col min="1" max="3" width="2.33203125" customWidth="1"/>
    <col min="4" max="8" width="11.77734375" customWidth="1"/>
    <col min="13" max="15" width="10.77734375" customWidth="1"/>
    <col min="16" max="18" width="11.77734375" customWidth="1"/>
    <col min="20" max="22" width="10.77734375" customWidth="1"/>
    <col min="23" max="23" width="12.6640625" customWidth="1"/>
    <col min="24" max="25" width="10.77734375" customWidth="1"/>
  </cols>
  <sheetData>
    <row r="2" spans="4:24" ht="21" x14ac:dyDescent="0.4">
      <c r="D2" s="1" t="s">
        <v>218</v>
      </c>
      <c r="E2" s="2"/>
      <c r="F2" s="2"/>
      <c r="G2" s="2"/>
      <c r="H2" s="2"/>
      <c r="I2" s="2"/>
      <c r="J2" s="2"/>
      <c r="K2" s="2"/>
      <c r="L2" s="2"/>
      <c r="M2" s="2"/>
      <c r="N2" s="2"/>
      <c r="O2" s="2"/>
      <c r="P2" s="2"/>
      <c r="Q2" s="2"/>
      <c r="R2" s="2"/>
      <c r="S2" s="2"/>
      <c r="T2" s="2"/>
      <c r="U2" s="2"/>
      <c r="V2" s="2"/>
      <c r="W2" s="2"/>
      <c r="X2" s="2"/>
    </row>
    <row r="3" spans="4:24" ht="18" x14ac:dyDescent="0.35">
      <c r="D3" s="3" t="s">
        <v>0</v>
      </c>
      <c r="E3" s="2"/>
      <c r="F3" s="2"/>
      <c r="G3" s="2"/>
      <c r="H3" s="2"/>
      <c r="I3" s="2"/>
      <c r="J3" s="2"/>
      <c r="K3" s="2"/>
      <c r="L3" s="2"/>
      <c r="M3" s="2"/>
      <c r="N3" s="2"/>
      <c r="O3" s="2"/>
      <c r="P3" s="2"/>
      <c r="Q3" s="2"/>
      <c r="R3" s="2"/>
      <c r="S3" s="2"/>
      <c r="T3" s="2"/>
      <c r="U3" s="2"/>
      <c r="V3" s="2"/>
      <c r="W3" s="2"/>
      <c r="X3" s="2"/>
    </row>
    <row r="4" spans="4:24" x14ac:dyDescent="0.3">
      <c r="D4" s="4" t="s">
        <v>1</v>
      </c>
      <c r="E4" s="2"/>
      <c r="F4" s="2"/>
      <c r="G4" s="2"/>
      <c r="H4" s="2"/>
      <c r="I4" s="2"/>
      <c r="J4" s="2"/>
      <c r="K4" s="2"/>
      <c r="L4" s="2"/>
      <c r="M4" s="2"/>
      <c r="N4" s="2"/>
      <c r="O4" s="2"/>
      <c r="P4" s="2"/>
      <c r="Q4" s="2"/>
      <c r="R4" s="2"/>
      <c r="S4" s="2"/>
      <c r="T4" s="2"/>
      <c r="U4" s="2"/>
      <c r="V4" s="2"/>
      <c r="W4" s="2"/>
      <c r="X4" s="2"/>
    </row>
    <row r="5" spans="4:24" x14ac:dyDescent="0.3">
      <c r="H5" s="5"/>
    </row>
    <row r="7" spans="4:24" x14ac:dyDescent="0.3">
      <c r="D7" s="6" t="s">
        <v>2</v>
      </c>
      <c r="E7" s="2"/>
      <c r="F7" s="2"/>
      <c r="G7" s="2"/>
      <c r="H7" s="2"/>
      <c r="J7" s="6" t="s">
        <v>3</v>
      </c>
      <c r="K7" s="2"/>
      <c r="L7" s="2"/>
      <c r="M7" s="2"/>
      <c r="N7" s="2"/>
      <c r="O7" s="2"/>
      <c r="P7" s="2"/>
      <c r="Q7" s="2"/>
      <c r="R7" s="2"/>
      <c r="T7" s="6" t="s">
        <v>4</v>
      </c>
      <c r="U7" s="2"/>
      <c r="V7" s="2"/>
      <c r="W7" s="2"/>
      <c r="X7" s="2"/>
    </row>
    <row r="8" spans="4:24" x14ac:dyDescent="0.3">
      <c r="D8" t="s">
        <v>5</v>
      </c>
      <c r="H8" s="27" t="s">
        <v>217</v>
      </c>
      <c r="J8" s="67"/>
      <c r="K8" s="67"/>
      <c r="L8" s="67"/>
      <c r="M8" s="68"/>
      <c r="N8" s="68"/>
      <c r="O8" s="68"/>
      <c r="P8" s="225" t="s">
        <v>191</v>
      </c>
      <c r="Q8" s="225" t="s">
        <v>192</v>
      </c>
      <c r="R8" s="225" t="s">
        <v>193</v>
      </c>
      <c r="T8" s="67"/>
      <c r="U8" s="67"/>
      <c r="V8" s="67"/>
      <c r="W8" s="70" t="s">
        <v>187</v>
      </c>
      <c r="X8" s="70" t="s">
        <v>188</v>
      </c>
    </row>
    <row r="9" spans="4:24" x14ac:dyDescent="0.3">
      <c r="D9" t="s">
        <v>6</v>
      </c>
      <c r="H9" s="27" t="s">
        <v>219</v>
      </c>
      <c r="J9" s="67"/>
      <c r="K9" s="67"/>
      <c r="L9" s="67"/>
      <c r="M9" s="69" t="s">
        <v>7</v>
      </c>
      <c r="N9" s="69"/>
      <c r="O9" s="69"/>
      <c r="P9" s="225"/>
      <c r="Q9" s="225"/>
      <c r="R9" s="225"/>
      <c r="T9" t="s">
        <v>8</v>
      </c>
      <c r="W9" s="38">
        <v>44.997</v>
      </c>
    </row>
    <row r="10" spans="4:24" x14ac:dyDescent="0.3">
      <c r="D10" t="s">
        <v>9</v>
      </c>
      <c r="H10" s="27" t="s">
        <v>182</v>
      </c>
      <c r="J10" s="67"/>
      <c r="K10" s="67"/>
      <c r="L10" s="67"/>
      <c r="M10" s="69" t="s">
        <v>189</v>
      </c>
      <c r="N10" s="69" t="s">
        <v>190</v>
      </c>
      <c r="O10" s="69" t="s">
        <v>187</v>
      </c>
      <c r="P10" s="226"/>
      <c r="Q10" s="226"/>
      <c r="R10" s="226"/>
      <c r="T10" t="s">
        <v>10</v>
      </c>
      <c r="W10" s="38">
        <f>207.491+94.686</f>
        <v>302.17700000000002</v>
      </c>
    </row>
    <row r="11" spans="4:24" x14ac:dyDescent="0.3">
      <c r="D11" t="s">
        <v>11</v>
      </c>
      <c r="H11" s="27" t="s">
        <v>183</v>
      </c>
      <c r="J11" s="7" t="s">
        <v>12</v>
      </c>
      <c r="M11" s="50">
        <v>1544.165</v>
      </c>
      <c r="N11" s="50">
        <v>1584.8389999999999</v>
      </c>
      <c r="O11" s="50">
        <v>1596.7929999999999</v>
      </c>
      <c r="P11" s="61"/>
      <c r="Q11" s="62"/>
      <c r="R11" s="50">
        <f>O11</f>
        <v>1596.7929999999999</v>
      </c>
      <c r="T11" t="s">
        <v>225</v>
      </c>
      <c r="W11" s="38">
        <v>13.456</v>
      </c>
    </row>
    <row r="12" spans="4:24" x14ac:dyDescent="0.3">
      <c r="D12" t="s">
        <v>14</v>
      </c>
      <c r="H12" s="27" t="s">
        <v>185</v>
      </c>
      <c r="J12" t="s">
        <v>15</v>
      </c>
      <c r="M12" s="49">
        <f>1165.401-312.701</f>
        <v>852.7</v>
      </c>
      <c r="N12" s="49">
        <f>1121.066-312.388</f>
        <v>808.67800000000011</v>
      </c>
      <c r="O12" s="49">
        <f>1148.394-328.958</f>
        <v>819.43599999999992</v>
      </c>
      <c r="P12" s="54"/>
      <c r="Q12" s="55"/>
      <c r="R12" s="49">
        <f t="shared" ref="R12:R26" si="0">O12</f>
        <v>819.43599999999992</v>
      </c>
      <c r="T12" t="s">
        <v>16</v>
      </c>
      <c r="W12" s="38">
        <v>45.368000000000002</v>
      </c>
    </row>
    <row r="13" spans="4:24" x14ac:dyDescent="0.3">
      <c r="D13" t="s">
        <v>17</v>
      </c>
      <c r="H13" s="27" t="s">
        <v>214</v>
      </c>
      <c r="J13" s="10" t="s">
        <v>18</v>
      </c>
      <c r="M13" s="50">
        <f>M11-M12</f>
        <v>691.46499999999992</v>
      </c>
      <c r="N13" s="50">
        <f t="shared" ref="N13:O13" si="1">N11-N12</f>
        <v>776.16099999999983</v>
      </c>
      <c r="O13" s="50">
        <f t="shared" si="1"/>
        <v>777.35699999999997</v>
      </c>
      <c r="P13" s="56"/>
      <c r="Q13" s="57"/>
      <c r="R13" s="50">
        <f t="shared" si="0"/>
        <v>777.35699999999997</v>
      </c>
      <c r="T13" s="10" t="s">
        <v>19</v>
      </c>
      <c r="W13" s="46">
        <f>SUM(W9:W12)</f>
        <v>405.99800000000005</v>
      </c>
      <c r="X13" s="11"/>
    </row>
    <row r="14" spans="4:24" x14ac:dyDescent="0.3">
      <c r="D14" t="s">
        <v>20</v>
      </c>
      <c r="H14" s="27">
        <v>0.84</v>
      </c>
      <c r="J14" t="s">
        <v>21</v>
      </c>
      <c r="M14" s="38">
        <v>312.70100000000002</v>
      </c>
      <c r="N14" s="38">
        <v>312.38799999999998</v>
      </c>
      <c r="O14" s="38">
        <v>328.95800000000003</v>
      </c>
      <c r="P14" s="56"/>
      <c r="Q14" s="57"/>
      <c r="R14" s="38">
        <f t="shared" si="0"/>
        <v>328.95800000000003</v>
      </c>
      <c r="W14" s="38"/>
    </row>
    <row r="15" spans="4:24" x14ac:dyDescent="0.3">
      <c r="D15" t="s">
        <v>22</v>
      </c>
      <c r="H15" s="31">
        <v>0.2</v>
      </c>
      <c r="J15" s="10" t="s">
        <v>25</v>
      </c>
      <c r="M15" s="46">
        <f>M13-M14</f>
        <v>378.7639999999999</v>
      </c>
      <c r="N15" s="46">
        <f t="shared" ref="N15:O15" si="2">N13-N14</f>
        <v>463.77299999999985</v>
      </c>
      <c r="O15" s="46">
        <f t="shared" si="2"/>
        <v>448.39899999999994</v>
      </c>
      <c r="P15" s="52"/>
      <c r="Q15" s="53"/>
      <c r="R15" s="46">
        <f t="shared" si="0"/>
        <v>448.39899999999994</v>
      </c>
      <c r="T15" t="s">
        <v>24</v>
      </c>
      <c r="W15" s="38">
        <v>649.29100000000005</v>
      </c>
    </row>
    <row r="16" spans="4:24" x14ac:dyDescent="0.3">
      <c r="J16" t="s">
        <v>28</v>
      </c>
      <c r="M16" s="38">
        <f>63.78-7.764</f>
        <v>56.015999999999998</v>
      </c>
      <c r="N16" s="38">
        <f>87.131-8.646</f>
        <v>78.484999999999999</v>
      </c>
      <c r="O16" s="38">
        <f>91.148-6.237</f>
        <v>84.911000000000001</v>
      </c>
      <c r="P16" s="56"/>
      <c r="Q16" s="57"/>
      <c r="R16" s="38">
        <f t="shared" si="0"/>
        <v>84.911000000000001</v>
      </c>
      <c r="T16" t="s">
        <v>26</v>
      </c>
      <c r="W16" s="38">
        <f>77.67+305.758+1082.486</f>
        <v>1465.9140000000002</v>
      </c>
    </row>
    <row r="17" spans="4:24" x14ac:dyDescent="0.3">
      <c r="D17" s="6" t="s">
        <v>27</v>
      </c>
      <c r="E17" s="2"/>
      <c r="F17" s="2"/>
      <c r="G17" s="2"/>
      <c r="H17" s="2"/>
      <c r="J17" s="13" t="s">
        <v>228</v>
      </c>
      <c r="M17" s="49">
        <f>-4.416-10.649-2.879</f>
        <v>-17.943999999999999</v>
      </c>
      <c r="N17" s="49">
        <f>0.331+1.641-12.329</f>
        <v>-10.357000000000001</v>
      </c>
      <c r="O17" s="49">
        <f>-100.025-0.713-6.989+14.324</f>
        <v>-93.403000000000006</v>
      </c>
      <c r="P17" s="54"/>
      <c r="Q17" s="55"/>
      <c r="R17" s="38">
        <f t="shared" si="0"/>
        <v>-93.403000000000006</v>
      </c>
      <c r="T17" t="s">
        <v>29</v>
      </c>
      <c r="W17" s="38">
        <f>12.49+50.227+134.975+75.371+123.937</f>
        <v>397</v>
      </c>
    </row>
    <row r="18" spans="4:24" x14ac:dyDescent="0.3">
      <c r="D18" t="s">
        <v>30</v>
      </c>
      <c r="H18" s="33">
        <v>116.66</v>
      </c>
      <c r="J18" s="10" t="s">
        <v>31</v>
      </c>
      <c r="M18" s="50">
        <f>M15-M16-M17</f>
        <v>340.69199999999989</v>
      </c>
      <c r="N18" s="50">
        <f t="shared" ref="N18:O18" si="3">N15-N16-N17</f>
        <v>395.64499999999987</v>
      </c>
      <c r="O18" s="50">
        <f t="shared" si="3"/>
        <v>456.89099999999996</v>
      </c>
      <c r="P18" s="56"/>
      <c r="Q18" s="57"/>
      <c r="R18" s="71">
        <f t="shared" si="0"/>
        <v>456.89099999999996</v>
      </c>
      <c r="T18" s="10" t="s">
        <v>32</v>
      </c>
      <c r="W18" s="47">
        <f>SUM(W15:W17)+W13</f>
        <v>2918.2030000000004</v>
      </c>
      <c r="X18" s="12"/>
    </row>
    <row r="19" spans="4:24" x14ac:dyDescent="0.3">
      <c r="D19" s="5" t="s">
        <v>33</v>
      </c>
      <c r="H19" s="30">
        <f>H18/H20</f>
        <v>0.85496518871381466</v>
      </c>
      <c r="J19" t="s">
        <v>34</v>
      </c>
      <c r="M19" s="38">
        <v>-78.448999999999998</v>
      </c>
      <c r="N19" s="38">
        <v>-95.98</v>
      </c>
      <c r="O19" s="38">
        <v>-86.944999999999993</v>
      </c>
      <c r="P19" s="56"/>
      <c r="Q19" s="57"/>
      <c r="R19" s="38">
        <f t="shared" si="0"/>
        <v>-86.944999999999993</v>
      </c>
      <c r="W19" s="38"/>
    </row>
    <row r="20" spans="4:24" x14ac:dyDescent="0.3">
      <c r="D20" t="s">
        <v>35</v>
      </c>
      <c r="H20" s="33">
        <v>136.44999999999999</v>
      </c>
      <c r="J20" s="13" t="s">
        <v>36</v>
      </c>
      <c r="M20" s="38">
        <v>0</v>
      </c>
      <c r="N20" s="38">
        <v>0</v>
      </c>
      <c r="O20" s="38">
        <v>0</v>
      </c>
      <c r="P20" s="56"/>
      <c r="Q20" s="57"/>
      <c r="R20" s="38">
        <f t="shared" si="0"/>
        <v>0</v>
      </c>
      <c r="T20" t="s">
        <v>226</v>
      </c>
      <c r="W20" s="38">
        <v>85.034999999999997</v>
      </c>
    </row>
    <row r="21" spans="4:24" x14ac:dyDescent="0.3">
      <c r="D21" t="s">
        <v>38</v>
      </c>
      <c r="H21" s="33">
        <v>84.04</v>
      </c>
      <c r="J21" t="s">
        <v>39</v>
      </c>
      <c r="M21" s="38">
        <v>0</v>
      </c>
      <c r="N21" s="38">
        <v>0</v>
      </c>
      <c r="O21" s="38">
        <v>0</v>
      </c>
      <c r="P21" s="56"/>
      <c r="Q21" s="57"/>
      <c r="R21" s="38">
        <f t="shared" si="0"/>
        <v>0</v>
      </c>
      <c r="T21" t="s">
        <v>37</v>
      </c>
      <c r="W21" s="38">
        <v>156.27600000000001</v>
      </c>
    </row>
    <row r="22" spans="4:24" ht="15" thickBot="1" x14ac:dyDescent="0.35">
      <c r="D22" t="s">
        <v>41</v>
      </c>
      <c r="H22" s="33">
        <v>1.1499999999999999</v>
      </c>
      <c r="J22" s="10" t="s">
        <v>42</v>
      </c>
      <c r="M22" s="51">
        <f>SUM(M18:M21)</f>
        <v>262.24299999999988</v>
      </c>
      <c r="N22" s="51">
        <f t="shared" ref="N22" si="4">SUM(N18:N21)</f>
        <v>299.66499999999985</v>
      </c>
      <c r="O22" s="51">
        <f>SUM(O18:O21)</f>
        <v>369.94599999999997</v>
      </c>
      <c r="P22" s="58"/>
      <c r="Q22" s="59"/>
      <c r="R22" s="51">
        <f t="shared" si="0"/>
        <v>369.94599999999997</v>
      </c>
      <c r="T22" t="s">
        <v>40</v>
      </c>
      <c r="W22" s="38">
        <v>125.282</v>
      </c>
    </row>
    <row r="23" spans="4:24" ht="15" thickTop="1" x14ac:dyDescent="0.3">
      <c r="J23" s="14" t="s">
        <v>44</v>
      </c>
      <c r="M23" s="30">
        <f>ABS(M19/M18)</f>
        <v>0.23026369858992879</v>
      </c>
      <c r="N23" s="30">
        <f t="shared" ref="N23:O23" si="5">ABS(N19/N18)</f>
        <v>0.24259121181867593</v>
      </c>
      <c r="O23" s="30">
        <f t="shared" si="5"/>
        <v>0.19029702926956321</v>
      </c>
      <c r="P23" s="56"/>
      <c r="Q23" s="57"/>
      <c r="R23" s="30">
        <f t="shared" si="0"/>
        <v>0.19029702926956321</v>
      </c>
      <c r="T23" t="s">
        <v>227</v>
      </c>
      <c r="W23" s="38">
        <v>100.69799999999999</v>
      </c>
    </row>
    <row r="24" spans="4:24" x14ac:dyDescent="0.3">
      <c r="D24" t="s">
        <v>46</v>
      </c>
      <c r="H24" s="42">
        <f>X44</f>
        <v>46.203842546202644</v>
      </c>
      <c r="P24" s="56"/>
      <c r="Q24" s="57"/>
      <c r="T24" s="10" t="s">
        <v>45</v>
      </c>
      <c r="W24" s="46">
        <f>SUM(W20:W23)</f>
        <v>467.291</v>
      </c>
      <c r="X24" s="11"/>
    </row>
    <row r="25" spans="4:24" x14ac:dyDescent="0.3">
      <c r="D25" s="10" t="s">
        <v>47</v>
      </c>
      <c r="H25" s="44">
        <f>H24*H18</f>
        <v>5390.1402714400001</v>
      </c>
      <c r="J25" t="s">
        <v>48</v>
      </c>
      <c r="M25" s="29">
        <v>50.7</v>
      </c>
      <c r="N25" s="29">
        <v>48.078000000000003</v>
      </c>
      <c r="O25" s="29">
        <f>H24</f>
        <v>46.203842546202644</v>
      </c>
      <c r="P25" s="56"/>
      <c r="Q25" s="57"/>
      <c r="R25" s="29">
        <f t="shared" si="0"/>
        <v>46.203842546202644</v>
      </c>
      <c r="T25" s="10"/>
      <c r="W25" s="38"/>
    </row>
    <row r="26" spans="4:24" x14ac:dyDescent="0.3">
      <c r="J26" s="10" t="s">
        <v>50</v>
      </c>
      <c r="M26" s="43">
        <f>M22/M25</f>
        <v>5.1724457593688333</v>
      </c>
      <c r="N26" s="43">
        <f t="shared" ref="N26:O26" si="6">N22/N25</f>
        <v>6.2328923832106122</v>
      </c>
      <c r="O26" s="43">
        <f t="shared" si="6"/>
        <v>8.0068232340213594</v>
      </c>
      <c r="P26" s="56"/>
      <c r="Q26" s="57"/>
      <c r="R26" s="43">
        <f t="shared" si="0"/>
        <v>8.0068232340213594</v>
      </c>
      <c r="T26" s="13" t="s">
        <v>49</v>
      </c>
      <c r="W26" s="38">
        <v>1906.1220000000001</v>
      </c>
    </row>
    <row r="27" spans="4:24" x14ac:dyDescent="0.3">
      <c r="D27" t="s">
        <v>52</v>
      </c>
      <c r="H27" s="38">
        <f>W26</f>
        <v>1906.1220000000001</v>
      </c>
      <c r="T27" s="13" t="s">
        <v>51</v>
      </c>
      <c r="W27" s="38">
        <f>130.505+56.532+25.303+107.963+39.771+3.487</f>
        <v>363.56100000000004</v>
      </c>
    </row>
    <row r="28" spans="4:24" x14ac:dyDescent="0.3">
      <c r="D28" t="s">
        <v>54</v>
      </c>
      <c r="H28" s="38">
        <f>+W31</f>
        <v>0</v>
      </c>
      <c r="J28" s="6" t="s">
        <v>55</v>
      </c>
      <c r="K28" s="2"/>
      <c r="L28" s="2"/>
      <c r="M28" s="2"/>
      <c r="N28" s="2"/>
      <c r="O28" s="2"/>
      <c r="P28" s="2"/>
      <c r="Q28" s="2"/>
      <c r="R28" s="2"/>
      <c r="T28" s="10" t="s">
        <v>53</v>
      </c>
      <c r="W28" s="46">
        <f>SUM(W26:W27)+W24</f>
        <v>2736.9740000000002</v>
      </c>
      <c r="X28" s="11"/>
    </row>
    <row r="29" spans="4:24" x14ac:dyDescent="0.3">
      <c r="D29" t="s">
        <v>56</v>
      </c>
      <c r="H29" s="38">
        <f>+W30</f>
        <v>0</v>
      </c>
      <c r="J29" t="s">
        <v>57</v>
      </c>
      <c r="M29" s="38">
        <f>M13</f>
        <v>691.46499999999992</v>
      </c>
      <c r="N29" s="38">
        <f>N13</f>
        <v>776.16099999999983</v>
      </c>
      <c r="O29" s="38">
        <f>O13</f>
        <v>777.35699999999997</v>
      </c>
      <c r="P29" s="56"/>
      <c r="Q29" s="57"/>
      <c r="R29" s="38">
        <f>O29</f>
        <v>777.35699999999997</v>
      </c>
      <c r="W29" s="38"/>
    </row>
    <row r="30" spans="4:24" x14ac:dyDescent="0.3">
      <c r="D30" t="s">
        <v>59</v>
      </c>
      <c r="H30" s="38">
        <f>-W9</f>
        <v>-44.997</v>
      </c>
      <c r="J30" t="s">
        <v>60</v>
      </c>
      <c r="M30" s="38">
        <v>0</v>
      </c>
      <c r="N30" s="38">
        <v>0</v>
      </c>
      <c r="O30" s="38">
        <v>0</v>
      </c>
      <c r="P30" s="56"/>
      <c r="Q30" s="57"/>
      <c r="R30" s="38">
        <f t="shared" ref="R30:R52" si="7">O30</f>
        <v>0</v>
      </c>
      <c r="T30" t="s">
        <v>58</v>
      </c>
      <c r="W30" s="38">
        <v>0</v>
      </c>
    </row>
    <row r="31" spans="4:24" x14ac:dyDescent="0.3">
      <c r="D31" s="10" t="s">
        <v>62</v>
      </c>
      <c r="H31" s="48">
        <f>SUM(H25:H30)</f>
        <v>7251.2652714400001</v>
      </c>
      <c r="J31" s="10" t="s">
        <v>63</v>
      </c>
      <c r="M31" s="60">
        <f>SUM(M29:M30)</f>
        <v>691.46499999999992</v>
      </c>
      <c r="N31" s="60">
        <f t="shared" ref="N31:O31" si="8">SUM(N29:N30)</f>
        <v>776.16099999999983</v>
      </c>
      <c r="O31" s="60">
        <f t="shared" si="8"/>
        <v>777.35699999999997</v>
      </c>
      <c r="P31" s="52"/>
      <c r="Q31" s="53"/>
      <c r="R31" s="60">
        <f t="shared" si="7"/>
        <v>777.35699999999997</v>
      </c>
      <c r="T31" t="s">
        <v>61</v>
      </c>
      <c r="W31" s="38">
        <v>0</v>
      </c>
    </row>
    <row r="32" spans="4:24" x14ac:dyDescent="0.3">
      <c r="J32" s="14" t="s">
        <v>65</v>
      </c>
      <c r="M32" s="30">
        <f>M31/M$11</f>
        <v>0.44779217246861569</v>
      </c>
      <c r="N32" s="30">
        <f t="shared" ref="N32:O32" si="9">N31/N$11</f>
        <v>0.48974122923527241</v>
      </c>
      <c r="O32" s="30">
        <f t="shared" si="9"/>
        <v>0.48682390265989395</v>
      </c>
      <c r="P32" s="56"/>
      <c r="Q32" s="57"/>
      <c r="R32" s="30">
        <f t="shared" si="7"/>
        <v>0.48682390265989395</v>
      </c>
      <c r="T32" t="s">
        <v>64</v>
      </c>
      <c r="W32" s="38">
        <v>181.22900000000001</v>
      </c>
    </row>
    <row r="33" spans="4:24" x14ac:dyDescent="0.3">
      <c r="D33" s="6" t="s">
        <v>67</v>
      </c>
      <c r="E33" s="2"/>
      <c r="F33" s="2"/>
      <c r="G33" s="2"/>
      <c r="H33" s="2"/>
      <c r="P33" s="56"/>
      <c r="Q33" s="57"/>
      <c r="T33" s="10" t="s">
        <v>66</v>
      </c>
      <c r="W33" s="47">
        <f>SUM(W30:W32)+W28</f>
        <v>2918.203</v>
      </c>
      <c r="X33" s="12"/>
    </row>
    <row r="34" spans="4:24" x14ac:dyDescent="0.3">
      <c r="D34" s="67"/>
      <c r="E34" s="225" t="s">
        <v>193</v>
      </c>
      <c r="F34" s="225" t="s">
        <v>194</v>
      </c>
      <c r="G34" s="225" t="s">
        <v>195</v>
      </c>
      <c r="H34" s="225" t="s">
        <v>196</v>
      </c>
      <c r="J34" t="s">
        <v>68</v>
      </c>
      <c r="M34" s="38">
        <f>M15</f>
        <v>378.7639999999999</v>
      </c>
      <c r="N34" s="38">
        <f>N15</f>
        <v>463.77299999999985</v>
      </c>
      <c r="O34" s="38">
        <f>O15</f>
        <v>448.39899999999994</v>
      </c>
      <c r="P34" s="56"/>
      <c r="Q34" s="57"/>
      <c r="R34" s="38">
        <f t="shared" si="7"/>
        <v>448.39899999999994</v>
      </c>
    </row>
    <row r="35" spans="4:24" x14ac:dyDescent="0.3">
      <c r="D35" s="67"/>
      <c r="E35" s="226"/>
      <c r="F35" s="226"/>
      <c r="G35" s="226"/>
      <c r="H35" s="226"/>
      <c r="J35" t="s">
        <v>60</v>
      </c>
      <c r="M35" s="38">
        <v>0</v>
      </c>
      <c r="N35" s="38">
        <v>0</v>
      </c>
      <c r="O35" s="38">
        <v>0</v>
      </c>
      <c r="P35" s="56"/>
      <c r="Q35" s="57"/>
      <c r="R35" s="38">
        <f t="shared" si="7"/>
        <v>0</v>
      </c>
      <c r="T35" s="5" t="s">
        <v>69</v>
      </c>
      <c r="W35" s="45">
        <f>IF(W33=W18,W18-W33,W18-W33)</f>
        <v>4.5474735088646412E-13</v>
      </c>
    </row>
    <row r="36" spans="4:24" x14ac:dyDescent="0.3">
      <c r="D36" t="s">
        <v>70</v>
      </c>
      <c r="E36" s="64">
        <f>$H$31/E37</f>
        <v>4.5411429480464909</v>
      </c>
      <c r="F36" s="64">
        <f t="shared" ref="F36:H36" si="10">$H$31/F37</f>
        <v>4.4955147374085556</v>
      </c>
      <c r="G36" s="64">
        <f t="shared" si="10"/>
        <v>4.3525001629291715</v>
      </c>
      <c r="H36" s="64">
        <f t="shared" si="10"/>
        <v>4.2109554421835078</v>
      </c>
      <c r="J36" t="s">
        <v>71</v>
      </c>
      <c r="M36" s="38">
        <v>23</v>
      </c>
      <c r="N36" s="38">
        <v>23</v>
      </c>
      <c r="O36" s="38">
        <v>23</v>
      </c>
      <c r="P36" s="56"/>
      <c r="Q36" s="57"/>
      <c r="R36" s="38">
        <f t="shared" si="7"/>
        <v>23</v>
      </c>
    </row>
    <row r="37" spans="4:24" x14ac:dyDescent="0.3">
      <c r="D37" s="15" t="s">
        <v>72</v>
      </c>
      <c r="E37" s="38">
        <f>R11</f>
        <v>1596.7929999999999</v>
      </c>
      <c r="F37" s="34">
        <v>1613</v>
      </c>
      <c r="G37" s="34">
        <v>1666</v>
      </c>
      <c r="H37" s="34">
        <v>1722</v>
      </c>
      <c r="J37" s="10" t="s">
        <v>73</v>
      </c>
      <c r="M37" s="46">
        <f>M41-M40</f>
        <v>500.84100000000001</v>
      </c>
      <c r="N37" s="46">
        <f t="shared" ref="N37:O37" si="11">N41-N40</f>
        <v>559.06200000000001</v>
      </c>
      <c r="O37" s="46">
        <f t="shared" si="11"/>
        <v>573.64700000000005</v>
      </c>
      <c r="P37" s="52"/>
      <c r="Q37" s="53"/>
      <c r="R37" s="46">
        <f t="shared" si="7"/>
        <v>573.64700000000005</v>
      </c>
    </row>
    <row r="38" spans="4:24" x14ac:dyDescent="0.3">
      <c r="D38" t="s">
        <v>75</v>
      </c>
      <c r="E38" s="64">
        <f>$H$31/E39</f>
        <v>11.590897173017902</v>
      </c>
      <c r="F38" s="64">
        <f t="shared" ref="F38:H38" si="12">$H$31/F39</f>
        <v>11.403153438339363</v>
      </c>
      <c r="G38" s="64">
        <f t="shared" si="12"/>
        <v>11.142079396803934</v>
      </c>
      <c r="H38" s="64">
        <f t="shared" si="12"/>
        <v>10.848691309754638</v>
      </c>
      <c r="J38" s="14" t="s">
        <v>65</v>
      </c>
      <c r="M38" s="30">
        <f>M37/M$11</f>
        <v>0.32434422487234205</v>
      </c>
      <c r="N38" s="30">
        <f t="shared" ref="N38:O38" si="13">N37/N$11</f>
        <v>0.35275633676354506</v>
      </c>
      <c r="O38" s="30">
        <f t="shared" si="13"/>
        <v>0.35924944560753969</v>
      </c>
      <c r="P38" s="56"/>
      <c r="Q38" s="57"/>
      <c r="R38" s="30">
        <f t="shared" si="7"/>
        <v>0.35924944560753969</v>
      </c>
      <c r="T38" s="6" t="s">
        <v>74</v>
      </c>
      <c r="U38" s="2"/>
      <c r="V38" s="2"/>
      <c r="W38" s="2"/>
      <c r="X38" s="2"/>
    </row>
    <row r="39" spans="4:24" x14ac:dyDescent="0.3">
      <c r="D39" s="15" t="s">
        <v>72</v>
      </c>
      <c r="E39" s="38">
        <f>R41</f>
        <v>625.6</v>
      </c>
      <c r="F39" s="34">
        <v>635.9</v>
      </c>
      <c r="G39" s="34">
        <v>650.79999999999995</v>
      </c>
      <c r="H39" s="34">
        <v>668.4</v>
      </c>
      <c r="P39" s="56"/>
      <c r="Q39" s="57"/>
      <c r="T39" t="s">
        <v>76</v>
      </c>
      <c r="X39" s="35">
        <v>46.17</v>
      </c>
    </row>
    <row r="40" spans="4:24" x14ac:dyDescent="0.3">
      <c r="D40" t="s">
        <v>78</v>
      </c>
      <c r="E40" s="64">
        <f>$H$31/E41</f>
        <v>16.171457276755749</v>
      </c>
      <c r="F40" s="64">
        <f t="shared" ref="F40:H40" si="14">$H$31/F41</f>
        <v>16.031981586203848</v>
      </c>
      <c r="G40" s="64">
        <f t="shared" si="14"/>
        <v>13.966227410323574</v>
      </c>
      <c r="H40" s="64">
        <f t="shared" si="14"/>
        <v>13.086564287024002</v>
      </c>
      <c r="J40" t="s">
        <v>79</v>
      </c>
      <c r="M40" s="38">
        <v>39.658999999999999</v>
      </c>
      <c r="N40" s="38">
        <v>45.037999999999997</v>
      </c>
      <c r="O40" s="38">
        <v>51.953000000000003</v>
      </c>
      <c r="P40" s="56"/>
      <c r="Q40" s="57"/>
      <c r="R40">
        <f t="shared" si="7"/>
        <v>51.953000000000003</v>
      </c>
      <c r="T40" t="s">
        <v>77</v>
      </c>
      <c r="X40" s="39">
        <f>W54</f>
        <v>0.69508300000000001</v>
      </c>
    </row>
    <row r="41" spans="4:24" x14ac:dyDescent="0.3">
      <c r="D41" s="15" t="s">
        <v>72</v>
      </c>
      <c r="E41" s="38">
        <f>R34</f>
        <v>448.39899999999994</v>
      </c>
      <c r="F41" s="34">
        <v>452.3</v>
      </c>
      <c r="G41" s="34">
        <v>519.20000000000005</v>
      </c>
      <c r="H41" s="34">
        <v>554.1</v>
      </c>
      <c r="J41" s="10" t="s">
        <v>81</v>
      </c>
      <c r="M41" s="46">
        <v>540.5</v>
      </c>
      <c r="N41" s="46">
        <v>604.1</v>
      </c>
      <c r="O41" s="46">
        <v>625.6</v>
      </c>
      <c r="P41" s="52"/>
      <c r="Q41" s="53"/>
      <c r="R41" s="46">
        <f t="shared" si="7"/>
        <v>625.6</v>
      </c>
      <c r="T41" t="s">
        <v>80</v>
      </c>
      <c r="X41" s="39">
        <f>-X54/H18</f>
        <v>-0.66124045379735985</v>
      </c>
    </row>
    <row r="42" spans="4:24" x14ac:dyDescent="0.3">
      <c r="D42" t="s">
        <v>83</v>
      </c>
      <c r="E42" s="64">
        <f>$H$18/E43</f>
        <v>14.57007312267196</v>
      </c>
      <c r="F42" s="64">
        <f t="shared" ref="F42:H42" si="15">$H$18/F43</f>
        <v>19.672849915682967</v>
      </c>
      <c r="G42" s="64">
        <f t="shared" si="15"/>
        <v>16.093254241964409</v>
      </c>
      <c r="H42" s="64">
        <f t="shared" si="15"/>
        <v>14.520786656708985</v>
      </c>
      <c r="J42" s="14" t="s">
        <v>65</v>
      </c>
      <c r="M42" s="30">
        <f>M41/M$11</f>
        <v>0.35002736106568921</v>
      </c>
      <c r="N42" s="30">
        <f t="shared" ref="N42:O42" si="16">N41/N$11</f>
        <v>0.38117436534562821</v>
      </c>
      <c r="O42" s="30">
        <f t="shared" si="16"/>
        <v>0.39178528462988005</v>
      </c>
      <c r="P42" s="56"/>
      <c r="Q42" s="57"/>
      <c r="R42" s="30">
        <f t="shared" si="7"/>
        <v>0.39178528462988005</v>
      </c>
      <c r="T42" s="10" t="s">
        <v>82</v>
      </c>
      <c r="X42" s="40">
        <f>SUM(X40:X41)</f>
        <v>3.3842546202640156E-2</v>
      </c>
    </row>
    <row r="43" spans="4:24" x14ac:dyDescent="0.3">
      <c r="D43" s="15" t="s">
        <v>72</v>
      </c>
      <c r="E43" s="32">
        <f>R26</f>
        <v>8.0068232340213594</v>
      </c>
      <c r="F43" s="32">
        <v>5.93</v>
      </c>
      <c r="G43" s="32">
        <v>7.2489999999999997</v>
      </c>
      <c r="H43" s="32">
        <v>8.0340000000000007</v>
      </c>
      <c r="P43" s="56"/>
      <c r="Q43" s="57"/>
      <c r="T43" t="s">
        <v>84</v>
      </c>
      <c r="X43" s="39">
        <v>0</v>
      </c>
    </row>
    <row r="44" spans="4:24" x14ac:dyDescent="0.3">
      <c r="D44" t="s">
        <v>85</v>
      </c>
      <c r="E44" s="30">
        <f>E45/$H$25</f>
        <v>2.3125001154506129E-2</v>
      </c>
      <c r="F44" s="30">
        <f t="shared" ref="F44:G44" si="17">F45/$H$25</f>
        <v>2.9591066645356313E-2</v>
      </c>
      <c r="G44" s="30">
        <f t="shared" si="17"/>
        <v>6.2948269045576155E-2</v>
      </c>
      <c r="H44" s="30">
        <v>0.06</v>
      </c>
      <c r="J44" t="s">
        <v>86</v>
      </c>
      <c r="M44" s="38">
        <f>M22</f>
        <v>262.24299999999988</v>
      </c>
      <c r="N44" s="38">
        <f t="shared" ref="N44:O44" si="18">N22</f>
        <v>299.66499999999985</v>
      </c>
      <c r="O44" s="38">
        <f t="shared" si="18"/>
        <v>369.94599999999997</v>
      </c>
      <c r="P44" s="56"/>
      <c r="Q44" s="57"/>
      <c r="R44" s="38">
        <f t="shared" si="7"/>
        <v>369.94599999999997</v>
      </c>
      <c r="T44" s="10" t="s">
        <v>46</v>
      </c>
      <c r="X44" s="41">
        <f>X39+X42</f>
        <v>46.203842546202644</v>
      </c>
    </row>
    <row r="45" spans="4:24" x14ac:dyDescent="0.3">
      <c r="D45" s="15" t="s">
        <v>72</v>
      </c>
      <c r="E45" s="38">
        <f>R58</f>
        <v>124.64699999999999</v>
      </c>
      <c r="F45" s="38">
        <v>159.5</v>
      </c>
      <c r="G45" s="38">
        <v>339.3</v>
      </c>
      <c r="H45" s="38">
        <f>H44*H25</f>
        <v>323.40841628639998</v>
      </c>
      <c r="J45" t="s">
        <v>60</v>
      </c>
      <c r="M45" s="38">
        <f>M30</f>
        <v>0</v>
      </c>
      <c r="N45" s="38">
        <v>0</v>
      </c>
      <c r="O45" s="38">
        <v>0</v>
      </c>
      <c r="P45" s="56"/>
      <c r="Q45" s="57"/>
      <c r="R45" s="38">
        <f t="shared" si="7"/>
        <v>0</v>
      </c>
    </row>
    <row r="46" spans="4:24" x14ac:dyDescent="0.3">
      <c r="J46" t="s">
        <v>71</v>
      </c>
      <c r="M46" s="38">
        <f>M35</f>
        <v>0</v>
      </c>
      <c r="N46" s="38">
        <v>0</v>
      </c>
      <c r="O46" s="38">
        <v>0</v>
      </c>
      <c r="P46" s="56"/>
      <c r="Q46" s="57"/>
      <c r="R46" s="38">
        <f t="shared" si="7"/>
        <v>0</v>
      </c>
      <c r="T46" s="16" t="s">
        <v>87</v>
      </c>
    </row>
    <row r="47" spans="4:24" x14ac:dyDescent="0.3">
      <c r="D47" s="18" t="s">
        <v>92</v>
      </c>
      <c r="E47" s="2"/>
      <c r="F47" s="2"/>
      <c r="G47" s="2"/>
      <c r="H47" s="2"/>
      <c r="J47" t="s">
        <v>93</v>
      </c>
      <c r="M47" s="38">
        <f>M36</f>
        <v>23</v>
      </c>
      <c r="N47" s="38">
        <f t="shared" ref="N47:O47" si="19">N36</f>
        <v>23</v>
      </c>
      <c r="O47" s="38">
        <f t="shared" si="19"/>
        <v>23</v>
      </c>
      <c r="P47" s="56"/>
      <c r="Q47" s="57"/>
      <c r="R47" s="38">
        <f t="shared" si="7"/>
        <v>23</v>
      </c>
      <c r="T47" s="17"/>
      <c r="U47" s="227" t="s">
        <v>88</v>
      </c>
      <c r="V47" s="227" t="s">
        <v>89</v>
      </c>
      <c r="W47" s="227" t="s">
        <v>90</v>
      </c>
      <c r="X47" s="227" t="s">
        <v>91</v>
      </c>
    </row>
    <row r="48" spans="4:24" x14ac:dyDescent="0.3">
      <c r="D48" t="s">
        <v>95</v>
      </c>
      <c r="H48" s="30">
        <f>R49/(W26-W9+W32)</f>
        <v>0.194650878349199</v>
      </c>
      <c r="J48" t="s">
        <v>96</v>
      </c>
      <c r="M48" s="38">
        <f>-M47*$H$15</f>
        <v>-4.6000000000000005</v>
      </c>
      <c r="N48" s="38">
        <f t="shared" ref="N48:O48" si="20">N47*$H$15</f>
        <v>4.6000000000000005</v>
      </c>
      <c r="O48" s="38">
        <f t="shared" si="20"/>
        <v>4.6000000000000005</v>
      </c>
      <c r="P48" s="56"/>
      <c r="Q48" s="57"/>
      <c r="R48" s="38">
        <f t="shared" si="7"/>
        <v>4.6000000000000005</v>
      </c>
      <c r="T48" s="8" t="s">
        <v>94</v>
      </c>
      <c r="U48" s="228"/>
      <c r="V48" s="228"/>
      <c r="W48" s="228"/>
      <c r="X48" s="228"/>
    </row>
    <row r="49" spans="4:24" ht="15" thickBot="1" x14ac:dyDescent="0.35">
      <c r="D49" t="s">
        <v>98</v>
      </c>
      <c r="H49" s="30">
        <f>ABS(R49/W32)</f>
        <v>2.1936113977343581</v>
      </c>
      <c r="J49" s="10" t="s">
        <v>99</v>
      </c>
      <c r="M49" s="51">
        <f>SUM(M44:M48)</f>
        <v>280.64299999999986</v>
      </c>
      <c r="N49" s="51">
        <f t="shared" ref="N49:O49" si="21">SUM(N44:N48)</f>
        <v>327.26499999999987</v>
      </c>
      <c r="O49" s="51">
        <f t="shared" si="21"/>
        <v>397.54599999999999</v>
      </c>
      <c r="P49" s="58"/>
      <c r="Q49" s="59"/>
      <c r="R49" s="51">
        <f t="shared" si="7"/>
        <v>397.54599999999999</v>
      </c>
      <c r="T49" t="s">
        <v>97</v>
      </c>
      <c r="U49" s="39">
        <v>0.69508300000000001</v>
      </c>
      <c r="V49" s="33">
        <v>110.98</v>
      </c>
      <c r="W49" s="39">
        <f>IF(V49&lt;$H$18,U49,0)</f>
        <v>0.69508300000000001</v>
      </c>
      <c r="X49" s="33">
        <f>IF(W49&gt;0,V49*U49)</f>
        <v>77.140311339999997</v>
      </c>
    </row>
    <row r="50" spans="4:24" ht="15" thickTop="1" x14ac:dyDescent="0.3">
      <c r="D50" t="s">
        <v>101</v>
      </c>
      <c r="H50" s="30">
        <f>ABS(R49/W18)</f>
        <v>0.13622972767830063</v>
      </c>
      <c r="J50" s="14" t="s">
        <v>65</v>
      </c>
      <c r="M50" s="30">
        <f>M49/M$11</f>
        <v>0.18174417889279959</v>
      </c>
      <c r="N50" s="30">
        <f t="shared" ref="N50:O50" si="22">N49/N$11</f>
        <v>0.20649731613116531</v>
      </c>
      <c r="O50" s="30">
        <f t="shared" si="22"/>
        <v>0.24896526976258038</v>
      </c>
      <c r="P50" s="56"/>
      <c r="Q50" s="57"/>
      <c r="R50" s="30">
        <f t="shared" si="7"/>
        <v>0.24896526976258038</v>
      </c>
      <c r="T50" t="s">
        <v>100</v>
      </c>
      <c r="U50" s="39">
        <v>0.343165</v>
      </c>
      <c r="V50" s="33">
        <v>138.02000000000001</v>
      </c>
      <c r="W50" s="39">
        <f t="shared" ref="W50:W51" si="23">IF(V50&lt;$H$18,U50,0)</f>
        <v>0</v>
      </c>
      <c r="X50" s="33" t="b">
        <f t="shared" ref="X50:X51" si="24">IF(W50&gt;0,V50*U50)</f>
        <v>0</v>
      </c>
    </row>
    <row r="51" spans="4:24" x14ac:dyDescent="0.3">
      <c r="D51" t="s">
        <v>103</v>
      </c>
      <c r="H51" s="30">
        <f>H22/H18</f>
        <v>9.8577061546374078E-3</v>
      </c>
      <c r="P51" s="56"/>
      <c r="Q51" s="57"/>
      <c r="T51" t="s">
        <v>102</v>
      </c>
      <c r="U51" s="39">
        <v>0.44481100000000001</v>
      </c>
      <c r="V51" s="33">
        <v>138.88999999999999</v>
      </c>
      <c r="W51" s="39">
        <f t="shared" si="23"/>
        <v>0</v>
      </c>
      <c r="X51" s="33" t="b">
        <f t="shared" si="24"/>
        <v>0</v>
      </c>
    </row>
    <row r="52" spans="4:24" x14ac:dyDescent="0.3">
      <c r="J52" t="s">
        <v>105</v>
      </c>
      <c r="M52" s="43">
        <f>M49/M25</f>
        <v>5.5353648915187348</v>
      </c>
      <c r="N52" s="43">
        <f t="shared" ref="N52:O52" si="25">N49/N25</f>
        <v>6.8069595241066567</v>
      </c>
      <c r="O52" s="43">
        <f t="shared" si="25"/>
        <v>8.6041761483899162</v>
      </c>
      <c r="P52" s="56"/>
      <c r="Q52" s="57"/>
      <c r="R52" s="43">
        <f t="shared" si="7"/>
        <v>8.6041761483899162</v>
      </c>
      <c r="T52" t="s">
        <v>104</v>
      </c>
      <c r="U52" s="39">
        <v>0</v>
      </c>
      <c r="V52" s="39">
        <v>0</v>
      </c>
      <c r="W52" s="39">
        <v>0</v>
      </c>
      <c r="X52" s="39">
        <v>0</v>
      </c>
    </row>
    <row r="53" spans="4:24" x14ac:dyDescent="0.3">
      <c r="D53" s="6" t="s">
        <v>107</v>
      </c>
      <c r="E53" s="2"/>
      <c r="F53" s="2"/>
      <c r="G53" s="2"/>
      <c r="H53" s="2"/>
      <c r="T53" t="s">
        <v>106</v>
      </c>
      <c r="U53" s="39">
        <v>0</v>
      </c>
      <c r="V53" s="39">
        <v>0</v>
      </c>
      <c r="W53" s="39">
        <v>0</v>
      </c>
      <c r="X53" s="39">
        <v>0</v>
      </c>
    </row>
    <row r="54" spans="4:24" x14ac:dyDescent="0.3">
      <c r="D54" t="s">
        <v>109</v>
      </c>
      <c r="H54" s="30">
        <f>W26/(W26+W32)</f>
        <v>0.9131775154250531</v>
      </c>
      <c r="J54" s="6" t="s">
        <v>110</v>
      </c>
      <c r="K54" s="2"/>
      <c r="L54" s="2"/>
      <c r="M54" s="2"/>
      <c r="N54" s="2"/>
      <c r="O54" s="2"/>
      <c r="P54" s="2"/>
      <c r="Q54" s="2"/>
      <c r="R54" s="2"/>
      <c r="T54" s="10" t="s">
        <v>108</v>
      </c>
      <c r="U54" s="40">
        <f t="shared" ref="U54:X54" si="26">SUM(U49:U53)</f>
        <v>1.4830590000000001</v>
      </c>
      <c r="V54" s="37">
        <f t="shared" si="26"/>
        <v>387.89</v>
      </c>
      <c r="W54" s="40">
        <f t="shared" si="26"/>
        <v>0.69508300000000001</v>
      </c>
      <c r="X54" s="37">
        <f t="shared" si="26"/>
        <v>77.140311339999997</v>
      </c>
    </row>
    <row r="55" spans="4:24" x14ac:dyDescent="0.3">
      <c r="D55" t="s">
        <v>111</v>
      </c>
      <c r="H55" s="64">
        <f>W26/R41</f>
        <v>3.0468702046035805</v>
      </c>
      <c r="J55" t="s">
        <v>112</v>
      </c>
      <c r="M55" s="38">
        <v>296.55399999999997</v>
      </c>
      <c r="N55" s="38">
        <v>319.40300000000002</v>
      </c>
      <c r="O55" s="38">
        <v>270.447</v>
      </c>
      <c r="P55" s="56"/>
      <c r="Q55" s="57"/>
      <c r="R55" s="38">
        <f>O56</f>
        <v>145.80000000000001</v>
      </c>
    </row>
    <row r="56" spans="4:24" x14ac:dyDescent="0.3">
      <c r="D56" t="s">
        <v>114</v>
      </c>
      <c r="H56" s="64">
        <f>(W26-W9)/R41</f>
        <v>2.9749440537084397</v>
      </c>
      <c r="J56" t="s">
        <v>115</v>
      </c>
      <c r="M56" s="38">
        <v>116.3</v>
      </c>
      <c r="N56" s="38">
        <v>145.9</v>
      </c>
      <c r="O56" s="38">
        <v>145.80000000000001</v>
      </c>
      <c r="P56" s="56"/>
      <c r="Q56" s="57"/>
      <c r="R56" s="38">
        <f>O56</f>
        <v>145.80000000000001</v>
      </c>
      <c r="T56" s="8" t="s">
        <v>113</v>
      </c>
      <c r="U56" s="9"/>
      <c r="V56" s="9"/>
      <c r="W56" s="9"/>
      <c r="X56" s="9"/>
    </row>
    <row r="57" spans="4:24" x14ac:dyDescent="0.3">
      <c r="D57" s="15" t="s">
        <v>120</v>
      </c>
      <c r="H57" s="64">
        <f>ABS(R41/R17)</f>
        <v>6.6978576705245008</v>
      </c>
      <c r="J57" s="14" t="s">
        <v>121</v>
      </c>
      <c r="M57" s="30">
        <f>M56/M$11</f>
        <v>7.5315785554004921E-2</v>
      </c>
      <c r="N57" s="30">
        <f t="shared" ref="N57" si="27">N56/N$11</f>
        <v>9.205982437332752E-2</v>
      </c>
      <c r="O57" s="30">
        <f t="shared" ref="O57" si="28">O56/O$11</f>
        <v>9.1308015503574994E-2</v>
      </c>
      <c r="P57" s="56"/>
      <c r="Q57" s="57"/>
      <c r="R57" s="30">
        <f t="shared" ref="R57:R63" si="29">O57</f>
        <v>9.1308015503574994E-2</v>
      </c>
      <c r="T57" s="7"/>
      <c r="U57" s="227" t="s">
        <v>116</v>
      </c>
      <c r="V57" s="227" t="s">
        <v>117</v>
      </c>
      <c r="W57" s="227" t="s">
        <v>118</v>
      </c>
      <c r="X57" s="227" t="s">
        <v>119</v>
      </c>
    </row>
    <row r="58" spans="4:24" x14ac:dyDescent="0.3">
      <c r="D58" s="15" t="s">
        <v>122</v>
      </c>
      <c r="H58" s="64">
        <f>ABS((R41-R56)/R17)</f>
        <v>5.1368799717353832</v>
      </c>
      <c r="J58" s="10" t="s">
        <v>123</v>
      </c>
      <c r="M58" s="46">
        <f>M55-M56</f>
        <v>180.25399999999996</v>
      </c>
      <c r="N58" s="46">
        <f t="shared" ref="N58:O58" si="30">N55-N56</f>
        <v>173.50300000000001</v>
      </c>
      <c r="O58" s="46">
        <f t="shared" si="30"/>
        <v>124.64699999999999</v>
      </c>
      <c r="P58" s="52"/>
      <c r="Q58" s="53"/>
      <c r="R58" s="46">
        <f t="shared" si="29"/>
        <v>124.64699999999999</v>
      </c>
      <c r="T58" s="7"/>
      <c r="U58" s="228"/>
      <c r="V58" s="228"/>
      <c r="W58" s="228"/>
      <c r="X58" s="228"/>
    </row>
    <row r="59" spans="4:24" x14ac:dyDescent="0.3">
      <c r="D59" s="15" t="s">
        <v>125</v>
      </c>
      <c r="H59" s="64">
        <f>ABS(R37/R17)</f>
        <v>6.1416335663736712</v>
      </c>
      <c r="J59" s="14" t="s">
        <v>65</v>
      </c>
      <c r="M59" s="30">
        <f>M58/M$11</f>
        <v>0.11673234401764059</v>
      </c>
      <c r="N59" s="30">
        <f t="shared" ref="N59:O59" si="31">N58/N$11</f>
        <v>0.10947673549174397</v>
      </c>
      <c r="O59" s="30">
        <f t="shared" si="31"/>
        <v>7.806083819255219E-2</v>
      </c>
      <c r="P59" s="56"/>
      <c r="Q59" s="57"/>
      <c r="R59" s="30">
        <f t="shared" si="29"/>
        <v>7.806083819255219E-2</v>
      </c>
      <c r="T59" t="s">
        <v>124</v>
      </c>
      <c r="U59" s="39">
        <v>0</v>
      </c>
      <c r="V59" s="39">
        <v>0</v>
      </c>
      <c r="W59" s="39">
        <v>0</v>
      </c>
      <c r="X59" s="39">
        <v>0</v>
      </c>
    </row>
    <row r="60" spans="4:24" x14ac:dyDescent="0.3">
      <c r="J60" s="10" t="s">
        <v>127</v>
      </c>
      <c r="M60" s="43">
        <f>M58/M25</f>
        <v>3.5553057199211038</v>
      </c>
      <c r="N60" s="43">
        <f t="shared" ref="N60:O60" si="32">N58/N25</f>
        <v>3.6087815632929825</v>
      </c>
      <c r="O60" s="43">
        <f t="shared" si="32"/>
        <v>2.6977626346846852</v>
      </c>
      <c r="P60" s="56"/>
      <c r="Q60" s="57"/>
      <c r="R60" s="43">
        <f t="shared" si="29"/>
        <v>2.6977626346846852</v>
      </c>
      <c r="T60" t="s">
        <v>126</v>
      </c>
      <c r="U60" s="39">
        <v>0</v>
      </c>
      <c r="V60" s="39">
        <v>0</v>
      </c>
      <c r="W60" s="39">
        <v>0</v>
      </c>
      <c r="X60" s="39">
        <v>0</v>
      </c>
    </row>
    <row r="61" spans="4:24" x14ac:dyDescent="0.3">
      <c r="D61" s="6" t="s">
        <v>129</v>
      </c>
      <c r="E61" s="2"/>
      <c r="F61" s="2"/>
      <c r="G61" s="2"/>
      <c r="H61" s="2"/>
      <c r="P61" s="56"/>
      <c r="Q61" s="57"/>
      <c r="T61" t="s">
        <v>128</v>
      </c>
      <c r="U61" s="39">
        <v>0</v>
      </c>
      <c r="V61" s="39">
        <v>0</v>
      </c>
      <c r="W61" s="39">
        <v>0</v>
      </c>
      <c r="X61" s="39">
        <v>0</v>
      </c>
    </row>
    <row r="62" spans="4:24" x14ac:dyDescent="0.3">
      <c r="D62" s="67"/>
      <c r="E62" s="70" t="s">
        <v>12</v>
      </c>
      <c r="F62" s="70" t="s">
        <v>131</v>
      </c>
      <c r="G62" s="70" t="s">
        <v>132</v>
      </c>
      <c r="H62" s="70" t="s">
        <v>133</v>
      </c>
      <c r="J62" s="13" t="s">
        <v>79</v>
      </c>
      <c r="M62">
        <f>M40</f>
        <v>39.658999999999999</v>
      </c>
      <c r="N62">
        <f t="shared" ref="N62:O62" si="33">N40</f>
        <v>45.037999999999997</v>
      </c>
      <c r="O62">
        <f t="shared" si="33"/>
        <v>51.953000000000003</v>
      </c>
      <c r="P62" s="56"/>
      <c r="Q62" s="57"/>
      <c r="R62">
        <f t="shared" si="29"/>
        <v>51.953000000000003</v>
      </c>
      <c r="T62" t="s">
        <v>130</v>
      </c>
      <c r="U62" s="39">
        <v>0</v>
      </c>
      <c r="V62" s="39">
        <v>0</v>
      </c>
      <c r="W62" s="39">
        <v>0</v>
      </c>
      <c r="X62" s="39">
        <v>0</v>
      </c>
    </row>
    <row r="63" spans="4:24" x14ac:dyDescent="0.3">
      <c r="D63" s="7" t="s">
        <v>135</v>
      </c>
      <c r="J63" s="14" t="s">
        <v>121</v>
      </c>
      <c r="M63" s="30">
        <f>M62/M$11</f>
        <v>2.5683136193347212E-2</v>
      </c>
      <c r="N63" s="30">
        <f t="shared" ref="N63:O63" si="34">N62/N$11</f>
        <v>2.8418028582083098E-2</v>
      </c>
      <c r="O63" s="30">
        <f t="shared" si="34"/>
        <v>3.2535839022340404E-2</v>
      </c>
      <c r="P63" s="56"/>
      <c r="Q63" s="57"/>
      <c r="R63" s="30">
        <f t="shared" si="29"/>
        <v>3.2535839022340404E-2</v>
      </c>
      <c r="T63" t="s">
        <v>134</v>
      </c>
      <c r="U63" s="39">
        <v>0</v>
      </c>
      <c r="V63" s="39">
        <v>0</v>
      </c>
      <c r="W63" s="39">
        <v>0</v>
      </c>
      <c r="X63" s="39">
        <v>0</v>
      </c>
    </row>
    <row r="64" spans="4:24" x14ac:dyDescent="0.3">
      <c r="D64" t="s">
        <v>136</v>
      </c>
      <c r="E64" s="63">
        <f>O11/N11-1</f>
        <v>7.5427220052004529E-3</v>
      </c>
      <c r="F64" s="63">
        <f>O41/N41-1</f>
        <v>3.5590134083760994E-2</v>
      </c>
      <c r="G64" s="63">
        <f>O58/N58-1</f>
        <v>-0.28158590917736304</v>
      </c>
      <c r="H64" s="63">
        <f>O26/N26-1</f>
        <v>0.28460797038452657</v>
      </c>
      <c r="T64" s="10" t="s">
        <v>108</v>
      </c>
      <c r="U64" s="40">
        <f>SUM(U59:U63)</f>
        <v>0</v>
      </c>
      <c r="V64" s="40">
        <f t="shared" ref="V64:X64" si="35">SUM(V59:V63)</f>
        <v>0</v>
      </c>
      <c r="W64" s="40">
        <f t="shared" si="35"/>
        <v>0</v>
      </c>
      <c r="X64" s="40">
        <f t="shared" si="35"/>
        <v>0</v>
      </c>
    </row>
    <row r="65" spans="4:24" x14ac:dyDescent="0.3">
      <c r="D65" t="s">
        <v>137</v>
      </c>
      <c r="E65" s="63">
        <f>_xlfn.RRI(2,M11,O11)</f>
        <v>1.6898151272466411E-2</v>
      </c>
      <c r="F65" s="63">
        <f>_xlfn.RRI(2,M41,O41)</f>
        <v>7.5847019101990432E-2</v>
      </c>
      <c r="G65" s="63">
        <f>_xlfn.RRI(2,M58,O58)</f>
        <v>-0.1684306767556154</v>
      </c>
      <c r="H65" s="63">
        <f>_xlfn.RRI(2,M26,O26)</f>
        <v>0.24417694020060932</v>
      </c>
    </row>
    <row r="66" spans="4:24" x14ac:dyDescent="0.3">
      <c r="D66" s="7" t="s">
        <v>139</v>
      </c>
      <c r="J66" s="6" t="s">
        <v>138</v>
      </c>
      <c r="K66" s="2"/>
      <c r="L66" s="2"/>
      <c r="M66" s="2"/>
      <c r="N66" s="2"/>
      <c r="O66" s="2"/>
      <c r="P66" s="2"/>
      <c r="Q66" s="2"/>
      <c r="R66" s="2"/>
      <c r="S66" s="2"/>
      <c r="T66" s="2"/>
      <c r="U66" s="2"/>
      <c r="V66" s="2"/>
      <c r="W66" s="2"/>
      <c r="X66" s="2"/>
    </row>
    <row r="67" spans="4:24" x14ac:dyDescent="0.3">
      <c r="D67" t="s">
        <v>136</v>
      </c>
      <c r="E67" s="30">
        <f>F37/E37-1</f>
        <v>1.0149718842705324E-2</v>
      </c>
      <c r="F67" s="30">
        <f>F39/E39-1</f>
        <v>1.6464194373401408E-2</v>
      </c>
      <c r="G67" s="30">
        <f>F45/E45-1</f>
        <v>0.2796136288879798</v>
      </c>
      <c r="H67" s="30">
        <f>F43/E43-1</f>
        <v>-0.25938167651770339</v>
      </c>
    </row>
    <row r="68" spans="4:24" x14ac:dyDescent="0.3">
      <c r="D68" t="s">
        <v>137</v>
      </c>
      <c r="E68" s="30">
        <f>_xlfn.RRI(2,E37,G37)</f>
        <v>2.1440770241809348E-2</v>
      </c>
      <c r="F68" s="30">
        <f>_xlfn.RRI(2,E39,G39)</f>
        <v>1.994182673487499E-2</v>
      </c>
      <c r="G68" s="30">
        <f>_xlfn.RRI(2,E45,G45)</f>
        <v>0.6498748965239407</v>
      </c>
      <c r="H68" s="30">
        <f>_xlfn.RRI(2,E43,G43)</f>
        <v>-4.8499700089887798E-2</v>
      </c>
    </row>
    <row r="69" spans="4:24" x14ac:dyDescent="0.3">
      <c r="D69" t="s">
        <v>140</v>
      </c>
      <c r="H69" s="65">
        <v>0.11</v>
      </c>
    </row>
  </sheetData>
  <mergeCells count="15">
    <mergeCell ref="E34:E35"/>
    <mergeCell ref="U47:U48"/>
    <mergeCell ref="V47:V48"/>
    <mergeCell ref="W47:W48"/>
    <mergeCell ref="X47:X48"/>
    <mergeCell ref="F34:F35"/>
    <mergeCell ref="G34:G35"/>
    <mergeCell ref="H34:H35"/>
    <mergeCell ref="P8:P10"/>
    <mergeCell ref="U57:U58"/>
    <mergeCell ref="V57:V58"/>
    <mergeCell ref="W57:W58"/>
    <mergeCell ref="X57:X58"/>
    <mergeCell ref="Q8:Q10"/>
    <mergeCell ref="R8:R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5364-0108-475B-B366-F1E68765656B}">
  <dimension ref="D2:X69"/>
  <sheetViews>
    <sheetView showGridLines="0" topLeftCell="A28" zoomScale="85" zoomScaleNormal="85" workbookViewId="0">
      <selection activeCell="H22" sqref="H22"/>
    </sheetView>
  </sheetViews>
  <sheetFormatPr defaultRowHeight="14.4" x14ac:dyDescent="0.3"/>
  <cols>
    <col min="1" max="3" width="2.33203125" customWidth="1"/>
    <col min="4" max="8" width="11.77734375" customWidth="1"/>
    <col min="13" max="15" width="10.77734375" customWidth="1"/>
    <col min="16" max="18" width="11.77734375" customWidth="1"/>
    <col min="20" max="22" width="10.77734375" customWidth="1"/>
    <col min="23" max="23" width="12.6640625" customWidth="1"/>
    <col min="24" max="25" width="10.77734375" customWidth="1"/>
  </cols>
  <sheetData>
    <row r="2" spans="4:24" ht="21" x14ac:dyDescent="0.4">
      <c r="D2" s="1" t="s">
        <v>180</v>
      </c>
      <c r="E2" s="2"/>
      <c r="F2" s="2"/>
      <c r="G2" s="2"/>
      <c r="H2" s="2"/>
      <c r="I2" s="2"/>
      <c r="J2" s="2"/>
      <c r="K2" s="2"/>
      <c r="L2" s="2"/>
      <c r="M2" s="2"/>
      <c r="N2" s="2"/>
      <c r="O2" s="2"/>
      <c r="P2" s="2"/>
      <c r="Q2" s="2"/>
      <c r="R2" s="2"/>
      <c r="S2" s="2"/>
      <c r="T2" s="2"/>
      <c r="U2" s="2"/>
      <c r="V2" s="2"/>
      <c r="W2" s="2"/>
      <c r="X2" s="2"/>
    </row>
    <row r="3" spans="4:24" ht="18" x14ac:dyDescent="0.35">
      <c r="D3" s="3" t="s">
        <v>0</v>
      </c>
      <c r="E3" s="2"/>
      <c r="F3" s="2"/>
      <c r="G3" s="2"/>
      <c r="H3" s="2"/>
      <c r="I3" s="2"/>
      <c r="J3" s="2"/>
      <c r="K3" s="2"/>
      <c r="L3" s="2"/>
      <c r="M3" s="2"/>
      <c r="N3" s="2"/>
      <c r="O3" s="2"/>
      <c r="P3" s="2"/>
      <c r="Q3" s="2"/>
      <c r="R3" s="2"/>
      <c r="S3" s="2"/>
      <c r="T3" s="2"/>
      <c r="U3" s="2"/>
      <c r="V3" s="2"/>
      <c r="W3" s="2"/>
      <c r="X3" s="2"/>
    </row>
    <row r="4" spans="4:24" x14ac:dyDescent="0.3">
      <c r="D4" s="4" t="s">
        <v>1</v>
      </c>
      <c r="E4" s="2"/>
      <c r="F4" s="2"/>
      <c r="G4" s="2"/>
      <c r="H4" s="2"/>
      <c r="I4" s="2"/>
      <c r="J4" s="2"/>
      <c r="K4" s="2"/>
      <c r="L4" s="2"/>
      <c r="M4" s="2"/>
      <c r="N4" s="2"/>
      <c r="O4" s="2"/>
      <c r="P4" s="2"/>
      <c r="Q4" s="2"/>
      <c r="R4" s="2"/>
      <c r="S4" s="2"/>
      <c r="T4" s="2"/>
      <c r="U4" s="2"/>
      <c r="V4" s="2"/>
      <c r="W4" s="2"/>
      <c r="X4" s="2"/>
    </row>
    <row r="5" spans="4:24" x14ac:dyDescent="0.3">
      <c r="H5" s="5"/>
    </row>
    <row r="7" spans="4:24" x14ac:dyDescent="0.3">
      <c r="D7" s="6" t="s">
        <v>2</v>
      </c>
      <c r="E7" s="2"/>
      <c r="F7" s="2"/>
      <c r="G7" s="2"/>
      <c r="H7" s="2"/>
      <c r="J7" s="6" t="s">
        <v>3</v>
      </c>
      <c r="K7" s="2"/>
      <c r="L7" s="2"/>
      <c r="M7" s="2"/>
      <c r="N7" s="2"/>
      <c r="O7" s="2"/>
      <c r="P7" s="2"/>
      <c r="Q7" s="2"/>
      <c r="R7" s="2"/>
      <c r="T7" s="6" t="s">
        <v>4</v>
      </c>
      <c r="U7" s="2"/>
      <c r="V7" s="2"/>
      <c r="W7" s="2"/>
      <c r="X7" s="2"/>
    </row>
    <row r="8" spans="4:24" x14ac:dyDescent="0.3">
      <c r="D8" t="s">
        <v>5</v>
      </c>
      <c r="H8" s="27" t="s">
        <v>181</v>
      </c>
      <c r="J8" s="67"/>
      <c r="K8" s="67"/>
      <c r="L8" s="67"/>
      <c r="M8" s="68"/>
      <c r="N8" s="68"/>
      <c r="O8" s="68"/>
      <c r="P8" s="225" t="s">
        <v>191</v>
      </c>
      <c r="Q8" s="225" t="s">
        <v>192</v>
      </c>
      <c r="R8" s="225" t="s">
        <v>193</v>
      </c>
      <c r="T8" s="67"/>
      <c r="U8" s="67"/>
      <c r="V8" s="67"/>
      <c r="W8" s="70" t="s">
        <v>187</v>
      </c>
      <c r="X8" s="70" t="s">
        <v>188</v>
      </c>
    </row>
    <row r="9" spans="4:24" x14ac:dyDescent="0.3">
      <c r="D9" t="s">
        <v>6</v>
      </c>
      <c r="H9" s="27" t="s">
        <v>168</v>
      </c>
      <c r="J9" s="67"/>
      <c r="K9" s="67"/>
      <c r="L9" s="67"/>
      <c r="M9" s="69" t="s">
        <v>7</v>
      </c>
      <c r="N9" s="69"/>
      <c r="O9" s="69"/>
      <c r="P9" s="225"/>
      <c r="Q9" s="225"/>
      <c r="R9" s="225"/>
      <c r="T9" t="s">
        <v>8</v>
      </c>
      <c r="W9" s="38">
        <v>358</v>
      </c>
    </row>
    <row r="10" spans="4:24" x14ac:dyDescent="0.3">
      <c r="D10" t="s">
        <v>9</v>
      </c>
      <c r="H10" s="27" t="s">
        <v>182</v>
      </c>
      <c r="J10" s="67"/>
      <c r="K10" s="67"/>
      <c r="L10" s="67"/>
      <c r="M10" s="69" t="s">
        <v>189</v>
      </c>
      <c r="N10" s="69" t="s">
        <v>190</v>
      </c>
      <c r="O10" s="69" t="s">
        <v>187</v>
      </c>
      <c r="P10" s="226"/>
      <c r="Q10" s="226"/>
      <c r="R10" s="226"/>
      <c r="T10" t="s">
        <v>10</v>
      </c>
      <c r="W10" s="38">
        <v>2909</v>
      </c>
    </row>
    <row r="11" spans="4:24" x14ac:dyDescent="0.3">
      <c r="D11" t="s">
        <v>11</v>
      </c>
      <c r="H11" s="27" t="s">
        <v>183</v>
      </c>
      <c r="J11" s="7" t="s">
        <v>12</v>
      </c>
      <c r="M11" s="50">
        <v>23713</v>
      </c>
      <c r="N11" s="50">
        <v>25100</v>
      </c>
      <c r="O11" s="50">
        <v>26186</v>
      </c>
      <c r="P11" s="61"/>
      <c r="Q11" s="62"/>
      <c r="R11" s="50">
        <f>O11</f>
        <v>26186</v>
      </c>
      <c r="T11" t="s">
        <v>13</v>
      </c>
      <c r="W11" s="38">
        <v>0</v>
      </c>
    </row>
    <row r="12" spans="4:24" x14ac:dyDescent="0.3">
      <c r="D12" t="s">
        <v>14</v>
      </c>
      <c r="H12" s="27" t="s">
        <v>185</v>
      </c>
      <c r="J12" t="s">
        <v>15</v>
      </c>
      <c r="M12" s="49">
        <f>19849-867</f>
        <v>18982</v>
      </c>
      <c r="N12" s="49">
        <f>21333-945</f>
        <v>20388</v>
      </c>
      <c r="O12" s="49">
        <f>22045-870</f>
        <v>21175</v>
      </c>
      <c r="P12" s="54"/>
      <c r="Q12" s="55"/>
      <c r="R12" s="49">
        <f t="shared" ref="R12:R26" si="0">O12</f>
        <v>21175</v>
      </c>
      <c r="T12" t="s">
        <v>16</v>
      </c>
      <c r="W12" s="38">
        <v>317</v>
      </c>
    </row>
    <row r="13" spans="4:24" x14ac:dyDescent="0.3">
      <c r="D13" t="s">
        <v>17</v>
      </c>
      <c r="H13" s="27" t="s">
        <v>184</v>
      </c>
      <c r="J13" s="10" t="s">
        <v>18</v>
      </c>
      <c r="M13" s="50">
        <f>M11-M12</f>
        <v>4731</v>
      </c>
      <c r="N13" s="50">
        <f t="shared" ref="N13:O13" si="1">N11-N12</f>
        <v>4712</v>
      </c>
      <c r="O13" s="50">
        <f t="shared" si="1"/>
        <v>5011</v>
      </c>
      <c r="P13" s="56"/>
      <c r="Q13" s="57"/>
      <c r="R13" s="50">
        <f t="shared" si="0"/>
        <v>5011</v>
      </c>
      <c r="T13" s="10" t="s">
        <v>19</v>
      </c>
      <c r="W13" s="46">
        <f>SUM(W9:W12)</f>
        <v>3584</v>
      </c>
      <c r="X13" s="11"/>
    </row>
    <row r="14" spans="4:24" x14ac:dyDescent="0.3">
      <c r="D14" t="s">
        <v>20</v>
      </c>
      <c r="H14" s="27">
        <v>1.1000000000000001</v>
      </c>
      <c r="J14" t="s">
        <v>21</v>
      </c>
      <c r="M14" s="38">
        <v>867</v>
      </c>
      <c r="N14" s="38">
        <v>945</v>
      </c>
      <c r="O14" s="38">
        <v>870</v>
      </c>
      <c r="P14" s="56"/>
      <c r="Q14" s="57"/>
      <c r="R14" s="38">
        <f t="shared" si="0"/>
        <v>870</v>
      </c>
      <c r="W14" s="38"/>
    </row>
    <row r="15" spans="4:24" x14ac:dyDescent="0.3">
      <c r="D15" t="s">
        <v>22</v>
      </c>
      <c r="H15" s="31">
        <v>0.2</v>
      </c>
      <c r="J15" t="s">
        <v>23</v>
      </c>
      <c r="M15" s="49">
        <v>40</v>
      </c>
      <c r="N15" s="49">
        <v>31</v>
      </c>
      <c r="O15" s="49">
        <v>9</v>
      </c>
      <c r="P15" s="54"/>
      <c r="Q15" s="55"/>
      <c r="R15" s="49">
        <f t="shared" si="0"/>
        <v>9</v>
      </c>
      <c r="T15" t="s">
        <v>24</v>
      </c>
      <c r="W15" s="38">
        <v>1954</v>
      </c>
    </row>
    <row r="16" spans="4:24" x14ac:dyDescent="0.3">
      <c r="J16" s="10" t="s">
        <v>25</v>
      </c>
      <c r="M16" s="50">
        <f>M13-M14+M15</f>
        <v>3904</v>
      </c>
      <c r="N16" s="50">
        <f t="shared" ref="N16:O16" si="2">N13-N14+N15</f>
        <v>3798</v>
      </c>
      <c r="O16" s="50">
        <f t="shared" si="2"/>
        <v>4150</v>
      </c>
      <c r="P16" s="56"/>
      <c r="Q16" s="57"/>
      <c r="R16" s="50">
        <f t="shared" si="0"/>
        <v>4150</v>
      </c>
      <c r="T16" t="s">
        <v>26</v>
      </c>
      <c r="W16" s="38">
        <f>6207+4129+8907</f>
        <v>19243</v>
      </c>
    </row>
    <row r="17" spans="4:24" x14ac:dyDescent="0.3">
      <c r="D17" s="6" t="s">
        <v>27</v>
      </c>
      <c r="E17" s="2"/>
      <c r="F17" s="2"/>
      <c r="G17" s="2"/>
      <c r="H17" s="2"/>
      <c r="J17" t="s">
        <v>28</v>
      </c>
      <c r="M17" s="49">
        <f>30+9-565</f>
        <v>-526</v>
      </c>
      <c r="N17" s="49">
        <f>40+8-695</f>
        <v>-647</v>
      </c>
      <c r="O17" s="49">
        <f>42+11-809</f>
        <v>-756</v>
      </c>
      <c r="P17" s="54"/>
      <c r="Q17" s="55"/>
      <c r="R17" s="49">
        <f t="shared" si="0"/>
        <v>-756</v>
      </c>
      <c r="T17" t="s">
        <v>29</v>
      </c>
      <c r="W17" s="38">
        <f>298+151+570+941+799</f>
        <v>2759</v>
      </c>
    </row>
    <row r="18" spans="4:24" x14ac:dyDescent="0.3">
      <c r="D18" t="s">
        <v>30</v>
      </c>
      <c r="H18" s="33">
        <v>363.98</v>
      </c>
      <c r="J18" s="10" t="s">
        <v>31</v>
      </c>
      <c r="M18" s="50">
        <f>SUM(M16:M17)</f>
        <v>3378</v>
      </c>
      <c r="N18" s="50">
        <f t="shared" ref="N18:O18" si="3">SUM(N16:N17)</f>
        <v>3151</v>
      </c>
      <c r="O18" s="50">
        <f t="shared" si="3"/>
        <v>3394</v>
      </c>
      <c r="P18" s="56"/>
      <c r="Q18" s="57"/>
      <c r="R18" s="50">
        <f t="shared" si="0"/>
        <v>3394</v>
      </c>
      <c r="T18" s="10" t="s">
        <v>32</v>
      </c>
      <c r="W18" s="47">
        <f>SUM(W15:W17)+W13</f>
        <v>27540</v>
      </c>
      <c r="X18" s="12"/>
    </row>
    <row r="19" spans="4:24" x14ac:dyDescent="0.3">
      <c r="D19" s="5" t="s">
        <v>33</v>
      </c>
      <c r="H19" s="30">
        <f>H18/H20</f>
        <v>0.98372972972972983</v>
      </c>
      <c r="J19" t="s">
        <v>34</v>
      </c>
      <c r="M19" s="38">
        <v>-295</v>
      </c>
      <c r="N19" s="38">
        <v>-776</v>
      </c>
      <c r="O19" s="38">
        <v>-793</v>
      </c>
      <c r="P19" s="56"/>
      <c r="Q19" s="57"/>
      <c r="R19" s="38">
        <f t="shared" si="0"/>
        <v>-793</v>
      </c>
      <c r="W19" s="38"/>
    </row>
    <row r="20" spans="4:24" x14ac:dyDescent="0.3">
      <c r="D20" t="s">
        <v>35</v>
      </c>
      <c r="H20" s="33">
        <v>370</v>
      </c>
      <c r="J20" s="13" t="s">
        <v>36</v>
      </c>
      <c r="M20" s="38">
        <v>0</v>
      </c>
      <c r="N20" s="38">
        <v>0</v>
      </c>
      <c r="O20" s="38">
        <v>0</v>
      </c>
      <c r="P20" s="56"/>
      <c r="Q20" s="57"/>
      <c r="R20" s="38">
        <f t="shared" si="0"/>
        <v>0</v>
      </c>
      <c r="T20" t="s">
        <v>186</v>
      </c>
      <c r="W20" s="38">
        <v>1209</v>
      </c>
    </row>
    <row r="21" spans="4:24" x14ac:dyDescent="0.3">
      <c r="D21" t="s">
        <v>38</v>
      </c>
      <c r="H21" s="33">
        <v>212.53</v>
      </c>
      <c r="J21" t="s">
        <v>39</v>
      </c>
      <c r="M21" s="38">
        <v>0</v>
      </c>
      <c r="N21" s="38">
        <v>0</v>
      </c>
      <c r="O21" s="38">
        <v>0</v>
      </c>
      <c r="P21" s="56"/>
      <c r="Q21" s="57"/>
      <c r="R21" s="38">
        <f t="shared" si="0"/>
        <v>0</v>
      </c>
      <c r="T21" t="s">
        <v>37</v>
      </c>
      <c r="W21" s="38">
        <v>814</v>
      </c>
    </row>
    <row r="22" spans="4:24" ht="15" thickBot="1" x14ac:dyDescent="0.35">
      <c r="D22" t="s">
        <v>41</v>
      </c>
      <c r="H22" s="33">
        <v>2.68</v>
      </c>
      <c r="J22" s="10" t="s">
        <v>42</v>
      </c>
      <c r="M22" s="51">
        <f>SUM(M18:M21)</f>
        <v>3083</v>
      </c>
      <c r="N22" s="51">
        <f t="shared" ref="N22:O22" si="4">SUM(N18:N21)</f>
        <v>2375</v>
      </c>
      <c r="O22" s="51">
        <f t="shared" si="4"/>
        <v>2601</v>
      </c>
      <c r="P22" s="58"/>
      <c r="Q22" s="59"/>
      <c r="R22" s="51">
        <f t="shared" si="0"/>
        <v>2601</v>
      </c>
      <c r="T22" t="s">
        <v>40</v>
      </c>
      <c r="W22" s="38">
        <f>1438+1440</f>
        <v>2878</v>
      </c>
    </row>
    <row r="23" spans="4:24" ht="15" thickTop="1" x14ac:dyDescent="0.3">
      <c r="J23" s="14" t="s">
        <v>44</v>
      </c>
      <c r="M23" s="30">
        <f>ABS(M19/M18)</f>
        <v>8.7329780935464771E-2</v>
      </c>
      <c r="N23" s="30">
        <f t="shared" ref="N23:O23" si="5">ABS(N19/N18)</f>
        <v>0.24627102507140591</v>
      </c>
      <c r="O23" s="30">
        <f t="shared" si="5"/>
        <v>0.23364761343547436</v>
      </c>
      <c r="P23" s="56"/>
      <c r="Q23" s="57"/>
      <c r="R23" s="30">
        <f t="shared" si="0"/>
        <v>0.23364761343547436</v>
      </c>
      <c r="T23" t="s">
        <v>43</v>
      </c>
      <c r="W23" s="38">
        <v>3497</v>
      </c>
    </row>
    <row r="24" spans="4:24" x14ac:dyDescent="0.3">
      <c r="D24" t="s">
        <v>46</v>
      </c>
      <c r="H24" s="42">
        <f>X44</f>
        <v>265.68455399999999</v>
      </c>
      <c r="P24" s="56"/>
      <c r="Q24" s="57"/>
      <c r="T24" s="10" t="s">
        <v>45</v>
      </c>
      <c r="W24" s="46">
        <f>SUM(W20:W23)</f>
        <v>8398</v>
      </c>
      <c r="X24" s="11"/>
    </row>
    <row r="25" spans="4:24" x14ac:dyDescent="0.3">
      <c r="D25" s="10" t="s">
        <v>47</v>
      </c>
      <c r="H25" s="44">
        <f>H24*H18</f>
        <v>96703.863964920005</v>
      </c>
      <c r="J25" t="s">
        <v>48</v>
      </c>
      <c r="M25">
        <v>302.89999999999998</v>
      </c>
      <c r="N25">
        <v>285.2</v>
      </c>
      <c r="O25">
        <v>273.60000000000002</v>
      </c>
      <c r="P25" s="56"/>
      <c r="Q25" s="57"/>
      <c r="R25">
        <f t="shared" si="0"/>
        <v>273.60000000000002</v>
      </c>
      <c r="T25" s="10"/>
      <c r="W25" s="38"/>
    </row>
    <row r="26" spans="4:24" x14ac:dyDescent="0.3">
      <c r="J26" s="10" t="s">
        <v>50</v>
      </c>
      <c r="M26" s="43">
        <f>M22/M25</f>
        <v>10.178276658963355</v>
      </c>
      <c r="N26" s="43">
        <f t="shared" ref="N26:O26" si="6">N22/N25</f>
        <v>8.3274894810659195</v>
      </c>
      <c r="O26" s="43">
        <f t="shared" si="6"/>
        <v>9.5065789473684195</v>
      </c>
      <c r="P26" s="56"/>
      <c r="Q26" s="57"/>
      <c r="R26" s="43">
        <f t="shared" si="0"/>
        <v>9.5065789473684195</v>
      </c>
      <c r="T26" s="13" t="s">
        <v>49</v>
      </c>
      <c r="W26" s="38">
        <v>14995</v>
      </c>
    </row>
    <row r="27" spans="4:24" x14ac:dyDescent="0.3">
      <c r="D27" t="s">
        <v>52</v>
      </c>
      <c r="H27" s="38">
        <f>+W26+W20</f>
        <v>16204</v>
      </c>
      <c r="T27" s="13" t="s">
        <v>51</v>
      </c>
      <c r="W27" s="38">
        <f>4495+79+1200+879+1265</f>
        <v>7918</v>
      </c>
    </row>
    <row r="28" spans="4:24" x14ac:dyDescent="0.3">
      <c r="D28" t="s">
        <v>54</v>
      </c>
      <c r="H28" s="38">
        <f>+W31</f>
        <v>0</v>
      </c>
      <c r="J28" s="6" t="s">
        <v>55</v>
      </c>
      <c r="K28" s="2"/>
      <c r="L28" s="2"/>
      <c r="M28" s="2"/>
      <c r="N28" s="2"/>
      <c r="O28" s="2"/>
      <c r="P28" s="2"/>
      <c r="Q28" s="2"/>
      <c r="R28" s="2"/>
      <c r="T28" s="10" t="s">
        <v>53</v>
      </c>
      <c r="W28" s="46">
        <f>SUM(W26:W27)+W24</f>
        <v>31311</v>
      </c>
      <c r="X28" s="11"/>
    </row>
    <row r="29" spans="4:24" x14ac:dyDescent="0.3">
      <c r="D29" t="s">
        <v>56</v>
      </c>
      <c r="H29" s="38">
        <f>+W30</f>
        <v>0</v>
      </c>
      <c r="J29" t="s">
        <v>57</v>
      </c>
      <c r="M29" s="38">
        <f>M13</f>
        <v>4731</v>
      </c>
      <c r="N29" s="38">
        <f t="shared" ref="N29:O29" si="7">N13</f>
        <v>4712</v>
      </c>
      <c r="O29" s="38">
        <f t="shared" si="7"/>
        <v>5011</v>
      </c>
      <c r="P29" s="56"/>
      <c r="Q29" s="57"/>
      <c r="R29" s="38">
        <f>O29</f>
        <v>5011</v>
      </c>
      <c r="W29" s="38"/>
    </row>
    <row r="30" spans="4:24" x14ac:dyDescent="0.3">
      <c r="D30" t="s">
        <v>59</v>
      </c>
      <c r="H30" s="38">
        <f>-W9</f>
        <v>-358</v>
      </c>
      <c r="J30" t="s">
        <v>60</v>
      </c>
      <c r="M30" s="38">
        <v>0</v>
      </c>
      <c r="N30" s="38">
        <v>0</v>
      </c>
      <c r="O30" s="38">
        <v>0</v>
      </c>
      <c r="P30" s="56"/>
      <c r="Q30" s="57"/>
      <c r="R30" s="38">
        <f t="shared" ref="R30:R52" si="8">O30</f>
        <v>0</v>
      </c>
      <c r="T30" t="s">
        <v>58</v>
      </c>
      <c r="W30" s="38">
        <v>0</v>
      </c>
    </row>
    <row r="31" spans="4:24" x14ac:dyDescent="0.3">
      <c r="D31" s="10" t="s">
        <v>62</v>
      </c>
      <c r="H31" s="48">
        <f>SUM(H25:H30)</f>
        <v>112549.86396492</v>
      </c>
      <c r="J31" s="10" t="s">
        <v>63</v>
      </c>
      <c r="M31" s="60">
        <f>SUM(M29:M30)</f>
        <v>4731</v>
      </c>
      <c r="N31" s="60">
        <f t="shared" ref="N31:O31" si="9">SUM(N29:N30)</f>
        <v>4712</v>
      </c>
      <c r="O31" s="60">
        <f t="shared" si="9"/>
        <v>5011</v>
      </c>
      <c r="P31" s="52"/>
      <c r="Q31" s="53"/>
      <c r="R31" s="60">
        <f t="shared" si="8"/>
        <v>5011</v>
      </c>
      <c r="T31" t="s">
        <v>61</v>
      </c>
      <c r="W31" s="38">
        <v>0</v>
      </c>
    </row>
    <row r="32" spans="4:24" x14ac:dyDescent="0.3">
      <c r="J32" s="14" t="s">
        <v>65</v>
      </c>
      <c r="M32" s="30">
        <f>M31/M$11</f>
        <v>0.19951081685151606</v>
      </c>
      <c r="N32" s="30">
        <f t="shared" ref="N32:O32" si="10">N31/N$11</f>
        <v>0.18772908366533864</v>
      </c>
      <c r="O32" s="30">
        <f t="shared" si="10"/>
        <v>0.1913617963797449</v>
      </c>
      <c r="P32" s="56"/>
      <c r="Q32" s="57"/>
      <c r="R32" s="30">
        <f t="shared" si="8"/>
        <v>0.1913617963797449</v>
      </c>
      <c r="T32" t="s">
        <v>64</v>
      </c>
      <c r="W32" s="38">
        <v>-3771</v>
      </c>
    </row>
    <row r="33" spans="4:24" x14ac:dyDescent="0.3">
      <c r="D33" s="6" t="s">
        <v>67</v>
      </c>
      <c r="E33" s="2"/>
      <c r="F33" s="2"/>
      <c r="G33" s="2"/>
      <c r="H33" s="2"/>
      <c r="P33" s="56"/>
      <c r="Q33" s="57"/>
      <c r="T33" s="10" t="s">
        <v>66</v>
      </c>
      <c r="W33" s="47">
        <f>SUM(W30:W32)+W28</f>
        <v>27540</v>
      </c>
      <c r="X33" s="12"/>
    </row>
    <row r="34" spans="4:24" x14ac:dyDescent="0.3">
      <c r="D34" s="67"/>
      <c r="E34" s="225" t="s">
        <v>193</v>
      </c>
      <c r="F34" s="225" t="s">
        <v>194</v>
      </c>
      <c r="G34" s="225" t="s">
        <v>195</v>
      </c>
      <c r="H34" s="225" t="s">
        <v>196</v>
      </c>
      <c r="J34" t="s">
        <v>68</v>
      </c>
      <c r="M34" s="38">
        <f>M16</f>
        <v>3904</v>
      </c>
      <c r="N34" s="38">
        <f t="shared" ref="N34:O34" si="11">N16</f>
        <v>3798</v>
      </c>
      <c r="O34" s="38">
        <f t="shared" si="11"/>
        <v>4150</v>
      </c>
      <c r="P34" s="56"/>
      <c r="Q34" s="57"/>
      <c r="R34" s="38">
        <f t="shared" si="8"/>
        <v>4150</v>
      </c>
    </row>
    <row r="35" spans="4:24" x14ac:dyDescent="0.3">
      <c r="D35" s="67"/>
      <c r="E35" s="226"/>
      <c r="F35" s="226"/>
      <c r="G35" s="226"/>
      <c r="H35" s="226"/>
      <c r="J35" t="s">
        <v>60</v>
      </c>
      <c r="M35" s="38">
        <v>0</v>
      </c>
      <c r="N35" s="38">
        <v>0</v>
      </c>
      <c r="O35" s="38">
        <v>0</v>
      </c>
      <c r="P35" s="56"/>
      <c r="Q35" s="57"/>
      <c r="R35" s="38">
        <f t="shared" si="8"/>
        <v>0</v>
      </c>
      <c r="T35" s="5" t="s">
        <v>69</v>
      </c>
      <c r="W35" s="45">
        <f>IF(W33=W18,W18-W33,W18-W33)</f>
        <v>0</v>
      </c>
    </row>
    <row r="36" spans="4:24" x14ac:dyDescent="0.3">
      <c r="D36" t="s">
        <v>70</v>
      </c>
      <c r="E36" s="64">
        <f>$H$31/E37</f>
        <v>4.298093025468571</v>
      </c>
      <c r="F36" s="64">
        <f t="shared" ref="F36:H36" si="12">$H$31/F37</f>
        <v>4.0339007191469838</v>
      </c>
      <c r="G36" s="64">
        <f t="shared" si="12"/>
        <v>3.8293989304521796</v>
      </c>
      <c r="H36" s="64">
        <f t="shared" si="12"/>
        <v>3.7047354827162611</v>
      </c>
      <c r="J36" t="s">
        <v>71</v>
      </c>
      <c r="M36" s="38">
        <v>23</v>
      </c>
      <c r="N36" s="38">
        <v>-55</v>
      </c>
      <c r="O36" s="38">
        <v>-54</v>
      </c>
      <c r="P36" s="56"/>
      <c r="Q36" s="57"/>
      <c r="R36" s="38">
        <f t="shared" si="8"/>
        <v>-54</v>
      </c>
    </row>
    <row r="37" spans="4:24" x14ac:dyDescent="0.3">
      <c r="D37" s="15" t="s">
        <v>72</v>
      </c>
      <c r="E37" s="38">
        <f>R11</f>
        <v>26186</v>
      </c>
      <c r="F37" s="34">
        <v>27901</v>
      </c>
      <c r="G37" s="34">
        <v>29391</v>
      </c>
      <c r="H37" s="34">
        <v>30380</v>
      </c>
      <c r="J37" s="10" t="s">
        <v>73</v>
      </c>
      <c r="M37" s="46">
        <f>SUM(M34:M36)</f>
        <v>3927</v>
      </c>
      <c r="N37" s="46">
        <f t="shared" ref="N37:O37" si="13">SUM(N34:N36)</f>
        <v>3743</v>
      </c>
      <c r="O37" s="46">
        <f t="shared" si="13"/>
        <v>4096</v>
      </c>
      <c r="P37" s="52"/>
      <c r="Q37" s="53"/>
      <c r="R37" s="46">
        <f t="shared" si="8"/>
        <v>4096</v>
      </c>
    </row>
    <row r="38" spans="4:24" x14ac:dyDescent="0.3">
      <c r="D38" t="s">
        <v>75</v>
      </c>
      <c r="E38" s="64">
        <f>$H$31/E39</f>
        <v>23.972281994658147</v>
      </c>
      <c r="F38" s="64">
        <f t="shared" ref="F38:H38" si="14">$H$31/F39</f>
        <v>19.076248129647457</v>
      </c>
      <c r="G38" s="64">
        <f t="shared" si="14"/>
        <v>17.794444895639526</v>
      </c>
      <c r="H38" s="64">
        <f t="shared" si="14"/>
        <v>16.750984367453491</v>
      </c>
      <c r="J38" s="14" t="s">
        <v>65</v>
      </c>
      <c r="M38" s="30">
        <f>M37/M$11</f>
        <v>0.16560536414624891</v>
      </c>
      <c r="N38" s="30">
        <f t="shared" ref="N38" si="15">N37/N$11</f>
        <v>0.14912350597609561</v>
      </c>
      <c r="O38" s="30">
        <f t="shared" ref="O38" si="16">O37/O$11</f>
        <v>0.15641946078056976</v>
      </c>
      <c r="P38" s="56"/>
      <c r="Q38" s="57"/>
      <c r="R38" s="30">
        <f t="shared" si="8"/>
        <v>0.15641946078056976</v>
      </c>
      <c r="T38" s="6" t="s">
        <v>74</v>
      </c>
      <c r="U38" s="2"/>
      <c r="V38" s="2"/>
      <c r="W38" s="2"/>
      <c r="X38" s="2"/>
    </row>
    <row r="39" spans="4:24" x14ac:dyDescent="0.3">
      <c r="D39" s="15" t="s">
        <v>72</v>
      </c>
      <c r="E39" s="38">
        <f>R41</f>
        <v>4695</v>
      </c>
      <c r="F39" s="34">
        <v>5900</v>
      </c>
      <c r="G39" s="34">
        <v>6325</v>
      </c>
      <c r="H39" s="34">
        <v>6719</v>
      </c>
      <c r="P39" s="56"/>
      <c r="Q39" s="57"/>
      <c r="T39" t="s">
        <v>76</v>
      </c>
      <c r="X39" s="35">
        <v>264.984554</v>
      </c>
    </row>
    <row r="40" spans="4:24" x14ac:dyDescent="0.3">
      <c r="D40" t="s">
        <v>78</v>
      </c>
      <c r="E40" s="64">
        <f>$H$31/E41</f>
        <v>27.120449148173496</v>
      </c>
      <c r="F40" s="64">
        <f t="shared" ref="F40:H40" si="17">$H$31/F41</f>
        <v>22.769545612971882</v>
      </c>
      <c r="G40" s="64">
        <f t="shared" si="17"/>
        <v>20.935614576808035</v>
      </c>
      <c r="H40" s="64">
        <f t="shared" si="17"/>
        <v>19.679990201944396</v>
      </c>
      <c r="J40" t="s">
        <v>79</v>
      </c>
      <c r="M40">
        <v>436</v>
      </c>
      <c r="N40">
        <v>492</v>
      </c>
      <c r="O40">
        <v>599</v>
      </c>
      <c r="P40" s="56"/>
      <c r="Q40" s="57"/>
      <c r="R40">
        <f t="shared" si="8"/>
        <v>599</v>
      </c>
      <c r="T40" t="s">
        <v>77</v>
      </c>
      <c r="X40" s="39">
        <v>0</v>
      </c>
    </row>
    <row r="41" spans="4:24" x14ac:dyDescent="0.3">
      <c r="D41" s="15" t="s">
        <v>72</v>
      </c>
      <c r="E41" s="38">
        <f>R34</f>
        <v>4150</v>
      </c>
      <c r="F41" s="34">
        <v>4943</v>
      </c>
      <c r="G41" s="34">
        <v>5376</v>
      </c>
      <c r="H41" s="34">
        <v>5719</v>
      </c>
      <c r="J41" s="10" t="s">
        <v>81</v>
      </c>
      <c r="M41" s="46">
        <f>M37+M40</f>
        <v>4363</v>
      </c>
      <c r="N41" s="46">
        <f t="shared" ref="N41:O41" si="18">N37+N40</f>
        <v>4235</v>
      </c>
      <c r="O41" s="46">
        <f t="shared" si="18"/>
        <v>4695</v>
      </c>
      <c r="P41" s="52"/>
      <c r="Q41" s="53"/>
      <c r="R41" s="46">
        <f t="shared" si="8"/>
        <v>4695</v>
      </c>
      <c r="T41" t="s">
        <v>80</v>
      </c>
      <c r="X41" s="39">
        <v>0</v>
      </c>
    </row>
    <row r="42" spans="4:24" x14ac:dyDescent="0.3">
      <c r="D42" t="s">
        <v>83</v>
      </c>
      <c r="E42" s="64">
        <f>$H$18/E43</f>
        <v>38.287169550173019</v>
      </c>
      <c r="F42" s="64">
        <f t="shared" ref="F42:H42" si="19">$H$18/F43</f>
        <v>32.180986344399336</v>
      </c>
      <c r="G42" s="64">
        <f t="shared" si="19"/>
        <v>29.663761952429446</v>
      </c>
      <c r="H42" s="64">
        <f t="shared" si="19"/>
        <v>27.164006731719102</v>
      </c>
      <c r="J42" s="14" t="s">
        <v>65</v>
      </c>
      <c r="M42" s="30">
        <f>M41/M$11</f>
        <v>0.18399190317547337</v>
      </c>
      <c r="N42" s="30">
        <f t="shared" ref="N42" si="20">N41/N$11</f>
        <v>0.16872509960159363</v>
      </c>
      <c r="O42" s="30">
        <f t="shared" ref="O42" si="21">O41/O$11</f>
        <v>0.17929427938593143</v>
      </c>
      <c r="P42" s="56"/>
      <c r="Q42" s="57"/>
      <c r="R42" s="30">
        <f t="shared" si="8"/>
        <v>0.17929427938593143</v>
      </c>
      <c r="T42" s="10" t="s">
        <v>82</v>
      </c>
      <c r="X42" s="40">
        <v>0.7</v>
      </c>
    </row>
    <row r="43" spans="4:24" x14ac:dyDescent="0.3">
      <c r="D43" s="15" t="s">
        <v>72</v>
      </c>
      <c r="E43" s="32">
        <f>R26</f>
        <v>9.5065789473684195</v>
      </c>
      <c r="F43" s="32">
        <f>3005/H24</f>
        <v>11.310405346334134</v>
      </c>
      <c r="G43" s="32">
        <f>3260/H24</f>
        <v>12.270190159417398</v>
      </c>
      <c r="H43" s="32">
        <f>3560/H24</f>
        <v>13.399348763044765</v>
      </c>
      <c r="P43" s="56"/>
      <c r="Q43" s="57"/>
      <c r="T43" t="s">
        <v>84</v>
      </c>
      <c r="X43" s="39">
        <v>0</v>
      </c>
    </row>
    <row r="44" spans="4:24" x14ac:dyDescent="0.3">
      <c r="D44" t="s">
        <v>85</v>
      </c>
      <c r="E44" s="30">
        <f>E45/$H$25</f>
        <v>2.7496315979313613E-2</v>
      </c>
      <c r="F44" s="30">
        <f t="shared" ref="F44:H44" si="22">F45/$H$25</f>
        <v>2.914051087991943E-2</v>
      </c>
      <c r="G44" s="30">
        <f t="shared" si="22"/>
        <v>3.3886960309970182E-2</v>
      </c>
      <c r="H44" s="30">
        <f t="shared" si="22"/>
        <v>3.4714228184488834E-2</v>
      </c>
      <c r="J44" t="s">
        <v>86</v>
      </c>
      <c r="M44" s="38">
        <f>M22</f>
        <v>3083</v>
      </c>
      <c r="N44" s="38">
        <f t="shared" ref="N44:O44" si="23">N22</f>
        <v>2375</v>
      </c>
      <c r="O44" s="38">
        <f t="shared" si="23"/>
        <v>2601</v>
      </c>
      <c r="P44" s="56"/>
      <c r="Q44" s="57"/>
      <c r="R44" s="38">
        <f t="shared" si="8"/>
        <v>2601</v>
      </c>
      <c r="T44" s="10" t="s">
        <v>46</v>
      </c>
      <c r="X44" s="41">
        <f>X39+X42</f>
        <v>265.68455399999999</v>
      </c>
    </row>
    <row r="45" spans="4:24" x14ac:dyDescent="0.3">
      <c r="D45" s="15" t="s">
        <v>72</v>
      </c>
      <c r="E45" s="38">
        <f>R58</f>
        <v>2659</v>
      </c>
      <c r="F45" s="34">
        <v>2818</v>
      </c>
      <c r="G45" s="34">
        <v>3277</v>
      </c>
      <c r="H45" s="34">
        <v>3357</v>
      </c>
      <c r="J45" t="s">
        <v>60</v>
      </c>
      <c r="M45" s="38">
        <f>M30</f>
        <v>0</v>
      </c>
      <c r="N45" s="38">
        <v>0</v>
      </c>
      <c r="O45" s="38">
        <v>0</v>
      </c>
      <c r="P45" s="56"/>
      <c r="Q45" s="57"/>
      <c r="R45" s="38">
        <f t="shared" si="8"/>
        <v>0</v>
      </c>
    </row>
    <row r="46" spans="4:24" x14ac:dyDescent="0.3">
      <c r="J46" t="s">
        <v>71</v>
      </c>
      <c r="M46" s="38">
        <f>M35</f>
        <v>0</v>
      </c>
      <c r="N46" s="38">
        <v>0</v>
      </c>
      <c r="O46" s="38">
        <v>0</v>
      </c>
      <c r="P46" s="56"/>
      <c r="Q46" s="57"/>
      <c r="R46" s="38">
        <f t="shared" si="8"/>
        <v>0</v>
      </c>
      <c r="T46" s="16" t="s">
        <v>87</v>
      </c>
    </row>
    <row r="47" spans="4:24" x14ac:dyDescent="0.3">
      <c r="D47" s="18" t="s">
        <v>92</v>
      </c>
      <c r="E47" s="2"/>
      <c r="F47" s="2"/>
      <c r="G47" s="2"/>
      <c r="H47" s="2"/>
      <c r="J47" t="s">
        <v>93</v>
      </c>
      <c r="M47" s="38">
        <f>M36</f>
        <v>23</v>
      </c>
      <c r="N47" s="38">
        <f t="shared" ref="N47:O47" si="24">N36</f>
        <v>-55</v>
      </c>
      <c r="O47" s="38">
        <f t="shared" si="24"/>
        <v>-54</v>
      </c>
      <c r="P47" s="56"/>
      <c r="Q47" s="57"/>
      <c r="R47" s="38">
        <f t="shared" si="8"/>
        <v>-54</v>
      </c>
      <c r="T47" s="17"/>
      <c r="U47" s="227" t="s">
        <v>88</v>
      </c>
      <c r="V47" s="227" t="s">
        <v>89</v>
      </c>
      <c r="W47" s="227" t="s">
        <v>90</v>
      </c>
      <c r="X47" s="227" t="s">
        <v>91</v>
      </c>
    </row>
    <row r="48" spans="4:24" x14ac:dyDescent="0.3">
      <c r="D48" t="s">
        <v>95</v>
      </c>
      <c r="H48" s="30">
        <f>R49/(W26-W9+W32)</f>
        <v>0.23340695748205409</v>
      </c>
      <c r="J48" t="s">
        <v>96</v>
      </c>
      <c r="M48" s="38">
        <f>-M47*$H$15</f>
        <v>-4.6000000000000005</v>
      </c>
      <c r="N48" s="38">
        <f t="shared" ref="N48:O48" si="25">N47*$H$15</f>
        <v>-11</v>
      </c>
      <c r="O48" s="38">
        <f t="shared" si="25"/>
        <v>-10.8</v>
      </c>
      <c r="P48" s="56"/>
      <c r="Q48" s="57"/>
      <c r="R48" s="38">
        <f t="shared" si="8"/>
        <v>-10.8</v>
      </c>
      <c r="T48" s="8" t="s">
        <v>94</v>
      </c>
      <c r="U48" s="228"/>
      <c r="V48" s="228"/>
      <c r="W48" s="228"/>
      <c r="X48" s="228"/>
    </row>
    <row r="49" spans="4:24" ht="15" thickBot="1" x14ac:dyDescent="0.35">
      <c r="D49" t="s">
        <v>98</v>
      </c>
      <c r="H49" s="30">
        <f>ABS(R49/W32)</f>
        <v>0.67255369928400954</v>
      </c>
      <c r="J49" s="10" t="s">
        <v>99</v>
      </c>
      <c r="M49" s="51">
        <f>SUM(M44:M48)</f>
        <v>3101.4</v>
      </c>
      <c r="N49" s="51">
        <f t="shared" ref="N49:O49" si="26">SUM(N44:N48)</f>
        <v>2309</v>
      </c>
      <c r="O49" s="51">
        <f t="shared" si="26"/>
        <v>2536.1999999999998</v>
      </c>
      <c r="P49" s="58"/>
      <c r="Q49" s="59"/>
      <c r="R49" s="51">
        <f t="shared" si="8"/>
        <v>2536.1999999999998</v>
      </c>
      <c r="T49" t="s">
        <v>97</v>
      </c>
      <c r="U49" s="39">
        <v>0</v>
      </c>
      <c r="V49" s="39">
        <v>0</v>
      </c>
      <c r="W49" s="39">
        <v>0</v>
      </c>
      <c r="X49" s="39">
        <v>0</v>
      </c>
    </row>
    <row r="50" spans="4:24" ht="15" thickTop="1" x14ac:dyDescent="0.3">
      <c r="D50" t="s">
        <v>101</v>
      </c>
      <c r="H50" s="30">
        <f>ABS(R49/W18)</f>
        <v>9.2091503267973843E-2</v>
      </c>
      <c r="J50" s="14" t="s">
        <v>65</v>
      </c>
      <c r="M50" s="30">
        <f>M49/M$11</f>
        <v>0.13078901868173576</v>
      </c>
      <c r="N50" s="30">
        <f t="shared" ref="N50" si="27">N49/N$11</f>
        <v>9.1992031872509955E-2</v>
      </c>
      <c r="O50" s="30">
        <f t="shared" ref="O50" si="28">O49/O$11</f>
        <v>9.6853280378828371E-2</v>
      </c>
      <c r="P50" s="56"/>
      <c r="Q50" s="57"/>
      <c r="R50" s="30">
        <f t="shared" si="8"/>
        <v>9.6853280378828371E-2</v>
      </c>
      <c r="T50" t="s">
        <v>100</v>
      </c>
      <c r="U50" s="39">
        <v>0</v>
      </c>
      <c r="V50" s="39">
        <v>0</v>
      </c>
      <c r="W50" s="39">
        <v>0</v>
      </c>
      <c r="X50" s="39">
        <v>0</v>
      </c>
    </row>
    <row r="51" spans="4:24" x14ac:dyDescent="0.3">
      <c r="D51" t="s">
        <v>103</v>
      </c>
      <c r="H51" s="30">
        <f>H22/H18</f>
        <v>7.3630419253805151E-3</v>
      </c>
      <c r="P51" s="56"/>
      <c r="Q51" s="57"/>
      <c r="T51" t="s">
        <v>102</v>
      </c>
      <c r="U51" s="39">
        <v>0</v>
      </c>
      <c r="V51" s="39">
        <v>0</v>
      </c>
      <c r="W51" s="39">
        <v>0</v>
      </c>
      <c r="X51" s="39">
        <v>0</v>
      </c>
    </row>
    <row r="52" spans="4:24" x14ac:dyDescent="0.3">
      <c r="J52" t="s">
        <v>105</v>
      </c>
      <c r="M52" s="43">
        <f>M49/M25</f>
        <v>10.239022779795313</v>
      </c>
      <c r="N52" s="43">
        <f t="shared" ref="N52:O52" si="29">N49/N25</f>
        <v>8.0960729312762982</v>
      </c>
      <c r="O52" s="43">
        <f t="shared" si="29"/>
        <v>9.2697368421052619</v>
      </c>
      <c r="P52" s="56"/>
      <c r="Q52" s="57"/>
      <c r="R52" s="43">
        <f t="shared" si="8"/>
        <v>9.2697368421052619</v>
      </c>
      <c r="T52" t="s">
        <v>104</v>
      </c>
      <c r="U52" s="39">
        <v>0</v>
      </c>
      <c r="V52" s="39">
        <v>0</v>
      </c>
      <c r="W52" s="39">
        <v>0</v>
      </c>
      <c r="X52" s="39">
        <v>0</v>
      </c>
    </row>
    <row r="53" spans="4:24" x14ac:dyDescent="0.3">
      <c r="D53" s="6" t="s">
        <v>107</v>
      </c>
      <c r="E53" s="2"/>
      <c r="F53" s="2"/>
      <c r="G53" s="2"/>
      <c r="H53" s="2"/>
      <c r="T53" t="s">
        <v>106</v>
      </c>
      <c r="U53" s="39">
        <v>0</v>
      </c>
      <c r="V53" s="39">
        <v>0</v>
      </c>
      <c r="W53" s="39">
        <v>0</v>
      </c>
      <c r="X53" s="39">
        <v>0</v>
      </c>
    </row>
    <row r="54" spans="4:24" x14ac:dyDescent="0.3">
      <c r="D54" t="s">
        <v>109</v>
      </c>
      <c r="H54" s="30">
        <f>W26/(W26+W32)</f>
        <v>1.3359764789736279</v>
      </c>
      <c r="J54" s="6" t="s">
        <v>110</v>
      </c>
      <c r="K54" s="2"/>
      <c r="L54" s="2"/>
      <c r="M54" s="2"/>
      <c r="N54" s="2"/>
      <c r="O54" s="2"/>
      <c r="P54" s="2"/>
      <c r="Q54" s="2"/>
      <c r="R54" s="2"/>
      <c r="T54" s="10" t="s">
        <v>108</v>
      </c>
      <c r="U54" s="40">
        <f t="shared" ref="U54:X54" si="30">SUM(U49:U53)</f>
        <v>0</v>
      </c>
      <c r="V54" s="40">
        <f t="shared" si="30"/>
        <v>0</v>
      </c>
      <c r="W54" s="40">
        <f t="shared" si="30"/>
        <v>0</v>
      </c>
      <c r="X54" s="40">
        <f t="shared" si="30"/>
        <v>0</v>
      </c>
    </row>
    <row r="55" spans="4:24" x14ac:dyDescent="0.3">
      <c r="D55" t="s">
        <v>111</v>
      </c>
      <c r="H55" s="64">
        <f>W26/R41</f>
        <v>3.1938232161874334</v>
      </c>
      <c r="J55" t="s">
        <v>112</v>
      </c>
      <c r="M55" s="38">
        <v>3170</v>
      </c>
      <c r="N55" s="38">
        <v>2749</v>
      </c>
      <c r="O55" s="38">
        <v>3212</v>
      </c>
      <c r="P55" s="56"/>
      <c r="Q55" s="57"/>
      <c r="R55" s="38">
        <f>O55</f>
        <v>3212</v>
      </c>
    </row>
    <row r="56" spans="4:24" x14ac:dyDescent="0.3">
      <c r="D56" t="s">
        <v>114</v>
      </c>
      <c r="H56" s="64">
        <f>(W26-W9)/R41</f>
        <v>3.1175718849840255</v>
      </c>
      <c r="J56" t="s">
        <v>115</v>
      </c>
      <c r="M56" s="38">
        <f>350+604</f>
        <v>954</v>
      </c>
      <c r="N56" s="38">
        <f>750+26</f>
        <v>776</v>
      </c>
      <c r="O56" s="38">
        <f>101+452</f>
        <v>553</v>
      </c>
      <c r="P56" s="56"/>
      <c r="Q56" s="57"/>
      <c r="R56" s="38">
        <f t="shared" ref="R56:R63" si="31">O56</f>
        <v>553</v>
      </c>
      <c r="T56" s="8" t="s">
        <v>113</v>
      </c>
      <c r="U56" s="9"/>
      <c r="V56" s="9"/>
      <c r="W56" s="9"/>
      <c r="X56" s="9"/>
    </row>
    <row r="57" spans="4:24" x14ac:dyDescent="0.3">
      <c r="D57" s="15" t="s">
        <v>120</v>
      </c>
      <c r="H57" s="64">
        <f>ABS(R41/R17)</f>
        <v>6.2103174603174605</v>
      </c>
      <c r="J57" s="14" t="s">
        <v>121</v>
      </c>
      <c r="M57" s="30">
        <f>M56/M$11</f>
        <v>4.023109686669759E-2</v>
      </c>
      <c r="N57" s="30">
        <f t="shared" ref="N57" si="32">N56/N$11</f>
        <v>3.0916334661354582E-2</v>
      </c>
      <c r="O57" s="30">
        <f t="shared" ref="O57" si="33">O56/O$11</f>
        <v>2.1118154739173604E-2</v>
      </c>
      <c r="P57" s="56"/>
      <c r="Q57" s="57"/>
      <c r="R57" s="30">
        <f t="shared" si="31"/>
        <v>2.1118154739173604E-2</v>
      </c>
      <c r="T57" s="7"/>
      <c r="U57" s="227" t="s">
        <v>116</v>
      </c>
      <c r="V57" s="227" t="s">
        <v>117</v>
      </c>
      <c r="W57" s="227" t="s">
        <v>118</v>
      </c>
      <c r="X57" s="227" t="s">
        <v>119</v>
      </c>
    </row>
    <row r="58" spans="4:24" x14ac:dyDescent="0.3">
      <c r="D58" s="15" t="s">
        <v>122</v>
      </c>
      <c r="H58" s="64">
        <f>ABS((R41-R56)/R17)</f>
        <v>5.4788359788359786</v>
      </c>
      <c r="J58" s="10" t="s">
        <v>123</v>
      </c>
      <c r="M58" s="46">
        <f>M55-M56</f>
        <v>2216</v>
      </c>
      <c r="N58" s="46">
        <f t="shared" ref="N58:O58" si="34">N55-N56</f>
        <v>1973</v>
      </c>
      <c r="O58" s="46">
        <f t="shared" si="34"/>
        <v>2659</v>
      </c>
      <c r="P58" s="52"/>
      <c r="Q58" s="53"/>
      <c r="R58" s="46">
        <f t="shared" si="31"/>
        <v>2659</v>
      </c>
      <c r="T58" s="7"/>
      <c r="U58" s="228"/>
      <c r="V58" s="228"/>
      <c r="W58" s="228"/>
      <c r="X58" s="228"/>
    </row>
    <row r="59" spans="4:24" x14ac:dyDescent="0.3">
      <c r="D59" s="15" t="s">
        <v>125</v>
      </c>
      <c r="H59" s="64">
        <f>ABS(R37/R17)</f>
        <v>5.4179894179894177</v>
      </c>
      <c r="J59" s="14" t="s">
        <v>65</v>
      </c>
      <c r="M59" s="30">
        <f>M58/M$11</f>
        <v>9.3450849744865686E-2</v>
      </c>
      <c r="N59" s="30">
        <f t="shared" ref="N59" si="35">N58/N$11</f>
        <v>7.8605577689243034E-2</v>
      </c>
      <c r="O59" s="30">
        <f t="shared" ref="O59" si="36">O58/O$11</f>
        <v>0.10154280913465211</v>
      </c>
      <c r="P59" s="56"/>
      <c r="Q59" s="57"/>
      <c r="R59" s="30">
        <f t="shared" si="31"/>
        <v>0.10154280913465211</v>
      </c>
      <c r="T59" t="s">
        <v>124</v>
      </c>
      <c r="U59" s="39">
        <v>0</v>
      </c>
      <c r="V59" s="39">
        <v>0</v>
      </c>
      <c r="W59" s="39">
        <v>0</v>
      </c>
      <c r="X59" s="39">
        <v>0</v>
      </c>
    </row>
    <row r="60" spans="4:24" x14ac:dyDescent="0.3">
      <c r="J60" s="10" t="s">
        <v>127</v>
      </c>
      <c r="M60" s="43">
        <f>M58/M25</f>
        <v>7.3159458567183897</v>
      </c>
      <c r="N60" s="43">
        <f t="shared" ref="N60:O60" si="37">N58/N25</f>
        <v>6.9179523141654986</v>
      </c>
      <c r="O60" s="43">
        <f t="shared" si="37"/>
        <v>9.7185672514619874</v>
      </c>
      <c r="P60" s="56"/>
      <c r="Q60" s="57"/>
      <c r="R60" s="43">
        <f t="shared" si="31"/>
        <v>9.7185672514619874</v>
      </c>
      <c r="T60" t="s">
        <v>126</v>
      </c>
      <c r="U60" s="39">
        <v>0</v>
      </c>
      <c r="V60" s="39">
        <v>0</v>
      </c>
      <c r="W60" s="39">
        <v>0</v>
      </c>
      <c r="X60" s="39">
        <v>0</v>
      </c>
    </row>
    <row r="61" spans="4:24" x14ac:dyDescent="0.3">
      <c r="D61" s="6" t="s">
        <v>129</v>
      </c>
      <c r="E61" s="2"/>
      <c r="F61" s="2"/>
      <c r="G61" s="2"/>
      <c r="H61" s="2"/>
      <c r="P61" s="56"/>
      <c r="Q61" s="57"/>
      <c r="T61" t="s">
        <v>128</v>
      </c>
      <c r="U61" s="39">
        <v>0</v>
      </c>
      <c r="V61" s="39">
        <v>0</v>
      </c>
      <c r="W61" s="39">
        <v>0</v>
      </c>
      <c r="X61" s="39">
        <v>0</v>
      </c>
    </row>
    <row r="62" spans="4:24" x14ac:dyDescent="0.3">
      <c r="D62" s="67"/>
      <c r="E62" s="70" t="s">
        <v>12</v>
      </c>
      <c r="F62" s="70" t="s">
        <v>131</v>
      </c>
      <c r="G62" s="70" t="s">
        <v>132</v>
      </c>
      <c r="H62" s="70" t="s">
        <v>133</v>
      </c>
      <c r="J62" s="13" t="s">
        <v>79</v>
      </c>
      <c r="M62">
        <f>M40</f>
        <v>436</v>
      </c>
      <c r="N62">
        <f t="shared" ref="N62:O62" si="38">N40</f>
        <v>492</v>
      </c>
      <c r="O62">
        <f t="shared" si="38"/>
        <v>599</v>
      </c>
      <c r="P62" s="56"/>
      <c r="Q62" s="57"/>
      <c r="R62">
        <f t="shared" si="31"/>
        <v>599</v>
      </c>
      <c r="T62" t="s">
        <v>130</v>
      </c>
      <c r="U62" s="39">
        <v>0</v>
      </c>
      <c r="V62" s="39">
        <v>0</v>
      </c>
      <c r="W62" s="39">
        <v>0</v>
      </c>
      <c r="X62" s="39">
        <v>0</v>
      </c>
    </row>
    <row r="63" spans="4:24" x14ac:dyDescent="0.3">
      <c r="D63" s="7" t="s">
        <v>135</v>
      </c>
      <c r="J63" s="14" t="s">
        <v>121</v>
      </c>
      <c r="M63" s="30">
        <f>M62/M$11</f>
        <v>1.8386539029224477E-2</v>
      </c>
      <c r="N63" s="30">
        <f t="shared" ref="N63" si="39">N62/N$11</f>
        <v>1.9601593625498008E-2</v>
      </c>
      <c r="O63" s="30">
        <f t="shared" ref="O63" si="40">O62/O$11</f>
        <v>2.2874818605361644E-2</v>
      </c>
      <c r="P63" s="56"/>
      <c r="Q63" s="57"/>
      <c r="R63" s="30">
        <f t="shared" si="31"/>
        <v>2.2874818605361644E-2</v>
      </c>
      <c r="T63" t="s">
        <v>134</v>
      </c>
      <c r="U63" s="39">
        <v>0</v>
      </c>
      <c r="V63" s="39">
        <v>0</v>
      </c>
      <c r="W63" s="39">
        <v>0</v>
      </c>
      <c r="X63" s="39">
        <v>0</v>
      </c>
    </row>
    <row r="64" spans="4:24" x14ac:dyDescent="0.3">
      <c r="D64" t="s">
        <v>136</v>
      </c>
      <c r="E64" s="63">
        <f>O11/N11-1</f>
        <v>4.326693227091627E-2</v>
      </c>
      <c r="F64" s="63">
        <f>O41/N41-1</f>
        <v>0.10861865407319948</v>
      </c>
      <c r="G64" s="63">
        <f>O58/N58-1</f>
        <v>0.34769386720729845</v>
      </c>
      <c r="H64" s="63">
        <f>O26/N26-1</f>
        <v>0.14159002770083062</v>
      </c>
      <c r="T64" s="10" t="s">
        <v>108</v>
      </c>
      <c r="U64" s="40">
        <f>SUM(U59:U63)</f>
        <v>0</v>
      </c>
      <c r="V64" s="40">
        <f t="shared" ref="V64:X64" si="41">SUM(V59:V63)</f>
        <v>0</v>
      </c>
      <c r="W64" s="40">
        <f t="shared" si="41"/>
        <v>0</v>
      </c>
      <c r="X64" s="40">
        <f t="shared" si="41"/>
        <v>0</v>
      </c>
    </row>
    <row r="65" spans="4:24" x14ac:dyDescent="0.3">
      <c r="D65" t="s">
        <v>137</v>
      </c>
      <c r="E65" s="63">
        <f>_xlfn.RRI(2,M11,O11)</f>
        <v>5.0851457981312409E-2</v>
      </c>
      <c r="F65" s="63">
        <f>_xlfn.RRI(2,M41,O41)</f>
        <v>3.7349714627507913E-2</v>
      </c>
      <c r="G65" s="63">
        <f>_xlfn.RRI(2,M58,O58)</f>
        <v>9.5403919699221573E-2</v>
      </c>
      <c r="H65" s="63">
        <f>_xlfn.RRI(2,M26,O26)</f>
        <v>-3.3559761431037449E-2</v>
      </c>
    </row>
    <row r="66" spans="4:24" x14ac:dyDescent="0.3">
      <c r="D66" s="7" t="s">
        <v>139</v>
      </c>
      <c r="J66" s="6" t="s">
        <v>138</v>
      </c>
      <c r="K66" s="2"/>
      <c r="L66" s="2"/>
      <c r="M66" s="2"/>
      <c r="N66" s="2"/>
      <c r="O66" s="2"/>
      <c r="P66" s="2"/>
      <c r="Q66" s="2"/>
      <c r="R66" s="2"/>
      <c r="S66" s="2"/>
      <c r="T66" s="2"/>
      <c r="U66" s="2"/>
      <c r="V66" s="2"/>
      <c r="W66" s="2"/>
      <c r="X66" s="2"/>
    </row>
    <row r="67" spans="4:24" x14ac:dyDescent="0.3">
      <c r="D67" t="s">
        <v>136</v>
      </c>
      <c r="E67" s="30">
        <f>F37/E37-1</f>
        <v>6.549301153288023E-2</v>
      </c>
      <c r="F67" s="30">
        <f>F39/E39-1</f>
        <v>0.25665601703940366</v>
      </c>
      <c r="G67" s="30">
        <f>F45/E45-1</f>
        <v>5.9796916133884936E-2</v>
      </c>
      <c r="H67" s="30">
        <f>F43/E43-1</f>
        <v>0.18974506065244889</v>
      </c>
    </row>
    <row r="68" spans="4:24" x14ac:dyDescent="0.3">
      <c r="D68" t="s">
        <v>137</v>
      </c>
      <c r="E68" s="30">
        <f>_xlfn.RRI(2,E37,G37)</f>
        <v>5.9430812020967227E-2</v>
      </c>
      <c r="F68" s="30">
        <f>_xlfn.RRI(2,E39,G39)</f>
        <v>0.1606799079743273</v>
      </c>
      <c r="G68" s="30">
        <f>_xlfn.RRI(2,E45,G45)</f>
        <v>0.11014332513045533</v>
      </c>
      <c r="H68" s="30">
        <f>_xlfn.RRI(2,E43,G43)</f>
        <v>0.13609204030113786</v>
      </c>
    </row>
    <row r="69" spans="4:24" x14ac:dyDescent="0.3">
      <c r="D69" t="s">
        <v>140</v>
      </c>
      <c r="H69" s="65">
        <v>0.06</v>
      </c>
    </row>
  </sheetData>
  <mergeCells count="15">
    <mergeCell ref="U47:U48"/>
    <mergeCell ref="V47:V48"/>
    <mergeCell ref="W47:W48"/>
    <mergeCell ref="X47:X48"/>
    <mergeCell ref="U57:U58"/>
    <mergeCell ref="V57:V58"/>
    <mergeCell ref="W57:W58"/>
    <mergeCell ref="X57:X58"/>
    <mergeCell ref="P8:P10"/>
    <mergeCell ref="Q8:Q10"/>
    <mergeCell ref="R8:R10"/>
    <mergeCell ref="E34:E35"/>
    <mergeCell ref="F34:F35"/>
    <mergeCell ref="G34:G35"/>
    <mergeCell ref="H34:H3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7890-683C-4FF8-AC09-37095A6AC21A}">
  <dimension ref="D2:X69"/>
  <sheetViews>
    <sheetView showGridLines="0" topLeftCell="A28" zoomScale="85" zoomScaleNormal="85" workbookViewId="0">
      <selection activeCell="H69" sqref="H69"/>
    </sheetView>
  </sheetViews>
  <sheetFormatPr defaultRowHeight="14.4" x14ac:dyDescent="0.3"/>
  <cols>
    <col min="1" max="3" width="2.33203125" customWidth="1"/>
    <col min="4" max="8" width="11.77734375" customWidth="1"/>
    <col min="13" max="15" width="10.77734375" customWidth="1"/>
    <col min="16" max="18" width="11.77734375" customWidth="1"/>
    <col min="20" max="22" width="10.77734375" customWidth="1"/>
    <col min="23" max="23" width="12.6640625" customWidth="1"/>
    <col min="24" max="25" width="10.77734375" customWidth="1"/>
  </cols>
  <sheetData>
    <row r="2" spans="4:24" ht="21" x14ac:dyDescent="0.4">
      <c r="D2" s="1" t="s">
        <v>197</v>
      </c>
      <c r="E2" s="2"/>
      <c r="F2" s="2"/>
      <c r="G2" s="2"/>
      <c r="H2" s="2"/>
      <c r="I2" s="2"/>
      <c r="J2" s="2"/>
      <c r="K2" s="2"/>
      <c r="L2" s="2"/>
      <c r="M2" s="2"/>
      <c r="N2" s="2"/>
      <c r="O2" s="2"/>
      <c r="P2" s="2"/>
      <c r="Q2" s="2"/>
      <c r="R2" s="2"/>
      <c r="S2" s="2"/>
      <c r="T2" s="2"/>
      <c r="U2" s="2"/>
      <c r="V2" s="2"/>
      <c r="W2" s="2"/>
      <c r="X2" s="2"/>
    </row>
    <row r="3" spans="4:24" ht="18" x14ac:dyDescent="0.35">
      <c r="D3" s="3" t="s">
        <v>0</v>
      </c>
      <c r="E3" s="2"/>
      <c r="F3" s="2"/>
      <c r="G3" s="2"/>
      <c r="H3" s="2"/>
      <c r="I3" s="2"/>
      <c r="J3" s="2"/>
      <c r="K3" s="2"/>
      <c r="L3" s="2"/>
      <c r="M3" s="2"/>
      <c r="N3" s="2"/>
      <c r="O3" s="2"/>
      <c r="P3" s="2"/>
      <c r="Q3" s="2"/>
      <c r="R3" s="2"/>
      <c r="S3" s="2"/>
      <c r="T3" s="2"/>
      <c r="U3" s="2"/>
      <c r="V3" s="2"/>
      <c r="W3" s="2"/>
      <c r="X3" s="2"/>
    </row>
    <row r="4" spans="4:24" x14ac:dyDescent="0.3">
      <c r="D4" s="4" t="s">
        <v>1</v>
      </c>
      <c r="E4" s="2"/>
      <c r="F4" s="2"/>
      <c r="G4" s="2"/>
      <c r="H4" s="2"/>
      <c r="I4" s="2"/>
      <c r="J4" s="2"/>
      <c r="K4" s="2"/>
      <c r="L4" s="2"/>
      <c r="M4" s="2"/>
      <c r="N4" s="2"/>
      <c r="O4" s="2"/>
      <c r="P4" s="2"/>
      <c r="Q4" s="2"/>
      <c r="R4" s="2"/>
      <c r="S4" s="2"/>
      <c r="T4" s="2"/>
      <c r="U4" s="2"/>
      <c r="V4" s="2"/>
      <c r="W4" s="2"/>
      <c r="X4" s="2"/>
    </row>
    <row r="5" spans="4:24" x14ac:dyDescent="0.3">
      <c r="H5" s="5"/>
    </row>
    <row r="7" spans="4:24" x14ac:dyDescent="0.3">
      <c r="D7" s="6" t="s">
        <v>2</v>
      </c>
      <c r="E7" s="2"/>
      <c r="F7" s="2"/>
      <c r="G7" s="2"/>
      <c r="H7" s="2"/>
      <c r="J7" s="6" t="s">
        <v>3</v>
      </c>
      <c r="K7" s="2"/>
      <c r="L7" s="2"/>
      <c r="M7" s="2"/>
      <c r="N7" s="2"/>
      <c r="O7" s="2"/>
      <c r="P7" s="2"/>
      <c r="Q7" s="2"/>
      <c r="R7" s="2"/>
      <c r="T7" s="6" t="s">
        <v>4</v>
      </c>
      <c r="U7" s="2"/>
      <c r="V7" s="2"/>
      <c r="W7" s="2"/>
      <c r="X7" s="2"/>
    </row>
    <row r="8" spans="4:24" x14ac:dyDescent="0.3">
      <c r="D8" t="s">
        <v>5</v>
      </c>
      <c r="H8" s="27" t="s">
        <v>198</v>
      </c>
      <c r="J8" s="67"/>
      <c r="K8" s="67"/>
      <c r="L8" s="67"/>
      <c r="M8" s="68"/>
      <c r="N8" s="68"/>
      <c r="O8" s="68"/>
      <c r="P8" s="225" t="s">
        <v>191</v>
      </c>
      <c r="Q8" s="225" t="s">
        <v>192</v>
      </c>
      <c r="R8" s="225" t="s">
        <v>193</v>
      </c>
      <c r="T8" s="67"/>
      <c r="U8" s="67"/>
      <c r="V8" s="67"/>
      <c r="W8" s="70" t="s">
        <v>187</v>
      </c>
      <c r="X8" s="70" t="s">
        <v>188</v>
      </c>
    </row>
    <row r="9" spans="4:24" x14ac:dyDescent="0.3">
      <c r="D9" t="s">
        <v>6</v>
      </c>
      <c r="H9" s="27" t="s">
        <v>169</v>
      </c>
      <c r="J9" s="67"/>
      <c r="K9" s="67"/>
      <c r="L9" s="67"/>
      <c r="M9" s="69" t="s">
        <v>7</v>
      </c>
      <c r="N9" s="69"/>
      <c r="O9" s="69"/>
      <c r="P9" s="225"/>
      <c r="Q9" s="225"/>
      <c r="R9" s="225"/>
      <c r="T9" t="s">
        <v>8</v>
      </c>
      <c r="W9" s="38">
        <v>6560</v>
      </c>
    </row>
    <row r="10" spans="4:24" x14ac:dyDescent="0.3">
      <c r="D10" t="s">
        <v>9</v>
      </c>
      <c r="H10" s="27" t="s">
        <v>182</v>
      </c>
      <c r="J10" s="67"/>
      <c r="K10" s="67"/>
      <c r="L10" s="67"/>
      <c r="M10" s="69" t="s">
        <v>189</v>
      </c>
      <c r="N10" s="69" t="s">
        <v>190</v>
      </c>
      <c r="O10" s="69" t="s">
        <v>187</v>
      </c>
      <c r="P10" s="226"/>
      <c r="Q10" s="226"/>
      <c r="R10" s="226"/>
      <c r="T10" t="s">
        <v>10</v>
      </c>
      <c r="W10" s="38">
        <v>6959</v>
      </c>
    </row>
    <row r="11" spans="4:24" x14ac:dyDescent="0.3">
      <c r="D11" t="s">
        <v>11</v>
      </c>
      <c r="H11" s="27" t="s">
        <v>183</v>
      </c>
      <c r="J11" s="7" t="s">
        <v>12</v>
      </c>
      <c r="M11" s="50">
        <v>9917</v>
      </c>
      <c r="N11" s="50">
        <v>11102</v>
      </c>
      <c r="O11" s="50">
        <v>12241</v>
      </c>
      <c r="P11" s="61"/>
      <c r="Q11" s="62"/>
      <c r="R11" s="50">
        <f>O11</f>
        <v>12241</v>
      </c>
      <c r="T11" t="s">
        <v>201</v>
      </c>
      <c r="W11" s="38">
        <v>4454</v>
      </c>
    </row>
    <row r="12" spans="4:24" x14ac:dyDescent="0.3">
      <c r="D12" t="s">
        <v>14</v>
      </c>
      <c r="H12" s="27" t="s">
        <v>199</v>
      </c>
      <c r="J12" t="s">
        <v>15</v>
      </c>
      <c r="M12" s="49">
        <f>1703+1186</f>
        <v>2889</v>
      </c>
      <c r="N12" s="49">
        <f>1878+1282</f>
        <v>3160</v>
      </c>
      <c r="O12" s="49">
        <f>2086+1327</f>
        <v>3413</v>
      </c>
      <c r="P12" s="54"/>
      <c r="Q12" s="55"/>
      <c r="R12" s="49">
        <f t="shared" ref="R12:R27" si="0">O12</f>
        <v>3413</v>
      </c>
      <c r="T12" t="s">
        <v>16</v>
      </c>
      <c r="W12" s="38">
        <v>824</v>
      </c>
    </row>
    <row r="13" spans="4:24" x14ac:dyDescent="0.3">
      <c r="D13" t="s">
        <v>17</v>
      </c>
      <c r="H13" s="27" t="s">
        <v>200</v>
      </c>
      <c r="J13" s="10" t="s">
        <v>18</v>
      </c>
      <c r="M13" s="50">
        <f>M11-M12</f>
        <v>7028</v>
      </c>
      <c r="N13" s="50">
        <f t="shared" ref="N13:O13" si="1">N11-N12</f>
        <v>7942</v>
      </c>
      <c r="O13" s="50">
        <f t="shared" si="1"/>
        <v>8828</v>
      </c>
      <c r="P13" s="56"/>
      <c r="Q13" s="57"/>
      <c r="R13" s="50">
        <f t="shared" si="0"/>
        <v>8828</v>
      </c>
      <c r="T13" s="10" t="s">
        <v>19</v>
      </c>
      <c r="W13" s="46">
        <f>SUM(W9:W12)</f>
        <v>18797</v>
      </c>
      <c r="X13" s="11"/>
    </row>
    <row r="14" spans="4:24" x14ac:dyDescent="0.3">
      <c r="D14" t="s">
        <v>20</v>
      </c>
      <c r="H14" s="27">
        <v>1.56</v>
      </c>
      <c r="J14" t="s">
        <v>206</v>
      </c>
      <c r="M14" s="38">
        <v>1722</v>
      </c>
      <c r="N14" s="38">
        <v>2056</v>
      </c>
      <c r="O14" s="38">
        <v>2354</v>
      </c>
      <c r="P14" s="56"/>
      <c r="Q14" s="57"/>
      <c r="R14" s="38">
        <f t="shared" si="0"/>
        <v>2354</v>
      </c>
      <c r="W14" s="38"/>
    </row>
    <row r="15" spans="4:24" x14ac:dyDescent="0.3">
      <c r="D15" t="s">
        <v>22</v>
      </c>
      <c r="H15" s="31">
        <v>0.2</v>
      </c>
      <c r="J15" t="s">
        <v>21</v>
      </c>
      <c r="M15" s="38">
        <f>1763+2025</f>
        <v>3788</v>
      </c>
      <c r="N15" s="38">
        <f>2148+1185</f>
        <v>3333</v>
      </c>
      <c r="O15" s="38">
        <f>2588+1342</f>
        <v>3930</v>
      </c>
      <c r="P15" s="56"/>
      <c r="Q15" s="57"/>
      <c r="R15" s="38"/>
      <c r="T15" t="s">
        <v>202</v>
      </c>
      <c r="W15" s="38">
        <v>2102</v>
      </c>
    </row>
    <row r="16" spans="4:24" x14ac:dyDescent="0.3">
      <c r="J16" s="10" t="s">
        <v>25</v>
      </c>
      <c r="M16" s="46">
        <f>M13-M14-M15</f>
        <v>1518</v>
      </c>
      <c r="N16" s="46">
        <f t="shared" ref="N16:O16" si="2">N13-N14-N15</f>
        <v>2553</v>
      </c>
      <c r="O16" s="46">
        <f t="shared" si="2"/>
        <v>2544</v>
      </c>
      <c r="P16" s="52"/>
      <c r="Q16" s="53"/>
      <c r="R16" s="46">
        <f>O16</f>
        <v>2544</v>
      </c>
      <c r="T16" t="s">
        <v>26</v>
      </c>
      <c r="W16" s="38">
        <v>770</v>
      </c>
    </row>
    <row r="17" spans="4:24" x14ac:dyDescent="0.3">
      <c r="D17" s="6" t="s">
        <v>27</v>
      </c>
      <c r="E17" s="2"/>
      <c r="F17" s="2"/>
      <c r="G17" s="2"/>
      <c r="H17" s="2"/>
      <c r="J17" t="s">
        <v>208</v>
      </c>
      <c r="M17">
        <v>721</v>
      </c>
      <c r="N17">
        <v>818</v>
      </c>
      <c r="O17">
        <v>705</v>
      </c>
      <c r="P17" s="56"/>
      <c r="Q17" s="57"/>
      <c r="T17" t="s">
        <v>29</v>
      </c>
      <c r="W17" s="38">
        <v>539</v>
      </c>
    </row>
    <row r="18" spans="4:24" x14ac:dyDescent="0.3">
      <c r="D18" t="s">
        <v>30</v>
      </c>
      <c r="H18" s="33">
        <v>134.51</v>
      </c>
      <c r="J18" t="s">
        <v>207</v>
      </c>
      <c r="M18" s="49">
        <v>-137</v>
      </c>
      <c r="N18" s="49">
        <v>-40</v>
      </c>
      <c r="O18" s="49">
        <v>-112</v>
      </c>
      <c r="P18" s="54"/>
      <c r="Q18" s="55"/>
      <c r="R18" s="49">
        <f t="shared" si="0"/>
        <v>-112</v>
      </c>
      <c r="T18" s="10" t="s">
        <v>32</v>
      </c>
      <c r="W18" s="47">
        <f>SUM(W15:W17)+W13</f>
        <v>22208</v>
      </c>
      <c r="X18" s="12"/>
    </row>
    <row r="19" spans="4:24" x14ac:dyDescent="0.3">
      <c r="D19" s="5" t="s">
        <v>33</v>
      </c>
      <c r="H19" s="30">
        <f>H18/H20</f>
        <v>0.93487628579371695</v>
      </c>
      <c r="J19" s="10" t="s">
        <v>31</v>
      </c>
      <c r="M19" s="50">
        <f>SUM(M16:M18)</f>
        <v>2102</v>
      </c>
      <c r="N19" s="50">
        <f t="shared" ref="N19:O19" si="3">SUM(N16:N18)</f>
        <v>3331</v>
      </c>
      <c r="O19" s="50">
        <f t="shared" si="3"/>
        <v>3137</v>
      </c>
      <c r="P19" s="56"/>
      <c r="Q19" s="57"/>
      <c r="R19" s="50">
        <f t="shared" si="0"/>
        <v>3137</v>
      </c>
      <c r="W19" s="38"/>
    </row>
    <row r="20" spans="4:24" x14ac:dyDescent="0.3">
      <c r="D20" t="s">
        <v>35</v>
      </c>
      <c r="H20" s="33">
        <v>143.88</v>
      </c>
      <c r="J20" t="s">
        <v>34</v>
      </c>
      <c r="M20" s="38">
        <v>2690</v>
      </c>
      <c r="N20" s="38">
        <v>683</v>
      </c>
      <c r="O20" s="38">
        <v>626</v>
      </c>
      <c r="P20" s="56"/>
      <c r="Q20" s="57"/>
      <c r="R20" s="38">
        <f t="shared" si="0"/>
        <v>626</v>
      </c>
      <c r="T20" t="s">
        <v>203</v>
      </c>
      <c r="W20" s="38">
        <v>2948</v>
      </c>
    </row>
    <row r="21" spans="4:24" x14ac:dyDescent="0.3">
      <c r="D21" t="s">
        <v>38</v>
      </c>
      <c r="H21" s="33">
        <v>109.79</v>
      </c>
      <c r="J21" s="13" t="s">
        <v>36</v>
      </c>
      <c r="M21" s="38">
        <v>0</v>
      </c>
      <c r="N21" s="38">
        <v>0</v>
      </c>
      <c r="O21" s="38">
        <v>0</v>
      </c>
      <c r="P21" s="56"/>
      <c r="Q21" s="57"/>
      <c r="R21" s="38">
        <f t="shared" si="0"/>
        <v>0</v>
      </c>
      <c r="T21" t="s">
        <v>204</v>
      </c>
      <c r="W21" s="38">
        <v>6959</v>
      </c>
    </row>
    <row r="22" spans="4:24" x14ac:dyDescent="0.3">
      <c r="D22" t="s">
        <v>41</v>
      </c>
      <c r="H22" s="33">
        <v>0</v>
      </c>
      <c r="J22" t="s">
        <v>39</v>
      </c>
      <c r="M22" s="38">
        <v>0</v>
      </c>
      <c r="N22" s="38">
        <v>0</v>
      </c>
      <c r="O22" s="38">
        <v>0</v>
      </c>
      <c r="P22" s="56"/>
      <c r="Q22" s="57"/>
      <c r="R22" s="38">
        <f t="shared" si="0"/>
        <v>0</v>
      </c>
      <c r="T22" t="s">
        <v>205</v>
      </c>
      <c r="W22" s="38">
        <v>1999</v>
      </c>
    </row>
    <row r="23" spans="4:24" ht="15" thickBot="1" x14ac:dyDescent="0.35">
      <c r="J23" s="10" t="s">
        <v>42</v>
      </c>
      <c r="M23" s="51">
        <f>SUM(M19:M22)</f>
        <v>4792</v>
      </c>
      <c r="N23" s="51">
        <f t="shared" ref="N23:O23" si="4">SUM(N19:N22)</f>
        <v>4014</v>
      </c>
      <c r="O23" s="51">
        <f t="shared" si="4"/>
        <v>3763</v>
      </c>
      <c r="P23" s="58"/>
      <c r="Q23" s="59"/>
      <c r="R23" s="51">
        <f t="shared" si="0"/>
        <v>3763</v>
      </c>
      <c r="T23" t="s">
        <v>43</v>
      </c>
      <c r="W23" s="38">
        <v>1743</v>
      </c>
    </row>
    <row r="24" spans="4:24" ht="15" thickTop="1" x14ac:dyDescent="0.3">
      <c r="D24" t="s">
        <v>46</v>
      </c>
      <c r="H24" s="42">
        <f>X44</f>
        <v>622.27061185041998</v>
      </c>
      <c r="J24" s="14" t="s">
        <v>44</v>
      </c>
      <c r="M24" s="30">
        <f>ABS(M20/M19)</f>
        <v>1.2797335870599429</v>
      </c>
      <c r="N24" s="30">
        <f t="shared" ref="N24:O24" si="5">ABS(N20/N19)</f>
        <v>0.20504353047132992</v>
      </c>
      <c r="O24" s="30">
        <f t="shared" si="5"/>
        <v>0.1995537137392413</v>
      </c>
      <c r="P24" s="56"/>
      <c r="Q24" s="57"/>
      <c r="R24" s="30">
        <f t="shared" si="0"/>
        <v>0.1995537137392413</v>
      </c>
      <c r="T24" s="10" t="s">
        <v>45</v>
      </c>
      <c r="W24" s="46">
        <f>SUM(W20:W23)</f>
        <v>13649</v>
      </c>
      <c r="X24" s="11"/>
    </row>
    <row r="25" spans="4:24" x14ac:dyDescent="0.3">
      <c r="D25" s="10" t="s">
        <v>47</v>
      </c>
      <c r="H25" s="44">
        <f>H24*H18</f>
        <v>83701.619999999981</v>
      </c>
      <c r="P25" s="56"/>
      <c r="Q25" s="57"/>
      <c r="T25" s="10"/>
      <c r="W25" s="38"/>
    </row>
    <row r="26" spans="4:24" x14ac:dyDescent="0.3">
      <c r="J26" t="s">
        <v>48</v>
      </c>
      <c r="M26">
        <v>662</v>
      </c>
      <c r="N26">
        <v>645</v>
      </c>
      <c r="O26">
        <v>623</v>
      </c>
      <c r="P26" s="56"/>
      <c r="Q26" s="57"/>
      <c r="R26">
        <f t="shared" si="0"/>
        <v>623</v>
      </c>
      <c r="T26" s="13" t="s">
        <v>49</v>
      </c>
      <c r="W26" s="38">
        <v>0</v>
      </c>
    </row>
    <row r="27" spans="4:24" x14ac:dyDescent="0.3">
      <c r="D27" t="s">
        <v>52</v>
      </c>
      <c r="H27" s="38">
        <f>W26+W22</f>
        <v>1999</v>
      </c>
      <c r="J27" s="10" t="s">
        <v>50</v>
      </c>
      <c r="M27" s="43">
        <f>M23/M26</f>
        <v>7.238670694864048</v>
      </c>
      <c r="N27" s="43">
        <f t="shared" ref="N27:O27" si="6">N23/N26</f>
        <v>6.2232558139534886</v>
      </c>
      <c r="O27" s="43">
        <f t="shared" si="6"/>
        <v>6.040128410914928</v>
      </c>
      <c r="P27" s="56"/>
      <c r="Q27" s="57"/>
      <c r="R27" s="43">
        <f t="shared" si="0"/>
        <v>6.040128410914928</v>
      </c>
      <c r="T27" s="13" t="s">
        <v>51</v>
      </c>
      <c r="W27" s="38">
        <v>360</v>
      </c>
    </row>
    <row r="28" spans="4:24" x14ac:dyDescent="0.3">
      <c r="D28" t="s">
        <v>54</v>
      </c>
      <c r="H28" s="38">
        <f>+W31</f>
        <v>0</v>
      </c>
      <c r="T28" s="10" t="s">
        <v>53</v>
      </c>
      <c r="W28" s="46">
        <f>SUM(W26:W27)+W24</f>
        <v>14009</v>
      </c>
      <c r="X28" s="11"/>
    </row>
    <row r="29" spans="4:24" x14ac:dyDescent="0.3">
      <c r="D29" t="s">
        <v>56</v>
      </c>
      <c r="H29" s="38">
        <f>+W30</f>
        <v>0</v>
      </c>
      <c r="J29" s="6" t="s">
        <v>55</v>
      </c>
      <c r="K29" s="2"/>
      <c r="L29" s="2"/>
      <c r="M29" s="2"/>
      <c r="N29" s="2"/>
      <c r="O29" s="2"/>
      <c r="P29" s="2"/>
      <c r="Q29" s="2"/>
      <c r="R29" s="2"/>
      <c r="W29" s="38"/>
    </row>
    <row r="30" spans="4:24" x14ac:dyDescent="0.3">
      <c r="D30" t="s">
        <v>59</v>
      </c>
      <c r="H30" s="38">
        <f>-W9</f>
        <v>-6560</v>
      </c>
      <c r="J30" t="s">
        <v>57</v>
      </c>
      <c r="M30" s="38">
        <f>M13</f>
        <v>7028</v>
      </c>
      <c r="N30" s="38">
        <f>N13</f>
        <v>7942</v>
      </c>
      <c r="O30" s="38">
        <f>O13</f>
        <v>8828</v>
      </c>
      <c r="P30" s="56"/>
      <c r="Q30" s="57"/>
      <c r="R30" s="38">
        <f>O30</f>
        <v>8828</v>
      </c>
      <c r="T30" t="s">
        <v>58</v>
      </c>
      <c r="W30" s="38">
        <v>0</v>
      </c>
    </row>
    <row r="31" spans="4:24" x14ac:dyDescent="0.3">
      <c r="D31" s="10" t="s">
        <v>62</v>
      </c>
      <c r="H31" s="48">
        <f>SUM(H25:H30)</f>
        <v>79140.619999999981</v>
      </c>
      <c r="J31" t="s">
        <v>60</v>
      </c>
      <c r="M31" s="38">
        <v>0</v>
      </c>
      <c r="N31" s="38">
        <v>0</v>
      </c>
      <c r="O31" s="38">
        <v>0</v>
      </c>
      <c r="P31" s="56"/>
      <c r="Q31" s="57"/>
      <c r="R31" s="38">
        <f t="shared" ref="R31:R53" si="7">O31</f>
        <v>0</v>
      </c>
      <c r="T31" t="s">
        <v>61</v>
      </c>
      <c r="W31" s="38">
        <v>0</v>
      </c>
    </row>
    <row r="32" spans="4:24" x14ac:dyDescent="0.3">
      <c r="J32" s="10" t="s">
        <v>63</v>
      </c>
      <c r="M32" s="46">
        <f>SUM(M30:M31)</f>
        <v>7028</v>
      </c>
      <c r="N32" s="46">
        <f t="shared" ref="N32:O32" si="8">SUM(N30:N31)</f>
        <v>7942</v>
      </c>
      <c r="O32" s="46">
        <f t="shared" si="8"/>
        <v>8828</v>
      </c>
      <c r="P32" s="52"/>
      <c r="Q32" s="53"/>
      <c r="R32" s="46">
        <f t="shared" si="7"/>
        <v>8828</v>
      </c>
      <c r="T32" t="s">
        <v>64</v>
      </c>
      <c r="W32" s="38">
        <v>8199</v>
      </c>
    </row>
    <row r="33" spans="4:24" x14ac:dyDescent="0.3">
      <c r="D33" s="6" t="s">
        <v>67</v>
      </c>
      <c r="E33" s="2"/>
      <c r="F33" s="2"/>
      <c r="G33" s="2"/>
      <c r="H33" s="2"/>
      <c r="J33" s="14" t="s">
        <v>65</v>
      </c>
      <c r="M33" s="30">
        <f>M32/M$11</f>
        <v>0.70868206110718968</v>
      </c>
      <c r="N33" s="30">
        <f t="shared" ref="N33:O33" si="9">N32/N$11</f>
        <v>0.71536660061250223</v>
      </c>
      <c r="O33" s="30">
        <f t="shared" si="9"/>
        <v>0.72118290989298262</v>
      </c>
      <c r="P33" s="56"/>
      <c r="Q33" s="57"/>
      <c r="R33" s="30">
        <f t="shared" si="7"/>
        <v>0.72118290989298262</v>
      </c>
      <c r="T33" s="10" t="s">
        <v>66</v>
      </c>
      <c r="W33" s="47">
        <f>SUM(W30:W32)+W28</f>
        <v>22208</v>
      </c>
      <c r="X33" s="12"/>
    </row>
    <row r="34" spans="4:24" x14ac:dyDescent="0.3">
      <c r="D34" s="67"/>
      <c r="E34" s="225" t="s">
        <v>193</v>
      </c>
      <c r="F34" s="225" t="s">
        <v>194</v>
      </c>
      <c r="G34" s="225" t="s">
        <v>195</v>
      </c>
      <c r="H34" s="225" t="s">
        <v>196</v>
      </c>
      <c r="P34" s="56"/>
      <c r="Q34" s="57"/>
    </row>
    <row r="35" spans="4:24" x14ac:dyDescent="0.3">
      <c r="D35" s="67"/>
      <c r="E35" s="226"/>
      <c r="F35" s="226"/>
      <c r="G35" s="226"/>
      <c r="H35" s="226"/>
      <c r="J35" t="s">
        <v>68</v>
      </c>
      <c r="M35" s="38">
        <f>M16</f>
        <v>1518</v>
      </c>
      <c r="N35" s="38">
        <f t="shared" ref="N35" si="10">N16</f>
        <v>2553</v>
      </c>
      <c r="O35" s="38">
        <f>O16</f>
        <v>2544</v>
      </c>
      <c r="P35" s="56"/>
      <c r="Q35" s="57"/>
      <c r="R35" s="38">
        <f t="shared" si="7"/>
        <v>2544</v>
      </c>
      <c r="T35" s="5" t="s">
        <v>69</v>
      </c>
      <c r="W35" s="45">
        <f>IF(W33=W18,W18-W33,W18-W33)</f>
        <v>0</v>
      </c>
    </row>
    <row r="36" spans="4:24" x14ac:dyDescent="0.3">
      <c r="D36" t="s">
        <v>70</v>
      </c>
      <c r="E36" s="64">
        <f>$H$31/E37</f>
        <v>6.4652087247773862</v>
      </c>
      <c r="F36" s="64">
        <f t="shared" ref="F36:H36" si="11">$H$31/F37</f>
        <v>5.777952836387529</v>
      </c>
      <c r="G36" s="64">
        <f t="shared" si="11"/>
        <v>5.2487478445417155</v>
      </c>
      <c r="H36" s="64">
        <f t="shared" si="11"/>
        <v>4.7859591194968543</v>
      </c>
      <c r="J36" t="s">
        <v>60</v>
      </c>
      <c r="M36" s="38">
        <f>1120+974-3</f>
        <v>2091</v>
      </c>
      <c r="N36" s="38">
        <f>1407+23-7</f>
        <v>1423</v>
      </c>
      <c r="O36" s="38">
        <f>1592+74+1-5</f>
        <v>1662</v>
      </c>
      <c r="P36" s="56"/>
      <c r="Q36" s="57"/>
      <c r="R36" s="38">
        <f t="shared" si="7"/>
        <v>1662</v>
      </c>
    </row>
    <row r="37" spans="4:24" x14ac:dyDescent="0.3">
      <c r="D37" s="15" t="s">
        <v>72</v>
      </c>
      <c r="E37" s="38">
        <f>R11</f>
        <v>12241</v>
      </c>
      <c r="F37" s="34">
        <v>13697</v>
      </c>
      <c r="G37" s="34">
        <v>15078</v>
      </c>
      <c r="H37" s="34">
        <v>16536</v>
      </c>
      <c r="J37" t="s">
        <v>71</v>
      </c>
      <c r="M37" s="38">
        <v>0</v>
      </c>
      <c r="N37" s="38">
        <v>0</v>
      </c>
      <c r="O37" s="38">
        <v>0</v>
      </c>
      <c r="P37" s="56"/>
      <c r="Q37" s="57"/>
      <c r="R37" s="38">
        <f t="shared" si="7"/>
        <v>0</v>
      </c>
    </row>
    <row r="38" spans="4:24" x14ac:dyDescent="0.3">
      <c r="D38" t="s">
        <v>75</v>
      </c>
      <c r="E38" s="64">
        <f>$H$31/E39</f>
        <v>18.417644868512912</v>
      </c>
      <c r="F38" s="64">
        <f t="shared" ref="F38:H38" si="12">$H$31/F39</f>
        <v>16.446512884455522</v>
      </c>
      <c r="G38" s="64">
        <f t="shared" si="12"/>
        <v>14.652956859840767</v>
      </c>
      <c r="H38" s="64">
        <f t="shared" si="12"/>
        <v>13.055199604091056</v>
      </c>
      <c r="J38" s="10" t="s">
        <v>73</v>
      </c>
      <c r="M38" s="46">
        <f>SUM(M35:M37)</f>
        <v>3609</v>
      </c>
      <c r="N38" s="46">
        <f t="shared" ref="N38" si="13">SUM(N35:N37)</f>
        <v>3976</v>
      </c>
      <c r="O38" s="46">
        <f>SUM(O35:O37)</f>
        <v>4206</v>
      </c>
      <c r="P38" s="52"/>
      <c r="Q38" s="53"/>
      <c r="R38" s="46">
        <f t="shared" si="7"/>
        <v>4206</v>
      </c>
      <c r="T38" s="6" t="s">
        <v>74</v>
      </c>
      <c r="U38" s="2"/>
      <c r="V38" s="2"/>
      <c r="W38" s="2"/>
      <c r="X38" s="2"/>
    </row>
    <row r="39" spans="4:24" x14ac:dyDescent="0.3">
      <c r="D39" s="15" t="s">
        <v>72</v>
      </c>
      <c r="E39" s="38">
        <f>R42</f>
        <v>4297</v>
      </c>
      <c r="F39" s="34">
        <v>4812</v>
      </c>
      <c r="G39" s="34">
        <v>5401</v>
      </c>
      <c r="H39" s="34">
        <v>6062</v>
      </c>
      <c r="J39" s="14" t="s">
        <v>65</v>
      </c>
      <c r="M39" s="30">
        <f>M38/M$11</f>
        <v>0.36392054048603406</v>
      </c>
      <c r="N39" s="30">
        <f t="shared" ref="N39:O39" si="14">N38/N$11</f>
        <v>0.35813366960907944</v>
      </c>
      <c r="O39" s="30">
        <f t="shared" si="14"/>
        <v>0.34359937913569155</v>
      </c>
      <c r="P39" s="56"/>
      <c r="Q39" s="57"/>
      <c r="R39" s="30">
        <f t="shared" si="7"/>
        <v>0.34359937913569155</v>
      </c>
      <c r="T39" t="s">
        <v>76</v>
      </c>
      <c r="X39" s="35">
        <v>613</v>
      </c>
    </row>
    <row r="40" spans="4:24" x14ac:dyDescent="0.3">
      <c r="D40" t="s">
        <v>78</v>
      </c>
      <c r="E40" s="64">
        <f>$H$31/E41</f>
        <v>31.108734276729553</v>
      </c>
      <c r="F40" s="64">
        <f t="shared" ref="F40:H40" si="15">$H$31/F41</f>
        <v>26.424247078464102</v>
      </c>
      <c r="G40" s="64">
        <f t="shared" si="15"/>
        <v>22.57934950071326</v>
      </c>
      <c r="H40" s="64">
        <f t="shared" si="15"/>
        <v>19.60867690782953</v>
      </c>
      <c r="P40" s="56"/>
      <c r="Q40" s="57"/>
      <c r="T40" t="s">
        <v>77</v>
      </c>
      <c r="X40" s="39">
        <f>W54</f>
        <v>37</v>
      </c>
    </row>
    <row r="41" spans="4:24" x14ac:dyDescent="0.3">
      <c r="D41" s="15" t="s">
        <v>72</v>
      </c>
      <c r="E41" s="38">
        <f>R35</f>
        <v>2544</v>
      </c>
      <c r="F41" s="34">
        <v>2995</v>
      </c>
      <c r="G41" s="34">
        <v>3505</v>
      </c>
      <c r="H41" s="34">
        <v>4036</v>
      </c>
      <c r="J41" t="s">
        <v>79</v>
      </c>
      <c r="M41">
        <v>44</v>
      </c>
      <c r="N41">
        <v>65</v>
      </c>
      <c r="O41">
        <v>91</v>
      </c>
      <c r="P41" s="56"/>
      <c r="Q41" s="57"/>
      <c r="R41">
        <f t="shared" si="7"/>
        <v>91</v>
      </c>
      <c r="T41" t="s">
        <v>80</v>
      </c>
      <c r="X41" s="39">
        <f>-(X54/H18)</f>
        <v>-27.729388149579961</v>
      </c>
    </row>
    <row r="42" spans="4:24" x14ac:dyDescent="0.3">
      <c r="D42" t="s">
        <v>83</v>
      </c>
      <c r="E42" s="64">
        <f>$H$18/E43</f>
        <v>22.269394100451766</v>
      </c>
      <c r="F42" s="64">
        <f t="shared" ref="F42:H42" si="16">$H$18/F43</f>
        <v>27.956452905811616</v>
      </c>
      <c r="G42" s="64">
        <f t="shared" si="16"/>
        <v>24.481316174319975</v>
      </c>
      <c r="H42" s="64">
        <f t="shared" si="16"/>
        <v>21.622738310514077</v>
      </c>
      <c r="J42" s="10" t="s">
        <v>81</v>
      </c>
      <c r="M42" s="46">
        <f>M38+M41</f>
        <v>3653</v>
      </c>
      <c r="N42" s="46">
        <f t="shared" ref="N42:O42" si="17">N38+N41</f>
        <v>4041</v>
      </c>
      <c r="O42" s="46">
        <f t="shared" si="17"/>
        <v>4297</v>
      </c>
      <c r="P42" s="52"/>
      <c r="Q42" s="53"/>
      <c r="R42" s="46">
        <f t="shared" si="7"/>
        <v>4297</v>
      </c>
      <c r="T42" s="10" t="s">
        <v>82</v>
      </c>
      <c r="X42" s="40">
        <f>SUM(X40:X41)</f>
        <v>9.270611850420039</v>
      </c>
    </row>
    <row r="43" spans="4:24" x14ac:dyDescent="0.3">
      <c r="D43" s="15" t="s">
        <v>72</v>
      </c>
      <c r="E43" s="32">
        <f>R27</f>
        <v>6.040128410914928</v>
      </c>
      <c r="F43" s="32">
        <f>2994/H24</f>
        <v>4.811411535403975</v>
      </c>
      <c r="G43" s="32">
        <f>3419/H24</f>
        <v>5.4943941347849661</v>
      </c>
      <c r="H43" s="32">
        <f>3871/H24</f>
        <v>6.2207662169501621</v>
      </c>
      <c r="J43" s="14" t="s">
        <v>65</v>
      </c>
      <c r="M43" s="30">
        <f>M42/M$11</f>
        <v>0.36835736613895331</v>
      </c>
      <c r="N43" s="30">
        <f t="shared" ref="N43" si="18">N42/N$11</f>
        <v>0.3639884705458476</v>
      </c>
      <c r="O43" s="30">
        <f>O42/O$11</f>
        <v>0.3510334123029164</v>
      </c>
      <c r="P43" s="56"/>
      <c r="Q43" s="57"/>
      <c r="R43" s="30">
        <f t="shared" si="7"/>
        <v>0.3510334123029164</v>
      </c>
      <c r="T43" t="s">
        <v>84</v>
      </c>
      <c r="X43" s="39">
        <v>0</v>
      </c>
    </row>
    <row r="44" spans="4:24" x14ac:dyDescent="0.3">
      <c r="D44" t="s">
        <v>85</v>
      </c>
      <c r="E44" s="30">
        <f>E45/$H$25</f>
        <v>5.5506691507285058E-2</v>
      </c>
      <c r="F44" s="30">
        <f t="shared" ref="F44:H44" si="19">F45/$H$25</f>
        <v>6.110992833830458E-2</v>
      </c>
      <c r="G44" s="30">
        <f t="shared" si="19"/>
        <v>6.6175541166347815E-2</v>
      </c>
      <c r="H44" s="30">
        <f t="shared" si="19"/>
        <v>7.7262542827725461E-2</v>
      </c>
      <c r="P44" s="56"/>
      <c r="Q44" s="57"/>
      <c r="T44" s="10" t="s">
        <v>46</v>
      </c>
      <c r="X44" s="41">
        <f>X39+X42</f>
        <v>622.27061185041998</v>
      </c>
    </row>
    <row r="45" spans="4:24" x14ac:dyDescent="0.3">
      <c r="D45" s="15" t="s">
        <v>72</v>
      </c>
      <c r="E45" s="38">
        <f>R59</f>
        <v>4646</v>
      </c>
      <c r="F45" s="34">
        <v>5115</v>
      </c>
      <c r="G45" s="34">
        <v>5539</v>
      </c>
      <c r="H45" s="34">
        <v>6467</v>
      </c>
      <c r="J45" t="s">
        <v>86</v>
      </c>
      <c r="M45" s="38">
        <f>M23</f>
        <v>4792</v>
      </c>
      <c r="N45" s="38">
        <f t="shared" ref="N45:O45" si="20">N23</f>
        <v>4014</v>
      </c>
      <c r="O45" s="38">
        <f t="shared" si="20"/>
        <v>3763</v>
      </c>
      <c r="P45" s="56"/>
      <c r="Q45" s="57"/>
      <c r="R45" s="38">
        <f t="shared" si="7"/>
        <v>3763</v>
      </c>
    </row>
    <row r="46" spans="4:24" x14ac:dyDescent="0.3">
      <c r="J46" t="s">
        <v>60</v>
      </c>
      <c r="M46" s="38">
        <f>M31</f>
        <v>0</v>
      </c>
      <c r="N46" s="38">
        <f t="shared" ref="N46:O46" si="21">N31</f>
        <v>0</v>
      </c>
      <c r="O46" s="38">
        <f t="shared" si="21"/>
        <v>0</v>
      </c>
      <c r="P46" s="56"/>
      <c r="Q46" s="57"/>
      <c r="R46" s="38">
        <f t="shared" si="7"/>
        <v>0</v>
      </c>
      <c r="T46" s="16" t="s">
        <v>87</v>
      </c>
    </row>
    <row r="47" spans="4:24" x14ac:dyDescent="0.3">
      <c r="D47" s="18" t="s">
        <v>92</v>
      </c>
      <c r="E47" s="2"/>
      <c r="F47" s="2"/>
      <c r="G47" s="2"/>
      <c r="H47" s="2"/>
      <c r="J47" t="s">
        <v>71</v>
      </c>
      <c r="M47" s="38">
        <f>M36</f>
        <v>2091</v>
      </c>
      <c r="N47" s="38">
        <f t="shared" ref="N47:O47" si="22">N36</f>
        <v>1423</v>
      </c>
      <c r="O47" s="38">
        <f t="shared" si="22"/>
        <v>1662</v>
      </c>
      <c r="P47" s="56"/>
      <c r="Q47" s="57"/>
      <c r="R47" s="38">
        <f t="shared" si="7"/>
        <v>1662</v>
      </c>
      <c r="T47" s="17"/>
      <c r="U47" s="227" t="s">
        <v>88</v>
      </c>
      <c r="V47" s="227" t="s">
        <v>89</v>
      </c>
      <c r="W47" s="227" t="s">
        <v>90</v>
      </c>
      <c r="X47" s="227" t="s">
        <v>91</v>
      </c>
    </row>
    <row r="48" spans="4:24" x14ac:dyDescent="0.3">
      <c r="D48" t="s">
        <v>95</v>
      </c>
      <c r="H48" s="30">
        <f>R50/(W26-W9+W32)</f>
        <v>3.1071384990848081</v>
      </c>
      <c r="J48" t="s">
        <v>93</v>
      </c>
      <c r="M48" s="38">
        <f>-M20</f>
        <v>-2690</v>
      </c>
      <c r="N48" s="38">
        <f t="shared" ref="N48:O48" si="23">N37</f>
        <v>0</v>
      </c>
      <c r="O48" s="38">
        <f t="shared" si="23"/>
        <v>0</v>
      </c>
      <c r="P48" s="56"/>
      <c r="Q48" s="57"/>
      <c r="R48" s="38">
        <f t="shared" si="7"/>
        <v>0</v>
      </c>
      <c r="T48" s="8" t="s">
        <v>94</v>
      </c>
      <c r="U48" s="228"/>
      <c r="V48" s="228"/>
      <c r="W48" s="228"/>
      <c r="X48" s="228"/>
    </row>
    <row r="49" spans="4:24" x14ac:dyDescent="0.3">
      <c r="D49" t="s">
        <v>98</v>
      </c>
      <c r="H49" s="30">
        <f>ABS(R50/W32)</f>
        <v>0.62112452738138801</v>
      </c>
      <c r="J49" t="s">
        <v>96</v>
      </c>
      <c r="M49" s="38">
        <v>0</v>
      </c>
      <c r="N49" s="38">
        <f>-N47*0.2</f>
        <v>-284.60000000000002</v>
      </c>
      <c r="O49" s="38">
        <f>-O47*0.2</f>
        <v>-332.40000000000003</v>
      </c>
      <c r="P49" s="56"/>
      <c r="Q49" s="57"/>
      <c r="R49" s="38">
        <f t="shared" si="7"/>
        <v>-332.40000000000003</v>
      </c>
      <c r="T49" t="s">
        <v>97</v>
      </c>
      <c r="U49" s="28">
        <v>5</v>
      </c>
      <c r="V49" s="33">
        <v>108.28</v>
      </c>
      <c r="W49" s="39">
        <f>IF(V49&lt;H18,U49,0)</f>
        <v>5</v>
      </c>
      <c r="X49" s="33">
        <f>V49*U49</f>
        <v>541.4</v>
      </c>
    </row>
    <row r="50" spans="4:24" ht="15" thickBot="1" x14ac:dyDescent="0.35">
      <c r="D50" t="s">
        <v>101</v>
      </c>
      <c r="H50" s="30">
        <f>ABS(R50/W18)</f>
        <v>0.22931376080691646</v>
      </c>
      <c r="J50" s="10" t="s">
        <v>99</v>
      </c>
      <c r="M50" s="51">
        <f>SUM(M45:M49)</f>
        <v>4193</v>
      </c>
      <c r="N50" s="51">
        <f t="shared" ref="N50:O50" si="24">SUM(N45:N49)</f>
        <v>5152.3999999999996</v>
      </c>
      <c r="O50" s="51">
        <f t="shared" si="24"/>
        <v>5092.6000000000004</v>
      </c>
      <c r="P50" s="58"/>
      <c r="Q50" s="59"/>
      <c r="R50" s="51">
        <f t="shared" si="7"/>
        <v>5092.6000000000004</v>
      </c>
      <c r="T50" t="s">
        <v>100</v>
      </c>
      <c r="U50" s="39">
        <v>32</v>
      </c>
      <c r="V50" s="33">
        <v>99.64</v>
      </c>
      <c r="W50" s="39">
        <f>IF(V50&lt;H18,U50,0)</f>
        <v>32</v>
      </c>
      <c r="X50" s="33">
        <f>V50*U50</f>
        <v>3188.48</v>
      </c>
    </row>
    <row r="51" spans="4:24" ht="15" thickTop="1" x14ac:dyDescent="0.3">
      <c r="D51" t="s">
        <v>103</v>
      </c>
      <c r="H51" s="30">
        <f>H22/H18</f>
        <v>0</v>
      </c>
      <c r="J51" s="14" t="s">
        <v>65</v>
      </c>
      <c r="M51" s="30">
        <f>M50/M$11</f>
        <v>0.42280931733387112</v>
      </c>
      <c r="N51" s="30">
        <f t="shared" ref="N51:O51" si="25">N50/N$11</f>
        <v>0.46409655917852638</v>
      </c>
      <c r="O51" s="30">
        <f t="shared" si="25"/>
        <v>0.4160281022792256</v>
      </c>
      <c r="P51" s="56"/>
      <c r="Q51" s="57"/>
      <c r="R51" s="30">
        <f t="shared" si="7"/>
        <v>0.4160281022792256</v>
      </c>
      <c r="T51" t="s">
        <v>102</v>
      </c>
      <c r="U51" s="39">
        <v>0</v>
      </c>
      <c r="V51" s="39">
        <v>0</v>
      </c>
      <c r="W51" s="39">
        <v>0</v>
      </c>
      <c r="X51" s="39">
        <v>0</v>
      </c>
    </row>
    <row r="52" spans="4:24" x14ac:dyDescent="0.3">
      <c r="P52" s="56"/>
      <c r="Q52" s="57"/>
      <c r="T52" t="s">
        <v>104</v>
      </c>
      <c r="U52" s="39">
        <v>0</v>
      </c>
      <c r="V52" s="39">
        <v>0</v>
      </c>
      <c r="W52" s="39">
        <v>0</v>
      </c>
      <c r="X52" s="39">
        <v>0</v>
      </c>
    </row>
    <row r="53" spans="4:24" x14ac:dyDescent="0.3">
      <c r="D53" s="6" t="s">
        <v>107</v>
      </c>
      <c r="E53" s="2"/>
      <c r="F53" s="2"/>
      <c r="G53" s="2"/>
      <c r="H53" s="2"/>
      <c r="J53" t="s">
        <v>105</v>
      </c>
      <c r="M53" s="43">
        <f>M50/M26</f>
        <v>6.333836858006042</v>
      </c>
      <c r="N53" s="43">
        <f t="shared" ref="N53:O53" si="26">N50/N26</f>
        <v>7.9882170542635658</v>
      </c>
      <c r="O53" s="43">
        <f t="shared" si="26"/>
        <v>8.1743178170144475</v>
      </c>
      <c r="P53" s="56"/>
      <c r="Q53" s="57"/>
      <c r="R53" s="43">
        <f t="shared" si="7"/>
        <v>8.1743178170144475</v>
      </c>
      <c r="T53" t="s">
        <v>106</v>
      </c>
      <c r="U53" s="39">
        <v>0</v>
      </c>
      <c r="V53" s="39">
        <v>0</v>
      </c>
      <c r="W53" s="39">
        <v>0</v>
      </c>
      <c r="X53" s="39">
        <v>0</v>
      </c>
    </row>
    <row r="54" spans="4:24" x14ac:dyDescent="0.3">
      <c r="D54" t="s">
        <v>109</v>
      </c>
      <c r="H54" s="30">
        <f>W26/(W26+W32)</f>
        <v>0</v>
      </c>
      <c r="T54" s="10" t="s">
        <v>108</v>
      </c>
      <c r="U54" s="40">
        <f t="shared" ref="U54:X54" si="27">SUM(U49:U53)</f>
        <v>37</v>
      </c>
      <c r="V54" s="40">
        <f t="shared" si="27"/>
        <v>207.92000000000002</v>
      </c>
      <c r="W54" s="40">
        <f t="shared" si="27"/>
        <v>37</v>
      </c>
      <c r="X54" s="40">
        <f t="shared" si="27"/>
        <v>3729.88</v>
      </c>
    </row>
    <row r="55" spans="4:24" x14ac:dyDescent="0.3">
      <c r="D55" t="s">
        <v>111</v>
      </c>
      <c r="H55" s="64">
        <f>W26/R42</f>
        <v>0</v>
      </c>
      <c r="J55" s="6" t="s">
        <v>110</v>
      </c>
      <c r="K55" s="2"/>
      <c r="L55" s="2"/>
      <c r="M55" s="2"/>
      <c r="N55" s="2"/>
      <c r="O55" s="2"/>
      <c r="P55" s="2"/>
      <c r="Q55" s="2"/>
      <c r="R55" s="2"/>
    </row>
    <row r="56" spans="4:24" x14ac:dyDescent="0.3">
      <c r="D56" t="s">
        <v>114</v>
      </c>
      <c r="H56" s="64">
        <f>(W26-W9)/R42</f>
        <v>-1.5266464975564347</v>
      </c>
      <c r="J56" t="s">
        <v>112</v>
      </c>
      <c r="M56" s="38">
        <v>3884</v>
      </c>
      <c r="N56" s="38">
        <v>4518</v>
      </c>
      <c r="O56" s="38">
        <v>4646</v>
      </c>
      <c r="P56" s="56"/>
      <c r="Q56" s="57"/>
      <c r="R56" s="38">
        <f>O56</f>
        <v>4646</v>
      </c>
      <c r="T56" s="8" t="s">
        <v>113</v>
      </c>
      <c r="U56" s="9"/>
      <c r="V56" s="9"/>
      <c r="W56" s="9"/>
      <c r="X56" s="9"/>
    </row>
    <row r="57" spans="4:24" x14ac:dyDescent="0.3">
      <c r="D57" s="15" t="s">
        <v>120</v>
      </c>
      <c r="H57" s="64">
        <f>ABS(R42/R18)</f>
        <v>38.366071428571431</v>
      </c>
      <c r="J57" t="s">
        <v>115</v>
      </c>
      <c r="M57" s="38">
        <v>0</v>
      </c>
      <c r="N57" s="38">
        <v>0</v>
      </c>
      <c r="O57" s="38">
        <v>0</v>
      </c>
      <c r="P57" s="56"/>
      <c r="Q57" s="57"/>
      <c r="R57" s="38">
        <f t="shared" ref="R57:R64" si="28">O57</f>
        <v>0</v>
      </c>
      <c r="T57" s="7"/>
      <c r="U57" s="227" t="s">
        <v>116</v>
      </c>
      <c r="V57" s="227" t="s">
        <v>117</v>
      </c>
      <c r="W57" s="227" t="s">
        <v>118</v>
      </c>
      <c r="X57" s="227" t="s">
        <v>119</v>
      </c>
    </row>
    <row r="58" spans="4:24" x14ac:dyDescent="0.3">
      <c r="D58" s="15" t="s">
        <v>122</v>
      </c>
      <c r="H58" s="64">
        <f>ABS((R42-R57)/R18)</f>
        <v>38.366071428571431</v>
      </c>
      <c r="J58" s="14" t="s">
        <v>121</v>
      </c>
      <c r="M58" s="30">
        <f>M57/M$11</f>
        <v>0</v>
      </c>
      <c r="N58" s="30">
        <f t="shared" ref="N58:O58" si="29">N57/N$11</f>
        <v>0</v>
      </c>
      <c r="O58" s="30">
        <f t="shared" si="29"/>
        <v>0</v>
      </c>
      <c r="P58" s="56"/>
      <c r="Q58" s="57"/>
      <c r="R58" s="30">
        <f t="shared" si="28"/>
        <v>0</v>
      </c>
      <c r="T58" s="7"/>
      <c r="U58" s="228"/>
      <c r="V58" s="228"/>
      <c r="W58" s="228"/>
      <c r="X58" s="228"/>
    </row>
    <row r="59" spans="4:24" x14ac:dyDescent="0.3">
      <c r="D59" s="15" t="s">
        <v>125</v>
      </c>
      <c r="H59" s="64">
        <f>ABS(R38/R18)</f>
        <v>37.553571428571431</v>
      </c>
      <c r="J59" s="10" t="s">
        <v>123</v>
      </c>
      <c r="M59" s="46">
        <f>M56-M57</f>
        <v>3884</v>
      </c>
      <c r="N59" s="46">
        <f t="shared" ref="N59:O59" si="30">N56-N57</f>
        <v>4518</v>
      </c>
      <c r="O59" s="46">
        <f t="shared" si="30"/>
        <v>4646</v>
      </c>
      <c r="P59" s="52"/>
      <c r="Q59" s="53"/>
      <c r="R59" s="46">
        <f t="shared" si="28"/>
        <v>4646</v>
      </c>
      <c r="T59" t="s">
        <v>124</v>
      </c>
      <c r="U59" s="39">
        <v>0</v>
      </c>
      <c r="V59" s="39">
        <v>0</v>
      </c>
      <c r="W59" s="39">
        <v>0</v>
      </c>
      <c r="X59" s="39">
        <v>0</v>
      </c>
    </row>
    <row r="60" spans="4:24" x14ac:dyDescent="0.3">
      <c r="J60" s="14" t="s">
        <v>65</v>
      </c>
      <c r="M60" s="30">
        <f>M59/M$11</f>
        <v>0.39165070081677927</v>
      </c>
      <c r="N60" s="30">
        <f t="shared" ref="N60:O60" si="31">N59/N$11</f>
        <v>0.40695370203566927</v>
      </c>
      <c r="O60" s="30">
        <f t="shared" si="31"/>
        <v>0.37954415488930643</v>
      </c>
      <c r="P60" s="56"/>
      <c r="Q60" s="57"/>
      <c r="R60" s="30">
        <f t="shared" si="28"/>
        <v>0.37954415488930643</v>
      </c>
      <c r="T60" t="s">
        <v>126</v>
      </c>
      <c r="U60" s="39">
        <v>0</v>
      </c>
      <c r="V60" s="39">
        <v>0</v>
      </c>
      <c r="W60" s="39">
        <v>0</v>
      </c>
      <c r="X60" s="39">
        <v>0</v>
      </c>
    </row>
    <row r="61" spans="4:24" x14ac:dyDescent="0.3">
      <c r="D61" s="6" t="s">
        <v>129</v>
      </c>
      <c r="E61" s="2"/>
      <c r="F61" s="2"/>
      <c r="G61" s="2"/>
      <c r="H61" s="2"/>
      <c r="J61" s="10" t="s">
        <v>127</v>
      </c>
      <c r="M61" s="43">
        <f>M59/M26</f>
        <v>5.8670694864048336</v>
      </c>
      <c r="N61" s="43">
        <f t="shared" ref="N61:O61" si="32">N59/N26</f>
        <v>7.0046511627906973</v>
      </c>
      <c r="O61" s="43">
        <f t="shared" si="32"/>
        <v>7.4574638844301768</v>
      </c>
      <c r="P61" s="56"/>
      <c r="Q61" s="57"/>
      <c r="R61" s="43">
        <f t="shared" si="28"/>
        <v>7.4574638844301768</v>
      </c>
      <c r="T61" t="s">
        <v>128</v>
      </c>
      <c r="U61" s="39">
        <v>0</v>
      </c>
      <c r="V61" s="39">
        <v>0</v>
      </c>
      <c r="W61" s="39">
        <v>0</v>
      </c>
      <c r="X61" s="39">
        <v>0</v>
      </c>
    </row>
    <row r="62" spans="4:24" x14ac:dyDescent="0.3">
      <c r="D62" s="67"/>
      <c r="E62" s="70" t="s">
        <v>12</v>
      </c>
      <c r="F62" s="70" t="s">
        <v>131</v>
      </c>
      <c r="G62" s="70" t="s">
        <v>132</v>
      </c>
      <c r="H62" s="70" t="s">
        <v>133</v>
      </c>
      <c r="P62" s="56"/>
      <c r="Q62" s="57"/>
      <c r="T62" t="s">
        <v>130</v>
      </c>
      <c r="U62" s="39">
        <v>0</v>
      </c>
      <c r="V62" s="39">
        <v>0</v>
      </c>
      <c r="W62" s="39">
        <v>0</v>
      </c>
      <c r="X62" s="39">
        <v>0</v>
      </c>
    </row>
    <row r="63" spans="4:24" x14ac:dyDescent="0.3">
      <c r="D63" s="7" t="s">
        <v>135</v>
      </c>
      <c r="J63" s="13" t="s">
        <v>79</v>
      </c>
      <c r="M63">
        <f>M41</f>
        <v>44</v>
      </c>
      <c r="N63">
        <f t="shared" ref="N63:O63" si="33">N41</f>
        <v>65</v>
      </c>
      <c r="O63">
        <f t="shared" si="33"/>
        <v>91</v>
      </c>
      <c r="P63" s="56"/>
      <c r="Q63" s="57"/>
      <c r="R63">
        <f t="shared" si="28"/>
        <v>91</v>
      </c>
      <c r="T63" t="s">
        <v>134</v>
      </c>
      <c r="U63" s="39">
        <v>0</v>
      </c>
      <c r="V63" s="39">
        <v>0</v>
      </c>
      <c r="W63" s="39">
        <v>0</v>
      </c>
      <c r="X63" s="39">
        <v>0</v>
      </c>
    </row>
    <row r="64" spans="4:24" x14ac:dyDescent="0.3">
      <c r="D64" t="s">
        <v>136</v>
      </c>
      <c r="E64" s="63">
        <f>O11/N11-1</f>
        <v>0.10259412718429117</v>
      </c>
      <c r="F64" s="63">
        <f>O42/N42-1</f>
        <v>6.3350655778272813E-2</v>
      </c>
      <c r="G64" s="63">
        <f>O59/N59-1</f>
        <v>2.8331119964586149E-2</v>
      </c>
      <c r="H64" s="63">
        <f>O27/N27-1</f>
        <v>-2.9426301684073675E-2</v>
      </c>
      <c r="J64" s="14" t="s">
        <v>121</v>
      </c>
      <c r="M64" s="30">
        <f>M63/M$11</f>
        <v>4.4368256529192292E-3</v>
      </c>
      <c r="N64" s="30">
        <f t="shared" ref="N64:O64" si="34">N63/N$11</f>
        <v>5.8548009367681503E-3</v>
      </c>
      <c r="O64" s="30">
        <f t="shared" si="34"/>
        <v>7.4340331672249002E-3</v>
      </c>
      <c r="P64" s="56"/>
      <c r="Q64" s="57"/>
      <c r="R64" s="30">
        <f t="shared" si="28"/>
        <v>7.4340331672249002E-3</v>
      </c>
      <c r="T64" s="10" t="s">
        <v>108</v>
      </c>
      <c r="U64" s="40">
        <f>SUM(U59:U63)</f>
        <v>0</v>
      </c>
      <c r="V64" s="40">
        <f t="shared" ref="V64:X64" si="35">SUM(V59:V63)</f>
        <v>0</v>
      </c>
      <c r="W64" s="40">
        <f t="shared" si="35"/>
        <v>0</v>
      </c>
      <c r="X64" s="40">
        <f t="shared" si="35"/>
        <v>0</v>
      </c>
    </row>
    <row r="65" spans="4:24" x14ac:dyDescent="0.3">
      <c r="D65" t="s">
        <v>137</v>
      </c>
      <c r="E65" s="63">
        <f>_xlfn.RRI(2,M11,O11)</f>
        <v>0.1110108298443635</v>
      </c>
      <c r="F65" s="63">
        <f>_xlfn.RRI(2,M42,O42)</f>
        <v>8.457063275392418E-2</v>
      </c>
      <c r="G65" s="63">
        <f>_xlfn.RRI(2,M59,O59)</f>
        <v>9.3704482648581999E-2</v>
      </c>
      <c r="H65" s="63">
        <f>_xlfn.RRI(2,M27,O27)</f>
        <v>-8.6531289453621874E-2</v>
      </c>
    </row>
    <row r="66" spans="4:24" x14ac:dyDescent="0.3">
      <c r="D66" s="7" t="s">
        <v>139</v>
      </c>
    </row>
    <row r="67" spans="4:24" x14ac:dyDescent="0.3">
      <c r="D67" t="s">
        <v>136</v>
      </c>
      <c r="E67" s="30">
        <f>F37/E37-1</f>
        <v>0.11894453067559829</v>
      </c>
      <c r="F67" s="30">
        <f>F39/E39-1</f>
        <v>0.11985105887828729</v>
      </c>
      <c r="G67" s="30">
        <f>F45/E45-1</f>
        <v>0.10094705122686176</v>
      </c>
      <c r="H67" s="30">
        <f>F43/E43-1</f>
        <v>-0.20342562143059362</v>
      </c>
      <c r="J67" s="6" t="s">
        <v>138</v>
      </c>
      <c r="K67" s="2"/>
      <c r="L67" s="2"/>
      <c r="M67" s="2"/>
      <c r="N67" s="2"/>
      <c r="O67" s="2"/>
      <c r="P67" s="2"/>
      <c r="Q67" s="2"/>
      <c r="R67" s="2"/>
      <c r="S67" s="2"/>
      <c r="T67" s="2"/>
      <c r="U67" s="2"/>
      <c r="V67" s="2"/>
      <c r="W67" s="2"/>
      <c r="X67" s="2"/>
    </row>
    <row r="68" spans="4:24" x14ac:dyDescent="0.3">
      <c r="D68" t="s">
        <v>137</v>
      </c>
      <c r="E68" s="30">
        <f>_xlfn.RRI(2,E37,G37)</f>
        <v>0.10984778728375577</v>
      </c>
      <c r="F68" s="30">
        <f>_xlfn.RRI(2,E39,G39)</f>
        <v>0.12112596747850746</v>
      </c>
      <c r="G68" s="30">
        <f>_xlfn.RRI(2,E45,G45)</f>
        <v>9.1882938446200546E-2</v>
      </c>
      <c r="H68" s="30">
        <f>_xlfn.RRI(2,E43,G43)</f>
        <v>-4.6245018936165727E-2</v>
      </c>
    </row>
    <row r="69" spans="4:24" x14ac:dyDescent="0.3">
      <c r="D69" t="s">
        <v>140</v>
      </c>
      <c r="H69" s="65">
        <v>0.12</v>
      </c>
    </row>
  </sheetData>
  <mergeCells count="15">
    <mergeCell ref="E34:E35"/>
    <mergeCell ref="U47:U48"/>
    <mergeCell ref="V47:V48"/>
    <mergeCell ref="W47:W48"/>
    <mergeCell ref="X47:X48"/>
    <mergeCell ref="F34:F35"/>
    <mergeCell ref="G34:G35"/>
    <mergeCell ref="H34:H35"/>
    <mergeCell ref="P8:P10"/>
    <mergeCell ref="U57:U58"/>
    <mergeCell ref="V57:V58"/>
    <mergeCell ref="W57:W58"/>
    <mergeCell ref="X57:X58"/>
    <mergeCell ref="Q8:Q10"/>
    <mergeCell ref="R8:R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EB9A8-5FF9-44D7-B33E-13616F02415D}">
  <dimension ref="D2:X69"/>
  <sheetViews>
    <sheetView showGridLines="0" topLeftCell="A34" zoomScale="85" zoomScaleNormal="85" workbookViewId="0">
      <selection activeCell="H22" sqref="H22"/>
    </sheetView>
  </sheetViews>
  <sheetFormatPr defaultRowHeight="14.4" x14ac:dyDescent="0.3"/>
  <cols>
    <col min="1" max="3" width="2.33203125" customWidth="1"/>
    <col min="4" max="8" width="11.77734375" customWidth="1"/>
    <col min="13" max="15" width="10.77734375" customWidth="1"/>
    <col min="16" max="18" width="11.77734375" customWidth="1"/>
    <col min="20" max="22" width="10.77734375" customWidth="1"/>
    <col min="23" max="23" width="12.6640625" customWidth="1"/>
    <col min="24" max="25" width="10.77734375" customWidth="1"/>
  </cols>
  <sheetData>
    <row r="2" spans="4:24" ht="21" x14ac:dyDescent="0.4">
      <c r="D2" s="1" t="s">
        <v>209</v>
      </c>
      <c r="E2" s="2"/>
      <c r="F2" s="2"/>
      <c r="G2" s="2"/>
      <c r="H2" s="2"/>
      <c r="I2" s="2"/>
      <c r="J2" s="2"/>
      <c r="K2" s="2"/>
      <c r="L2" s="2"/>
      <c r="M2" s="2"/>
      <c r="N2" s="2"/>
      <c r="O2" s="2"/>
      <c r="P2" s="2"/>
      <c r="Q2" s="2"/>
      <c r="R2" s="2"/>
      <c r="S2" s="2"/>
      <c r="T2" s="2"/>
      <c r="U2" s="2"/>
      <c r="V2" s="2"/>
      <c r="W2" s="2"/>
      <c r="X2" s="2"/>
    </row>
    <row r="3" spans="4:24" ht="18" x14ac:dyDescent="0.35">
      <c r="D3" s="3" t="s">
        <v>0</v>
      </c>
      <c r="E3" s="2"/>
      <c r="F3" s="2"/>
      <c r="G3" s="2"/>
      <c r="H3" s="2"/>
      <c r="I3" s="2"/>
      <c r="J3" s="2"/>
      <c r="K3" s="2"/>
      <c r="L3" s="2"/>
      <c r="M3" s="2"/>
      <c r="N3" s="2"/>
      <c r="O3" s="2"/>
      <c r="P3" s="2"/>
      <c r="Q3" s="2"/>
      <c r="R3" s="2"/>
      <c r="S3" s="2"/>
      <c r="T3" s="2"/>
      <c r="U3" s="2"/>
      <c r="V3" s="2"/>
      <c r="W3" s="2"/>
      <c r="X3" s="2"/>
    </row>
    <row r="4" spans="4:24" x14ac:dyDescent="0.3">
      <c r="D4" s="4" t="s">
        <v>1</v>
      </c>
      <c r="E4" s="2"/>
      <c r="F4" s="2"/>
      <c r="G4" s="2"/>
      <c r="H4" s="2"/>
      <c r="I4" s="2"/>
      <c r="J4" s="2"/>
      <c r="K4" s="2"/>
      <c r="L4" s="2"/>
      <c r="M4" s="2"/>
      <c r="N4" s="2"/>
      <c r="O4" s="2"/>
      <c r="P4" s="2"/>
      <c r="Q4" s="2"/>
      <c r="R4" s="2"/>
      <c r="S4" s="2"/>
      <c r="T4" s="2"/>
      <c r="U4" s="2"/>
      <c r="V4" s="2"/>
      <c r="W4" s="2"/>
      <c r="X4" s="2"/>
    </row>
    <row r="5" spans="4:24" x14ac:dyDescent="0.3">
      <c r="H5" s="5"/>
    </row>
    <row r="7" spans="4:24" x14ac:dyDescent="0.3">
      <c r="D7" s="6" t="s">
        <v>2</v>
      </c>
      <c r="E7" s="2"/>
      <c r="F7" s="2"/>
      <c r="G7" s="2"/>
      <c r="H7" s="2"/>
      <c r="J7" s="6" t="s">
        <v>3</v>
      </c>
      <c r="K7" s="2"/>
      <c r="L7" s="2"/>
      <c r="M7" s="2"/>
      <c r="N7" s="2"/>
      <c r="O7" s="2"/>
      <c r="P7" s="2"/>
      <c r="Q7" s="2"/>
      <c r="R7" s="2"/>
      <c r="T7" s="6" t="s">
        <v>4</v>
      </c>
      <c r="U7" s="2"/>
      <c r="V7" s="2"/>
      <c r="W7" s="2"/>
      <c r="X7" s="2"/>
    </row>
    <row r="8" spans="4:24" x14ac:dyDescent="0.3">
      <c r="D8" t="s">
        <v>5</v>
      </c>
      <c r="H8" s="27" t="s">
        <v>171</v>
      </c>
      <c r="J8" s="67"/>
      <c r="K8" s="67"/>
      <c r="L8" s="67"/>
      <c r="M8" s="68"/>
      <c r="N8" s="68"/>
      <c r="O8" s="68"/>
      <c r="P8" s="225" t="s">
        <v>191</v>
      </c>
      <c r="Q8" s="225" t="s">
        <v>192</v>
      </c>
      <c r="R8" s="225" t="s">
        <v>193</v>
      </c>
      <c r="T8" s="67"/>
      <c r="U8" s="67"/>
      <c r="V8" s="67"/>
      <c r="W8" s="70" t="s">
        <v>187</v>
      </c>
      <c r="X8" s="70" t="s">
        <v>188</v>
      </c>
    </row>
    <row r="9" spans="4:24" x14ac:dyDescent="0.3">
      <c r="D9" t="s">
        <v>6</v>
      </c>
      <c r="H9" s="27" t="s">
        <v>172</v>
      </c>
      <c r="J9" s="67"/>
      <c r="K9" s="67"/>
      <c r="L9" s="67"/>
      <c r="M9" s="69" t="s">
        <v>7</v>
      </c>
      <c r="N9" s="69"/>
      <c r="O9" s="69"/>
      <c r="P9" s="225"/>
      <c r="Q9" s="225"/>
      <c r="R9" s="225"/>
      <c r="T9" t="s">
        <v>8</v>
      </c>
      <c r="W9" s="38">
        <f>918+52</f>
        <v>970</v>
      </c>
    </row>
    <row r="10" spans="4:24" x14ac:dyDescent="0.3">
      <c r="D10" t="s">
        <v>9</v>
      </c>
      <c r="H10" s="27" t="s">
        <v>182</v>
      </c>
      <c r="J10" s="67"/>
      <c r="K10" s="67"/>
      <c r="L10" s="67"/>
      <c r="M10" s="69" t="s">
        <v>189</v>
      </c>
      <c r="N10" s="69" t="s">
        <v>190</v>
      </c>
      <c r="O10" s="69" t="s">
        <v>187</v>
      </c>
      <c r="P10" s="226"/>
      <c r="Q10" s="226"/>
      <c r="R10" s="226"/>
      <c r="T10" t="s">
        <v>10</v>
      </c>
      <c r="W10" s="38">
        <v>1690</v>
      </c>
    </row>
    <row r="11" spans="4:24" x14ac:dyDescent="0.3">
      <c r="D11" t="s">
        <v>11</v>
      </c>
      <c r="H11" s="27" t="s">
        <v>183</v>
      </c>
      <c r="J11" s="7" t="s">
        <v>12</v>
      </c>
      <c r="M11" s="50">
        <v>10235</v>
      </c>
      <c r="N11" s="50">
        <v>11174</v>
      </c>
      <c r="O11" s="50">
        <v>12039</v>
      </c>
      <c r="P11" s="61"/>
      <c r="Q11" s="62"/>
      <c r="R11" s="50">
        <f>O11</f>
        <v>12039</v>
      </c>
      <c r="T11" t="s">
        <v>220</v>
      </c>
      <c r="W11" s="38">
        <v>219</v>
      </c>
    </row>
    <row r="12" spans="4:24" x14ac:dyDescent="0.3">
      <c r="D12" t="s">
        <v>14</v>
      </c>
      <c r="H12" s="27" t="s">
        <v>211</v>
      </c>
      <c r="J12" t="s">
        <v>15</v>
      </c>
      <c r="M12" s="49">
        <f>8010-393</f>
        <v>7617</v>
      </c>
      <c r="N12" s="49">
        <f>8809-415</f>
        <v>8394</v>
      </c>
      <c r="O12" s="49">
        <f>9346-408</f>
        <v>8938</v>
      </c>
      <c r="P12" s="54"/>
      <c r="Q12" s="55"/>
      <c r="R12" s="49">
        <f t="shared" ref="R12:R26" si="0">O12</f>
        <v>8938</v>
      </c>
      <c r="T12" t="s">
        <v>221</v>
      </c>
      <c r="W12" s="38">
        <v>117</v>
      </c>
    </row>
    <row r="13" spans="4:24" x14ac:dyDescent="0.3">
      <c r="D13" t="s">
        <v>17</v>
      </c>
      <c r="H13" s="27" t="s">
        <v>210</v>
      </c>
      <c r="J13" s="10" t="s">
        <v>18</v>
      </c>
      <c r="M13" s="50">
        <f>M11-M12</f>
        <v>2618</v>
      </c>
      <c r="N13" s="50">
        <f t="shared" ref="N13:O13" si="1">N11-N12</f>
        <v>2780</v>
      </c>
      <c r="O13" s="50">
        <f t="shared" si="1"/>
        <v>3101</v>
      </c>
      <c r="P13" s="56"/>
      <c r="Q13" s="57"/>
      <c r="R13" s="50">
        <f t="shared" si="0"/>
        <v>3101</v>
      </c>
      <c r="T13" s="10" t="s">
        <v>19</v>
      </c>
      <c r="W13" s="46">
        <f>SUM(W9:W12)</f>
        <v>2996</v>
      </c>
      <c r="X13" s="11"/>
    </row>
    <row r="14" spans="4:24" x14ac:dyDescent="0.3">
      <c r="D14" t="s">
        <v>20</v>
      </c>
      <c r="H14" s="27">
        <v>1.04</v>
      </c>
      <c r="J14" t="s">
        <v>21</v>
      </c>
      <c r="M14" s="38">
        <v>393</v>
      </c>
      <c r="N14" s="38">
        <v>415</v>
      </c>
      <c r="O14" s="38">
        <v>408</v>
      </c>
      <c r="P14" s="56"/>
      <c r="Q14" s="57"/>
      <c r="R14" s="38">
        <f t="shared" si="0"/>
        <v>408</v>
      </c>
      <c r="W14" s="38"/>
    </row>
    <row r="15" spans="4:24" x14ac:dyDescent="0.3">
      <c r="D15" t="s">
        <v>22</v>
      </c>
      <c r="H15" s="31">
        <v>0.2</v>
      </c>
      <c r="J15" t="s">
        <v>23</v>
      </c>
      <c r="M15" s="49">
        <v>0</v>
      </c>
      <c r="N15" s="49">
        <v>5</v>
      </c>
      <c r="O15" s="49">
        <v>0</v>
      </c>
      <c r="P15" s="54"/>
      <c r="Q15" s="55"/>
      <c r="R15" s="49">
        <f t="shared" si="0"/>
        <v>0</v>
      </c>
      <c r="T15" t="s">
        <v>24</v>
      </c>
      <c r="W15" s="38">
        <v>684</v>
      </c>
    </row>
    <row r="16" spans="4:24" x14ac:dyDescent="0.3">
      <c r="J16" s="10" t="s">
        <v>25</v>
      </c>
      <c r="M16" s="50">
        <f>M13-M14+M15</f>
        <v>2225</v>
      </c>
      <c r="N16" s="50">
        <f t="shared" ref="N16:O16" si="2">N13-N14+N15</f>
        <v>2370</v>
      </c>
      <c r="O16" s="50">
        <f t="shared" si="2"/>
        <v>2693</v>
      </c>
      <c r="P16" s="56"/>
      <c r="Q16" s="57"/>
      <c r="R16" s="50">
        <f t="shared" si="0"/>
        <v>2693</v>
      </c>
      <c r="T16" t="s">
        <v>26</v>
      </c>
      <c r="W16" s="38">
        <f>5081+5023+1471+206</f>
        <v>11781</v>
      </c>
    </row>
    <row r="17" spans="4:24" x14ac:dyDescent="0.3">
      <c r="D17" s="6" t="s">
        <v>27</v>
      </c>
      <c r="E17" s="2"/>
      <c r="F17" s="2"/>
      <c r="G17" s="2"/>
      <c r="H17" s="2"/>
      <c r="J17" t="s">
        <v>28</v>
      </c>
      <c r="M17" s="49">
        <f>39-92-16-464</f>
        <v>-533</v>
      </c>
      <c r="N17" s="49">
        <f>-6-12-569</f>
        <v>-587</v>
      </c>
      <c r="O17" s="49">
        <f>10-11-620</f>
        <v>-621</v>
      </c>
      <c r="P17" s="54"/>
      <c r="Q17" s="55"/>
      <c r="R17" s="49">
        <f t="shared" si="0"/>
        <v>-621</v>
      </c>
      <c r="T17" t="s">
        <v>29</v>
      </c>
      <c r="W17" s="38">
        <f>577+252+484</f>
        <v>1313</v>
      </c>
    </row>
    <row r="18" spans="4:24" x14ac:dyDescent="0.3">
      <c r="D18" t="s">
        <v>30</v>
      </c>
      <c r="H18" s="33">
        <v>330.71</v>
      </c>
      <c r="J18" s="10" t="s">
        <v>31</v>
      </c>
      <c r="M18" s="50">
        <f>SUM(M16:M17)</f>
        <v>1692</v>
      </c>
      <c r="N18" s="50">
        <f t="shared" ref="N18:O18" si="3">SUM(N16:N17)</f>
        <v>1783</v>
      </c>
      <c r="O18" s="50">
        <f t="shared" si="3"/>
        <v>2072</v>
      </c>
      <c r="P18" s="56"/>
      <c r="Q18" s="57"/>
      <c r="R18" s="50">
        <f t="shared" si="0"/>
        <v>2072</v>
      </c>
      <c r="T18" s="10" t="s">
        <v>32</v>
      </c>
      <c r="W18" s="47">
        <f>SUM(W15:W17)+W13</f>
        <v>16774</v>
      </c>
      <c r="X18" s="12"/>
    </row>
    <row r="19" spans="4:24" x14ac:dyDescent="0.3">
      <c r="D19" s="5" t="s">
        <v>33</v>
      </c>
      <c r="H19" s="30">
        <f>H18/H20</f>
        <v>0.99056490744623482</v>
      </c>
      <c r="J19" t="s">
        <v>34</v>
      </c>
      <c r="M19" s="38">
        <v>-541</v>
      </c>
      <c r="N19" s="38">
        <v>-244</v>
      </c>
      <c r="O19" s="38">
        <v>-611</v>
      </c>
      <c r="P19" s="56"/>
      <c r="Q19" s="57"/>
      <c r="R19" s="38">
        <f t="shared" si="0"/>
        <v>-611</v>
      </c>
      <c r="W19" s="38"/>
    </row>
    <row r="20" spans="4:24" x14ac:dyDescent="0.3">
      <c r="D20" t="s">
        <v>35</v>
      </c>
      <c r="H20" s="33">
        <v>333.86</v>
      </c>
      <c r="J20" s="13" t="s">
        <v>36</v>
      </c>
      <c r="M20" s="38">
        <v>0</v>
      </c>
      <c r="N20" s="38">
        <v>0</v>
      </c>
      <c r="O20" s="38">
        <v>0</v>
      </c>
      <c r="P20" s="56"/>
      <c r="Q20" s="57"/>
      <c r="R20" s="38">
        <f t="shared" si="0"/>
        <v>0</v>
      </c>
      <c r="T20" t="s">
        <v>186</v>
      </c>
      <c r="W20" s="38">
        <v>25</v>
      </c>
    </row>
    <row r="21" spans="4:24" x14ac:dyDescent="0.3">
      <c r="D21" t="s">
        <v>38</v>
      </c>
      <c r="H21" s="33">
        <v>201.15</v>
      </c>
      <c r="J21" t="s">
        <v>39</v>
      </c>
      <c r="M21" s="38">
        <v>0</v>
      </c>
      <c r="N21" s="38">
        <v>0</v>
      </c>
      <c r="O21" s="38">
        <v>0</v>
      </c>
      <c r="P21" s="56"/>
      <c r="Q21" s="57"/>
      <c r="R21" s="38">
        <f t="shared" si="0"/>
        <v>0</v>
      </c>
      <c r="T21" t="s">
        <v>37</v>
      </c>
      <c r="W21" s="38">
        <v>2336</v>
      </c>
    </row>
    <row r="22" spans="4:24" ht="15" thickBot="1" x14ac:dyDescent="0.35">
      <c r="D22" t="s">
        <v>41</v>
      </c>
      <c r="H22" s="33">
        <v>0.6</v>
      </c>
      <c r="J22" s="10" t="s">
        <v>42</v>
      </c>
      <c r="M22" s="51">
        <f>SUM(M18:M21)</f>
        <v>1151</v>
      </c>
      <c r="N22" s="51">
        <f t="shared" ref="N22:O22" si="4">SUM(N18:N21)</f>
        <v>1539</v>
      </c>
      <c r="O22" s="51">
        <f t="shared" si="4"/>
        <v>1461</v>
      </c>
      <c r="P22" s="58"/>
      <c r="Q22" s="59"/>
      <c r="R22" s="51">
        <f t="shared" si="0"/>
        <v>1461</v>
      </c>
      <c r="T22" t="s">
        <v>40</v>
      </c>
      <c r="W22" s="38">
        <v>858</v>
      </c>
    </row>
    <row r="23" spans="4:24" ht="15" thickTop="1" x14ac:dyDescent="0.3">
      <c r="J23" s="14" t="s">
        <v>44</v>
      </c>
      <c r="M23" s="30">
        <f>ABS(M19/M18)</f>
        <v>0.31973995271867611</v>
      </c>
      <c r="N23" s="30">
        <f t="shared" ref="N23:O23" si="5">ABS(N19/N18)</f>
        <v>0.13684800897363994</v>
      </c>
      <c r="O23" s="30">
        <f t="shared" si="5"/>
        <v>0.29488416988416988</v>
      </c>
      <c r="P23" s="56"/>
      <c r="Q23" s="57"/>
      <c r="R23" s="30">
        <f t="shared" si="0"/>
        <v>0.29488416988416988</v>
      </c>
      <c r="T23" t="s">
        <v>43</v>
      </c>
      <c r="W23" s="38">
        <v>1289</v>
      </c>
    </row>
    <row r="24" spans="4:24" x14ac:dyDescent="0.3">
      <c r="D24" t="s">
        <v>46</v>
      </c>
      <c r="H24" s="42">
        <f>X44</f>
        <v>236.7</v>
      </c>
      <c r="P24" s="56"/>
      <c r="Q24" s="57"/>
      <c r="T24" s="10" t="s">
        <v>45</v>
      </c>
      <c r="W24" s="46">
        <f>SUM(W20:W23)</f>
        <v>4508</v>
      </c>
      <c r="X24" s="11"/>
    </row>
    <row r="25" spans="4:24" x14ac:dyDescent="0.3">
      <c r="D25" s="10" t="s">
        <v>47</v>
      </c>
      <c r="H25" s="44">
        <f>H24*H18</f>
        <v>78279.056999999986</v>
      </c>
      <c r="J25" t="s">
        <v>48</v>
      </c>
      <c r="M25" s="28">
        <v>264</v>
      </c>
      <c r="N25" s="28">
        <v>250</v>
      </c>
      <c r="O25" s="28">
        <f>H24</f>
        <v>236.7</v>
      </c>
      <c r="P25" s="56"/>
      <c r="Q25" s="57"/>
      <c r="R25">
        <f t="shared" si="0"/>
        <v>236.7</v>
      </c>
      <c r="T25" s="10"/>
      <c r="W25" s="38"/>
    </row>
    <row r="26" spans="4:24" x14ac:dyDescent="0.3">
      <c r="J26" s="10" t="s">
        <v>50</v>
      </c>
      <c r="M26" s="43">
        <f>M22/M25</f>
        <v>4.3598484848484844</v>
      </c>
      <c r="N26" s="43">
        <f t="shared" ref="N26:O26" si="6">N22/N25</f>
        <v>6.1559999999999997</v>
      </c>
      <c r="O26" s="43">
        <f t="shared" si="6"/>
        <v>6.1723700887198989</v>
      </c>
      <c r="P26" s="56"/>
      <c r="Q26" s="57"/>
      <c r="R26" s="43">
        <f t="shared" si="0"/>
        <v>6.1723700887198989</v>
      </c>
      <c r="T26" s="13" t="s">
        <v>49</v>
      </c>
      <c r="W26" s="38">
        <v>12338</v>
      </c>
    </row>
    <row r="27" spans="4:24" x14ac:dyDescent="0.3">
      <c r="D27" t="s">
        <v>52</v>
      </c>
      <c r="H27" s="38">
        <f>+W20+W26</f>
        <v>12363</v>
      </c>
      <c r="T27" s="13" t="s">
        <v>51</v>
      </c>
      <c r="W27" s="38">
        <f>730+1648+322+1624+950</f>
        <v>5274</v>
      </c>
    </row>
    <row r="28" spans="4:24" x14ac:dyDescent="0.3">
      <c r="D28" t="s">
        <v>54</v>
      </c>
      <c r="H28" s="38">
        <f>+W31</f>
        <v>0</v>
      </c>
      <c r="J28" s="6" t="s">
        <v>55</v>
      </c>
      <c r="K28" s="2"/>
      <c r="L28" s="2"/>
      <c r="M28" s="2"/>
      <c r="N28" s="2"/>
      <c r="O28" s="2"/>
      <c r="P28" s="2"/>
      <c r="Q28" s="2"/>
      <c r="R28" s="2"/>
      <c r="T28" s="10" t="s">
        <v>53</v>
      </c>
      <c r="W28" s="46">
        <f>SUM(W26:W27)+W24</f>
        <v>22120</v>
      </c>
      <c r="X28" s="11"/>
    </row>
    <row r="29" spans="4:24" x14ac:dyDescent="0.3">
      <c r="D29" t="s">
        <v>56</v>
      </c>
      <c r="H29" s="38">
        <f>+W30</f>
        <v>42</v>
      </c>
      <c r="J29" t="s">
        <v>57</v>
      </c>
      <c r="M29" s="38">
        <f>M13</f>
        <v>2618</v>
      </c>
      <c r="N29" s="38">
        <f t="shared" ref="N29:O29" si="7">N13</f>
        <v>2780</v>
      </c>
      <c r="O29" s="38">
        <f t="shared" si="7"/>
        <v>3101</v>
      </c>
      <c r="P29" s="56"/>
      <c r="Q29" s="57"/>
      <c r="R29" s="38">
        <f>O29</f>
        <v>3101</v>
      </c>
      <c r="W29" s="38"/>
    </row>
    <row r="30" spans="4:24" x14ac:dyDescent="0.3">
      <c r="D30" t="s">
        <v>59</v>
      </c>
      <c r="H30" s="38">
        <f>-W9</f>
        <v>-970</v>
      </c>
      <c r="J30" t="s">
        <v>60</v>
      </c>
      <c r="M30" s="38">
        <v>0</v>
      </c>
      <c r="N30" s="38">
        <v>0</v>
      </c>
      <c r="O30" s="38">
        <v>0</v>
      </c>
      <c r="P30" s="56"/>
      <c r="Q30" s="57"/>
      <c r="R30" s="38">
        <f t="shared" ref="R30:R52" si="8">O30</f>
        <v>0</v>
      </c>
      <c r="T30" t="s">
        <v>58</v>
      </c>
      <c r="W30" s="38">
        <f>29+13</f>
        <v>42</v>
      </c>
    </row>
    <row r="31" spans="4:24" x14ac:dyDescent="0.3">
      <c r="D31" s="10" t="s">
        <v>62</v>
      </c>
      <c r="H31" s="48">
        <f>SUM(H25:H30)</f>
        <v>89714.056999999986</v>
      </c>
      <c r="J31" s="10" t="s">
        <v>63</v>
      </c>
      <c r="M31" s="60">
        <f>SUM(M29:M30)</f>
        <v>2618</v>
      </c>
      <c r="N31" s="60">
        <f t="shared" ref="N31:O31" si="9">SUM(N29:N30)</f>
        <v>2780</v>
      </c>
      <c r="O31" s="60">
        <f t="shared" si="9"/>
        <v>3101</v>
      </c>
      <c r="P31" s="52"/>
      <c r="Q31" s="53"/>
      <c r="R31" s="60">
        <f t="shared" si="8"/>
        <v>3101</v>
      </c>
      <c r="T31" t="s">
        <v>61</v>
      </c>
      <c r="W31" s="38">
        <v>0</v>
      </c>
    </row>
    <row r="32" spans="4:24" x14ac:dyDescent="0.3">
      <c r="J32" s="14" t="s">
        <v>65</v>
      </c>
      <c r="M32" s="30">
        <f>M31/M$11</f>
        <v>0.25578895945285784</v>
      </c>
      <c r="N32" s="30">
        <f t="shared" ref="N32:O32" si="10">N31/N$11</f>
        <v>0.24879183819581172</v>
      </c>
      <c r="O32" s="30">
        <f t="shared" si="10"/>
        <v>0.25757953318381926</v>
      </c>
      <c r="P32" s="56"/>
      <c r="Q32" s="57"/>
      <c r="R32" s="30">
        <f t="shared" si="8"/>
        <v>0.25757953318381926</v>
      </c>
      <c r="T32" t="s">
        <v>64</v>
      </c>
      <c r="W32" s="38">
        <v>-5388</v>
      </c>
    </row>
    <row r="33" spans="4:24" x14ac:dyDescent="0.3">
      <c r="D33" s="6" t="s">
        <v>67</v>
      </c>
      <c r="E33" s="2"/>
      <c r="F33" s="2"/>
      <c r="G33" s="2"/>
      <c r="H33" s="2"/>
      <c r="P33" s="56"/>
      <c r="Q33" s="57"/>
      <c r="T33" s="10" t="s">
        <v>66</v>
      </c>
      <c r="W33" s="47">
        <f>SUM(W30:W32)+W28</f>
        <v>16774</v>
      </c>
      <c r="X33" s="12"/>
    </row>
    <row r="34" spans="4:24" x14ac:dyDescent="0.3">
      <c r="D34" s="67"/>
      <c r="E34" s="225" t="s">
        <v>193</v>
      </c>
      <c r="F34" s="225" t="s">
        <v>194</v>
      </c>
      <c r="G34" s="225" t="s">
        <v>195</v>
      </c>
      <c r="H34" s="225" t="s">
        <v>196</v>
      </c>
      <c r="J34" t="s">
        <v>68</v>
      </c>
      <c r="M34" s="38">
        <f>M16</f>
        <v>2225</v>
      </c>
      <c r="N34" s="38">
        <f t="shared" ref="N34:O34" si="11">N16</f>
        <v>2370</v>
      </c>
      <c r="O34" s="38">
        <f t="shared" si="11"/>
        <v>2693</v>
      </c>
      <c r="P34" s="56"/>
      <c r="Q34" s="57"/>
      <c r="R34" s="38">
        <f t="shared" si="8"/>
        <v>2693</v>
      </c>
    </row>
    <row r="35" spans="4:24" x14ac:dyDescent="0.3">
      <c r="D35" s="67"/>
      <c r="E35" s="226"/>
      <c r="F35" s="226"/>
      <c r="G35" s="226"/>
      <c r="H35" s="226"/>
      <c r="J35" t="s">
        <v>60</v>
      </c>
      <c r="M35" s="38">
        <v>0</v>
      </c>
      <c r="N35" s="38">
        <v>0</v>
      </c>
      <c r="O35" s="38">
        <v>0</v>
      </c>
      <c r="P35" s="56"/>
      <c r="Q35" s="57"/>
      <c r="R35" s="38">
        <f t="shared" si="8"/>
        <v>0</v>
      </c>
      <c r="T35" s="5" t="s">
        <v>69</v>
      </c>
      <c r="W35" s="45">
        <f>IF(W33=W18,W18-W33,W18-W33)</f>
        <v>0</v>
      </c>
    </row>
    <row r="36" spans="4:24" x14ac:dyDescent="0.3">
      <c r="D36" t="s">
        <v>70</v>
      </c>
      <c r="E36" s="64">
        <f>$H$31/E37</f>
        <v>7.4519525708115282</v>
      </c>
      <c r="F36" s="64">
        <f t="shared" ref="F36:H36" si="12">$H$31/F37</f>
        <v>6.8510161893852608</v>
      </c>
      <c r="G36" s="64">
        <f t="shared" si="12"/>
        <v>6.3227892733807867</v>
      </c>
      <c r="H36" s="64">
        <f t="shared" si="12"/>
        <v>5.8579207966046347</v>
      </c>
      <c r="J36" t="s">
        <v>71</v>
      </c>
      <c r="M36" s="38">
        <f>16+92+63+169+38+43+337+28-147</f>
        <v>639</v>
      </c>
      <c r="N36" s="38">
        <f>-5+12+50+57+176+50-6428+6985+34-146</f>
        <v>785</v>
      </c>
      <c r="O36">
        <f>73+170+57-7085+7550+80-177</f>
        <v>668</v>
      </c>
      <c r="P36" s="56"/>
      <c r="Q36" s="57"/>
      <c r="R36" s="38">
        <f>N36</f>
        <v>785</v>
      </c>
    </row>
    <row r="37" spans="4:24" x14ac:dyDescent="0.3">
      <c r="D37" s="15" t="s">
        <v>72</v>
      </c>
      <c r="E37" s="38">
        <f>R11</f>
        <v>12039</v>
      </c>
      <c r="F37" s="34">
        <v>13095</v>
      </c>
      <c r="G37" s="34">
        <v>14189</v>
      </c>
      <c r="H37" s="34">
        <v>15315</v>
      </c>
      <c r="J37" s="10" t="s">
        <v>73</v>
      </c>
      <c r="M37" s="46">
        <f>SUM(M34:M36)</f>
        <v>2864</v>
      </c>
      <c r="N37" s="46">
        <f>SUM(N34:N36)</f>
        <v>3155</v>
      </c>
      <c r="O37" s="46">
        <f t="shared" ref="O37" si="13">SUM(O34:O36)</f>
        <v>3361</v>
      </c>
      <c r="P37" s="52"/>
      <c r="Q37" s="53"/>
      <c r="R37" s="46">
        <f t="shared" si="8"/>
        <v>3361</v>
      </c>
    </row>
    <row r="38" spans="4:24" x14ac:dyDescent="0.3">
      <c r="D38" t="s">
        <v>75</v>
      </c>
      <c r="E38" s="64">
        <f>$H$31/E39</f>
        <v>25.357280101752398</v>
      </c>
      <c r="F38" s="64">
        <f t="shared" ref="F38:H38" si="14">$H$31/F39</f>
        <v>22.250510168650791</v>
      </c>
      <c r="G38" s="64">
        <f t="shared" si="14"/>
        <v>20.412754721274172</v>
      </c>
      <c r="H38" s="64">
        <f t="shared" si="14"/>
        <v>18.733359156400081</v>
      </c>
      <c r="J38" s="14" t="s">
        <v>65</v>
      </c>
      <c r="M38" s="30">
        <f>M37/M$11</f>
        <v>0.27982413287738156</v>
      </c>
      <c r="N38" s="30">
        <f t="shared" ref="N38:O38" si="15">N37/N$11</f>
        <v>0.28235188831215319</v>
      </c>
      <c r="O38" s="30">
        <f t="shared" si="15"/>
        <v>0.27917601129661934</v>
      </c>
      <c r="P38" s="56"/>
      <c r="Q38" s="57"/>
      <c r="R38" s="30">
        <f t="shared" si="8"/>
        <v>0.27917601129661934</v>
      </c>
      <c r="T38" s="6" t="s">
        <v>74</v>
      </c>
      <c r="U38" s="2"/>
      <c r="V38" s="2"/>
      <c r="W38" s="2"/>
      <c r="X38" s="2"/>
    </row>
    <row r="39" spans="4:24" x14ac:dyDescent="0.3">
      <c r="D39" s="15" t="s">
        <v>72</v>
      </c>
      <c r="E39" s="38">
        <f>R41</f>
        <v>3538</v>
      </c>
      <c r="F39" s="34">
        <v>4032</v>
      </c>
      <c r="G39" s="34">
        <v>4395</v>
      </c>
      <c r="H39" s="34">
        <v>4789</v>
      </c>
      <c r="P39" s="56"/>
      <c r="Q39" s="57"/>
      <c r="T39" t="s">
        <v>76</v>
      </c>
      <c r="X39" s="35">
        <v>236</v>
      </c>
    </row>
    <row r="40" spans="4:24" x14ac:dyDescent="0.3">
      <c r="D40" t="s">
        <v>78</v>
      </c>
      <c r="E40" s="64">
        <f>$H$31/E41</f>
        <v>33.313797623468247</v>
      </c>
      <c r="F40" s="64">
        <f t="shared" ref="F40:H40" si="16">$H$31/F41</f>
        <v>25.93641428158427</v>
      </c>
      <c r="G40" s="64">
        <f t="shared" si="16"/>
        <v>23.509973008385742</v>
      </c>
      <c r="H40" s="64">
        <f t="shared" si="16"/>
        <v>21.370666269652212</v>
      </c>
      <c r="J40" t="s">
        <v>79</v>
      </c>
      <c r="M40">
        <v>147</v>
      </c>
      <c r="N40">
        <v>146</v>
      </c>
      <c r="O40">
        <v>177</v>
      </c>
      <c r="P40" s="56"/>
      <c r="Q40" s="57"/>
      <c r="R40">
        <f t="shared" si="8"/>
        <v>177</v>
      </c>
      <c r="T40" t="s">
        <v>77</v>
      </c>
      <c r="X40" s="39">
        <f>W54</f>
        <v>4.0250000000000004</v>
      </c>
    </row>
    <row r="41" spans="4:24" x14ac:dyDescent="0.3">
      <c r="D41" s="15" t="s">
        <v>72</v>
      </c>
      <c r="E41" s="38">
        <f>R34</f>
        <v>2693</v>
      </c>
      <c r="F41" s="34">
        <v>3459</v>
      </c>
      <c r="G41" s="34">
        <v>3816</v>
      </c>
      <c r="H41" s="34">
        <v>4198</v>
      </c>
      <c r="J41" s="10" t="s">
        <v>81</v>
      </c>
      <c r="M41" s="46">
        <f>M37+M40</f>
        <v>3011</v>
      </c>
      <c r="N41" s="46">
        <f t="shared" ref="N41:O41" si="17">N37+N40</f>
        <v>3301</v>
      </c>
      <c r="O41" s="46">
        <f t="shared" si="17"/>
        <v>3538</v>
      </c>
      <c r="P41" s="52"/>
      <c r="Q41" s="53"/>
      <c r="R41" s="46">
        <f t="shared" si="8"/>
        <v>3538</v>
      </c>
      <c r="T41" t="s">
        <v>80</v>
      </c>
      <c r="X41" s="39">
        <f>-X54/H18</f>
        <v>-1.864981947930211</v>
      </c>
    </row>
    <row r="42" spans="4:24" x14ac:dyDescent="0.3">
      <c r="D42" t="s">
        <v>83</v>
      </c>
      <c r="E42" s="64">
        <f>$H$18/E43</f>
        <v>53.57909445585215</v>
      </c>
      <c r="F42" s="64">
        <f t="shared" ref="F42:H42" si="18">$H$18/F43</f>
        <v>37.580681818181816</v>
      </c>
      <c r="G42" s="64">
        <f t="shared" si="18"/>
        <v>33.20381526104417</v>
      </c>
      <c r="H42" s="64">
        <f t="shared" si="18"/>
        <v>28.558721934369601</v>
      </c>
      <c r="J42" s="14" t="s">
        <v>65</v>
      </c>
      <c r="M42" s="30">
        <f>M41/M$11</f>
        <v>0.29418661455788958</v>
      </c>
      <c r="N42" s="30">
        <f t="shared" ref="N42:O42" si="19">N41/N$11</f>
        <v>0.29541793449078219</v>
      </c>
      <c r="O42" s="30">
        <f t="shared" si="19"/>
        <v>0.29387822908879474</v>
      </c>
      <c r="P42" s="56"/>
      <c r="Q42" s="57"/>
      <c r="R42" s="30">
        <f t="shared" si="8"/>
        <v>0.29387822908879474</v>
      </c>
      <c r="T42" s="10" t="s">
        <v>82</v>
      </c>
      <c r="X42" s="40">
        <v>0.7</v>
      </c>
    </row>
    <row r="43" spans="4:24" x14ac:dyDescent="0.3">
      <c r="D43" s="15" t="s">
        <v>72</v>
      </c>
      <c r="E43" s="32">
        <f>R26</f>
        <v>6.1723700887198989</v>
      </c>
      <c r="F43" s="32">
        <v>8.8000000000000007</v>
      </c>
      <c r="G43" s="32">
        <v>9.9600000000000009</v>
      </c>
      <c r="H43" s="32">
        <v>11.58</v>
      </c>
      <c r="P43" s="56"/>
      <c r="Q43" s="57"/>
      <c r="T43" t="s">
        <v>84</v>
      </c>
      <c r="X43" s="39">
        <v>0</v>
      </c>
    </row>
    <row r="44" spans="4:24" x14ac:dyDescent="0.3">
      <c r="D44" t="s">
        <v>85</v>
      </c>
      <c r="E44" s="30">
        <f>E45/$H$25</f>
        <v>2.5907312603420867E-2</v>
      </c>
      <c r="F44" s="30">
        <f t="shared" ref="F44:H44" si="20">F45/$H$25</f>
        <v>2.9101014847432313E-2</v>
      </c>
      <c r="G44" s="30">
        <f t="shared" si="20"/>
        <v>2.9586457588522054E-2</v>
      </c>
      <c r="H44" s="30">
        <f t="shared" si="20"/>
        <v>3.1681526260593562E-2</v>
      </c>
      <c r="J44" t="s">
        <v>86</v>
      </c>
      <c r="M44" s="38">
        <f>M22</f>
        <v>1151</v>
      </c>
      <c r="N44" s="38">
        <f t="shared" ref="N44:O44" si="21">N22</f>
        <v>1539</v>
      </c>
      <c r="O44" s="38">
        <f t="shared" si="21"/>
        <v>1461</v>
      </c>
      <c r="P44" s="56"/>
      <c r="Q44" s="57"/>
      <c r="R44" s="38">
        <f t="shared" si="8"/>
        <v>1461</v>
      </c>
      <c r="T44" s="10" t="s">
        <v>46</v>
      </c>
      <c r="X44" s="41">
        <f>X39+X42</f>
        <v>236.7</v>
      </c>
    </row>
    <row r="45" spans="4:24" x14ac:dyDescent="0.3">
      <c r="D45" s="15" t="s">
        <v>72</v>
      </c>
      <c r="E45" s="38">
        <f>R58</f>
        <v>2028</v>
      </c>
      <c r="F45" s="34">
        <v>2278</v>
      </c>
      <c r="G45" s="34">
        <v>2316</v>
      </c>
      <c r="H45" s="34">
        <v>2480</v>
      </c>
      <c r="J45" t="s">
        <v>60</v>
      </c>
      <c r="M45" s="38">
        <f>M30</f>
        <v>0</v>
      </c>
      <c r="N45" s="38">
        <v>0</v>
      </c>
      <c r="O45" s="38">
        <v>0</v>
      </c>
      <c r="P45" s="56"/>
      <c r="Q45" s="57"/>
      <c r="R45" s="38">
        <f t="shared" si="8"/>
        <v>0</v>
      </c>
    </row>
    <row r="46" spans="4:24" x14ac:dyDescent="0.3">
      <c r="J46" t="s">
        <v>71</v>
      </c>
      <c r="M46" s="38">
        <f>M35</f>
        <v>0</v>
      </c>
      <c r="N46" s="38">
        <v>0</v>
      </c>
      <c r="O46" s="38">
        <v>0</v>
      </c>
      <c r="P46" s="56"/>
      <c r="Q46" s="57"/>
      <c r="R46" s="38">
        <f t="shared" si="8"/>
        <v>0</v>
      </c>
      <c r="T46" s="16" t="s">
        <v>87</v>
      </c>
    </row>
    <row r="47" spans="4:24" x14ac:dyDescent="0.3">
      <c r="D47" s="18" t="s">
        <v>92</v>
      </c>
      <c r="E47" s="2"/>
      <c r="F47" s="2"/>
      <c r="G47" s="2"/>
      <c r="H47" s="2"/>
      <c r="J47" t="s">
        <v>93</v>
      </c>
      <c r="M47" s="38">
        <f>M36</f>
        <v>639</v>
      </c>
      <c r="N47" s="38">
        <f>N36</f>
        <v>785</v>
      </c>
      <c r="O47" s="38">
        <f>O36</f>
        <v>668</v>
      </c>
      <c r="P47" s="56"/>
      <c r="Q47" s="57"/>
      <c r="R47" s="38">
        <f t="shared" si="8"/>
        <v>668</v>
      </c>
      <c r="T47" s="17"/>
      <c r="U47" s="227" t="s">
        <v>88</v>
      </c>
      <c r="V47" s="227" t="s">
        <v>89</v>
      </c>
      <c r="W47" s="227" t="s">
        <v>90</v>
      </c>
      <c r="X47" s="227" t="s">
        <v>91</v>
      </c>
    </row>
    <row r="48" spans="4:24" x14ac:dyDescent="0.3">
      <c r="D48" t="s">
        <v>95</v>
      </c>
      <c r="H48" s="30">
        <f>R49/(W26-W9+W32)</f>
        <v>0.33367892976588631</v>
      </c>
      <c r="J48" t="s">
        <v>96</v>
      </c>
      <c r="M48" s="38">
        <f>-M47*$H$15</f>
        <v>-127.80000000000001</v>
      </c>
      <c r="N48" s="38">
        <f>-N47*$H$15</f>
        <v>-157</v>
      </c>
      <c r="O48" s="38">
        <f>-O47*$H$15</f>
        <v>-133.6</v>
      </c>
      <c r="P48" s="56"/>
      <c r="Q48" s="57"/>
      <c r="R48" s="38">
        <f t="shared" si="8"/>
        <v>-133.6</v>
      </c>
      <c r="T48" s="8" t="s">
        <v>94</v>
      </c>
      <c r="U48" s="228"/>
      <c r="V48" s="228"/>
      <c r="W48" s="228"/>
      <c r="X48" s="228"/>
    </row>
    <row r="49" spans="4:24" ht="15" thickBot="1" x14ac:dyDescent="0.35">
      <c r="D49" t="s">
        <v>98</v>
      </c>
      <c r="H49" s="30">
        <f>ABS(R49/W32)</f>
        <v>0.37034149962880475</v>
      </c>
      <c r="J49" s="10" t="s">
        <v>99</v>
      </c>
      <c r="M49" s="51">
        <f>SUM(M44:M48)</f>
        <v>1662.2</v>
      </c>
      <c r="N49" s="51">
        <f t="shared" ref="N49:O49" si="22">SUM(N44:N48)</f>
        <v>2167</v>
      </c>
      <c r="O49" s="51">
        <f t="shared" si="22"/>
        <v>1995.4</v>
      </c>
      <c r="P49" s="58"/>
      <c r="Q49" s="59"/>
      <c r="R49" s="51">
        <f t="shared" si="8"/>
        <v>1995.4</v>
      </c>
      <c r="T49" t="s">
        <v>97</v>
      </c>
      <c r="U49" s="39">
        <v>2.673</v>
      </c>
      <c r="V49" s="39">
        <v>124.32</v>
      </c>
      <c r="W49" s="39">
        <f>IF(V49&lt;$H$18,U49,0)</f>
        <v>2.673</v>
      </c>
      <c r="X49" s="39">
        <f>IF(W49&gt;0,U49*V49,0)</f>
        <v>332.30735999999996</v>
      </c>
    </row>
    <row r="50" spans="4:24" ht="15" thickTop="1" x14ac:dyDescent="0.3">
      <c r="D50" t="s">
        <v>101</v>
      </c>
      <c r="H50" s="30">
        <f>ABS(R49/W18)</f>
        <v>0.11895791105281985</v>
      </c>
      <c r="J50" s="14" t="s">
        <v>65</v>
      </c>
      <c r="M50" s="30">
        <f>M49/M$11</f>
        <v>0.16240351734245237</v>
      </c>
      <c r="N50" s="30">
        <f t="shared" ref="N50:O50" si="23">N49/N$11</f>
        <v>0.19393234293896547</v>
      </c>
      <c r="O50" s="30">
        <f t="shared" si="23"/>
        <v>0.16574466317800482</v>
      </c>
      <c r="P50" s="56"/>
      <c r="Q50" s="57"/>
      <c r="R50" s="30">
        <f t="shared" si="8"/>
        <v>0.16574466317800482</v>
      </c>
      <c r="T50" t="s">
        <v>100</v>
      </c>
      <c r="U50" s="39">
        <v>0.79800000000000004</v>
      </c>
      <c r="V50" s="39">
        <v>220.64</v>
      </c>
      <c r="W50" s="39">
        <f t="shared" ref="W50:W51" si="24">IF(V50&lt;$H$18,U50,0)</f>
        <v>0.79800000000000004</v>
      </c>
      <c r="X50" s="39">
        <f t="shared" ref="X50:X51" si="25">IF(W50&gt;0,U50*V50,0)</f>
        <v>176.07071999999999</v>
      </c>
    </row>
    <row r="51" spans="4:24" x14ac:dyDescent="0.3">
      <c r="D51" t="s">
        <v>103</v>
      </c>
      <c r="H51" s="30">
        <f>H22/H18</f>
        <v>1.814278370778023E-3</v>
      </c>
      <c r="P51" s="56"/>
      <c r="Q51" s="57"/>
      <c r="T51" t="s">
        <v>102</v>
      </c>
      <c r="U51" s="39">
        <v>0.55400000000000005</v>
      </c>
      <c r="V51" s="39">
        <v>195.65</v>
      </c>
      <c r="W51" s="39">
        <f t="shared" si="24"/>
        <v>0.55400000000000005</v>
      </c>
      <c r="X51" s="39">
        <f t="shared" si="25"/>
        <v>108.39010000000002</v>
      </c>
    </row>
    <row r="52" spans="4:24" x14ac:dyDescent="0.3">
      <c r="J52" t="s">
        <v>105</v>
      </c>
      <c r="M52" s="43">
        <f>M49/M25</f>
        <v>6.2962121212121218</v>
      </c>
      <c r="N52" s="43">
        <f t="shared" ref="N52:O52" si="26">N49/N25</f>
        <v>8.6679999999999993</v>
      </c>
      <c r="O52" s="43">
        <f t="shared" si="26"/>
        <v>8.4300802703844528</v>
      </c>
      <c r="P52" s="56"/>
      <c r="Q52" s="57"/>
      <c r="R52" s="43">
        <f t="shared" si="8"/>
        <v>8.4300802703844528</v>
      </c>
      <c r="T52" t="s">
        <v>104</v>
      </c>
      <c r="U52" s="39">
        <v>0</v>
      </c>
      <c r="V52" s="39">
        <v>0</v>
      </c>
      <c r="W52" s="39">
        <v>0</v>
      </c>
      <c r="X52" s="39">
        <v>0</v>
      </c>
    </row>
    <row r="53" spans="4:24" x14ac:dyDescent="0.3">
      <c r="D53" s="6" t="s">
        <v>107</v>
      </c>
      <c r="E53" s="2"/>
      <c r="F53" s="2"/>
      <c r="G53" s="2"/>
      <c r="H53" s="2"/>
      <c r="T53" t="s">
        <v>106</v>
      </c>
      <c r="U53" s="39">
        <v>0</v>
      </c>
      <c r="V53" s="39">
        <v>0</v>
      </c>
      <c r="W53" s="39">
        <v>0</v>
      </c>
      <c r="X53" s="39">
        <v>0</v>
      </c>
    </row>
    <row r="54" spans="4:24" x14ac:dyDescent="0.3">
      <c r="D54" t="s">
        <v>109</v>
      </c>
      <c r="H54" s="30">
        <f>W26/(W26+W32)</f>
        <v>1.7752517985611511</v>
      </c>
      <c r="J54" s="6" t="s">
        <v>110</v>
      </c>
      <c r="K54" s="2"/>
      <c r="L54" s="2"/>
      <c r="M54" s="2"/>
      <c r="N54" s="2"/>
      <c r="O54" s="2"/>
      <c r="P54" s="2"/>
      <c r="Q54" s="2"/>
      <c r="R54" s="2"/>
      <c r="T54" s="10" t="s">
        <v>108</v>
      </c>
      <c r="U54" s="40">
        <f t="shared" ref="U54:X54" si="27">SUM(U49:U53)</f>
        <v>4.0250000000000004</v>
      </c>
      <c r="V54" s="40">
        <f t="shared" si="27"/>
        <v>540.61</v>
      </c>
      <c r="W54" s="40">
        <f t="shared" si="27"/>
        <v>4.0250000000000004</v>
      </c>
      <c r="X54" s="40">
        <f t="shared" si="27"/>
        <v>616.76818000000003</v>
      </c>
    </row>
    <row r="55" spans="4:24" x14ac:dyDescent="0.3">
      <c r="D55" t="s">
        <v>111</v>
      </c>
      <c r="H55" s="64">
        <f>W26/R41</f>
        <v>3.4872809496890897</v>
      </c>
      <c r="J55" t="s">
        <v>112</v>
      </c>
      <c r="M55" s="38">
        <v>1946</v>
      </c>
      <c r="N55" s="38">
        <v>2013</v>
      </c>
      <c r="O55" s="38">
        <v>2129</v>
      </c>
      <c r="P55" s="56"/>
      <c r="Q55" s="57"/>
      <c r="R55" s="38">
        <f>O55</f>
        <v>2129</v>
      </c>
    </row>
    <row r="56" spans="4:24" x14ac:dyDescent="0.3">
      <c r="D56" t="s">
        <v>114</v>
      </c>
      <c r="H56" s="64">
        <f>(W26-W9)/R41</f>
        <v>3.2131147540983607</v>
      </c>
      <c r="J56" t="s">
        <v>115</v>
      </c>
      <c r="M56" s="38">
        <v>151</v>
      </c>
      <c r="N56" s="38">
        <v>96</v>
      </c>
      <c r="O56" s="38">
        <v>101</v>
      </c>
      <c r="P56" s="56"/>
      <c r="Q56" s="57"/>
      <c r="R56" s="38">
        <f t="shared" ref="R56:R63" si="28">O56</f>
        <v>101</v>
      </c>
      <c r="T56" s="8" t="s">
        <v>113</v>
      </c>
      <c r="U56" s="9"/>
      <c r="V56" s="9"/>
      <c r="W56" s="9"/>
      <c r="X56" s="9"/>
    </row>
    <row r="57" spans="4:24" x14ac:dyDescent="0.3">
      <c r="D57" s="15" t="s">
        <v>120</v>
      </c>
      <c r="H57" s="64">
        <f>ABS(R41/R17)</f>
        <v>5.697262479871176</v>
      </c>
      <c r="J57" s="14" t="s">
        <v>121</v>
      </c>
      <c r="M57" s="30">
        <f>M56/M$11</f>
        <v>1.4753297508549095E-2</v>
      </c>
      <c r="N57" s="30">
        <f t="shared" ref="N57:O57" si="29">N56/N$11</f>
        <v>8.5913728297834259E-3</v>
      </c>
      <c r="O57" s="30">
        <f t="shared" si="29"/>
        <v>8.3894011130492569E-3</v>
      </c>
      <c r="P57" s="56"/>
      <c r="Q57" s="57"/>
      <c r="R57" s="30">
        <f t="shared" si="28"/>
        <v>8.3894011130492569E-3</v>
      </c>
      <c r="T57" s="7"/>
      <c r="U57" s="227" t="s">
        <v>116</v>
      </c>
      <c r="V57" s="227" t="s">
        <v>117</v>
      </c>
      <c r="W57" s="227" t="s">
        <v>118</v>
      </c>
      <c r="X57" s="227" t="s">
        <v>119</v>
      </c>
    </row>
    <row r="58" spans="4:24" x14ac:dyDescent="0.3">
      <c r="D58" s="15" t="s">
        <v>122</v>
      </c>
      <c r="H58" s="64">
        <f>ABS((R41-R56)/R17)</f>
        <v>5.5346215780998387</v>
      </c>
      <c r="J58" s="10" t="s">
        <v>123</v>
      </c>
      <c r="M58" s="46">
        <f>M55-M56</f>
        <v>1795</v>
      </c>
      <c r="N58" s="46">
        <f t="shared" ref="N58:O58" si="30">N55-N56</f>
        <v>1917</v>
      </c>
      <c r="O58" s="46">
        <f t="shared" si="30"/>
        <v>2028</v>
      </c>
      <c r="P58" s="52"/>
      <c r="Q58" s="53"/>
      <c r="R58" s="46">
        <f t="shared" si="28"/>
        <v>2028</v>
      </c>
      <c r="T58" s="7"/>
      <c r="U58" s="228"/>
      <c r="V58" s="228"/>
      <c r="W58" s="228"/>
      <c r="X58" s="228"/>
    </row>
    <row r="59" spans="4:24" x14ac:dyDescent="0.3">
      <c r="D59" s="15" t="s">
        <v>125</v>
      </c>
      <c r="H59" s="64">
        <f>ABS(R37/R17)</f>
        <v>5.4122383252818036</v>
      </c>
      <c r="J59" s="14" t="s">
        <v>65</v>
      </c>
      <c r="M59" s="30">
        <f>M58/M$11</f>
        <v>0.17537860283341475</v>
      </c>
      <c r="N59" s="30">
        <f t="shared" ref="N59:O59" si="31">N58/N$11</f>
        <v>0.17155897619473778</v>
      </c>
      <c r="O59" s="30">
        <f t="shared" si="31"/>
        <v>0.16845252927984053</v>
      </c>
      <c r="P59" s="56"/>
      <c r="Q59" s="57"/>
      <c r="R59" s="30">
        <f t="shared" si="28"/>
        <v>0.16845252927984053</v>
      </c>
      <c r="T59" t="s">
        <v>124</v>
      </c>
      <c r="U59" s="39">
        <v>0</v>
      </c>
      <c r="V59" s="39">
        <v>0</v>
      </c>
      <c r="W59" s="39">
        <v>0</v>
      </c>
      <c r="X59" s="39">
        <v>0</v>
      </c>
    </row>
    <row r="60" spans="4:24" x14ac:dyDescent="0.3">
      <c r="J60" s="10" t="s">
        <v>127</v>
      </c>
      <c r="M60" s="43">
        <f>M58/M25</f>
        <v>6.7992424242424239</v>
      </c>
      <c r="N60" s="43">
        <f t="shared" ref="N60:O60" si="32">N58/N25</f>
        <v>7.6680000000000001</v>
      </c>
      <c r="O60" s="43">
        <f t="shared" si="32"/>
        <v>8.5678073510773132</v>
      </c>
      <c r="P60" s="56"/>
      <c r="Q60" s="57"/>
      <c r="R60" s="43">
        <f t="shared" si="28"/>
        <v>8.5678073510773132</v>
      </c>
      <c r="T60" t="s">
        <v>126</v>
      </c>
      <c r="U60" s="39">
        <v>0</v>
      </c>
      <c r="V60" s="39">
        <v>0</v>
      </c>
      <c r="W60" s="39">
        <v>0</v>
      </c>
      <c r="X60" s="39">
        <v>0</v>
      </c>
    </row>
    <row r="61" spans="4:24" x14ac:dyDescent="0.3">
      <c r="D61" s="6" t="s">
        <v>129</v>
      </c>
      <c r="E61" s="2"/>
      <c r="F61" s="2"/>
      <c r="G61" s="2"/>
      <c r="H61" s="2"/>
      <c r="P61" s="56"/>
      <c r="Q61" s="57"/>
      <c r="T61" t="s">
        <v>128</v>
      </c>
      <c r="U61" s="39">
        <v>0</v>
      </c>
      <c r="V61" s="39">
        <v>0</v>
      </c>
      <c r="W61" s="39">
        <v>0</v>
      </c>
      <c r="X61" s="39">
        <v>0</v>
      </c>
    </row>
    <row r="62" spans="4:24" x14ac:dyDescent="0.3">
      <c r="D62" s="67"/>
      <c r="E62" s="70" t="s">
        <v>12</v>
      </c>
      <c r="F62" s="70" t="s">
        <v>131</v>
      </c>
      <c r="G62" s="70" t="s">
        <v>132</v>
      </c>
      <c r="H62" s="70" t="s">
        <v>133</v>
      </c>
      <c r="J62" s="13" t="s">
        <v>79</v>
      </c>
      <c r="M62">
        <f>M40</f>
        <v>147</v>
      </c>
      <c r="N62">
        <f t="shared" ref="N62:O62" si="33">N40</f>
        <v>146</v>
      </c>
      <c r="O62">
        <f t="shared" si="33"/>
        <v>177</v>
      </c>
      <c r="P62" s="56"/>
      <c r="Q62" s="57"/>
      <c r="R62">
        <f t="shared" si="28"/>
        <v>177</v>
      </c>
      <c r="T62" t="s">
        <v>130</v>
      </c>
      <c r="U62" s="39">
        <v>0</v>
      </c>
      <c r="V62" s="39">
        <v>0</v>
      </c>
      <c r="W62" s="39">
        <v>0</v>
      </c>
      <c r="X62" s="39">
        <v>0</v>
      </c>
    </row>
    <row r="63" spans="4:24" x14ac:dyDescent="0.3">
      <c r="D63" s="7" t="s">
        <v>135</v>
      </c>
      <c r="J63" s="14" t="s">
        <v>121</v>
      </c>
      <c r="M63" s="30">
        <f>M62/M$11</f>
        <v>1.4362481680508061E-2</v>
      </c>
      <c r="N63" s="30">
        <f t="shared" ref="N63:O63" si="34">N62/N$11</f>
        <v>1.306604617862896E-2</v>
      </c>
      <c r="O63" s="30">
        <f t="shared" si="34"/>
        <v>1.4702217792175429E-2</v>
      </c>
      <c r="P63" s="56"/>
      <c r="Q63" s="57"/>
      <c r="R63" s="30">
        <f t="shared" si="28"/>
        <v>1.4702217792175429E-2</v>
      </c>
      <c r="T63" t="s">
        <v>134</v>
      </c>
      <c r="U63" s="39">
        <v>0</v>
      </c>
      <c r="V63" s="39">
        <v>0</v>
      </c>
      <c r="W63" s="39">
        <v>0</v>
      </c>
      <c r="X63" s="39">
        <v>0</v>
      </c>
    </row>
    <row r="64" spans="4:24" x14ac:dyDescent="0.3">
      <c r="D64" t="s">
        <v>136</v>
      </c>
      <c r="E64" s="63">
        <f>O11/N11-1</f>
        <v>7.7411848935027727E-2</v>
      </c>
      <c r="F64" s="63">
        <f>O41/N41-1</f>
        <v>7.1796425325658886E-2</v>
      </c>
      <c r="G64" s="63">
        <f>O58/N58-1</f>
        <v>5.790297339593109E-2</v>
      </c>
      <c r="H64" s="63">
        <f>O26/N26-1</f>
        <v>2.6592086939407622E-3</v>
      </c>
      <c r="T64" s="10" t="s">
        <v>108</v>
      </c>
      <c r="U64" s="40">
        <f>SUM(U59:U63)</f>
        <v>0</v>
      </c>
      <c r="V64" s="40">
        <f t="shared" ref="V64:X64" si="35">SUM(V59:V63)</f>
        <v>0</v>
      </c>
      <c r="W64" s="40">
        <f t="shared" si="35"/>
        <v>0</v>
      </c>
      <c r="X64" s="40">
        <f t="shared" si="35"/>
        <v>0</v>
      </c>
    </row>
    <row r="65" spans="4:24" x14ac:dyDescent="0.3">
      <c r="D65" t="s">
        <v>137</v>
      </c>
      <c r="E65" s="63">
        <f>_xlfn.RRI(2,M11,O11)</f>
        <v>8.4554257954163825E-2</v>
      </c>
      <c r="F65" s="63">
        <f>_xlfn.RRI(2,M41,O41)</f>
        <v>8.3985658884939474E-2</v>
      </c>
      <c r="G65" s="63">
        <f>_xlfn.RRI(2,M58,O58)</f>
        <v>6.292286358304322E-2</v>
      </c>
      <c r="H65" s="63">
        <f>_xlfn.RRI(2,M26,O26)</f>
        <v>0.18984470050241709</v>
      </c>
    </row>
    <row r="66" spans="4:24" x14ac:dyDescent="0.3">
      <c r="D66" s="7" t="s">
        <v>139</v>
      </c>
      <c r="J66" s="6" t="s">
        <v>138</v>
      </c>
      <c r="K66" s="2"/>
      <c r="L66" s="2"/>
      <c r="M66" s="2"/>
      <c r="N66" s="2"/>
      <c r="O66" s="2"/>
      <c r="P66" s="2"/>
      <c r="Q66" s="2"/>
      <c r="R66" s="2"/>
      <c r="S66" s="2"/>
      <c r="T66" s="2"/>
      <c r="U66" s="2"/>
      <c r="V66" s="2"/>
      <c r="W66" s="2"/>
      <c r="X66" s="2"/>
    </row>
    <row r="67" spans="4:24" x14ac:dyDescent="0.3">
      <c r="D67" t="s">
        <v>136</v>
      </c>
      <c r="E67" s="30">
        <f>F37/E37-1</f>
        <v>8.7714926488910994E-2</v>
      </c>
      <c r="F67" s="30">
        <f>F39/E39-1</f>
        <v>0.13962690785754672</v>
      </c>
      <c r="G67" s="30">
        <f>F45/E45-1</f>
        <v>0.12327416173570027</v>
      </c>
      <c r="H67" s="30">
        <f>F43/E43-1</f>
        <v>0.42570841889117039</v>
      </c>
    </row>
    <row r="68" spans="4:24" x14ac:dyDescent="0.3">
      <c r="D68" t="s">
        <v>137</v>
      </c>
      <c r="E68" s="30">
        <f>_xlfn.RRI(2,E37,G37)</f>
        <v>8.5627128123364926E-2</v>
      </c>
      <c r="F68" s="30">
        <f>_xlfn.RRI(2,E39,G39)</f>
        <v>0.11455248733840317</v>
      </c>
      <c r="G68" s="30">
        <f>_xlfn.RRI(2,E45,G45)</f>
        <v>6.8649537649984937E-2</v>
      </c>
      <c r="H68" s="30">
        <f>_xlfn.RRI(2,E43,G43)</f>
        <v>0.27029237204364853</v>
      </c>
    </row>
    <row r="69" spans="4:24" x14ac:dyDescent="0.3">
      <c r="D69" t="s">
        <v>140</v>
      </c>
      <c r="H69" s="65">
        <v>0.14499999999999999</v>
      </c>
    </row>
  </sheetData>
  <mergeCells count="15">
    <mergeCell ref="E34:E35"/>
    <mergeCell ref="U47:U48"/>
    <mergeCell ref="V47:V48"/>
    <mergeCell ref="W47:W48"/>
    <mergeCell ref="X47:X48"/>
    <mergeCell ref="F34:F35"/>
    <mergeCell ref="G34:G35"/>
    <mergeCell ref="H34:H35"/>
    <mergeCell ref="P8:P10"/>
    <mergeCell ref="U57:U58"/>
    <mergeCell ref="V57:V58"/>
    <mergeCell ref="W57:W58"/>
    <mergeCell ref="X57:X58"/>
    <mergeCell ref="Q8:Q10"/>
    <mergeCell ref="R8:R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ED40-8CE5-40B9-AC39-90F2034FA260}">
  <dimension ref="D2:X69"/>
  <sheetViews>
    <sheetView showGridLines="0" topLeftCell="A34" zoomScale="85" zoomScaleNormal="85" workbookViewId="0">
      <selection activeCell="H22" sqref="H22"/>
    </sheetView>
  </sheetViews>
  <sheetFormatPr defaultRowHeight="14.4" x14ac:dyDescent="0.3"/>
  <cols>
    <col min="1" max="3" width="2.33203125" customWidth="1"/>
    <col min="4" max="8" width="11.77734375" customWidth="1"/>
    <col min="13" max="15" width="10.77734375" customWidth="1"/>
    <col min="16" max="18" width="11.77734375" customWidth="1"/>
    <col min="20" max="22" width="10.77734375" customWidth="1"/>
    <col min="23" max="23" width="12.6640625" customWidth="1"/>
    <col min="24" max="25" width="10.77734375" customWidth="1"/>
  </cols>
  <sheetData>
    <row r="2" spans="4:24" ht="21" x14ac:dyDescent="0.4">
      <c r="D2" s="1" t="s">
        <v>212</v>
      </c>
      <c r="E2" s="2"/>
      <c r="F2" s="2"/>
      <c r="G2" s="2"/>
      <c r="H2" s="2"/>
      <c r="I2" s="2"/>
      <c r="J2" s="2"/>
      <c r="K2" s="2"/>
      <c r="L2" s="2"/>
      <c r="M2" s="2"/>
      <c r="N2" s="2"/>
      <c r="O2" s="2"/>
      <c r="P2" s="2"/>
      <c r="Q2" s="2"/>
      <c r="R2" s="2"/>
      <c r="S2" s="2"/>
      <c r="T2" s="2"/>
      <c r="U2" s="2"/>
      <c r="V2" s="2"/>
      <c r="W2" s="2"/>
      <c r="X2" s="2"/>
    </row>
    <row r="3" spans="4:24" ht="18" x14ac:dyDescent="0.35">
      <c r="D3" s="3" t="s">
        <v>0</v>
      </c>
      <c r="E3" s="2"/>
      <c r="F3" s="2"/>
      <c r="G3" s="2"/>
      <c r="H3" s="2"/>
      <c r="I3" s="2"/>
      <c r="J3" s="2"/>
      <c r="K3" s="2"/>
      <c r="L3" s="2"/>
      <c r="M3" s="2"/>
      <c r="N3" s="2"/>
      <c r="O3" s="2"/>
      <c r="P3" s="2"/>
      <c r="Q3" s="2"/>
      <c r="R3" s="2"/>
      <c r="S3" s="2"/>
      <c r="T3" s="2"/>
      <c r="U3" s="2"/>
      <c r="V3" s="2"/>
      <c r="W3" s="2"/>
      <c r="X3" s="2"/>
    </row>
    <row r="4" spans="4:24" x14ac:dyDescent="0.3">
      <c r="D4" s="4" t="s">
        <v>1</v>
      </c>
      <c r="E4" s="2"/>
      <c r="F4" s="2"/>
      <c r="G4" s="2"/>
      <c r="H4" s="2"/>
      <c r="I4" s="2"/>
      <c r="J4" s="2"/>
      <c r="K4" s="2"/>
      <c r="L4" s="2"/>
      <c r="M4" s="2"/>
      <c r="N4" s="2"/>
      <c r="O4" s="2"/>
      <c r="P4" s="2"/>
      <c r="Q4" s="2"/>
      <c r="R4" s="2"/>
      <c r="S4" s="2"/>
      <c r="T4" s="2"/>
      <c r="U4" s="2"/>
      <c r="V4" s="2"/>
      <c r="W4" s="2"/>
      <c r="X4" s="2"/>
    </row>
    <row r="5" spans="4:24" x14ac:dyDescent="0.3">
      <c r="H5" s="5"/>
    </row>
    <row r="7" spans="4:24" x14ac:dyDescent="0.3">
      <c r="D7" s="6" t="s">
        <v>2</v>
      </c>
      <c r="E7" s="2"/>
      <c r="F7" s="2"/>
      <c r="G7" s="2"/>
      <c r="H7" s="2"/>
      <c r="J7" s="6" t="s">
        <v>3</v>
      </c>
      <c r="K7" s="2"/>
      <c r="L7" s="2"/>
      <c r="M7" s="2"/>
      <c r="N7" s="2"/>
      <c r="O7" s="2"/>
      <c r="P7" s="2"/>
      <c r="Q7" s="2"/>
      <c r="R7" s="2"/>
      <c r="T7" s="6" t="s">
        <v>4</v>
      </c>
      <c r="U7" s="2"/>
      <c r="V7" s="2"/>
      <c r="W7" s="2"/>
      <c r="X7" s="2"/>
    </row>
    <row r="8" spans="4:24" x14ac:dyDescent="0.3">
      <c r="D8" t="s">
        <v>5</v>
      </c>
      <c r="H8" s="27" t="s">
        <v>176</v>
      </c>
      <c r="J8" s="67"/>
      <c r="K8" s="67"/>
      <c r="L8" s="67"/>
      <c r="M8" s="68"/>
      <c r="N8" s="68"/>
      <c r="O8" s="68"/>
      <c r="P8" s="225" t="s">
        <v>191</v>
      </c>
      <c r="Q8" s="225" t="s">
        <v>192</v>
      </c>
      <c r="R8" s="225" t="s">
        <v>193</v>
      </c>
      <c r="T8" s="67"/>
      <c r="U8" s="67"/>
      <c r="V8" s="67"/>
      <c r="W8" s="70" t="s">
        <v>187</v>
      </c>
      <c r="X8" s="70" t="s">
        <v>188</v>
      </c>
    </row>
    <row r="9" spans="4:24" x14ac:dyDescent="0.3">
      <c r="D9" t="s">
        <v>6</v>
      </c>
      <c r="H9" s="27" t="s">
        <v>177</v>
      </c>
      <c r="J9" s="67"/>
      <c r="K9" s="67"/>
      <c r="L9" s="67"/>
      <c r="M9" s="69" t="s">
        <v>7</v>
      </c>
      <c r="N9" s="69"/>
      <c r="O9" s="69"/>
      <c r="P9" s="225"/>
      <c r="Q9" s="225"/>
      <c r="R9" s="225"/>
      <c r="T9" t="s">
        <v>8</v>
      </c>
      <c r="W9" s="38">
        <v>788</v>
      </c>
    </row>
    <row r="10" spans="4:24" x14ac:dyDescent="0.3">
      <c r="D10" t="s">
        <v>9</v>
      </c>
      <c r="H10" s="27" t="s">
        <v>182</v>
      </c>
      <c r="J10" s="67"/>
      <c r="K10" s="67"/>
      <c r="L10" s="67"/>
      <c r="M10" s="69" t="s">
        <v>189</v>
      </c>
      <c r="N10" s="69" t="s">
        <v>190</v>
      </c>
      <c r="O10" s="69" t="s">
        <v>187</v>
      </c>
      <c r="P10" s="226"/>
      <c r="Q10" s="226"/>
      <c r="R10" s="226"/>
      <c r="T10" t="s">
        <v>10</v>
      </c>
      <c r="W10" s="38">
        <v>1123</v>
      </c>
    </row>
    <row r="11" spans="4:24" x14ac:dyDescent="0.3">
      <c r="D11" t="s">
        <v>11</v>
      </c>
      <c r="H11" s="27" t="s">
        <v>183</v>
      </c>
      <c r="J11" s="7" t="s">
        <v>12</v>
      </c>
      <c r="M11" s="50">
        <v>6667</v>
      </c>
      <c r="N11" s="50">
        <v>6648</v>
      </c>
      <c r="O11" s="50">
        <v>7101</v>
      </c>
      <c r="P11" s="61"/>
      <c r="Q11" s="62"/>
      <c r="R11" s="50">
        <f>O11</f>
        <v>7101</v>
      </c>
      <c r="T11" t="s">
        <v>13</v>
      </c>
      <c r="W11" s="38">
        <v>8</v>
      </c>
    </row>
    <row r="12" spans="4:24" x14ac:dyDescent="0.3">
      <c r="D12" t="s">
        <v>14</v>
      </c>
      <c r="H12" s="27" t="s">
        <v>213</v>
      </c>
      <c r="J12" t="s">
        <v>15</v>
      </c>
      <c r="M12" s="49">
        <f>6378-578</f>
        <v>5800</v>
      </c>
      <c r="N12" s="49">
        <f>6274-548</f>
        <v>5726</v>
      </c>
      <c r="O12" s="49">
        <f>6753-555</f>
        <v>6198</v>
      </c>
      <c r="P12" s="54"/>
      <c r="Q12" s="55"/>
      <c r="R12" s="49">
        <f t="shared" ref="R12:R26" si="0">O12</f>
        <v>6198</v>
      </c>
      <c r="T12" t="s">
        <v>16</v>
      </c>
      <c r="W12" s="38">
        <f>26+169+63</f>
        <v>258</v>
      </c>
    </row>
    <row r="13" spans="4:24" x14ac:dyDescent="0.3">
      <c r="D13" t="s">
        <v>17</v>
      </c>
      <c r="H13" s="27" t="s">
        <v>214</v>
      </c>
      <c r="J13" s="10" t="s">
        <v>18</v>
      </c>
      <c r="M13" s="50">
        <f>M11-M12</f>
        <v>867</v>
      </c>
      <c r="N13" s="50">
        <f t="shared" ref="N13:O13" si="1">N11-N12</f>
        <v>922</v>
      </c>
      <c r="O13" s="50">
        <f t="shared" si="1"/>
        <v>903</v>
      </c>
      <c r="P13" s="56"/>
      <c r="Q13" s="57"/>
      <c r="R13" s="50">
        <f t="shared" si="0"/>
        <v>903</v>
      </c>
      <c r="T13" s="10" t="s">
        <v>19</v>
      </c>
      <c r="W13" s="46">
        <f>SUM(W9:W12)</f>
        <v>2177</v>
      </c>
      <c r="X13" s="11"/>
    </row>
    <row r="14" spans="4:24" x14ac:dyDescent="0.3">
      <c r="D14" t="s">
        <v>20</v>
      </c>
      <c r="H14" s="27">
        <v>1.22</v>
      </c>
      <c r="J14" t="s">
        <v>21</v>
      </c>
      <c r="M14" s="38">
        <v>578</v>
      </c>
      <c r="N14" s="38">
        <v>548</v>
      </c>
      <c r="O14" s="38">
        <v>555</v>
      </c>
      <c r="P14" s="56"/>
      <c r="Q14" s="57"/>
      <c r="R14" s="38">
        <f t="shared" si="0"/>
        <v>555</v>
      </c>
      <c r="W14" s="38"/>
    </row>
    <row r="15" spans="4:24" x14ac:dyDescent="0.3">
      <c r="D15" t="s">
        <v>22</v>
      </c>
      <c r="H15" s="31">
        <v>0.2</v>
      </c>
      <c r="J15" s="10" t="s">
        <v>25</v>
      </c>
      <c r="M15" s="46">
        <f>M13-M14</f>
        <v>289</v>
      </c>
      <c r="N15" s="46">
        <f t="shared" ref="N15:O15" si="2">N13-N14</f>
        <v>374</v>
      </c>
      <c r="O15" s="46">
        <f t="shared" si="2"/>
        <v>348</v>
      </c>
      <c r="P15" s="52"/>
      <c r="Q15" s="53"/>
      <c r="R15" s="46">
        <f t="shared" si="0"/>
        <v>348</v>
      </c>
      <c r="T15" t="s">
        <v>24</v>
      </c>
      <c r="W15" s="38">
        <v>1577</v>
      </c>
    </row>
    <row r="16" spans="4:24" x14ac:dyDescent="0.3">
      <c r="J16" t="s">
        <v>28</v>
      </c>
      <c r="M16" s="38">
        <v>-145</v>
      </c>
      <c r="N16" s="38">
        <v>-180</v>
      </c>
      <c r="O16" s="38">
        <v>-317</v>
      </c>
      <c r="P16" s="56"/>
      <c r="Q16" s="57"/>
      <c r="R16" s="38">
        <f t="shared" si="0"/>
        <v>-317</v>
      </c>
      <c r="T16" t="s">
        <v>26</v>
      </c>
      <c r="W16" s="38">
        <f>3454+2229</f>
        <v>5683</v>
      </c>
    </row>
    <row r="17" spans="4:24" x14ac:dyDescent="0.3">
      <c r="D17" s="6" t="s">
        <v>27</v>
      </c>
      <c r="E17" s="2"/>
      <c r="F17" s="2"/>
      <c r="G17" s="2"/>
      <c r="H17" s="2"/>
      <c r="J17" t="s">
        <v>23</v>
      </c>
      <c r="M17" s="38">
        <f>55-1+18-30+124</f>
        <v>166</v>
      </c>
      <c r="N17" s="38">
        <f>49+31+1245-213+257</f>
        <v>1369</v>
      </c>
      <c r="O17" s="38">
        <f>50-46-15-40+101</f>
        <v>50</v>
      </c>
      <c r="P17" s="56"/>
      <c r="Q17" s="57"/>
      <c r="R17" s="38"/>
      <c r="T17" t="s">
        <v>29</v>
      </c>
      <c r="W17" s="38">
        <f>186+442+328+518+3125</f>
        <v>4599</v>
      </c>
    </row>
    <row r="18" spans="4:24" x14ac:dyDescent="0.3">
      <c r="D18" t="s">
        <v>30</v>
      </c>
      <c r="H18" s="33">
        <v>166.5</v>
      </c>
      <c r="J18" s="10" t="s">
        <v>31</v>
      </c>
      <c r="M18" s="46">
        <f>SUM(M15:M17)</f>
        <v>310</v>
      </c>
      <c r="N18" s="46">
        <f>SUM(N15:N17)</f>
        <v>1563</v>
      </c>
      <c r="O18" s="46">
        <f>SUM(O15:O17)</f>
        <v>81</v>
      </c>
      <c r="P18" s="52"/>
      <c r="Q18" s="53"/>
      <c r="R18" s="46">
        <f t="shared" si="0"/>
        <v>81</v>
      </c>
      <c r="T18" s="10" t="s">
        <v>32</v>
      </c>
      <c r="W18" s="47">
        <f>SUM(W15:W17)+W13</f>
        <v>14036</v>
      </c>
      <c r="X18" s="12"/>
    </row>
    <row r="19" spans="4:24" x14ac:dyDescent="0.3">
      <c r="D19" s="5" t="s">
        <v>33</v>
      </c>
      <c r="H19" s="30">
        <f>H18/H20</f>
        <v>0.9222843848667811</v>
      </c>
      <c r="J19" t="s">
        <v>34</v>
      </c>
      <c r="M19" s="38">
        <v>-90</v>
      </c>
      <c r="N19" s="38">
        <v>-267</v>
      </c>
      <c r="O19" s="38">
        <v>-130</v>
      </c>
      <c r="P19" s="56"/>
      <c r="Q19" s="57"/>
      <c r="R19" s="38">
        <f t="shared" si="0"/>
        <v>-130</v>
      </c>
      <c r="W19" s="38"/>
    </row>
    <row r="20" spans="4:24" x14ac:dyDescent="0.3">
      <c r="D20" t="s">
        <v>35</v>
      </c>
      <c r="H20" s="33">
        <v>180.53</v>
      </c>
      <c r="J20" s="13" t="s">
        <v>36</v>
      </c>
      <c r="M20" s="38">
        <v>0</v>
      </c>
      <c r="N20" s="38">
        <v>0</v>
      </c>
      <c r="O20" s="38">
        <v>-3</v>
      </c>
      <c r="P20" s="56"/>
      <c r="Q20" s="57"/>
      <c r="R20" s="38">
        <f t="shared" si="0"/>
        <v>-3</v>
      </c>
      <c r="T20" t="s">
        <v>186</v>
      </c>
      <c r="W20" s="38">
        <v>6</v>
      </c>
    </row>
    <row r="21" spans="4:24" x14ac:dyDescent="0.3">
      <c r="D21" t="s">
        <v>38</v>
      </c>
      <c r="H21" s="33">
        <v>102.93</v>
      </c>
      <c r="J21" t="s">
        <v>39</v>
      </c>
      <c r="M21" s="38">
        <v>0</v>
      </c>
      <c r="N21" s="38">
        <v>0</v>
      </c>
      <c r="O21" s="38">
        <v>0</v>
      </c>
      <c r="P21" s="56"/>
      <c r="Q21" s="57"/>
      <c r="R21" s="38">
        <f t="shared" si="0"/>
        <v>0</v>
      </c>
      <c r="T21" t="s">
        <v>37</v>
      </c>
      <c r="W21" s="38">
        <v>451</v>
      </c>
    </row>
    <row r="22" spans="4:24" ht="15" thickBot="1" x14ac:dyDescent="0.35">
      <c r="D22" t="s">
        <v>41</v>
      </c>
      <c r="H22" s="33">
        <v>0.6</v>
      </c>
      <c r="J22" s="10" t="s">
        <v>42</v>
      </c>
      <c r="M22" s="51">
        <f>SUM(M18:M21)</f>
        <v>220</v>
      </c>
      <c r="N22" s="51">
        <f t="shared" ref="N22:O22" si="3">SUM(N18:N21)</f>
        <v>1296</v>
      </c>
      <c r="O22" s="51">
        <f t="shared" si="3"/>
        <v>-52</v>
      </c>
      <c r="P22" s="58"/>
      <c r="Q22" s="59"/>
      <c r="R22" s="51">
        <f t="shared" si="0"/>
        <v>-52</v>
      </c>
      <c r="T22" t="s">
        <v>40</v>
      </c>
      <c r="W22" s="38">
        <v>1584</v>
      </c>
    </row>
    <row r="23" spans="4:24" ht="15" thickTop="1" x14ac:dyDescent="0.3">
      <c r="J23" s="14" t="s">
        <v>44</v>
      </c>
      <c r="M23" s="30">
        <f>ABS(M19/M18)</f>
        <v>0.29032258064516131</v>
      </c>
      <c r="N23" s="30">
        <f t="shared" ref="N23:O23" si="4">ABS(N19/N18)</f>
        <v>0.17082533589251439</v>
      </c>
      <c r="O23" s="30">
        <f t="shared" si="4"/>
        <v>1.6049382716049383</v>
      </c>
      <c r="P23" s="56"/>
      <c r="Q23" s="57"/>
      <c r="R23" s="30">
        <f t="shared" si="0"/>
        <v>1.6049382716049383</v>
      </c>
      <c r="T23" t="s">
        <v>43</v>
      </c>
      <c r="W23" s="38">
        <f>592+226+35</f>
        <v>853</v>
      </c>
    </row>
    <row r="24" spans="4:24" x14ac:dyDescent="0.3">
      <c r="D24" t="s">
        <v>46</v>
      </c>
      <c r="H24" s="42">
        <f>X44</f>
        <v>96.204060999999996</v>
      </c>
      <c r="P24" s="56"/>
      <c r="Q24" s="57"/>
      <c r="T24" s="10" t="s">
        <v>45</v>
      </c>
      <c r="W24" s="46">
        <f>SUM(W20:W23)</f>
        <v>2894</v>
      </c>
      <c r="X24" s="11"/>
    </row>
    <row r="25" spans="4:24" x14ac:dyDescent="0.3">
      <c r="D25" s="10" t="s">
        <v>47</v>
      </c>
      <c r="H25" s="44">
        <f>H24*H18</f>
        <v>16017.976156499999</v>
      </c>
      <c r="J25" t="s">
        <v>48</v>
      </c>
      <c r="M25" s="35">
        <v>107.726961</v>
      </c>
      <c r="N25" s="35">
        <v>102.4241</v>
      </c>
      <c r="O25" s="35">
        <f>H24</f>
        <v>96.204060999999996</v>
      </c>
      <c r="P25" s="56"/>
      <c r="Q25" s="57"/>
      <c r="R25" s="35">
        <f t="shared" si="0"/>
        <v>96.204060999999996</v>
      </c>
      <c r="T25" s="10"/>
      <c r="W25" s="38"/>
    </row>
    <row r="26" spans="4:24" x14ac:dyDescent="0.3">
      <c r="J26" s="10" t="s">
        <v>50</v>
      </c>
      <c r="M26" s="43">
        <f>M22/M25</f>
        <v>2.0422000022816942</v>
      </c>
      <c r="N26" s="43">
        <f t="shared" ref="N26:O26" si="5">N22/N25</f>
        <v>12.653272032656377</v>
      </c>
      <c r="O26" s="43">
        <f t="shared" si="5"/>
        <v>-0.54051772305121304</v>
      </c>
      <c r="P26" s="56"/>
      <c r="Q26" s="57"/>
      <c r="R26" s="43">
        <f t="shared" si="0"/>
        <v>-0.54051772305121304</v>
      </c>
      <c r="T26" s="13" t="s">
        <v>49</v>
      </c>
      <c r="W26" s="38">
        <v>4272</v>
      </c>
    </row>
    <row r="27" spans="4:24" x14ac:dyDescent="0.3">
      <c r="D27" t="s">
        <v>52</v>
      </c>
      <c r="H27" s="38">
        <f>+W20+W26</f>
        <v>4278</v>
      </c>
      <c r="T27" s="13" t="s">
        <v>51</v>
      </c>
      <c r="W27" s="38">
        <f>1012+243+1956</f>
        <v>3211</v>
      </c>
    </row>
    <row r="28" spans="4:24" x14ac:dyDescent="0.3">
      <c r="D28" t="s">
        <v>54</v>
      </c>
      <c r="H28" s="38">
        <f>+W31</f>
        <v>0</v>
      </c>
      <c r="J28" s="6" t="s">
        <v>55</v>
      </c>
      <c r="K28" s="2"/>
      <c r="L28" s="2"/>
      <c r="M28" s="2"/>
      <c r="N28" s="2"/>
      <c r="O28" s="2"/>
      <c r="P28" s="2"/>
      <c r="Q28" s="2"/>
      <c r="R28" s="2"/>
      <c r="T28" s="10" t="s">
        <v>53</v>
      </c>
      <c r="W28" s="46">
        <f>SUM(W26:W27)+W24</f>
        <v>10377</v>
      </c>
      <c r="X28" s="11"/>
    </row>
    <row r="29" spans="4:24" x14ac:dyDescent="0.3">
      <c r="D29" t="s">
        <v>56</v>
      </c>
      <c r="H29" s="38">
        <f>+W30</f>
        <v>325</v>
      </c>
      <c r="J29" t="s">
        <v>57</v>
      </c>
      <c r="M29" s="38">
        <f>M13</f>
        <v>867</v>
      </c>
      <c r="N29" s="38">
        <f>N13</f>
        <v>922</v>
      </c>
      <c r="O29" s="38">
        <f>O13</f>
        <v>903</v>
      </c>
      <c r="P29" s="56"/>
      <c r="Q29" s="57"/>
      <c r="R29" s="38">
        <f>O29</f>
        <v>903</v>
      </c>
      <c r="W29" s="38"/>
    </row>
    <row r="30" spans="4:24" x14ac:dyDescent="0.3">
      <c r="D30" t="s">
        <v>59</v>
      </c>
      <c r="H30" s="38">
        <f>-W9</f>
        <v>-788</v>
      </c>
      <c r="J30" t="s">
        <v>60</v>
      </c>
      <c r="M30" s="38">
        <v>0</v>
      </c>
      <c r="N30" s="38">
        <v>0</v>
      </c>
      <c r="O30" s="38">
        <v>0</v>
      </c>
      <c r="P30" s="56"/>
      <c r="Q30" s="57"/>
      <c r="R30" s="38">
        <f t="shared" ref="R30:R52" si="6">O30</f>
        <v>0</v>
      </c>
      <c r="T30" t="s">
        <v>58</v>
      </c>
      <c r="W30" s="38">
        <v>325</v>
      </c>
    </row>
    <row r="31" spans="4:24" x14ac:dyDescent="0.3">
      <c r="D31" s="10" t="s">
        <v>62</v>
      </c>
      <c r="H31" s="48">
        <f>SUM(H25:H30)</f>
        <v>19832.976156500001</v>
      </c>
      <c r="J31" s="10" t="s">
        <v>63</v>
      </c>
      <c r="M31" s="60">
        <f>SUM(M29:M30)</f>
        <v>867</v>
      </c>
      <c r="N31" s="60">
        <f t="shared" ref="N31:O31" si="7">SUM(N29:N30)</f>
        <v>922</v>
      </c>
      <c r="O31" s="60">
        <f t="shared" si="7"/>
        <v>903</v>
      </c>
      <c r="P31" s="52"/>
      <c r="Q31" s="53"/>
      <c r="R31" s="60">
        <f t="shared" si="6"/>
        <v>903</v>
      </c>
      <c r="T31" t="s">
        <v>61</v>
      </c>
      <c r="W31" s="38">
        <v>0</v>
      </c>
    </row>
    <row r="32" spans="4:24" x14ac:dyDescent="0.3">
      <c r="J32" s="14" t="s">
        <v>65</v>
      </c>
      <c r="M32" s="30">
        <f>M31/M$11</f>
        <v>0.13004349782510874</v>
      </c>
      <c r="N32" s="30">
        <f t="shared" ref="N32:O32" si="8">N31/N$11</f>
        <v>0.13868832731648617</v>
      </c>
      <c r="O32" s="30">
        <f t="shared" si="8"/>
        <v>0.12716518800168991</v>
      </c>
      <c r="P32" s="56"/>
      <c r="Q32" s="57"/>
      <c r="R32" s="30">
        <f t="shared" si="6"/>
        <v>0.12716518800168991</v>
      </c>
      <c r="T32" t="s">
        <v>64</v>
      </c>
      <c r="W32" s="38">
        <v>3334</v>
      </c>
    </row>
    <row r="33" spans="4:24" x14ac:dyDescent="0.3">
      <c r="D33" s="6" t="s">
        <v>67</v>
      </c>
      <c r="E33" s="2"/>
      <c r="F33" s="2"/>
      <c r="G33" s="2"/>
      <c r="H33" s="2"/>
      <c r="P33" s="56"/>
      <c r="Q33" s="57"/>
      <c r="T33" s="10" t="s">
        <v>66</v>
      </c>
      <c r="W33" s="47">
        <f>SUM(W30:W32)+W28</f>
        <v>14036</v>
      </c>
      <c r="X33" s="12"/>
    </row>
    <row r="34" spans="4:24" x14ac:dyDescent="0.3">
      <c r="D34" s="67"/>
      <c r="E34" s="225" t="s">
        <v>193</v>
      </c>
      <c r="F34" s="225" t="s">
        <v>194</v>
      </c>
      <c r="G34" s="225" t="s">
        <v>195</v>
      </c>
      <c r="H34" s="225" t="s">
        <v>196</v>
      </c>
      <c r="J34" t="s">
        <v>68</v>
      </c>
      <c r="M34" s="38">
        <f>M15</f>
        <v>289</v>
      </c>
      <c r="N34" s="38">
        <f>N15</f>
        <v>374</v>
      </c>
      <c r="O34" s="38">
        <f>O15</f>
        <v>348</v>
      </c>
      <c r="P34" s="56"/>
      <c r="Q34" s="57"/>
      <c r="R34" s="38">
        <f t="shared" si="6"/>
        <v>348</v>
      </c>
    </row>
    <row r="35" spans="4:24" x14ac:dyDescent="0.3">
      <c r="D35" s="67"/>
      <c r="E35" s="226"/>
      <c r="F35" s="226"/>
      <c r="G35" s="226"/>
      <c r="H35" s="226"/>
      <c r="J35" t="s">
        <v>60</v>
      </c>
      <c r="M35" s="38">
        <v>0</v>
      </c>
      <c r="N35" s="38">
        <v>0</v>
      </c>
      <c r="O35" s="38">
        <v>0</v>
      </c>
      <c r="P35" s="56"/>
      <c r="Q35" s="57"/>
      <c r="R35" s="38">
        <f t="shared" si="6"/>
        <v>0</v>
      </c>
      <c r="T35" s="5" t="s">
        <v>69</v>
      </c>
      <c r="W35" s="45">
        <f>IF(W33=W18,W18-W33,W18-W33)</f>
        <v>0</v>
      </c>
    </row>
    <row r="36" spans="4:24" x14ac:dyDescent="0.3">
      <c r="D36" t="s">
        <v>70</v>
      </c>
      <c r="E36" s="64">
        <f>$H$31/E37</f>
        <v>2.7929835454865515</v>
      </c>
      <c r="F36" s="64">
        <f t="shared" ref="F36:H36" si="9">$H$31/F37</f>
        <v>2.7564942538568453</v>
      </c>
      <c r="G36" s="64">
        <f t="shared" si="9"/>
        <v>2.5647195340100866</v>
      </c>
      <c r="H36" s="64">
        <f t="shared" si="9"/>
        <v>2.3999245107090998</v>
      </c>
      <c r="J36" t="s">
        <v>71</v>
      </c>
      <c r="M36" s="38">
        <f>M37-M34</f>
        <v>343</v>
      </c>
      <c r="N36" s="38">
        <f t="shared" ref="N36:O36" si="10">N37-N34</f>
        <v>389</v>
      </c>
      <c r="O36" s="38">
        <f t="shared" si="10"/>
        <v>486</v>
      </c>
      <c r="P36" s="56"/>
      <c r="Q36" s="57"/>
      <c r="R36" s="38">
        <f t="shared" si="6"/>
        <v>486</v>
      </c>
    </row>
    <row r="37" spans="4:24" x14ac:dyDescent="0.3">
      <c r="D37" s="15" t="s">
        <v>72</v>
      </c>
      <c r="E37" s="38">
        <f>R11</f>
        <v>7101</v>
      </c>
      <c r="F37" s="34">
        <v>7195</v>
      </c>
      <c r="G37" s="34">
        <v>7733</v>
      </c>
      <c r="H37" s="34">
        <v>8264</v>
      </c>
      <c r="J37" s="10" t="s">
        <v>73</v>
      </c>
      <c r="M37" s="46">
        <f>M41-M40</f>
        <v>632</v>
      </c>
      <c r="N37" s="46">
        <f t="shared" ref="N37:O37" si="11">N41-N40</f>
        <v>763</v>
      </c>
      <c r="O37" s="46">
        <f t="shared" si="11"/>
        <v>834</v>
      </c>
      <c r="P37" s="52"/>
      <c r="Q37" s="53"/>
      <c r="R37" s="46">
        <f t="shared" si="6"/>
        <v>834</v>
      </c>
    </row>
    <row r="38" spans="4:24" x14ac:dyDescent="0.3">
      <c r="D38" t="s">
        <v>75</v>
      </c>
      <c r="E38" s="64">
        <f>$H$31/E39</f>
        <v>17.112145087575495</v>
      </c>
      <c r="F38" s="64">
        <f t="shared" ref="F38:H38" si="12">$H$31/F39</f>
        <v>16.821862728159459</v>
      </c>
      <c r="G38" s="64">
        <f t="shared" si="12"/>
        <v>15.128128265827613</v>
      </c>
      <c r="H38" s="64">
        <f t="shared" si="12"/>
        <v>13.328613008400538</v>
      </c>
      <c r="J38" s="14" t="s">
        <v>65</v>
      </c>
      <c r="M38" s="30">
        <f>M37/M$11</f>
        <v>9.4795260236988158E-2</v>
      </c>
      <c r="N38" s="30">
        <f t="shared" ref="N38:O38" si="13">N37/N$11</f>
        <v>0.11477135980746089</v>
      </c>
      <c r="O38" s="30">
        <f t="shared" si="13"/>
        <v>0.11744824672581326</v>
      </c>
      <c r="P38" s="56"/>
      <c r="Q38" s="57"/>
      <c r="R38" s="30">
        <f t="shared" si="6"/>
        <v>0.11744824672581326</v>
      </c>
      <c r="T38" s="6" t="s">
        <v>74</v>
      </c>
      <c r="U38" s="2"/>
      <c r="V38" s="2"/>
      <c r="W38" s="2"/>
      <c r="X38" s="2"/>
    </row>
    <row r="39" spans="4:24" x14ac:dyDescent="0.3">
      <c r="D39" s="15" t="s">
        <v>72</v>
      </c>
      <c r="E39" s="38">
        <f>R41</f>
        <v>1159</v>
      </c>
      <c r="F39" s="34">
        <v>1179</v>
      </c>
      <c r="G39" s="34">
        <v>1311</v>
      </c>
      <c r="H39" s="34">
        <v>1488</v>
      </c>
      <c r="P39" s="56"/>
      <c r="Q39" s="57"/>
      <c r="T39" t="s">
        <v>76</v>
      </c>
      <c r="X39" s="35">
        <v>95.504060999999993</v>
      </c>
    </row>
    <row r="40" spans="4:24" x14ac:dyDescent="0.3">
      <c r="D40" t="s">
        <v>78</v>
      </c>
      <c r="E40" s="64">
        <f>$H$31/E41</f>
        <v>56.991310794540233</v>
      </c>
      <c r="F40" s="64">
        <f t="shared" ref="F40:H40" si="14">$H$31/F41</f>
        <v>30.758337711693553</v>
      </c>
      <c r="G40" s="64">
        <f t="shared" si="14"/>
        <v>24.812931510696863</v>
      </c>
      <c r="H40" s="64">
        <f t="shared" si="14"/>
        <v>21.597491186431451</v>
      </c>
      <c r="J40" t="s">
        <v>79</v>
      </c>
      <c r="M40">
        <v>397</v>
      </c>
      <c r="N40">
        <v>333</v>
      </c>
      <c r="O40">
        <v>325</v>
      </c>
      <c r="P40" s="56"/>
      <c r="Q40" s="57"/>
      <c r="R40">
        <f t="shared" si="6"/>
        <v>325</v>
      </c>
      <c r="T40" t="s">
        <v>77</v>
      </c>
      <c r="X40" s="39">
        <f>W54</f>
        <v>4.8800740000000005</v>
      </c>
    </row>
    <row r="41" spans="4:24" x14ac:dyDescent="0.3">
      <c r="D41" s="15" t="s">
        <v>72</v>
      </c>
      <c r="E41" s="38">
        <f>R34</f>
        <v>348</v>
      </c>
      <c r="F41" s="34">
        <v>644.79999999999995</v>
      </c>
      <c r="G41" s="34">
        <v>799.3</v>
      </c>
      <c r="H41" s="34">
        <v>918.3</v>
      </c>
      <c r="J41" s="10" t="s">
        <v>81</v>
      </c>
      <c r="M41" s="46">
        <v>1029</v>
      </c>
      <c r="N41" s="46">
        <v>1096</v>
      </c>
      <c r="O41" s="46">
        <v>1159</v>
      </c>
      <c r="P41" s="52"/>
      <c r="Q41" s="53"/>
      <c r="R41" s="46">
        <f t="shared" si="6"/>
        <v>1159</v>
      </c>
      <c r="T41" t="s">
        <v>80</v>
      </c>
      <c r="X41" s="39">
        <f>-X54/H18</f>
        <v>-2.7774792827027026</v>
      </c>
    </row>
    <row r="42" spans="4:24" x14ac:dyDescent="0.3">
      <c r="D42" t="s">
        <v>83</v>
      </c>
      <c r="E42" s="64">
        <f>$H$18/E43</f>
        <v>-308.03800300961535</v>
      </c>
      <c r="F42" s="64">
        <f t="shared" ref="F42:H42" si="15">$H$18/F43</f>
        <v>57.21649484536082</v>
      </c>
      <c r="G42" s="64">
        <f t="shared" si="15"/>
        <v>39.642857142857139</v>
      </c>
      <c r="H42" s="64">
        <f t="shared" si="15"/>
        <v>32.267441860465112</v>
      </c>
      <c r="J42" s="14" t="s">
        <v>65</v>
      </c>
      <c r="M42" s="30">
        <f>M41/M$11</f>
        <v>0.15434228288585572</v>
      </c>
      <c r="N42" s="30">
        <f t="shared" ref="N42:O42" si="16">N41/N$11</f>
        <v>0.16486161251504211</v>
      </c>
      <c r="O42" s="30">
        <f t="shared" si="16"/>
        <v>0.16321644838755106</v>
      </c>
      <c r="P42" s="56"/>
      <c r="Q42" s="57"/>
      <c r="R42" s="30">
        <f t="shared" si="6"/>
        <v>0.16321644838755106</v>
      </c>
      <c r="T42" s="10" t="s">
        <v>82</v>
      </c>
      <c r="X42" s="40">
        <v>0.7</v>
      </c>
    </row>
    <row r="43" spans="4:24" x14ac:dyDescent="0.3">
      <c r="D43" s="15" t="s">
        <v>72</v>
      </c>
      <c r="E43" s="32">
        <f>R26</f>
        <v>-0.54051772305121304</v>
      </c>
      <c r="F43" s="32">
        <v>2.91</v>
      </c>
      <c r="G43" s="32">
        <v>4.2</v>
      </c>
      <c r="H43" s="32">
        <v>5.16</v>
      </c>
      <c r="P43" s="56"/>
      <c r="Q43" s="57"/>
      <c r="T43" t="s">
        <v>84</v>
      </c>
      <c r="X43" s="39">
        <v>0</v>
      </c>
    </row>
    <row r="44" spans="4:24" x14ac:dyDescent="0.3">
      <c r="D44" t="s">
        <v>85</v>
      </c>
      <c r="E44" s="30">
        <f>E45/$H$25</f>
        <v>0.16600099625700801</v>
      </c>
      <c r="F44" s="30">
        <f t="shared" ref="F44:H44" si="17">F45/$H$25</f>
        <v>2.6332914712751405E-2</v>
      </c>
      <c r="G44" s="30">
        <f t="shared" si="17"/>
        <v>3.7376756848089776E-2</v>
      </c>
      <c r="H44" s="30">
        <f t="shared" si="17"/>
        <v>3.9661689703677019E-2</v>
      </c>
      <c r="J44" t="s">
        <v>86</v>
      </c>
      <c r="M44" s="38">
        <f>M22</f>
        <v>220</v>
      </c>
      <c r="N44" s="38">
        <f t="shared" ref="N44:O44" si="18">N22</f>
        <v>1296</v>
      </c>
      <c r="O44" s="38">
        <f t="shared" si="18"/>
        <v>-52</v>
      </c>
      <c r="P44" s="56"/>
      <c r="Q44" s="57"/>
      <c r="R44" s="38">
        <f t="shared" si="6"/>
        <v>-52</v>
      </c>
      <c r="T44" s="10" t="s">
        <v>46</v>
      </c>
      <c r="X44" s="41">
        <f>X39+X42</f>
        <v>96.204060999999996</v>
      </c>
    </row>
    <row r="45" spans="4:24" x14ac:dyDescent="0.3">
      <c r="D45" s="15" t="s">
        <v>72</v>
      </c>
      <c r="E45" s="38">
        <f>R58</f>
        <v>2659</v>
      </c>
      <c r="F45" s="38">
        <v>421.8</v>
      </c>
      <c r="G45" s="38">
        <v>598.70000000000005</v>
      </c>
      <c r="H45" s="38">
        <v>635.29999999999995</v>
      </c>
      <c r="J45" t="s">
        <v>60</v>
      </c>
      <c r="M45" s="38">
        <f>M30</f>
        <v>0</v>
      </c>
      <c r="N45" s="38">
        <v>0</v>
      </c>
      <c r="O45" s="38">
        <v>0</v>
      </c>
      <c r="P45" s="56"/>
      <c r="Q45" s="57"/>
      <c r="R45" s="38">
        <f t="shared" si="6"/>
        <v>0</v>
      </c>
    </row>
    <row r="46" spans="4:24" x14ac:dyDescent="0.3">
      <c r="J46" t="s">
        <v>71</v>
      </c>
      <c r="M46" s="38">
        <f>M35</f>
        <v>0</v>
      </c>
      <c r="N46" s="38">
        <v>0</v>
      </c>
      <c r="O46" s="38">
        <v>0</v>
      </c>
      <c r="P46" s="56"/>
      <c r="Q46" s="57"/>
      <c r="R46" s="38">
        <f t="shared" si="6"/>
        <v>0</v>
      </c>
      <c r="T46" s="16" t="s">
        <v>87</v>
      </c>
    </row>
    <row r="47" spans="4:24" x14ac:dyDescent="0.3">
      <c r="D47" s="18" t="s">
        <v>92</v>
      </c>
      <c r="E47" s="2"/>
      <c r="F47" s="2"/>
      <c r="G47" s="2"/>
      <c r="H47" s="2"/>
      <c r="J47" t="s">
        <v>93</v>
      </c>
      <c r="M47" s="38">
        <f>M36</f>
        <v>343</v>
      </c>
      <c r="N47" s="38">
        <f t="shared" ref="N47:O47" si="19">N36</f>
        <v>389</v>
      </c>
      <c r="O47" s="38">
        <f t="shared" si="19"/>
        <v>486</v>
      </c>
      <c r="P47" s="56"/>
      <c r="Q47" s="57"/>
      <c r="R47" s="38">
        <f t="shared" si="6"/>
        <v>486</v>
      </c>
      <c r="T47" s="17"/>
      <c r="U47" s="227" t="s">
        <v>88</v>
      </c>
      <c r="V47" s="227" t="s">
        <v>89</v>
      </c>
      <c r="W47" s="227" t="s">
        <v>90</v>
      </c>
      <c r="X47" s="227" t="s">
        <v>91</v>
      </c>
    </row>
    <row r="48" spans="4:24" x14ac:dyDescent="0.3">
      <c r="D48" t="s">
        <v>95</v>
      </c>
      <c r="H48" s="30">
        <f>R49/(W26-W9+W32)</f>
        <v>4.9398650630683487E-2</v>
      </c>
      <c r="J48" t="s">
        <v>96</v>
      </c>
      <c r="M48" s="38">
        <f>-M47*$H$15</f>
        <v>-68.600000000000009</v>
      </c>
      <c r="N48" s="38">
        <f>-N47*$H$15</f>
        <v>-77.800000000000011</v>
      </c>
      <c r="O48" s="38">
        <f>-O47*$H$15</f>
        <v>-97.2</v>
      </c>
      <c r="P48" s="56"/>
      <c r="Q48" s="57"/>
      <c r="R48" s="38">
        <f t="shared" si="6"/>
        <v>-97.2</v>
      </c>
      <c r="T48" s="8" t="s">
        <v>94</v>
      </c>
      <c r="U48" s="228"/>
      <c r="V48" s="228"/>
      <c r="W48" s="228"/>
      <c r="X48" s="228"/>
    </row>
    <row r="49" spans="4:24" ht="15" thickBot="1" x14ac:dyDescent="0.35">
      <c r="D49" t="s">
        <v>98</v>
      </c>
      <c r="H49" s="30">
        <f>ABS(R49/W32)</f>
        <v>0.10101979604079185</v>
      </c>
      <c r="J49" s="10" t="s">
        <v>99</v>
      </c>
      <c r="M49" s="51">
        <f>SUM(M44:M48)</f>
        <v>494.4</v>
      </c>
      <c r="N49" s="51">
        <f t="shared" ref="N49:O49" si="20">SUM(N44:N48)</f>
        <v>1607.2</v>
      </c>
      <c r="O49" s="51">
        <f t="shared" si="20"/>
        <v>336.8</v>
      </c>
      <c r="P49" s="58"/>
      <c r="Q49" s="59"/>
      <c r="R49" s="51">
        <f t="shared" si="6"/>
        <v>336.8</v>
      </c>
      <c r="T49" t="s">
        <v>97</v>
      </c>
      <c r="U49" s="39">
        <v>3.4841510000000002</v>
      </c>
      <c r="V49" s="33">
        <v>80.75</v>
      </c>
      <c r="W49" s="39">
        <f>IF(V49&lt;$H$18,U49,0)</f>
        <v>3.4841510000000002</v>
      </c>
      <c r="X49" s="33">
        <f>IF(W49&gt;0,U49*V49,0)</f>
        <v>281.34519325000002</v>
      </c>
    </row>
    <row r="50" spans="4:24" ht="15" thickTop="1" x14ac:dyDescent="0.3">
      <c r="D50" t="s">
        <v>101</v>
      </c>
      <c r="H50" s="30">
        <f>ABS(R49/W18)</f>
        <v>2.3995440296380736E-2</v>
      </c>
      <c r="J50" s="14" t="s">
        <v>65</v>
      </c>
      <c r="M50" s="30">
        <f>M49/M$11</f>
        <v>7.4156292185390729E-2</v>
      </c>
      <c r="N50" s="30">
        <f t="shared" ref="N50:O50" si="21">N49/N$11</f>
        <v>0.2417569193742479</v>
      </c>
      <c r="O50" s="30">
        <f t="shared" si="21"/>
        <v>4.7429939445148575E-2</v>
      </c>
      <c r="P50" s="56"/>
      <c r="Q50" s="57"/>
      <c r="R50" s="30">
        <f t="shared" si="6"/>
        <v>4.7429939445148575E-2</v>
      </c>
      <c r="T50" t="s">
        <v>100</v>
      </c>
      <c r="U50" s="39">
        <v>0.95516699999999999</v>
      </c>
      <c r="V50" s="33">
        <v>127.32</v>
      </c>
      <c r="W50" s="39">
        <f>IF(V50&lt;$H$18,U50,0)</f>
        <v>0.95516699999999999</v>
      </c>
      <c r="X50" s="33">
        <f>IF(W50&gt;0,U50*V50,0)</f>
        <v>121.61186244</v>
      </c>
    </row>
    <row r="51" spans="4:24" x14ac:dyDescent="0.3">
      <c r="D51" t="s">
        <v>103</v>
      </c>
      <c r="H51" s="30">
        <f>H22/H18</f>
        <v>3.6036036036036037E-3</v>
      </c>
      <c r="P51" s="56"/>
      <c r="Q51" s="57"/>
      <c r="T51" t="s">
        <v>102</v>
      </c>
      <c r="U51" s="39">
        <v>0.44075599999999998</v>
      </c>
      <c r="V51" s="33">
        <v>134.97999999999999</v>
      </c>
      <c r="W51" s="39">
        <f>IF(V51&lt;$H$18,U51,0)</f>
        <v>0.44075599999999998</v>
      </c>
      <c r="X51" s="33">
        <f>IF(W51&gt;0,U51*V51,0)</f>
        <v>59.493244879999992</v>
      </c>
    </row>
    <row r="52" spans="4:24" x14ac:dyDescent="0.3">
      <c r="J52" t="s">
        <v>105</v>
      </c>
      <c r="M52" s="43">
        <f>M49/M25</f>
        <v>4.5893803687639529</v>
      </c>
      <c r="N52" s="43">
        <f t="shared" ref="N52:O52" si="22">N49/N25</f>
        <v>15.69161945284362</v>
      </c>
      <c r="O52" s="43">
        <f t="shared" si="22"/>
        <v>3.5008917139163183</v>
      </c>
      <c r="P52" s="56"/>
      <c r="Q52" s="57"/>
      <c r="R52" s="43">
        <f t="shared" si="6"/>
        <v>3.5008917139163183</v>
      </c>
      <c r="T52" t="s">
        <v>104</v>
      </c>
      <c r="U52" s="39">
        <v>0</v>
      </c>
      <c r="V52" s="33">
        <v>0</v>
      </c>
      <c r="W52" s="39">
        <v>0</v>
      </c>
      <c r="X52" s="33">
        <v>0</v>
      </c>
    </row>
    <row r="53" spans="4:24" x14ac:dyDescent="0.3">
      <c r="D53" s="6" t="s">
        <v>107</v>
      </c>
      <c r="E53" s="2"/>
      <c r="F53" s="2"/>
      <c r="G53" s="2"/>
      <c r="H53" s="2"/>
      <c r="T53" t="s">
        <v>106</v>
      </c>
      <c r="U53" s="39">
        <v>0</v>
      </c>
      <c r="V53" s="33">
        <v>0</v>
      </c>
      <c r="W53" s="39">
        <v>0</v>
      </c>
      <c r="X53" s="33">
        <v>0</v>
      </c>
    </row>
    <row r="54" spans="4:24" x14ac:dyDescent="0.3">
      <c r="D54" t="s">
        <v>109</v>
      </c>
      <c r="H54" s="30">
        <f>W26/(W26+W32)</f>
        <v>0.56166184591112278</v>
      </c>
      <c r="J54" s="6" t="s">
        <v>110</v>
      </c>
      <c r="K54" s="2"/>
      <c r="L54" s="2"/>
      <c r="M54" s="2"/>
      <c r="N54" s="2"/>
      <c r="O54" s="2"/>
      <c r="P54" s="2"/>
      <c r="Q54" s="2"/>
      <c r="R54" s="2"/>
      <c r="T54" s="10" t="s">
        <v>108</v>
      </c>
      <c r="U54" s="40">
        <f t="shared" ref="U54:X54" si="23">SUM(U49:U53)</f>
        <v>4.8800740000000005</v>
      </c>
      <c r="V54" s="37">
        <f t="shared" si="23"/>
        <v>343.04999999999995</v>
      </c>
      <c r="W54" s="40">
        <f t="shared" si="23"/>
        <v>4.8800740000000005</v>
      </c>
      <c r="X54" s="37">
        <f t="shared" si="23"/>
        <v>462.45030056999997</v>
      </c>
    </row>
    <row r="55" spans="4:24" x14ac:dyDescent="0.3">
      <c r="D55" t="s">
        <v>111</v>
      </c>
      <c r="H55" s="64">
        <f>W26/R41</f>
        <v>3.6859361518550475</v>
      </c>
      <c r="J55" t="s">
        <v>112</v>
      </c>
      <c r="M55" s="38">
        <v>3170</v>
      </c>
      <c r="N55" s="38">
        <v>2749</v>
      </c>
      <c r="O55" s="38">
        <v>3212</v>
      </c>
      <c r="P55" s="56"/>
      <c r="Q55" s="57"/>
      <c r="R55" s="38">
        <f>O55</f>
        <v>3212</v>
      </c>
    </row>
    <row r="56" spans="4:24" x14ac:dyDescent="0.3">
      <c r="D56" t="s">
        <v>114</v>
      </c>
      <c r="H56" s="64">
        <f>(W26-W9)/R41</f>
        <v>3.0060396893874031</v>
      </c>
      <c r="J56" t="s">
        <v>115</v>
      </c>
      <c r="M56" s="38">
        <f>350+604</f>
        <v>954</v>
      </c>
      <c r="N56" s="38">
        <f>750+26</f>
        <v>776</v>
      </c>
      <c r="O56" s="38">
        <f>101+452</f>
        <v>553</v>
      </c>
      <c r="P56" s="56"/>
      <c r="Q56" s="57"/>
      <c r="R56" s="38">
        <f t="shared" ref="R56:R63" si="24">O56</f>
        <v>553</v>
      </c>
      <c r="T56" s="8" t="s">
        <v>113</v>
      </c>
      <c r="U56" s="9"/>
      <c r="V56" s="9"/>
      <c r="W56" s="9"/>
      <c r="X56" s="9"/>
    </row>
    <row r="57" spans="4:24" x14ac:dyDescent="0.3">
      <c r="D57" s="15" t="s">
        <v>120</v>
      </c>
      <c r="H57" s="64">
        <f>ABS(R41/R16)</f>
        <v>3.6561514195583595</v>
      </c>
      <c r="J57" s="14" t="s">
        <v>121</v>
      </c>
      <c r="M57" s="30">
        <f>M56/M$11</f>
        <v>0.14309284535773212</v>
      </c>
      <c r="N57" s="30">
        <f t="shared" ref="N57:O57" si="25">N56/N$11</f>
        <v>0.11672683513838748</v>
      </c>
      <c r="O57" s="30">
        <f t="shared" si="25"/>
        <v>7.7876355442895367E-2</v>
      </c>
      <c r="P57" s="56"/>
      <c r="Q57" s="57"/>
      <c r="R57" s="30">
        <f t="shared" si="24"/>
        <v>7.7876355442895367E-2</v>
      </c>
      <c r="T57" s="7"/>
      <c r="U57" s="227" t="s">
        <v>116</v>
      </c>
      <c r="V57" s="227" t="s">
        <v>117</v>
      </c>
      <c r="W57" s="227" t="s">
        <v>118</v>
      </c>
      <c r="X57" s="227" t="s">
        <v>119</v>
      </c>
    </row>
    <row r="58" spans="4:24" x14ac:dyDescent="0.3">
      <c r="D58" s="15" t="s">
        <v>122</v>
      </c>
      <c r="H58" s="64">
        <f>ABS((R41-R56)/R16)</f>
        <v>1.9116719242902209</v>
      </c>
      <c r="J58" s="10" t="s">
        <v>123</v>
      </c>
      <c r="M58" s="46">
        <f>M55-M56</f>
        <v>2216</v>
      </c>
      <c r="N58" s="46">
        <f t="shared" ref="N58:O58" si="26">N55-N56</f>
        <v>1973</v>
      </c>
      <c r="O58" s="46">
        <f t="shared" si="26"/>
        <v>2659</v>
      </c>
      <c r="P58" s="52"/>
      <c r="Q58" s="53"/>
      <c r="R58" s="46">
        <f t="shared" si="24"/>
        <v>2659</v>
      </c>
      <c r="T58" s="7"/>
      <c r="U58" s="228"/>
      <c r="V58" s="228"/>
      <c r="W58" s="228"/>
      <c r="X58" s="228"/>
    </row>
    <row r="59" spans="4:24" x14ac:dyDescent="0.3">
      <c r="D59" s="15" t="s">
        <v>125</v>
      </c>
      <c r="H59" s="64">
        <f>ABS(R37/R16)</f>
        <v>2.6309148264984228</v>
      </c>
      <c r="J59" s="14" t="s">
        <v>65</v>
      </c>
      <c r="M59" s="30">
        <f>M58/M$11</f>
        <v>0.33238338083095847</v>
      </c>
      <c r="N59" s="30">
        <f t="shared" ref="N59:O59" si="27">N58/N$11</f>
        <v>0.29678098676293624</v>
      </c>
      <c r="O59" s="30">
        <f t="shared" si="27"/>
        <v>0.37445430221095621</v>
      </c>
      <c r="P59" s="56"/>
      <c r="Q59" s="57"/>
      <c r="R59" s="30">
        <f t="shared" si="24"/>
        <v>0.37445430221095621</v>
      </c>
      <c r="T59" t="s">
        <v>124</v>
      </c>
      <c r="U59" s="39">
        <v>0</v>
      </c>
      <c r="V59" s="39">
        <v>0</v>
      </c>
      <c r="W59" s="39">
        <v>0</v>
      </c>
      <c r="X59" s="39">
        <v>0</v>
      </c>
    </row>
    <row r="60" spans="4:24" x14ac:dyDescent="0.3">
      <c r="J60" s="10" t="s">
        <v>127</v>
      </c>
      <c r="M60" s="43">
        <f>M58/M25</f>
        <v>20.57052365934652</v>
      </c>
      <c r="N60" s="43">
        <f t="shared" ref="N60:O60" si="28">N58/N25</f>
        <v>19.263044537369623</v>
      </c>
      <c r="O60" s="43">
        <f t="shared" si="28"/>
        <v>27.639165876791836</v>
      </c>
      <c r="P60" s="56"/>
      <c r="Q60" s="57"/>
      <c r="R60" s="43">
        <f t="shared" si="24"/>
        <v>27.639165876791836</v>
      </c>
      <c r="T60" t="s">
        <v>126</v>
      </c>
      <c r="U60" s="39">
        <v>0</v>
      </c>
      <c r="V60" s="39">
        <v>0</v>
      </c>
      <c r="W60" s="39">
        <v>0</v>
      </c>
      <c r="X60" s="39">
        <v>0</v>
      </c>
    </row>
    <row r="61" spans="4:24" x14ac:dyDescent="0.3">
      <c r="D61" s="6" t="s">
        <v>129</v>
      </c>
      <c r="E61" s="2"/>
      <c r="F61" s="2"/>
      <c r="G61" s="2"/>
      <c r="H61" s="2"/>
      <c r="P61" s="56"/>
      <c r="Q61" s="57"/>
      <c r="T61" t="s">
        <v>128</v>
      </c>
      <c r="U61" s="39">
        <v>0</v>
      </c>
      <c r="V61" s="39">
        <v>0</v>
      </c>
      <c r="W61" s="39">
        <v>0</v>
      </c>
      <c r="X61" s="39">
        <v>0</v>
      </c>
    </row>
    <row r="62" spans="4:24" x14ac:dyDescent="0.3">
      <c r="D62" s="67"/>
      <c r="E62" s="70" t="s">
        <v>12</v>
      </c>
      <c r="F62" s="70" t="s">
        <v>131</v>
      </c>
      <c r="G62" s="70" t="s">
        <v>132</v>
      </c>
      <c r="H62" s="70" t="s">
        <v>133</v>
      </c>
      <c r="J62" s="13" t="s">
        <v>79</v>
      </c>
      <c r="M62">
        <f>M40</f>
        <v>397</v>
      </c>
      <c r="N62">
        <f t="shared" ref="N62:O62" si="29">N40</f>
        <v>333</v>
      </c>
      <c r="O62">
        <f t="shared" si="29"/>
        <v>325</v>
      </c>
      <c r="P62" s="56"/>
      <c r="Q62" s="57"/>
      <c r="R62">
        <f t="shared" si="24"/>
        <v>325</v>
      </c>
      <c r="T62" t="s">
        <v>130</v>
      </c>
      <c r="U62" s="39">
        <v>0</v>
      </c>
      <c r="V62" s="39">
        <v>0</v>
      </c>
      <c r="W62" s="39">
        <v>0</v>
      </c>
      <c r="X62" s="39">
        <v>0</v>
      </c>
    </row>
    <row r="63" spans="4:24" x14ac:dyDescent="0.3">
      <c r="D63" s="7" t="s">
        <v>135</v>
      </c>
      <c r="J63" s="14" t="s">
        <v>121</v>
      </c>
      <c r="M63" s="30">
        <f>M62/M$11</f>
        <v>5.9547022648867555E-2</v>
      </c>
      <c r="N63" s="30">
        <f t="shared" ref="N63:O63" si="30">N62/N$11</f>
        <v>5.0090252707581225E-2</v>
      </c>
      <c r="O63" s="30">
        <f t="shared" si="30"/>
        <v>4.5768201661737784E-2</v>
      </c>
      <c r="P63" s="56"/>
      <c r="Q63" s="57"/>
      <c r="R63" s="30">
        <f t="shared" si="24"/>
        <v>4.5768201661737784E-2</v>
      </c>
      <c r="T63" t="s">
        <v>134</v>
      </c>
      <c r="U63" s="39">
        <v>0</v>
      </c>
      <c r="V63" s="39">
        <v>0</v>
      </c>
      <c r="W63" s="39">
        <v>0</v>
      </c>
      <c r="X63" s="39">
        <v>0</v>
      </c>
    </row>
    <row r="64" spans="4:24" x14ac:dyDescent="0.3">
      <c r="D64" t="s">
        <v>136</v>
      </c>
      <c r="E64" s="63">
        <f>O11/N11-1</f>
        <v>6.8140794223826795E-2</v>
      </c>
      <c r="F64" s="63">
        <f>O41/N41-1</f>
        <v>5.7481751824817628E-2</v>
      </c>
      <c r="G64" s="63">
        <f>O58/N58-1</f>
        <v>0.34769386720729845</v>
      </c>
      <c r="H64" s="63">
        <f>O26/N26-1</f>
        <v>-1.0427176244734335</v>
      </c>
      <c r="T64" s="10" t="s">
        <v>108</v>
      </c>
      <c r="U64" s="40">
        <f>SUM(U59:U63)</f>
        <v>0</v>
      </c>
      <c r="V64" s="40">
        <f t="shared" ref="V64:X64" si="31">SUM(V59:V63)</f>
        <v>0</v>
      </c>
      <c r="W64" s="40">
        <f t="shared" si="31"/>
        <v>0</v>
      </c>
      <c r="X64" s="40">
        <f t="shared" si="31"/>
        <v>0</v>
      </c>
    </row>
    <row r="65" spans="4:24" x14ac:dyDescent="0.3">
      <c r="D65" t="s">
        <v>137</v>
      </c>
      <c r="E65" s="63">
        <f>_xlfn.RRI(2,M11,O11)</f>
        <v>3.2035244147573527E-2</v>
      </c>
      <c r="F65" s="63">
        <f>_xlfn.RRI(2,M41,O41)</f>
        <v>6.1289898559874434E-2</v>
      </c>
      <c r="G65" s="63">
        <f>_xlfn.RRI(2,M58,O58)</f>
        <v>9.5403919699221573E-2</v>
      </c>
      <c r="H65" s="63" t="e">
        <f>_xlfn.RRI(2,M26,O26)</f>
        <v>#NUM!</v>
      </c>
    </row>
    <row r="66" spans="4:24" x14ac:dyDescent="0.3">
      <c r="D66" s="7" t="s">
        <v>139</v>
      </c>
      <c r="J66" s="6" t="s">
        <v>138</v>
      </c>
      <c r="K66" s="2"/>
      <c r="L66" s="2"/>
      <c r="M66" s="2"/>
      <c r="N66" s="2"/>
      <c r="O66" s="2"/>
      <c r="P66" s="2"/>
      <c r="Q66" s="2"/>
      <c r="R66" s="2"/>
      <c r="S66" s="2"/>
      <c r="T66" s="2"/>
      <c r="U66" s="2"/>
      <c r="V66" s="2"/>
      <c r="W66" s="2"/>
      <c r="X66" s="2"/>
    </row>
    <row r="67" spans="4:24" x14ac:dyDescent="0.3">
      <c r="D67" t="s">
        <v>136</v>
      </c>
      <c r="E67" s="30">
        <f>F37/E37-1</f>
        <v>1.3237572172933421E-2</v>
      </c>
      <c r="F67" s="30">
        <f>F39/E39-1</f>
        <v>1.7256255392579911E-2</v>
      </c>
      <c r="G67" s="30">
        <f>F45/E45-1</f>
        <v>-0.84136893569010907</v>
      </c>
      <c r="H67" s="30">
        <f>F43/E43-1</f>
        <v>-6.3837272598076922</v>
      </c>
    </row>
    <row r="68" spans="4:24" x14ac:dyDescent="0.3">
      <c r="D68" t="s">
        <v>137</v>
      </c>
      <c r="E68" s="30">
        <f>_xlfn.RRI(2,E37,G37)</f>
        <v>4.3552370069463553E-2</v>
      </c>
      <c r="F68" s="30">
        <f>_xlfn.RRI(2,E39,G39)</f>
        <v>6.3554202184169961E-2</v>
      </c>
      <c r="G68" s="30">
        <f>_xlfn.RRI(2,E45,G45)</f>
        <v>-0.52548990050341682</v>
      </c>
      <c r="H68" s="30" t="e">
        <f>_xlfn.RRI(2,E43,G43)</f>
        <v>#NUM!</v>
      </c>
    </row>
    <row r="69" spans="4:24" x14ac:dyDescent="0.3">
      <c r="D69" t="s">
        <v>140</v>
      </c>
      <c r="H69" s="65">
        <v>7.0000000000000007E-2</v>
      </c>
    </row>
  </sheetData>
  <mergeCells count="15">
    <mergeCell ref="E34:E35"/>
    <mergeCell ref="U47:U48"/>
    <mergeCell ref="V47:V48"/>
    <mergeCell ref="W47:W48"/>
    <mergeCell ref="X47:X48"/>
    <mergeCell ref="F34:F35"/>
    <mergeCell ref="G34:G35"/>
    <mergeCell ref="H34:H35"/>
    <mergeCell ref="P8:P10"/>
    <mergeCell ref="U57:U58"/>
    <mergeCell ref="V57:V58"/>
    <mergeCell ref="W57:W58"/>
    <mergeCell ref="X57:X58"/>
    <mergeCell ref="Q8:Q10"/>
    <mergeCell ref="R8:R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A4AE-7D1F-4693-BEDC-5A981E1AA31F}">
  <dimension ref="D2:X69"/>
  <sheetViews>
    <sheetView showGridLines="0" topLeftCell="A31" zoomScale="85" zoomScaleNormal="85" workbookViewId="0">
      <selection activeCell="H22" sqref="H22"/>
    </sheetView>
  </sheetViews>
  <sheetFormatPr defaultRowHeight="14.4" x14ac:dyDescent="0.3"/>
  <cols>
    <col min="1" max="3" width="2.33203125" customWidth="1"/>
    <col min="4" max="8" width="11.77734375" customWidth="1"/>
    <col min="13" max="15" width="10.77734375" customWidth="1"/>
    <col min="16" max="18" width="11.77734375" customWidth="1"/>
    <col min="20" max="22" width="10.77734375" customWidth="1"/>
    <col min="23" max="23" width="12.6640625" customWidth="1"/>
    <col min="24" max="25" width="10.77734375" customWidth="1"/>
  </cols>
  <sheetData>
    <row r="2" spans="4:24" ht="21" x14ac:dyDescent="0.4">
      <c r="D2" s="1" t="s">
        <v>215</v>
      </c>
      <c r="E2" s="2"/>
      <c r="F2" s="2"/>
      <c r="G2" s="2"/>
      <c r="H2" s="2"/>
      <c r="I2" s="2"/>
      <c r="J2" s="2"/>
      <c r="K2" s="2"/>
      <c r="L2" s="2"/>
      <c r="M2" s="2"/>
      <c r="N2" s="2"/>
      <c r="O2" s="2"/>
      <c r="P2" s="2"/>
      <c r="Q2" s="2"/>
      <c r="R2" s="2"/>
      <c r="S2" s="2"/>
      <c r="T2" s="2"/>
      <c r="U2" s="2"/>
      <c r="V2" s="2"/>
      <c r="W2" s="2"/>
      <c r="X2" s="2"/>
    </row>
    <row r="3" spans="4:24" ht="18" x14ac:dyDescent="0.35">
      <c r="D3" s="3" t="s">
        <v>0</v>
      </c>
      <c r="E3" s="2"/>
      <c r="F3" s="2"/>
      <c r="G3" s="2"/>
      <c r="H3" s="2"/>
      <c r="I3" s="2"/>
      <c r="J3" s="2"/>
      <c r="K3" s="2"/>
      <c r="L3" s="2"/>
      <c r="M3" s="2"/>
      <c r="N3" s="2"/>
      <c r="O3" s="2"/>
      <c r="P3" s="2"/>
      <c r="Q3" s="2"/>
      <c r="R3" s="2"/>
      <c r="S3" s="2"/>
      <c r="T3" s="2"/>
      <c r="U3" s="2"/>
      <c r="V3" s="2"/>
      <c r="W3" s="2"/>
      <c r="X3" s="2"/>
    </row>
    <row r="4" spans="4:24" x14ac:dyDescent="0.3">
      <c r="D4" s="4" t="s">
        <v>1</v>
      </c>
      <c r="E4" s="2"/>
      <c r="F4" s="2"/>
      <c r="G4" s="2"/>
      <c r="H4" s="2"/>
      <c r="I4" s="2"/>
      <c r="J4" s="2"/>
      <c r="K4" s="2"/>
      <c r="L4" s="2"/>
      <c r="M4" s="2"/>
      <c r="N4" s="2"/>
      <c r="O4" s="2"/>
      <c r="P4" s="2"/>
      <c r="Q4" s="2"/>
      <c r="R4" s="2"/>
      <c r="S4" s="2"/>
      <c r="T4" s="2"/>
      <c r="U4" s="2"/>
      <c r="V4" s="2"/>
      <c r="W4" s="2"/>
      <c r="X4" s="2"/>
    </row>
    <row r="5" spans="4:24" x14ac:dyDescent="0.3">
      <c r="H5" s="5"/>
    </row>
    <row r="7" spans="4:24" x14ac:dyDescent="0.3">
      <c r="D7" s="6" t="s">
        <v>2</v>
      </c>
      <c r="E7" s="2"/>
      <c r="F7" s="2"/>
      <c r="G7" s="2"/>
      <c r="H7" s="2"/>
      <c r="J7" s="6" t="s">
        <v>3</v>
      </c>
      <c r="K7" s="2"/>
      <c r="L7" s="2"/>
      <c r="M7" s="2"/>
      <c r="N7" s="2"/>
      <c r="O7" s="2"/>
      <c r="P7" s="2"/>
      <c r="Q7" s="2"/>
      <c r="R7" s="2"/>
      <c r="T7" s="6" t="s">
        <v>4</v>
      </c>
      <c r="U7" s="2"/>
      <c r="V7" s="2"/>
      <c r="W7" s="2"/>
      <c r="X7" s="2"/>
    </row>
    <row r="8" spans="4:24" x14ac:dyDescent="0.3">
      <c r="D8" t="s">
        <v>5</v>
      </c>
      <c r="H8" s="27" t="s">
        <v>216</v>
      </c>
      <c r="J8" s="67"/>
      <c r="K8" s="67"/>
      <c r="L8" s="67"/>
      <c r="M8" s="68"/>
      <c r="N8" s="68"/>
      <c r="O8" s="68"/>
      <c r="P8" s="225" t="s">
        <v>191</v>
      </c>
      <c r="Q8" s="225" t="s">
        <v>192</v>
      </c>
      <c r="R8" s="225" t="s">
        <v>193</v>
      </c>
      <c r="T8" s="67"/>
      <c r="U8" s="67"/>
      <c r="V8" s="67"/>
      <c r="W8" s="70" t="s">
        <v>187</v>
      </c>
      <c r="X8" s="70" t="s">
        <v>188</v>
      </c>
    </row>
    <row r="9" spans="4:24" x14ac:dyDescent="0.3">
      <c r="D9" t="s">
        <v>6</v>
      </c>
      <c r="H9" s="27" t="s">
        <v>175</v>
      </c>
      <c r="J9" s="67"/>
      <c r="K9" s="67"/>
      <c r="L9" s="67"/>
      <c r="M9" s="69" t="s">
        <v>7</v>
      </c>
      <c r="N9" s="69"/>
      <c r="O9" s="69"/>
      <c r="P9" s="225"/>
      <c r="Q9" s="225"/>
      <c r="R9" s="225"/>
      <c r="T9" t="s">
        <v>8</v>
      </c>
      <c r="W9" s="38">
        <v>64</v>
      </c>
    </row>
    <row r="10" spans="4:24" x14ac:dyDescent="0.3">
      <c r="D10" t="s">
        <v>9</v>
      </c>
      <c r="H10" s="27" t="s">
        <v>182</v>
      </c>
      <c r="J10" s="67"/>
      <c r="K10" s="67"/>
      <c r="L10" s="67"/>
      <c r="M10" s="69" t="s">
        <v>189</v>
      </c>
      <c r="N10" s="69" t="s">
        <v>190</v>
      </c>
      <c r="O10" s="69" t="s">
        <v>187</v>
      </c>
      <c r="P10" s="226"/>
      <c r="Q10" s="226"/>
      <c r="R10" s="226"/>
      <c r="T10" t="s">
        <v>10</v>
      </c>
      <c r="W10" s="38">
        <v>291</v>
      </c>
    </row>
    <row r="11" spans="4:24" x14ac:dyDescent="0.3">
      <c r="D11" t="s">
        <v>11</v>
      </c>
      <c r="H11" s="27" t="s">
        <v>183</v>
      </c>
      <c r="J11" s="7" t="s">
        <v>12</v>
      </c>
      <c r="M11" s="50">
        <v>1397</v>
      </c>
      <c r="N11" s="50">
        <v>1408</v>
      </c>
      <c r="O11" s="50">
        <v>1429</v>
      </c>
      <c r="P11" s="61"/>
      <c r="Q11" s="62"/>
      <c r="R11" s="50">
        <f>O11</f>
        <v>1429</v>
      </c>
      <c r="T11" t="s">
        <v>222</v>
      </c>
      <c r="W11" s="38">
        <v>33</v>
      </c>
    </row>
    <row r="12" spans="4:24" x14ac:dyDescent="0.3">
      <c r="D12" t="s">
        <v>14</v>
      </c>
      <c r="H12" s="27" t="s">
        <v>211</v>
      </c>
      <c r="J12" t="s">
        <v>15</v>
      </c>
      <c r="M12" s="49">
        <f>894-569-94</f>
        <v>231</v>
      </c>
      <c r="N12" s="49">
        <f>913-564-81</f>
        <v>268</v>
      </c>
      <c r="O12" s="49">
        <f>1027-565-168</f>
        <v>294</v>
      </c>
      <c r="P12" s="54"/>
      <c r="Q12" s="55"/>
      <c r="R12" s="49">
        <f t="shared" ref="R12:R27" si="0">O12</f>
        <v>294</v>
      </c>
      <c r="T12" t="s">
        <v>221</v>
      </c>
      <c r="W12" s="38">
        <v>47</v>
      </c>
    </row>
    <row r="13" spans="4:24" x14ac:dyDescent="0.3">
      <c r="D13" t="s">
        <v>17</v>
      </c>
      <c r="H13" s="27" t="s">
        <v>210</v>
      </c>
      <c r="J13" s="10" t="s">
        <v>18</v>
      </c>
      <c r="M13" s="50">
        <f>M11-M12</f>
        <v>1166</v>
      </c>
      <c r="N13" s="50">
        <f t="shared" ref="N13:O13" si="1">N11-N12</f>
        <v>1140</v>
      </c>
      <c r="O13" s="50">
        <f t="shared" si="1"/>
        <v>1135</v>
      </c>
      <c r="P13" s="56"/>
      <c r="Q13" s="57"/>
      <c r="R13" s="50">
        <f t="shared" si="0"/>
        <v>1135</v>
      </c>
      <c r="T13" s="10" t="s">
        <v>19</v>
      </c>
      <c r="W13" s="46">
        <f>SUM(W9:W12)</f>
        <v>435</v>
      </c>
      <c r="X13" s="11"/>
    </row>
    <row r="14" spans="4:24" x14ac:dyDescent="0.3">
      <c r="D14" t="s">
        <v>20</v>
      </c>
      <c r="H14" s="27">
        <v>1.01</v>
      </c>
      <c r="J14" t="s">
        <v>21</v>
      </c>
      <c r="M14" s="38">
        <v>130</v>
      </c>
      <c r="N14" s="38">
        <v>130</v>
      </c>
      <c r="O14" s="38">
        <v>125</v>
      </c>
      <c r="P14" s="56"/>
      <c r="Q14" s="57"/>
      <c r="R14" s="38">
        <f t="shared" si="0"/>
        <v>125</v>
      </c>
      <c r="W14" s="38"/>
    </row>
    <row r="15" spans="4:24" x14ac:dyDescent="0.3">
      <c r="D15" t="s">
        <v>22</v>
      </c>
      <c r="H15" s="31">
        <v>0.2</v>
      </c>
      <c r="J15" t="s">
        <v>23</v>
      </c>
      <c r="M15" s="49">
        <v>569</v>
      </c>
      <c r="N15" s="49">
        <v>564</v>
      </c>
      <c r="O15" s="49">
        <v>565</v>
      </c>
      <c r="P15" s="54"/>
      <c r="Q15" s="55"/>
      <c r="R15" s="49">
        <f t="shared" si="0"/>
        <v>565</v>
      </c>
      <c r="T15" t="s">
        <v>24</v>
      </c>
      <c r="W15" s="38">
        <v>104</v>
      </c>
    </row>
    <row r="16" spans="4:24" x14ac:dyDescent="0.3">
      <c r="J16" s="10" t="s">
        <v>25</v>
      </c>
      <c r="M16" s="50">
        <f>M13-M14-M15</f>
        <v>467</v>
      </c>
      <c r="N16" s="50">
        <f t="shared" ref="N16:O16" si="2">N13-N14-N15</f>
        <v>446</v>
      </c>
      <c r="O16" s="50">
        <f t="shared" si="2"/>
        <v>445</v>
      </c>
      <c r="P16" s="56"/>
      <c r="Q16" s="57"/>
      <c r="R16" s="50">
        <f t="shared" si="0"/>
        <v>445</v>
      </c>
      <c r="T16" t="s">
        <v>26</v>
      </c>
      <c r="W16" s="38">
        <f>1525+1208+282</f>
        <v>3015</v>
      </c>
    </row>
    <row r="17" spans="4:24" x14ac:dyDescent="0.3">
      <c r="D17" s="6" t="s">
        <v>27</v>
      </c>
      <c r="E17" s="2"/>
      <c r="F17" s="2"/>
      <c r="G17" s="2"/>
      <c r="H17" s="2"/>
      <c r="J17" t="s">
        <v>28</v>
      </c>
      <c r="M17" s="38">
        <v>-102</v>
      </c>
      <c r="N17" s="38">
        <v>-124</v>
      </c>
      <c r="O17" s="38">
        <v>-139</v>
      </c>
      <c r="P17" s="56"/>
      <c r="Q17" s="57"/>
      <c r="R17" s="38">
        <f t="shared" si="0"/>
        <v>-139</v>
      </c>
      <c r="T17" t="s">
        <v>29</v>
      </c>
      <c r="W17" s="38">
        <v>628</v>
      </c>
    </row>
    <row r="18" spans="4:24" x14ac:dyDescent="0.3">
      <c r="D18" t="s">
        <v>30</v>
      </c>
      <c r="H18" s="33">
        <v>88.18</v>
      </c>
      <c r="J18" t="s">
        <v>224</v>
      </c>
      <c r="M18" s="38">
        <v>-3</v>
      </c>
      <c r="N18" s="38">
        <v>-3</v>
      </c>
      <c r="O18" s="38">
        <v>0</v>
      </c>
      <c r="P18" s="56"/>
      <c r="Q18" s="57"/>
      <c r="R18" s="38">
        <f t="shared" si="0"/>
        <v>0</v>
      </c>
      <c r="T18" s="10" t="s">
        <v>32</v>
      </c>
      <c r="W18" s="47">
        <f>SUM(W15:W17)+W13</f>
        <v>4182</v>
      </c>
      <c r="X18" s="12"/>
    </row>
    <row r="19" spans="4:24" x14ac:dyDescent="0.3">
      <c r="D19" s="5" t="s">
        <v>33</v>
      </c>
      <c r="H19" s="30">
        <f>H18/H20</f>
        <v>0.95134318696731046</v>
      </c>
      <c r="J19" s="10" t="s">
        <v>31</v>
      </c>
      <c r="M19" s="46">
        <f>SUM(M16:M18)</f>
        <v>362</v>
      </c>
      <c r="N19" s="46">
        <f t="shared" ref="N19:O19" si="3">SUM(N16:N18)</f>
        <v>319</v>
      </c>
      <c r="O19" s="46">
        <f t="shared" si="3"/>
        <v>306</v>
      </c>
      <c r="P19" s="52"/>
      <c r="Q19" s="53"/>
      <c r="R19" s="46">
        <f t="shared" si="0"/>
        <v>306</v>
      </c>
      <c r="W19" s="38"/>
    </row>
    <row r="20" spans="4:24" x14ac:dyDescent="0.3">
      <c r="D20" t="s">
        <v>35</v>
      </c>
      <c r="H20" s="33">
        <v>92.69</v>
      </c>
      <c r="J20" t="s">
        <v>34</v>
      </c>
      <c r="M20" s="38">
        <v>-109</v>
      </c>
      <c r="N20" s="38">
        <v>-79</v>
      </c>
      <c r="O20" s="38">
        <v>-70</v>
      </c>
      <c r="P20" s="56"/>
      <c r="Q20" s="57"/>
      <c r="R20" s="38">
        <f t="shared" si="0"/>
        <v>-70</v>
      </c>
      <c r="T20" t="s">
        <v>186</v>
      </c>
      <c r="W20" s="38">
        <v>45</v>
      </c>
    </row>
    <row r="21" spans="4:24" x14ac:dyDescent="0.3">
      <c r="D21" t="s">
        <v>38</v>
      </c>
      <c r="H21" s="33">
        <v>69.209999999999994</v>
      </c>
      <c r="J21" s="13" t="s">
        <v>36</v>
      </c>
      <c r="M21" s="38">
        <v>0</v>
      </c>
      <c r="N21" s="38">
        <v>0</v>
      </c>
      <c r="O21" s="38">
        <v>0</v>
      </c>
      <c r="P21" s="56"/>
      <c r="Q21" s="57"/>
      <c r="R21" s="38">
        <f t="shared" si="0"/>
        <v>0</v>
      </c>
      <c r="T21" t="s">
        <v>37</v>
      </c>
      <c r="W21" s="38">
        <v>38</v>
      </c>
    </row>
    <row r="22" spans="4:24" x14ac:dyDescent="0.3">
      <c r="D22" t="s">
        <v>41</v>
      </c>
      <c r="H22" s="33">
        <v>1.72</v>
      </c>
      <c r="J22" t="s">
        <v>39</v>
      </c>
      <c r="M22" s="38">
        <v>0</v>
      </c>
      <c r="N22" s="38">
        <v>0</v>
      </c>
      <c r="O22" s="38">
        <v>0</v>
      </c>
      <c r="P22" s="56"/>
      <c r="Q22" s="57"/>
      <c r="R22" s="38">
        <f t="shared" si="0"/>
        <v>0</v>
      </c>
      <c r="T22" t="s">
        <v>223</v>
      </c>
      <c r="W22" s="38">
        <v>134</v>
      </c>
    </row>
    <row r="23" spans="4:24" ht="15" thickBot="1" x14ac:dyDescent="0.35">
      <c r="J23" s="10" t="s">
        <v>42</v>
      </c>
      <c r="M23" s="51">
        <f>SUM(M19:M22)</f>
        <v>253</v>
      </c>
      <c r="N23" s="51">
        <f t="shared" ref="N23:O23" si="4">SUM(N19:N22)</f>
        <v>240</v>
      </c>
      <c r="O23" s="51">
        <f t="shared" si="4"/>
        <v>236</v>
      </c>
      <c r="P23" s="58"/>
      <c r="Q23" s="59"/>
      <c r="R23" s="51">
        <f t="shared" si="0"/>
        <v>236</v>
      </c>
      <c r="T23" t="s">
        <v>43</v>
      </c>
      <c r="W23" s="38">
        <v>290</v>
      </c>
    </row>
    <row r="24" spans="4:24" ht="15" thickTop="1" x14ac:dyDescent="0.3">
      <c r="D24" t="s">
        <v>46</v>
      </c>
      <c r="H24" s="42">
        <f>X44</f>
        <v>76.81947153549558</v>
      </c>
      <c r="J24" s="14" t="s">
        <v>44</v>
      </c>
      <c r="M24" s="30">
        <f>ABS(M20/M19)</f>
        <v>0.30110497237569062</v>
      </c>
      <c r="N24" s="30">
        <f t="shared" ref="N24:O24" si="5">ABS(N20/N19)</f>
        <v>0.2476489028213166</v>
      </c>
      <c r="O24" s="30">
        <f t="shared" si="5"/>
        <v>0.22875816993464052</v>
      </c>
      <c r="P24" s="56"/>
      <c r="Q24" s="57"/>
      <c r="R24" s="30">
        <f t="shared" si="0"/>
        <v>0.22875816993464052</v>
      </c>
      <c r="T24" s="10" t="s">
        <v>45</v>
      </c>
      <c r="W24" s="46">
        <f>SUM(W20:W23)</f>
        <v>507</v>
      </c>
      <c r="X24" s="11"/>
    </row>
    <row r="25" spans="4:24" x14ac:dyDescent="0.3">
      <c r="D25" s="10" t="s">
        <v>47</v>
      </c>
      <c r="H25" s="44">
        <f>H24*H18</f>
        <v>6773.9410000000007</v>
      </c>
      <c r="P25" s="56"/>
      <c r="Q25" s="57"/>
      <c r="T25" s="10"/>
      <c r="W25" s="38"/>
    </row>
    <row r="26" spans="4:24" x14ac:dyDescent="0.3">
      <c r="J26" t="s">
        <v>48</v>
      </c>
      <c r="M26">
        <v>84.9</v>
      </c>
      <c r="N26">
        <v>80.099999999999994</v>
      </c>
      <c r="O26">
        <v>77.2</v>
      </c>
      <c r="P26" s="56"/>
      <c r="Q26" s="57"/>
      <c r="R26">
        <f t="shared" si="0"/>
        <v>77.2</v>
      </c>
      <c r="T26" s="13" t="s">
        <v>49</v>
      </c>
      <c r="W26" s="38">
        <v>2515</v>
      </c>
    </row>
    <row r="27" spans="4:24" x14ac:dyDescent="0.3">
      <c r="D27" t="s">
        <v>52</v>
      </c>
      <c r="H27" s="38">
        <f>+W20+W26</f>
        <v>2560</v>
      </c>
      <c r="J27" s="10" t="s">
        <v>50</v>
      </c>
      <c r="M27" s="43">
        <f>M23/M26</f>
        <v>2.9799764428739692</v>
      </c>
      <c r="N27" s="43">
        <f t="shared" ref="N27:O27" si="6">N23/N26</f>
        <v>2.9962546816479403</v>
      </c>
      <c r="O27" s="43">
        <f t="shared" si="6"/>
        <v>3.0569948186528495</v>
      </c>
      <c r="P27" s="56"/>
      <c r="Q27" s="57"/>
      <c r="R27" s="43">
        <f t="shared" si="0"/>
        <v>3.0569948186528495</v>
      </c>
      <c r="T27" s="13" t="s">
        <v>51</v>
      </c>
      <c r="W27" s="38">
        <f>271+220+201</f>
        <v>692</v>
      </c>
    </row>
    <row r="28" spans="4:24" x14ac:dyDescent="0.3">
      <c r="D28" t="s">
        <v>54</v>
      </c>
      <c r="H28" s="38">
        <f>+W31</f>
        <v>0</v>
      </c>
      <c r="T28" s="10" t="s">
        <v>53</v>
      </c>
      <c r="W28" s="46">
        <f>SUM(W26:W27)+W24</f>
        <v>3714</v>
      </c>
      <c r="X28" s="11"/>
    </row>
    <row r="29" spans="4:24" x14ac:dyDescent="0.3">
      <c r="D29" t="s">
        <v>56</v>
      </c>
      <c r="H29" s="38">
        <f>+W30</f>
        <v>0</v>
      </c>
      <c r="J29" s="6" t="s">
        <v>55</v>
      </c>
      <c r="K29" s="2"/>
      <c r="L29" s="2"/>
      <c r="M29" s="2"/>
      <c r="N29" s="2"/>
      <c r="O29" s="2"/>
      <c r="P29" s="2"/>
      <c r="Q29" s="2"/>
      <c r="R29" s="2"/>
      <c r="W29" s="38"/>
    </row>
    <row r="30" spans="4:24" x14ac:dyDescent="0.3">
      <c r="D30" t="s">
        <v>59</v>
      </c>
      <c r="H30" s="38">
        <f>-W9</f>
        <v>-64</v>
      </c>
      <c r="J30" t="s">
        <v>57</v>
      </c>
      <c r="M30" s="38">
        <f>M13</f>
        <v>1166</v>
      </c>
      <c r="N30" s="38">
        <f>N13</f>
        <v>1140</v>
      </c>
      <c r="O30" s="38">
        <f>O13</f>
        <v>1135</v>
      </c>
      <c r="P30" s="56"/>
      <c r="Q30" s="57"/>
      <c r="R30" s="38">
        <f>O30</f>
        <v>1135</v>
      </c>
      <c r="T30" t="s">
        <v>58</v>
      </c>
      <c r="W30" s="38">
        <v>0</v>
      </c>
    </row>
    <row r="31" spans="4:24" x14ac:dyDescent="0.3">
      <c r="D31" s="10" t="s">
        <v>62</v>
      </c>
      <c r="H31" s="48">
        <f>SUM(H25:H30)</f>
        <v>9269.9410000000007</v>
      </c>
      <c r="J31" t="s">
        <v>60</v>
      </c>
      <c r="M31" s="38">
        <v>0</v>
      </c>
      <c r="N31" s="38">
        <v>0</v>
      </c>
      <c r="O31" s="38">
        <v>0</v>
      </c>
      <c r="P31" s="56"/>
      <c r="Q31" s="57"/>
      <c r="R31" s="38">
        <f t="shared" ref="R31:R53" si="7">O31</f>
        <v>0</v>
      </c>
      <c r="T31" t="s">
        <v>61</v>
      </c>
      <c r="W31" s="38">
        <v>0</v>
      </c>
    </row>
    <row r="32" spans="4:24" x14ac:dyDescent="0.3">
      <c r="J32" s="10" t="s">
        <v>63</v>
      </c>
      <c r="M32" s="60">
        <f>SUM(M30:M31)</f>
        <v>1166</v>
      </c>
      <c r="N32" s="60">
        <f t="shared" ref="N32:O32" si="8">SUM(N30:N31)</f>
        <v>1140</v>
      </c>
      <c r="O32" s="60">
        <f t="shared" si="8"/>
        <v>1135</v>
      </c>
      <c r="P32" s="52"/>
      <c r="Q32" s="53"/>
      <c r="R32" s="60">
        <f t="shared" si="7"/>
        <v>1135</v>
      </c>
      <c r="T32" t="s">
        <v>64</v>
      </c>
      <c r="W32" s="38">
        <v>468</v>
      </c>
    </row>
    <row r="33" spans="4:24" x14ac:dyDescent="0.3">
      <c r="D33" s="6" t="s">
        <v>67</v>
      </c>
      <c r="E33" s="2"/>
      <c r="F33" s="2"/>
      <c r="G33" s="2"/>
      <c r="H33" s="2"/>
      <c r="J33" s="14" t="s">
        <v>65</v>
      </c>
      <c r="M33" s="30">
        <f>M32/M$11</f>
        <v>0.83464566929133854</v>
      </c>
      <c r="N33" s="30">
        <f t="shared" ref="N33:O33" si="9">N32/N$11</f>
        <v>0.80965909090909094</v>
      </c>
      <c r="O33" s="30">
        <f t="shared" si="9"/>
        <v>0.79426172148355489</v>
      </c>
      <c r="P33" s="56"/>
      <c r="Q33" s="57"/>
      <c r="R33" s="30">
        <f t="shared" si="7"/>
        <v>0.79426172148355489</v>
      </c>
      <c r="T33" s="10" t="s">
        <v>66</v>
      </c>
      <c r="W33" s="47">
        <f>SUM(W30:W32)+W28</f>
        <v>4182</v>
      </c>
      <c r="X33" s="12"/>
    </row>
    <row r="34" spans="4:24" x14ac:dyDescent="0.3">
      <c r="D34" s="67"/>
      <c r="E34" s="225" t="s">
        <v>193</v>
      </c>
      <c r="F34" s="225" t="s">
        <v>194</v>
      </c>
      <c r="G34" s="225" t="s">
        <v>195</v>
      </c>
      <c r="H34" s="225" t="s">
        <v>196</v>
      </c>
      <c r="P34" s="56"/>
      <c r="Q34" s="57"/>
    </row>
    <row r="35" spans="4:24" x14ac:dyDescent="0.3">
      <c r="D35" s="67"/>
      <c r="E35" s="226"/>
      <c r="F35" s="226"/>
      <c r="G35" s="226"/>
      <c r="H35" s="226"/>
      <c r="J35" t="s">
        <v>68</v>
      </c>
      <c r="M35" s="38">
        <f>M16</f>
        <v>467</v>
      </c>
      <c r="N35" s="38">
        <f>N16</f>
        <v>446</v>
      </c>
      <c r="O35" s="38">
        <f>O16</f>
        <v>445</v>
      </c>
      <c r="P35" s="56"/>
      <c r="Q35" s="57"/>
      <c r="R35" s="38">
        <f t="shared" si="7"/>
        <v>445</v>
      </c>
      <c r="T35" s="5" t="s">
        <v>69</v>
      </c>
      <c r="W35" s="45">
        <f>IF(W33=W18,W18-W33,W18-W33)</f>
        <v>0</v>
      </c>
    </row>
    <row r="36" spans="4:24" x14ac:dyDescent="0.3">
      <c r="D36" t="s">
        <v>70</v>
      </c>
      <c r="E36" s="64">
        <f>$H$31/E37</f>
        <v>6.4870125962211338</v>
      </c>
      <c r="F36" s="64">
        <f t="shared" ref="F36:H36" si="10">$H$31/F37</f>
        <v>6.2592444294395682</v>
      </c>
      <c r="G36" s="64">
        <f t="shared" si="10"/>
        <v>5.9195025542784165</v>
      </c>
      <c r="H36" s="64">
        <f t="shared" si="10"/>
        <v>5.5508628742514974</v>
      </c>
      <c r="J36" t="s">
        <v>60</v>
      </c>
      <c r="M36" s="38">
        <v>0</v>
      </c>
      <c r="N36" s="38">
        <v>0</v>
      </c>
      <c r="O36" s="38">
        <v>0</v>
      </c>
      <c r="P36" s="56"/>
      <c r="Q36" s="57"/>
      <c r="R36" s="38">
        <f t="shared" si="7"/>
        <v>0</v>
      </c>
    </row>
    <row r="37" spans="4:24" x14ac:dyDescent="0.3">
      <c r="D37" s="15" t="s">
        <v>72</v>
      </c>
      <c r="E37" s="38">
        <f>R11</f>
        <v>1429</v>
      </c>
      <c r="F37" s="34">
        <v>1481</v>
      </c>
      <c r="G37" s="34">
        <v>1566</v>
      </c>
      <c r="H37" s="34">
        <v>1670</v>
      </c>
      <c r="J37" t="s">
        <v>71</v>
      </c>
      <c r="M37" s="38">
        <f>M38-M35</f>
        <v>116</v>
      </c>
      <c r="N37" s="38">
        <f t="shared" ref="N37:O37" si="11">N38-N35</f>
        <v>177</v>
      </c>
      <c r="O37" s="38">
        <f t="shared" si="11"/>
        <v>211</v>
      </c>
      <c r="P37" s="56"/>
      <c r="Q37" s="57"/>
      <c r="R37" s="38">
        <f t="shared" si="7"/>
        <v>211</v>
      </c>
    </row>
    <row r="38" spans="4:24" x14ac:dyDescent="0.3">
      <c r="D38" t="s">
        <v>75</v>
      </c>
      <c r="E38" s="64">
        <f>$H$31/E39</f>
        <v>12.910781337047355</v>
      </c>
      <c r="F38" s="64">
        <f t="shared" ref="F38:H38" si="12">$H$31/F39</f>
        <v>12.508353798407773</v>
      </c>
      <c r="G38" s="64">
        <f t="shared" si="12"/>
        <v>11.722231917046031</v>
      </c>
      <c r="H38" s="64">
        <f t="shared" si="12"/>
        <v>10.786526646497558</v>
      </c>
      <c r="J38" s="10" t="s">
        <v>73</v>
      </c>
      <c r="M38" s="46">
        <f>M42-M41</f>
        <v>583</v>
      </c>
      <c r="N38" s="46">
        <f t="shared" ref="N38:O38" si="13">N42-N41</f>
        <v>623</v>
      </c>
      <c r="O38" s="46">
        <f t="shared" si="13"/>
        <v>656</v>
      </c>
      <c r="P38" s="52"/>
      <c r="Q38" s="53"/>
      <c r="R38" s="46">
        <f t="shared" si="7"/>
        <v>656</v>
      </c>
      <c r="T38" s="6" t="s">
        <v>74</v>
      </c>
      <c r="U38" s="2"/>
      <c r="V38" s="2"/>
      <c r="W38" s="2"/>
      <c r="X38" s="2"/>
    </row>
    <row r="39" spans="4:24" x14ac:dyDescent="0.3">
      <c r="D39" s="15" t="s">
        <v>72</v>
      </c>
      <c r="E39" s="38">
        <f>R42</f>
        <v>718</v>
      </c>
      <c r="F39" s="34">
        <v>741.1</v>
      </c>
      <c r="G39" s="34">
        <v>790.8</v>
      </c>
      <c r="H39" s="34">
        <v>859.4</v>
      </c>
      <c r="J39" s="14" t="s">
        <v>65</v>
      </c>
      <c r="M39" s="30">
        <f>M38/M$11</f>
        <v>0.41732283464566927</v>
      </c>
      <c r="N39" s="30">
        <f t="shared" ref="N39:O39" si="14">N38/N$11</f>
        <v>0.44247159090909088</v>
      </c>
      <c r="O39" s="30">
        <f t="shared" si="14"/>
        <v>0.45906228131560534</v>
      </c>
      <c r="P39" s="56"/>
      <c r="Q39" s="57"/>
      <c r="R39" s="30">
        <f t="shared" si="7"/>
        <v>0.45906228131560534</v>
      </c>
      <c r="T39" t="s">
        <v>76</v>
      </c>
      <c r="X39" s="35">
        <v>76.8</v>
      </c>
    </row>
    <row r="40" spans="4:24" x14ac:dyDescent="0.3">
      <c r="D40" t="s">
        <v>78</v>
      </c>
      <c r="E40" s="64">
        <f>$H$31/E41</f>
        <v>14.13100762195122</v>
      </c>
      <c r="F40" s="64">
        <f t="shared" ref="F40:H40" si="15">$H$31/F41</f>
        <v>15.296932343234324</v>
      </c>
      <c r="G40" s="64">
        <f t="shared" si="15"/>
        <v>14.250485780169102</v>
      </c>
      <c r="H40" s="64">
        <f t="shared" si="15"/>
        <v>12.777313576843557</v>
      </c>
      <c r="P40" s="56"/>
      <c r="Q40" s="57"/>
      <c r="T40" t="s">
        <v>77</v>
      </c>
      <c r="X40" s="39">
        <f>W54</f>
        <v>1.3</v>
      </c>
    </row>
    <row r="41" spans="4:24" x14ac:dyDescent="0.3">
      <c r="D41" s="15" t="s">
        <v>72</v>
      </c>
      <c r="E41" s="38">
        <f>R38</f>
        <v>656</v>
      </c>
      <c r="F41" s="34">
        <v>606</v>
      </c>
      <c r="G41" s="34">
        <v>650.5</v>
      </c>
      <c r="H41" s="34">
        <v>725.5</v>
      </c>
      <c r="J41" t="s">
        <v>79</v>
      </c>
      <c r="M41">
        <v>76</v>
      </c>
      <c r="N41">
        <v>71</v>
      </c>
      <c r="O41">
        <v>62</v>
      </c>
      <c r="P41" s="56"/>
      <c r="Q41" s="57"/>
      <c r="R41">
        <f t="shared" si="7"/>
        <v>62</v>
      </c>
      <c r="T41" t="s">
        <v>80</v>
      </c>
      <c r="X41" s="39">
        <f>-X54/H18</f>
        <v>-1.2805284645044226</v>
      </c>
    </row>
    <row r="42" spans="4:24" x14ac:dyDescent="0.3">
      <c r="D42" t="s">
        <v>83</v>
      </c>
      <c r="E42" s="64">
        <f>$H$18/E43</f>
        <v>28.845322033898309</v>
      </c>
      <c r="F42" s="64">
        <f t="shared" ref="F42:H42" si="16">$H$18/F43</f>
        <v>19.169565217391309</v>
      </c>
      <c r="G42" s="64">
        <f t="shared" si="16"/>
        <v>17.148969272656554</v>
      </c>
      <c r="H42" s="64">
        <f t="shared" si="16"/>
        <v>14.943229961023556</v>
      </c>
      <c r="J42" s="10" t="s">
        <v>81</v>
      </c>
      <c r="M42" s="46">
        <v>659</v>
      </c>
      <c r="N42" s="46">
        <v>694</v>
      </c>
      <c r="O42" s="46">
        <v>718</v>
      </c>
      <c r="P42" s="52"/>
      <c r="Q42" s="53"/>
      <c r="R42" s="46">
        <f t="shared" si="7"/>
        <v>718</v>
      </c>
      <c r="T42" s="10" t="s">
        <v>82</v>
      </c>
      <c r="X42" s="40">
        <f>SUM(X40:X41)</f>
        <v>1.9471535495577452E-2</v>
      </c>
    </row>
    <row r="43" spans="4:24" x14ac:dyDescent="0.3">
      <c r="D43" s="15" t="s">
        <v>72</v>
      </c>
      <c r="E43" s="32">
        <f>R27</f>
        <v>3.0569948186528495</v>
      </c>
      <c r="F43" s="32">
        <v>4.5999999999999996</v>
      </c>
      <c r="G43" s="32">
        <v>5.1420000000000003</v>
      </c>
      <c r="H43" s="32">
        <v>5.9009999999999998</v>
      </c>
      <c r="J43" s="14" t="s">
        <v>65</v>
      </c>
      <c r="M43" s="30">
        <f>M42/M$11</f>
        <v>0.47172512526843235</v>
      </c>
      <c r="N43" s="30">
        <f t="shared" ref="N43:O43" si="17">N42/N$11</f>
        <v>0.49289772727272729</v>
      </c>
      <c r="O43" s="30">
        <f t="shared" si="17"/>
        <v>0.50244926522043387</v>
      </c>
      <c r="P43" s="56"/>
      <c r="Q43" s="57"/>
      <c r="R43" s="30">
        <f t="shared" si="7"/>
        <v>0.50244926522043387</v>
      </c>
      <c r="T43" t="s">
        <v>84</v>
      </c>
      <c r="X43" s="39">
        <v>0</v>
      </c>
    </row>
    <row r="44" spans="4:24" x14ac:dyDescent="0.3">
      <c r="D44" t="s">
        <v>85</v>
      </c>
      <c r="E44" s="30">
        <f>E45/$H$25</f>
        <v>4.7387480936134513E-2</v>
      </c>
      <c r="F44" s="30">
        <f t="shared" ref="F44:G44" si="18">F45/$H$25</f>
        <v>6.4157629952785233E-2</v>
      </c>
      <c r="G44" s="30">
        <f t="shared" si="18"/>
        <v>6.8881615591278395E-2</v>
      </c>
      <c r="H44" s="30">
        <v>6.5000000000000002E-2</v>
      </c>
      <c r="P44" s="56"/>
      <c r="Q44" s="57"/>
      <c r="T44" s="10" t="s">
        <v>46</v>
      </c>
      <c r="X44" s="41">
        <f>X39+X42</f>
        <v>76.81947153549558</v>
      </c>
    </row>
    <row r="45" spans="4:24" x14ac:dyDescent="0.3">
      <c r="D45" s="15" t="s">
        <v>72</v>
      </c>
      <c r="E45" s="38">
        <f>R59</f>
        <v>321</v>
      </c>
      <c r="F45" s="38">
        <v>434.6</v>
      </c>
      <c r="G45" s="38">
        <v>466.6</v>
      </c>
      <c r="H45" s="38">
        <f>H44*H25</f>
        <v>440.30616500000008</v>
      </c>
      <c r="J45" t="s">
        <v>86</v>
      </c>
      <c r="M45" s="38">
        <f>M23</f>
        <v>253</v>
      </c>
      <c r="N45" s="38">
        <f t="shared" ref="N45:O45" si="19">N23</f>
        <v>240</v>
      </c>
      <c r="O45" s="38">
        <f t="shared" si="19"/>
        <v>236</v>
      </c>
      <c r="P45" s="56"/>
      <c r="Q45" s="57"/>
      <c r="R45" s="38">
        <f t="shared" si="7"/>
        <v>236</v>
      </c>
    </row>
    <row r="46" spans="4:24" x14ac:dyDescent="0.3">
      <c r="J46" t="s">
        <v>60</v>
      </c>
      <c r="M46" s="38">
        <f>M31</f>
        <v>0</v>
      </c>
      <c r="N46" s="38">
        <v>0</v>
      </c>
      <c r="O46" s="38">
        <v>0</v>
      </c>
      <c r="P46" s="56"/>
      <c r="Q46" s="57"/>
      <c r="R46" s="38">
        <f t="shared" si="7"/>
        <v>0</v>
      </c>
      <c r="T46" s="16" t="s">
        <v>87</v>
      </c>
    </row>
    <row r="47" spans="4:24" x14ac:dyDescent="0.3">
      <c r="D47" s="18" t="s">
        <v>92</v>
      </c>
      <c r="E47" s="2"/>
      <c r="F47" s="2"/>
      <c r="G47" s="2"/>
      <c r="H47" s="2"/>
      <c r="J47" t="s">
        <v>71</v>
      </c>
      <c r="M47" s="38">
        <f>M36</f>
        <v>0</v>
      </c>
      <c r="N47" s="38">
        <v>0</v>
      </c>
      <c r="O47" s="38">
        <v>0</v>
      </c>
      <c r="P47" s="56"/>
      <c r="Q47" s="57"/>
      <c r="R47" s="38">
        <f t="shared" si="7"/>
        <v>0</v>
      </c>
      <c r="T47" s="17"/>
      <c r="U47" s="227" t="s">
        <v>88</v>
      </c>
      <c r="V47" s="227" t="s">
        <v>89</v>
      </c>
      <c r="W47" s="227" t="s">
        <v>90</v>
      </c>
      <c r="X47" s="227" t="s">
        <v>91</v>
      </c>
    </row>
    <row r="48" spans="4:24" x14ac:dyDescent="0.3">
      <c r="D48" t="s">
        <v>95</v>
      </c>
      <c r="H48" s="30">
        <f>R50/(W26-W9+W32)</f>
        <v>0.13867762932511135</v>
      </c>
      <c r="J48" t="s">
        <v>93</v>
      </c>
      <c r="M48" s="38">
        <f>M37</f>
        <v>116</v>
      </c>
      <c r="N48" s="38">
        <f t="shared" ref="N48:O48" si="20">N37</f>
        <v>177</v>
      </c>
      <c r="O48" s="38">
        <f t="shared" si="20"/>
        <v>211</v>
      </c>
      <c r="P48" s="56"/>
      <c r="Q48" s="57"/>
      <c r="R48" s="38">
        <f t="shared" si="7"/>
        <v>211</v>
      </c>
      <c r="T48" s="8" t="s">
        <v>94</v>
      </c>
      <c r="U48" s="228"/>
      <c r="V48" s="228"/>
      <c r="W48" s="228"/>
      <c r="X48" s="228"/>
    </row>
    <row r="49" spans="4:24" x14ac:dyDescent="0.3">
      <c r="D49" t="s">
        <v>98</v>
      </c>
      <c r="H49" s="30">
        <f>ABS(R50/W32)</f>
        <v>0.86495726495726499</v>
      </c>
      <c r="J49" t="s">
        <v>96</v>
      </c>
      <c r="M49" s="38">
        <f>-M48*$H$15</f>
        <v>-23.200000000000003</v>
      </c>
      <c r="N49" s="38">
        <f>-N48*$H$15</f>
        <v>-35.4</v>
      </c>
      <c r="O49" s="38">
        <f>-O48*$H$15</f>
        <v>-42.2</v>
      </c>
      <c r="P49" s="56"/>
      <c r="Q49" s="57"/>
      <c r="R49" s="38">
        <f t="shared" si="7"/>
        <v>-42.2</v>
      </c>
      <c r="T49" t="s">
        <v>97</v>
      </c>
      <c r="U49" s="39">
        <v>0.8</v>
      </c>
      <c r="V49" s="32">
        <v>87.29</v>
      </c>
      <c r="W49" s="39">
        <f>IF(V49&lt;$H$18,U49,0)</f>
        <v>0.8</v>
      </c>
      <c r="X49" s="32">
        <f>IF(W49&gt;0,U49*V49)</f>
        <v>69.832000000000008</v>
      </c>
    </row>
    <row r="50" spans="4:24" ht="15" thickBot="1" x14ac:dyDescent="0.35">
      <c r="D50" t="s">
        <v>101</v>
      </c>
      <c r="H50" s="30">
        <f>ABS(R50/W18)</f>
        <v>9.6795791487326643E-2</v>
      </c>
      <c r="J50" s="10" t="s">
        <v>99</v>
      </c>
      <c r="M50" s="51">
        <f>SUM(M45:M49)</f>
        <v>345.8</v>
      </c>
      <c r="N50" s="51">
        <f t="shared" ref="N50:O50" si="21">SUM(N45:N49)</f>
        <v>381.6</v>
      </c>
      <c r="O50" s="51">
        <f t="shared" si="21"/>
        <v>404.8</v>
      </c>
      <c r="P50" s="58"/>
      <c r="Q50" s="59"/>
      <c r="R50" s="51">
        <f t="shared" si="7"/>
        <v>404.8</v>
      </c>
      <c r="T50" t="s">
        <v>100</v>
      </c>
      <c r="U50" s="39">
        <v>0.5</v>
      </c>
      <c r="V50" s="32">
        <v>86.17</v>
      </c>
      <c r="W50" s="39">
        <f>IF(V50&lt;$H$18,U50,0)</f>
        <v>0.5</v>
      </c>
      <c r="X50" s="32">
        <f>IF(W50&gt;0,U50*V50)</f>
        <v>43.085000000000001</v>
      </c>
    </row>
    <row r="51" spans="4:24" ht="15" thickTop="1" x14ac:dyDescent="0.3">
      <c r="D51" t="s">
        <v>103</v>
      </c>
      <c r="H51" s="30">
        <f>H22/H18</f>
        <v>1.9505556815604445E-2</v>
      </c>
      <c r="J51" s="14" t="s">
        <v>65</v>
      </c>
      <c r="M51" s="30">
        <f>M50/M$11</f>
        <v>0.24753042233357195</v>
      </c>
      <c r="N51" s="30">
        <f t="shared" ref="N51:O51" si="22">N50/N$11</f>
        <v>0.2710227272727273</v>
      </c>
      <c r="O51" s="30">
        <f t="shared" si="22"/>
        <v>0.28327501749475159</v>
      </c>
      <c r="P51" s="56"/>
      <c r="Q51" s="57"/>
      <c r="R51" s="30">
        <f t="shared" si="7"/>
        <v>0.28327501749475159</v>
      </c>
      <c r="T51" t="s">
        <v>102</v>
      </c>
      <c r="U51" s="39">
        <v>0</v>
      </c>
      <c r="V51" s="39">
        <v>0</v>
      </c>
      <c r="W51" s="39">
        <v>0</v>
      </c>
      <c r="X51" s="39">
        <v>0</v>
      </c>
    </row>
    <row r="52" spans="4:24" x14ac:dyDescent="0.3">
      <c r="P52" s="56"/>
      <c r="Q52" s="57"/>
      <c r="T52" t="s">
        <v>104</v>
      </c>
      <c r="U52" s="39">
        <v>0</v>
      </c>
      <c r="V52" s="39">
        <v>0</v>
      </c>
      <c r="W52" s="39">
        <v>0</v>
      </c>
      <c r="X52" s="39">
        <v>0</v>
      </c>
    </row>
    <row r="53" spans="4:24" x14ac:dyDescent="0.3">
      <c r="D53" s="6" t="s">
        <v>107</v>
      </c>
      <c r="E53" s="2"/>
      <c r="F53" s="2"/>
      <c r="G53" s="2"/>
      <c r="H53" s="2"/>
      <c r="J53" t="s">
        <v>105</v>
      </c>
      <c r="M53" s="43">
        <f>M50/M26</f>
        <v>4.0730270906949348</v>
      </c>
      <c r="N53" s="43">
        <f t="shared" ref="N53:O53" si="23">N50/N26</f>
        <v>4.7640449438202257</v>
      </c>
      <c r="O53" s="43">
        <f t="shared" si="23"/>
        <v>5.2435233160621761</v>
      </c>
      <c r="P53" s="56"/>
      <c r="Q53" s="57"/>
      <c r="R53" s="43">
        <f t="shared" si="7"/>
        <v>5.2435233160621761</v>
      </c>
      <c r="T53" t="s">
        <v>106</v>
      </c>
      <c r="U53" s="39">
        <v>0</v>
      </c>
      <c r="V53" s="39">
        <v>0</v>
      </c>
      <c r="W53" s="39">
        <v>0</v>
      </c>
      <c r="X53" s="39">
        <v>0</v>
      </c>
    </row>
    <row r="54" spans="4:24" x14ac:dyDescent="0.3">
      <c r="D54" t="s">
        <v>109</v>
      </c>
      <c r="H54" s="30">
        <f>W26/(W26+W32)</f>
        <v>0.84311096211867242</v>
      </c>
      <c r="T54" s="10" t="s">
        <v>108</v>
      </c>
      <c r="U54" s="40">
        <f t="shared" ref="U54:X54" si="24">SUM(U49:U53)</f>
        <v>1.3</v>
      </c>
      <c r="V54" s="36">
        <f t="shared" si="24"/>
        <v>173.46</v>
      </c>
      <c r="W54" s="40">
        <f t="shared" si="24"/>
        <v>1.3</v>
      </c>
      <c r="X54" s="36">
        <f t="shared" si="24"/>
        <v>112.917</v>
      </c>
    </row>
    <row r="55" spans="4:24" x14ac:dyDescent="0.3">
      <c r="D55" t="s">
        <v>111</v>
      </c>
      <c r="H55" s="64">
        <f>W26/R42</f>
        <v>3.5027855153203342</v>
      </c>
      <c r="J55" s="6" t="s">
        <v>110</v>
      </c>
      <c r="K55" s="2"/>
      <c r="L55" s="2"/>
      <c r="M55" s="2"/>
      <c r="N55" s="2"/>
      <c r="O55" s="2"/>
      <c r="P55" s="2"/>
      <c r="Q55" s="2"/>
      <c r="R55" s="2"/>
    </row>
    <row r="56" spans="4:24" x14ac:dyDescent="0.3">
      <c r="D56" t="s">
        <v>114</v>
      </c>
      <c r="H56" s="64">
        <f>(W26-W9)/R42</f>
        <v>3.4136490250696379</v>
      </c>
      <c r="J56" t="s">
        <v>112</v>
      </c>
      <c r="M56" s="38">
        <v>376</v>
      </c>
      <c r="N56" s="38">
        <v>2290</v>
      </c>
      <c r="O56" s="38">
        <v>367</v>
      </c>
      <c r="P56" s="56"/>
      <c r="Q56" s="57"/>
      <c r="R56" s="38">
        <f>O56</f>
        <v>367</v>
      </c>
      <c r="T56" s="8" t="s">
        <v>113</v>
      </c>
      <c r="U56" s="9"/>
      <c r="V56" s="9"/>
      <c r="W56" s="9"/>
      <c r="X56" s="9"/>
    </row>
    <row r="57" spans="4:24" x14ac:dyDescent="0.3">
      <c r="D57" s="15" t="s">
        <v>120</v>
      </c>
      <c r="H57" s="64">
        <f>ABS(R42/R17)</f>
        <v>5.1654676258992804</v>
      </c>
      <c r="J57" t="s">
        <v>115</v>
      </c>
      <c r="M57" s="38">
        <v>37</v>
      </c>
      <c r="N57" s="38">
        <v>49</v>
      </c>
      <c r="O57" s="38">
        <v>46</v>
      </c>
      <c r="P57" s="56"/>
      <c r="Q57" s="57"/>
      <c r="R57" s="38">
        <f t="shared" ref="R57:R64" si="25">O57</f>
        <v>46</v>
      </c>
      <c r="T57" s="7"/>
      <c r="U57" s="227" t="s">
        <v>116</v>
      </c>
      <c r="V57" s="227" t="s">
        <v>117</v>
      </c>
      <c r="W57" s="227" t="s">
        <v>118</v>
      </c>
      <c r="X57" s="227" t="s">
        <v>119</v>
      </c>
    </row>
    <row r="58" spans="4:24" x14ac:dyDescent="0.3">
      <c r="D58" s="15" t="s">
        <v>122</v>
      </c>
      <c r="H58" s="64">
        <f>ABS((R42-R57)/R17)</f>
        <v>4.8345323741007196</v>
      </c>
      <c r="J58" s="14" t="s">
        <v>121</v>
      </c>
      <c r="M58" s="30">
        <f>M57/M$11</f>
        <v>2.6485325697924122E-2</v>
      </c>
      <c r="N58" s="30">
        <f t="shared" ref="N58:O58" si="26">N57/N$11</f>
        <v>3.480113636363636E-2</v>
      </c>
      <c r="O58" s="30">
        <f t="shared" si="26"/>
        <v>3.2190342897130859E-2</v>
      </c>
      <c r="P58" s="56"/>
      <c r="Q58" s="57"/>
      <c r="R58" s="30">
        <f t="shared" si="25"/>
        <v>3.2190342897130859E-2</v>
      </c>
      <c r="T58" s="7"/>
      <c r="U58" s="228"/>
      <c r="V58" s="228"/>
      <c r="W58" s="228"/>
      <c r="X58" s="228"/>
    </row>
    <row r="59" spans="4:24" x14ac:dyDescent="0.3">
      <c r="D59" s="15" t="s">
        <v>125</v>
      </c>
      <c r="H59" s="64">
        <f>ABS(R38/R17)</f>
        <v>4.7194244604316546</v>
      </c>
      <c r="J59" s="10" t="s">
        <v>123</v>
      </c>
      <c r="M59" s="46">
        <f>M56-M57</f>
        <v>339</v>
      </c>
      <c r="N59" s="46">
        <f t="shared" ref="N59:O59" si="27">N56-N57</f>
        <v>2241</v>
      </c>
      <c r="O59" s="46">
        <f t="shared" si="27"/>
        <v>321</v>
      </c>
      <c r="P59" s="52"/>
      <c r="Q59" s="53"/>
      <c r="R59" s="46">
        <f t="shared" si="25"/>
        <v>321</v>
      </c>
      <c r="T59" t="s">
        <v>124</v>
      </c>
      <c r="U59" s="39">
        <v>0</v>
      </c>
      <c r="V59" s="39">
        <v>0</v>
      </c>
      <c r="W59" s="39">
        <v>0</v>
      </c>
      <c r="X59" s="39">
        <v>0</v>
      </c>
    </row>
    <row r="60" spans="4:24" x14ac:dyDescent="0.3">
      <c r="J60" s="14" t="s">
        <v>65</v>
      </c>
      <c r="M60" s="30">
        <f>M59/M$11</f>
        <v>0.24266284896206156</v>
      </c>
      <c r="N60" s="30">
        <f t="shared" ref="N60:O60" si="28">N59/N$11</f>
        <v>1.5916193181818181</v>
      </c>
      <c r="O60" s="30">
        <f t="shared" si="28"/>
        <v>0.22463261021693492</v>
      </c>
      <c r="P60" s="56"/>
      <c r="Q60" s="57"/>
      <c r="R60" s="30">
        <f t="shared" si="25"/>
        <v>0.22463261021693492</v>
      </c>
      <c r="T60" t="s">
        <v>126</v>
      </c>
      <c r="U60" s="39">
        <v>0</v>
      </c>
      <c r="V60" s="39">
        <v>0</v>
      </c>
      <c r="W60" s="39">
        <v>0</v>
      </c>
      <c r="X60" s="39">
        <v>0</v>
      </c>
    </row>
    <row r="61" spans="4:24" x14ac:dyDescent="0.3">
      <c r="D61" s="6" t="s">
        <v>129</v>
      </c>
      <c r="E61" s="2"/>
      <c r="F61" s="2"/>
      <c r="G61" s="2"/>
      <c r="H61" s="2"/>
      <c r="J61" s="10" t="s">
        <v>127</v>
      </c>
      <c r="M61" s="43">
        <f>M59/M26</f>
        <v>3.9929328621908127</v>
      </c>
      <c r="N61" s="43">
        <f t="shared" ref="N61:O61" si="29">N59/N26</f>
        <v>27.977528089887642</v>
      </c>
      <c r="O61" s="43">
        <f t="shared" si="29"/>
        <v>4.1580310880829012</v>
      </c>
      <c r="P61" s="56"/>
      <c r="Q61" s="57"/>
      <c r="R61" s="43">
        <f t="shared" si="25"/>
        <v>4.1580310880829012</v>
      </c>
      <c r="T61" t="s">
        <v>128</v>
      </c>
      <c r="U61" s="39">
        <v>0</v>
      </c>
      <c r="V61" s="39">
        <v>0</v>
      </c>
      <c r="W61" s="39">
        <v>0</v>
      </c>
      <c r="X61" s="39">
        <v>0</v>
      </c>
    </row>
    <row r="62" spans="4:24" x14ac:dyDescent="0.3">
      <c r="D62" s="67"/>
      <c r="E62" s="70" t="s">
        <v>12</v>
      </c>
      <c r="F62" s="70" t="s">
        <v>131</v>
      </c>
      <c r="G62" s="70" t="s">
        <v>132</v>
      </c>
      <c r="H62" s="70" t="s">
        <v>133</v>
      </c>
      <c r="P62" s="56"/>
      <c r="Q62" s="57"/>
      <c r="T62" t="s">
        <v>130</v>
      </c>
      <c r="U62" s="39">
        <v>0</v>
      </c>
      <c r="V62" s="39">
        <v>0</v>
      </c>
      <c r="W62" s="39">
        <v>0</v>
      </c>
      <c r="X62" s="39">
        <v>0</v>
      </c>
    </row>
    <row r="63" spans="4:24" x14ac:dyDescent="0.3">
      <c r="D63" s="7" t="s">
        <v>135</v>
      </c>
      <c r="J63" s="13" t="s">
        <v>79</v>
      </c>
      <c r="M63">
        <f>M41</f>
        <v>76</v>
      </c>
      <c r="N63">
        <f t="shared" ref="N63:O63" si="30">N41</f>
        <v>71</v>
      </c>
      <c r="O63">
        <f t="shared" si="30"/>
        <v>62</v>
      </c>
      <c r="P63" s="56"/>
      <c r="Q63" s="57"/>
      <c r="R63">
        <f t="shared" si="25"/>
        <v>62</v>
      </c>
      <c r="T63" t="s">
        <v>134</v>
      </c>
      <c r="U63" s="39">
        <v>0</v>
      </c>
      <c r="V63" s="39">
        <v>0</v>
      </c>
      <c r="W63" s="39">
        <v>0</v>
      </c>
      <c r="X63" s="39">
        <v>0</v>
      </c>
    </row>
    <row r="64" spans="4:24" x14ac:dyDescent="0.3">
      <c r="D64" t="s">
        <v>136</v>
      </c>
      <c r="E64" s="63">
        <f>O11/N11-1</f>
        <v>1.4914772727272707E-2</v>
      </c>
      <c r="F64" s="63">
        <f>O42/N42-1</f>
        <v>3.4582132564841439E-2</v>
      </c>
      <c r="G64" s="63">
        <f>O59/N59-1</f>
        <v>-0.85676037483266398</v>
      </c>
      <c r="H64" s="63">
        <f>O27/N27-1</f>
        <v>2.0272020725388362E-2</v>
      </c>
      <c r="J64" s="14" t="s">
        <v>121</v>
      </c>
      <c r="M64" s="30">
        <f>M63/M$11</f>
        <v>5.4402290622763062E-2</v>
      </c>
      <c r="N64" s="30">
        <f t="shared" ref="N64:O64" si="31">N63/N$11</f>
        <v>5.042613636363636E-2</v>
      </c>
      <c r="O64" s="30">
        <f t="shared" si="31"/>
        <v>4.3386983904828549E-2</v>
      </c>
      <c r="P64" s="56"/>
      <c r="Q64" s="57"/>
      <c r="R64" s="30">
        <f t="shared" si="25"/>
        <v>4.3386983904828549E-2</v>
      </c>
      <c r="T64" s="10" t="s">
        <v>108</v>
      </c>
      <c r="U64" s="40">
        <f>SUM(U59:U63)</f>
        <v>0</v>
      </c>
      <c r="V64" s="40">
        <f t="shared" ref="V64:X64" si="32">SUM(V59:V63)</f>
        <v>0</v>
      </c>
      <c r="W64" s="40">
        <f t="shared" si="32"/>
        <v>0</v>
      </c>
      <c r="X64" s="40">
        <f t="shared" si="32"/>
        <v>0</v>
      </c>
    </row>
    <row r="65" spans="4:24" x14ac:dyDescent="0.3">
      <c r="D65" t="s">
        <v>137</v>
      </c>
      <c r="E65" s="63">
        <f>_xlfn.RRI(2,M11,O11)</f>
        <v>1.1388267497026705E-2</v>
      </c>
      <c r="F65" s="63">
        <f>_xlfn.RRI(2,M42,O42)</f>
        <v>4.3805341185949143E-2</v>
      </c>
      <c r="G65" s="63">
        <f>_xlfn.RRI(2,M59,O59)</f>
        <v>-2.6910767263733093E-2</v>
      </c>
      <c r="H65" s="63">
        <f>_xlfn.RRI(2,M27,O27)</f>
        <v>1.2840212892576863E-2</v>
      </c>
    </row>
    <row r="66" spans="4:24" x14ac:dyDescent="0.3">
      <c r="D66" s="7" t="s">
        <v>139</v>
      </c>
    </row>
    <row r="67" spans="4:24" x14ac:dyDescent="0.3">
      <c r="D67" t="s">
        <v>136</v>
      </c>
      <c r="E67" s="30">
        <f>F37/E37-1</f>
        <v>3.6389083275017553E-2</v>
      </c>
      <c r="F67" s="30">
        <f>F39/E39-1</f>
        <v>3.2172701949860771E-2</v>
      </c>
      <c r="G67" s="30">
        <f>F45/E45-1</f>
        <v>0.35389408099688491</v>
      </c>
      <c r="H67" s="30">
        <f>F43/E43-1</f>
        <v>0.50474576271186433</v>
      </c>
      <c r="J67" s="6" t="s">
        <v>138</v>
      </c>
      <c r="K67" s="2"/>
      <c r="L67" s="2"/>
      <c r="M67" s="2"/>
      <c r="N67" s="2"/>
      <c r="O67" s="2"/>
      <c r="P67" s="2"/>
      <c r="Q67" s="2"/>
      <c r="R67" s="2"/>
      <c r="S67" s="2"/>
      <c r="T67" s="2"/>
      <c r="U67" s="2"/>
      <c r="V67" s="2"/>
      <c r="W67" s="2"/>
      <c r="X67" s="2"/>
    </row>
    <row r="68" spans="4:24" x14ac:dyDescent="0.3">
      <c r="D68" t="s">
        <v>137</v>
      </c>
      <c r="E68" s="30">
        <f>_xlfn.RRI(2,E37,G37)</f>
        <v>4.6838687968882686E-2</v>
      </c>
      <c r="F68" s="30">
        <f>_xlfn.RRI(2,E39,G39)</f>
        <v>4.9472609294862524E-2</v>
      </c>
      <c r="G68" s="30">
        <f>_xlfn.RRI(2,E45,G45)</f>
        <v>0.20564611495958207</v>
      </c>
      <c r="H68" s="30">
        <f>_xlfn.RRI(2,E43,G43)</f>
        <v>0.29693641625046929</v>
      </c>
    </row>
    <row r="69" spans="4:24" x14ac:dyDescent="0.3">
      <c r="D69" t="s">
        <v>140</v>
      </c>
      <c r="H69" s="65">
        <v>0.08</v>
      </c>
    </row>
  </sheetData>
  <mergeCells count="15">
    <mergeCell ref="E34:E35"/>
    <mergeCell ref="U47:U48"/>
    <mergeCell ref="V47:V48"/>
    <mergeCell ref="W47:W48"/>
    <mergeCell ref="X47:X48"/>
    <mergeCell ref="F34:F35"/>
    <mergeCell ref="G34:G35"/>
    <mergeCell ref="H34:H35"/>
    <mergeCell ref="P8:P10"/>
    <mergeCell ref="U57:U58"/>
    <mergeCell ref="V57:V58"/>
    <mergeCell ref="W57:W58"/>
    <mergeCell ref="X57:X58"/>
    <mergeCell ref="Q8:Q10"/>
    <mergeCell ref="R8:R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D6A45-9D00-49A3-BBE3-7B5FF4897896}">
  <dimension ref="D2:X22"/>
  <sheetViews>
    <sheetView showGridLines="0" zoomScale="85" zoomScaleNormal="85" workbookViewId="0">
      <selection activeCell="E10" sqref="E10"/>
    </sheetView>
  </sheetViews>
  <sheetFormatPr defaultRowHeight="14.4" x14ac:dyDescent="0.3"/>
  <cols>
    <col min="1" max="3" width="2.33203125" customWidth="1"/>
    <col min="4" max="4" width="29.77734375" customWidth="1"/>
    <col min="5" max="24" width="10.77734375" customWidth="1"/>
  </cols>
  <sheetData>
    <row r="2" spans="4:24" ht="21" x14ac:dyDescent="0.4">
      <c r="D2" s="1" t="s">
        <v>218</v>
      </c>
      <c r="E2" s="6"/>
      <c r="F2" s="6"/>
      <c r="G2" s="6"/>
      <c r="H2" s="6"/>
      <c r="I2" s="6"/>
      <c r="J2" s="6"/>
      <c r="K2" s="6"/>
      <c r="L2" s="6"/>
      <c r="M2" s="6"/>
      <c r="N2" s="6"/>
      <c r="O2" s="6"/>
      <c r="P2" s="6"/>
      <c r="Q2" s="6"/>
      <c r="R2" s="6"/>
      <c r="S2" s="6"/>
      <c r="T2" s="6"/>
      <c r="U2" s="6"/>
      <c r="V2" s="6"/>
      <c r="W2" s="6"/>
      <c r="X2" s="6"/>
    </row>
    <row r="3" spans="4:24" ht="18" x14ac:dyDescent="0.35">
      <c r="D3" s="72" t="s">
        <v>229</v>
      </c>
      <c r="E3" s="6"/>
      <c r="F3" s="6"/>
      <c r="G3" s="6"/>
      <c r="H3" s="6"/>
      <c r="I3" s="6"/>
      <c r="J3" s="6"/>
      <c r="K3" s="6"/>
      <c r="L3" s="6"/>
      <c r="M3" s="6"/>
      <c r="N3" s="6"/>
      <c r="O3" s="6"/>
      <c r="P3" s="6"/>
      <c r="Q3" s="6"/>
      <c r="R3" s="6"/>
      <c r="S3" s="6"/>
      <c r="T3" s="6"/>
      <c r="U3" s="6"/>
      <c r="V3" s="6"/>
      <c r="W3" s="6"/>
      <c r="X3" s="6"/>
    </row>
    <row r="4" spans="4:24" x14ac:dyDescent="0.3">
      <c r="D4" s="4" t="s">
        <v>1</v>
      </c>
      <c r="E4" s="6"/>
      <c r="F4" s="6"/>
      <c r="G4" s="6"/>
      <c r="H4" s="6"/>
      <c r="I4" s="6"/>
      <c r="J4" s="6"/>
      <c r="K4" s="6"/>
      <c r="L4" s="6"/>
      <c r="M4" s="6"/>
      <c r="N4" s="6"/>
      <c r="O4" s="6"/>
      <c r="P4" s="6"/>
      <c r="Q4" s="6"/>
      <c r="R4" s="6"/>
      <c r="S4" s="6"/>
      <c r="T4" s="6"/>
      <c r="U4" s="6"/>
      <c r="V4" s="6"/>
      <c r="W4" s="6"/>
      <c r="X4" s="6"/>
    </row>
    <row r="6" spans="4:24" x14ac:dyDescent="0.3">
      <c r="D6" s="73"/>
      <c r="E6" s="73"/>
      <c r="F6" s="73"/>
      <c r="G6" s="73"/>
      <c r="H6" s="73"/>
      <c r="I6" s="73"/>
      <c r="J6" s="23"/>
      <c r="K6" s="23"/>
      <c r="L6" s="23"/>
      <c r="M6" s="23"/>
      <c r="N6" s="23"/>
      <c r="O6" s="23"/>
      <c r="P6" s="23"/>
      <c r="Q6" s="23"/>
      <c r="R6" s="23"/>
      <c r="S6" s="23"/>
      <c r="T6" s="23"/>
      <c r="U6" s="23"/>
      <c r="V6" s="23"/>
      <c r="W6" s="23"/>
      <c r="X6" s="23"/>
    </row>
    <row r="7" spans="4:24" x14ac:dyDescent="0.3">
      <c r="D7" s="73"/>
      <c r="E7" s="73"/>
      <c r="F7" s="229" t="s">
        <v>230</v>
      </c>
      <c r="G7" s="229" t="s">
        <v>33</v>
      </c>
      <c r="H7" s="73"/>
      <c r="I7" s="73"/>
      <c r="J7" s="231" t="s">
        <v>231</v>
      </c>
      <c r="K7" s="231"/>
      <c r="L7" s="231"/>
      <c r="M7" s="231"/>
      <c r="N7" s="231"/>
      <c r="O7" s="231"/>
      <c r="P7" s="231"/>
      <c r="Q7" s="231"/>
      <c r="R7" s="231"/>
      <c r="S7" s="23" t="s">
        <v>232</v>
      </c>
      <c r="T7" s="23" t="s">
        <v>108</v>
      </c>
      <c r="U7" s="231" t="s">
        <v>233</v>
      </c>
      <c r="V7" s="231"/>
      <c r="W7" s="231"/>
      <c r="X7" s="23" t="s">
        <v>234</v>
      </c>
    </row>
    <row r="8" spans="4:24" x14ac:dyDescent="0.3">
      <c r="D8" s="73"/>
      <c r="E8" s="73"/>
      <c r="F8" s="229"/>
      <c r="G8" s="229"/>
      <c r="H8" s="73" t="s">
        <v>163</v>
      </c>
      <c r="I8" s="73" t="s">
        <v>165</v>
      </c>
      <c r="J8" s="23" t="s">
        <v>232</v>
      </c>
      <c r="K8" s="23" t="s">
        <v>235</v>
      </c>
      <c r="L8" s="23" t="s">
        <v>236</v>
      </c>
      <c r="M8" s="23" t="s">
        <v>232</v>
      </c>
      <c r="N8" s="23" t="s">
        <v>235</v>
      </c>
      <c r="O8" s="23" t="s">
        <v>236</v>
      </c>
      <c r="P8" s="23" t="s">
        <v>232</v>
      </c>
      <c r="Q8" s="23" t="s">
        <v>235</v>
      </c>
      <c r="R8" s="23" t="s">
        <v>236</v>
      </c>
      <c r="S8" s="23" t="s">
        <v>131</v>
      </c>
      <c r="T8" s="23" t="s">
        <v>237</v>
      </c>
      <c r="U8" s="23" t="s">
        <v>232</v>
      </c>
      <c r="V8" s="23" t="s">
        <v>235</v>
      </c>
      <c r="W8" s="23" t="s">
        <v>236</v>
      </c>
      <c r="X8" s="23" t="s">
        <v>133</v>
      </c>
    </row>
    <row r="9" spans="4:24" x14ac:dyDescent="0.3">
      <c r="D9" s="74" t="s">
        <v>238</v>
      </c>
      <c r="E9" s="74" t="s">
        <v>6</v>
      </c>
      <c r="F9" s="230"/>
      <c r="G9" s="230"/>
      <c r="H9" s="74" t="s">
        <v>164</v>
      </c>
      <c r="I9" s="74" t="s">
        <v>164</v>
      </c>
      <c r="J9" s="74" t="s">
        <v>12</v>
      </c>
      <c r="K9" s="74" t="s">
        <v>12</v>
      </c>
      <c r="L9" s="74" t="s">
        <v>12</v>
      </c>
      <c r="M9" s="74" t="s">
        <v>131</v>
      </c>
      <c r="N9" s="74" t="s">
        <v>131</v>
      </c>
      <c r="O9" s="74" t="s">
        <v>131</v>
      </c>
      <c r="P9" s="74" t="s">
        <v>25</v>
      </c>
      <c r="Q9" s="74" t="s">
        <v>25</v>
      </c>
      <c r="R9" s="74" t="s">
        <v>25</v>
      </c>
      <c r="S9" s="74" t="s">
        <v>239</v>
      </c>
      <c r="T9" s="74" t="s">
        <v>131</v>
      </c>
      <c r="U9" s="74" t="s">
        <v>133</v>
      </c>
      <c r="V9" s="74" t="s">
        <v>133</v>
      </c>
      <c r="W9" s="74" t="s">
        <v>133</v>
      </c>
      <c r="X9" s="74" t="s">
        <v>240</v>
      </c>
    </row>
    <row r="11" spans="4:24" x14ac:dyDescent="0.3">
      <c r="D11" s="6" t="s">
        <v>153</v>
      </c>
      <c r="E11" s="2"/>
      <c r="F11" s="2"/>
      <c r="G11" s="2"/>
      <c r="H11" s="2"/>
      <c r="I11" s="2"/>
      <c r="J11" s="2"/>
      <c r="K11" s="2"/>
      <c r="L11" s="2"/>
      <c r="M11" s="2"/>
      <c r="N11" s="2"/>
      <c r="O11" s="2"/>
      <c r="P11" s="2"/>
      <c r="Q11" s="2"/>
      <c r="R11" s="2"/>
      <c r="S11" s="2"/>
      <c r="T11" s="2"/>
      <c r="U11" s="2"/>
      <c r="V11" s="2"/>
      <c r="W11" s="2"/>
      <c r="X11" s="2"/>
    </row>
    <row r="12" spans="4:24" x14ac:dyDescent="0.3">
      <c r="D12" t="str">
        <f>MAR!H8</f>
        <v>Marriott International Inc.</v>
      </c>
      <c r="E12" s="22" t="s">
        <v>168</v>
      </c>
      <c r="F12" s="33">
        <f>MAR!H18</f>
        <v>363.98</v>
      </c>
      <c r="G12" s="30">
        <f>MAR!H19</f>
        <v>0.98372972972972983</v>
      </c>
      <c r="H12" s="66">
        <f>MAR!H25</f>
        <v>96703.863964920005</v>
      </c>
      <c r="I12" s="66">
        <f>MAR!H31</f>
        <v>112549.86396492</v>
      </c>
      <c r="J12" s="64">
        <f>MAR!E36</f>
        <v>4.298093025468571</v>
      </c>
      <c r="K12" s="64">
        <f>MAR!F36</f>
        <v>4.0339007191469838</v>
      </c>
      <c r="L12" s="64">
        <f>MAR!G36</f>
        <v>3.8293989304521796</v>
      </c>
      <c r="M12" s="64">
        <f>MAR!E38</f>
        <v>23.972281994658147</v>
      </c>
      <c r="N12" s="64">
        <f>MAR!F38</f>
        <v>19.076248129647457</v>
      </c>
      <c r="O12" s="64">
        <f>MAR!G38</f>
        <v>17.794444895639526</v>
      </c>
      <c r="P12" s="64">
        <f>MAR!E40</f>
        <v>27.120449148173496</v>
      </c>
      <c r="Q12" s="64">
        <f>MAR!F40</f>
        <v>22.769545612971882</v>
      </c>
      <c r="R12" s="64">
        <f>MAR!G40</f>
        <v>20.935614576808035</v>
      </c>
      <c r="S12" s="30">
        <f>HLT!R42</f>
        <v>0.29387822908879474</v>
      </c>
      <c r="T12" s="64">
        <f>MAR!H55</f>
        <v>3.1938232161874334</v>
      </c>
      <c r="U12" s="64">
        <f>MAR!E43</f>
        <v>9.5065789473684195</v>
      </c>
      <c r="V12" s="64">
        <f>MAR!F43</f>
        <v>11.310405346334134</v>
      </c>
      <c r="W12" s="64">
        <f>MAR!G43</f>
        <v>12.270190159417398</v>
      </c>
      <c r="X12" s="30">
        <f>MAR!H69</f>
        <v>0.06</v>
      </c>
    </row>
    <row r="13" spans="4:24" x14ac:dyDescent="0.3">
      <c r="D13" t="str">
        <f>ABNB!H8</f>
        <v>Airbnb Inc. Cl A</v>
      </c>
      <c r="E13" s="22" t="s">
        <v>169</v>
      </c>
      <c r="F13" s="77">
        <f>ABNB!H18</f>
        <v>134.51</v>
      </c>
      <c r="G13" s="30">
        <f>ABNB!H19</f>
        <v>0.93487628579371695</v>
      </c>
      <c r="H13" s="38">
        <f>ABNB!H25</f>
        <v>83701.619999999981</v>
      </c>
      <c r="I13" s="38">
        <f>ABNB!H31</f>
        <v>79140.619999999981</v>
      </c>
      <c r="J13" s="64">
        <f>ABNB!E36</f>
        <v>6.4652087247773862</v>
      </c>
      <c r="K13" s="64">
        <f>ABNB!F36</f>
        <v>5.777952836387529</v>
      </c>
      <c r="L13" s="64">
        <f>ABNB!G36</f>
        <v>5.2487478445417155</v>
      </c>
      <c r="M13" s="64">
        <f>ABNB!E38</f>
        <v>18.417644868512912</v>
      </c>
      <c r="N13" s="64">
        <f>ABNB!F38</f>
        <v>16.446512884455522</v>
      </c>
      <c r="O13" s="64">
        <f>ABNB!G38</f>
        <v>14.652956859840767</v>
      </c>
      <c r="P13" s="64">
        <f>ABNB!E40</f>
        <v>31.108734276729553</v>
      </c>
      <c r="Q13" s="64">
        <f>ABNB!F40</f>
        <v>26.424247078464102</v>
      </c>
      <c r="R13" s="64">
        <f>ABNB!G40</f>
        <v>22.57934950071326</v>
      </c>
      <c r="S13" s="30">
        <f>ABNB!R43</f>
        <v>0.3510334123029164</v>
      </c>
      <c r="T13" s="64">
        <f>ABNB!H55</f>
        <v>0</v>
      </c>
      <c r="U13" s="64">
        <f>ABNB!E42</f>
        <v>22.269394100451766</v>
      </c>
      <c r="V13" s="64">
        <f>ABNB!F42</f>
        <v>27.956452905811616</v>
      </c>
      <c r="W13" s="64">
        <f>ABNB!G42</f>
        <v>24.481316174319975</v>
      </c>
      <c r="X13" s="30">
        <f>ABNB!H69</f>
        <v>0.12</v>
      </c>
    </row>
    <row r="14" spans="4:24" x14ac:dyDescent="0.3">
      <c r="D14" t="str">
        <f>HLT!H8</f>
        <v>Hilton Worldwide Holdings Inc.</v>
      </c>
      <c r="E14" s="22" t="s">
        <v>172</v>
      </c>
      <c r="F14" s="77">
        <f>HLT!H18</f>
        <v>330.71</v>
      </c>
      <c r="G14" s="30">
        <f>HLT!H19</f>
        <v>0.99056490744623482</v>
      </c>
      <c r="H14" s="38">
        <f>HLT!H25</f>
        <v>78279.056999999986</v>
      </c>
      <c r="I14" s="38">
        <f>HLT!H31</f>
        <v>89714.056999999986</v>
      </c>
      <c r="J14" s="64">
        <f>HLT!E36</f>
        <v>7.4519525708115282</v>
      </c>
      <c r="K14" s="64">
        <f>HLT!F36</f>
        <v>6.8510161893852608</v>
      </c>
      <c r="L14" s="64">
        <f>HLT!G36</f>
        <v>6.3227892733807867</v>
      </c>
      <c r="M14" s="64">
        <f>HLT!E38</f>
        <v>25.357280101752398</v>
      </c>
      <c r="N14" s="64">
        <f>HLT!F38</f>
        <v>22.250510168650791</v>
      </c>
      <c r="O14" s="64">
        <f>HLT!G38</f>
        <v>20.412754721274172</v>
      </c>
      <c r="P14" s="64">
        <f>HLT!E40</f>
        <v>33.313797623468247</v>
      </c>
      <c r="Q14" s="64">
        <f>HLT!F40</f>
        <v>25.93641428158427</v>
      </c>
      <c r="R14" s="64">
        <f>HLT!G40</f>
        <v>23.509973008385742</v>
      </c>
      <c r="S14" s="30">
        <f>HLT!R38</f>
        <v>0.27917601129661934</v>
      </c>
      <c r="T14" s="64">
        <f>HLT!H55</f>
        <v>3.4872809496890897</v>
      </c>
      <c r="U14" s="64">
        <f>HLT!E42</f>
        <v>53.57909445585215</v>
      </c>
      <c r="V14" s="64">
        <f>HLT!F42</f>
        <v>37.580681818181816</v>
      </c>
      <c r="W14" s="64">
        <f>HLT!G42</f>
        <v>33.20381526104417</v>
      </c>
      <c r="X14" s="30">
        <f>HLT!H69</f>
        <v>0.14499999999999999</v>
      </c>
    </row>
    <row r="15" spans="4:24" x14ac:dyDescent="0.3">
      <c r="D15" t="str">
        <f>H!H8</f>
        <v xml:space="preserve">Hyatt Hotels Corporation </v>
      </c>
      <c r="E15" s="22" t="s">
        <v>177</v>
      </c>
      <c r="F15" s="77">
        <f>H!H18</f>
        <v>166.5</v>
      </c>
      <c r="G15" s="30">
        <f>H!H19</f>
        <v>0.9222843848667811</v>
      </c>
      <c r="H15" s="38">
        <f>H!H25</f>
        <v>16017.976156499999</v>
      </c>
      <c r="I15" s="38">
        <f>H!H31</f>
        <v>19832.976156500001</v>
      </c>
      <c r="J15" s="64">
        <f>H!E36</f>
        <v>2.7929835454865515</v>
      </c>
      <c r="K15" s="64">
        <f>H!F36</f>
        <v>2.7564942538568453</v>
      </c>
      <c r="L15" s="64">
        <f>H!G36</f>
        <v>2.5647195340100866</v>
      </c>
      <c r="M15" s="64">
        <f>H!E38</f>
        <v>17.112145087575495</v>
      </c>
      <c r="N15" s="64">
        <f>H!F38</f>
        <v>16.821862728159459</v>
      </c>
      <c r="O15" s="64">
        <f>H!G38</f>
        <v>15.128128265827613</v>
      </c>
      <c r="P15" s="64">
        <f>H!E40</f>
        <v>56.991310794540233</v>
      </c>
      <c r="Q15" s="64">
        <f>H!F40</f>
        <v>30.758337711693553</v>
      </c>
      <c r="R15" s="64">
        <f>H!G40</f>
        <v>24.812931510696863</v>
      </c>
      <c r="S15" s="30">
        <f>H!R42</f>
        <v>0.16321644838755106</v>
      </c>
      <c r="T15" s="64">
        <f>H!H55</f>
        <v>3.6859361518550475</v>
      </c>
      <c r="U15" s="64">
        <f>H!E42</f>
        <v>-308.03800300961535</v>
      </c>
      <c r="V15" s="64">
        <f>H!F42</f>
        <v>57.21649484536082</v>
      </c>
      <c r="W15" s="64">
        <f>H!G42</f>
        <v>39.642857142857139</v>
      </c>
      <c r="X15" s="30">
        <f>H!H69</f>
        <v>7.0000000000000007E-2</v>
      </c>
    </row>
    <row r="16" spans="4:24" x14ac:dyDescent="0.3">
      <c r="D16" t="str">
        <f>WH!H8</f>
        <v>Wyndham Hotels &amp; Resorts Inc.</v>
      </c>
      <c r="E16" s="22" t="s">
        <v>175</v>
      </c>
      <c r="F16" s="77">
        <f>WH!H18</f>
        <v>88.18</v>
      </c>
      <c r="G16" s="30">
        <f>WH!H19</f>
        <v>0.95134318696731046</v>
      </c>
      <c r="H16" s="38">
        <f>WH!H25</f>
        <v>6773.9410000000007</v>
      </c>
      <c r="I16" s="38">
        <f>WH!H31</f>
        <v>9269.9410000000007</v>
      </c>
      <c r="J16" s="64">
        <f>WH!E36</f>
        <v>6.4870125962211338</v>
      </c>
      <c r="K16" s="64">
        <f>WH!F36</f>
        <v>6.2592444294395682</v>
      </c>
      <c r="L16" s="64">
        <f>WH!G36</f>
        <v>5.9195025542784165</v>
      </c>
      <c r="M16" s="64">
        <f>WH!E38</f>
        <v>12.910781337047355</v>
      </c>
      <c r="N16" s="64">
        <f>WH!F38</f>
        <v>12.508353798407773</v>
      </c>
      <c r="O16" s="64">
        <f>WH!G38</f>
        <v>11.722231917046031</v>
      </c>
      <c r="P16" s="64">
        <f>WH!E40</f>
        <v>14.13100762195122</v>
      </c>
      <c r="Q16" s="64">
        <f>WH!F40</f>
        <v>15.296932343234324</v>
      </c>
      <c r="R16" s="64">
        <f>WH!G40</f>
        <v>14.250485780169102</v>
      </c>
      <c r="S16" s="30">
        <f>WH!R43</f>
        <v>0.50244926522043387</v>
      </c>
      <c r="T16" s="64">
        <f>WH!H55</f>
        <v>3.5027855153203342</v>
      </c>
      <c r="U16" s="64">
        <f>WH!E42</f>
        <v>28.845322033898309</v>
      </c>
      <c r="V16" s="64">
        <f>WH!F42</f>
        <v>19.169565217391309</v>
      </c>
      <c r="W16" s="64">
        <f>WH!G42</f>
        <v>17.148969272656554</v>
      </c>
      <c r="X16" s="30">
        <f>WH!H69</f>
        <v>0.08</v>
      </c>
    </row>
    <row r="18" spans="4:24" x14ac:dyDescent="0.3">
      <c r="D18" s="79" t="s">
        <v>245</v>
      </c>
      <c r="E18" s="79"/>
      <c r="F18" s="79"/>
      <c r="G18" s="79"/>
      <c r="H18" s="79"/>
      <c r="I18" s="79"/>
      <c r="J18" s="80">
        <f>AVERAGE(J12:J16)</f>
        <v>5.4990500925530341</v>
      </c>
      <c r="K18" s="80">
        <f t="shared" ref="K18:X18" si="0">AVERAGE(K12:K16)</f>
        <v>5.1357216856432384</v>
      </c>
      <c r="L18" s="80">
        <f t="shared" si="0"/>
        <v>4.7770316273326374</v>
      </c>
      <c r="M18" s="80">
        <f t="shared" si="0"/>
        <v>19.55402667790926</v>
      </c>
      <c r="N18" s="80">
        <f t="shared" si="0"/>
        <v>17.4206975418642</v>
      </c>
      <c r="O18" s="80">
        <f t="shared" si="0"/>
        <v>15.942103331925622</v>
      </c>
      <c r="P18" s="80">
        <f t="shared" si="0"/>
        <v>32.533059892972553</v>
      </c>
      <c r="Q18" s="80">
        <f t="shared" si="0"/>
        <v>24.237095405589628</v>
      </c>
      <c r="R18" s="80">
        <f t="shared" si="0"/>
        <v>21.2176708753546</v>
      </c>
      <c r="S18" s="81">
        <f t="shared" si="0"/>
        <v>0.31795067325926307</v>
      </c>
      <c r="T18" s="80">
        <f t="shared" si="0"/>
        <v>2.7739651666103811</v>
      </c>
      <c r="U18" s="80">
        <f t="shared" si="0"/>
        <v>-38.767522694408946</v>
      </c>
      <c r="V18" s="80">
        <f t="shared" si="0"/>
        <v>30.646720026615935</v>
      </c>
      <c r="W18" s="80">
        <f t="shared" si="0"/>
        <v>25.349429602059047</v>
      </c>
      <c r="X18" s="81">
        <f t="shared" si="0"/>
        <v>9.5000000000000001E-2</v>
      </c>
    </row>
    <row r="19" spans="4:24" x14ac:dyDescent="0.3">
      <c r="D19" s="69" t="s">
        <v>246</v>
      </c>
      <c r="E19" s="69"/>
      <c r="F19" s="69"/>
      <c r="G19" s="69"/>
      <c r="H19" s="69"/>
      <c r="I19" s="69"/>
      <c r="J19" s="82">
        <f>MEDIAN(J12:J16)</f>
        <v>6.4652087247773862</v>
      </c>
      <c r="K19" s="82">
        <f t="shared" ref="K19:X19" si="1">MEDIAN(K12:K16)</f>
        <v>5.777952836387529</v>
      </c>
      <c r="L19" s="82">
        <f t="shared" si="1"/>
        <v>5.2487478445417155</v>
      </c>
      <c r="M19" s="82">
        <f t="shared" si="1"/>
        <v>18.417644868512912</v>
      </c>
      <c r="N19" s="82">
        <f t="shared" si="1"/>
        <v>16.821862728159459</v>
      </c>
      <c r="O19" s="82">
        <f t="shared" si="1"/>
        <v>15.128128265827613</v>
      </c>
      <c r="P19" s="82">
        <f t="shared" si="1"/>
        <v>31.108734276729553</v>
      </c>
      <c r="Q19" s="82">
        <f t="shared" si="1"/>
        <v>25.93641428158427</v>
      </c>
      <c r="R19" s="82">
        <f t="shared" si="1"/>
        <v>22.57934950071326</v>
      </c>
      <c r="S19" s="83">
        <f t="shared" si="1"/>
        <v>0.29387822908879474</v>
      </c>
      <c r="T19" s="82">
        <f t="shared" si="1"/>
        <v>3.4872809496890897</v>
      </c>
      <c r="U19" s="82">
        <f t="shared" si="1"/>
        <v>22.269394100451766</v>
      </c>
      <c r="V19" s="82">
        <f t="shared" si="1"/>
        <v>27.956452905811616</v>
      </c>
      <c r="W19" s="82">
        <f t="shared" si="1"/>
        <v>24.481316174319975</v>
      </c>
      <c r="X19" s="83">
        <f t="shared" si="1"/>
        <v>0.08</v>
      </c>
    </row>
    <row r="20" spans="4:24" x14ac:dyDescent="0.3">
      <c r="D20" s="7"/>
      <c r="E20" s="7"/>
      <c r="F20" s="7"/>
      <c r="G20" s="7"/>
      <c r="H20" s="7"/>
      <c r="I20" s="7"/>
      <c r="J20" s="7"/>
      <c r="K20" s="7"/>
      <c r="L20" s="7"/>
      <c r="M20" s="7"/>
      <c r="N20" s="7"/>
      <c r="O20" s="7"/>
      <c r="P20" s="7"/>
      <c r="Q20" s="7"/>
      <c r="R20" s="7"/>
      <c r="S20" s="78"/>
      <c r="T20" s="7"/>
      <c r="U20" s="7"/>
      <c r="V20" s="7"/>
      <c r="W20" s="7"/>
      <c r="X20" s="78"/>
    </row>
    <row r="21" spans="4:24" x14ac:dyDescent="0.3">
      <c r="D21" s="79" t="s">
        <v>247</v>
      </c>
      <c r="E21" s="79"/>
      <c r="F21" s="79"/>
      <c r="G21" s="79"/>
      <c r="H21" s="79"/>
      <c r="I21" s="79"/>
      <c r="J21" s="80">
        <f>MAX(J12:J16)</f>
        <v>7.4519525708115282</v>
      </c>
      <c r="K21" s="80">
        <f t="shared" ref="K21:X21" si="2">MAX(K12:K16)</f>
        <v>6.8510161893852608</v>
      </c>
      <c r="L21" s="80">
        <f t="shared" si="2"/>
        <v>6.3227892733807867</v>
      </c>
      <c r="M21" s="80">
        <f t="shared" si="2"/>
        <v>25.357280101752398</v>
      </c>
      <c r="N21" s="80">
        <f t="shared" si="2"/>
        <v>22.250510168650791</v>
      </c>
      <c r="O21" s="80">
        <f t="shared" si="2"/>
        <v>20.412754721274172</v>
      </c>
      <c r="P21" s="80">
        <f t="shared" si="2"/>
        <v>56.991310794540233</v>
      </c>
      <c r="Q21" s="80">
        <f t="shared" si="2"/>
        <v>30.758337711693553</v>
      </c>
      <c r="R21" s="80">
        <f t="shared" si="2"/>
        <v>24.812931510696863</v>
      </c>
      <c r="S21" s="81">
        <f t="shared" si="2"/>
        <v>0.50244926522043387</v>
      </c>
      <c r="T21" s="80">
        <f t="shared" si="2"/>
        <v>3.6859361518550475</v>
      </c>
      <c r="U21" s="80">
        <f t="shared" si="2"/>
        <v>53.57909445585215</v>
      </c>
      <c r="V21" s="80">
        <f t="shared" si="2"/>
        <v>57.21649484536082</v>
      </c>
      <c r="W21" s="80">
        <f t="shared" si="2"/>
        <v>39.642857142857139</v>
      </c>
      <c r="X21" s="81">
        <f t="shared" si="2"/>
        <v>0.14499999999999999</v>
      </c>
    </row>
    <row r="22" spans="4:24" x14ac:dyDescent="0.3">
      <c r="D22" s="69" t="s">
        <v>248</v>
      </c>
      <c r="E22" s="69"/>
      <c r="F22" s="69"/>
      <c r="G22" s="69"/>
      <c r="H22" s="69"/>
      <c r="I22" s="69"/>
      <c r="J22" s="82">
        <f>MIN(J12:J16)</f>
        <v>2.7929835454865515</v>
      </c>
      <c r="K22" s="82">
        <f t="shared" ref="K22:X22" si="3">MIN(K12:K16)</f>
        <v>2.7564942538568453</v>
      </c>
      <c r="L22" s="82">
        <f t="shared" si="3"/>
        <v>2.5647195340100866</v>
      </c>
      <c r="M22" s="82">
        <f t="shared" si="3"/>
        <v>12.910781337047355</v>
      </c>
      <c r="N22" s="82">
        <f t="shared" si="3"/>
        <v>12.508353798407773</v>
      </c>
      <c r="O22" s="82">
        <f t="shared" si="3"/>
        <v>11.722231917046031</v>
      </c>
      <c r="P22" s="82">
        <f t="shared" si="3"/>
        <v>14.13100762195122</v>
      </c>
      <c r="Q22" s="82">
        <f t="shared" si="3"/>
        <v>15.296932343234324</v>
      </c>
      <c r="R22" s="82">
        <f t="shared" si="3"/>
        <v>14.250485780169102</v>
      </c>
      <c r="S22" s="83">
        <f t="shared" si="3"/>
        <v>0.16321644838755106</v>
      </c>
      <c r="T22" s="82">
        <f t="shared" si="3"/>
        <v>0</v>
      </c>
      <c r="U22" s="82">
        <f t="shared" si="3"/>
        <v>-308.03800300961535</v>
      </c>
      <c r="V22" s="82">
        <f t="shared" si="3"/>
        <v>11.310405346334134</v>
      </c>
      <c r="W22" s="82">
        <f t="shared" si="3"/>
        <v>12.270190159417398</v>
      </c>
      <c r="X22" s="83">
        <f t="shared" si="3"/>
        <v>0.06</v>
      </c>
    </row>
  </sheetData>
  <mergeCells count="4">
    <mergeCell ref="F7:F9"/>
    <mergeCell ref="G7:G9"/>
    <mergeCell ref="J7:R7"/>
    <mergeCell ref="U7:W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B188-1D4F-4763-8567-B15AE3425139}">
  <dimension ref="D2:T21"/>
  <sheetViews>
    <sheetView showGridLines="0" zoomScale="85" zoomScaleNormal="85" workbookViewId="0">
      <selection activeCell="J29" sqref="J29"/>
    </sheetView>
  </sheetViews>
  <sheetFormatPr defaultRowHeight="14.4" x14ac:dyDescent="0.3"/>
  <cols>
    <col min="1" max="3" width="2.33203125" customWidth="1"/>
    <col min="4" max="4" width="29.77734375" customWidth="1"/>
    <col min="5" max="20" width="10.77734375" customWidth="1"/>
  </cols>
  <sheetData>
    <row r="2" spans="4:20" ht="21" x14ac:dyDescent="0.4">
      <c r="D2" s="1" t="s">
        <v>218</v>
      </c>
      <c r="E2" s="6"/>
      <c r="F2" s="6"/>
      <c r="G2" s="6"/>
      <c r="H2" s="6"/>
      <c r="I2" s="6"/>
      <c r="J2" s="6"/>
      <c r="K2" s="6"/>
      <c r="L2" s="6"/>
      <c r="M2" s="6"/>
      <c r="N2" s="6"/>
      <c r="O2" s="6"/>
      <c r="P2" s="6"/>
      <c r="Q2" s="6"/>
      <c r="R2" s="6"/>
      <c r="S2" s="6"/>
      <c r="T2" s="6"/>
    </row>
    <row r="3" spans="4:20" ht="18" x14ac:dyDescent="0.35">
      <c r="D3" s="72" t="s">
        <v>241</v>
      </c>
      <c r="E3" s="6"/>
      <c r="F3" s="6"/>
      <c r="G3" s="6"/>
      <c r="H3" s="6"/>
      <c r="I3" s="6"/>
      <c r="J3" s="6"/>
      <c r="K3" s="6"/>
      <c r="L3" s="6"/>
      <c r="M3" s="6"/>
      <c r="N3" s="6"/>
      <c r="O3" s="6"/>
      <c r="P3" s="6"/>
      <c r="Q3" s="6"/>
      <c r="R3" s="6"/>
      <c r="S3" s="6"/>
      <c r="T3" s="6"/>
    </row>
    <row r="4" spans="4:20" x14ac:dyDescent="0.3">
      <c r="D4" s="4" t="s">
        <v>1</v>
      </c>
      <c r="E4" s="6"/>
      <c r="F4" s="6"/>
      <c r="G4" s="6"/>
      <c r="H4" s="6"/>
      <c r="I4" s="6"/>
      <c r="J4" s="6"/>
      <c r="K4" s="6"/>
      <c r="L4" s="6"/>
      <c r="M4" s="6"/>
      <c r="N4" s="6"/>
      <c r="O4" s="6"/>
      <c r="P4" s="6"/>
      <c r="Q4" s="6"/>
      <c r="R4" s="6"/>
      <c r="S4" s="6"/>
      <c r="T4" s="6"/>
    </row>
    <row r="6" spans="4:20" x14ac:dyDescent="0.3">
      <c r="D6" s="75"/>
      <c r="E6" s="75"/>
      <c r="F6" s="229" t="s">
        <v>230</v>
      </c>
      <c r="G6" s="229" t="s">
        <v>33</v>
      </c>
      <c r="H6" s="73"/>
      <c r="I6" s="73"/>
      <c r="J6" s="73"/>
      <c r="K6" s="73"/>
      <c r="L6" s="73" t="s">
        <v>235</v>
      </c>
      <c r="M6" s="73" t="s">
        <v>232</v>
      </c>
      <c r="N6" s="73" t="s">
        <v>232</v>
      </c>
      <c r="O6" s="73"/>
      <c r="P6" s="73"/>
      <c r="Q6" s="73" t="s">
        <v>234</v>
      </c>
      <c r="R6" s="73"/>
      <c r="S6" s="73"/>
      <c r="T6" s="73"/>
    </row>
    <row r="7" spans="4:20" x14ac:dyDescent="0.3">
      <c r="D7" s="75"/>
      <c r="E7" s="75"/>
      <c r="F7" s="229"/>
      <c r="G7" s="229"/>
      <c r="H7" s="73" t="s">
        <v>163</v>
      </c>
      <c r="I7" s="73" t="s">
        <v>165</v>
      </c>
      <c r="J7" s="231" t="s">
        <v>75</v>
      </c>
      <c r="K7" s="231"/>
      <c r="L7" s="73" t="s">
        <v>131</v>
      </c>
      <c r="M7" s="73" t="s">
        <v>237</v>
      </c>
      <c r="N7" s="73" t="s">
        <v>242</v>
      </c>
      <c r="O7" s="231" t="s">
        <v>83</v>
      </c>
      <c r="P7" s="231"/>
      <c r="Q7" s="73" t="s">
        <v>133</v>
      </c>
      <c r="R7" s="73" t="s">
        <v>243</v>
      </c>
      <c r="S7" s="231" t="s">
        <v>85</v>
      </c>
      <c r="T7" s="231"/>
    </row>
    <row r="8" spans="4:20" x14ac:dyDescent="0.3">
      <c r="D8" s="76" t="s">
        <v>238</v>
      </c>
      <c r="E8" s="74" t="s">
        <v>6</v>
      </c>
      <c r="F8" s="230"/>
      <c r="G8" s="230"/>
      <c r="H8" s="74" t="s">
        <v>164</v>
      </c>
      <c r="I8" s="74" t="s">
        <v>164</v>
      </c>
      <c r="J8" s="74" t="s">
        <v>235</v>
      </c>
      <c r="K8" s="74" t="s">
        <v>236</v>
      </c>
      <c r="L8" s="74" t="s">
        <v>239</v>
      </c>
      <c r="M8" s="74" t="s">
        <v>131</v>
      </c>
      <c r="N8" s="74" t="s">
        <v>131</v>
      </c>
      <c r="O8" s="74" t="s">
        <v>235</v>
      </c>
      <c r="P8" s="74" t="s">
        <v>236</v>
      </c>
      <c r="Q8" s="74" t="s">
        <v>240</v>
      </c>
      <c r="R8" s="74" t="s">
        <v>244</v>
      </c>
      <c r="S8" s="74" t="s">
        <v>235</v>
      </c>
      <c r="T8" s="74" t="s">
        <v>236</v>
      </c>
    </row>
    <row r="10" spans="4:20" x14ac:dyDescent="0.3">
      <c r="D10" s="6" t="s">
        <v>153</v>
      </c>
      <c r="E10" s="2"/>
      <c r="F10" s="2"/>
      <c r="G10" s="2"/>
      <c r="H10" s="2"/>
      <c r="I10" s="2"/>
      <c r="J10" s="2"/>
      <c r="K10" s="2"/>
      <c r="L10" s="2"/>
      <c r="M10" s="2"/>
      <c r="N10" s="2"/>
      <c r="O10" s="2"/>
      <c r="P10" s="2"/>
      <c r="Q10" s="2"/>
      <c r="R10" s="2"/>
      <c r="S10" s="2"/>
      <c r="T10" s="2"/>
    </row>
    <row r="11" spans="4:20" x14ac:dyDescent="0.3">
      <c r="D11" t="str">
        <f>Comps1!D12</f>
        <v>Marriott International Inc.</v>
      </c>
      <c r="E11" s="22" t="str">
        <f>Comps1!E12</f>
        <v>MAR</v>
      </c>
      <c r="F11" s="33">
        <f>Comps1!F12</f>
        <v>363.98</v>
      </c>
      <c r="G11" s="30">
        <f>Comps1!G12</f>
        <v>0.98372972972972983</v>
      </c>
      <c r="H11" s="66">
        <f>Comps1!H12</f>
        <v>96703.863964920005</v>
      </c>
      <c r="I11" s="66">
        <f>Comps1!I12</f>
        <v>112549.86396492</v>
      </c>
      <c r="J11" s="64">
        <f>MAR!F38</f>
        <v>19.076248129647457</v>
      </c>
      <c r="K11" s="64">
        <f>MAR!G38</f>
        <v>17.794444895639526</v>
      </c>
      <c r="L11" s="30">
        <f>MAR!F64</f>
        <v>0.10861865407319948</v>
      </c>
      <c r="M11" s="64">
        <f>MAR!H55</f>
        <v>3.1938232161874334</v>
      </c>
      <c r="N11" s="64">
        <f>MAR!H57</f>
        <v>6.2103174603174605</v>
      </c>
      <c r="O11" s="64">
        <f>MAR!F42</f>
        <v>32.180986344399336</v>
      </c>
      <c r="P11" s="64">
        <f>MAR!G42</f>
        <v>29.663761952429446</v>
      </c>
      <c r="Q11" s="30">
        <f>MAR!H69</f>
        <v>0.06</v>
      </c>
      <c r="R11" s="30">
        <f>MAR!H51</f>
        <v>7.3630419253805151E-3</v>
      </c>
      <c r="S11" s="30">
        <f>MAR!F44</f>
        <v>2.914051087991943E-2</v>
      </c>
      <c r="T11" s="30">
        <f>MAR!G44</f>
        <v>3.3886960309970182E-2</v>
      </c>
    </row>
    <row r="12" spans="4:20" x14ac:dyDescent="0.3">
      <c r="D12" t="str">
        <f>Comps1!D13</f>
        <v>Airbnb Inc. Cl A</v>
      </c>
      <c r="E12" s="22" t="str">
        <f>Comps1!E13</f>
        <v>ABNB</v>
      </c>
      <c r="F12" s="77">
        <f>Comps1!F13</f>
        <v>134.51</v>
      </c>
      <c r="G12" s="30">
        <f>Comps1!G13</f>
        <v>0.93487628579371695</v>
      </c>
      <c r="H12" s="38">
        <f>Comps1!H13</f>
        <v>83701.619999999981</v>
      </c>
      <c r="I12" s="38">
        <f>Comps1!I13</f>
        <v>79140.619999999981</v>
      </c>
      <c r="J12" s="64">
        <f>ABNB!F38</f>
        <v>16.446512884455522</v>
      </c>
      <c r="K12" s="64">
        <f>ABNB!G38</f>
        <v>14.652956859840767</v>
      </c>
      <c r="L12" s="30">
        <f>ABNB!F64</f>
        <v>6.3350655778272813E-2</v>
      </c>
      <c r="M12" s="64">
        <f>ABNB!H55</f>
        <v>0</v>
      </c>
      <c r="N12" s="64">
        <f>ABNB!H57</f>
        <v>38.366071428571431</v>
      </c>
      <c r="O12" s="64">
        <f>ABNB!F42</f>
        <v>27.956452905811616</v>
      </c>
      <c r="P12" s="64">
        <f>ABNB!G42</f>
        <v>24.481316174319975</v>
      </c>
      <c r="Q12" s="30">
        <f>ABNB!H69</f>
        <v>0.12</v>
      </c>
      <c r="R12" s="30">
        <f>ABNB!H51</f>
        <v>0</v>
      </c>
      <c r="S12" s="30">
        <f>ABNB!F44</f>
        <v>6.110992833830458E-2</v>
      </c>
      <c r="T12" s="30">
        <f>ABNB!G44</f>
        <v>6.6175541166347815E-2</v>
      </c>
    </row>
    <row r="13" spans="4:20" x14ac:dyDescent="0.3">
      <c r="D13" t="str">
        <f>Comps1!D14</f>
        <v>Hilton Worldwide Holdings Inc.</v>
      </c>
      <c r="E13" s="22" t="str">
        <f>Comps1!E14</f>
        <v>HLT</v>
      </c>
      <c r="F13" s="77">
        <f>Comps1!F14</f>
        <v>330.71</v>
      </c>
      <c r="G13" s="30">
        <f>Comps1!G14</f>
        <v>0.99056490744623482</v>
      </c>
      <c r="H13" s="38">
        <f>Comps1!H14</f>
        <v>78279.056999999986</v>
      </c>
      <c r="I13" s="38">
        <f>Comps1!I14</f>
        <v>89714.056999999986</v>
      </c>
      <c r="J13" s="64">
        <f>HLT!F38</f>
        <v>22.250510168650791</v>
      </c>
      <c r="K13" s="64">
        <f>HLT!G38</f>
        <v>20.412754721274172</v>
      </c>
      <c r="L13" s="30">
        <f>HLT!F64</f>
        <v>7.1796425325658886E-2</v>
      </c>
      <c r="M13" s="64">
        <f>HLT!H55</f>
        <v>3.4872809496890897</v>
      </c>
      <c r="N13" s="64">
        <f>HLT!H57</f>
        <v>5.697262479871176</v>
      </c>
      <c r="O13" s="64">
        <f>HLT!F42</f>
        <v>37.580681818181816</v>
      </c>
      <c r="P13" s="64">
        <f>HLT!G42</f>
        <v>33.20381526104417</v>
      </c>
      <c r="Q13" s="30">
        <f>HLT!H69</f>
        <v>0.14499999999999999</v>
      </c>
      <c r="R13" s="30">
        <f>HLT!H51</f>
        <v>1.814278370778023E-3</v>
      </c>
      <c r="S13" s="30">
        <f>HLT!F44</f>
        <v>2.9101014847432313E-2</v>
      </c>
      <c r="T13" s="30">
        <f>HLT!G44</f>
        <v>2.9586457588522054E-2</v>
      </c>
    </row>
    <row r="14" spans="4:20" x14ac:dyDescent="0.3">
      <c r="D14" t="str">
        <f>Comps1!D15</f>
        <v xml:space="preserve">Hyatt Hotels Corporation </v>
      </c>
      <c r="E14" s="22" t="str">
        <f>Comps1!E15</f>
        <v>H</v>
      </c>
      <c r="F14" s="77">
        <f>Comps1!F15</f>
        <v>166.5</v>
      </c>
      <c r="G14" s="30">
        <f>Comps1!G15</f>
        <v>0.9222843848667811</v>
      </c>
      <c r="H14" s="38">
        <f>Comps1!H15</f>
        <v>16017.976156499999</v>
      </c>
      <c r="I14" s="38">
        <f>Comps1!I15</f>
        <v>19832.976156500001</v>
      </c>
      <c r="J14" s="64">
        <f>H!F38</f>
        <v>16.821862728159459</v>
      </c>
      <c r="K14" s="64">
        <f>H!G38</f>
        <v>15.128128265827613</v>
      </c>
      <c r="L14" s="30">
        <f>H!F64</f>
        <v>5.7481751824817628E-2</v>
      </c>
      <c r="M14" s="64">
        <f>H!H55</f>
        <v>3.6859361518550475</v>
      </c>
      <c r="N14" s="64">
        <f>H!H57</f>
        <v>3.6561514195583595</v>
      </c>
      <c r="O14" s="64">
        <f>H!F42</f>
        <v>57.21649484536082</v>
      </c>
      <c r="P14" s="64">
        <f>H!G42</f>
        <v>39.642857142857139</v>
      </c>
      <c r="Q14" s="30">
        <f>H!H69</f>
        <v>7.0000000000000007E-2</v>
      </c>
      <c r="R14" s="30">
        <f>H!H51</f>
        <v>3.6036036036036037E-3</v>
      </c>
      <c r="S14" s="30">
        <f>H!F44</f>
        <v>2.6332914712751405E-2</v>
      </c>
      <c r="T14" s="30">
        <f>H!G44</f>
        <v>3.7376756848089776E-2</v>
      </c>
    </row>
    <row r="15" spans="4:20" x14ac:dyDescent="0.3">
      <c r="D15" t="str">
        <f>Comps1!D16</f>
        <v>Wyndham Hotels &amp; Resorts Inc.</v>
      </c>
      <c r="E15" s="22" t="str">
        <f>Comps1!E16</f>
        <v>WH</v>
      </c>
      <c r="F15" s="77">
        <f>Comps1!F16</f>
        <v>88.18</v>
      </c>
      <c r="G15" s="30">
        <f>Comps1!G16</f>
        <v>0.95134318696731046</v>
      </c>
      <c r="H15" s="38">
        <f>Comps1!H16</f>
        <v>6773.9410000000007</v>
      </c>
      <c r="I15" s="38">
        <f>Comps1!I16</f>
        <v>9269.9410000000007</v>
      </c>
      <c r="J15" s="64">
        <f>WH!F38</f>
        <v>12.508353798407773</v>
      </c>
      <c r="K15" s="64">
        <f>WH!G38</f>
        <v>11.722231917046031</v>
      </c>
      <c r="L15" s="30">
        <f>WH!F64</f>
        <v>3.4582132564841439E-2</v>
      </c>
      <c r="M15" s="64">
        <f>WH!H55</f>
        <v>3.5027855153203342</v>
      </c>
      <c r="N15" s="64">
        <f>WH!H57</f>
        <v>5.1654676258992804</v>
      </c>
      <c r="O15" s="64">
        <f>WH!F42</f>
        <v>19.169565217391309</v>
      </c>
      <c r="P15" s="64">
        <f>WH!G42</f>
        <v>17.148969272656554</v>
      </c>
      <c r="Q15" s="30">
        <f>WH!H69</f>
        <v>0.08</v>
      </c>
      <c r="R15" s="30">
        <f>WH!H51</f>
        <v>1.9505556815604445E-2</v>
      </c>
      <c r="S15" s="30">
        <f>WH!F44</f>
        <v>6.4157629952785233E-2</v>
      </c>
      <c r="T15" s="30">
        <f>WH!G44</f>
        <v>6.8881615591278395E-2</v>
      </c>
    </row>
    <row r="17" spans="4:20" x14ac:dyDescent="0.3">
      <c r="D17" s="79" t="s">
        <v>245</v>
      </c>
      <c r="E17" s="79"/>
      <c r="F17" s="79"/>
      <c r="G17" s="79"/>
      <c r="H17" s="79"/>
      <c r="I17" s="79"/>
      <c r="J17" s="80">
        <f>AVERAGE(J11:J15)</f>
        <v>17.4206975418642</v>
      </c>
      <c r="K17" s="80">
        <f t="shared" ref="K17:T17" si="0">AVERAGE(K11:K15)</f>
        <v>15.942103331925622</v>
      </c>
      <c r="L17" s="80">
        <f t="shared" si="0"/>
        <v>6.7165923913358044E-2</v>
      </c>
      <c r="M17" s="80">
        <f t="shared" si="0"/>
        <v>2.7739651666103811</v>
      </c>
      <c r="N17" s="80">
        <f t="shared" si="0"/>
        <v>11.819054082843543</v>
      </c>
      <c r="O17" s="80">
        <f t="shared" si="0"/>
        <v>34.820836226228984</v>
      </c>
      <c r="P17" s="80">
        <f t="shared" si="0"/>
        <v>28.828143960661457</v>
      </c>
      <c r="Q17" s="84">
        <f t="shared" si="0"/>
        <v>9.5000000000000001E-2</v>
      </c>
      <c r="R17" s="84">
        <f t="shared" si="0"/>
        <v>6.4572961430733166E-3</v>
      </c>
      <c r="S17" s="81">
        <f t="shared" si="0"/>
        <v>4.1968399746238595E-2</v>
      </c>
      <c r="T17" s="84">
        <f t="shared" si="0"/>
        <v>4.7181466300841648E-2</v>
      </c>
    </row>
    <row r="18" spans="4:20" x14ac:dyDescent="0.3">
      <c r="D18" s="69" t="s">
        <v>246</v>
      </c>
      <c r="E18" s="69"/>
      <c r="F18" s="69"/>
      <c r="G18" s="69"/>
      <c r="H18" s="69"/>
      <c r="I18" s="69"/>
      <c r="J18" s="82">
        <f>MEDIAN(J11:J15)</f>
        <v>16.821862728159459</v>
      </c>
      <c r="K18" s="82">
        <f t="shared" ref="K18:T18" si="1">MEDIAN(K11:K15)</f>
        <v>15.128128265827613</v>
      </c>
      <c r="L18" s="82">
        <f t="shared" si="1"/>
        <v>6.3350655778272813E-2</v>
      </c>
      <c r="M18" s="82">
        <f t="shared" si="1"/>
        <v>3.4872809496890897</v>
      </c>
      <c r="N18" s="82">
        <f t="shared" si="1"/>
        <v>5.697262479871176</v>
      </c>
      <c r="O18" s="82">
        <f t="shared" si="1"/>
        <v>32.180986344399336</v>
      </c>
      <c r="P18" s="82">
        <f t="shared" si="1"/>
        <v>29.663761952429446</v>
      </c>
      <c r="Q18" s="85">
        <f t="shared" si="1"/>
        <v>0.08</v>
      </c>
      <c r="R18" s="85">
        <f t="shared" si="1"/>
        <v>3.6036036036036037E-3</v>
      </c>
      <c r="S18" s="83">
        <f t="shared" si="1"/>
        <v>2.914051087991943E-2</v>
      </c>
      <c r="T18" s="85">
        <f t="shared" si="1"/>
        <v>3.7376756848089776E-2</v>
      </c>
    </row>
    <row r="19" spans="4:20" x14ac:dyDescent="0.3">
      <c r="D19" s="7"/>
      <c r="E19" s="7"/>
      <c r="F19" s="7"/>
      <c r="G19" s="7"/>
      <c r="H19" s="7"/>
      <c r="I19" s="7"/>
      <c r="J19" s="7"/>
      <c r="K19" s="7"/>
      <c r="L19" s="7"/>
      <c r="M19" s="7"/>
      <c r="N19" s="7"/>
      <c r="O19" s="7"/>
      <c r="P19" s="7"/>
      <c r="Q19" s="86"/>
      <c r="R19" s="86"/>
      <c r="S19" s="78"/>
      <c r="T19" s="86"/>
    </row>
    <row r="20" spans="4:20" x14ac:dyDescent="0.3">
      <c r="D20" s="79" t="s">
        <v>247</v>
      </c>
      <c r="E20" s="79"/>
      <c r="F20" s="79"/>
      <c r="G20" s="79"/>
      <c r="H20" s="79"/>
      <c r="I20" s="79"/>
      <c r="J20" s="80">
        <f>MAX(J11:J15)</f>
        <v>22.250510168650791</v>
      </c>
      <c r="K20" s="80">
        <f t="shared" ref="K20:T20" si="2">MAX(K11:K15)</f>
        <v>20.412754721274172</v>
      </c>
      <c r="L20" s="80">
        <f t="shared" si="2"/>
        <v>0.10861865407319948</v>
      </c>
      <c r="M20" s="80">
        <f t="shared" si="2"/>
        <v>3.6859361518550475</v>
      </c>
      <c r="N20" s="80">
        <f t="shared" si="2"/>
        <v>38.366071428571431</v>
      </c>
      <c r="O20" s="80">
        <f t="shared" si="2"/>
        <v>57.21649484536082</v>
      </c>
      <c r="P20" s="80">
        <f t="shared" si="2"/>
        <v>39.642857142857139</v>
      </c>
      <c r="Q20" s="84">
        <f t="shared" si="2"/>
        <v>0.14499999999999999</v>
      </c>
      <c r="R20" s="84">
        <f t="shared" si="2"/>
        <v>1.9505556815604445E-2</v>
      </c>
      <c r="S20" s="81">
        <f t="shared" si="2"/>
        <v>6.4157629952785233E-2</v>
      </c>
      <c r="T20" s="84">
        <f t="shared" si="2"/>
        <v>6.8881615591278395E-2</v>
      </c>
    </row>
    <row r="21" spans="4:20" x14ac:dyDescent="0.3">
      <c r="D21" s="69" t="s">
        <v>248</v>
      </c>
      <c r="E21" s="69"/>
      <c r="F21" s="69"/>
      <c r="G21" s="69"/>
      <c r="H21" s="69"/>
      <c r="I21" s="69"/>
      <c r="J21" s="82">
        <f>MIN(J11:J15)</f>
        <v>12.508353798407773</v>
      </c>
      <c r="K21" s="82">
        <f t="shared" ref="K21:T21" si="3">MIN(K11:K15)</f>
        <v>11.722231917046031</v>
      </c>
      <c r="L21" s="82">
        <f t="shared" si="3"/>
        <v>3.4582132564841439E-2</v>
      </c>
      <c r="M21" s="82">
        <f t="shared" si="3"/>
        <v>0</v>
      </c>
      <c r="N21" s="82">
        <f t="shared" si="3"/>
        <v>3.6561514195583595</v>
      </c>
      <c r="O21" s="82">
        <f t="shared" si="3"/>
        <v>19.169565217391309</v>
      </c>
      <c r="P21" s="82">
        <f t="shared" si="3"/>
        <v>17.148969272656554</v>
      </c>
      <c r="Q21" s="85">
        <f t="shared" si="3"/>
        <v>0.06</v>
      </c>
      <c r="R21" s="85">
        <f t="shared" si="3"/>
        <v>0</v>
      </c>
      <c r="S21" s="83">
        <f t="shared" si="3"/>
        <v>2.6332914712751405E-2</v>
      </c>
      <c r="T21" s="85">
        <f t="shared" si="3"/>
        <v>2.9586457588522054E-2</v>
      </c>
    </row>
  </sheetData>
  <mergeCells count="5">
    <mergeCell ref="F6:F8"/>
    <mergeCell ref="G6:G8"/>
    <mergeCell ref="J7:K7"/>
    <mergeCell ref="O7:P7"/>
    <mergeCell ref="S7:T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BE4F-23A1-4AFF-936C-54C6AECAD88C}">
  <dimension ref="D2:S28"/>
  <sheetViews>
    <sheetView showGridLines="0" topLeftCell="A4" zoomScaleNormal="100" workbookViewId="0">
      <selection activeCell="F10" sqref="F10:H10"/>
    </sheetView>
  </sheetViews>
  <sheetFormatPr defaultRowHeight="14.4" x14ac:dyDescent="0.3"/>
  <cols>
    <col min="1" max="3" width="2.33203125" customWidth="1"/>
    <col min="4" max="6" width="10.77734375" customWidth="1"/>
    <col min="7" max="7" width="3.77734375" customWidth="1"/>
    <col min="8" max="9" width="10.77734375" customWidth="1"/>
    <col min="10" max="10" width="3.77734375" customWidth="1"/>
    <col min="11" max="13" width="10.77734375" customWidth="1"/>
    <col min="14" max="14" width="3.77734375" customWidth="1"/>
    <col min="15" max="17" width="10.77734375" customWidth="1"/>
    <col min="18" max="18" width="3.77734375" customWidth="1"/>
    <col min="19" max="19" width="10.77734375" customWidth="1"/>
  </cols>
  <sheetData>
    <row r="2" spans="4:19" ht="21" x14ac:dyDescent="0.4">
      <c r="D2" s="1" t="s">
        <v>218</v>
      </c>
      <c r="E2" s="6"/>
      <c r="F2" s="6"/>
      <c r="G2" s="6"/>
      <c r="H2" s="6"/>
      <c r="I2" s="6"/>
      <c r="J2" s="6"/>
      <c r="K2" s="6"/>
      <c r="L2" s="6"/>
      <c r="M2" s="6"/>
      <c r="N2" s="6"/>
      <c r="O2" s="6"/>
      <c r="P2" s="6"/>
      <c r="Q2" s="6"/>
      <c r="R2" s="6"/>
      <c r="S2" s="6"/>
    </row>
    <row r="3" spans="4:19" ht="18" x14ac:dyDescent="0.35">
      <c r="D3" s="3" t="s">
        <v>454</v>
      </c>
      <c r="E3" s="6"/>
      <c r="F3" s="6"/>
      <c r="G3" s="6"/>
      <c r="H3" s="6"/>
      <c r="I3" s="6"/>
      <c r="J3" s="6"/>
      <c r="K3" s="6"/>
      <c r="L3" s="6"/>
      <c r="M3" s="6"/>
      <c r="N3" s="6"/>
      <c r="O3" s="6"/>
      <c r="P3" s="6"/>
      <c r="Q3" s="6"/>
      <c r="R3" s="6"/>
      <c r="S3" s="6"/>
    </row>
    <row r="4" spans="4:19" x14ac:dyDescent="0.3">
      <c r="D4" s="4" t="s">
        <v>1</v>
      </c>
      <c r="E4" s="6"/>
      <c r="F4" s="6"/>
      <c r="G4" s="6"/>
      <c r="H4" s="6"/>
      <c r="I4" s="6"/>
      <c r="J4" s="6"/>
      <c r="K4" s="6"/>
      <c r="L4" s="6"/>
      <c r="M4" s="6"/>
      <c r="N4" s="6"/>
      <c r="O4" s="6"/>
      <c r="P4" s="6"/>
      <c r="Q4" s="6"/>
      <c r="R4" s="6"/>
      <c r="S4" s="6"/>
    </row>
    <row r="6" spans="4:19" x14ac:dyDescent="0.3">
      <c r="D6" s="6" t="s">
        <v>249</v>
      </c>
      <c r="E6" s="6"/>
      <c r="F6" s="6"/>
      <c r="G6" s="6"/>
      <c r="H6" s="6"/>
      <c r="I6" s="6"/>
      <c r="J6" s="6"/>
      <c r="K6" s="6"/>
      <c r="L6" s="6"/>
      <c r="M6" s="6"/>
      <c r="N6" s="6"/>
      <c r="O6" s="6"/>
      <c r="P6" s="6"/>
      <c r="Q6" s="6"/>
      <c r="R6" s="6"/>
      <c r="S6" s="6"/>
    </row>
    <row r="7" spans="4:19" x14ac:dyDescent="0.3">
      <c r="D7" s="87"/>
      <c r="E7" s="87"/>
      <c r="F7" s="87"/>
      <c r="G7" s="87"/>
      <c r="H7" s="87"/>
      <c r="I7" s="87"/>
      <c r="J7" s="87"/>
      <c r="K7" s="87"/>
      <c r="L7" s="87" t="s">
        <v>253</v>
      </c>
      <c r="M7" s="87"/>
      <c r="N7" s="87"/>
      <c r="O7" s="87"/>
      <c r="P7" s="87" t="s">
        <v>256</v>
      </c>
      <c r="Q7" s="87"/>
      <c r="R7" s="87"/>
      <c r="S7" s="87"/>
    </row>
    <row r="8" spans="4:19" x14ac:dyDescent="0.3">
      <c r="D8" s="87"/>
      <c r="E8" s="87" t="s">
        <v>250</v>
      </c>
      <c r="F8" s="87"/>
      <c r="G8" s="87"/>
      <c r="H8" s="87"/>
      <c r="I8" s="232" t="s">
        <v>252</v>
      </c>
      <c r="J8" s="232"/>
      <c r="K8" s="232"/>
      <c r="L8" s="87" t="s">
        <v>254</v>
      </c>
      <c r="M8" s="232" t="s">
        <v>252</v>
      </c>
      <c r="N8" s="232"/>
      <c r="O8" s="232"/>
      <c r="P8" s="87" t="s">
        <v>257</v>
      </c>
      <c r="Q8" s="232" t="s">
        <v>252</v>
      </c>
      <c r="R8" s="232"/>
      <c r="S8" s="232"/>
    </row>
    <row r="9" spans="4:19" x14ac:dyDescent="0.3">
      <c r="D9" s="87" t="s">
        <v>131</v>
      </c>
      <c r="E9" s="87" t="s">
        <v>72</v>
      </c>
      <c r="F9" s="232" t="s">
        <v>251</v>
      </c>
      <c r="G9" s="232"/>
      <c r="H9" s="232"/>
      <c r="I9" s="232" t="s">
        <v>62</v>
      </c>
      <c r="J9" s="232"/>
      <c r="K9" s="232"/>
      <c r="L9" s="87" t="s">
        <v>255</v>
      </c>
      <c r="M9" s="232" t="s">
        <v>47</v>
      </c>
      <c r="N9" s="232"/>
      <c r="O9" s="232"/>
      <c r="P9" s="87" t="s">
        <v>258</v>
      </c>
      <c r="Q9" s="232" t="s">
        <v>261</v>
      </c>
      <c r="R9" s="232"/>
      <c r="S9" s="232"/>
    </row>
    <row r="10" spans="4:19" x14ac:dyDescent="0.3">
      <c r="D10" s="22" t="s">
        <v>232</v>
      </c>
      <c r="E10" s="93">
        <f>CHH!E39</f>
        <v>625.6</v>
      </c>
      <c r="F10" s="89">
        <f>Comps1!M22</f>
        <v>12.910781337047355</v>
      </c>
      <c r="G10" s="89" t="s">
        <v>188</v>
      </c>
      <c r="H10" s="89">
        <f>Comps1!M21</f>
        <v>25.357280101752398</v>
      </c>
      <c r="I10" s="88">
        <f>E10*F10</f>
        <v>8076.9848044568262</v>
      </c>
      <c r="J10" s="22" t="s">
        <v>188</v>
      </c>
      <c r="K10" s="88">
        <f>E10*H10</f>
        <v>15863.5144316563</v>
      </c>
      <c r="L10" s="90">
        <f>-CHH!$H$27</f>
        <v>-1906.1220000000001</v>
      </c>
      <c r="M10" s="88">
        <f>I10+L10</f>
        <v>6170.8628044568259</v>
      </c>
      <c r="N10" s="22" t="s">
        <v>188</v>
      </c>
      <c r="O10" s="88">
        <f>K10+L10</f>
        <v>13957.392431656301</v>
      </c>
      <c r="P10" s="92">
        <f>CHH!$H$24</f>
        <v>46.203842546202644</v>
      </c>
      <c r="Q10" s="91">
        <f>M10/P10</f>
        <v>133.55735073952178</v>
      </c>
      <c r="R10" s="22" t="s">
        <v>188</v>
      </c>
      <c r="S10" s="91">
        <f>O10/P10</f>
        <v>302.08293645056187</v>
      </c>
    </row>
    <row r="11" spans="4:19" x14ac:dyDescent="0.3">
      <c r="D11" s="22" t="s">
        <v>235</v>
      </c>
      <c r="E11" s="95">
        <f>CHH!F39</f>
        <v>635.9</v>
      </c>
      <c r="F11" s="89">
        <f>Comps1!N22</f>
        <v>12.508353798407773</v>
      </c>
      <c r="G11" s="89" t="s">
        <v>188</v>
      </c>
      <c r="H11" s="89">
        <f>Comps1!N21</f>
        <v>22.250510168650791</v>
      </c>
      <c r="I11" s="88">
        <f t="shared" ref="I11:I12" si="0">E11*F11</f>
        <v>7954.0621804075026</v>
      </c>
      <c r="J11" s="22" t="s">
        <v>188</v>
      </c>
      <c r="K11" s="88">
        <f t="shared" ref="K11:K12" si="1">E11*H11</f>
        <v>14149.099416245037</v>
      </c>
      <c r="L11" s="90">
        <f>-CHH!$H$27</f>
        <v>-1906.1220000000001</v>
      </c>
      <c r="M11" s="88">
        <f t="shared" ref="M11:M12" si="2">I11+L11</f>
        <v>6047.9401804075023</v>
      </c>
      <c r="N11" s="22" t="s">
        <v>188</v>
      </c>
      <c r="O11" s="88">
        <f t="shared" ref="O11:O12" si="3">K11+L11</f>
        <v>12242.977416245038</v>
      </c>
      <c r="P11" s="92">
        <f>CHH!$H$24</f>
        <v>46.203842546202644</v>
      </c>
      <c r="Q11" s="91">
        <f t="shared" ref="Q11:Q12" si="4">M11/P11</f>
        <v>130.89690915554738</v>
      </c>
      <c r="R11" s="22" t="s">
        <v>188</v>
      </c>
      <c r="S11" s="91">
        <f t="shared" ref="S11:S12" si="5">O11/P11</f>
        <v>264.97747246892675</v>
      </c>
    </row>
    <row r="12" spans="4:19" x14ac:dyDescent="0.3">
      <c r="D12" s="22" t="s">
        <v>236</v>
      </c>
      <c r="E12" s="95">
        <f>CHH!G39</f>
        <v>650.79999999999995</v>
      </c>
      <c r="F12" s="89">
        <f>Comps1!O22</f>
        <v>11.722231917046031</v>
      </c>
      <c r="G12" s="89" t="s">
        <v>188</v>
      </c>
      <c r="H12" s="89">
        <f>Comps1!O21</f>
        <v>20.412754721274172</v>
      </c>
      <c r="I12" s="88">
        <f t="shared" si="0"/>
        <v>7628.8285316135562</v>
      </c>
      <c r="J12" s="22" t="s">
        <v>188</v>
      </c>
      <c r="K12" s="88">
        <f t="shared" si="1"/>
        <v>13284.620772605231</v>
      </c>
      <c r="L12" s="90">
        <f>-CHH!$H$27</f>
        <v>-1906.1220000000001</v>
      </c>
      <c r="M12" s="88">
        <f t="shared" si="2"/>
        <v>5722.7065316135559</v>
      </c>
      <c r="N12" s="22" t="s">
        <v>188</v>
      </c>
      <c r="O12" s="88">
        <f t="shared" si="3"/>
        <v>11378.498772605231</v>
      </c>
      <c r="P12" s="92">
        <f>CHH!$H$24</f>
        <v>46.203842546202644</v>
      </c>
      <c r="Q12" s="91">
        <f t="shared" si="4"/>
        <v>123.8578052440335</v>
      </c>
      <c r="R12" s="22" t="s">
        <v>188</v>
      </c>
      <c r="S12" s="91">
        <f t="shared" si="5"/>
        <v>246.26736967227407</v>
      </c>
    </row>
    <row r="14" spans="4:19" x14ac:dyDescent="0.3">
      <c r="D14" s="6" t="s">
        <v>259</v>
      </c>
      <c r="E14" s="6"/>
      <c r="F14" s="6"/>
      <c r="G14" s="6"/>
      <c r="H14" s="6"/>
      <c r="I14" s="6"/>
      <c r="J14" s="6"/>
      <c r="K14" s="6"/>
      <c r="L14" s="6"/>
      <c r="M14" s="6"/>
      <c r="N14" s="6"/>
      <c r="O14" s="6"/>
    </row>
    <row r="15" spans="4:19" x14ac:dyDescent="0.3">
      <c r="D15" s="87"/>
      <c r="E15" s="87"/>
      <c r="F15" s="87"/>
      <c r="G15" s="87"/>
      <c r="H15" s="87"/>
      <c r="I15" s="87"/>
      <c r="J15" s="87"/>
      <c r="K15" s="87"/>
      <c r="L15" s="87" t="s">
        <v>256</v>
      </c>
      <c r="M15" s="87"/>
      <c r="N15" s="87"/>
      <c r="O15" s="87"/>
    </row>
    <row r="16" spans="4:19" x14ac:dyDescent="0.3">
      <c r="D16" s="87" t="s">
        <v>254</v>
      </c>
      <c r="E16" s="87" t="s">
        <v>250</v>
      </c>
      <c r="F16" s="87"/>
      <c r="G16" s="87"/>
      <c r="H16" s="87"/>
      <c r="I16" s="232" t="s">
        <v>252</v>
      </c>
      <c r="J16" s="232"/>
      <c r="K16" s="232"/>
      <c r="L16" s="87" t="s">
        <v>257</v>
      </c>
      <c r="M16" s="232" t="s">
        <v>252</v>
      </c>
      <c r="N16" s="232"/>
      <c r="O16" s="232"/>
    </row>
    <row r="17" spans="4:15" x14ac:dyDescent="0.3">
      <c r="D17" s="87" t="s">
        <v>260</v>
      </c>
      <c r="E17" s="87" t="s">
        <v>72</v>
      </c>
      <c r="F17" s="232" t="s">
        <v>251</v>
      </c>
      <c r="G17" s="232"/>
      <c r="H17" s="232"/>
      <c r="I17" s="232" t="s">
        <v>47</v>
      </c>
      <c r="J17" s="232"/>
      <c r="K17" s="232"/>
      <c r="L17" s="87" t="s">
        <v>258</v>
      </c>
      <c r="M17" s="232" t="s">
        <v>261</v>
      </c>
      <c r="N17" s="232"/>
      <c r="O17" s="232"/>
    </row>
    <row r="18" spans="4:15" x14ac:dyDescent="0.3">
      <c r="D18" s="22" t="s">
        <v>232</v>
      </c>
      <c r="E18" s="88">
        <f>CHH!R49</f>
        <v>397.54599999999999</v>
      </c>
      <c r="F18" s="89">
        <f>Comps1!U22</f>
        <v>-308.03800300961535</v>
      </c>
      <c r="G18" s="89" t="s">
        <v>188</v>
      </c>
      <c r="H18" s="89">
        <f>Comps1!U21</f>
        <v>53.57909445585215</v>
      </c>
      <c r="I18" s="88">
        <f>E18*F18</f>
        <v>-122459.27594446055</v>
      </c>
      <c r="J18" s="22" t="s">
        <v>188</v>
      </c>
      <c r="K18" s="88">
        <f>E18*H18</f>
        <v>21300.1546845462</v>
      </c>
      <c r="L18" s="94">
        <f>CHH!$H$24</f>
        <v>46.203842546202644</v>
      </c>
      <c r="M18" s="91">
        <f>I18/L18</f>
        <v>-2650.4132382929938</v>
      </c>
      <c r="N18" s="22" t="s">
        <v>188</v>
      </c>
      <c r="O18" s="91">
        <f>K18/L18</f>
        <v>461.00396656937346</v>
      </c>
    </row>
    <row r="19" spans="4:15" x14ac:dyDescent="0.3">
      <c r="D19" s="22" t="s">
        <v>235</v>
      </c>
      <c r="E19" s="95">
        <f>CHH!F37*CHH!R50</f>
        <v>401.58098012704215</v>
      </c>
      <c r="F19" s="89">
        <f>Comps1!V22</f>
        <v>11.310405346334134</v>
      </c>
      <c r="G19" s="89" t="s">
        <v>188</v>
      </c>
      <c r="H19" s="89">
        <f>Comps1!V21</f>
        <v>57.21649484536082</v>
      </c>
      <c r="I19" s="88">
        <f t="shared" ref="I19:I20" si="6">E19*F19</f>
        <v>4542.0436646149992</v>
      </c>
      <c r="J19" s="22" t="s">
        <v>188</v>
      </c>
      <c r="K19" s="88">
        <f t="shared" ref="K19:K20" si="7">E19*H19</f>
        <v>22977.056079433853</v>
      </c>
      <c r="L19" s="94">
        <f>CHH!$H$24</f>
        <v>46.203842546202644</v>
      </c>
      <c r="M19" s="91">
        <f t="shared" ref="M19:M20" si="8">I19/L19</f>
        <v>98.304457255326184</v>
      </c>
      <c r="N19" s="22" t="s">
        <v>188</v>
      </c>
      <c r="O19" s="91">
        <f t="shared" ref="O19:O20" si="9">K19/L19</f>
        <v>497.29751495143273</v>
      </c>
    </row>
    <row r="20" spans="4:15" x14ac:dyDescent="0.3">
      <c r="D20" s="22" t="s">
        <v>236</v>
      </c>
      <c r="E20" s="95">
        <f>CHH!G37*CHH!R50</f>
        <v>414.7761394244589</v>
      </c>
      <c r="F20" s="89">
        <f>Comps1!W22</f>
        <v>12.270190159417398</v>
      </c>
      <c r="G20" s="89" t="s">
        <v>188</v>
      </c>
      <c r="H20" s="89">
        <f>Comps1!W21</f>
        <v>39.642857142857139</v>
      </c>
      <c r="I20" s="88">
        <f t="shared" si="6"/>
        <v>5089.3821043271346</v>
      </c>
      <c r="J20" s="22" t="s">
        <v>188</v>
      </c>
      <c r="K20" s="88">
        <f t="shared" si="7"/>
        <v>16442.911241469617</v>
      </c>
      <c r="L20" s="94">
        <f>CHH!$H$24</f>
        <v>46.203842546202644</v>
      </c>
      <c r="M20" s="91">
        <f t="shared" si="8"/>
        <v>110.15062436068784</v>
      </c>
      <c r="N20" s="22" t="s">
        <v>188</v>
      </c>
      <c r="O20" s="91">
        <f t="shared" si="9"/>
        <v>355.87757068099114</v>
      </c>
    </row>
    <row r="22" spans="4:15" x14ac:dyDescent="0.3">
      <c r="D22" s="6" t="s">
        <v>262</v>
      </c>
      <c r="E22" s="6"/>
      <c r="F22" s="6"/>
      <c r="G22" s="6"/>
      <c r="H22" s="6"/>
      <c r="I22" s="6"/>
      <c r="J22" s="6"/>
      <c r="K22" s="6"/>
      <c r="L22" s="6"/>
      <c r="M22" s="6"/>
      <c r="N22" s="6"/>
      <c r="O22" s="6"/>
    </row>
    <row r="23" spans="4:15" x14ac:dyDescent="0.3">
      <c r="D23" s="87"/>
      <c r="E23" s="87"/>
      <c r="F23" s="87"/>
      <c r="G23" s="87"/>
      <c r="H23" s="87"/>
      <c r="I23" s="87"/>
      <c r="J23" s="87"/>
      <c r="K23" s="87"/>
      <c r="L23" s="87" t="s">
        <v>263</v>
      </c>
      <c r="M23" s="87"/>
      <c r="N23" s="87"/>
      <c r="O23" s="87"/>
    </row>
    <row r="24" spans="4:15" x14ac:dyDescent="0.3">
      <c r="D24" s="87" t="s">
        <v>254</v>
      </c>
      <c r="E24" s="87" t="s">
        <v>250</v>
      </c>
      <c r="F24" s="87"/>
      <c r="G24" s="87"/>
      <c r="H24" s="87"/>
      <c r="I24" s="232" t="s">
        <v>252</v>
      </c>
      <c r="J24" s="232"/>
      <c r="K24" s="232"/>
      <c r="L24" s="87" t="s">
        <v>254</v>
      </c>
      <c r="M24" s="232" t="s">
        <v>252</v>
      </c>
      <c r="N24" s="232"/>
      <c r="O24" s="232"/>
    </row>
    <row r="25" spans="4:15" x14ac:dyDescent="0.3">
      <c r="D25" s="87" t="s">
        <v>260</v>
      </c>
      <c r="E25" s="87" t="s">
        <v>72</v>
      </c>
      <c r="F25" s="232" t="s">
        <v>251</v>
      </c>
      <c r="G25" s="232"/>
      <c r="H25" s="232"/>
      <c r="I25" s="232" t="s">
        <v>47</v>
      </c>
      <c r="J25" s="232"/>
      <c r="K25" s="232"/>
      <c r="L25" s="87" t="s">
        <v>255</v>
      </c>
      <c r="M25" s="232" t="s">
        <v>62</v>
      </c>
      <c r="N25" s="232"/>
      <c r="O25" s="232"/>
    </row>
    <row r="26" spans="4:15" x14ac:dyDescent="0.3">
      <c r="D26" s="22" t="s">
        <v>232</v>
      </c>
      <c r="E26" s="88">
        <f>E18</f>
        <v>397.54599999999999</v>
      </c>
      <c r="F26" s="89">
        <f>F18</f>
        <v>-308.03800300961535</v>
      </c>
      <c r="G26" s="89" t="s">
        <v>188</v>
      </c>
      <c r="H26" s="89">
        <f>H18</f>
        <v>53.57909445585215</v>
      </c>
      <c r="I26" s="88">
        <f>E26*F26</f>
        <v>-122459.27594446055</v>
      </c>
      <c r="J26" s="22" t="s">
        <v>188</v>
      </c>
      <c r="K26" s="88">
        <f>E26*H26</f>
        <v>21300.1546845462</v>
      </c>
      <c r="L26" s="90">
        <f>CHH!$H$27</f>
        <v>1906.1220000000001</v>
      </c>
      <c r="M26" s="88">
        <f>I26+L26</f>
        <v>-120553.15394446054</v>
      </c>
      <c r="N26" s="22" t="s">
        <v>188</v>
      </c>
      <c r="O26" s="88">
        <f>K26+L26</f>
        <v>23206.276684546199</v>
      </c>
    </row>
    <row r="27" spans="4:15" x14ac:dyDescent="0.3">
      <c r="D27" s="22" t="s">
        <v>235</v>
      </c>
      <c r="E27" s="95">
        <f t="shared" ref="E27:F28" si="10">E19</f>
        <v>401.58098012704215</v>
      </c>
      <c r="F27" s="89">
        <f t="shared" si="10"/>
        <v>11.310405346334134</v>
      </c>
      <c r="G27" s="89" t="s">
        <v>188</v>
      </c>
      <c r="H27" s="89">
        <f t="shared" ref="H27:H28" si="11">H19</f>
        <v>57.21649484536082</v>
      </c>
      <c r="I27" s="88">
        <f t="shared" ref="I27:I28" si="12">E27*F27</f>
        <v>4542.0436646149992</v>
      </c>
      <c r="J27" s="22" t="s">
        <v>188</v>
      </c>
      <c r="K27" s="88">
        <f t="shared" ref="K27:K28" si="13">E27*H27</f>
        <v>22977.056079433853</v>
      </c>
      <c r="L27" s="90">
        <f>CHH!$H$27</f>
        <v>1906.1220000000001</v>
      </c>
      <c r="M27" s="88">
        <f t="shared" ref="M27:M28" si="14">I27+L27</f>
        <v>6448.1656646149995</v>
      </c>
      <c r="N27" s="22" t="s">
        <v>188</v>
      </c>
      <c r="O27" s="88">
        <f t="shared" ref="O27:O28" si="15">K27+L27</f>
        <v>24883.178079433852</v>
      </c>
    </row>
    <row r="28" spans="4:15" x14ac:dyDescent="0.3">
      <c r="D28" s="22" t="s">
        <v>236</v>
      </c>
      <c r="E28" s="95">
        <f t="shared" si="10"/>
        <v>414.7761394244589</v>
      </c>
      <c r="F28" s="89">
        <f t="shared" si="10"/>
        <v>12.270190159417398</v>
      </c>
      <c r="G28" s="89" t="s">
        <v>188</v>
      </c>
      <c r="H28" s="89">
        <f t="shared" si="11"/>
        <v>39.642857142857139</v>
      </c>
      <c r="I28" s="88">
        <f t="shared" si="12"/>
        <v>5089.3821043271346</v>
      </c>
      <c r="J28" s="22" t="s">
        <v>188</v>
      </c>
      <c r="K28" s="88">
        <f t="shared" si="13"/>
        <v>16442.911241469617</v>
      </c>
      <c r="L28" s="90">
        <f>CHH!$H$27</f>
        <v>1906.1220000000001</v>
      </c>
      <c r="M28" s="88">
        <f t="shared" si="14"/>
        <v>6995.5041043271349</v>
      </c>
      <c r="N28" s="22" t="s">
        <v>188</v>
      </c>
      <c r="O28" s="88">
        <f t="shared" si="15"/>
        <v>18349.033241469617</v>
      </c>
    </row>
  </sheetData>
  <mergeCells count="17">
    <mergeCell ref="I24:K24"/>
    <mergeCell ref="M24:O24"/>
    <mergeCell ref="F25:H25"/>
    <mergeCell ref="I25:K25"/>
    <mergeCell ref="M25:O25"/>
    <mergeCell ref="Q8:S8"/>
    <mergeCell ref="Q9:S9"/>
    <mergeCell ref="I16:K16"/>
    <mergeCell ref="M16:O16"/>
    <mergeCell ref="F17:H17"/>
    <mergeCell ref="I17:K17"/>
    <mergeCell ref="M17:O17"/>
    <mergeCell ref="F9:H9"/>
    <mergeCell ref="I9:K9"/>
    <mergeCell ref="I8:K8"/>
    <mergeCell ref="M8:O8"/>
    <mergeCell ref="M9:O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3598E-1F29-4AF7-BAF7-5633EC3E75EC}">
  <sheetPr>
    <tabColor rgb="FF141836"/>
  </sheetPr>
  <dimension ref="A1"/>
  <sheetViews>
    <sheetView workbookViewId="0">
      <selection activeCell="P19" sqref="P19"/>
    </sheetView>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2445A-A5DC-425C-B4F6-ABA9F72BAFE0}">
  <dimension ref="D2:M150"/>
  <sheetViews>
    <sheetView showGridLines="0" topLeftCell="A43" zoomScaleNormal="100" workbookViewId="0">
      <selection activeCell="P27" sqref="P27"/>
    </sheetView>
  </sheetViews>
  <sheetFormatPr defaultRowHeight="14.4" x14ac:dyDescent="0.3"/>
  <cols>
    <col min="1" max="3" width="2.33203125" customWidth="1"/>
    <col min="4" max="4" width="39.21875" customWidth="1"/>
    <col min="5" max="5" width="8.77734375" customWidth="1"/>
    <col min="6" max="13" width="11.77734375" customWidth="1"/>
  </cols>
  <sheetData>
    <row r="2" spans="4:13" ht="21" x14ac:dyDescent="0.4">
      <c r="D2" s="1" t="s">
        <v>218</v>
      </c>
      <c r="E2" s="2"/>
      <c r="F2" s="2"/>
      <c r="G2" s="2"/>
      <c r="H2" s="2"/>
      <c r="I2" s="2"/>
      <c r="J2" s="2"/>
      <c r="K2" s="2"/>
      <c r="L2" s="2"/>
      <c r="M2" s="2"/>
    </row>
    <row r="3" spans="4:13" ht="18" x14ac:dyDescent="0.35">
      <c r="D3" s="3" t="s">
        <v>308</v>
      </c>
      <c r="E3" s="2"/>
      <c r="F3" s="2"/>
      <c r="G3" s="2"/>
      <c r="H3" s="2"/>
      <c r="I3" s="2"/>
      <c r="J3" s="2"/>
      <c r="K3" s="2"/>
      <c r="L3" s="2"/>
      <c r="M3" s="2"/>
    </row>
    <row r="4" spans="4:13" x14ac:dyDescent="0.3">
      <c r="D4" s="4" t="s">
        <v>1</v>
      </c>
      <c r="E4" s="2"/>
      <c r="F4" s="2"/>
      <c r="G4" s="2"/>
      <c r="H4" s="2"/>
      <c r="I4" s="2"/>
      <c r="J4" s="2"/>
      <c r="K4" s="2"/>
      <c r="L4" s="2"/>
      <c r="M4" s="2"/>
    </row>
    <row r="6" spans="4:13" x14ac:dyDescent="0.3">
      <c r="D6" s="5" t="s">
        <v>264</v>
      </c>
      <c r="E6" s="5"/>
    </row>
    <row r="7" spans="4:13" x14ac:dyDescent="0.3">
      <c r="D7" s="6" t="s">
        <v>325</v>
      </c>
      <c r="E7" s="6"/>
      <c r="F7" s="6"/>
      <c r="G7" s="6"/>
      <c r="H7" s="6"/>
      <c r="I7" s="6"/>
      <c r="J7" s="6"/>
      <c r="K7" s="6"/>
      <c r="L7" s="6"/>
      <c r="M7" s="6"/>
    </row>
    <row r="9" spans="4:13" x14ac:dyDescent="0.3">
      <c r="D9" s="6" t="s">
        <v>342</v>
      </c>
      <c r="E9" s="6"/>
      <c r="F9" s="6"/>
      <c r="G9" s="6"/>
      <c r="H9" s="6"/>
      <c r="I9" s="6"/>
      <c r="J9" s="6"/>
      <c r="K9" s="6"/>
      <c r="L9" s="6"/>
      <c r="M9" s="6"/>
    </row>
    <row r="10" spans="4:13" x14ac:dyDescent="0.3">
      <c r="F10" s="233" t="s">
        <v>265</v>
      </c>
      <c r="G10" s="234"/>
      <c r="H10" s="235"/>
      <c r="I10" s="233" t="s">
        <v>320</v>
      </c>
      <c r="J10" s="234"/>
      <c r="K10" s="234"/>
      <c r="L10" s="234"/>
      <c r="M10" s="235"/>
    </row>
    <row r="11" spans="4:13" x14ac:dyDescent="0.3">
      <c r="D11" s="9"/>
      <c r="E11" s="9"/>
      <c r="F11" s="123" t="s">
        <v>189</v>
      </c>
      <c r="G11" s="74" t="s">
        <v>190</v>
      </c>
      <c r="H11" s="124" t="s">
        <v>187</v>
      </c>
      <c r="I11" s="123" t="s">
        <v>235</v>
      </c>
      <c r="J11" s="74" t="s">
        <v>236</v>
      </c>
      <c r="K11" s="74" t="s">
        <v>321</v>
      </c>
      <c r="L11" s="74" t="s">
        <v>322</v>
      </c>
      <c r="M11" s="124" t="s">
        <v>323</v>
      </c>
    </row>
    <row r="12" spans="4:13" x14ac:dyDescent="0.3">
      <c r="D12" t="s">
        <v>326</v>
      </c>
      <c r="F12" s="96">
        <f>F44/1401.949-1</f>
        <v>0.10144163589403021</v>
      </c>
      <c r="G12" s="97">
        <f>G44/F44-1</f>
        <v>2.6340449369076424E-2</v>
      </c>
      <c r="H12" s="98">
        <f>H44/G44-1</f>
        <v>7.5427220052004529E-3</v>
      </c>
      <c r="I12" s="96" cm="1">
        <f t="array" ref="I12">_xlfn.IFS(DCF!$E$5=1,1.5%,DCF!$E$5=2,2%,DCF!$E$5=3,1%)</f>
        <v>1.4999999999999999E-2</v>
      </c>
      <c r="J12" s="97" cm="1">
        <f t="array" ref="J12">_xlfn.IFS(DCF!$E$5=1,3.3%,DCF!$E$5=2,4.1%,DCF!$E$5=3,2.5%)</f>
        <v>3.3000000000000002E-2</v>
      </c>
      <c r="K12" s="97" cm="1">
        <f t="array" ref="K12">_xlfn.IFS(DCF!$E$5=1,3.3%,DCF!$E$5=2,3.8%,DCF!$E$5=3,2.4%)</f>
        <v>3.3000000000000002E-2</v>
      </c>
      <c r="L12" s="97" cm="1">
        <f t="array" ref="L12">_xlfn.IFS(DCF!$E$5=1,3.8%,DCF!$E$5=2,4.3%,DCF!$E$5=3,2.8%)</f>
        <v>3.7999999999999999E-2</v>
      </c>
      <c r="M12" s="98" cm="1">
        <f t="array" ref="M12">_xlfn.IFS(DCF!$E$5=1,3.5%,DCF!$E$5=2,4.2%,DCF!$E$5=3,2.2%)</f>
        <v>3.5000000000000003E-2</v>
      </c>
    </row>
    <row r="13" spans="4:13" x14ac:dyDescent="0.3">
      <c r="D13" t="s">
        <v>327</v>
      </c>
      <c r="F13" s="96">
        <f>F45/F$44</f>
        <v>0.52304125530626588</v>
      </c>
      <c r="G13" s="97">
        <f t="shared" ref="G13:H13" si="0">G45/G$44</f>
        <v>0.47747752295343571</v>
      </c>
      <c r="H13" s="98">
        <f t="shared" si="0"/>
        <v>0.47577926506441354</v>
      </c>
      <c r="I13" s="96">
        <f>H13</f>
        <v>0.47577926506441354</v>
      </c>
      <c r="J13" s="97">
        <f t="shared" ref="J13:M16" si="1">I13</f>
        <v>0.47577926506441354</v>
      </c>
      <c r="K13" s="97">
        <f t="shared" si="1"/>
        <v>0.47577926506441354</v>
      </c>
      <c r="L13" s="97">
        <f t="shared" si="1"/>
        <v>0.47577926506441354</v>
      </c>
      <c r="M13" s="98">
        <f t="shared" si="1"/>
        <v>0.47577926506441354</v>
      </c>
    </row>
    <row r="14" spans="4:13" x14ac:dyDescent="0.3">
      <c r="D14" t="s">
        <v>328</v>
      </c>
      <c r="F14" s="96">
        <f>F47/F$44</f>
        <v>0.2025049136588383</v>
      </c>
      <c r="G14" s="97">
        <f t="shared" ref="G14:H14" si="2">G47/G$44</f>
        <v>0.19711024274390015</v>
      </c>
      <c r="H14" s="98">
        <f t="shared" si="2"/>
        <v>0.20601167465037737</v>
      </c>
      <c r="I14" s="96">
        <f>H14</f>
        <v>0.20601167465037737</v>
      </c>
      <c r="J14" s="97">
        <f t="shared" si="1"/>
        <v>0.20601167465037737</v>
      </c>
      <c r="K14" s="97">
        <f t="shared" si="1"/>
        <v>0.20601167465037737</v>
      </c>
      <c r="L14" s="97">
        <f t="shared" si="1"/>
        <v>0.20601167465037737</v>
      </c>
      <c r="M14" s="98">
        <f t="shared" si="1"/>
        <v>0.20601167465037737</v>
      </c>
    </row>
    <row r="15" spans="4:13" x14ac:dyDescent="0.3">
      <c r="F15" s="96"/>
      <c r="G15" s="97"/>
      <c r="H15" s="98"/>
      <c r="I15" s="96"/>
      <c r="J15" s="97"/>
      <c r="K15" s="97"/>
      <c r="L15" s="97"/>
      <c r="M15" s="98"/>
    </row>
    <row r="16" spans="4:13" x14ac:dyDescent="0.3">
      <c r="D16" t="s">
        <v>329</v>
      </c>
      <c r="F16" s="96">
        <f>F48/F$44</f>
        <v>2.9166572225118429E-2</v>
      </c>
      <c r="G16" s="97">
        <f>G48/G$44</f>
        <v>3.2781247811291873E-2</v>
      </c>
      <c r="H16" s="98">
        <f>H48/H$44</f>
        <v>3.7396832275692599E-2</v>
      </c>
      <c r="I16" s="96">
        <f>H16</f>
        <v>3.7396832275692599E-2</v>
      </c>
      <c r="J16" s="97">
        <f t="shared" si="1"/>
        <v>3.7396832275692599E-2</v>
      </c>
      <c r="K16" s="97">
        <f t="shared" si="1"/>
        <v>3.7396832275692599E-2</v>
      </c>
      <c r="L16" s="97">
        <f t="shared" si="1"/>
        <v>3.7396832275692599E-2</v>
      </c>
      <c r="M16" s="98">
        <f t="shared" si="1"/>
        <v>3.7396832275692599E-2</v>
      </c>
    </row>
    <row r="17" spans="4:13" x14ac:dyDescent="0.3">
      <c r="D17" t="s">
        <v>330</v>
      </c>
      <c r="F17" s="207">
        <v>0</v>
      </c>
      <c r="G17" s="208">
        <v>0</v>
      </c>
      <c r="H17" s="209">
        <v>0</v>
      </c>
      <c r="I17" s="207">
        <v>5.0999999999999997E-2</v>
      </c>
      <c r="J17" s="97">
        <f t="shared" ref="J17:M19" si="3">I17</f>
        <v>5.0999999999999997E-2</v>
      </c>
      <c r="K17" s="97">
        <f t="shared" si="3"/>
        <v>5.0999999999999997E-2</v>
      </c>
      <c r="L17" s="97">
        <f t="shared" si="3"/>
        <v>5.0999999999999997E-2</v>
      </c>
      <c r="M17" s="98">
        <f t="shared" si="3"/>
        <v>5.0999999999999997E-2</v>
      </c>
    </row>
    <row r="18" spans="4:13" x14ac:dyDescent="0.3">
      <c r="D18" t="s">
        <v>343</v>
      </c>
      <c r="F18" s="96">
        <f>-F52/F44</f>
        <v>5.0279600949380415E-3</v>
      </c>
      <c r="G18" s="97">
        <f t="shared" ref="G18:H18" si="4">-G52/G44</f>
        <v>5.4554437390801217E-3</v>
      </c>
      <c r="H18" s="98">
        <f t="shared" si="4"/>
        <v>3.9059539965418189E-3</v>
      </c>
      <c r="I18" s="96">
        <f>H18</f>
        <v>3.9059539965418189E-3</v>
      </c>
      <c r="J18" s="97">
        <f t="shared" ref="J18" si="5">I18</f>
        <v>3.9059539965418189E-3</v>
      </c>
      <c r="K18" s="97">
        <f t="shared" ref="K18" si="6">J18</f>
        <v>3.9059539965418189E-3</v>
      </c>
      <c r="L18" s="97">
        <f t="shared" ref="L18" si="7">K18</f>
        <v>3.9059539965418189E-3</v>
      </c>
      <c r="M18" s="98">
        <f t="shared" ref="M18" si="8">L18</f>
        <v>3.9059539965418189E-3</v>
      </c>
    </row>
    <row r="19" spans="4:13" x14ac:dyDescent="0.3">
      <c r="D19" t="s">
        <v>44</v>
      </c>
      <c r="F19" s="96">
        <f>F60/F59</f>
        <v>0.18652929819388836</v>
      </c>
      <c r="G19" s="97">
        <f t="shared" ref="G19:H19" si="9">G60/G59</f>
        <v>0.18044711327859886</v>
      </c>
      <c r="H19" s="98">
        <f t="shared" si="9"/>
        <v>0.19764404749185627</v>
      </c>
      <c r="I19" s="96">
        <f>CHH!H15</f>
        <v>0.2</v>
      </c>
      <c r="J19" s="97">
        <f t="shared" si="3"/>
        <v>0.2</v>
      </c>
      <c r="K19" s="97">
        <f t="shared" si="3"/>
        <v>0.2</v>
      </c>
      <c r="L19" s="97">
        <f t="shared" si="3"/>
        <v>0.2</v>
      </c>
      <c r="M19" s="98">
        <f t="shared" si="3"/>
        <v>0.2</v>
      </c>
    </row>
    <row r="20" spans="4:13" x14ac:dyDescent="0.3">
      <c r="F20" s="96"/>
      <c r="G20" s="97"/>
      <c r="H20" s="98"/>
      <c r="I20" s="96"/>
      <c r="J20" s="97"/>
      <c r="K20" s="97"/>
      <c r="L20" s="97"/>
      <c r="M20" s="98"/>
    </row>
    <row r="21" spans="4:13" x14ac:dyDescent="0.3">
      <c r="D21" t="s">
        <v>331</v>
      </c>
      <c r="F21" s="96">
        <f>F70/F44</f>
        <v>0.12686209051493849</v>
      </c>
      <c r="G21" s="97">
        <f>G70/G44</f>
        <v>0.11147630768803646</v>
      </c>
      <c r="H21" s="98">
        <f>H70/H44</f>
        <v>0.12994232815399367</v>
      </c>
      <c r="I21" s="96">
        <f>I22/365</f>
        <v>0.12994232815399367</v>
      </c>
      <c r="J21" s="97">
        <f t="shared" ref="J21:M21" si="10">J22/365</f>
        <v>0.12994232815399367</v>
      </c>
      <c r="K21" s="97">
        <f t="shared" si="10"/>
        <v>0.12994232815399367</v>
      </c>
      <c r="L21" s="97">
        <f t="shared" si="10"/>
        <v>0.12994232815399367</v>
      </c>
      <c r="M21" s="98">
        <f t="shared" si="10"/>
        <v>0.12994232815399367</v>
      </c>
    </row>
    <row r="22" spans="4:13" x14ac:dyDescent="0.3">
      <c r="D22" t="s">
        <v>332</v>
      </c>
      <c r="F22" s="99">
        <f>F21*365</f>
        <v>46.304663037952551</v>
      </c>
      <c r="G22" s="100">
        <f t="shared" ref="G22:H22" si="11">G21*365</f>
        <v>40.688852306133306</v>
      </c>
      <c r="H22" s="101">
        <f t="shared" si="11"/>
        <v>47.428949776207695</v>
      </c>
      <c r="I22" s="99">
        <f>H22</f>
        <v>47.428949776207695</v>
      </c>
      <c r="J22" s="100">
        <f t="shared" ref="J22:M24" si="12">I22</f>
        <v>47.428949776207695</v>
      </c>
      <c r="K22" s="100">
        <f t="shared" si="12"/>
        <v>47.428949776207695</v>
      </c>
      <c r="L22" s="100">
        <f t="shared" si="12"/>
        <v>47.428949776207695</v>
      </c>
      <c r="M22" s="101">
        <f t="shared" si="12"/>
        <v>47.428949776207695</v>
      </c>
    </row>
    <row r="23" spans="4:13" x14ac:dyDescent="0.3">
      <c r="D23" t="s">
        <v>340</v>
      </c>
      <c r="F23" s="96">
        <f>F73/F44</f>
        <v>2.5146924065757224E-2</v>
      </c>
      <c r="G23" s="97">
        <f>G73/G44</f>
        <v>2.6070156022157457E-2</v>
      </c>
      <c r="H23" s="98">
        <f>H73/H44</f>
        <v>2.8411948198670715E-2</v>
      </c>
      <c r="I23" s="96">
        <f>H23</f>
        <v>2.8411948198670715E-2</v>
      </c>
      <c r="J23" s="97">
        <f t="shared" si="12"/>
        <v>2.8411948198670715E-2</v>
      </c>
      <c r="K23" s="97">
        <f t="shared" si="12"/>
        <v>2.8411948198670715E-2</v>
      </c>
      <c r="L23" s="97">
        <f t="shared" si="12"/>
        <v>2.8411948198670715E-2</v>
      </c>
      <c r="M23" s="98">
        <f t="shared" si="12"/>
        <v>2.8411948198670715E-2</v>
      </c>
    </row>
    <row r="24" spans="4:13" x14ac:dyDescent="0.3">
      <c r="D24" t="s">
        <v>341</v>
      </c>
      <c r="F24" s="96">
        <f>F85/F44</f>
        <v>6.0413880640993678E-2</v>
      </c>
      <c r="G24" s="97">
        <f>G85/G44</f>
        <v>5.9208537901957237E-2</v>
      </c>
      <c r="H24" s="98">
        <f>H85/H44</f>
        <v>7.7616196964791301E-2</v>
      </c>
      <c r="I24" s="96">
        <f>H24</f>
        <v>7.7616196964791301E-2</v>
      </c>
      <c r="J24" s="97">
        <f t="shared" si="12"/>
        <v>7.7616196964791301E-2</v>
      </c>
      <c r="K24" s="97">
        <f t="shared" si="12"/>
        <v>7.7616196964791301E-2</v>
      </c>
      <c r="L24" s="97">
        <f t="shared" si="12"/>
        <v>7.7616196964791301E-2</v>
      </c>
      <c r="M24" s="98">
        <f t="shared" si="12"/>
        <v>7.7616196964791301E-2</v>
      </c>
    </row>
    <row r="25" spans="4:13" x14ac:dyDescent="0.3">
      <c r="D25" t="s">
        <v>345</v>
      </c>
      <c r="F25" s="96"/>
      <c r="G25" s="97"/>
      <c r="H25" s="98"/>
      <c r="I25" s="210">
        <v>80</v>
      </c>
      <c r="J25" s="115">
        <f>I25*0.8</f>
        <v>64</v>
      </c>
      <c r="K25" s="115">
        <f t="shared" ref="K25:M25" si="13">J25*0.8</f>
        <v>51.2</v>
      </c>
      <c r="L25" s="115">
        <f t="shared" si="13"/>
        <v>40.960000000000008</v>
      </c>
      <c r="M25" s="116">
        <f t="shared" si="13"/>
        <v>32.768000000000008</v>
      </c>
    </row>
    <row r="26" spans="4:13" x14ac:dyDescent="0.3">
      <c r="F26" s="96"/>
      <c r="G26" s="97"/>
      <c r="H26" s="98"/>
      <c r="I26" s="96"/>
      <c r="J26" s="97"/>
      <c r="K26" s="97"/>
      <c r="L26" s="97"/>
      <c r="M26" s="98"/>
    </row>
    <row r="27" spans="4:13" x14ac:dyDescent="0.3">
      <c r="D27" t="s">
        <v>333</v>
      </c>
      <c r="F27" s="96">
        <f>F89/F45</f>
        <v>0.16254819466559028</v>
      </c>
      <c r="G27" s="97">
        <f>G89/G45</f>
        <v>0.17822194324226107</v>
      </c>
      <c r="H27" s="98">
        <f>H89/H45</f>
        <v>0.20570183001391301</v>
      </c>
      <c r="I27" s="96">
        <f>I28/365</f>
        <v>0.20570183001391298</v>
      </c>
      <c r="J27" s="97">
        <f t="shared" ref="J27:M27" si="14">J28/365</f>
        <v>0.20570183001391298</v>
      </c>
      <c r="K27" s="97">
        <f t="shared" si="14"/>
        <v>0.20570183001391298</v>
      </c>
      <c r="L27" s="97">
        <f t="shared" si="14"/>
        <v>0.20570183001391298</v>
      </c>
      <c r="M27" s="98">
        <f t="shared" si="14"/>
        <v>0.20570183001391298</v>
      </c>
    </row>
    <row r="28" spans="4:13" x14ac:dyDescent="0.3">
      <c r="D28" t="s">
        <v>334</v>
      </c>
      <c r="F28" s="99">
        <f>F27*365</f>
        <v>59.330091052940453</v>
      </c>
      <c r="G28" s="100">
        <f t="shared" ref="G28:H28" si="15">G27*365</f>
        <v>65.051009283425287</v>
      </c>
      <c r="H28" s="101">
        <f t="shared" si="15"/>
        <v>75.081167955078243</v>
      </c>
      <c r="I28" s="99">
        <f>H28</f>
        <v>75.081167955078243</v>
      </c>
      <c r="J28" s="100">
        <f t="shared" ref="J28:M29" si="16">I28</f>
        <v>75.081167955078243</v>
      </c>
      <c r="K28" s="100">
        <f t="shared" si="16"/>
        <v>75.081167955078243</v>
      </c>
      <c r="L28" s="100">
        <f t="shared" si="16"/>
        <v>75.081167955078243</v>
      </c>
      <c r="M28" s="101">
        <f t="shared" si="16"/>
        <v>75.081167955078243</v>
      </c>
    </row>
    <row r="29" spans="4:13" x14ac:dyDescent="0.3">
      <c r="D29" t="s">
        <v>335</v>
      </c>
      <c r="F29" s="96">
        <f>F90/F45</f>
        <v>0.13526450421091993</v>
      </c>
      <c r="G29" s="97">
        <f>G90/G45</f>
        <v>0.18068518946777232</v>
      </c>
      <c r="H29" s="98">
        <f>H90/H45</f>
        <v>0.16490527443627331</v>
      </c>
      <c r="I29" s="96">
        <f>H29</f>
        <v>0.16490527443627331</v>
      </c>
      <c r="J29" s="97">
        <f t="shared" si="16"/>
        <v>0.16490527443627331</v>
      </c>
      <c r="K29" s="97">
        <f t="shared" si="16"/>
        <v>0.16490527443627331</v>
      </c>
      <c r="L29" s="97">
        <f t="shared" si="16"/>
        <v>0.16490527443627331</v>
      </c>
      <c r="M29" s="98">
        <f t="shared" si="16"/>
        <v>0.16490527443627331</v>
      </c>
    </row>
    <row r="30" spans="4:13" x14ac:dyDescent="0.3">
      <c r="D30" t="s">
        <v>336</v>
      </c>
      <c r="F30" s="96">
        <f>F91/F44</f>
        <v>7.0145353637726546E-2</v>
      </c>
      <c r="G30" s="97">
        <f>G91/G44</f>
        <v>6.4431781398615259E-2</v>
      </c>
      <c r="H30" s="98">
        <f>H91/H44</f>
        <v>6.3062651201502007E-2</v>
      </c>
      <c r="I30" s="96">
        <f t="shared" ref="I30:M30" si="17">H30</f>
        <v>6.3062651201502007E-2</v>
      </c>
      <c r="J30" s="97">
        <f t="shared" si="17"/>
        <v>6.3062651201502007E-2</v>
      </c>
      <c r="K30" s="97">
        <f t="shared" si="17"/>
        <v>6.3062651201502007E-2</v>
      </c>
      <c r="L30" s="97">
        <f t="shared" si="17"/>
        <v>6.3062651201502007E-2</v>
      </c>
      <c r="M30" s="98">
        <f t="shared" si="17"/>
        <v>6.3062651201502007E-2</v>
      </c>
    </row>
    <row r="31" spans="4:13" x14ac:dyDescent="0.3">
      <c r="D31" t="s">
        <v>337</v>
      </c>
      <c r="F31" s="96">
        <f>F97/F44</f>
        <v>8.6455139185255464E-2</v>
      </c>
      <c r="G31" s="97">
        <f>G97/G44</f>
        <v>8.3452640930719135E-2</v>
      </c>
      <c r="H31" s="98">
        <f>H97/H44</f>
        <v>8.1729441449204757E-2</v>
      </c>
      <c r="I31" s="96">
        <f t="shared" ref="I31:M35" si="18">H31</f>
        <v>8.1729441449204757E-2</v>
      </c>
      <c r="J31" s="97">
        <f t="shared" si="18"/>
        <v>8.1729441449204757E-2</v>
      </c>
      <c r="K31" s="97">
        <f t="shared" si="18"/>
        <v>8.1729441449204757E-2</v>
      </c>
      <c r="L31" s="97">
        <f t="shared" si="18"/>
        <v>8.1729441449204757E-2</v>
      </c>
      <c r="M31" s="98">
        <f t="shared" si="18"/>
        <v>8.1729441449204757E-2</v>
      </c>
    </row>
    <row r="32" spans="4:13" x14ac:dyDescent="0.3">
      <c r="F32" s="96"/>
      <c r="G32" s="97"/>
      <c r="H32" s="98"/>
      <c r="I32" s="96"/>
      <c r="J32" s="97"/>
      <c r="K32" s="97"/>
      <c r="L32" s="97"/>
      <c r="M32" s="98"/>
    </row>
    <row r="33" spans="4:13" x14ac:dyDescent="0.3">
      <c r="D33" t="s">
        <v>338</v>
      </c>
      <c r="F33" s="96">
        <f>(47.717/F44)</f>
        <v>3.0901490449530975E-2</v>
      </c>
      <c r="G33" s="97">
        <f>(39.102/G44)</f>
        <v>2.4672537715187473E-2</v>
      </c>
      <c r="H33" s="98">
        <f>(38.924/H44)</f>
        <v>2.437635936530283E-2</v>
      </c>
      <c r="I33" s="96">
        <f t="shared" si="18"/>
        <v>2.437635936530283E-2</v>
      </c>
      <c r="J33" s="97">
        <f t="shared" si="18"/>
        <v>2.437635936530283E-2</v>
      </c>
      <c r="K33" s="97">
        <f t="shared" si="18"/>
        <v>2.437635936530283E-2</v>
      </c>
      <c r="L33" s="97">
        <f t="shared" si="18"/>
        <v>2.437635936530283E-2</v>
      </c>
      <c r="M33" s="98">
        <f t="shared" si="18"/>
        <v>2.437635936530283E-2</v>
      </c>
    </row>
    <row r="34" spans="4:13" x14ac:dyDescent="0.3">
      <c r="D34" t="s">
        <v>370</v>
      </c>
      <c r="F34" s="96">
        <f>F37/F44</f>
        <v>3.6561507351869783E-2</v>
      </c>
      <c r="G34" s="97">
        <f>G37/G44</f>
        <v>3.5017437102443844E-2</v>
      </c>
      <c r="H34" s="98">
        <f>H37/H44</f>
        <v>3.348712074764857E-2</v>
      </c>
      <c r="I34" s="96">
        <f>H34</f>
        <v>3.348712074764857E-2</v>
      </c>
      <c r="J34" s="97">
        <f t="shared" si="18"/>
        <v>3.348712074764857E-2</v>
      </c>
      <c r="K34" s="97">
        <f t="shared" si="18"/>
        <v>3.348712074764857E-2</v>
      </c>
      <c r="L34" s="97">
        <f t="shared" si="18"/>
        <v>3.348712074764857E-2</v>
      </c>
      <c r="M34" s="98">
        <f t="shared" si="18"/>
        <v>3.348712074764857E-2</v>
      </c>
    </row>
    <row r="35" spans="4:13" x14ac:dyDescent="0.3">
      <c r="D35" t="s">
        <v>372</v>
      </c>
      <c r="F35" s="96">
        <f>F38/F44</f>
        <v>9.1959084683307813E-3</v>
      </c>
      <c r="G35" s="97">
        <f>G38/G44</f>
        <v>7.8241386033534015E-3</v>
      </c>
      <c r="H35" s="98">
        <f>H38/H44</f>
        <v>6.1999269786378076E-3</v>
      </c>
      <c r="I35" s="96">
        <f>H35</f>
        <v>6.1999269786378076E-3</v>
      </c>
      <c r="J35" s="97">
        <f t="shared" si="18"/>
        <v>6.1999269786378076E-3</v>
      </c>
      <c r="K35" s="97">
        <f t="shared" si="18"/>
        <v>6.1999269786378076E-3</v>
      </c>
      <c r="L35" s="97">
        <f t="shared" si="18"/>
        <v>6.1999269786378076E-3</v>
      </c>
      <c r="M35" s="98">
        <f t="shared" si="18"/>
        <v>6.1999269786378076E-3</v>
      </c>
    </row>
    <row r="36" spans="4:13" s="129" customFormat="1" x14ac:dyDescent="0.3">
      <c r="F36" s="130"/>
      <c r="H36" s="131"/>
      <c r="I36" s="130"/>
      <c r="M36" s="131"/>
    </row>
    <row r="37" spans="4:13" x14ac:dyDescent="0.3">
      <c r="D37" t="s">
        <v>364</v>
      </c>
      <c r="F37" s="192">
        <v>56.457000000000001</v>
      </c>
      <c r="G37" s="193">
        <v>55.497</v>
      </c>
      <c r="H37" s="194">
        <v>53.472000000000001</v>
      </c>
      <c r="I37" s="102">
        <f>I44*I34</f>
        <v>54.274079999999998</v>
      </c>
      <c r="J37" s="90">
        <f>J44*J34</f>
        <v>56.065124639999993</v>
      </c>
      <c r="K37" s="90">
        <f>K44*K34</f>
        <v>57.91527375311999</v>
      </c>
      <c r="L37" s="90">
        <f>L44*L34</f>
        <v>60.116054155738553</v>
      </c>
      <c r="M37" s="103">
        <f>M44*M34</f>
        <v>62.220116051189393</v>
      </c>
    </row>
    <row r="38" spans="4:13" x14ac:dyDescent="0.3">
      <c r="D38" t="s">
        <v>371</v>
      </c>
      <c r="F38" s="192">
        <v>14.2</v>
      </c>
      <c r="G38" s="193">
        <v>12.4</v>
      </c>
      <c r="H38" s="194">
        <v>9.9</v>
      </c>
      <c r="I38" s="102">
        <f>I35*I44</f>
        <v>10.048499999999999</v>
      </c>
      <c r="J38" s="90">
        <f>J35*J44</f>
        <v>10.380100499999999</v>
      </c>
      <c r="K38" s="90">
        <f>K35*K44</f>
        <v>10.722643816499998</v>
      </c>
      <c r="L38" s="90">
        <f>L35*L44</f>
        <v>11.130104281526998</v>
      </c>
      <c r="M38" s="103">
        <f>M35*M44</f>
        <v>11.519657931380443</v>
      </c>
    </row>
    <row r="39" spans="4:13" x14ac:dyDescent="0.3">
      <c r="D39" t="s">
        <v>373</v>
      </c>
      <c r="F39" s="192">
        <v>0</v>
      </c>
      <c r="G39" s="193">
        <v>0</v>
      </c>
      <c r="H39" s="194">
        <v>0</v>
      </c>
      <c r="I39" s="192">
        <v>250</v>
      </c>
      <c r="J39" s="193">
        <v>225</v>
      </c>
      <c r="K39" s="193">
        <v>200</v>
      </c>
      <c r="L39" s="193">
        <v>175</v>
      </c>
      <c r="M39" s="194">
        <v>150</v>
      </c>
    </row>
    <row r="41" spans="4:13" x14ac:dyDescent="0.3">
      <c r="D41" s="6" t="s">
        <v>313</v>
      </c>
      <c r="E41" s="6"/>
      <c r="F41" s="6"/>
      <c r="G41" s="6"/>
      <c r="H41" s="6"/>
      <c r="I41" s="6"/>
      <c r="J41" s="6"/>
      <c r="K41" s="6"/>
      <c r="L41" s="6"/>
      <c r="M41" s="6"/>
    </row>
    <row r="42" spans="4:13" x14ac:dyDescent="0.3">
      <c r="F42" s="233" t="s">
        <v>265</v>
      </c>
      <c r="G42" s="234"/>
      <c r="H42" s="235"/>
      <c r="I42" s="233" t="s">
        <v>320</v>
      </c>
      <c r="J42" s="234"/>
      <c r="K42" s="234"/>
      <c r="L42" s="234"/>
      <c r="M42" s="235"/>
    </row>
    <row r="43" spans="4:13" x14ac:dyDescent="0.3">
      <c r="D43" s="9"/>
      <c r="E43" s="9"/>
      <c r="F43" s="123" t="s">
        <v>189</v>
      </c>
      <c r="G43" s="74" t="s">
        <v>190</v>
      </c>
      <c r="H43" s="124" t="s">
        <v>187</v>
      </c>
      <c r="I43" s="123" t="s">
        <v>235</v>
      </c>
      <c r="J43" s="74" t="s">
        <v>236</v>
      </c>
      <c r="K43" s="74" t="s">
        <v>321</v>
      </c>
      <c r="L43" s="74" t="s">
        <v>322</v>
      </c>
      <c r="M43" s="124" t="s">
        <v>323</v>
      </c>
    </row>
    <row r="44" spans="4:13" x14ac:dyDescent="0.3">
      <c r="D44" s="7" t="s">
        <v>344</v>
      </c>
      <c r="F44" s="198">
        <v>1544.165</v>
      </c>
      <c r="G44" s="199">
        <v>1584.8389999999999</v>
      </c>
      <c r="H44" s="200">
        <v>1596.7929999999999</v>
      </c>
      <c r="I44" s="201">
        <f>H44*(1+I12)</f>
        <v>1620.7448949999998</v>
      </c>
      <c r="J44" s="202">
        <f>I44*(1+J12)</f>
        <v>1674.2294765349998</v>
      </c>
      <c r="K44" s="202">
        <f>J44*(1+K12)</f>
        <v>1729.4790492606546</v>
      </c>
      <c r="L44" s="202">
        <f>K44*(1+L12)</f>
        <v>1795.1992531325595</v>
      </c>
      <c r="M44" s="203">
        <f>L44*(1+M12)</f>
        <v>1858.031226992199</v>
      </c>
    </row>
    <row r="45" spans="4:13" x14ac:dyDescent="0.3">
      <c r="D45" t="s">
        <v>339</v>
      </c>
      <c r="F45" s="192">
        <v>807.66200000000003</v>
      </c>
      <c r="G45" s="193">
        <v>756.72500000000002</v>
      </c>
      <c r="H45" s="194">
        <v>759.721</v>
      </c>
      <c r="I45" s="102">
        <f>I$44*I13</f>
        <v>771.11681499999997</v>
      </c>
      <c r="J45" s="90">
        <f>J$44*J13</f>
        <v>796.56366989499998</v>
      </c>
      <c r="K45" s="90">
        <f>K$44*K13</f>
        <v>822.85027100153491</v>
      </c>
      <c r="L45" s="90">
        <f>L$44*L13</f>
        <v>854.1185812995933</v>
      </c>
      <c r="M45" s="103">
        <f>M$44*M13</f>
        <v>884.01273164507893</v>
      </c>
    </row>
    <row r="46" spans="4:13" x14ac:dyDescent="0.3">
      <c r="D46" s="7" t="s">
        <v>18</v>
      </c>
      <c r="F46" s="109">
        <f>F44-F45</f>
        <v>736.50299999999993</v>
      </c>
      <c r="G46" s="110">
        <f t="shared" ref="G46:M46" si="19">G44-G45</f>
        <v>828.11399999999992</v>
      </c>
      <c r="H46" s="111">
        <f t="shared" si="19"/>
        <v>837.07199999999989</v>
      </c>
      <c r="I46" s="109">
        <f t="shared" si="19"/>
        <v>849.62807999999984</v>
      </c>
      <c r="J46" s="110">
        <f t="shared" si="19"/>
        <v>877.6658066399998</v>
      </c>
      <c r="K46" s="110">
        <f t="shared" si="19"/>
        <v>906.62877825911971</v>
      </c>
      <c r="L46" s="110">
        <f t="shared" si="19"/>
        <v>941.08067183296623</v>
      </c>
      <c r="M46" s="111">
        <f t="shared" si="19"/>
        <v>974.01849534712005</v>
      </c>
    </row>
    <row r="47" spans="4:13" x14ac:dyDescent="0.3">
      <c r="D47" t="s">
        <v>266</v>
      </c>
      <c r="F47" s="192">
        <v>312.70100000000002</v>
      </c>
      <c r="G47" s="193">
        <v>312.38799999999998</v>
      </c>
      <c r="H47" s="194">
        <v>328.95800000000003</v>
      </c>
      <c r="I47" s="102">
        <f>I$44*I14</f>
        <v>333.89236999999997</v>
      </c>
      <c r="J47" s="90">
        <f>J$44*J14</f>
        <v>344.91081821</v>
      </c>
      <c r="K47" s="90">
        <f>K$44*K14</f>
        <v>356.29287521092994</v>
      </c>
      <c r="L47" s="90">
        <f>L$44*L14</f>
        <v>369.83200446894529</v>
      </c>
      <c r="M47" s="103">
        <f>M$44*M14</f>
        <v>382.77612462535836</v>
      </c>
    </row>
    <row r="48" spans="4:13" x14ac:dyDescent="0.3">
      <c r="D48" t="s">
        <v>267</v>
      </c>
      <c r="F48" s="192">
        <v>45.037999999999997</v>
      </c>
      <c r="G48" s="193">
        <v>51.953000000000003</v>
      </c>
      <c r="H48" s="194">
        <v>59.715000000000003</v>
      </c>
      <c r="I48" s="102">
        <f>I$44*I16</f>
        <v>60.610725000000002</v>
      </c>
      <c r="J48" s="90">
        <f>J$44*J16</f>
        <v>62.610878925000002</v>
      </c>
      <c r="K48" s="90">
        <f>K$44*K16</f>
        <v>64.677037929525</v>
      </c>
      <c r="L48" s="90">
        <f>L$44*L16</f>
        <v>67.134765370846949</v>
      </c>
      <c r="M48" s="103">
        <f>M$44*M16</f>
        <v>69.484482158826594</v>
      </c>
    </row>
    <row r="49" spans="4:13" x14ac:dyDescent="0.3">
      <c r="D49" t="s">
        <v>268</v>
      </c>
      <c r="F49" s="192">
        <v>-3.7360000000000002</v>
      </c>
      <c r="G49" s="193">
        <v>0</v>
      </c>
      <c r="H49" s="194">
        <v>0</v>
      </c>
      <c r="I49" s="192">
        <v>0</v>
      </c>
      <c r="J49" s="193">
        <v>0</v>
      </c>
      <c r="K49" s="193">
        <v>0</v>
      </c>
      <c r="L49" s="193">
        <v>0</v>
      </c>
      <c r="M49" s="194">
        <v>0</v>
      </c>
    </row>
    <row r="50" spans="4:13" x14ac:dyDescent="0.3">
      <c r="D50" s="7" t="s">
        <v>269</v>
      </c>
      <c r="E50" s="7"/>
      <c r="F50" s="109">
        <f>F46-SUM(F47:F49)</f>
        <v>382.49999999999989</v>
      </c>
      <c r="G50" s="110">
        <f t="shared" ref="G50:M50" si="20">G46-SUM(G47:G49)</f>
        <v>463.77299999999991</v>
      </c>
      <c r="H50" s="111">
        <f t="shared" si="20"/>
        <v>448.39899999999989</v>
      </c>
      <c r="I50" s="109">
        <f t="shared" si="20"/>
        <v>455.12498499999987</v>
      </c>
      <c r="J50" s="110">
        <f t="shared" si="20"/>
        <v>470.14410950499979</v>
      </c>
      <c r="K50" s="110">
        <f t="shared" si="20"/>
        <v>485.65886511866478</v>
      </c>
      <c r="L50" s="110">
        <f t="shared" si="20"/>
        <v>504.11390199317401</v>
      </c>
      <c r="M50" s="111">
        <f t="shared" si="20"/>
        <v>521.75788856293502</v>
      </c>
    </row>
    <row r="51" spans="4:13" x14ac:dyDescent="0.3">
      <c r="D51" t="s">
        <v>270</v>
      </c>
      <c r="F51" s="192">
        <v>63.78</v>
      </c>
      <c r="G51" s="193">
        <v>87.131</v>
      </c>
      <c r="H51" s="194">
        <v>91.147999999999996</v>
      </c>
      <c r="I51" s="102">
        <f>AVERAGE(H96,I96)*I17</f>
        <v>90.837221999999997</v>
      </c>
      <c r="J51" s="90">
        <f>AVERAGE(I96,J96)*J17</f>
        <v>78.724722</v>
      </c>
      <c r="K51" s="90">
        <f>AVERAGE(J96,K96)*K17</f>
        <v>67.887221999999994</v>
      </c>
      <c r="L51" s="90">
        <f>AVERAGE(K96,L96)*L17</f>
        <v>58.324722000000001</v>
      </c>
      <c r="M51" s="103">
        <f>AVERAGE(L96,M96)*M17</f>
        <v>50.037222</v>
      </c>
    </row>
    <row r="52" spans="4:13" x14ac:dyDescent="0.3">
      <c r="D52" t="s">
        <v>271</v>
      </c>
      <c r="F52" s="192">
        <v>-7.7640000000000002</v>
      </c>
      <c r="G52" s="193">
        <v>-8.6460000000000008</v>
      </c>
      <c r="H52" s="194">
        <v>-6.2370000000000001</v>
      </c>
      <c r="I52" s="102">
        <f>-I$44*I18</f>
        <v>-6.3305549999999995</v>
      </c>
      <c r="J52" s="90">
        <f>-J$44*J18</f>
        <v>-6.5394633149999999</v>
      </c>
      <c r="K52" s="90">
        <f>-K$44*K18</f>
        <v>-6.7552656043949995</v>
      </c>
      <c r="L52" s="90">
        <f>-L$44*L18</f>
        <v>-7.011965697362009</v>
      </c>
      <c r="M52" s="103">
        <f>-M$44*M18</f>
        <v>-7.2573844967696788</v>
      </c>
    </row>
    <row r="53" spans="4:13" x14ac:dyDescent="0.3">
      <c r="D53" t="s">
        <v>272</v>
      </c>
      <c r="F53" s="192">
        <v>0</v>
      </c>
      <c r="G53" s="193">
        <v>0</v>
      </c>
      <c r="H53" s="194">
        <v>-100.02500000000001</v>
      </c>
      <c r="I53" s="192">
        <v>0</v>
      </c>
      <c r="J53" s="193">
        <v>0</v>
      </c>
      <c r="K53" s="193">
        <v>0</v>
      </c>
      <c r="L53" s="193">
        <v>0</v>
      </c>
      <c r="M53" s="194">
        <v>0</v>
      </c>
    </row>
    <row r="54" spans="4:13" x14ac:dyDescent="0.3">
      <c r="D54" t="s">
        <v>273</v>
      </c>
      <c r="F54" s="192">
        <v>0</v>
      </c>
      <c r="G54" s="193">
        <v>0</v>
      </c>
      <c r="H54" s="194">
        <v>-0.71299999999999997</v>
      </c>
      <c r="I54" s="192">
        <v>0</v>
      </c>
      <c r="J54" s="193">
        <v>0</v>
      </c>
      <c r="K54" s="193">
        <v>0</v>
      </c>
      <c r="L54" s="193">
        <v>0</v>
      </c>
      <c r="M54" s="194">
        <v>0</v>
      </c>
    </row>
    <row r="55" spans="4:13" x14ac:dyDescent="0.3">
      <c r="D55" t="s">
        <v>274</v>
      </c>
      <c r="F55" s="192">
        <v>-4.4160000000000004</v>
      </c>
      <c r="G55" s="193">
        <v>0.33100000000000002</v>
      </c>
      <c r="H55" s="194">
        <v>0</v>
      </c>
      <c r="I55" s="192">
        <v>0</v>
      </c>
      <c r="J55" s="193">
        <v>0</v>
      </c>
      <c r="K55" s="193">
        <v>0</v>
      </c>
      <c r="L55" s="193">
        <v>0</v>
      </c>
      <c r="M55" s="194">
        <v>0</v>
      </c>
    </row>
    <row r="56" spans="4:13" x14ac:dyDescent="0.3">
      <c r="D56" t="s">
        <v>275</v>
      </c>
      <c r="F56" s="192">
        <v>-10.648999999999999</v>
      </c>
      <c r="G56" s="193">
        <v>1.641</v>
      </c>
      <c r="H56" s="194">
        <v>-6.9889999999999999</v>
      </c>
      <c r="I56" s="192">
        <v>0</v>
      </c>
      <c r="J56" s="193">
        <v>0</v>
      </c>
      <c r="K56" s="193">
        <v>0</v>
      </c>
      <c r="L56" s="193">
        <v>0</v>
      </c>
      <c r="M56" s="194">
        <v>0</v>
      </c>
    </row>
    <row r="57" spans="4:13" x14ac:dyDescent="0.3">
      <c r="D57" t="s">
        <v>276</v>
      </c>
      <c r="F57" s="192">
        <v>-2.879</v>
      </c>
      <c r="G57" s="193">
        <v>-12.329000000000001</v>
      </c>
      <c r="H57" s="194">
        <v>14.324</v>
      </c>
      <c r="I57" s="192">
        <v>0</v>
      </c>
      <c r="J57" s="193">
        <v>0</v>
      </c>
      <c r="K57" s="193">
        <v>0</v>
      </c>
      <c r="L57" s="193">
        <v>0</v>
      </c>
      <c r="M57" s="194">
        <v>0</v>
      </c>
    </row>
    <row r="58" spans="4:13" x14ac:dyDescent="0.3">
      <c r="D58" s="7" t="s">
        <v>277</v>
      </c>
      <c r="E58" s="7"/>
      <c r="F58" s="109">
        <f>SUM(F51:F57)</f>
        <v>38.071999999999996</v>
      </c>
      <c r="G58" s="110">
        <f t="shared" ref="G58:M58" si="21">SUM(G51:G57)</f>
        <v>68.128000000000014</v>
      </c>
      <c r="H58" s="111">
        <f t="shared" si="21"/>
        <v>-8.4920000000000027</v>
      </c>
      <c r="I58" s="109">
        <f t="shared" si="21"/>
        <v>84.506666999999993</v>
      </c>
      <c r="J58" s="110">
        <f t="shared" si="21"/>
        <v>72.185258684999994</v>
      </c>
      <c r="K58" s="110">
        <f t="shared" si="21"/>
        <v>61.131956395604995</v>
      </c>
      <c r="L58" s="110">
        <f t="shared" si="21"/>
        <v>51.312756302637993</v>
      </c>
      <c r="M58" s="111">
        <f t="shared" si="21"/>
        <v>42.779837503230318</v>
      </c>
    </row>
    <row r="59" spans="4:13" x14ac:dyDescent="0.3">
      <c r="D59" s="7" t="s">
        <v>278</v>
      </c>
      <c r="E59" s="7"/>
      <c r="F59" s="109">
        <f>F50+F58</f>
        <v>420.57199999999989</v>
      </c>
      <c r="G59" s="110">
        <f>G50+G58</f>
        <v>531.90099999999995</v>
      </c>
      <c r="H59" s="111">
        <f>H50+H58</f>
        <v>439.90699999999987</v>
      </c>
      <c r="I59" s="109">
        <f>I50+I58</f>
        <v>539.6316519999998</v>
      </c>
      <c r="J59" s="110">
        <f t="shared" ref="J59:M59" si="22">J50+J58</f>
        <v>542.32936818999974</v>
      </c>
      <c r="K59" s="110">
        <f t="shared" si="22"/>
        <v>546.79082151426974</v>
      </c>
      <c r="L59" s="110">
        <f t="shared" si="22"/>
        <v>555.42665829581199</v>
      </c>
      <c r="M59" s="111">
        <f t="shared" si="22"/>
        <v>564.53772606616531</v>
      </c>
    </row>
    <row r="60" spans="4:13" x14ac:dyDescent="0.3">
      <c r="D60" t="s">
        <v>279</v>
      </c>
      <c r="F60" s="192">
        <v>78.448999999999998</v>
      </c>
      <c r="G60" s="193">
        <v>95.98</v>
      </c>
      <c r="H60" s="194">
        <v>86.944999999999993</v>
      </c>
      <c r="I60" s="102">
        <f>I$59*I19</f>
        <v>107.92633039999997</v>
      </c>
      <c r="J60" s="90">
        <f>J$59*J19</f>
        <v>108.46587363799995</v>
      </c>
      <c r="K60" s="90">
        <f>K$59*K19</f>
        <v>109.35816430285395</v>
      </c>
      <c r="L60" s="90">
        <f>L$59*L19</f>
        <v>111.08533165916241</v>
      </c>
      <c r="M60" s="103">
        <f>M$59*M19</f>
        <v>112.90754521323306</v>
      </c>
    </row>
    <row r="61" spans="4:13" x14ac:dyDescent="0.3">
      <c r="D61" s="7" t="s">
        <v>280</v>
      </c>
      <c r="E61" s="7"/>
      <c r="F61" s="204">
        <f t="shared" ref="F61:H61" si="23">F59-F60</f>
        <v>342.12299999999988</v>
      </c>
      <c r="G61" s="205">
        <f t="shared" si="23"/>
        <v>435.92099999999994</v>
      </c>
      <c r="H61" s="206">
        <f t="shared" si="23"/>
        <v>352.96199999999988</v>
      </c>
      <c r="I61" s="204">
        <f>I59-I60</f>
        <v>431.70532159999982</v>
      </c>
      <c r="J61" s="205">
        <f t="shared" ref="J61:M61" si="24">J59-J60</f>
        <v>433.86349455199979</v>
      </c>
      <c r="K61" s="205">
        <f t="shared" si="24"/>
        <v>437.4326572114158</v>
      </c>
      <c r="L61" s="205">
        <f t="shared" si="24"/>
        <v>444.34132663664957</v>
      </c>
      <c r="M61" s="206">
        <f t="shared" si="24"/>
        <v>451.63018085293226</v>
      </c>
    </row>
    <row r="62" spans="4:13" x14ac:dyDescent="0.3">
      <c r="F62" s="102"/>
      <c r="G62" s="90"/>
      <c r="H62" s="103"/>
      <c r="I62" s="104"/>
      <c r="J62" s="22"/>
      <c r="K62" s="22"/>
      <c r="L62" s="22"/>
      <c r="M62" s="105"/>
    </row>
    <row r="63" spans="4:13" x14ac:dyDescent="0.3">
      <c r="D63" s="7" t="s">
        <v>281</v>
      </c>
      <c r="F63" s="195">
        <v>5.1100000000000003</v>
      </c>
      <c r="G63" s="196">
        <v>6.26</v>
      </c>
      <c r="H63" s="197">
        <v>7.97</v>
      </c>
      <c r="I63" s="120">
        <f>I61/CHH!$X$39</f>
        <v>9.3503426813948405</v>
      </c>
      <c r="J63" s="121">
        <f>J61/CHH!$X$39</f>
        <v>9.3970867349361011</v>
      </c>
      <c r="K63" s="121">
        <f>K61/CHH!$X$39</f>
        <v>9.4743915358764514</v>
      </c>
      <c r="L63" s="121">
        <f>L61/CHH!$X$39</f>
        <v>9.6240270010103863</v>
      </c>
      <c r="M63" s="122">
        <f>M61/CHH!$X$39</f>
        <v>9.7818969212244369</v>
      </c>
    </row>
    <row r="64" spans="4:13" x14ac:dyDescent="0.3">
      <c r="D64" s="7" t="s">
        <v>282</v>
      </c>
      <c r="F64" s="195">
        <v>5.07</v>
      </c>
      <c r="G64" s="196">
        <v>6.2</v>
      </c>
      <c r="H64" s="197">
        <v>7.9</v>
      </c>
      <c r="I64" s="120">
        <f>I61/CHH!$X$44</f>
        <v>9.343493913267185</v>
      </c>
      <c r="J64" s="121">
        <f>J61/CHH!$X$44</f>
        <v>9.3902037285783653</v>
      </c>
      <c r="K64" s="121">
        <f>K61/CHH!$X$44</f>
        <v>9.4674519067108864</v>
      </c>
      <c r="L64" s="121">
        <f>L61/CHH!$X$44</f>
        <v>9.6169777695939409</v>
      </c>
      <c r="M64" s="122">
        <f>M61/CHH!$X$44</f>
        <v>9.7747320561339421</v>
      </c>
    </row>
    <row r="65" spans="4:13" x14ac:dyDescent="0.3">
      <c r="D65" s="7"/>
      <c r="F65" s="121"/>
      <c r="G65" s="121"/>
      <c r="H65" s="121"/>
      <c r="I65" s="121"/>
      <c r="J65" s="121"/>
      <c r="K65" s="121"/>
      <c r="L65" s="121"/>
      <c r="M65" s="121"/>
    </row>
    <row r="66" spans="4:13" x14ac:dyDescent="0.3">
      <c r="D66" s="6" t="s">
        <v>312</v>
      </c>
      <c r="E66" s="6"/>
      <c r="F66" s="6"/>
      <c r="G66" s="6"/>
      <c r="H66" s="6"/>
      <c r="I66" s="6"/>
      <c r="J66" s="6"/>
      <c r="K66" s="6"/>
      <c r="L66" s="6"/>
      <c r="M66" s="6"/>
    </row>
    <row r="67" spans="4:13" x14ac:dyDescent="0.3">
      <c r="F67" s="233" t="s">
        <v>265</v>
      </c>
      <c r="G67" s="234"/>
      <c r="H67" s="235"/>
      <c r="I67" s="233" t="s">
        <v>320</v>
      </c>
      <c r="J67" s="234"/>
      <c r="K67" s="234"/>
      <c r="L67" s="234"/>
      <c r="M67" s="235"/>
    </row>
    <row r="68" spans="4:13" x14ac:dyDescent="0.3">
      <c r="D68" s="9"/>
      <c r="E68" s="9"/>
      <c r="F68" s="123" t="s">
        <v>189</v>
      </c>
      <c r="G68" s="74" t="s">
        <v>190</v>
      </c>
      <c r="H68" s="124" t="s">
        <v>187</v>
      </c>
      <c r="I68" s="123" t="s">
        <v>235</v>
      </c>
      <c r="J68" s="74" t="s">
        <v>236</v>
      </c>
      <c r="K68" s="74" t="s">
        <v>321</v>
      </c>
      <c r="L68" s="74" t="s">
        <v>322</v>
      </c>
      <c r="M68" s="124" t="s">
        <v>323</v>
      </c>
    </row>
    <row r="69" spans="4:13" x14ac:dyDescent="0.3">
      <c r="D69" t="s">
        <v>283</v>
      </c>
      <c r="F69" s="192">
        <v>26.754000000000001</v>
      </c>
      <c r="G69" s="193">
        <v>40.177</v>
      </c>
      <c r="H69" s="194">
        <v>44.997</v>
      </c>
      <c r="I69" s="102">
        <f>I150</f>
        <v>265.52208159999981</v>
      </c>
      <c r="J69" s="90">
        <f t="shared" ref="J69:M69" si="25">J150</f>
        <v>498.2937582319995</v>
      </c>
      <c r="K69" s="90">
        <f t="shared" si="25"/>
        <v>745.51156753205521</v>
      </c>
      <c r="L69" s="90">
        <f t="shared" si="25"/>
        <v>1013.5370751500882</v>
      </c>
      <c r="M69" s="103">
        <f t="shared" si="25"/>
        <v>1303.7379941470822</v>
      </c>
    </row>
    <row r="70" spans="4:13" x14ac:dyDescent="0.3">
      <c r="D70" t="s">
        <v>309</v>
      </c>
      <c r="F70" s="192">
        <v>195.89599999999999</v>
      </c>
      <c r="G70" s="193">
        <v>176.672</v>
      </c>
      <c r="H70" s="194">
        <v>207.49100000000001</v>
      </c>
      <c r="I70" s="102">
        <f>I$44*I21</f>
        <v>210.603365</v>
      </c>
      <c r="J70" s="90">
        <f>J$44*J21</f>
        <v>217.55327604499999</v>
      </c>
      <c r="K70" s="90">
        <f>K$44*K21</f>
        <v>224.73253415448497</v>
      </c>
      <c r="L70" s="90">
        <f>L$44*L21</f>
        <v>233.2723704523554</v>
      </c>
      <c r="M70" s="103">
        <f>M$44*M21</f>
        <v>241.43690341818782</v>
      </c>
    </row>
    <row r="71" spans="4:13" x14ac:dyDescent="0.3">
      <c r="D71" t="s">
        <v>284</v>
      </c>
      <c r="F71" s="192">
        <v>14.282999999999999</v>
      </c>
      <c r="G71" s="193">
        <v>5.4189999999999996</v>
      </c>
      <c r="H71" s="194">
        <v>13.456</v>
      </c>
      <c r="I71" s="102">
        <f>H71</f>
        <v>13.456</v>
      </c>
      <c r="J71" s="90">
        <f t="shared" ref="J71:M71" si="26">I71</f>
        <v>13.456</v>
      </c>
      <c r="K71" s="90">
        <f t="shared" si="26"/>
        <v>13.456</v>
      </c>
      <c r="L71" s="90">
        <f t="shared" si="26"/>
        <v>13.456</v>
      </c>
      <c r="M71" s="103">
        <f t="shared" si="26"/>
        <v>13.456</v>
      </c>
    </row>
    <row r="72" spans="4:13" x14ac:dyDescent="0.3">
      <c r="D72" t="s">
        <v>310</v>
      </c>
      <c r="F72" s="192">
        <v>20.765999999999998</v>
      </c>
      <c r="G72" s="193">
        <v>75.501000000000005</v>
      </c>
      <c r="H72" s="194">
        <v>94.686000000000007</v>
      </c>
      <c r="I72" s="102">
        <f>H72</f>
        <v>94.686000000000007</v>
      </c>
      <c r="J72" s="90">
        <f t="shared" ref="J72:M72" si="27">I72</f>
        <v>94.686000000000007</v>
      </c>
      <c r="K72" s="90">
        <f t="shared" si="27"/>
        <v>94.686000000000007</v>
      </c>
      <c r="L72" s="90">
        <f t="shared" si="27"/>
        <v>94.686000000000007</v>
      </c>
      <c r="M72" s="103">
        <f t="shared" si="27"/>
        <v>94.686000000000007</v>
      </c>
    </row>
    <row r="73" spans="4:13" x14ac:dyDescent="0.3">
      <c r="D73" t="s">
        <v>285</v>
      </c>
      <c r="F73" s="192">
        <v>38.831000000000003</v>
      </c>
      <c r="G73" s="193">
        <v>41.317</v>
      </c>
      <c r="H73" s="194">
        <v>45.368000000000002</v>
      </c>
      <c r="I73" s="102">
        <f>I$44*I23</f>
        <v>46.048520000000003</v>
      </c>
      <c r="J73" s="90">
        <f>J$44*J23</f>
        <v>47.568121159999997</v>
      </c>
      <c r="K73" s="90">
        <f>K$44*K23</f>
        <v>49.137869158279997</v>
      </c>
      <c r="L73" s="90">
        <f>L$44*L23</f>
        <v>51.005108186294635</v>
      </c>
      <c r="M73" s="103">
        <f>M$44*M23</f>
        <v>52.790286972814947</v>
      </c>
    </row>
    <row r="74" spans="4:13" x14ac:dyDescent="0.3">
      <c r="D74" s="7" t="s">
        <v>286</v>
      </c>
      <c r="E74" s="7"/>
      <c r="F74" s="109">
        <v>296.52999999999997</v>
      </c>
      <c r="G74" s="110">
        <v>339.08600000000001</v>
      </c>
      <c r="H74" s="111">
        <v>405.99799999999999</v>
      </c>
      <c r="I74" s="109">
        <f>SUM(I69:I73)</f>
        <v>630.31596659999991</v>
      </c>
      <c r="J74" s="110">
        <f t="shared" ref="J74:M74" si="28">SUM(J69:J73)</f>
        <v>871.55715543699955</v>
      </c>
      <c r="K74" s="110">
        <f t="shared" si="28"/>
        <v>1127.52397084482</v>
      </c>
      <c r="L74" s="110">
        <f t="shared" si="28"/>
        <v>1405.9565537887381</v>
      </c>
      <c r="M74" s="111">
        <f t="shared" si="28"/>
        <v>1706.1071845380848</v>
      </c>
    </row>
    <row r="75" spans="4:13" x14ac:dyDescent="0.3">
      <c r="F75" s="102"/>
      <c r="G75" s="90"/>
      <c r="H75" s="103"/>
      <c r="I75" s="102"/>
      <c r="J75" s="90"/>
      <c r="K75" s="90"/>
      <c r="L75" s="90"/>
      <c r="M75" s="103"/>
    </row>
    <row r="76" spans="4:13" x14ac:dyDescent="0.3">
      <c r="D76" t="s">
        <v>287</v>
      </c>
      <c r="F76" s="192">
        <v>493.47800000000001</v>
      </c>
      <c r="G76" s="193">
        <v>604.34500000000003</v>
      </c>
      <c r="H76" s="194">
        <v>649.29100000000005</v>
      </c>
      <c r="I76" s="102">
        <f>H76-I121-I136</f>
        <v>628.1881350000001</v>
      </c>
      <c r="J76" s="90">
        <f>I76-J121-J136</f>
        <v>606.38887545500017</v>
      </c>
      <c r="K76" s="90">
        <f>J76-K121-K136</f>
        <v>583.87024034501519</v>
      </c>
      <c r="L76" s="90">
        <f>K76-L121-L136</f>
        <v>560.49589710085081</v>
      </c>
      <c r="M76" s="103">
        <f>L76-M121-M136</f>
        <v>536.30345184314058</v>
      </c>
    </row>
    <row r="77" spans="4:13" x14ac:dyDescent="0.3">
      <c r="D77" t="s">
        <v>288</v>
      </c>
      <c r="F77" s="192">
        <v>85.100999999999999</v>
      </c>
      <c r="G77" s="193">
        <v>83.450999999999993</v>
      </c>
      <c r="H77" s="194">
        <v>77.67</v>
      </c>
      <c r="I77" s="102">
        <f>H77</f>
        <v>77.67</v>
      </c>
      <c r="J77" s="90">
        <f t="shared" ref="J77:M77" si="29">I77</f>
        <v>77.67</v>
      </c>
      <c r="K77" s="90">
        <f t="shared" si="29"/>
        <v>77.67</v>
      </c>
      <c r="L77" s="90">
        <f t="shared" si="29"/>
        <v>77.67</v>
      </c>
      <c r="M77" s="103">
        <f t="shared" si="29"/>
        <v>77.67</v>
      </c>
    </row>
    <row r="78" spans="4:13" x14ac:dyDescent="0.3">
      <c r="D78" t="s">
        <v>289</v>
      </c>
      <c r="F78" s="192">
        <v>220.18700000000001</v>
      </c>
      <c r="G78" s="193">
        <v>220.18700000000001</v>
      </c>
      <c r="H78" s="194">
        <v>305.75799999999998</v>
      </c>
      <c r="I78" s="102">
        <f>H78</f>
        <v>305.75799999999998</v>
      </c>
      <c r="J78" s="90">
        <f t="shared" ref="J78:M78" si="30">I78</f>
        <v>305.75799999999998</v>
      </c>
      <c r="K78" s="90">
        <f t="shared" si="30"/>
        <v>305.75799999999998</v>
      </c>
      <c r="L78" s="90">
        <f t="shared" si="30"/>
        <v>305.75799999999998</v>
      </c>
      <c r="M78" s="103">
        <f t="shared" si="30"/>
        <v>305.75799999999998</v>
      </c>
    </row>
    <row r="79" spans="4:13" x14ac:dyDescent="0.3">
      <c r="D79" t="s">
        <v>290</v>
      </c>
      <c r="F79" s="192">
        <v>811.07500000000005</v>
      </c>
      <c r="G79" s="193">
        <v>884.01300000000003</v>
      </c>
      <c r="H79" s="194">
        <v>1082.4860000000001</v>
      </c>
      <c r="I79" s="102">
        <f>H79-I122-I137</f>
        <v>1002.4860000000001</v>
      </c>
      <c r="J79" s="90">
        <f>I79-J122-J137</f>
        <v>938.4860000000001</v>
      </c>
      <c r="K79" s="90">
        <f>J79-K122-K137</f>
        <v>887.28600000000006</v>
      </c>
      <c r="L79" s="90">
        <f>K79-L122-L137</f>
        <v>846.32600000000002</v>
      </c>
      <c r="M79" s="103">
        <f>L79-M122-M137</f>
        <v>813.55799999999999</v>
      </c>
    </row>
    <row r="80" spans="4:13" x14ac:dyDescent="0.3">
      <c r="D80" t="s">
        <v>311</v>
      </c>
      <c r="F80" s="192">
        <v>78.900000000000006</v>
      </c>
      <c r="G80" s="193">
        <v>32.682000000000002</v>
      </c>
      <c r="H80" s="194">
        <v>12.49</v>
      </c>
      <c r="I80" s="102">
        <f>H80</f>
        <v>12.49</v>
      </c>
      <c r="J80" s="90">
        <f t="shared" ref="J80:M80" si="31">I80</f>
        <v>12.49</v>
      </c>
      <c r="K80" s="90">
        <f t="shared" si="31"/>
        <v>12.49</v>
      </c>
      <c r="L80" s="90">
        <f t="shared" si="31"/>
        <v>12.49</v>
      </c>
      <c r="M80" s="103">
        <f t="shared" si="31"/>
        <v>12.49</v>
      </c>
    </row>
    <row r="81" spans="4:13" x14ac:dyDescent="0.3">
      <c r="D81" t="s">
        <v>318</v>
      </c>
      <c r="F81" s="192">
        <v>116.374</v>
      </c>
      <c r="G81" s="193">
        <v>0</v>
      </c>
      <c r="H81" s="194">
        <v>0</v>
      </c>
      <c r="I81" s="192">
        <v>0</v>
      </c>
      <c r="J81" s="193">
        <v>0</v>
      </c>
      <c r="K81" s="193">
        <v>0</v>
      </c>
      <c r="L81" s="193">
        <v>0</v>
      </c>
      <c r="M81" s="194">
        <v>0</v>
      </c>
    </row>
    <row r="82" spans="4:13" x14ac:dyDescent="0.3">
      <c r="D82" t="s">
        <v>314</v>
      </c>
      <c r="F82" s="192">
        <v>39.750999999999998</v>
      </c>
      <c r="G82" s="193">
        <v>47.603000000000002</v>
      </c>
      <c r="H82" s="194">
        <v>50.226999999999997</v>
      </c>
      <c r="I82" s="102">
        <f>H82</f>
        <v>50.226999999999997</v>
      </c>
      <c r="J82" s="90">
        <f t="shared" ref="J82:M82" si="32">I82</f>
        <v>50.226999999999997</v>
      </c>
      <c r="K82" s="90">
        <f t="shared" si="32"/>
        <v>50.226999999999997</v>
      </c>
      <c r="L82" s="90">
        <f t="shared" si="32"/>
        <v>50.226999999999997</v>
      </c>
      <c r="M82" s="103">
        <f t="shared" si="32"/>
        <v>50.226999999999997</v>
      </c>
    </row>
    <row r="83" spans="4:13" x14ac:dyDescent="0.3">
      <c r="D83" t="s">
        <v>291</v>
      </c>
      <c r="F83" s="192">
        <v>70.578999999999994</v>
      </c>
      <c r="G83" s="193">
        <v>117.01600000000001</v>
      </c>
      <c r="H83" s="194">
        <v>134.97499999999999</v>
      </c>
      <c r="I83" s="102">
        <f>H83</f>
        <v>134.97499999999999</v>
      </c>
      <c r="J83" s="90">
        <f t="shared" ref="J83:M83" si="33">I83</f>
        <v>134.97499999999999</v>
      </c>
      <c r="K83" s="90">
        <f t="shared" si="33"/>
        <v>134.97499999999999</v>
      </c>
      <c r="L83" s="90">
        <f t="shared" si="33"/>
        <v>134.97499999999999</v>
      </c>
      <c r="M83" s="103">
        <f t="shared" si="33"/>
        <v>134.97499999999999</v>
      </c>
    </row>
    <row r="84" spans="4:13" x14ac:dyDescent="0.3">
      <c r="D84" t="s">
        <v>292</v>
      </c>
      <c r="F84" s="192">
        <v>89.534999999999997</v>
      </c>
      <c r="G84" s="193">
        <v>108.30800000000001</v>
      </c>
      <c r="H84" s="194">
        <v>75.370999999999995</v>
      </c>
      <c r="I84" s="102">
        <f>H84</f>
        <v>75.370999999999995</v>
      </c>
      <c r="J84" s="90">
        <f t="shared" ref="J84:M84" si="34">I84</f>
        <v>75.370999999999995</v>
      </c>
      <c r="K84" s="90">
        <f t="shared" si="34"/>
        <v>75.370999999999995</v>
      </c>
      <c r="L84" s="90">
        <f t="shared" si="34"/>
        <v>75.370999999999995</v>
      </c>
      <c r="M84" s="103">
        <f t="shared" si="34"/>
        <v>75.370999999999995</v>
      </c>
    </row>
    <row r="85" spans="4:13" x14ac:dyDescent="0.3">
      <c r="D85" t="s">
        <v>293</v>
      </c>
      <c r="F85" s="192">
        <v>93.289000000000001</v>
      </c>
      <c r="G85" s="193">
        <v>93.835999999999999</v>
      </c>
      <c r="H85" s="194">
        <v>123.937</v>
      </c>
      <c r="I85" s="102">
        <f>I$44*I24</f>
        <v>125.79605499999998</v>
      </c>
      <c r="J85" s="90">
        <f>J$44*J24</f>
        <v>129.94732481499997</v>
      </c>
      <c r="K85" s="90">
        <f>K$44*K24</f>
        <v>134.23558653389497</v>
      </c>
      <c r="L85" s="90">
        <f>L$44*L24</f>
        <v>139.33653882218297</v>
      </c>
      <c r="M85" s="103">
        <f>M$44*M24</f>
        <v>144.21331768095936</v>
      </c>
    </row>
    <row r="86" spans="4:13" x14ac:dyDescent="0.3">
      <c r="D86" s="7" t="s">
        <v>294</v>
      </c>
      <c r="E86" s="7"/>
      <c r="F86" s="109">
        <v>2394.799</v>
      </c>
      <c r="G86" s="110">
        <v>2530.527</v>
      </c>
      <c r="H86" s="111">
        <v>2918.203</v>
      </c>
      <c r="I86" s="109">
        <f>SUM(I76:I85)+I74</f>
        <v>3043.2771566000001</v>
      </c>
      <c r="J86" s="110">
        <f t="shared" ref="J86:M86" si="35">SUM(J76:J85)+J74</f>
        <v>3202.8703557069998</v>
      </c>
      <c r="K86" s="110">
        <f t="shared" si="35"/>
        <v>3389.4067977237301</v>
      </c>
      <c r="L86" s="110">
        <f t="shared" si="35"/>
        <v>3608.6059897117721</v>
      </c>
      <c r="M86" s="111">
        <f t="shared" si="35"/>
        <v>3856.672954062185</v>
      </c>
    </row>
    <row r="87" spans="4:13" x14ac:dyDescent="0.3">
      <c r="F87" s="102"/>
      <c r="G87" s="90"/>
      <c r="H87" s="103"/>
      <c r="I87" s="102"/>
      <c r="J87" s="90"/>
      <c r="K87" s="90"/>
      <c r="L87" s="90"/>
      <c r="M87" s="103"/>
    </row>
    <row r="88" spans="4:13" x14ac:dyDescent="0.3">
      <c r="D88" s="7" t="s">
        <v>319</v>
      </c>
      <c r="F88" s="102"/>
      <c r="G88" s="90"/>
      <c r="H88" s="103"/>
      <c r="I88" s="102"/>
      <c r="J88" s="90"/>
      <c r="K88" s="90"/>
      <c r="L88" s="90"/>
      <c r="M88" s="103"/>
    </row>
    <row r="89" spans="4:13" x14ac:dyDescent="0.3">
      <c r="D89" t="s">
        <v>295</v>
      </c>
      <c r="F89" s="192">
        <v>131.28399999999999</v>
      </c>
      <c r="G89" s="193">
        <v>134.86500000000001</v>
      </c>
      <c r="H89" s="194">
        <v>156.27600000000001</v>
      </c>
      <c r="I89" s="102">
        <f>I$45*I27</f>
        <v>158.62013999999999</v>
      </c>
      <c r="J89" s="90">
        <f>J$45*J27</f>
        <v>163.85460461999998</v>
      </c>
      <c r="K89" s="90">
        <f>K$45*K27</f>
        <v>169.26180657245996</v>
      </c>
      <c r="L89" s="90">
        <f>L$45*L27</f>
        <v>175.69375522221347</v>
      </c>
      <c r="M89" s="103">
        <f>M$45*M27</f>
        <v>181.8430366549909</v>
      </c>
    </row>
    <row r="90" spans="4:13" x14ac:dyDescent="0.3">
      <c r="D90" t="s">
        <v>296</v>
      </c>
      <c r="F90" s="192">
        <v>109.248</v>
      </c>
      <c r="G90" s="193">
        <v>136.72900000000001</v>
      </c>
      <c r="H90" s="194">
        <v>125.282</v>
      </c>
      <c r="I90" s="102">
        <f>I$45*I29</f>
        <v>127.16122999999999</v>
      </c>
      <c r="J90" s="90">
        <f>J$45*J29</f>
        <v>131.35755058999999</v>
      </c>
      <c r="K90" s="90">
        <f>K$45*K29</f>
        <v>135.69234975946998</v>
      </c>
      <c r="L90" s="90">
        <f>L$45*L29</f>
        <v>140.84865905032984</v>
      </c>
      <c r="M90" s="103">
        <f>M$45*M29</f>
        <v>145.77836211709138</v>
      </c>
    </row>
    <row r="91" spans="4:13" x14ac:dyDescent="0.3">
      <c r="D91" t="s">
        <v>227</v>
      </c>
      <c r="F91" s="192">
        <v>108.316</v>
      </c>
      <c r="G91" s="193">
        <v>102.114</v>
      </c>
      <c r="H91" s="194">
        <v>100.69799999999999</v>
      </c>
      <c r="I91" s="102">
        <f>I$44*I30</f>
        <v>102.20846999999998</v>
      </c>
      <c r="J91" s="90">
        <f>J$44*J30</f>
        <v>105.58134950999998</v>
      </c>
      <c r="K91" s="90">
        <f>K$44*K30</f>
        <v>109.06553404382997</v>
      </c>
      <c r="L91" s="90">
        <f>L$44*L30</f>
        <v>113.21002433749551</v>
      </c>
      <c r="M91" s="103">
        <f>M$44*M30</f>
        <v>117.17237518930784</v>
      </c>
    </row>
    <row r="92" spans="4:13" x14ac:dyDescent="0.3">
      <c r="D92" t="s">
        <v>226</v>
      </c>
      <c r="F92" s="192">
        <v>94.573999999999998</v>
      </c>
      <c r="G92" s="193">
        <v>89.013000000000005</v>
      </c>
      <c r="H92" s="194">
        <v>85.034999999999997</v>
      </c>
      <c r="I92" s="102">
        <f>H92</f>
        <v>85.034999999999997</v>
      </c>
      <c r="J92" s="90">
        <f t="shared" ref="J92:M92" si="36">I92</f>
        <v>85.034999999999997</v>
      </c>
      <c r="K92" s="90">
        <f t="shared" si="36"/>
        <v>85.034999999999997</v>
      </c>
      <c r="L92" s="90">
        <f t="shared" si="36"/>
        <v>85.034999999999997</v>
      </c>
      <c r="M92" s="103">
        <f t="shared" si="36"/>
        <v>85.034999999999997</v>
      </c>
    </row>
    <row r="93" spans="4:13" x14ac:dyDescent="0.3">
      <c r="D93" t="s">
        <v>205</v>
      </c>
      <c r="F93" s="192">
        <v>499.26799999999997</v>
      </c>
      <c r="G93" s="193">
        <v>0</v>
      </c>
      <c r="H93" s="194">
        <v>0</v>
      </c>
      <c r="I93" s="102">
        <f>H93</f>
        <v>0</v>
      </c>
      <c r="J93" s="90">
        <f t="shared" ref="J93:M93" si="37">I93</f>
        <v>0</v>
      </c>
      <c r="K93" s="90">
        <f t="shared" si="37"/>
        <v>0</v>
      </c>
      <c r="L93" s="90">
        <f t="shared" si="37"/>
        <v>0</v>
      </c>
      <c r="M93" s="103">
        <f t="shared" si="37"/>
        <v>0</v>
      </c>
    </row>
    <row r="94" spans="4:13" x14ac:dyDescent="0.3">
      <c r="D94" s="7" t="s">
        <v>297</v>
      </c>
      <c r="E94" s="7"/>
      <c r="F94" s="109">
        <v>942.69</v>
      </c>
      <c r="G94" s="110">
        <v>462.721</v>
      </c>
      <c r="H94" s="111">
        <v>467.291</v>
      </c>
      <c r="I94" s="109">
        <f>SUM(I89:I93)</f>
        <v>473.02483999999993</v>
      </c>
      <c r="J94" s="110">
        <f t="shared" ref="J94:M94" si="38">SUM(J89:J93)</f>
        <v>485.82850471999996</v>
      </c>
      <c r="K94" s="110">
        <f t="shared" si="38"/>
        <v>499.05469037575995</v>
      </c>
      <c r="L94" s="110">
        <f t="shared" si="38"/>
        <v>514.78743861003875</v>
      </c>
      <c r="M94" s="111">
        <f t="shared" si="38"/>
        <v>529.82877396139008</v>
      </c>
    </row>
    <row r="95" spans="4:13" x14ac:dyDescent="0.3">
      <c r="F95" s="104"/>
      <c r="G95" s="22"/>
      <c r="H95" s="105"/>
      <c r="I95" s="102"/>
      <c r="J95" s="90"/>
      <c r="K95" s="90"/>
      <c r="L95" s="90"/>
      <c r="M95" s="103"/>
    </row>
    <row r="96" spans="4:13" x14ac:dyDescent="0.3">
      <c r="D96" t="s">
        <v>298</v>
      </c>
      <c r="F96" s="192">
        <v>1068.751</v>
      </c>
      <c r="G96" s="193">
        <v>1768.5260000000001</v>
      </c>
      <c r="H96" s="194">
        <v>1906.1220000000001</v>
      </c>
      <c r="I96" s="102">
        <f>H96+I145</f>
        <v>1656.1220000000001</v>
      </c>
      <c r="J96" s="90">
        <f>I96+J145</f>
        <v>1431.1220000000001</v>
      </c>
      <c r="K96" s="90">
        <f>J96+K145</f>
        <v>1231.1220000000001</v>
      </c>
      <c r="L96" s="90">
        <f>K96+L145</f>
        <v>1056.1220000000001</v>
      </c>
      <c r="M96" s="103">
        <f>L96+M145</f>
        <v>906.12200000000007</v>
      </c>
    </row>
    <row r="97" spans="4:13" x14ac:dyDescent="0.3">
      <c r="D97" t="s">
        <v>299</v>
      </c>
      <c r="F97" s="192">
        <v>133.501</v>
      </c>
      <c r="G97" s="193">
        <v>132.25899999999999</v>
      </c>
      <c r="H97" s="194">
        <v>130.505</v>
      </c>
      <c r="I97" s="102">
        <f>I$44*I31</f>
        <v>132.46257499999999</v>
      </c>
      <c r="J97" s="90">
        <f>J$44*J31</f>
        <v>136.83383997499999</v>
      </c>
      <c r="K97" s="90">
        <f>K$44*K31</f>
        <v>141.34935669417499</v>
      </c>
      <c r="L97" s="90">
        <f>L$44*L31</f>
        <v>146.72063224855364</v>
      </c>
      <c r="M97" s="103">
        <f>M$44*M31</f>
        <v>151.855854377253</v>
      </c>
    </row>
    <row r="98" spans="4:13" x14ac:dyDescent="0.3">
      <c r="D98" t="s">
        <v>315</v>
      </c>
      <c r="F98" s="192">
        <v>45.656999999999996</v>
      </c>
      <c r="G98" s="193">
        <v>53.316000000000003</v>
      </c>
      <c r="H98" s="194">
        <v>56.531999999999996</v>
      </c>
      <c r="I98" s="102">
        <f>H98</f>
        <v>56.531999999999996</v>
      </c>
      <c r="J98" s="90">
        <f t="shared" ref="J98:M98" si="39">I98</f>
        <v>56.531999999999996</v>
      </c>
      <c r="K98" s="90">
        <f t="shared" si="39"/>
        <v>56.531999999999996</v>
      </c>
      <c r="L98" s="90">
        <f t="shared" si="39"/>
        <v>56.531999999999996</v>
      </c>
      <c r="M98" s="103">
        <f t="shared" si="39"/>
        <v>56.531999999999996</v>
      </c>
    </row>
    <row r="99" spans="4:13" x14ac:dyDescent="0.3">
      <c r="D99" t="s">
        <v>292</v>
      </c>
      <c r="F99" s="192">
        <v>8.6010000000000009</v>
      </c>
      <c r="G99" s="193">
        <v>0</v>
      </c>
      <c r="H99" s="194">
        <v>25.303000000000001</v>
      </c>
      <c r="I99" s="102">
        <f>H99</f>
        <v>25.303000000000001</v>
      </c>
      <c r="J99" s="90">
        <f t="shared" ref="J99:M99" si="40">I99</f>
        <v>25.303000000000001</v>
      </c>
      <c r="K99" s="90">
        <f t="shared" si="40"/>
        <v>25.303000000000001</v>
      </c>
      <c r="L99" s="90">
        <f t="shared" si="40"/>
        <v>25.303000000000001</v>
      </c>
      <c r="M99" s="103">
        <f t="shared" si="40"/>
        <v>25.303000000000001</v>
      </c>
    </row>
    <row r="100" spans="4:13" x14ac:dyDescent="0.3">
      <c r="D100" t="s">
        <v>300</v>
      </c>
      <c r="F100" s="192">
        <v>109.483</v>
      </c>
      <c r="G100" s="193">
        <v>113.255</v>
      </c>
      <c r="H100" s="194">
        <v>107.96299999999999</v>
      </c>
      <c r="I100" s="102">
        <f>H100</f>
        <v>107.96299999999999</v>
      </c>
      <c r="J100" s="90">
        <f t="shared" ref="J100:M100" si="41">I100</f>
        <v>107.96299999999999</v>
      </c>
      <c r="K100" s="90">
        <f t="shared" si="41"/>
        <v>107.96299999999999</v>
      </c>
      <c r="L100" s="90">
        <f t="shared" si="41"/>
        <v>107.96299999999999</v>
      </c>
      <c r="M100" s="103">
        <f t="shared" si="41"/>
        <v>107.96299999999999</v>
      </c>
    </row>
    <row r="101" spans="4:13" x14ac:dyDescent="0.3">
      <c r="D101" t="s">
        <v>226</v>
      </c>
      <c r="F101" s="192">
        <v>43.265999999999998</v>
      </c>
      <c r="G101" s="193">
        <v>40.606999999999999</v>
      </c>
      <c r="H101" s="194">
        <v>39.771000000000001</v>
      </c>
      <c r="I101" s="102">
        <f>H101</f>
        <v>39.771000000000001</v>
      </c>
      <c r="J101" s="90">
        <f t="shared" ref="J101:M101" si="42">I101</f>
        <v>39.771000000000001</v>
      </c>
      <c r="K101" s="90">
        <f t="shared" si="42"/>
        <v>39.771000000000001</v>
      </c>
      <c r="L101" s="90">
        <f t="shared" si="42"/>
        <v>39.771000000000001</v>
      </c>
      <c r="M101" s="103">
        <f t="shared" si="42"/>
        <v>39.771000000000001</v>
      </c>
    </row>
    <row r="102" spans="4:13" x14ac:dyDescent="0.3">
      <c r="D102" t="s">
        <v>301</v>
      </c>
      <c r="F102" s="192">
        <v>7.2519999999999998</v>
      </c>
      <c r="G102" s="193">
        <v>5.1139999999999999</v>
      </c>
      <c r="H102" s="194">
        <v>3.4870000000000001</v>
      </c>
      <c r="I102" s="102">
        <f>H102</f>
        <v>3.4870000000000001</v>
      </c>
      <c r="J102" s="90">
        <f t="shared" ref="J102:M102" si="43">I102</f>
        <v>3.4870000000000001</v>
      </c>
      <c r="K102" s="90">
        <f t="shared" si="43"/>
        <v>3.4870000000000001</v>
      </c>
      <c r="L102" s="90">
        <f t="shared" si="43"/>
        <v>3.4870000000000001</v>
      </c>
      <c r="M102" s="103">
        <f t="shared" si="43"/>
        <v>3.4870000000000001</v>
      </c>
    </row>
    <row r="103" spans="4:13" x14ac:dyDescent="0.3">
      <c r="D103" s="7" t="s">
        <v>302</v>
      </c>
      <c r="E103" s="7"/>
      <c r="F103" s="109">
        <v>2359.201</v>
      </c>
      <c r="G103" s="110">
        <v>2575.7979999999998</v>
      </c>
      <c r="H103" s="111">
        <v>2736.9740000000002</v>
      </c>
      <c r="I103" s="109">
        <f>SUM(I96:I102)+I94</f>
        <v>2494.6654149999999</v>
      </c>
      <c r="J103" s="110">
        <f t="shared" ref="J103:M103" si="44">SUM(J96:J102)+J94</f>
        <v>2286.8403446950001</v>
      </c>
      <c r="K103" s="110">
        <f t="shared" si="44"/>
        <v>2104.582047069935</v>
      </c>
      <c r="L103" s="110">
        <f t="shared" si="44"/>
        <v>1950.6860708585923</v>
      </c>
      <c r="M103" s="111">
        <f t="shared" si="44"/>
        <v>1820.8626283386434</v>
      </c>
    </row>
    <row r="104" spans="4:13" x14ac:dyDescent="0.3">
      <c r="F104" s="102"/>
      <c r="G104" s="90"/>
      <c r="H104" s="103"/>
      <c r="I104" s="102"/>
      <c r="J104" s="90"/>
      <c r="K104" s="90"/>
      <c r="L104" s="90"/>
      <c r="M104" s="103"/>
    </row>
    <row r="105" spans="4:13" x14ac:dyDescent="0.3">
      <c r="D105" s="7" t="s">
        <v>64</v>
      </c>
      <c r="F105" s="102"/>
      <c r="G105" s="90"/>
      <c r="H105" s="103"/>
      <c r="I105" s="102"/>
      <c r="J105" s="90"/>
      <c r="K105" s="90"/>
      <c r="L105" s="90"/>
      <c r="M105" s="103"/>
    </row>
    <row r="106" spans="4:13" x14ac:dyDescent="0.3">
      <c r="D106" t="s">
        <v>316</v>
      </c>
      <c r="F106" s="192">
        <v>0.95099999999999996</v>
      </c>
      <c r="G106" s="193">
        <v>0.95099999999999996</v>
      </c>
      <c r="H106" s="194">
        <v>0.95099999999999996</v>
      </c>
      <c r="I106" s="102">
        <f>H106</f>
        <v>0.95099999999999996</v>
      </c>
      <c r="J106" s="90">
        <f t="shared" ref="J106:M106" si="45">I106</f>
        <v>0.95099999999999996</v>
      </c>
      <c r="K106" s="90">
        <f t="shared" si="45"/>
        <v>0.95099999999999996</v>
      </c>
      <c r="L106" s="90">
        <f t="shared" si="45"/>
        <v>0.95099999999999996</v>
      </c>
      <c r="M106" s="103">
        <f t="shared" si="45"/>
        <v>0.95099999999999996</v>
      </c>
    </row>
    <row r="107" spans="4:13" x14ac:dyDescent="0.3">
      <c r="D107" t="s">
        <v>303</v>
      </c>
      <c r="F107" s="192">
        <v>330.75</v>
      </c>
      <c r="G107" s="193">
        <v>370.20100000000002</v>
      </c>
      <c r="H107" s="194">
        <v>403.92700000000002</v>
      </c>
      <c r="I107" s="102">
        <f>H107</f>
        <v>403.92700000000002</v>
      </c>
      <c r="J107" s="90">
        <f t="shared" ref="J107:M107" si="46">I107</f>
        <v>403.92700000000002</v>
      </c>
      <c r="K107" s="90">
        <f t="shared" si="46"/>
        <v>403.92700000000002</v>
      </c>
      <c r="L107" s="90">
        <f t="shared" si="46"/>
        <v>403.92700000000002</v>
      </c>
      <c r="M107" s="103">
        <f t="shared" si="46"/>
        <v>403.92700000000002</v>
      </c>
    </row>
    <row r="108" spans="4:13" x14ac:dyDescent="0.3">
      <c r="D108" t="s">
        <v>304</v>
      </c>
      <c r="F108" s="192">
        <v>-5.6710000000000003</v>
      </c>
      <c r="G108" s="193">
        <v>-6.1929999999999996</v>
      </c>
      <c r="H108" s="194">
        <v>-5.3070000000000004</v>
      </c>
      <c r="I108" s="102">
        <f>H108</f>
        <v>-5.3070000000000004</v>
      </c>
      <c r="J108" s="90">
        <f>I108</f>
        <v>-5.3070000000000004</v>
      </c>
      <c r="K108" s="90">
        <f t="shared" ref="K108:M108" si="47">J108</f>
        <v>-5.3070000000000004</v>
      </c>
      <c r="L108" s="90">
        <f t="shared" si="47"/>
        <v>-5.3070000000000004</v>
      </c>
      <c r="M108" s="103">
        <f t="shared" si="47"/>
        <v>-5.3070000000000004</v>
      </c>
    </row>
    <row r="109" spans="4:13" x14ac:dyDescent="0.3">
      <c r="D109" t="s">
        <v>317</v>
      </c>
      <c r="F109" s="192">
        <v>-2046.7909999999999</v>
      </c>
      <c r="G109" s="193">
        <v>-2411.527</v>
      </c>
      <c r="H109" s="194">
        <v>-2536.373</v>
      </c>
      <c r="I109" s="102">
        <f>H109</f>
        <v>-2536.373</v>
      </c>
      <c r="J109" s="90">
        <f t="shared" ref="J109:M109" si="48">I109</f>
        <v>-2536.373</v>
      </c>
      <c r="K109" s="90">
        <f t="shared" si="48"/>
        <v>-2536.373</v>
      </c>
      <c r="L109" s="90">
        <f t="shared" si="48"/>
        <v>-2536.373</v>
      </c>
      <c r="M109" s="103">
        <f t="shared" si="48"/>
        <v>-2536.373</v>
      </c>
    </row>
    <row r="110" spans="4:13" x14ac:dyDescent="0.3">
      <c r="D110" t="s">
        <v>305</v>
      </c>
      <c r="F110" s="192">
        <v>1756.3589999999999</v>
      </c>
      <c r="G110" s="193">
        <v>2001.297</v>
      </c>
      <c r="H110" s="194">
        <v>2318.0309999999999</v>
      </c>
      <c r="I110" s="102">
        <f>H110+I61+I142+I143</f>
        <v>2685.4137415999999</v>
      </c>
      <c r="J110" s="90">
        <f>I110+J61+J142+J143</f>
        <v>3052.8320110119998</v>
      </c>
      <c r="K110" s="90">
        <f>J110+K61+K142+K143</f>
        <v>3421.6267506537961</v>
      </c>
      <c r="L110" s="90">
        <f>K110+L61+L142+L143</f>
        <v>3794.7219188531799</v>
      </c>
      <c r="M110" s="103">
        <f>L110+M61+M142+M143</f>
        <v>4172.6123257235422</v>
      </c>
    </row>
    <row r="111" spans="4:13" x14ac:dyDescent="0.3">
      <c r="D111" s="7" t="s">
        <v>306</v>
      </c>
      <c r="E111" s="7"/>
      <c r="F111" s="112">
        <v>35.597999999999999</v>
      </c>
      <c r="G111" s="113">
        <v>-45.271000000000001</v>
      </c>
      <c r="H111" s="114">
        <v>181.22900000000001</v>
      </c>
      <c r="I111" s="112">
        <f>SUM(I106:I110)</f>
        <v>548.61174159999973</v>
      </c>
      <c r="J111" s="113">
        <f t="shared" ref="J111:M111" si="49">SUM(J106:J110)</f>
        <v>916.0300110119997</v>
      </c>
      <c r="K111" s="113">
        <f t="shared" si="49"/>
        <v>1284.8247506537959</v>
      </c>
      <c r="L111" s="113">
        <f t="shared" si="49"/>
        <v>1657.9199188531798</v>
      </c>
      <c r="M111" s="114">
        <f t="shared" si="49"/>
        <v>2035.8103257235421</v>
      </c>
    </row>
    <row r="112" spans="4:13" x14ac:dyDescent="0.3">
      <c r="D112" s="7" t="s">
        <v>307</v>
      </c>
      <c r="E112" s="7"/>
      <c r="F112" s="106">
        <v>2394.799</v>
      </c>
      <c r="G112" s="107">
        <v>2530.527</v>
      </c>
      <c r="H112" s="108">
        <v>2918.203</v>
      </c>
      <c r="I112" s="106">
        <f>I103+I111</f>
        <v>3043.2771565999997</v>
      </c>
      <c r="J112" s="107">
        <f t="shared" ref="J112:M112" si="50">J103+J111</f>
        <v>3202.8703557069998</v>
      </c>
      <c r="K112" s="107">
        <f t="shared" si="50"/>
        <v>3389.406797723731</v>
      </c>
      <c r="L112" s="107">
        <f t="shared" si="50"/>
        <v>3608.6059897117721</v>
      </c>
      <c r="M112" s="108">
        <f t="shared" si="50"/>
        <v>3856.6729540621855</v>
      </c>
    </row>
    <row r="114" spans="4:13" x14ac:dyDescent="0.3">
      <c r="D114" s="117" t="s">
        <v>69</v>
      </c>
      <c r="E114" s="118"/>
      <c r="F114" s="119">
        <f>IF(F112=F86,F86-F112,F86-F112)</f>
        <v>0</v>
      </c>
      <c r="G114" s="119">
        <f t="shared" ref="G114:M114" si="51">IF(G112=G86,G86-G112,G86-G112)</f>
        <v>0</v>
      </c>
      <c r="H114" s="119">
        <f t="shared" si="51"/>
        <v>0</v>
      </c>
      <c r="I114" s="119">
        <f>IF(I112=I86,I86-I112,I86-I112)</f>
        <v>4.5474735088646412E-13</v>
      </c>
      <c r="J114" s="119">
        <f t="shared" si="51"/>
        <v>0</v>
      </c>
      <c r="K114" s="119">
        <f t="shared" si="51"/>
        <v>-9.0949470177292824E-13</v>
      </c>
      <c r="L114" s="119">
        <f t="shared" si="51"/>
        <v>0</v>
      </c>
      <c r="M114" s="119">
        <f t="shared" si="51"/>
        <v>-4.5474735088646412E-13</v>
      </c>
    </row>
    <row r="116" spans="4:13" x14ac:dyDescent="0.3">
      <c r="D116" s="6" t="s">
        <v>324</v>
      </c>
      <c r="E116" s="6"/>
      <c r="F116" s="6"/>
      <c r="G116" s="6"/>
      <c r="H116" s="6"/>
      <c r="I116" s="6"/>
      <c r="J116" s="6"/>
      <c r="K116" s="6"/>
      <c r="L116" s="6"/>
      <c r="M116" s="6"/>
    </row>
    <row r="117" spans="4:13" x14ac:dyDescent="0.3">
      <c r="F117" s="233" t="s">
        <v>265</v>
      </c>
      <c r="G117" s="234"/>
      <c r="H117" s="235"/>
      <c r="I117" s="233" t="s">
        <v>320</v>
      </c>
      <c r="J117" s="234"/>
      <c r="K117" s="234"/>
      <c r="L117" s="234"/>
      <c r="M117" s="235"/>
    </row>
    <row r="118" spans="4:13" x14ac:dyDescent="0.3">
      <c r="D118" s="9"/>
      <c r="E118" s="9"/>
      <c r="F118" s="123" t="s">
        <v>189</v>
      </c>
      <c r="G118" s="74" t="s">
        <v>190</v>
      </c>
      <c r="H118" s="124" t="s">
        <v>187</v>
      </c>
      <c r="I118" s="123" t="s">
        <v>235</v>
      </c>
      <c r="J118" s="74" t="s">
        <v>236</v>
      </c>
      <c r="K118" s="74" t="s">
        <v>321</v>
      </c>
      <c r="L118" s="74" t="s">
        <v>322</v>
      </c>
      <c r="M118" s="124" t="s">
        <v>323</v>
      </c>
    </row>
    <row r="119" spans="4:13" x14ac:dyDescent="0.3">
      <c r="D119" s="7" t="s">
        <v>347</v>
      </c>
      <c r="F119" s="125"/>
      <c r="G119" s="126"/>
      <c r="H119" s="127"/>
      <c r="I119" s="104"/>
      <c r="J119" s="22"/>
      <c r="K119" s="22"/>
      <c r="L119" s="22"/>
      <c r="M119" s="105"/>
    </row>
    <row r="120" spans="4:13" x14ac:dyDescent="0.3">
      <c r="D120" t="s">
        <v>42</v>
      </c>
      <c r="F120" s="125"/>
      <c r="G120" s="126"/>
      <c r="H120" s="128"/>
      <c r="I120" s="102">
        <f>I61</f>
        <v>431.70532159999982</v>
      </c>
      <c r="J120" s="90">
        <f t="shared" ref="J120:M120" si="52">J61</f>
        <v>433.86349455199979</v>
      </c>
      <c r="K120" s="90">
        <f t="shared" si="52"/>
        <v>437.4326572114158</v>
      </c>
      <c r="L120" s="90">
        <f t="shared" si="52"/>
        <v>444.34132663664957</v>
      </c>
      <c r="M120" s="103">
        <f t="shared" si="52"/>
        <v>451.63018085293226</v>
      </c>
    </row>
    <row r="121" spans="4:13" x14ac:dyDescent="0.3">
      <c r="D121" t="s">
        <v>348</v>
      </c>
      <c r="F121" s="125"/>
      <c r="G121" s="126"/>
      <c r="H121" s="127"/>
      <c r="I121" s="102">
        <f>I48</f>
        <v>60.610725000000002</v>
      </c>
      <c r="J121" s="90">
        <f t="shared" ref="J121:M121" si="53">J48</f>
        <v>62.610878925000002</v>
      </c>
      <c r="K121" s="90">
        <f t="shared" si="53"/>
        <v>64.677037929525</v>
      </c>
      <c r="L121" s="90">
        <f t="shared" si="53"/>
        <v>67.134765370846949</v>
      </c>
      <c r="M121" s="103">
        <f t="shared" si="53"/>
        <v>69.484482158826594</v>
      </c>
    </row>
    <row r="122" spans="4:13" x14ac:dyDescent="0.3">
      <c r="D122" t="s">
        <v>349</v>
      </c>
      <c r="F122" s="125"/>
      <c r="G122" s="126"/>
      <c r="H122" s="127"/>
      <c r="I122" s="102">
        <f>I25</f>
        <v>80</v>
      </c>
      <c r="J122" s="90">
        <f t="shared" ref="J122:M122" si="54">J25</f>
        <v>64</v>
      </c>
      <c r="K122" s="90">
        <f t="shared" si="54"/>
        <v>51.2</v>
      </c>
      <c r="L122" s="90">
        <f t="shared" si="54"/>
        <v>40.960000000000008</v>
      </c>
      <c r="M122" s="103">
        <f t="shared" si="54"/>
        <v>32.768000000000008</v>
      </c>
    </row>
    <row r="123" spans="4:13" x14ac:dyDescent="0.3">
      <c r="D123" t="s">
        <v>369</v>
      </c>
      <c r="F123" s="125"/>
      <c r="G123" s="126"/>
      <c r="H123" s="127"/>
      <c r="I123" s="102">
        <v>0</v>
      </c>
      <c r="J123" s="90">
        <v>0</v>
      </c>
      <c r="K123" s="90">
        <v>0</v>
      </c>
      <c r="L123" s="90">
        <v>0</v>
      </c>
      <c r="M123" s="103">
        <v>0</v>
      </c>
    </row>
    <row r="124" spans="4:13" x14ac:dyDescent="0.3">
      <c r="D124" s="7" t="s">
        <v>350</v>
      </c>
      <c r="F124" s="125"/>
      <c r="G124" s="126"/>
      <c r="H124" s="127"/>
      <c r="I124" s="102"/>
      <c r="J124" s="90"/>
      <c r="K124" s="90"/>
      <c r="L124" s="90"/>
      <c r="M124" s="103"/>
    </row>
    <row r="125" spans="4:13" x14ac:dyDescent="0.3">
      <c r="D125" t="s">
        <v>351</v>
      </c>
      <c r="F125" s="125"/>
      <c r="G125" s="126"/>
      <c r="H125" s="127"/>
      <c r="I125" s="102">
        <f>H70-I70</f>
        <v>-3.1123649999999827</v>
      </c>
      <c r="J125" s="90">
        <f t="shared" ref="J125:M125" si="55">I70-J70</f>
        <v>-6.9499110449999932</v>
      </c>
      <c r="K125" s="90">
        <f t="shared" si="55"/>
        <v>-7.1792581094849766</v>
      </c>
      <c r="L125" s="90">
        <f t="shared" si="55"/>
        <v>-8.539836297870437</v>
      </c>
      <c r="M125" s="103">
        <f t="shared" si="55"/>
        <v>-8.1645329658324215</v>
      </c>
    </row>
    <row r="126" spans="4:13" x14ac:dyDescent="0.3">
      <c r="D126" t="s">
        <v>221</v>
      </c>
      <c r="F126" s="125"/>
      <c r="G126" s="126"/>
      <c r="H126" s="127"/>
      <c r="I126" s="102">
        <f>H73-I73</f>
        <v>-0.68052000000000135</v>
      </c>
      <c r="J126" s="90">
        <f t="shared" ref="J126:M126" si="56">I73-J73</f>
        <v>-1.5196011599999935</v>
      </c>
      <c r="K126" s="90">
        <f t="shared" si="56"/>
        <v>-1.5697479982800004</v>
      </c>
      <c r="L126" s="90">
        <f t="shared" si="56"/>
        <v>-1.8672390280146374</v>
      </c>
      <c r="M126" s="103">
        <f t="shared" si="56"/>
        <v>-1.7851787865203121</v>
      </c>
    </row>
    <row r="127" spans="4:13" x14ac:dyDescent="0.3">
      <c r="D127" t="s">
        <v>37</v>
      </c>
      <c r="F127" s="125"/>
      <c r="G127" s="126"/>
      <c r="H127" s="127"/>
      <c r="I127" s="102">
        <f>I89-H89</f>
        <v>2.3441399999999817</v>
      </c>
      <c r="J127" s="90">
        <f>J89-I89</f>
        <v>5.2344646199999829</v>
      </c>
      <c r="K127" s="90">
        <f>K89-J89</f>
        <v>5.4072019524599853</v>
      </c>
      <c r="L127" s="90">
        <f>L89-K89</f>
        <v>6.4319486497535081</v>
      </c>
      <c r="M127" s="103">
        <f>M89-L89</f>
        <v>6.1492814327774283</v>
      </c>
    </row>
    <row r="128" spans="4:13" x14ac:dyDescent="0.3">
      <c r="D128" t="s">
        <v>223</v>
      </c>
      <c r="F128" s="125"/>
      <c r="G128" s="126"/>
      <c r="H128" s="127"/>
      <c r="I128" s="102">
        <f>(I91+I97)-(H91+H97)</f>
        <v>3.4680449999999894</v>
      </c>
      <c r="J128" s="90">
        <f>(J91+J97)-(I91+I97)</f>
        <v>7.7441444850000209</v>
      </c>
      <c r="K128" s="90">
        <f>(K91+K97)-(J91+J97)</f>
        <v>7.9997012530049574</v>
      </c>
      <c r="L128" s="90">
        <f>(L91+L97)-(K91+K97)</f>
        <v>9.5157658480442251</v>
      </c>
      <c r="M128" s="103">
        <f>(M91+M97)-(L91+L97)</f>
        <v>9.0975729805116998</v>
      </c>
    </row>
    <row r="129" spans="4:13" x14ac:dyDescent="0.3">
      <c r="D129" t="s">
        <v>352</v>
      </c>
      <c r="F129" s="125"/>
      <c r="G129" s="126"/>
      <c r="H129" s="127"/>
      <c r="I129" s="102">
        <f>I90-H90</f>
        <v>1.8792299999999926</v>
      </c>
      <c r="J129" s="90">
        <f>J90-I90</f>
        <v>4.1963205899999991</v>
      </c>
      <c r="K129" s="90">
        <f>K90-J90</f>
        <v>4.3347991694699886</v>
      </c>
      <c r="L129" s="90">
        <f>L90-K90</f>
        <v>5.1563092908598662</v>
      </c>
      <c r="M129" s="103">
        <f>M90-L90</f>
        <v>4.9297030667615331</v>
      </c>
    </row>
    <row r="130" spans="4:13" x14ac:dyDescent="0.3">
      <c r="D130" s="7" t="s">
        <v>353</v>
      </c>
      <c r="F130" s="125"/>
      <c r="G130" s="126"/>
      <c r="H130" s="127"/>
      <c r="I130" s="109">
        <f>SUM(I120:I129)</f>
        <v>576.21457659999976</v>
      </c>
      <c r="J130" s="110">
        <f>SUM(J120:J129)</f>
        <v>569.17979096699969</v>
      </c>
      <c r="K130" s="110">
        <f>SUM(K120:K129)</f>
        <v>562.30239140811068</v>
      </c>
      <c r="L130" s="110">
        <f>SUM(L120:L129)</f>
        <v>563.13304047026907</v>
      </c>
      <c r="M130" s="111">
        <f>SUM(M120:M129)</f>
        <v>564.10950873945671</v>
      </c>
    </row>
    <row r="131" spans="4:13" x14ac:dyDescent="0.3">
      <c r="F131" s="125"/>
      <c r="G131" s="126"/>
      <c r="H131" s="127"/>
      <c r="I131" s="104"/>
      <c r="J131" s="22"/>
      <c r="K131" s="22"/>
      <c r="L131" s="22"/>
      <c r="M131" s="105"/>
    </row>
    <row r="132" spans="4:13" x14ac:dyDescent="0.3">
      <c r="D132" s="7" t="s">
        <v>354</v>
      </c>
      <c r="F132" s="125"/>
      <c r="G132" s="126"/>
      <c r="H132" s="127"/>
      <c r="I132" s="104"/>
      <c r="J132" s="22"/>
      <c r="K132" s="22"/>
      <c r="L132" s="22"/>
      <c r="M132" s="105"/>
    </row>
    <row r="133" spans="4:13" x14ac:dyDescent="0.3">
      <c r="D133" t="s">
        <v>355</v>
      </c>
      <c r="F133" s="125"/>
      <c r="G133" s="126"/>
      <c r="H133" s="127"/>
      <c r="I133" s="102">
        <v>0</v>
      </c>
      <c r="J133" s="90">
        <v>0</v>
      </c>
      <c r="K133" s="90">
        <v>0</v>
      </c>
      <c r="L133" s="90">
        <v>0</v>
      </c>
      <c r="M133" s="103">
        <v>0</v>
      </c>
    </row>
    <row r="134" spans="4:13" x14ac:dyDescent="0.3">
      <c r="D134" t="s">
        <v>356</v>
      </c>
      <c r="F134" s="125"/>
      <c r="G134" s="126"/>
      <c r="H134" s="127"/>
      <c r="I134" s="102">
        <v>0</v>
      </c>
      <c r="J134" s="90">
        <v>0</v>
      </c>
      <c r="K134" s="90">
        <v>0</v>
      </c>
      <c r="L134" s="90">
        <v>0</v>
      </c>
      <c r="M134" s="103">
        <v>0</v>
      </c>
    </row>
    <row r="135" spans="4:13" x14ac:dyDescent="0.3">
      <c r="D135" t="s">
        <v>357</v>
      </c>
      <c r="F135" s="125"/>
      <c r="G135" s="126"/>
      <c r="H135" s="127"/>
      <c r="I135" s="102">
        <f>(H85-I85)</f>
        <v>-1.8590549999999837</v>
      </c>
      <c r="J135" s="90">
        <f t="shared" ref="J135:M135" si="57">(I85-J85)</f>
        <v>-4.151269814999992</v>
      </c>
      <c r="K135" s="90">
        <f t="shared" si="57"/>
        <v>-4.2882617188950007</v>
      </c>
      <c r="L135" s="90">
        <f t="shared" si="57"/>
        <v>-5.1009522882879992</v>
      </c>
      <c r="M135" s="103">
        <f t="shared" si="57"/>
        <v>-4.8767788587763903</v>
      </c>
    </row>
    <row r="136" spans="4:13" x14ac:dyDescent="0.3">
      <c r="D136" t="s">
        <v>358</v>
      </c>
      <c r="F136" s="125"/>
      <c r="G136" s="126"/>
      <c r="H136" s="127"/>
      <c r="I136" s="102">
        <f>-I44*I33</f>
        <v>-39.507859999999994</v>
      </c>
      <c r="J136" s="90">
        <f>-J44*J33</f>
        <v>-40.811619379999996</v>
      </c>
      <c r="K136" s="90">
        <f>-K44*K33</f>
        <v>-42.158402819539994</v>
      </c>
      <c r="L136" s="90">
        <f>-L44*L33</f>
        <v>-43.760422126682514</v>
      </c>
      <c r="M136" s="103">
        <f>-M44*M33</f>
        <v>-45.292036901116397</v>
      </c>
    </row>
    <row r="137" spans="4:13" x14ac:dyDescent="0.3">
      <c r="D137" t="s">
        <v>359</v>
      </c>
      <c r="F137" s="125"/>
      <c r="G137" s="126"/>
      <c r="H137" s="127"/>
      <c r="I137" s="102">
        <v>0</v>
      </c>
      <c r="J137" s="90">
        <v>0</v>
      </c>
      <c r="K137" s="90">
        <v>0</v>
      </c>
      <c r="L137" s="90">
        <v>0</v>
      </c>
      <c r="M137" s="103">
        <v>0</v>
      </c>
    </row>
    <row r="138" spans="4:13" x14ac:dyDescent="0.3">
      <c r="D138" t="s">
        <v>360</v>
      </c>
      <c r="F138" s="125"/>
      <c r="G138" s="126"/>
      <c r="H138" s="127"/>
      <c r="I138" s="102">
        <v>0</v>
      </c>
      <c r="J138" s="90">
        <v>0</v>
      </c>
      <c r="K138" s="90">
        <v>0</v>
      </c>
      <c r="L138" s="90">
        <v>0</v>
      </c>
      <c r="M138" s="103">
        <v>0</v>
      </c>
    </row>
    <row r="139" spans="4:13" x14ac:dyDescent="0.3">
      <c r="D139" s="7" t="s">
        <v>361</v>
      </c>
      <c r="F139" s="125"/>
      <c r="G139" s="126"/>
      <c r="H139" s="127"/>
      <c r="I139" s="109">
        <f>SUM(I133:I138)</f>
        <v>-41.366914999999977</v>
      </c>
      <c r="J139" s="110">
        <f t="shared" ref="J139:M139" si="58">SUM(J133:J138)</f>
        <v>-44.962889194999988</v>
      </c>
      <c r="K139" s="110">
        <f t="shared" si="58"/>
        <v>-46.446664538434995</v>
      </c>
      <c r="L139" s="110">
        <f t="shared" si="58"/>
        <v>-48.861374414970513</v>
      </c>
      <c r="M139" s="111">
        <f t="shared" si="58"/>
        <v>-50.168815759892787</v>
      </c>
    </row>
    <row r="140" spans="4:13" x14ac:dyDescent="0.3">
      <c r="F140" s="125"/>
      <c r="G140" s="126"/>
      <c r="H140" s="127"/>
      <c r="I140" s="104"/>
      <c r="J140" s="22"/>
      <c r="K140" s="22"/>
      <c r="L140" s="22"/>
      <c r="M140" s="105"/>
    </row>
    <row r="141" spans="4:13" x14ac:dyDescent="0.3">
      <c r="D141" s="7" t="s">
        <v>362</v>
      </c>
      <c r="F141" s="125"/>
      <c r="G141" s="126"/>
      <c r="H141" s="127"/>
      <c r="I141" s="104"/>
      <c r="J141" s="22"/>
      <c r="K141" s="22"/>
      <c r="L141" s="22"/>
      <c r="M141" s="105"/>
    </row>
    <row r="142" spans="4:13" x14ac:dyDescent="0.3">
      <c r="D142" t="s">
        <v>363</v>
      </c>
      <c r="F142" s="125"/>
      <c r="G142" s="126"/>
      <c r="H142" s="127"/>
      <c r="I142" s="102">
        <f>-I38</f>
        <v>-10.048499999999999</v>
      </c>
      <c r="J142" s="90">
        <f>-J38</f>
        <v>-10.380100499999999</v>
      </c>
      <c r="K142" s="90">
        <f>-K38</f>
        <v>-10.722643816499998</v>
      </c>
      <c r="L142" s="90">
        <f>-L38</f>
        <v>-11.130104281526998</v>
      </c>
      <c r="M142" s="103">
        <f>-M38</f>
        <v>-11.519657931380443</v>
      </c>
    </row>
    <row r="143" spans="4:13" x14ac:dyDescent="0.3">
      <c r="D143" t="s">
        <v>364</v>
      </c>
      <c r="F143" s="125"/>
      <c r="G143" s="126"/>
      <c r="H143" s="127"/>
      <c r="I143" s="102">
        <f>-I37</f>
        <v>-54.274079999999998</v>
      </c>
      <c r="J143" s="90">
        <f>-J37</f>
        <v>-56.065124639999993</v>
      </c>
      <c r="K143" s="90">
        <f>-K37</f>
        <v>-57.91527375311999</v>
      </c>
      <c r="L143" s="90">
        <f>-L37</f>
        <v>-60.116054155738553</v>
      </c>
      <c r="M143" s="103">
        <f>-M37</f>
        <v>-62.220116051189393</v>
      </c>
    </row>
    <row r="144" spans="4:13" x14ac:dyDescent="0.3">
      <c r="D144" t="s">
        <v>365</v>
      </c>
      <c r="F144" s="125"/>
      <c r="G144" s="126"/>
      <c r="H144" s="127"/>
      <c r="I144" s="102">
        <v>0</v>
      </c>
      <c r="J144" s="90">
        <v>0</v>
      </c>
      <c r="K144" s="90">
        <v>0</v>
      </c>
      <c r="L144" s="90">
        <v>0</v>
      </c>
      <c r="M144" s="103">
        <v>0</v>
      </c>
    </row>
    <row r="145" spans="4:13" x14ac:dyDescent="0.3">
      <c r="D145" t="s">
        <v>346</v>
      </c>
      <c r="F145" s="125"/>
      <c r="G145" s="126"/>
      <c r="H145" s="127"/>
      <c r="I145" s="102">
        <f>-I39</f>
        <v>-250</v>
      </c>
      <c r="J145" s="90">
        <f t="shared" ref="J145:M145" si="59">-J39</f>
        <v>-225</v>
      </c>
      <c r="K145" s="90">
        <f t="shared" si="59"/>
        <v>-200</v>
      </c>
      <c r="L145" s="90">
        <f t="shared" si="59"/>
        <v>-175</v>
      </c>
      <c r="M145" s="103">
        <f t="shared" si="59"/>
        <v>-150</v>
      </c>
    </row>
    <row r="146" spans="4:13" x14ac:dyDescent="0.3">
      <c r="D146" t="s">
        <v>366</v>
      </c>
      <c r="F146" s="125"/>
      <c r="G146" s="126"/>
      <c r="H146" s="127"/>
      <c r="I146" s="102">
        <v>0</v>
      </c>
      <c r="J146" s="90">
        <v>0</v>
      </c>
      <c r="K146" s="90">
        <v>0</v>
      </c>
      <c r="L146" s="90">
        <v>0</v>
      </c>
      <c r="M146" s="103">
        <v>0</v>
      </c>
    </row>
    <row r="147" spans="4:13" x14ac:dyDescent="0.3">
      <c r="D147" s="7" t="s">
        <v>367</v>
      </c>
      <c r="F147" s="125"/>
      <c r="G147" s="126"/>
      <c r="H147" s="127"/>
      <c r="I147" s="109">
        <f>SUM(I142:I146)</f>
        <v>-314.32258000000002</v>
      </c>
      <c r="J147" s="110">
        <f t="shared" ref="J147:M147" si="60">SUM(J142:J146)</f>
        <v>-291.44522513999999</v>
      </c>
      <c r="K147" s="110">
        <f t="shared" si="60"/>
        <v>-268.63791756961996</v>
      </c>
      <c r="L147" s="110">
        <f t="shared" si="60"/>
        <v>-246.24615843726554</v>
      </c>
      <c r="M147" s="111">
        <f t="shared" si="60"/>
        <v>-223.73977398256983</v>
      </c>
    </row>
    <row r="148" spans="4:13" x14ac:dyDescent="0.3">
      <c r="F148" s="125"/>
      <c r="G148" s="126"/>
      <c r="H148" s="127"/>
      <c r="I148" s="104"/>
      <c r="J148" s="22"/>
      <c r="K148" s="22"/>
      <c r="L148" s="22"/>
      <c r="M148" s="105"/>
    </row>
    <row r="149" spans="4:13" x14ac:dyDescent="0.3">
      <c r="D149" s="7" t="s">
        <v>368</v>
      </c>
      <c r="F149" s="125"/>
      <c r="G149" s="126"/>
      <c r="H149" s="127"/>
      <c r="I149" s="112">
        <f>I130+I139+I147</f>
        <v>220.52508159999979</v>
      </c>
      <c r="J149" s="113">
        <f t="shared" ref="J149:M149" si="61">J130+J139+J147</f>
        <v>232.7716766319997</v>
      </c>
      <c r="K149" s="113">
        <f t="shared" si="61"/>
        <v>247.21780930005571</v>
      </c>
      <c r="L149" s="113">
        <f t="shared" si="61"/>
        <v>268.02550761803298</v>
      </c>
      <c r="M149" s="114">
        <f t="shared" si="61"/>
        <v>290.20091899699406</v>
      </c>
    </row>
    <row r="150" spans="4:13" x14ac:dyDescent="0.3">
      <c r="D150" s="7" t="s">
        <v>8</v>
      </c>
      <c r="F150" s="125"/>
      <c r="G150" s="126"/>
      <c r="H150" s="127"/>
      <c r="I150" s="112">
        <f>H69+I149</f>
        <v>265.52208159999981</v>
      </c>
      <c r="J150" s="113">
        <f>I69+J149</f>
        <v>498.2937582319995</v>
      </c>
      <c r="K150" s="113">
        <f>J69+K149</f>
        <v>745.51156753205521</v>
      </c>
      <c r="L150" s="113">
        <f>K69+L149</f>
        <v>1013.5370751500882</v>
      </c>
      <c r="M150" s="114">
        <f>L69+M149</f>
        <v>1303.7379941470822</v>
      </c>
    </row>
  </sheetData>
  <mergeCells count="8">
    <mergeCell ref="I117:M117"/>
    <mergeCell ref="F117:H117"/>
    <mergeCell ref="F10:H10"/>
    <mergeCell ref="I10:M10"/>
    <mergeCell ref="F42:H42"/>
    <mergeCell ref="I42:M42"/>
    <mergeCell ref="F67:H67"/>
    <mergeCell ref="I67:M6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E7232-00C9-4C5E-AFC3-7790E6306006}">
  <dimension ref="D2:N36"/>
  <sheetViews>
    <sheetView showGridLines="0" topLeftCell="A4" zoomScale="85" zoomScaleNormal="85" workbookViewId="0">
      <selection activeCell="D2" sqref="D2:N4"/>
    </sheetView>
  </sheetViews>
  <sheetFormatPr defaultRowHeight="14.4" x14ac:dyDescent="0.3"/>
  <cols>
    <col min="1" max="3" width="2.33203125" customWidth="1"/>
    <col min="4" max="4" width="25" customWidth="1"/>
    <col min="6" max="6" width="12.77734375" customWidth="1"/>
    <col min="7" max="7" width="5.77734375" customWidth="1"/>
    <col min="8" max="8" width="28.77734375" customWidth="1"/>
    <col min="9" max="14" width="13.77734375" customWidth="1"/>
  </cols>
  <sheetData>
    <row r="2" spans="4:14" ht="21" x14ac:dyDescent="0.4">
      <c r="D2" s="1" t="s">
        <v>218</v>
      </c>
      <c r="E2" s="6"/>
      <c r="F2" s="6"/>
      <c r="G2" s="6"/>
      <c r="H2" s="6"/>
      <c r="I2" s="6"/>
      <c r="J2" s="6"/>
      <c r="K2" s="6"/>
      <c r="L2" s="6"/>
      <c r="M2" s="6"/>
      <c r="N2" s="6"/>
    </row>
    <row r="3" spans="4:14" ht="18" x14ac:dyDescent="0.35">
      <c r="D3" s="3" t="s">
        <v>374</v>
      </c>
      <c r="E3" s="6"/>
      <c r="F3" s="6"/>
      <c r="G3" s="6"/>
      <c r="H3" s="6"/>
      <c r="I3" s="6"/>
      <c r="J3" s="6"/>
      <c r="K3" s="6"/>
      <c r="L3" s="6"/>
      <c r="M3" s="6"/>
      <c r="N3" s="6"/>
    </row>
    <row r="4" spans="4:14" x14ac:dyDescent="0.3">
      <c r="D4" s="4" t="s">
        <v>264</v>
      </c>
      <c r="E4" s="6"/>
      <c r="F4" s="6"/>
      <c r="G4" s="6"/>
      <c r="H4" s="6"/>
      <c r="I4" s="6"/>
      <c r="J4" s="6"/>
      <c r="K4" s="6"/>
      <c r="L4" s="6"/>
      <c r="M4" s="6"/>
      <c r="N4" s="6"/>
    </row>
    <row r="7" spans="4:14" x14ac:dyDescent="0.3">
      <c r="D7" s="6" t="s">
        <v>375</v>
      </c>
      <c r="E7" s="6"/>
      <c r="F7" s="6"/>
      <c r="H7" s="6" t="s">
        <v>376</v>
      </c>
      <c r="I7" s="6"/>
      <c r="J7" s="6"/>
      <c r="K7" s="6"/>
      <c r="L7" s="6"/>
      <c r="M7" s="6"/>
      <c r="N7" s="6"/>
    </row>
    <row r="8" spans="4:14" x14ac:dyDescent="0.3">
      <c r="D8" s="132" t="s">
        <v>377</v>
      </c>
      <c r="H8" s="75"/>
      <c r="I8" s="73" t="s">
        <v>378</v>
      </c>
      <c r="J8" s="73" t="s">
        <v>379</v>
      </c>
      <c r="K8" s="73" t="s">
        <v>379</v>
      </c>
      <c r="L8" s="73" t="s">
        <v>237</v>
      </c>
      <c r="M8" s="73" t="s">
        <v>380</v>
      </c>
      <c r="N8" s="73" t="s">
        <v>381</v>
      </c>
    </row>
    <row r="9" spans="4:14" ht="16.2" x14ac:dyDescent="0.3">
      <c r="D9" t="s">
        <v>382</v>
      </c>
      <c r="F9" s="211">
        <v>0.15</v>
      </c>
      <c r="H9" s="76" t="s">
        <v>238</v>
      </c>
      <c r="I9" s="74" t="s">
        <v>383</v>
      </c>
      <c r="J9" s="74" t="s">
        <v>384</v>
      </c>
      <c r="K9" s="74" t="s">
        <v>385</v>
      </c>
      <c r="L9" s="74" t="s">
        <v>386</v>
      </c>
      <c r="M9" s="74" t="s">
        <v>387</v>
      </c>
      <c r="N9" s="74" t="s">
        <v>388</v>
      </c>
    </row>
    <row r="10" spans="4:14" x14ac:dyDescent="0.3">
      <c r="D10" t="s">
        <v>389</v>
      </c>
      <c r="F10" s="133">
        <f>(1-F9)</f>
        <v>0.85</v>
      </c>
      <c r="H10" t="str">
        <f>MAR!H8</f>
        <v>Marriott International Inc.</v>
      </c>
      <c r="I10">
        <f>MAR!H14</f>
        <v>1.1000000000000001</v>
      </c>
      <c r="J10" s="134">
        <f>CHH!H27</f>
        <v>1906.1220000000001</v>
      </c>
      <c r="K10" s="134">
        <f>MAR!H25</f>
        <v>96703.863964920005</v>
      </c>
      <c r="L10" s="135">
        <f>J10/K10</f>
        <v>1.9710918693915468E-2</v>
      </c>
      <c r="M10" s="133">
        <f>$F$15</f>
        <v>0.2</v>
      </c>
      <c r="N10" s="29">
        <f>I10/(1+L10)*(1-M10)</f>
        <v>0.86298968057254655</v>
      </c>
    </row>
    <row r="11" spans="4:14" x14ac:dyDescent="0.3">
      <c r="H11" t="str">
        <f>ABNB!H8</f>
        <v>Airbnb Inc. Cl A</v>
      </c>
      <c r="I11">
        <f>ABNB!H14</f>
        <v>1.56</v>
      </c>
      <c r="J11" s="134">
        <f>ABNB!H27</f>
        <v>1999</v>
      </c>
      <c r="K11" s="134">
        <f>ABNB!H25</f>
        <v>83701.619999999981</v>
      </c>
      <c r="L11" s="135">
        <f t="shared" ref="L11:L14" si="0">J11/K11</f>
        <v>2.3882452932213263E-2</v>
      </c>
      <c r="M11" s="133">
        <f t="shared" ref="M11:M14" si="1">$F$15</f>
        <v>0.2</v>
      </c>
      <c r="N11" s="29">
        <f t="shared" ref="N11:N14" si="2">I11/(1+L11)*(1-M11)</f>
        <v>1.218889918882734</v>
      </c>
    </row>
    <row r="12" spans="4:14" x14ac:dyDescent="0.3">
      <c r="H12" t="str">
        <f>HLT!H8</f>
        <v>Hilton Worldwide Holdings Inc.</v>
      </c>
      <c r="I12" s="29">
        <f>HLT!H14</f>
        <v>1.04</v>
      </c>
      <c r="J12" s="134">
        <f>HLT!H27</f>
        <v>12363</v>
      </c>
      <c r="K12" s="134">
        <f>HLT!H25</f>
        <v>78279.056999999986</v>
      </c>
      <c r="L12" s="135">
        <f t="shared" si="0"/>
        <v>0.15793496337085414</v>
      </c>
      <c r="M12" s="133">
        <f t="shared" si="1"/>
        <v>0.2</v>
      </c>
      <c r="N12" s="29">
        <f t="shared" si="2"/>
        <v>0.7185204923581997</v>
      </c>
    </row>
    <row r="13" spans="4:14" x14ac:dyDescent="0.3">
      <c r="D13" s="132" t="s">
        <v>390</v>
      </c>
      <c r="H13" t="str">
        <f>H!H8</f>
        <v xml:space="preserve">Hyatt Hotels Corporation </v>
      </c>
      <c r="I13">
        <f>H!H14</f>
        <v>1.22</v>
      </c>
      <c r="J13" s="134">
        <f>H!H27</f>
        <v>4278</v>
      </c>
      <c r="K13" s="134">
        <f>H!H25</f>
        <v>16017.976156499999</v>
      </c>
      <c r="L13" s="135">
        <f t="shared" si="0"/>
        <v>0.26707493869405052</v>
      </c>
      <c r="M13" s="133">
        <f t="shared" si="1"/>
        <v>0.2</v>
      </c>
      <c r="N13" s="29">
        <f t="shared" si="2"/>
        <v>0.77027803975504738</v>
      </c>
    </row>
    <row r="14" spans="4:14" ht="16.2" x14ac:dyDescent="0.3">
      <c r="D14" t="s">
        <v>391</v>
      </c>
      <c r="F14" s="133">
        <f>Historical!I17</f>
        <v>5.0999999999999997E-2</v>
      </c>
      <c r="H14" t="str">
        <f>WH!H8</f>
        <v>Wyndham Hotels &amp; Resorts Inc.</v>
      </c>
      <c r="I14">
        <f>WH!H14</f>
        <v>1.01</v>
      </c>
      <c r="J14" s="134">
        <f>WH!H27</f>
        <v>2560</v>
      </c>
      <c r="K14" s="134">
        <f>WH!H25</f>
        <v>6773.9410000000007</v>
      </c>
      <c r="L14" s="135">
        <f t="shared" si="0"/>
        <v>0.37791885107945283</v>
      </c>
      <c r="M14" s="133">
        <f t="shared" si="1"/>
        <v>0.2</v>
      </c>
      <c r="N14" s="29">
        <f t="shared" si="2"/>
        <v>0.58639157114877838</v>
      </c>
    </row>
    <row r="15" spans="4:14" x14ac:dyDescent="0.3">
      <c r="D15" t="s">
        <v>387</v>
      </c>
      <c r="F15" s="133">
        <f>Historical!I19</f>
        <v>0.2</v>
      </c>
      <c r="L15" s="133"/>
      <c r="M15" s="136"/>
    </row>
    <row r="16" spans="4:14" x14ac:dyDescent="0.3">
      <c r="D16" s="10" t="s">
        <v>392</v>
      </c>
      <c r="F16" s="137">
        <f>F14*(1-F15)</f>
        <v>4.0800000000000003E-2</v>
      </c>
      <c r="H16" s="79" t="s">
        <v>245</v>
      </c>
      <c r="I16" s="79">
        <f>AVERAGE(I10:I14)</f>
        <v>1.1859999999999999</v>
      </c>
      <c r="J16" s="79"/>
      <c r="K16" s="79"/>
      <c r="L16" s="138">
        <f>AVERAGE(L10:L14)</f>
        <v>0.16930442495409723</v>
      </c>
      <c r="M16" s="79"/>
      <c r="N16" s="139">
        <f>AVERAGE(N10:N14)</f>
        <v>0.83141394054346129</v>
      </c>
    </row>
    <row r="17" spans="4:14" x14ac:dyDescent="0.3">
      <c r="D17" s="10"/>
      <c r="F17" s="140"/>
      <c r="H17" s="69" t="s">
        <v>246</v>
      </c>
      <c r="I17" s="141">
        <f>MEDIAN(I10:I14)</f>
        <v>1.1000000000000001</v>
      </c>
      <c r="J17" s="69"/>
      <c r="K17" s="69"/>
      <c r="L17" s="142">
        <f>MEDIAN(L10:L14)</f>
        <v>0.15793496337085414</v>
      </c>
      <c r="M17" s="69"/>
      <c r="N17" s="141">
        <f>MEDIAN(N10:N14)</f>
        <v>0.77027803975504738</v>
      </c>
    </row>
    <row r="19" spans="4:14" x14ac:dyDescent="0.3">
      <c r="D19" s="132" t="s">
        <v>393</v>
      </c>
      <c r="H19" s="6" t="s">
        <v>394</v>
      </c>
      <c r="I19" s="6"/>
      <c r="J19" s="6"/>
      <c r="K19" s="6"/>
      <c r="L19" s="6"/>
      <c r="M19" s="6"/>
      <c r="N19" s="6"/>
    </row>
    <row r="20" spans="4:14" ht="16.2" x14ac:dyDescent="0.3">
      <c r="D20" t="s">
        <v>395</v>
      </c>
      <c r="F20" s="211">
        <v>4.2610000000000002E-2</v>
      </c>
      <c r="K20" s="73" t="s">
        <v>245</v>
      </c>
      <c r="L20" s="73" t="s">
        <v>396</v>
      </c>
      <c r="M20" s="73" t="s">
        <v>396</v>
      </c>
      <c r="N20" s="73"/>
    </row>
    <row r="21" spans="4:14" ht="16.2" x14ac:dyDescent="0.3">
      <c r="D21" t="s">
        <v>397</v>
      </c>
      <c r="F21" s="133">
        <f>4.46%-0.23%</f>
        <v>4.2300000000000004E-2</v>
      </c>
      <c r="K21" s="73" t="s">
        <v>398</v>
      </c>
      <c r="L21" s="73" t="s">
        <v>237</v>
      </c>
      <c r="M21" s="73" t="s">
        <v>380</v>
      </c>
      <c r="N21" s="73" t="s">
        <v>399</v>
      </c>
    </row>
    <row r="22" spans="4:14" x14ac:dyDescent="0.3">
      <c r="D22" t="s">
        <v>400</v>
      </c>
      <c r="F22" s="29">
        <f>N23</f>
        <v>0.94879002626724407</v>
      </c>
      <c r="K22" s="74" t="s">
        <v>388</v>
      </c>
      <c r="L22" s="74" t="s">
        <v>386</v>
      </c>
      <c r="M22" s="74" t="s">
        <v>387</v>
      </c>
      <c r="N22" s="74" t="s">
        <v>388</v>
      </c>
    </row>
    <row r="23" spans="4:14" ht="16.2" x14ac:dyDescent="0.3">
      <c r="D23" t="s">
        <v>401</v>
      </c>
      <c r="F23" s="211">
        <v>2.3E-3</v>
      </c>
      <c r="H23" s="7" t="s">
        <v>402</v>
      </c>
      <c r="K23" s="29">
        <f>N16</f>
        <v>0.83141394054346129</v>
      </c>
      <c r="L23" s="133">
        <f>F9/F10</f>
        <v>0.17647058823529413</v>
      </c>
      <c r="M23" s="133">
        <f>F15</f>
        <v>0.2</v>
      </c>
      <c r="N23" s="29">
        <f>K23*(1+L23*(1-M23))</f>
        <v>0.94879002626724407</v>
      </c>
    </row>
    <row r="24" spans="4:14" x14ac:dyDescent="0.3">
      <c r="D24" s="10" t="s">
        <v>393</v>
      </c>
      <c r="F24" s="137">
        <f>F20+(F21*F22)+F23</f>
        <v>8.5043818111104424E-2</v>
      </c>
    </row>
    <row r="25" spans="4:14" x14ac:dyDescent="0.3">
      <c r="H25" s="6" t="s">
        <v>403</v>
      </c>
      <c r="I25" s="6"/>
      <c r="J25" s="6"/>
      <c r="K25" s="6"/>
      <c r="L25" s="6"/>
      <c r="M25" s="6"/>
      <c r="N25" s="6"/>
    </row>
    <row r="26" spans="4:14" x14ac:dyDescent="0.3">
      <c r="D26" s="10" t="s">
        <v>404</v>
      </c>
      <c r="F26" s="137">
        <f>(F16*F9)+(F24*F10)</f>
        <v>7.840724539443876E-2</v>
      </c>
      <c r="J26" s="236" t="s">
        <v>405</v>
      </c>
      <c r="K26" s="236"/>
      <c r="L26" s="236"/>
      <c r="M26" s="236"/>
      <c r="N26" s="236"/>
    </row>
    <row r="27" spans="4:14" x14ac:dyDescent="0.3">
      <c r="D27" s="9"/>
      <c r="E27" s="9"/>
      <c r="F27" s="9"/>
      <c r="H27" s="237" t="s">
        <v>382</v>
      </c>
      <c r="I27" s="143">
        <f>F26</f>
        <v>7.840724539443876E-2</v>
      </c>
      <c r="J27" s="144">
        <v>0.04</v>
      </c>
      <c r="K27" s="144">
        <v>4.4999999999999998E-2</v>
      </c>
      <c r="L27" s="144">
        <v>0.05</v>
      </c>
      <c r="M27" s="144">
        <v>5.5E-2</v>
      </c>
      <c r="N27" s="144">
        <v>0.06</v>
      </c>
    </row>
    <row r="28" spans="4:14" x14ac:dyDescent="0.3">
      <c r="H28" s="237"/>
      <c r="I28" s="145">
        <v>0.05</v>
      </c>
      <c r="J28" s="135">
        <f t="dataTable" ref="J28:N32" dt2D="1" dtr="1" r1="F14" r2="F9"/>
        <v>7.9081621588138529E-2</v>
      </c>
      <c r="K28" s="135">
        <v>7.9281621588138521E-2</v>
      </c>
      <c r="L28" s="135">
        <v>7.9481621588138526E-2</v>
      </c>
      <c r="M28" s="135">
        <v>7.9681621588138518E-2</v>
      </c>
      <c r="N28" s="135">
        <v>7.9881621588138524E-2</v>
      </c>
    </row>
    <row r="29" spans="4:14" x14ac:dyDescent="0.3">
      <c r="H29" s="237"/>
      <c r="I29" s="145">
        <v>0.1</v>
      </c>
      <c r="J29" s="135">
        <v>7.8084433491288643E-2</v>
      </c>
      <c r="K29" s="146">
        <v>7.8484433491288655E-2</v>
      </c>
      <c r="L29" s="146">
        <v>7.8884433491288652E-2</v>
      </c>
      <c r="M29" s="146">
        <v>7.928443349128865E-2</v>
      </c>
      <c r="N29" s="135">
        <v>7.9684433491288648E-2</v>
      </c>
    </row>
    <row r="30" spans="4:14" x14ac:dyDescent="0.3">
      <c r="H30" s="237"/>
      <c r="I30" s="145">
        <v>0.15</v>
      </c>
      <c r="J30" s="135">
        <v>7.7087245394438758E-2</v>
      </c>
      <c r="K30" s="146">
        <v>7.7687245394438761E-2</v>
      </c>
      <c r="L30" s="147">
        <v>7.8287245394438765E-2</v>
      </c>
      <c r="M30" s="146">
        <v>7.8887245394438754E-2</v>
      </c>
      <c r="N30" s="135">
        <v>7.9487245394438757E-2</v>
      </c>
    </row>
    <row r="31" spans="4:14" x14ac:dyDescent="0.3">
      <c r="H31" s="237"/>
      <c r="I31" s="145">
        <v>0.2</v>
      </c>
      <c r="J31" s="135">
        <v>7.6090057297588887E-2</v>
      </c>
      <c r="K31" s="146">
        <v>7.6890057297588882E-2</v>
      </c>
      <c r="L31" s="146">
        <v>7.7690057297588891E-2</v>
      </c>
      <c r="M31" s="146">
        <v>7.8490057297588886E-2</v>
      </c>
      <c r="N31" s="135">
        <v>7.9290057297588881E-2</v>
      </c>
    </row>
    <row r="32" spans="4:14" x14ac:dyDescent="0.3">
      <c r="D32" s="9"/>
      <c r="H32" s="237"/>
      <c r="I32" s="145">
        <v>0.25</v>
      </c>
      <c r="J32" s="135">
        <v>7.5092869200738988E-2</v>
      </c>
      <c r="K32" s="135">
        <v>7.6092869200738988E-2</v>
      </c>
      <c r="L32" s="135">
        <v>7.7092869200738989E-2</v>
      </c>
      <c r="M32" s="135">
        <v>7.809286920073899E-2</v>
      </c>
      <c r="N32" s="135">
        <v>7.9092869200738991E-2</v>
      </c>
    </row>
    <row r="33" spans="4:4" x14ac:dyDescent="0.3">
      <c r="D33" t="s">
        <v>406</v>
      </c>
    </row>
    <row r="34" spans="4:4" x14ac:dyDescent="0.3">
      <c r="D34" t="s">
        <v>407</v>
      </c>
    </row>
    <row r="35" spans="4:4" x14ac:dyDescent="0.3">
      <c r="D35" t="s">
        <v>408</v>
      </c>
    </row>
    <row r="36" spans="4:4" x14ac:dyDescent="0.3">
      <c r="D36" t="s">
        <v>409</v>
      </c>
    </row>
  </sheetData>
  <mergeCells count="2">
    <mergeCell ref="J26:N26"/>
    <mergeCell ref="H27:H3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62501-26FC-493B-B6E1-59870A0E33E6}">
  <dimension ref="D2:P122"/>
  <sheetViews>
    <sheetView showGridLines="0" topLeftCell="A40" workbookViewId="0">
      <selection activeCell="E5" sqref="E5"/>
    </sheetView>
  </sheetViews>
  <sheetFormatPr defaultRowHeight="14.4" x14ac:dyDescent="0.3"/>
  <cols>
    <col min="1" max="3" width="2.33203125" customWidth="1"/>
    <col min="4" max="4" width="25.77734375" customWidth="1"/>
    <col min="5" max="15" width="11.77734375" customWidth="1"/>
  </cols>
  <sheetData>
    <row r="2" spans="4:15" ht="21" x14ac:dyDescent="0.4">
      <c r="D2" s="1" t="s">
        <v>218</v>
      </c>
      <c r="E2" s="1"/>
      <c r="F2" s="6"/>
      <c r="G2" s="6"/>
      <c r="H2" s="6"/>
      <c r="I2" s="6"/>
      <c r="J2" s="6"/>
      <c r="K2" s="6"/>
      <c r="L2" s="6"/>
      <c r="M2" s="6"/>
      <c r="N2" s="6"/>
      <c r="O2" s="6"/>
    </row>
    <row r="3" spans="4:15" ht="18" x14ac:dyDescent="0.35">
      <c r="D3" s="3" t="s">
        <v>410</v>
      </c>
      <c r="E3" s="3"/>
      <c r="F3" s="6"/>
      <c r="G3" s="6"/>
      <c r="H3" s="6"/>
      <c r="I3" s="6"/>
      <c r="J3" s="6"/>
      <c r="K3" s="6"/>
      <c r="L3" s="6"/>
      <c r="M3" s="6"/>
      <c r="N3" s="6"/>
      <c r="O3" s="6"/>
    </row>
    <row r="4" spans="4:15" x14ac:dyDescent="0.3">
      <c r="D4" s="4" t="s">
        <v>264</v>
      </c>
      <c r="E4" s="4"/>
      <c r="F4" s="6"/>
      <c r="G4" s="6"/>
      <c r="H4" s="6"/>
      <c r="I4" s="6"/>
      <c r="J4" s="6"/>
      <c r="K4" s="6"/>
      <c r="L4" s="6"/>
      <c r="M4" s="6" t="s">
        <v>411</v>
      </c>
      <c r="N4" s="6"/>
      <c r="O4" s="148" t="str">
        <f>VLOOKUP($E$5,[1]Data!$K$4:$L$6,2,TRUE)</f>
        <v>Base</v>
      </c>
    </row>
    <row r="5" spans="4:15" x14ac:dyDescent="0.3">
      <c r="D5" t="s">
        <v>412</v>
      </c>
      <c r="E5" s="73">
        <v>1</v>
      </c>
    </row>
    <row r="6" spans="4:15" x14ac:dyDescent="0.3">
      <c r="D6" t="s">
        <v>413</v>
      </c>
      <c r="E6" s="73" t="s">
        <v>414</v>
      </c>
      <c r="F6" s="234" t="s">
        <v>265</v>
      </c>
      <c r="G6" s="234"/>
      <c r="H6" s="234"/>
      <c r="I6" s="23" t="s">
        <v>415</v>
      </c>
      <c r="J6" s="234" t="s">
        <v>320</v>
      </c>
      <c r="K6" s="234"/>
      <c r="L6" s="234"/>
      <c r="M6" s="234"/>
      <c r="N6" s="234"/>
      <c r="O6" s="23" t="s">
        <v>415</v>
      </c>
    </row>
    <row r="7" spans="4:15" x14ac:dyDescent="0.3">
      <c r="D7" s="9" t="s">
        <v>449</v>
      </c>
      <c r="E7" s="74" t="s">
        <v>414</v>
      </c>
      <c r="F7" s="74" t="s">
        <v>189</v>
      </c>
      <c r="G7" s="74" t="s">
        <v>190</v>
      </c>
      <c r="H7" s="74" t="s">
        <v>187</v>
      </c>
      <c r="I7" s="19" t="s">
        <v>416</v>
      </c>
      <c r="J7" s="149">
        <v>2026</v>
      </c>
      <c r="K7" s="74">
        <v>2027</v>
      </c>
      <c r="L7" s="74">
        <v>2028</v>
      </c>
      <c r="M7" s="74">
        <v>2029</v>
      </c>
      <c r="N7" s="74">
        <v>2030</v>
      </c>
      <c r="O7" s="19" t="s">
        <v>417</v>
      </c>
    </row>
    <row r="8" spans="4:15" x14ac:dyDescent="0.3">
      <c r="D8" s="7" t="s">
        <v>12</v>
      </c>
      <c r="E8" s="7"/>
      <c r="F8" s="150">
        <f>Historical!F44</f>
        <v>1544.165</v>
      </c>
      <c r="G8" s="150">
        <f>Historical!G44</f>
        <v>1584.8389999999999</v>
      </c>
      <c r="H8" s="150">
        <f>Historical!H44</f>
        <v>1596.7929999999999</v>
      </c>
      <c r="I8" s="151">
        <f>_xlfn.RRI(2,F8,H8)</f>
        <v>1.6898151272466411E-2</v>
      </c>
      <c r="J8" s="152">
        <f>Historical!I44</f>
        <v>1620.7448949999998</v>
      </c>
      <c r="K8" s="156">
        <f>Historical!J44</f>
        <v>1674.2294765349998</v>
      </c>
      <c r="L8" s="156">
        <f>Historical!K44</f>
        <v>1729.4790492606546</v>
      </c>
      <c r="M8" s="156">
        <f>Historical!L44</f>
        <v>1795.1992531325595</v>
      </c>
      <c r="N8" s="150">
        <f>Historical!M44</f>
        <v>1858.031226992199</v>
      </c>
      <c r="O8" s="151">
        <f>_xlfn.RRI(4,J8,N8)</f>
        <v>3.4747978397761781E-2</v>
      </c>
    </row>
    <row r="9" spans="4:15" x14ac:dyDescent="0.3">
      <c r="D9" s="14" t="s">
        <v>418</v>
      </c>
      <c r="E9" s="14"/>
      <c r="F9" s="153" t="str">
        <f>[1]Input!F32</f>
        <v>NA</v>
      </c>
      <c r="G9" s="30">
        <f>G8/F8-1</f>
        <v>2.6340449369076424E-2</v>
      </c>
      <c r="H9" s="30">
        <f t="shared" ref="H9" si="0">H8/G8-1</f>
        <v>7.5427220052004529E-3</v>
      </c>
      <c r="I9" s="22"/>
      <c r="J9" s="154">
        <f>J8/H8-1</f>
        <v>1.4999999999999902E-2</v>
      </c>
      <c r="K9" s="30">
        <f t="shared" ref="K9" si="1">K8/J8-1</f>
        <v>3.2999999999999918E-2</v>
      </c>
      <c r="L9" s="30">
        <f t="shared" ref="L9" si="2">L8/K8-1</f>
        <v>3.2999999999999918E-2</v>
      </c>
      <c r="M9" s="30">
        <f t="shared" ref="M9" si="3">M8/L8-1</f>
        <v>3.8000000000000034E-2</v>
      </c>
      <c r="N9" s="30">
        <f t="shared" ref="N9" si="4">N8/M8-1</f>
        <v>3.499999999999992E-2</v>
      </c>
      <c r="O9" s="22"/>
    </row>
    <row r="10" spans="4:15" x14ac:dyDescent="0.3">
      <c r="D10" t="s">
        <v>419</v>
      </c>
      <c r="F10" s="34">
        <f>Historical!F45</f>
        <v>807.66200000000003</v>
      </c>
      <c r="G10" s="34">
        <f>Historical!G45</f>
        <v>756.72500000000002</v>
      </c>
      <c r="H10" s="34">
        <f>Historical!H45</f>
        <v>759.721</v>
      </c>
      <c r="I10" s="22"/>
      <c r="J10" s="155">
        <f>Historical!I45</f>
        <v>771.11681499999997</v>
      </c>
      <c r="K10" s="134">
        <f>Historical!J45</f>
        <v>796.56366989499998</v>
      </c>
      <c r="L10" s="134">
        <f>Historical!K45</f>
        <v>822.85027100153491</v>
      </c>
      <c r="M10" s="134">
        <f>Historical!L45</f>
        <v>854.1185812995933</v>
      </c>
      <c r="N10" s="134">
        <f>Historical!M45</f>
        <v>884.01273164507893</v>
      </c>
      <c r="O10" s="22"/>
    </row>
    <row r="11" spans="4:15" x14ac:dyDescent="0.3">
      <c r="D11" s="14" t="s">
        <v>420</v>
      </c>
      <c r="E11" s="14"/>
      <c r="F11" s="30">
        <f>F10/F$8</f>
        <v>0.52304125530626588</v>
      </c>
      <c r="G11" s="30">
        <f t="shared" ref="G11:H11" si="5">G10/G$8</f>
        <v>0.47747752295343571</v>
      </c>
      <c r="H11" s="30">
        <f t="shared" si="5"/>
        <v>0.47577926506441354</v>
      </c>
      <c r="I11" s="22"/>
      <c r="J11" s="154">
        <f t="shared" ref="J11" si="6">J10/J$8</f>
        <v>0.47577926506441354</v>
      </c>
      <c r="K11" s="30">
        <f t="shared" ref="K11" si="7">K10/K$8</f>
        <v>0.47577926506441354</v>
      </c>
      <c r="L11" s="30">
        <f t="shared" ref="L11" si="8">L10/L$8</f>
        <v>0.47577926506441354</v>
      </c>
      <c r="M11" s="30">
        <f t="shared" ref="M11" si="9">M10/M$8</f>
        <v>0.47577926506441354</v>
      </c>
      <c r="N11" s="30">
        <f t="shared" ref="N11" si="10">N10/N$8</f>
        <v>0.47577926506441354</v>
      </c>
      <c r="O11" s="22"/>
    </row>
    <row r="12" spans="4:15" x14ac:dyDescent="0.3">
      <c r="D12" s="7" t="s">
        <v>18</v>
      </c>
      <c r="E12" s="7"/>
      <c r="F12" s="156">
        <f>F8-F10</f>
        <v>736.50299999999993</v>
      </c>
      <c r="G12" s="156">
        <f t="shared" ref="G12:N12" si="11">G8-G10</f>
        <v>828.11399999999992</v>
      </c>
      <c r="H12" s="156">
        <f t="shared" si="11"/>
        <v>837.07199999999989</v>
      </c>
      <c r="I12" s="151">
        <f>_xlfn.RRI(2,F12,H12)</f>
        <v>6.6090681864293233E-2</v>
      </c>
      <c r="J12" s="157">
        <f>J8-J10</f>
        <v>849.62807999999984</v>
      </c>
      <c r="K12" s="156">
        <f t="shared" si="11"/>
        <v>877.6658066399998</v>
      </c>
      <c r="L12" s="156">
        <f t="shared" si="11"/>
        <v>906.62877825911971</v>
      </c>
      <c r="M12" s="156">
        <f t="shared" si="11"/>
        <v>941.08067183296623</v>
      </c>
      <c r="N12" s="156">
        <f t="shared" si="11"/>
        <v>974.01849534712005</v>
      </c>
      <c r="O12" s="151">
        <f>_xlfn.RRI(4,J12,N12)</f>
        <v>3.4747978397761781E-2</v>
      </c>
    </row>
    <row r="13" spans="4:15" x14ac:dyDescent="0.3">
      <c r="D13" s="14" t="s">
        <v>421</v>
      </c>
      <c r="E13" s="14"/>
      <c r="F13" s="30">
        <f>F12/F$8</f>
        <v>0.47695874469373412</v>
      </c>
      <c r="G13" s="30">
        <f t="shared" ref="G13" si="12">G12/G$8</f>
        <v>0.52252247704656429</v>
      </c>
      <c r="H13" s="30">
        <f t="shared" ref="H13" si="13">H12/H$8</f>
        <v>0.52422073493558652</v>
      </c>
      <c r="I13" s="22"/>
      <c r="J13" s="154">
        <f t="shared" ref="J13" si="14">J12/J$8</f>
        <v>0.52422073493558652</v>
      </c>
      <c r="K13" s="30">
        <f t="shared" ref="K13" si="15">K12/K$8</f>
        <v>0.52422073493558652</v>
      </c>
      <c r="L13" s="30">
        <f t="shared" ref="L13" si="16">L12/L$8</f>
        <v>0.52422073493558652</v>
      </c>
      <c r="M13" s="30">
        <f t="shared" ref="M13" si="17">M12/M$8</f>
        <v>0.52422073493558641</v>
      </c>
      <c r="N13" s="30">
        <f t="shared" ref="N13" si="18">N12/N$8</f>
        <v>0.52422073493558652</v>
      </c>
      <c r="O13" s="22"/>
    </row>
    <row r="14" spans="4:15" x14ac:dyDescent="0.3">
      <c r="D14" s="13" t="s">
        <v>448</v>
      </c>
      <c r="E14" s="13"/>
      <c r="F14" s="34">
        <f>Historical!F47</f>
        <v>312.70100000000002</v>
      </c>
      <c r="G14" s="34">
        <f>Historical!G47</f>
        <v>312.38799999999998</v>
      </c>
      <c r="H14" s="34">
        <f>Historical!H47</f>
        <v>328.95800000000003</v>
      </c>
      <c r="I14" s="22"/>
      <c r="J14" s="155">
        <f>Historical!I47</f>
        <v>333.89236999999997</v>
      </c>
      <c r="K14" s="134">
        <f>Historical!J47</f>
        <v>344.91081821</v>
      </c>
      <c r="L14" s="134">
        <f>Historical!K47</f>
        <v>356.29287521092994</v>
      </c>
      <c r="M14" s="134">
        <f>Historical!L47</f>
        <v>369.83200446894529</v>
      </c>
      <c r="N14" s="134">
        <f>Historical!M47</f>
        <v>382.77612462535836</v>
      </c>
      <c r="O14" s="22"/>
    </row>
    <row r="15" spans="4:15" x14ac:dyDescent="0.3">
      <c r="D15" s="14" t="s">
        <v>420</v>
      </c>
      <c r="E15" s="14"/>
      <c r="F15" s="30">
        <f t="shared" ref="F15:H15" si="19">F14/F$8</f>
        <v>0.2025049136588383</v>
      </c>
      <c r="G15" s="30">
        <f t="shared" si="19"/>
        <v>0.19711024274390015</v>
      </c>
      <c r="H15" s="30">
        <f t="shared" si="19"/>
        <v>0.20601167465037737</v>
      </c>
      <c r="I15" s="22"/>
      <c r="J15" s="158">
        <f t="shared" ref="J15" si="20">J14/J$8</f>
        <v>0.20601167465037737</v>
      </c>
      <c r="K15" s="30">
        <f t="shared" ref="K15" si="21">K14/K$8</f>
        <v>0.20601167465037737</v>
      </c>
      <c r="L15" s="30">
        <f t="shared" ref="L15" si="22">L14/L$8</f>
        <v>0.20601167465037737</v>
      </c>
      <c r="M15" s="30">
        <f t="shared" ref="M15" si="23">M14/M$8</f>
        <v>0.20601167465037737</v>
      </c>
      <c r="N15" s="30">
        <f t="shared" ref="N15" si="24">N14/N$8</f>
        <v>0.20601167465037737</v>
      </c>
      <c r="O15" s="22"/>
    </row>
    <row r="16" spans="4:15" x14ac:dyDescent="0.3">
      <c r="D16" t="s">
        <v>268</v>
      </c>
      <c r="E16" s="13"/>
      <c r="F16" s="134">
        <f>Historical!F49</f>
        <v>-3.7360000000000002</v>
      </c>
      <c r="G16" s="134">
        <f>Historical!G49</f>
        <v>0</v>
      </c>
      <c r="H16" s="134">
        <f>Historical!H49</f>
        <v>0</v>
      </c>
      <c r="I16" s="22"/>
      <c r="J16" s="155">
        <f>Historical!I49</f>
        <v>0</v>
      </c>
      <c r="K16" s="134">
        <f>Historical!J49</f>
        <v>0</v>
      </c>
      <c r="L16" s="134">
        <f>Historical!K49</f>
        <v>0</v>
      </c>
      <c r="M16" s="134">
        <f>Historical!L49</f>
        <v>0</v>
      </c>
      <c r="N16" s="134">
        <f>Historical!M49</f>
        <v>0</v>
      </c>
      <c r="O16" s="22"/>
    </row>
    <row r="17" spans="4:15" x14ac:dyDescent="0.3">
      <c r="D17" s="14" t="s">
        <v>420</v>
      </c>
      <c r="E17" s="14"/>
      <c r="F17" s="30">
        <f t="shared" ref="F17" si="25">F16/F$8</f>
        <v>-2.4194305660340705E-3</v>
      </c>
      <c r="G17" s="30">
        <f t="shared" ref="G17" si="26">G16/G$8</f>
        <v>0</v>
      </c>
      <c r="H17" s="30">
        <f t="shared" ref="H17" si="27">H16/H$8</f>
        <v>0</v>
      </c>
      <c r="I17" s="22"/>
      <c r="J17" s="158">
        <f t="shared" ref="J17" si="28">J16/J$8</f>
        <v>0</v>
      </c>
      <c r="K17" s="65">
        <f t="shared" ref="K17" si="29">K16/K$8</f>
        <v>0</v>
      </c>
      <c r="L17" s="65">
        <f t="shared" ref="L17" si="30">L16/L$8</f>
        <v>0</v>
      </c>
      <c r="M17" s="65">
        <f t="shared" ref="M17" si="31">M16/M$8</f>
        <v>0</v>
      </c>
      <c r="N17" s="65">
        <f t="shared" ref="N17" si="32">N16/N$8</f>
        <v>0</v>
      </c>
      <c r="O17" s="22"/>
    </row>
    <row r="18" spans="4:15" x14ac:dyDescent="0.3">
      <c r="D18" s="16" t="s">
        <v>131</v>
      </c>
      <c r="E18" s="16"/>
      <c r="F18" s="156">
        <f>F12-F14-F16</f>
        <v>427.5379999999999</v>
      </c>
      <c r="G18" s="156">
        <f t="shared" ref="G18:N18" si="33">G12-G14-G16</f>
        <v>515.72599999999989</v>
      </c>
      <c r="H18" s="156">
        <f t="shared" si="33"/>
        <v>508.11399999999986</v>
      </c>
      <c r="I18" s="151">
        <f>_xlfn.RRI(2,F18,H18)</f>
        <v>9.0167472863695863E-2</v>
      </c>
      <c r="J18" s="157">
        <f t="shared" si="33"/>
        <v>515.73570999999993</v>
      </c>
      <c r="K18" s="156">
        <f t="shared" si="33"/>
        <v>532.7549884299998</v>
      </c>
      <c r="L18" s="156">
        <f t="shared" si="33"/>
        <v>550.33590304818972</v>
      </c>
      <c r="M18" s="156">
        <f t="shared" si="33"/>
        <v>571.248667364021</v>
      </c>
      <c r="N18" s="156">
        <f t="shared" si="33"/>
        <v>591.24237072176174</v>
      </c>
      <c r="O18" s="151">
        <f>_xlfn.RRI(4,J18,N18)</f>
        <v>3.4747978397761781E-2</v>
      </c>
    </row>
    <row r="19" spans="4:15" x14ac:dyDescent="0.3">
      <c r="D19" s="14" t="s">
        <v>421</v>
      </c>
      <c r="E19" s="14"/>
      <c r="F19" s="30">
        <f t="shared" ref="F19:H19" si="34">F18/F$8</f>
        <v>0.2768732616009299</v>
      </c>
      <c r="G19" s="30">
        <f t="shared" si="34"/>
        <v>0.32541223430266414</v>
      </c>
      <c r="H19" s="30">
        <f t="shared" si="34"/>
        <v>0.31820906028520912</v>
      </c>
      <c r="I19" s="22"/>
      <c r="J19" s="158">
        <f t="shared" ref="J19:N19" si="35">J18/J$8</f>
        <v>0.31820906028520918</v>
      </c>
      <c r="K19" s="65">
        <f t="shared" si="35"/>
        <v>0.31820906028520907</v>
      </c>
      <c r="L19" s="65">
        <f t="shared" si="35"/>
        <v>0.31820906028520907</v>
      </c>
      <c r="M19" s="65">
        <f t="shared" si="35"/>
        <v>0.31820906028520912</v>
      </c>
      <c r="N19" s="65">
        <f t="shared" si="35"/>
        <v>0.31820906028520912</v>
      </c>
      <c r="O19" s="22"/>
    </row>
    <row r="20" spans="4:15" x14ac:dyDescent="0.3">
      <c r="D20" t="s">
        <v>422</v>
      </c>
      <c r="F20" s="34">
        <f>Historical!F48</f>
        <v>45.037999999999997</v>
      </c>
      <c r="G20" s="34">
        <f>Historical!G48</f>
        <v>51.953000000000003</v>
      </c>
      <c r="H20" s="34">
        <f>Historical!H48</f>
        <v>59.715000000000003</v>
      </c>
      <c r="I20" s="22"/>
      <c r="J20" s="155">
        <f>Historical!I48</f>
        <v>60.610725000000002</v>
      </c>
      <c r="K20" s="134">
        <f>Historical!J48</f>
        <v>62.610878925000002</v>
      </c>
      <c r="L20" s="134">
        <f>Historical!K48</f>
        <v>64.677037929525</v>
      </c>
      <c r="M20" s="134">
        <f>Historical!L48</f>
        <v>67.134765370846949</v>
      </c>
      <c r="N20" s="134">
        <f>Historical!M48</f>
        <v>69.484482158826594</v>
      </c>
      <c r="O20" s="22"/>
    </row>
    <row r="21" spans="4:15" x14ac:dyDescent="0.3">
      <c r="D21" s="14" t="s">
        <v>420</v>
      </c>
      <c r="E21" s="14"/>
      <c r="F21" s="30">
        <f>[1]Input!F46</f>
        <v>3.8862176880485634E-2</v>
      </c>
      <c r="G21" s="30">
        <f>[1]Input!G46</f>
        <v>4.3743464621819446E-2</v>
      </c>
      <c r="H21" s="30">
        <f>[1]Input!H46</f>
        <v>5.2468001866764639E-2</v>
      </c>
      <c r="I21" s="22"/>
      <c r="J21" s="158">
        <f>[1]Input!H46</f>
        <v>5.2468001866764639E-2</v>
      </c>
      <c r="K21" s="65">
        <f>J21</f>
        <v>5.2468001866764639E-2</v>
      </c>
      <c r="L21" s="65">
        <f>K21</f>
        <v>5.2468001866764639E-2</v>
      </c>
      <c r="M21" s="65">
        <f>L21</f>
        <v>5.2468001866764639E-2</v>
      </c>
      <c r="N21" s="65">
        <f>M21</f>
        <v>5.2468001866764639E-2</v>
      </c>
      <c r="O21" s="22"/>
    </row>
    <row r="22" spans="4:15" x14ac:dyDescent="0.3">
      <c r="D22" s="7" t="s">
        <v>25</v>
      </c>
      <c r="E22" s="7"/>
      <c r="F22" s="156">
        <f>F18-F20</f>
        <v>382.49999999999989</v>
      </c>
      <c r="G22" s="156">
        <f t="shared" ref="G22:H22" si="36">G18-G20</f>
        <v>463.77299999999991</v>
      </c>
      <c r="H22" s="156">
        <f t="shared" si="36"/>
        <v>448.39899999999989</v>
      </c>
      <c r="I22" s="151">
        <f>_xlfn.RRI(2,F22,H22)</f>
        <v>8.272109396661409E-2</v>
      </c>
      <c r="J22" s="157">
        <f>J18-J20</f>
        <v>455.12498499999992</v>
      </c>
      <c r="K22" s="156">
        <f>K18-K20</f>
        <v>470.14410950499979</v>
      </c>
      <c r="L22" s="156">
        <f>L18-L20</f>
        <v>485.65886511866472</v>
      </c>
      <c r="M22" s="156">
        <f>M18-M20</f>
        <v>504.11390199317407</v>
      </c>
      <c r="N22" s="156">
        <f>N18-N20</f>
        <v>521.75788856293514</v>
      </c>
      <c r="O22" s="151">
        <f>_xlfn.RRI(4,J22,N22)</f>
        <v>3.4747978397761781E-2</v>
      </c>
    </row>
    <row r="23" spans="4:15" x14ac:dyDescent="0.3">
      <c r="D23" s="14" t="s">
        <v>421</v>
      </c>
      <c r="E23" s="14"/>
      <c r="F23" s="30">
        <f t="shared" ref="F23" si="37">F22/F$8</f>
        <v>0.24770668937581145</v>
      </c>
      <c r="G23" s="30">
        <f t="shared" ref="G23" si="38">G22/G$8</f>
        <v>0.29263098649137226</v>
      </c>
      <c r="H23" s="30">
        <f t="shared" ref="H23" si="39">H22/H$8</f>
        <v>0.2808122280095165</v>
      </c>
      <c r="J23" s="154">
        <f t="shared" ref="J23" si="40">J22/J$8</f>
        <v>0.28081222800951655</v>
      </c>
      <c r="K23" s="30">
        <f t="shared" ref="K23" si="41">K22/K$8</f>
        <v>0.2808122280095165</v>
      </c>
      <c r="L23" s="30">
        <f t="shared" ref="L23" si="42">L22/L$8</f>
        <v>0.2808122280095165</v>
      </c>
      <c r="M23" s="30">
        <f t="shared" ref="M23" si="43">M22/M$8</f>
        <v>0.2808122280095165</v>
      </c>
      <c r="N23" s="30">
        <f t="shared" ref="N23" si="44">N22/N$8</f>
        <v>0.28081222800951655</v>
      </c>
    </row>
    <row r="24" spans="4:15" x14ac:dyDescent="0.3">
      <c r="D24" t="s">
        <v>423</v>
      </c>
      <c r="F24" s="134">
        <f>Historical!F60</f>
        <v>78.448999999999998</v>
      </c>
      <c r="G24" s="134">
        <f>Historical!G60</f>
        <v>95.98</v>
      </c>
      <c r="H24" s="134">
        <f>Historical!H60</f>
        <v>86.944999999999993</v>
      </c>
      <c r="J24" s="159">
        <f>Historical!J60</f>
        <v>108.46587363799995</v>
      </c>
      <c r="K24" s="160">
        <f>Historical!K60</f>
        <v>109.35816430285395</v>
      </c>
      <c r="L24" s="160">
        <f>Historical!L60</f>
        <v>111.08533165916241</v>
      </c>
      <c r="M24" s="160">
        <f>Historical!M60</f>
        <v>112.90754521323306</v>
      </c>
      <c r="N24" s="160">
        <f>Historical!N60</f>
        <v>0</v>
      </c>
    </row>
    <row r="25" spans="4:15" x14ac:dyDescent="0.3">
      <c r="D25" s="7" t="s">
        <v>424</v>
      </c>
      <c r="E25" s="7"/>
      <c r="F25" s="34"/>
      <c r="J25" s="152">
        <f>J22-J24</f>
        <v>346.65911136199998</v>
      </c>
      <c r="K25" s="150">
        <f>K22-K24</f>
        <v>360.78594520214585</v>
      </c>
      <c r="L25" s="150">
        <f>L22-L24</f>
        <v>374.5735334595023</v>
      </c>
      <c r="M25" s="150">
        <f>M22-M24</f>
        <v>391.20635677994102</v>
      </c>
      <c r="N25" s="150">
        <f>N22-N24</f>
        <v>521.75788856293514</v>
      </c>
    </row>
    <row r="26" spans="4:15" x14ac:dyDescent="0.3">
      <c r="D26" s="7"/>
      <c r="E26" s="7"/>
      <c r="F26" s="34"/>
      <c r="J26" s="152"/>
      <c r="K26" s="150"/>
      <c r="L26" s="150"/>
      <c r="M26" s="150"/>
      <c r="N26" s="150"/>
    </row>
    <row r="27" spans="4:15" x14ac:dyDescent="0.3">
      <c r="D27" s="13" t="s">
        <v>425</v>
      </c>
      <c r="E27" s="13"/>
      <c r="F27" s="134">
        <f>F20</f>
        <v>45.037999999999997</v>
      </c>
      <c r="G27" s="134">
        <f t="shared" ref="G27:H27" si="45">G20</f>
        <v>51.953000000000003</v>
      </c>
      <c r="H27" s="134">
        <f t="shared" si="45"/>
        <v>59.715000000000003</v>
      </c>
      <c r="I27" s="30"/>
      <c r="J27" s="155">
        <f>J20</f>
        <v>60.610725000000002</v>
      </c>
      <c r="K27" s="134">
        <f t="shared" ref="K27:N27" si="46">K20</f>
        <v>62.610878925000002</v>
      </c>
      <c r="L27" s="134">
        <f t="shared" si="46"/>
        <v>64.677037929525</v>
      </c>
      <c r="M27" s="134">
        <f t="shared" si="46"/>
        <v>67.134765370846949</v>
      </c>
      <c r="N27" s="134">
        <f t="shared" si="46"/>
        <v>69.484482158826594</v>
      </c>
    </row>
    <row r="28" spans="4:15" x14ac:dyDescent="0.3">
      <c r="D28" t="s">
        <v>426</v>
      </c>
      <c r="F28" s="34">
        <f>Historical!F44*Historical!F33</f>
        <v>47.716999999999999</v>
      </c>
      <c r="G28" s="34">
        <f>Historical!G44*Historical!G33</f>
        <v>39.101999999999997</v>
      </c>
      <c r="H28" s="34">
        <f>Historical!H44*Historical!H33</f>
        <v>38.923999999999999</v>
      </c>
      <c r="J28" s="155">
        <f>Historical!I136</f>
        <v>-39.507859999999994</v>
      </c>
      <c r="K28" s="134">
        <f>Historical!J136</f>
        <v>-40.811619379999996</v>
      </c>
      <c r="L28" s="134">
        <f>Historical!K136</f>
        <v>-42.158402819539994</v>
      </c>
      <c r="M28" s="134">
        <f>Historical!L136</f>
        <v>-43.760422126682514</v>
      </c>
      <c r="N28" s="134">
        <f>Historical!M136</f>
        <v>-45.292036901116397</v>
      </c>
    </row>
    <row r="29" spans="4:15" x14ac:dyDescent="0.3">
      <c r="D29" t="s">
        <v>508</v>
      </c>
      <c r="J29" s="155">
        <f>SUM(Historical!I125:I129)</f>
        <v>3.8985299999999796</v>
      </c>
      <c r="K29" s="134">
        <f>SUM(Historical!J125:J129)</f>
        <v>8.7054174900000163</v>
      </c>
      <c r="L29" s="134">
        <f>SUM(Historical!K125:K129)</f>
        <v>8.9926962671699542</v>
      </c>
      <c r="M29" s="134">
        <f>SUM(Historical!L125:L129)</f>
        <v>10.696948462772525</v>
      </c>
      <c r="N29" s="134">
        <f>SUM(Historical!M125:M129)</f>
        <v>10.226845727697928</v>
      </c>
    </row>
    <row r="30" spans="4:15" x14ac:dyDescent="0.3">
      <c r="J30" s="155"/>
      <c r="K30" s="134"/>
      <c r="L30" s="134"/>
      <c r="M30" s="134"/>
      <c r="N30" s="134"/>
    </row>
    <row r="31" spans="4:15" x14ac:dyDescent="0.3">
      <c r="D31" s="75" t="s">
        <v>427</v>
      </c>
      <c r="E31" s="75"/>
      <c r="F31" s="75"/>
      <c r="G31" s="75"/>
      <c r="H31" s="75"/>
      <c r="I31" s="75"/>
      <c r="J31" s="161">
        <f>SUM(J25:J29)</f>
        <v>371.66050636199998</v>
      </c>
      <c r="K31" s="162">
        <f>SUM(K25:K29)</f>
        <v>391.2906222371459</v>
      </c>
      <c r="L31" s="162">
        <f>SUM(L25:L29)</f>
        <v>406.08486483665723</v>
      </c>
      <c r="M31" s="162">
        <f>SUM(M25:M29)</f>
        <v>425.27764848687798</v>
      </c>
      <c r="N31" s="162">
        <f>SUM(N25:N29)</f>
        <v>556.17717954834325</v>
      </c>
      <c r="O31" s="126"/>
    </row>
    <row r="32" spans="4:15" x14ac:dyDescent="0.3">
      <c r="D32" s="15" t="s">
        <v>404</v>
      </c>
      <c r="E32" s="163">
        <f>WACC!F26</f>
        <v>7.840724539443876E-2</v>
      </c>
    </row>
    <row r="33" spans="4:16" x14ac:dyDescent="0.3">
      <c r="D33" s="15" t="s">
        <v>428</v>
      </c>
      <c r="J33">
        <f>IF($E$6="Y",0.5,1)</f>
        <v>0.5</v>
      </c>
      <c r="K33">
        <f>J33+1</f>
        <v>1.5</v>
      </c>
      <c r="L33">
        <f t="shared" ref="L33:N33" si="47">K33+1</f>
        <v>2.5</v>
      </c>
      <c r="M33">
        <f t="shared" si="47"/>
        <v>3.5</v>
      </c>
      <c r="N33">
        <f t="shared" si="47"/>
        <v>4.5</v>
      </c>
    </row>
    <row r="34" spans="4:16" x14ac:dyDescent="0.3">
      <c r="D34" s="15" t="s">
        <v>429</v>
      </c>
      <c r="J34" s="29">
        <f>1/(1+$E$32)^J33</f>
        <v>0.96296078482035941</v>
      </c>
      <c r="K34" s="29">
        <f t="shared" ref="K34:N34" si="48">1/(1+$E$32)^K33</f>
        <v>0.89294725061694724</v>
      </c>
      <c r="L34" s="29">
        <f>1/(1+$E$32)^L33</f>
        <v>0.82802415732133028</v>
      </c>
      <c r="M34" s="29">
        <f t="shared" si="48"/>
        <v>0.76782139665472282</v>
      </c>
      <c r="N34" s="29">
        <f t="shared" si="48"/>
        <v>0.7119957696258653</v>
      </c>
    </row>
    <row r="35" spans="4:16" x14ac:dyDescent="0.3">
      <c r="D35" s="10" t="s">
        <v>430</v>
      </c>
      <c r="J35" s="156">
        <f>J31*J34</f>
        <v>357.89449289308368</v>
      </c>
      <c r="K35" s="156">
        <f t="shared" ref="K35:N35" si="49">K31*K34</f>
        <v>349.40188531885394</v>
      </c>
      <c r="L35" s="156">
        <f t="shared" si="49"/>
        <v>336.24807800731941</v>
      </c>
      <c r="M35" s="156">
        <f t="shared" si="49"/>
        <v>326.53727802723091</v>
      </c>
      <c r="N35" s="156">
        <f t="shared" si="49"/>
        <v>395.9957990008657</v>
      </c>
    </row>
    <row r="38" spans="4:16" x14ac:dyDescent="0.3">
      <c r="D38" s="231" t="s">
        <v>62</v>
      </c>
      <c r="E38" s="231"/>
      <c r="F38" s="231"/>
      <c r="H38" s="231" t="s">
        <v>431</v>
      </c>
      <c r="I38" s="231"/>
      <c r="J38" s="231"/>
      <c r="K38" s="231"/>
      <c r="M38" s="231" t="s">
        <v>432</v>
      </c>
      <c r="N38" s="231"/>
      <c r="O38" s="231"/>
      <c r="P38" s="231"/>
    </row>
    <row r="39" spans="4:16" x14ac:dyDescent="0.3">
      <c r="D39" s="7" t="s">
        <v>433</v>
      </c>
      <c r="F39" s="150">
        <f>SUM(J35:N35)</f>
        <v>1766.0775332473536</v>
      </c>
      <c r="H39" t="s">
        <v>62</v>
      </c>
      <c r="K39" s="66">
        <f>F49</f>
        <v>8711.9516350754748</v>
      </c>
      <c r="M39" t="s">
        <v>434</v>
      </c>
      <c r="P39" s="66">
        <f>N31</f>
        <v>556.17717954834325</v>
      </c>
    </row>
    <row r="40" spans="4:16" x14ac:dyDescent="0.3">
      <c r="H40" t="s">
        <v>435</v>
      </c>
      <c r="K40" s="134">
        <f>-CHH!H27</f>
        <v>-1906.1220000000001</v>
      </c>
      <c r="M40" t="s">
        <v>404</v>
      </c>
      <c r="P40" s="133">
        <f>E32</f>
        <v>7.840724539443876E-2</v>
      </c>
    </row>
    <row r="41" spans="4:16" x14ac:dyDescent="0.3">
      <c r="D41" s="8" t="s">
        <v>436</v>
      </c>
      <c r="E41" s="9"/>
      <c r="F41" s="9"/>
      <c r="H41" t="s">
        <v>437</v>
      </c>
      <c r="K41" s="134">
        <f>-CHH!H28</f>
        <v>0</v>
      </c>
      <c r="M41" t="s">
        <v>436</v>
      </c>
      <c r="P41" s="66">
        <f>F44</f>
        <v>9755.4991169090681</v>
      </c>
    </row>
    <row r="42" spans="4:16" x14ac:dyDescent="0.3">
      <c r="D42" t="s">
        <v>438</v>
      </c>
      <c r="F42" s="66">
        <f>N18</f>
        <v>591.24237072176174</v>
      </c>
      <c r="H42" t="s">
        <v>439</v>
      </c>
      <c r="K42" s="134">
        <f>-CHH!H29</f>
        <v>0</v>
      </c>
    </row>
    <row r="43" spans="4:16" x14ac:dyDescent="0.3">
      <c r="D43" t="s">
        <v>440</v>
      </c>
      <c r="F43" s="164">
        <v>16.5</v>
      </c>
      <c r="H43" t="s">
        <v>441</v>
      </c>
      <c r="K43" s="165">
        <f>-CHH!H30</f>
        <v>44.997</v>
      </c>
      <c r="M43" s="7" t="s">
        <v>432</v>
      </c>
      <c r="P43" s="166">
        <v>0.03</v>
      </c>
    </row>
    <row r="44" spans="4:16" x14ac:dyDescent="0.3">
      <c r="D44" s="10" t="s">
        <v>436</v>
      </c>
      <c r="F44" s="150">
        <f>IF(E7="Y",F43*F42,F42*(1+P43)/(E32-P43))</f>
        <v>9755.4991169090681</v>
      </c>
    </row>
    <row r="45" spans="4:16" x14ac:dyDescent="0.3">
      <c r="D45" t="s">
        <v>429</v>
      </c>
      <c r="F45" s="167">
        <f>N34</f>
        <v>0.7119957696258653</v>
      </c>
      <c r="H45" s="10" t="s">
        <v>442</v>
      </c>
      <c r="K45" s="168">
        <f>SUM(K39:K43)</f>
        <v>6850.8266350754748</v>
      </c>
      <c r="M45" s="231" t="s">
        <v>443</v>
      </c>
      <c r="N45" s="231"/>
      <c r="O45" s="231"/>
      <c r="P45" s="231"/>
    </row>
    <row r="46" spans="4:16" x14ac:dyDescent="0.3">
      <c r="D46" s="10" t="s">
        <v>444</v>
      </c>
      <c r="F46" s="150">
        <f>F44*F45</f>
        <v>6945.8741018281216</v>
      </c>
      <c r="M46" t="s">
        <v>62</v>
      </c>
      <c r="P46" s="66">
        <f>F49</f>
        <v>8711.9516350754748</v>
      </c>
    </row>
    <row r="47" spans="4:16" x14ac:dyDescent="0.3">
      <c r="D47" s="14" t="s">
        <v>445</v>
      </c>
      <c r="F47" s="30">
        <f>F46/F49</f>
        <v>0.79728106775330454</v>
      </c>
      <c r="H47" t="s">
        <v>46</v>
      </c>
      <c r="K47" s="34">
        <f>CHH!H24</f>
        <v>46.203842546202644</v>
      </c>
      <c r="M47" t="s">
        <v>446</v>
      </c>
      <c r="P47" s="66">
        <f>H18</f>
        <v>508.11399999999986</v>
      </c>
    </row>
    <row r="49" spans="4:16" x14ac:dyDescent="0.3">
      <c r="D49" s="10" t="s">
        <v>62</v>
      </c>
      <c r="F49" s="168">
        <f>F39+F46</f>
        <v>8711.9516350754748</v>
      </c>
      <c r="H49" s="10" t="s">
        <v>447</v>
      </c>
      <c r="K49" s="169">
        <f>K45/K47</f>
        <v>148.27395856145137</v>
      </c>
      <c r="M49" s="7" t="s">
        <v>443</v>
      </c>
      <c r="P49" s="170">
        <f>P46/P47</f>
        <v>17.145663443785207</v>
      </c>
    </row>
    <row r="51" spans="4:16" x14ac:dyDescent="0.3">
      <c r="D51" s="11"/>
      <c r="E51" s="11"/>
      <c r="F51" s="11"/>
      <c r="G51" s="11"/>
      <c r="H51" s="11"/>
      <c r="I51" s="11"/>
      <c r="J51" s="11"/>
      <c r="K51" s="11"/>
      <c r="L51" s="11"/>
      <c r="M51" s="11"/>
      <c r="N51" s="11"/>
      <c r="O51" s="11"/>
      <c r="P51" s="11"/>
    </row>
    <row r="52" spans="4:16" x14ac:dyDescent="0.3">
      <c r="D52" s="6" t="s">
        <v>447</v>
      </c>
      <c r="E52" s="2"/>
      <c r="F52" s="2"/>
      <c r="G52" s="2"/>
      <c r="H52" s="2"/>
      <c r="I52" s="2"/>
      <c r="J52" s="2"/>
      <c r="K52" s="2"/>
      <c r="L52" s="2"/>
    </row>
    <row r="53" spans="4:16" x14ac:dyDescent="0.3">
      <c r="D53" s="7"/>
    </row>
    <row r="54" spans="4:16" ht="14.4" customHeight="1" x14ac:dyDescent="0.35">
      <c r="D54" s="6" t="s">
        <v>450</v>
      </c>
      <c r="E54" s="3"/>
      <c r="F54" s="6"/>
      <c r="G54" s="6"/>
      <c r="H54" s="6"/>
      <c r="I54" s="6"/>
      <c r="J54" s="6"/>
      <c r="K54" s="6"/>
      <c r="L54" s="6"/>
    </row>
    <row r="55" spans="4:16" x14ac:dyDescent="0.3">
      <c r="D55" s="126"/>
      <c r="E55" s="240" t="s">
        <v>451</v>
      </c>
      <c r="F55" s="240"/>
      <c r="G55" s="240"/>
      <c r="H55" s="240"/>
      <c r="I55" s="240"/>
      <c r="J55" s="240"/>
      <c r="K55" s="240"/>
      <c r="L55" s="240"/>
    </row>
    <row r="56" spans="4:16" x14ac:dyDescent="0.3">
      <c r="D56" s="181"/>
      <c r="E56" s="179">
        <f>K49</f>
        <v>148.27395856145137</v>
      </c>
      <c r="F56" s="187">
        <v>6.5000000000000002E-2</v>
      </c>
      <c r="G56" s="187">
        <v>7.0000000000000007E-2</v>
      </c>
      <c r="H56" s="187">
        <v>7.4999999999999997E-2</v>
      </c>
      <c r="I56" s="187">
        <v>0.08</v>
      </c>
      <c r="J56" s="187">
        <v>8.5000000000000006E-2</v>
      </c>
      <c r="K56" s="187">
        <v>0.09</v>
      </c>
      <c r="L56" s="187">
        <v>9.5000000000000001E-2</v>
      </c>
    </row>
    <row r="57" spans="4:16" x14ac:dyDescent="0.3">
      <c r="D57" s="238" t="s">
        <v>432</v>
      </c>
      <c r="E57" s="185">
        <v>1.4999999999999999E-2</v>
      </c>
      <c r="F57" s="174">
        <f t="dataTable" ref="F57:L63" dt2D="1" dtr="1" r1="E32" r2="P43"/>
        <v>158.21558769905835</v>
      </c>
      <c r="G57" s="175">
        <v>154.42983789765367</v>
      </c>
      <c r="H57" s="175">
        <v>150.73772144344187</v>
      </c>
      <c r="I57" s="175">
        <v>147.13647854285452</v>
      </c>
      <c r="J57" s="175">
        <v>143.62344330396999</v>
      </c>
      <c r="K57" s="175">
        <v>140.19604012292717</v>
      </c>
      <c r="L57" s="175">
        <v>136.85178022528098</v>
      </c>
    </row>
    <row r="58" spans="4:16" x14ac:dyDescent="0.3">
      <c r="D58" s="238"/>
      <c r="E58" s="185">
        <v>0.02</v>
      </c>
      <c r="F58" s="176">
        <v>158.21558769905835</v>
      </c>
      <c r="G58" s="177">
        <v>154.42983789765367</v>
      </c>
      <c r="H58" s="177">
        <v>150.73772144344187</v>
      </c>
      <c r="I58" s="177">
        <v>147.13647854285452</v>
      </c>
      <c r="J58" s="177">
        <v>143.62344330396999</v>
      </c>
      <c r="K58" s="177">
        <v>140.19604012292717</v>
      </c>
      <c r="L58" s="177">
        <v>136.85178022528098</v>
      </c>
    </row>
    <row r="59" spans="4:16" x14ac:dyDescent="0.3">
      <c r="D59" s="238"/>
      <c r="E59" s="185">
        <v>2.5000000000000001E-2</v>
      </c>
      <c r="F59" s="176">
        <v>158.21558769905835</v>
      </c>
      <c r="G59" s="177">
        <v>154.42983789765367</v>
      </c>
      <c r="H59" s="173">
        <v>150.73772144344187</v>
      </c>
      <c r="I59" s="173">
        <v>147.13647854285452</v>
      </c>
      <c r="J59" s="173">
        <v>143.62344330396999</v>
      </c>
      <c r="K59" s="177">
        <v>140.19604012292717</v>
      </c>
      <c r="L59" s="177">
        <v>136.85178022528098</v>
      </c>
    </row>
    <row r="60" spans="4:16" x14ac:dyDescent="0.3">
      <c r="D60" s="238"/>
      <c r="E60" s="185">
        <v>0.03</v>
      </c>
      <c r="F60" s="176">
        <v>158.21558769905835</v>
      </c>
      <c r="G60" s="177">
        <v>154.42983789765367</v>
      </c>
      <c r="H60" s="173">
        <v>150.73772144344187</v>
      </c>
      <c r="I60" s="180">
        <v>147.13647854285452</v>
      </c>
      <c r="J60" s="173">
        <v>143.62344330396999</v>
      </c>
      <c r="K60" s="177">
        <v>140.19604012292717</v>
      </c>
      <c r="L60" s="177">
        <v>136.85178022528098</v>
      </c>
    </row>
    <row r="61" spans="4:16" x14ac:dyDescent="0.3">
      <c r="D61" s="238"/>
      <c r="E61" s="185">
        <v>3.5000000000000003E-2</v>
      </c>
      <c r="F61" s="176">
        <v>158.21558769905835</v>
      </c>
      <c r="G61" s="177">
        <v>154.42983789765367</v>
      </c>
      <c r="H61" s="173">
        <v>150.73772144344187</v>
      </c>
      <c r="I61" s="173">
        <v>147.13647854285452</v>
      </c>
      <c r="J61" s="173">
        <v>143.62344330396999</v>
      </c>
      <c r="K61" s="177">
        <v>140.19604012292717</v>
      </c>
      <c r="L61" s="177">
        <v>136.85178022528098</v>
      </c>
    </row>
    <row r="62" spans="4:16" x14ac:dyDescent="0.3">
      <c r="D62" s="238"/>
      <c r="E62" s="185">
        <v>0.04</v>
      </c>
      <c r="F62" s="176">
        <v>158.21558769905835</v>
      </c>
      <c r="G62" s="177">
        <v>154.42983789765367</v>
      </c>
      <c r="H62" s="177">
        <v>150.73772144344187</v>
      </c>
      <c r="I62" s="177">
        <v>147.13647854285452</v>
      </c>
      <c r="J62" s="177">
        <v>143.62344330396999</v>
      </c>
      <c r="K62" s="177">
        <v>140.19604012292717</v>
      </c>
      <c r="L62" s="177">
        <v>136.85178022528098</v>
      </c>
    </row>
    <row r="63" spans="4:16" x14ac:dyDescent="0.3">
      <c r="D63" s="239"/>
      <c r="E63" s="186">
        <v>4.4999999999999998E-2</v>
      </c>
      <c r="F63" s="182">
        <v>158.21558769905835</v>
      </c>
      <c r="G63" s="183">
        <v>154.42983789765367</v>
      </c>
      <c r="H63" s="183">
        <v>150.73772144344187</v>
      </c>
      <c r="I63" s="183">
        <v>147.13647854285452</v>
      </c>
      <c r="J63" s="183">
        <v>143.62344330396999</v>
      </c>
      <c r="K63" s="183">
        <v>140.19604012292717</v>
      </c>
      <c r="L63" s="183">
        <v>136.85178022528098</v>
      </c>
    </row>
    <row r="65" spans="4:12" ht="14.4" customHeight="1" x14ac:dyDescent="0.35">
      <c r="D65" s="6" t="s">
        <v>452</v>
      </c>
      <c r="E65" s="3"/>
      <c r="F65" s="6"/>
      <c r="G65" s="6"/>
      <c r="H65" s="6"/>
      <c r="I65" s="6"/>
      <c r="J65" s="6"/>
      <c r="K65" s="6"/>
      <c r="L65" s="6"/>
    </row>
    <row r="66" spans="4:12" x14ac:dyDescent="0.3">
      <c r="D66" s="126"/>
      <c r="E66" s="240" t="s">
        <v>451</v>
      </c>
      <c r="F66" s="240"/>
      <c r="G66" s="240"/>
      <c r="H66" s="240"/>
      <c r="I66" s="240"/>
      <c r="J66" s="240"/>
      <c r="K66" s="240"/>
      <c r="L66" s="240"/>
    </row>
    <row r="67" spans="4:12" x14ac:dyDescent="0.3">
      <c r="D67" s="181"/>
      <c r="E67" s="179">
        <f>K49</f>
        <v>148.27395856145137</v>
      </c>
      <c r="F67" s="187">
        <v>6.5000000000000002E-2</v>
      </c>
      <c r="G67" s="187">
        <v>7.0000000000000007E-2</v>
      </c>
      <c r="H67" s="187">
        <v>7.4999999999999997E-2</v>
      </c>
      <c r="I67" s="187">
        <v>0.08</v>
      </c>
      <c r="J67" s="187">
        <v>8.5000000000000006E-2</v>
      </c>
      <c r="K67" s="187">
        <v>0.09</v>
      </c>
      <c r="L67" s="187">
        <v>9.5000000000000001E-2</v>
      </c>
    </row>
    <row r="68" spans="4:12" x14ac:dyDescent="0.3">
      <c r="D68" s="238" t="s">
        <v>440</v>
      </c>
      <c r="E68" s="178">
        <v>15</v>
      </c>
      <c r="F68" s="174">
        <f t="dataTable" ref="F68:L74" dt2D="1" dtr="1" r1="E32" r2="F43"/>
        <v>148.27395856145137</v>
      </c>
      <c r="G68" s="175">
        <v>148.27395856145137</v>
      </c>
      <c r="H68" s="175">
        <v>148.27395856145137</v>
      </c>
      <c r="I68" s="175">
        <v>148.27395856145137</v>
      </c>
      <c r="J68" s="175">
        <v>148.27395856145137</v>
      </c>
      <c r="K68" s="175">
        <v>148.27395856145137</v>
      </c>
      <c r="L68" s="175">
        <v>148.27395856145137</v>
      </c>
    </row>
    <row r="69" spans="4:12" x14ac:dyDescent="0.3">
      <c r="D69" s="238"/>
      <c r="E69" s="178">
        <v>15.5</v>
      </c>
      <c r="F69" s="176">
        <v>148.27395856145137</v>
      </c>
      <c r="G69" s="177">
        <v>148.27395856145137</v>
      </c>
      <c r="H69" s="177">
        <v>148.27395856145137</v>
      </c>
      <c r="I69" s="177">
        <v>148.27395856145137</v>
      </c>
      <c r="J69" s="177">
        <v>148.27395856145137</v>
      </c>
      <c r="K69" s="177">
        <v>148.27395856145137</v>
      </c>
      <c r="L69" s="177">
        <v>148.27395856145137</v>
      </c>
    </row>
    <row r="70" spans="4:12" x14ac:dyDescent="0.3">
      <c r="D70" s="238"/>
      <c r="E70" s="178">
        <v>16</v>
      </c>
      <c r="F70" s="176">
        <v>148.27395856145137</v>
      </c>
      <c r="G70" s="177">
        <v>148.27395856145137</v>
      </c>
      <c r="H70" s="173">
        <v>148.27395856145137</v>
      </c>
      <c r="I70" s="173">
        <v>148.27395856145137</v>
      </c>
      <c r="J70" s="173">
        <v>148.27395856145137</v>
      </c>
      <c r="K70" s="177">
        <v>148.27395856145137</v>
      </c>
      <c r="L70" s="177">
        <v>148.27395856145137</v>
      </c>
    </row>
    <row r="71" spans="4:12" x14ac:dyDescent="0.3">
      <c r="D71" s="238"/>
      <c r="E71" s="178">
        <v>16.5</v>
      </c>
      <c r="F71" s="176">
        <v>148.27395856145137</v>
      </c>
      <c r="G71" s="177">
        <v>148.27395856145137</v>
      </c>
      <c r="H71" s="173">
        <v>148.27395856145137</v>
      </c>
      <c r="I71" s="180">
        <v>148.27395856145137</v>
      </c>
      <c r="J71" s="173">
        <v>148.27395856145137</v>
      </c>
      <c r="K71" s="177">
        <v>148.27395856145137</v>
      </c>
      <c r="L71" s="177">
        <v>148.27395856145137</v>
      </c>
    </row>
    <row r="72" spans="4:12" x14ac:dyDescent="0.3">
      <c r="D72" s="238"/>
      <c r="E72" s="178">
        <v>17</v>
      </c>
      <c r="F72" s="176">
        <v>148.27395856145137</v>
      </c>
      <c r="G72" s="177">
        <v>148.27395856145137</v>
      </c>
      <c r="H72" s="173">
        <v>148.27395856145137</v>
      </c>
      <c r="I72" s="173">
        <v>148.27395856145137</v>
      </c>
      <c r="J72" s="173">
        <v>148.27395856145137</v>
      </c>
      <c r="K72" s="177">
        <v>148.27395856145137</v>
      </c>
      <c r="L72" s="177">
        <v>148.27395856145137</v>
      </c>
    </row>
    <row r="73" spans="4:12" x14ac:dyDescent="0.3">
      <c r="D73" s="238"/>
      <c r="E73" s="178">
        <v>17.5</v>
      </c>
      <c r="F73" s="176">
        <v>148.27395856145137</v>
      </c>
      <c r="G73" s="177">
        <v>148.27395856145137</v>
      </c>
      <c r="H73" s="177">
        <v>148.27395856145137</v>
      </c>
      <c r="I73" s="177">
        <v>148.27395856145137</v>
      </c>
      <c r="J73" s="177">
        <v>148.27395856145137</v>
      </c>
      <c r="K73" s="177">
        <v>148.27395856145137</v>
      </c>
      <c r="L73" s="177">
        <v>148.27395856145137</v>
      </c>
    </row>
    <row r="74" spans="4:12" x14ac:dyDescent="0.3">
      <c r="D74" s="239"/>
      <c r="E74" s="184">
        <v>18</v>
      </c>
      <c r="F74" s="182">
        <v>148.27395856145137</v>
      </c>
      <c r="G74" s="183">
        <v>148.27395856145137</v>
      </c>
      <c r="H74" s="183">
        <v>148.27395856145137</v>
      </c>
      <c r="I74" s="183">
        <v>148.27395856145137</v>
      </c>
      <c r="J74" s="183">
        <v>148.27395856145137</v>
      </c>
      <c r="K74" s="183">
        <v>148.27395856145137</v>
      </c>
      <c r="L74" s="183">
        <v>148.27395856145137</v>
      </c>
    </row>
    <row r="76" spans="4:12" x14ac:dyDescent="0.3">
      <c r="D76" s="6" t="s">
        <v>471</v>
      </c>
      <c r="E76" s="2"/>
      <c r="F76" s="2"/>
      <c r="G76" s="2"/>
      <c r="H76" s="2"/>
      <c r="I76" s="2"/>
      <c r="J76" s="2"/>
      <c r="K76" s="2"/>
      <c r="L76" s="2"/>
    </row>
    <row r="78" spans="4:12" ht="18" x14ac:dyDescent="0.35">
      <c r="D78" s="6" t="s">
        <v>450</v>
      </c>
      <c r="E78" s="3"/>
      <c r="F78" s="6"/>
      <c r="G78" s="6"/>
      <c r="H78" s="6"/>
      <c r="I78" s="6"/>
      <c r="J78" s="6"/>
      <c r="K78" s="6"/>
      <c r="L78" s="6"/>
    </row>
    <row r="79" spans="4:12" x14ac:dyDescent="0.3">
      <c r="D79" s="126"/>
      <c r="E79" s="240" t="s">
        <v>451</v>
      </c>
      <c r="F79" s="240"/>
      <c r="G79" s="240"/>
      <c r="H79" s="240"/>
      <c r="I79" s="240"/>
      <c r="J79" s="240"/>
      <c r="K79" s="240"/>
      <c r="L79" s="240"/>
    </row>
    <row r="80" spans="4:12" x14ac:dyDescent="0.3">
      <c r="D80" s="181"/>
      <c r="E80" s="179">
        <f>F49</f>
        <v>8711.9516350754748</v>
      </c>
      <c r="F80" s="187">
        <v>6.5000000000000002E-2</v>
      </c>
      <c r="G80" s="187">
        <v>7.0000000000000007E-2</v>
      </c>
      <c r="H80" s="187">
        <v>7.4999999999999997E-2</v>
      </c>
      <c r="I80" s="187">
        <v>0.08</v>
      </c>
      <c r="J80" s="187">
        <v>8.5000000000000006E-2</v>
      </c>
      <c r="K80" s="187">
        <v>0.09</v>
      </c>
      <c r="L80" s="187">
        <v>9.5000000000000001E-2</v>
      </c>
    </row>
    <row r="81" spans="4:12" x14ac:dyDescent="0.3">
      <c r="D81" s="238" t="s">
        <v>432</v>
      </c>
      <c r="E81" s="185">
        <v>1.4999999999999999E-2</v>
      </c>
      <c r="F81" s="174">
        <f t="dataTable" ref="F81:L87" dt2D="1" dtr="1" r1="E32" r2="P43"/>
        <v>8711.9516350754748</v>
      </c>
      <c r="G81" s="175">
        <v>8711.9516350754748</v>
      </c>
      <c r="H81" s="175">
        <v>8711.9516350754748</v>
      </c>
      <c r="I81" s="175">
        <v>8711.9516350754748</v>
      </c>
      <c r="J81" s="175">
        <v>8711.9516350754748</v>
      </c>
      <c r="K81" s="175">
        <v>8711.9516350754748</v>
      </c>
      <c r="L81" s="175">
        <v>8711.9516350754748</v>
      </c>
    </row>
    <row r="82" spans="4:12" x14ac:dyDescent="0.3">
      <c r="D82" s="238"/>
      <c r="E82" s="185">
        <v>0.02</v>
      </c>
      <c r="F82" s="176">
        <v>8711.9516350754748</v>
      </c>
      <c r="G82" s="177">
        <v>8711.9516350754748</v>
      </c>
      <c r="H82" s="177">
        <v>8711.9516350754748</v>
      </c>
      <c r="I82" s="177">
        <v>8711.9516350754748</v>
      </c>
      <c r="J82" s="177">
        <v>8711.9516350754748</v>
      </c>
      <c r="K82" s="177">
        <v>8711.9516350754748</v>
      </c>
      <c r="L82" s="177">
        <v>8711.9516350754748</v>
      </c>
    </row>
    <row r="83" spans="4:12" x14ac:dyDescent="0.3">
      <c r="D83" s="238"/>
      <c r="E83" s="185">
        <v>2.5000000000000001E-2</v>
      </c>
      <c r="F83" s="176">
        <v>8711.9516350754748</v>
      </c>
      <c r="G83" s="177">
        <v>8711.9516350754748</v>
      </c>
      <c r="H83" s="173">
        <v>8711.9516350754748</v>
      </c>
      <c r="I83" s="173">
        <v>8711.9516350754748</v>
      </c>
      <c r="J83" s="173">
        <v>8711.9516350754748</v>
      </c>
      <c r="K83" s="177">
        <v>8711.9516350754748</v>
      </c>
      <c r="L83" s="177">
        <v>8711.9516350754748</v>
      </c>
    </row>
    <row r="84" spans="4:12" x14ac:dyDescent="0.3">
      <c r="D84" s="238"/>
      <c r="E84" s="185">
        <v>0.03</v>
      </c>
      <c r="F84" s="176">
        <v>8711.9516350754748</v>
      </c>
      <c r="G84" s="177">
        <v>8711.9516350754748</v>
      </c>
      <c r="H84" s="173">
        <v>8711.9516350754748</v>
      </c>
      <c r="I84" s="180">
        <v>8711.9516350754748</v>
      </c>
      <c r="J84" s="173">
        <v>8711.9516350754748</v>
      </c>
      <c r="K84" s="177">
        <v>8711.9516350754748</v>
      </c>
      <c r="L84" s="177">
        <v>8711.9516350754748</v>
      </c>
    </row>
    <row r="85" spans="4:12" x14ac:dyDescent="0.3">
      <c r="D85" s="238"/>
      <c r="E85" s="185">
        <v>3.5000000000000003E-2</v>
      </c>
      <c r="F85" s="176">
        <v>8711.9516350754748</v>
      </c>
      <c r="G85" s="177">
        <v>8711.9516350754748</v>
      </c>
      <c r="H85" s="173">
        <v>8711.9516350754748</v>
      </c>
      <c r="I85" s="173">
        <v>8711.9516350754748</v>
      </c>
      <c r="J85" s="173">
        <v>8711.9516350754748</v>
      </c>
      <c r="K85" s="177">
        <v>8711.9516350754748</v>
      </c>
      <c r="L85" s="177">
        <v>8711.9516350754748</v>
      </c>
    </row>
    <row r="86" spans="4:12" x14ac:dyDescent="0.3">
      <c r="D86" s="238"/>
      <c r="E86" s="185">
        <v>0.04</v>
      </c>
      <c r="F86" s="176">
        <v>8711.9516350754748</v>
      </c>
      <c r="G86" s="177">
        <v>8711.9516350754748</v>
      </c>
      <c r="H86" s="177">
        <v>8711.9516350754748</v>
      </c>
      <c r="I86" s="177">
        <v>8711.9516350754748</v>
      </c>
      <c r="J86" s="177">
        <v>8711.9516350754748</v>
      </c>
      <c r="K86" s="177">
        <v>8711.9516350754748</v>
      </c>
      <c r="L86" s="177">
        <v>8711.9516350754748</v>
      </c>
    </row>
    <row r="87" spans="4:12" x14ac:dyDescent="0.3">
      <c r="D87" s="239"/>
      <c r="E87" s="186">
        <v>4.4999999999999998E-2</v>
      </c>
      <c r="F87" s="182">
        <v>8711.9516350754748</v>
      </c>
      <c r="G87" s="183">
        <v>8711.9516350754748</v>
      </c>
      <c r="H87" s="183">
        <v>8711.9516350754748</v>
      </c>
      <c r="I87" s="183">
        <v>8711.9516350754748</v>
      </c>
      <c r="J87" s="183">
        <v>8711.9516350754748</v>
      </c>
      <c r="K87" s="183">
        <v>8711.9516350754748</v>
      </c>
      <c r="L87" s="183">
        <v>8711.9516350754748</v>
      </c>
    </row>
    <row r="89" spans="4:12" ht="18" x14ac:dyDescent="0.35">
      <c r="D89" s="6" t="s">
        <v>452</v>
      </c>
      <c r="E89" s="3"/>
      <c r="F89" s="6"/>
      <c r="G89" s="6"/>
      <c r="H89" s="6"/>
      <c r="I89" s="6"/>
      <c r="J89" s="6"/>
      <c r="K89" s="6"/>
      <c r="L89" s="6"/>
    </row>
    <row r="90" spans="4:12" x14ac:dyDescent="0.3">
      <c r="D90" s="126"/>
      <c r="E90" s="240" t="s">
        <v>451</v>
      </c>
      <c r="F90" s="240"/>
      <c r="G90" s="240"/>
      <c r="H90" s="240"/>
      <c r="I90" s="240"/>
      <c r="J90" s="240"/>
      <c r="K90" s="240"/>
      <c r="L90" s="240"/>
    </row>
    <row r="91" spans="4:12" x14ac:dyDescent="0.3">
      <c r="D91" s="181"/>
      <c r="E91" s="179">
        <f>F49</f>
        <v>8711.9516350754748</v>
      </c>
      <c r="F91" s="187">
        <v>6.5000000000000002E-2</v>
      </c>
      <c r="G91" s="187">
        <v>7.0000000000000007E-2</v>
      </c>
      <c r="H91" s="187">
        <v>7.4999999999999997E-2</v>
      </c>
      <c r="I91" s="187">
        <v>0.08</v>
      </c>
      <c r="J91" s="187">
        <v>8.5000000000000006E-2</v>
      </c>
      <c r="K91" s="187">
        <v>0.09</v>
      </c>
      <c r="L91" s="187">
        <v>9.5000000000000001E-2</v>
      </c>
    </row>
    <row r="92" spans="4:12" x14ac:dyDescent="0.3">
      <c r="D92" s="238" t="s">
        <v>440</v>
      </c>
      <c r="E92" s="178">
        <v>15</v>
      </c>
      <c r="F92" s="174">
        <f t="dataTable" ref="F92:L98" dt2D="1" dtr="1" r1="E32" r2="F43"/>
        <v>8711.9516350754748</v>
      </c>
      <c r="G92" s="175">
        <v>8711.9516350754748</v>
      </c>
      <c r="H92" s="175">
        <v>8711.9516350754748</v>
      </c>
      <c r="I92" s="175">
        <v>8711.9516350754748</v>
      </c>
      <c r="J92" s="175">
        <v>8711.9516350754748</v>
      </c>
      <c r="K92" s="175">
        <v>8711.9516350754748</v>
      </c>
      <c r="L92" s="175">
        <v>8711.9516350754748</v>
      </c>
    </row>
    <row r="93" spans="4:12" x14ac:dyDescent="0.3">
      <c r="D93" s="238"/>
      <c r="E93" s="178">
        <v>15.5</v>
      </c>
      <c r="F93" s="176">
        <v>8711.9516350754748</v>
      </c>
      <c r="G93" s="177">
        <v>8711.9516350754748</v>
      </c>
      <c r="H93" s="177">
        <v>8711.9516350754748</v>
      </c>
      <c r="I93" s="177">
        <v>8711.9516350754748</v>
      </c>
      <c r="J93" s="177">
        <v>8711.9516350754748</v>
      </c>
      <c r="K93" s="177">
        <v>8711.9516350754748</v>
      </c>
      <c r="L93" s="177">
        <v>8711.9516350754748</v>
      </c>
    </row>
    <row r="94" spans="4:12" x14ac:dyDescent="0.3">
      <c r="D94" s="238"/>
      <c r="E94" s="178">
        <v>16</v>
      </c>
      <c r="F94" s="176">
        <v>8711.9516350754748</v>
      </c>
      <c r="G94" s="177">
        <v>8711.9516350754748</v>
      </c>
      <c r="H94" s="173">
        <v>8711.9516350754748</v>
      </c>
      <c r="I94" s="173">
        <v>8711.9516350754748</v>
      </c>
      <c r="J94" s="173">
        <v>8711.9516350754748</v>
      </c>
      <c r="K94" s="177">
        <v>8711.9516350754748</v>
      </c>
      <c r="L94" s="177">
        <v>8711.9516350754748</v>
      </c>
    </row>
    <row r="95" spans="4:12" x14ac:dyDescent="0.3">
      <c r="D95" s="238"/>
      <c r="E95" s="178">
        <v>16.5</v>
      </c>
      <c r="F95" s="176">
        <v>8711.9516350754748</v>
      </c>
      <c r="G95" s="177">
        <v>8711.9516350754748</v>
      </c>
      <c r="H95" s="173">
        <v>8711.9516350754748</v>
      </c>
      <c r="I95" s="180">
        <v>8711.9516350754748</v>
      </c>
      <c r="J95" s="173">
        <v>8711.9516350754748</v>
      </c>
      <c r="K95" s="177">
        <v>8711.9516350754748</v>
      </c>
      <c r="L95" s="177">
        <v>8711.9516350754748</v>
      </c>
    </row>
    <row r="96" spans="4:12" x14ac:dyDescent="0.3">
      <c r="D96" s="238"/>
      <c r="E96" s="178">
        <v>17</v>
      </c>
      <c r="F96" s="176">
        <v>8711.9516350754748</v>
      </c>
      <c r="G96" s="177">
        <v>8711.9516350754748</v>
      </c>
      <c r="H96" s="173">
        <v>8711.9516350754748</v>
      </c>
      <c r="I96" s="173">
        <v>8711.9516350754748</v>
      </c>
      <c r="J96" s="173">
        <v>8711.9516350754748</v>
      </c>
      <c r="K96" s="177">
        <v>8711.9516350754748</v>
      </c>
      <c r="L96" s="177">
        <v>8711.9516350754748</v>
      </c>
    </row>
    <row r="97" spans="4:12" x14ac:dyDescent="0.3">
      <c r="D97" s="238"/>
      <c r="E97" s="178">
        <v>17.5</v>
      </c>
      <c r="F97" s="176">
        <v>8711.9516350754748</v>
      </c>
      <c r="G97" s="177">
        <v>8711.9516350754748</v>
      </c>
      <c r="H97" s="177">
        <v>8711.9516350754748</v>
      </c>
      <c r="I97" s="177">
        <v>8711.9516350754748</v>
      </c>
      <c r="J97" s="177">
        <v>8711.9516350754748</v>
      </c>
      <c r="K97" s="177">
        <v>8711.9516350754748</v>
      </c>
      <c r="L97" s="177">
        <v>8711.9516350754748</v>
      </c>
    </row>
    <row r="98" spans="4:12" x14ac:dyDescent="0.3">
      <c r="D98" s="239"/>
      <c r="E98" s="184">
        <v>18</v>
      </c>
      <c r="F98" s="182">
        <v>8711.9516350754748</v>
      </c>
      <c r="G98" s="183">
        <v>8711.9516350754748</v>
      </c>
      <c r="H98" s="183">
        <v>8711.9516350754748</v>
      </c>
      <c r="I98" s="183">
        <v>8711.9516350754748</v>
      </c>
      <c r="J98" s="183">
        <v>8711.9516350754748</v>
      </c>
      <c r="K98" s="183">
        <v>8711.9516350754748</v>
      </c>
      <c r="L98" s="183">
        <v>8711.9516350754748</v>
      </c>
    </row>
    <row r="100" spans="4:12" x14ac:dyDescent="0.3">
      <c r="D100" s="6" t="s">
        <v>442</v>
      </c>
      <c r="E100" s="2"/>
      <c r="F100" s="2"/>
      <c r="G100" s="2"/>
      <c r="H100" s="2"/>
      <c r="I100" s="2"/>
      <c r="J100" s="2"/>
      <c r="K100" s="2"/>
      <c r="L100" s="2"/>
    </row>
    <row r="102" spans="4:12" ht="18" x14ac:dyDescent="0.35">
      <c r="D102" s="6" t="s">
        <v>450</v>
      </c>
      <c r="E102" s="3"/>
      <c r="F102" s="6"/>
      <c r="G102" s="6"/>
      <c r="H102" s="6"/>
      <c r="I102" s="6"/>
      <c r="J102" s="6"/>
      <c r="K102" s="6"/>
      <c r="L102" s="6"/>
    </row>
    <row r="103" spans="4:12" x14ac:dyDescent="0.3">
      <c r="D103" s="126"/>
      <c r="E103" s="240" t="s">
        <v>451</v>
      </c>
      <c r="F103" s="240"/>
      <c r="G103" s="240"/>
      <c r="H103" s="240"/>
      <c r="I103" s="240"/>
      <c r="J103" s="240"/>
      <c r="K103" s="240"/>
      <c r="L103" s="240"/>
    </row>
    <row r="104" spans="4:12" x14ac:dyDescent="0.3">
      <c r="D104" s="181"/>
      <c r="E104" s="179">
        <f>K45</f>
        <v>6850.8266350754748</v>
      </c>
      <c r="F104" s="187">
        <v>6.5000000000000002E-2</v>
      </c>
      <c r="G104" s="187">
        <v>7.0000000000000007E-2</v>
      </c>
      <c r="H104" s="187">
        <v>7.4999999999999997E-2</v>
      </c>
      <c r="I104" s="187">
        <v>0.08</v>
      </c>
      <c r="J104" s="187">
        <v>8.5000000000000006E-2</v>
      </c>
      <c r="K104" s="187">
        <v>0.09</v>
      </c>
      <c r="L104" s="187">
        <v>9.5000000000000001E-2</v>
      </c>
    </row>
    <row r="105" spans="4:12" x14ac:dyDescent="0.3">
      <c r="D105" s="238" t="s">
        <v>432</v>
      </c>
      <c r="E105" s="185">
        <v>1.4999999999999999E-2</v>
      </c>
      <c r="F105" s="174">
        <f t="dataTable" ref="F105:L111" dt2D="1" dtr="1" r1="E32" r2="P43"/>
        <v>6850.8266350754748</v>
      </c>
      <c r="G105" s="175">
        <v>6850.8266350754748</v>
      </c>
      <c r="H105" s="175">
        <v>6850.8266350754748</v>
      </c>
      <c r="I105" s="175">
        <v>6850.8266350754748</v>
      </c>
      <c r="J105" s="175">
        <v>6850.8266350754748</v>
      </c>
      <c r="K105" s="175">
        <v>6850.8266350754748</v>
      </c>
      <c r="L105" s="175">
        <v>6850.8266350754748</v>
      </c>
    </row>
    <row r="106" spans="4:12" x14ac:dyDescent="0.3">
      <c r="D106" s="238"/>
      <c r="E106" s="185">
        <v>0.02</v>
      </c>
      <c r="F106" s="176">
        <v>6850.8266350754748</v>
      </c>
      <c r="G106" s="177">
        <v>6850.8266350754748</v>
      </c>
      <c r="H106" s="177">
        <v>6850.8266350754748</v>
      </c>
      <c r="I106" s="177">
        <v>6850.8266350754748</v>
      </c>
      <c r="J106" s="177">
        <v>6850.8266350754748</v>
      </c>
      <c r="K106" s="177">
        <v>6850.8266350754748</v>
      </c>
      <c r="L106" s="177">
        <v>6850.8266350754748</v>
      </c>
    </row>
    <row r="107" spans="4:12" x14ac:dyDescent="0.3">
      <c r="D107" s="238"/>
      <c r="E107" s="185">
        <v>2.5000000000000001E-2</v>
      </c>
      <c r="F107" s="176">
        <v>6850.8266350754748</v>
      </c>
      <c r="G107" s="177">
        <v>6850.8266350754748</v>
      </c>
      <c r="H107" s="173">
        <v>6850.8266350754748</v>
      </c>
      <c r="I107" s="173">
        <v>6850.8266350754748</v>
      </c>
      <c r="J107" s="173">
        <v>6850.8266350754748</v>
      </c>
      <c r="K107" s="177">
        <v>6850.8266350754748</v>
      </c>
      <c r="L107" s="177">
        <v>6850.8266350754748</v>
      </c>
    </row>
    <row r="108" spans="4:12" x14ac:dyDescent="0.3">
      <c r="D108" s="238"/>
      <c r="E108" s="185">
        <v>0.03</v>
      </c>
      <c r="F108" s="176">
        <v>6850.8266350754748</v>
      </c>
      <c r="G108" s="177">
        <v>6850.8266350754748</v>
      </c>
      <c r="H108" s="173">
        <v>6850.8266350754748</v>
      </c>
      <c r="I108" s="180">
        <v>6850.8266350754748</v>
      </c>
      <c r="J108" s="173">
        <v>6850.8266350754748</v>
      </c>
      <c r="K108" s="177">
        <v>6850.8266350754748</v>
      </c>
      <c r="L108" s="177">
        <v>6850.8266350754748</v>
      </c>
    </row>
    <row r="109" spans="4:12" x14ac:dyDescent="0.3">
      <c r="D109" s="238"/>
      <c r="E109" s="185">
        <v>3.5000000000000003E-2</v>
      </c>
      <c r="F109" s="176">
        <v>6850.8266350754748</v>
      </c>
      <c r="G109" s="177">
        <v>6850.8266350754748</v>
      </c>
      <c r="H109" s="173">
        <v>6850.8266350754748</v>
      </c>
      <c r="I109" s="173">
        <v>6850.8266350754748</v>
      </c>
      <c r="J109" s="173">
        <v>6850.8266350754748</v>
      </c>
      <c r="K109" s="177">
        <v>6850.8266350754748</v>
      </c>
      <c r="L109" s="177">
        <v>6850.8266350754748</v>
      </c>
    </row>
    <row r="110" spans="4:12" x14ac:dyDescent="0.3">
      <c r="D110" s="238"/>
      <c r="E110" s="185">
        <v>0.04</v>
      </c>
      <c r="F110" s="176">
        <v>6850.8266350754748</v>
      </c>
      <c r="G110" s="177">
        <v>6850.8266350754748</v>
      </c>
      <c r="H110" s="177">
        <v>6850.8266350754748</v>
      </c>
      <c r="I110" s="177">
        <v>6850.8266350754748</v>
      </c>
      <c r="J110" s="177">
        <v>6850.8266350754748</v>
      </c>
      <c r="K110" s="177">
        <v>6850.8266350754748</v>
      </c>
      <c r="L110" s="177">
        <v>6850.8266350754748</v>
      </c>
    </row>
    <row r="111" spans="4:12" x14ac:dyDescent="0.3">
      <c r="D111" s="239"/>
      <c r="E111" s="186">
        <v>4.4999999999999998E-2</v>
      </c>
      <c r="F111" s="182">
        <v>6850.8266350754748</v>
      </c>
      <c r="G111" s="183">
        <v>6850.8266350754748</v>
      </c>
      <c r="H111" s="183">
        <v>6850.8266350754748</v>
      </c>
      <c r="I111" s="183">
        <v>6850.8266350754748</v>
      </c>
      <c r="J111" s="183">
        <v>6850.8266350754748</v>
      </c>
      <c r="K111" s="183">
        <v>6850.8266350754748</v>
      </c>
      <c r="L111" s="183">
        <v>6850.8266350754748</v>
      </c>
    </row>
    <row r="113" spans="4:12" ht="18" x14ac:dyDescent="0.35">
      <c r="D113" s="6" t="s">
        <v>452</v>
      </c>
      <c r="E113" s="3"/>
      <c r="F113" s="6"/>
      <c r="G113" s="6"/>
      <c r="H113" s="6"/>
      <c r="I113" s="6"/>
      <c r="J113" s="6"/>
      <c r="K113" s="6"/>
      <c r="L113" s="6"/>
    </row>
    <row r="114" spans="4:12" x14ac:dyDescent="0.3">
      <c r="D114" s="126"/>
      <c r="E114" s="240" t="s">
        <v>451</v>
      </c>
      <c r="F114" s="240"/>
      <c r="G114" s="240"/>
      <c r="H114" s="240"/>
      <c r="I114" s="240"/>
      <c r="J114" s="240"/>
      <c r="K114" s="240"/>
      <c r="L114" s="240"/>
    </row>
    <row r="115" spans="4:12" x14ac:dyDescent="0.3">
      <c r="D115" s="181"/>
      <c r="E115" s="179">
        <f>K45</f>
        <v>6850.8266350754748</v>
      </c>
      <c r="F115" s="187">
        <v>6.5000000000000002E-2</v>
      </c>
      <c r="G115" s="187">
        <v>7.0000000000000007E-2</v>
      </c>
      <c r="H115" s="187">
        <v>7.4999999999999997E-2</v>
      </c>
      <c r="I115" s="187">
        <v>0.08</v>
      </c>
      <c r="J115" s="187">
        <v>8.5000000000000006E-2</v>
      </c>
      <c r="K115" s="187">
        <v>0.09</v>
      </c>
      <c r="L115" s="187">
        <v>9.5000000000000001E-2</v>
      </c>
    </row>
    <row r="116" spans="4:12" x14ac:dyDescent="0.3">
      <c r="D116" s="238" t="s">
        <v>440</v>
      </c>
      <c r="E116" s="178">
        <v>15</v>
      </c>
      <c r="F116" s="174">
        <f t="dataTable" ref="F116:L122" dt2D="1" dtr="1" r1="E32" r2="F43"/>
        <v>6850.8266350754748</v>
      </c>
      <c r="G116" s="175">
        <v>6850.8266350754748</v>
      </c>
      <c r="H116" s="175">
        <v>6850.8266350754748</v>
      </c>
      <c r="I116" s="175">
        <v>6850.8266350754748</v>
      </c>
      <c r="J116" s="175">
        <v>6850.8266350754748</v>
      </c>
      <c r="K116" s="175">
        <v>6850.8266350754748</v>
      </c>
      <c r="L116" s="175">
        <v>6850.8266350754748</v>
      </c>
    </row>
    <row r="117" spans="4:12" x14ac:dyDescent="0.3">
      <c r="D117" s="238"/>
      <c r="E117" s="178">
        <v>15.5</v>
      </c>
      <c r="F117" s="176">
        <v>6850.8266350754748</v>
      </c>
      <c r="G117" s="177">
        <v>6850.8266350754748</v>
      </c>
      <c r="H117" s="177">
        <v>6850.8266350754748</v>
      </c>
      <c r="I117" s="177">
        <v>6850.8266350754748</v>
      </c>
      <c r="J117" s="177">
        <v>6850.8266350754748</v>
      </c>
      <c r="K117" s="177">
        <v>6850.8266350754748</v>
      </c>
      <c r="L117" s="177">
        <v>6850.8266350754748</v>
      </c>
    </row>
    <row r="118" spans="4:12" x14ac:dyDescent="0.3">
      <c r="D118" s="238"/>
      <c r="E118" s="178">
        <v>16</v>
      </c>
      <c r="F118" s="176">
        <v>6850.8266350754748</v>
      </c>
      <c r="G118" s="177">
        <v>6850.8266350754748</v>
      </c>
      <c r="H118" s="173">
        <v>6850.8266350754748</v>
      </c>
      <c r="I118" s="173">
        <v>6850.8266350754748</v>
      </c>
      <c r="J118" s="173">
        <v>6850.8266350754748</v>
      </c>
      <c r="K118" s="177">
        <v>6850.8266350754748</v>
      </c>
      <c r="L118" s="177">
        <v>6850.8266350754748</v>
      </c>
    </row>
    <row r="119" spans="4:12" x14ac:dyDescent="0.3">
      <c r="D119" s="238"/>
      <c r="E119" s="178">
        <v>16.5</v>
      </c>
      <c r="F119" s="176">
        <v>6850.8266350754748</v>
      </c>
      <c r="G119" s="177">
        <v>6850.8266350754748</v>
      </c>
      <c r="H119" s="173">
        <v>6850.8266350754748</v>
      </c>
      <c r="I119" s="180">
        <v>6850.8266350754748</v>
      </c>
      <c r="J119" s="173">
        <v>6850.8266350754748</v>
      </c>
      <c r="K119" s="177">
        <v>6850.8266350754748</v>
      </c>
      <c r="L119" s="177">
        <v>6850.8266350754748</v>
      </c>
    </row>
    <row r="120" spans="4:12" x14ac:dyDescent="0.3">
      <c r="D120" s="238"/>
      <c r="E120" s="178">
        <v>17</v>
      </c>
      <c r="F120" s="176">
        <v>6850.8266350754748</v>
      </c>
      <c r="G120" s="177">
        <v>6850.8266350754748</v>
      </c>
      <c r="H120" s="173">
        <v>6850.8266350754748</v>
      </c>
      <c r="I120" s="173">
        <v>6850.8266350754748</v>
      </c>
      <c r="J120" s="173">
        <v>6850.8266350754748</v>
      </c>
      <c r="K120" s="177">
        <v>6850.8266350754748</v>
      </c>
      <c r="L120" s="177">
        <v>6850.8266350754748</v>
      </c>
    </row>
    <row r="121" spans="4:12" x14ac:dyDescent="0.3">
      <c r="D121" s="238"/>
      <c r="E121" s="178">
        <v>17.5</v>
      </c>
      <c r="F121" s="176">
        <v>6850.8266350754748</v>
      </c>
      <c r="G121" s="177">
        <v>6850.8266350754748</v>
      </c>
      <c r="H121" s="177">
        <v>6850.8266350754748</v>
      </c>
      <c r="I121" s="177">
        <v>6850.8266350754748</v>
      </c>
      <c r="J121" s="177">
        <v>6850.8266350754748</v>
      </c>
      <c r="K121" s="177">
        <v>6850.8266350754748</v>
      </c>
      <c r="L121" s="177">
        <v>6850.8266350754748</v>
      </c>
    </row>
    <row r="122" spans="4:12" x14ac:dyDescent="0.3">
      <c r="D122" s="239"/>
      <c r="E122" s="184">
        <v>18</v>
      </c>
      <c r="F122" s="182">
        <v>6850.8266350754748</v>
      </c>
      <c r="G122" s="183">
        <v>6850.8266350754748</v>
      </c>
      <c r="H122" s="183">
        <v>6850.8266350754748</v>
      </c>
      <c r="I122" s="183">
        <v>6850.8266350754748</v>
      </c>
      <c r="J122" s="183">
        <v>6850.8266350754748</v>
      </c>
      <c r="K122" s="183">
        <v>6850.8266350754748</v>
      </c>
      <c r="L122" s="183">
        <v>6850.8266350754748</v>
      </c>
    </row>
  </sheetData>
  <mergeCells count="18">
    <mergeCell ref="M45:P45"/>
    <mergeCell ref="E90:L90"/>
    <mergeCell ref="D92:D98"/>
    <mergeCell ref="E79:L79"/>
    <mergeCell ref="D81:D87"/>
    <mergeCell ref="D57:D63"/>
    <mergeCell ref="D68:D74"/>
    <mergeCell ref="E66:L66"/>
    <mergeCell ref="F6:H6"/>
    <mergeCell ref="J6:N6"/>
    <mergeCell ref="D38:F38"/>
    <mergeCell ref="H38:K38"/>
    <mergeCell ref="M38:P38"/>
    <mergeCell ref="D116:D122"/>
    <mergeCell ref="E103:L103"/>
    <mergeCell ref="D105:D111"/>
    <mergeCell ref="E114:L114"/>
    <mergeCell ref="E55:L55"/>
  </mergeCells>
  <dataValidations count="2">
    <dataValidation type="list" allowBlank="1" showInputMessage="1" showErrorMessage="1" sqref="E6:E7" xr:uid="{38590B3D-317F-4F3C-A23A-498E46C7361A}">
      <formula1>"Y,N"</formula1>
    </dataValidation>
    <dataValidation type="list" allowBlank="1" showInputMessage="1" showErrorMessage="1" sqref="E5" xr:uid="{E641AE38-F108-4057-9C26-372B032A96D1}">
      <formula1>"1,2,3"</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64F6-6D54-4B2E-A35D-B6EB7A25EFB5}">
  <dimension ref="D2:Q79"/>
  <sheetViews>
    <sheetView showGridLines="0" topLeftCell="A16" workbookViewId="0">
      <selection activeCell="S30" sqref="S30"/>
    </sheetView>
  </sheetViews>
  <sheetFormatPr defaultRowHeight="14.4" x14ac:dyDescent="0.3"/>
  <cols>
    <col min="1" max="3" width="2.33203125" customWidth="1"/>
    <col min="4" max="18" width="10.77734375" customWidth="1"/>
  </cols>
  <sheetData>
    <row r="2" spans="4:17" ht="21" x14ac:dyDescent="0.4">
      <c r="D2" s="1" t="s">
        <v>218</v>
      </c>
      <c r="E2" s="6"/>
      <c r="F2" s="6"/>
      <c r="G2" s="6"/>
      <c r="H2" s="6"/>
      <c r="I2" s="6"/>
      <c r="J2" s="6"/>
      <c r="K2" s="6"/>
      <c r="L2" s="6"/>
      <c r="M2" s="6"/>
      <c r="N2" s="6"/>
      <c r="O2" s="6"/>
      <c r="P2" s="6"/>
      <c r="Q2" s="6"/>
    </row>
    <row r="3" spans="4:17" ht="18" x14ac:dyDescent="0.35">
      <c r="D3" s="3" t="s">
        <v>453</v>
      </c>
      <c r="E3" s="6"/>
      <c r="F3" s="6"/>
      <c r="G3" s="6"/>
      <c r="H3" s="6"/>
      <c r="I3" s="6"/>
      <c r="J3" s="6"/>
      <c r="K3" s="6"/>
      <c r="L3" s="6"/>
      <c r="M3" s="6"/>
      <c r="N3" s="6"/>
      <c r="O3" s="6"/>
      <c r="P3" s="6"/>
      <c r="Q3" s="6"/>
    </row>
    <row r="4" spans="4:17" x14ac:dyDescent="0.3">
      <c r="D4" s="4" t="s">
        <v>1</v>
      </c>
      <c r="E4" s="6"/>
      <c r="F4" s="6"/>
      <c r="G4" s="6"/>
      <c r="H4" s="6"/>
      <c r="I4" s="6"/>
      <c r="J4" s="6"/>
      <c r="K4" s="6"/>
      <c r="L4" s="6"/>
      <c r="M4" s="6"/>
      <c r="N4" s="6"/>
      <c r="O4" s="6"/>
      <c r="P4" s="6"/>
      <c r="Q4" s="6"/>
    </row>
    <row r="27" spans="4:15" x14ac:dyDescent="0.3">
      <c r="D27" s="7" t="s">
        <v>468</v>
      </c>
    </row>
    <row r="28" spans="4:15" x14ac:dyDescent="0.3">
      <c r="J28" s="241" t="s">
        <v>465</v>
      </c>
      <c r="K28" s="241"/>
      <c r="L28" s="241"/>
      <c r="M28" s="242" t="s">
        <v>466</v>
      </c>
      <c r="N28" s="241"/>
      <c r="O28" s="241"/>
    </row>
    <row r="29" spans="4:15" x14ac:dyDescent="0.3">
      <c r="D29" s="126"/>
      <c r="E29" s="126"/>
      <c r="F29" s="126"/>
      <c r="G29" s="126"/>
      <c r="H29" s="126"/>
      <c r="I29" s="126"/>
      <c r="J29" s="190" t="s">
        <v>457</v>
      </c>
      <c r="K29" s="190" t="s">
        <v>246</v>
      </c>
      <c r="L29" s="190" t="s">
        <v>458</v>
      </c>
      <c r="M29" s="149" t="s">
        <v>457</v>
      </c>
      <c r="N29" s="190" t="s">
        <v>246</v>
      </c>
      <c r="O29" s="190" t="s">
        <v>458</v>
      </c>
    </row>
    <row r="30" spans="4:15" x14ac:dyDescent="0.3">
      <c r="D30" s="7" t="s">
        <v>410</v>
      </c>
      <c r="M30" s="56"/>
    </row>
    <row r="31" spans="4:15" x14ac:dyDescent="0.3">
      <c r="D31" t="s">
        <v>553</v>
      </c>
      <c r="J31" s="22"/>
      <c r="K31" s="22"/>
      <c r="L31" s="22"/>
      <c r="M31" s="188">
        <v>104.4227642545174</v>
      </c>
      <c r="N31" s="91">
        <v>184.24421055960136</v>
      </c>
      <c r="O31" s="91">
        <v>502.7957456083015</v>
      </c>
    </row>
    <row r="32" spans="4:15" x14ac:dyDescent="0.3">
      <c r="D32" t="s">
        <v>554</v>
      </c>
      <c r="J32" s="22"/>
      <c r="K32" s="22"/>
      <c r="L32" s="22"/>
      <c r="M32" s="188">
        <v>124.09282312202973</v>
      </c>
      <c r="N32" s="91">
        <v>147.13647854285452</v>
      </c>
      <c r="O32" s="91">
        <v>172.67349642252313</v>
      </c>
    </row>
    <row r="33" spans="4:15" x14ac:dyDescent="0.3">
      <c r="J33" s="22"/>
      <c r="K33" s="22"/>
      <c r="L33" s="22"/>
      <c r="M33" s="188"/>
      <c r="N33" s="91"/>
      <c r="O33" s="91"/>
    </row>
    <row r="34" spans="4:15" x14ac:dyDescent="0.3">
      <c r="D34" s="7" t="s">
        <v>467</v>
      </c>
      <c r="J34" s="22"/>
      <c r="K34" s="22"/>
      <c r="L34" s="22"/>
      <c r="M34" s="188"/>
      <c r="N34" s="91"/>
      <c r="O34" s="91"/>
    </row>
    <row r="35" spans="4:15" x14ac:dyDescent="0.3">
      <c r="D35" t="s">
        <v>459</v>
      </c>
      <c r="J35" s="89">
        <f>CompsVal!F10</f>
        <v>12.910781337047355</v>
      </c>
      <c r="K35" s="89">
        <f>MEDIAN(J35,L35)</f>
        <v>19.134030719399878</v>
      </c>
      <c r="L35" s="89">
        <f>CompsVal!H10</f>
        <v>25.357280101752398</v>
      </c>
      <c r="M35" s="188">
        <f>CompsVal!Q10</f>
        <v>133.55735073952178</v>
      </c>
      <c r="N35" s="91">
        <f>MEDIAN(M35,O35)</f>
        <v>217.82014359504183</v>
      </c>
      <c r="O35" s="91">
        <f>CompsVal!S10</f>
        <v>302.08293645056187</v>
      </c>
    </row>
    <row r="36" spans="4:15" x14ac:dyDescent="0.3">
      <c r="D36" t="s">
        <v>460</v>
      </c>
      <c r="J36" s="89">
        <f>CompsVal!F11</f>
        <v>12.508353798407773</v>
      </c>
      <c r="K36" s="89">
        <f>MEDIAN(J36,L36)</f>
        <v>17.379431983529283</v>
      </c>
      <c r="L36" s="89">
        <f>CompsVal!H11</f>
        <v>22.250510168650791</v>
      </c>
      <c r="M36" s="188">
        <f>CompsVal!Q11</f>
        <v>130.89690915554738</v>
      </c>
      <c r="N36" s="91">
        <f>MEDIAN(M36,O36)</f>
        <v>197.93719081223708</v>
      </c>
      <c r="O36" s="91">
        <f>CompsVal!S11</f>
        <v>264.97747246892675</v>
      </c>
    </row>
    <row r="37" spans="4:15" x14ac:dyDescent="0.3">
      <c r="D37" t="s">
        <v>461</v>
      </c>
      <c r="J37" s="89">
        <f>CompsVal!F12</f>
        <v>11.722231917046031</v>
      </c>
      <c r="K37" s="89">
        <f>MEDIAN(J37,L37)</f>
        <v>16.0674933191601</v>
      </c>
      <c r="L37" s="89">
        <f>CompsVal!H12</f>
        <v>20.412754721274172</v>
      </c>
      <c r="M37" s="188">
        <f>CompsVal!Q12</f>
        <v>123.8578052440335</v>
      </c>
      <c r="N37" s="91">
        <f>MEDIAN(M37,O37)</f>
        <v>185.06258745815379</v>
      </c>
      <c r="O37" s="91">
        <f>CompsVal!S12</f>
        <v>246.26736967227407</v>
      </c>
    </row>
    <row r="38" spans="4:15" x14ac:dyDescent="0.3">
      <c r="M38" s="56"/>
    </row>
    <row r="39" spans="4:15" x14ac:dyDescent="0.3">
      <c r="D39" t="s">
        <v>462</v>
      </c>
      <c r="J39" s="89">
        <f>CompsVal!F18</f>
        <v>-308.03800300961535</v>
      </c>
      <c r="K39" s="89">
        <f>MEDIAN(J39,L39)</f>
        <v>-127.2294542768816</v>
      </c>
      <c r="L39" s="89">
        <f>CompsVal!H18</f>
        <v>53.57909445585215</v>
      </c>
      <c r="M39" s="189">
        <f>CompsVal!M18</f>
        <v>-2650.4132382929938</v>
      </c>
      <c r="N39" s="91">
        <f>MEDIAN(M39,O39)</f>
        <v>-1094.7046358618102</v>
      </c>
      <c r="O39" s="33">
        <f>CompsVal!O18</f>
        <v>461.00396656937346</v>
      </c>
    </row>
    <row r="40" spans="4:15" x14ac:dyDescent="0.3">
      <c r="D40" t="s">
        <v>463</v>
      </c>
      <c r="J40" s="89">
        <f>CompsVal!F19</f>
        <v>11.310405346334134</v>
      </c>
      <c r="K40" s="89">
        <f>MEDIAN(J40,L40)</f>
        <v>34.263450095847475</v>
      </c>
      <c r="L40" s="89">
        <f>CompsVal!H19</f>
        <v>57.21649484536082</v>
      </c>
      <c r="M40" s="189">
        <f>CompsVal!M19</f>
        <v>98.304457255326184</v>
      </c>
      <c r="N40" s="91">
        <f>MEDIAN(M40,O40)</f>
        <v>297.8009861033795</v>
      </c>
      <c r="O40" s="33">
        <f>CompsVal!O19</f>
        <v>497.29751495143273</v>
      </c>
    </row>
    <row r="41" spans="4:15" x14ac:dyDescent="0.3">
      <c r="D41" t="s">
        <v>464</v>
      </c>
      <c r="J41" s="89">
        <f>CompsVal!F20</f>
        <v>12.270190159417398</v>
      </c>
      <c r="K41" s="89">
        <f>MEDIAN(J41,L41)</f>
        <v>25.956523651137267</v>
      </c>
      <c r="L41" s="89">
        <f>CompsVal!H20</f>
        <v>39.642857142857139</v>
      </c>
      <c r="M41" s="189">
        <f>CompsVal!M20</f>
        <v>110.15062436068784</v>
      </c>
      <c r="N41" s="91">
        <f>MEDIAN(M41,O41)</f>
        <v>233.01409752083947</v>
      </c>
      <c r="O41" s="33">
        <f>CompsVal!O20</f>
        <v>355.87757068099114</v>
      </c>
    </row>
    <row r="65" spans="4:15" x14ac:dyDescent="0.3">
      <c r="D65" s="7" t="s">
        <v>469</v>
      </c>
    </row>
    <row r="66" spans="4:15" x14ac:dyDescent="0.3">
      <c r="J66" s="241" t="s">
        <v>465</v>
      </c>
      <c r="K66" s="241"/>
      <c r="L66" s="243"/>
      <c r="M66" s="242" t="s">
        <v>470</v>
      </c>
      <c r="N66" s="241"/>
      <c r="O66" s="241"/>
    </row>
    <row r="67" spans="4:15" x14ac:dyDescent="0.3">
      <c r="D67" s="126"/>
      <c r="E67" s="126"/>
      <c r="F67" s="126"/>
      <c r="G67" s="126"/>
      <c r="H67" s="126"/>
      <c r="I67" s="126"/>
      <c r="J67" s="190" t="s">
        <v>457</v>
      </c>
      <c r="K67" s="190" t="s">
        <v>246</v>
      </c>
      <c r="L67" s="190" t="s">
        <v>458</v>
      </c>
      <c r="M67" s="149" t="s">
        <v>457</v>
      </c>
      <c r="N67" s="190" t="s">
        <v>246</v>
      </c>
      <c r="O67" s="190" t="s">
        <v>458</v>
      </c>
    </row>
    <row r="68" spans="4:15" x14ac:dyDescent="0.3">
      <c r="D68" s="7" t="s">
        <v>410</v>
      </c>
      <c r="M68" s="56"/>
    </row>
    <row r="69" spans="4:15" x14ac:dyDescent="0.3">
      <c r="D69" t="s">
        <v>455</v>
      </c>
      <c r="J69" s="22"/>
      <c r="K69" s="22"/>
      <c r="L69" s="22"/>
      <c r="M69" s="188">
        <v>7040.0318455025981</v>
      </c>
      <c r="N69" s="91">
        <v>9093.6334964375455</v>
      </c>
      <c r="O69" s="91">
        <v>12906.78207044358</v>
      </c>
    </row>
    <row r="70" spans="4:15" x14ac:dyDescent="0.3">
      <c r="D70" t="s">
        <v>456</v>
      </c>
      <c r="J70" s="22"/>
      <c r="K70" s="22"/>
      <c r="L70" s="22"/>
      <c r="M70" s="188">
        <v>7121.7329044664239</v>
      </c>
      <c r="N70" s="91">
        <v>7580.6089249924789</v>
      </c>
      <c r="O70" s="91">
        <v>8069.2188186226531</v>
      </c>
    </row>
    <row r="71" spans="4:15" x14ac:dyDescent="0.3">
      <c r="J71" s="22"/>
      <c r="K71" s="22"/>
      <c r="L71" s="22"/>
      <c r="M71" s="188"/>
      <c r="N71" s="91"/>
      <c r="O71" s="91"/>
    </row>
    <row r="72" spans="4:15" x14ac:dyDescent="0.3">
      <c r="D72" s="7" t="s">
        <v>467</v>
      </c>
      <c r="J72" s="22"/>
      <c r="K72" s="22"/>
      <c r="L72" s="22"/>
      <c r="M72" s="188"/>
      <c r="N72" s="91"/>
      <c r="O72" s="91"/>
    </row>
    <row r="73" spans="4:15" x14ac:dyDescent="0.3">
      <c r="D73" t="s">
        <v>459</v>
      </c>
      <c r="J73" s="89">
        <f>CompsVal!F10</f>
        <v>12.910781337047355</v>
      </c>
      <c r="K73" s="89">
        <f>MEDIAN(J73,L73)</f>
        <v>19.134030719399878</v>
      </c>
      <c r="L73" s="89">
        <f>CompsVal!H10</f>
        <v>25.357280101752398</v>
      </c>
      <c r="M73" s="188">
        <f>CompsVal!I10</f>
        <v>8076.9848044568262</v>
      </c>
      <c r="N73" s="91">
        <f>MEDIAN(M73,O73)</f>
        <v>11970.249618056563</v>
      </c>
      <c r="O73" s="91">
        <f>CompsVal!K10</f>
        <v>15863.5144316563</v>
      </c>
    </row>
    <row r="74" spans="4:15" x14ac:dyDescent="0.3">
      <c r="D74" t="s">
        <v>460</v>
      </c>
      <c r="J74" s="89">
        <f>CompsVal!F11</f>
        <v>12.508353798407773</v>
      </c>
      <c r="K74" s="89">
        <f>MEDIAN(J74,L74)</f>
        <v>17.379431983529283</v>
      </c>
      <c r="L74" s="89">
        <f>CompsVal!H11</f>
        <v>22.250510168650791</v>
      </c>
      <c r="M74" s="188">
        <f>CompsVal!I11</f>
        <v>7954.0621804075026</v>
      </c>
      <c r="N74" s="91">
        <f>MEDIAN(M74,O74)</f>
        <v>11051.580798326269</v>
      </c>
      <c r="O74" s="91">
        <f>CompsVal!K11</f>
        <v>14149.099416245037</v>
      </c>
    </row>
    <row r="75" spans="4:15" x14ac:dyDescent="0.3">
      <c r="D75" t="s">
        <v>461</v>
      </c>
      <c r="J75" s="89">
        <f>CompsVal!F12</f>
        <v>11.722231917046031</v>
      </c>
      <c r="K75" s="89">
        <f>MEDIAN(J75,L75)</f>
        <v>16.0674933191601</v>
      </c>
      <c r="L75" s="89">
        <f>CompsVal!H12</f>
        <v>20.412754721274172</v>
      </c>
      <c r="M75" s="188">
        <f>CompsVal!I12</f>
        <v>7628.8285316135562</v>
      </c>
      <c r="N75" s="91">
        <f>MEDIAN(M75,O75)</f>
        <v>10456.724652109393</v>
      </c>
      <c r="O75" s="91">
        <f>CompsVal!K12</f>
        <v>13284.620772605231</v>
      </c>
    </row>
    <row r="76" spans="4:15" x14ac:dyDescent="0.3">
      <c r="M76" s="56"/>
    </row>
    <row r="77" spans="4:15" x14ac:dyDescent="0.3">
      <c r="D77" t="s">
        <v>462</v>
      </c>
      <c r="J77" s="89">
        <f>CompsVal!F26</f>
        <v>-308.03800300961535</v>
      </c>
      <c r="K77" s="89">
        <f>MEDIAN(J77,L77)</f>
        <v>-127.2294542768816</v>
      </c>
      <c r="L77" s="89">
        <f>CompsVal!H26</f>
        <v>53.57909445585215</v>
      </c>
      <c r="M77" s="191">
        <f>CompsVal!M26</f>
        <v>-120553.15394446054</v>
      </c>
      <c r="N77" s="91">
        <f>MEDIAN(M77,O77)</f>
        <v>-48673.438629957178</v>
      </c>
      <c r="O77" s="33">
        <f>CompsVal!O26</f>
        <v>23206.276684546199</v>
      </c>
    </row>
    <row r="78" spans="4:15" x14ac:dyDescent="0.3">
      <c r="D78" t="s">
        <v>463</v>
      </c>
      <c r="J78" s="89">
        <f>CompsVal!F27</f>
        <v>11.310405346334134</v>
      </c>
      <c r="K78" s="89">
        <f>MEDIAN(J78,L78)</f>
        <v>34.263450095847475</v>
      </c>
      <c r="L78" s="89">
        <f>CompsVal!H27</f>
        <v>57.21649484536082</v>
      </c>
      <c r="M78" s="189">
        <f>CompsVal!M27</f>
        <v>6448.1656646149995</v>
      </c>
      <c r="N78" s="91">
        <f>MEDIAN(M78,O78)</f>
        <v>15665.671872024424</v>
      </c>
      <c r="O78" s="33">
        <f>CompsVal!O27</f>
        <v>24883.178079433852</v>
      </c>
    </row>
    <row r="79" spans="4:15" x14ac:dyDescent="0.3">
      <c r="D79" t="s">
        <v>464</v>
      </c>
      <c r="J79" s="89">
        <f>CompsVal!F28</f>
        <v>12.270190159417398</v>
      </c>
      <c r="K79" s="89">
        <f>MEDIAN(J79,L79)</f>
        <v>25.956523651137267</v>
      </c>
      <c r="L79" s="89">
        <f>CompsVal!H28</f>
        <v>39.642857142857139</v>
      </c>
      <c r="M79" s="189">
        <f>CompsVal!M28</f>
        <v>6995.5041043271349</v>
      </c>
      <c r="N79" s="91">
        <f>MEDIAN(M79,O79)</f>
        <v>12672.268672898375</v>
      </c>
      <c r="O79" s="33">
        <f>CompsVal!O28</f>
        <v>18349.033241469617</v>
      </c>
    </row>
  </sheetData>
  <mergeCells count="4">
    <mergeCell ref="J28:L28"/>
    <mergeCell ref="M28:O28"/>
    <mergeCell ref="M66:O66"/>
    <mergeCell ref="J66:L6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Overview</vt:lpstr>
      <vt:lpstr>Comps_Sum</vt:lpstr>
      <vt:lpstr>DCF_Sum</vt:lpstr>
      <vt:lpstr>Comps Analysis-&gt;</vt:lpstr>
      <vt:lpstr>CHH</vt:lpstr>
      <vt:lpstr>MAR</vt:lpstr>
      <vt:lpstr>ABNB</vt:lpstr>
      <vt:lpstr>HLT</vt:lpstr>
      <vt:lpstr>H</vt:lpstr>
      <vt:lpstr>WH</vt:lpstr>
      <vt:lpstr>Comps1</vt:lpstr>
      <vt:lpstr>Comps2</vt:lpstr>
      <vt:lpstr>CompsVal</vt:lpstr>
      <vt:lpstr>DCF-&gt;</vt:lpstr>
      <vt:lpstr>Historical</vt:lpstr>
      <vt:lpstr>WACC</vt:lpstr>
      <vt:lpstr>DCF</vt:lpstr>
      <vt:lpstr>ValGraph</vt:lpstr>
      <vt:lpstr>Comps_Sum!Print_Area</vt:lpstr>
      <vt:lpstr>DCF_Sum!Print_Area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Eldric Sequeira</dc:creator>
  <cp:lastModifiedBy>Eldric Sequeira</cp:lastModifiedBy>
  <cp:lastPrinted>2026-04-19T14:47:54Z</cp:lastPrinted>
  <dcterms:created xsi:type="dcterms:W3CDTF">2026-04-16T04:40:43Z</dcterms:created>
  <dcterms:modified xsi:type="dcterms:W3CDTF">2026-04-19T14:48:51Z</dcterms:modified>
</cp:coreProperties>
</file>