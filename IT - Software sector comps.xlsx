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esume projects\"/>
    </mc:Choice>
  </mc:AlternateContent>
  <xr:revisionPtr revIDLastSave="0" documentId="13_ncr:1_{A5FF5747-D319-4F95-89A2-3E665FEC7CA2}" xr6:coauthVersionLast="47" xr6:coauthVersionMax="47" xr10:uidLastSave="{00000000-0000-0000-0000-000000000000}"/>
  <bookViews>
    <workbookView xWindow="-108" yWindow="-108" windowWidth="23256" windowHeight="13176" activeTab="1" xr2:uid="{09370EE5-78E8-47CE-BF87-2AB9F9C098F6}"/>
  </bookViews>
  <sheets>
    <sheet name="IT_Comps" sheetId="1" r:id="rId1"/>
    <sheet name="Charts" sheetId="3" r:id="rId2"/>
    <sheet name="Data Shee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1" l="1"/>
  <c r="I33" i="1"/>
  <c r="I32" i="1"/>
  <c r="I31" i="1"/>
  <c r="I30" i="1"/>
  <c r="I29" i="1"/>
  <c r="I28" i="1"/>
  <c r="I27" i="1"/>
  <c r="I26" i="1"/>
  <c r="I40" i="1" s="1"/>
  <c r="I25" i="1"/>
  <c r="I41" i="1" s="1"/>
  <c r="E69" i="1"/>
  <c r="J85" i="1"/>
  <c r="I85" i="1"/>
  <c r="G85" i="1"/>
  <c r="J84" i="1"/>
  <c r="I84" i="1"/>
  <c r="G84" i="1"/>
  <c r="J83" i="1"/>
  <c r="I83" i="1"/>
  <c r="G83" i="1"/>
  <c r="J82" i="1"/>
  <c r="I82" i="1"/>
  <c r="G82" i="1"/>
  <c r="J81" i="1"/>
  <c r="I81" i="1"/>
  <c r="G81" i="1"/>
  <c r="J80" i="1"/>
  <c r="I80" i="1"/>
  <c r="G80" i="1"/>
  <c r="E70" i="1"/>
  <c r="F70" i="1"/>
  <c r="E71" i="1"/>
  <c r="F71" i="1"/>
  <c r="E72" i="1"/>
  <c r="F72" i="1"/>
  <c r="E73" i="1"/>
  <c r="F73" i="1"/>
  <c r="E74" i="1"/>
  <c r="F74" i="1"/>
  <c r="E75" i="1"/>
  <c r="F75" i="1"/>
  <c r="E76" i="1"/>
  <c r="F76" i="1"/>
  <c r="E77" i="1"/>
  <c r="F77" i="1"/>
  <c r="E78" i="1"/>
  <c r="F78" i="1"/>
  <c r="F69" i="1"/>
  <c r="D632" i="1"/>
  <c r="D633" i="1" s="1"/>
  <c r="C362" i="1"/>
  <c r="D362" i="1"/>
  <c r="E362" i="1"/>
  <c r="F362" i="1"/>
  <c r="G362" i="1"/>
  <c r="H362" i="1"/>
  <c r="I362" i="1"/>
  <c r="J362" i="1"/>
  <c r="K362" i="1"/>
  <c r="L362" i="1"/>
  <c r="M362" i="1"/>
  <c r="N362" i="1"/>
  <c r="C363" i="1"/>
  <c r="D363" i="1"/>
  <c r="E363" i="1"/>
  <c r="F363" i="1"/>
  <c r="G363" i="1"/>
  <c r="H363" i="1"/>
  <c r="I363" i="1"/>
  <c r="J363" i="1"/>
  <c r="K363" i="1"/>
  <c r="L363" i="1"/>
  <c r="M363" i="1"/>
  <c r="N363" i="1"/>
  <c r="C364" i="1"/>
  <c r="D364" i="1"/>
  <c r="E364" i="1"/>
  <c r="F364" i="1"/>
  <c r="G364" i="1"/>
  <c r="H364" i="1"/>
  <c r="I364" i="1"/>
  <c r="J364" i="1"/>
  <c r="K364" i="1"/>
  <c r="L364" i="1"/>
  <c r="M364" i="1"/>
  <c r="N364" i="1"/>
  <c r="C365" i="1"/>
  <c r="D365" i="1"/>
  <c r="E365" i="1"/>
  <c r="F365" i="1"/>
  <c r="G365" i="1"/>
  <c r="H365" i="1"/>
  <c r="I365" i="1"/>
  <c r="J365" i="1"/>
  <c r="K365" i="1"/>
  <c r="L365" i="1"/>
  <c r="M365" i="1"/>
  <c r="N365" i="1"/>
  <c r="C366" i="1"/>
  <c r="D366" i="1"/>
  <c r="E366" i="1"/>
  <c r="F366" i="1"/>
  <c r="G366" i="1"/>
  <c r="H366" i="1"/>
  <c r="I366" i="1"/>
  <c r="J366" i="1"/>
  <c r="K366" i="1"/>
  <c r="L366" i="1"/>
  <c r="M366" i="1"/>
  <c r="N366" i="1"/>
  <c r="C367" i="1"/>
  <c r="D367" i="1"/>
  <c r="E367" i="1"/>
  <c r="F367" i="1"/>
  <c r="G367" i="1"/>
  <c r="H367" i="1"/>
  <c r="I367" i="1"/>
  <c r="J367" i="1"/>
  <c r="K367" i="1"/>
  <c r="L367" i="1"/>
  <c r="M367" i="1"/>
  <c r="N367" i="1"/>
  <c r="C368" i="1"/>
  <c r="D368" i="1"/>
  <c r="E368" i="1"/>
  <c r="F368" i="1"/>
  <c r="G368" i="1"/>
  <c r="H368" i="1"/>
  <c r="I368" i="1"/>
  <c r="J368" i="1"/>
  <c r="K368" i="1"/>
  <c r="L368" i="1"/>
  <c r="M368" i="1"/>
  <c r="N368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C370" i="1"/>
  <c r="D370" i="1"/>
  <c r="E370" i="1"/>
  <c r="F370" i="1"/>
  <c r="G370" i="1"/>
  <c r="H370" i="1"/>
  <c r="I370" i="1"/>
  <c r="J370" i="1"/>
  <c r="K370" i="1"/>
  <c r="L370" i="1"/>
  <c r="M370" i="1"/>
  <c r="N370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C372" i="1"/>
  <c r="D372" i="1"/>
  <c r="E372" i="1"/>
  <c r="F372" i="1"/>
  <c r="G372" i="1"/>
  <c r="H372" i="1"/>
  <c r="I372" i="1"/>
  <c r="J372" i="1"/>
  <c r="K372" i="1"/>
  <c r="L372" i="1"/>
  <c r="M372" i="1"/>
  <c r="N372" i="1"/>
  <c r="C373" i="1"/>
  <c r="D373" i="1"/>
  <c r="E373" i="1"/>
  <c r="F373" i="1"/>
  <c r="G373" i="1"/>
  <c r="H373" i="1"/>
  <c r="I373" i="1"/>
  <c r="J373" i="1"/>
  <c r="K373" i="1"/>
  <c r="L373" i="1"/>
  <c r="M373" i="1"/>
  <c r="N373" i="1"/>
  <c r="C374" i="1"/>
  <c r="D374" i="1"/>
  <c r="E374" i="1"/>
  <c r="F374" i="1"/>
  <c r="G374" i="1"/>
  <c r="H374" i="1"/>
  <c r="I374" i="1"/>
  <c r="J374" i="1"/>
  <c r="K374" i="1"/>
  <c r="L374" i="1"/>
  <c r="M374" i="1"/>
  <c r="N374" i="1"/>
  <c r="C375" i="1"/>
  <c r="D375" i="1"/>
  <c r="E375" i="1"/>
  <c r="F375" i="1"/>
  <c r="G375" i="1"/>
  <c r="H375" i="1"/>
  <c r="I375" i="1"/>
  <c r="J375" i="1"/>
  <c r="K375" i="1"/>
  <c r="L375" i="1"/>
  <c r="M375" i="1"/>
  <c r="N375" i="1"/>
  <c r="C376" i="1"/>
  <c r="D376" i="1"/>
  <c r="E376" i="1"/>
  <c r="F376" i="1"/>
  <c r="G376" i="1"/>
  <c r="H376" i="1"/>
  <c r="I376" i="1"/>
  <c r="J376" i="1"/>
  <c r="K376" i="1"/>
  <c r="L376" i="1"/>
  <c r="M376" i="1"/>
  <c r="N376" i="1"/>
  <c r="C377" i="1"/>
  <c r="D377" i="1"/>
  <c r="E377" i="1"/>
  <c r="F377" i="1"/>
  <c r="G377" i="1"/>
  <c r="H377" i="1"/>
  <c r="I377" i="1"/>
  <c r="J377" i="1"/>
  <c r="K377" i="1"/>
  <c r="L377" i="1"/>
  <c r="M377" i="1"/>
  <c r="N377" i="1"/>
  <c r="C378" i="1"/>
  <c r="D378" i="1"/>
  <c r="E378" i="1"/>
  <c r="F378" i="1"/>
  <c r="G378" i="1"/>
  <c r="H378" i="1"/>
  <c r="I378" i="1"/>
  <c r="J378" i="1"/>
  <c r="K378" i="1"/>
  <c r="L378" i="1"/>
  <c r="M378" i="1"/>
  <c r="N378" i="1"/>
  <c r="C379" i="1"/>
  <c r="D379" i="1"/>
  <c r="E379" i="1"/>
  <c r="F379" i="1"/>
  <c r="G379" i="1"/>
  <c r="H379" i="1"/>
  <c r="I379" i="1"/>
  <c r="J379" i="1"/>
  <c r="K379" i="1"/>
  <c r="L379" i="1"/>
  <c r="M379" i="1"/>
  <c r="N379" i="1"/>
  <c r="C380" i="1"/>
  <c r="D380" i="1"/>
  <c r="E380" i="1"/>
  <c r="F380" i="1"/>
  <c r="G380" i="1"/>
  <c r="H380" i="1"/>
  <c r="I380" i="1"/>
  <c r="J380" i="1"/>
  <c r="K380" i="1"/>
  <c r="L380" i="1"/>
  <c r="M380" i="1"/>
  <c r="N380" i="1"/>
  <c r="C381" i="1"/>
  <c r="D381" i="1"/>
  <c r="E381" i="1"/>
  <c r="F381" i="1"/>
  <c r="G381" i="1"/>
  <c r="H381" i="1"/>
  <c r="I381" i="1"/>
  <c r="J381" i="1"/>
  <c r="K381" i="1"/>
  <c r="L381" i="1"/>
  <c r="M381" i="1"/>
  <c r="N381" i="1"/>
  <c r="C382" i="1"/>
  <c r="D382" i="1"/>
  <c r="E382" i="1"/>
  <c r="F382" i="1"/>
  <c r="G382" i="1"/>
  <c r="H382" i="1"/>
  <c r="I382" i="1"/>
  <c r="J382" i="1"/>
  <c r="K382" i="1"/>
  <c r="L382" i="1"/>
  <c r="M382" i="1"/>
  <c r="N382" i="1"/>
  <c r="C383" i="1"/>
  <c r="D383" i="1"/>
  <c r="E383" i="1"/>
  <c r="F383" i="1"/>
  <c r="G383" i="1"/>
  <c r="H383" i="1"/>
  <c r="I383" i="1"/>
  <c r="J383" i="1"/>
  <c r="K383" i="1"/>
  <c r="L383" i="1"/>
  <c r="M383" i="1"/>
  <c r="N383" i="1"/>
  <c r="C384" i="1"/>
  <c r="D384" i="1"/>
  <c r="E384" i="1"/>
  <c r="F384" i="1"/>
  <c r="G384" i="1"/>
  <c r="H384" i="1"/>
  <c r="I384" i="1"/>
  <c r="J384" i="1"/>
  <c r="K384" i="1"/>
  <c r="L384" i="1"/>
  <c r="M384" i="1"/>
  <c r="N384" i="1"/>
  <c r="C385" i="1"/>
  <c r="D385" i="1"/>
  <c r="E385" i="1"/>
  <c r="F385" i="1"/>
  <c r="G385" i="1"/>
  <c r="H385" i="1"/>
  <c r="I385" i="1"/>
  <c r="J385" i="1"/>
  <c r="K385" i="1"/>
  <c r="L385" i="1"/>
  <c r="M385" i="1"/>
  <c r="N385" i="1"/>
  <c r="C386" i="1"/>
  <c r="D386" i="1"/>
  <c r="E386" i="1"/>
  <c r="F386" i="1"/>
  <c r="G386" i="1"/>
  <c r="H386" i="1"/>
  <c r="I386" i="1"/>
  <c r="J386" i="1"/>
  <c r="K386" i="1"/>
  <c r="L386" i="1"/>
  <c r="M386" i="1"/>
  <c r="N386" i="1"/>
  <c r="C387" i="1"/>
  <c r="D387" i="1"/>
  <c r="E387" i="1"/>
  <c r="F387" i="1"/>
  <c r="G387" i="1"/>
  <c r="H387" i="1"/>
  <c r="I387" i="1"/>
  <c r="J387" i="1"/>
  <c r="K387" i="1"/>
  <c r="L387" i="1"/>
  <c r="M387" i="1"/>
  <c r="N387" i="1"/>
  <c r="C388" i="1"/>
  <c r="D388" i="1"/>
  <c r="E388" i="1"/>
  <c r="F388" i="1"/>
  <c r="G388" i="1"/>
  <c r="H388" i="1"/>
  <c r="I388" i="1"/>
  <c r="J388" i="1"/>
  <c r="K388" i="1"/>
  <c r="L388" i="1"/>
  <c r="M388" i="1"/>
  <c r="N388" i="1"/>
  <c r="C389" i="1"/>
  <c r="D389" i="1"/>
  <c r="E389" i="1"/>
  <c r="F389" i="1"/>
  <c r="G389" i="1"/>
  <c r="H389" i="1"/>
  <c r="I389" i="1"/>
  <c r="J389" i="1"/>
  <c r="K389" i="1"/>
  <c r="L389" i="1"/>
  <c r="M389" i="1"/>
  <c r="N389" i="1"/>
  <c r="C390" i="1"/>
  <c r="D390" i="1"/>
  <c r="E390" i="1"/>
  <c r="F390" i="1"/>
  <c r="G390" i="1"/>
  <c r="H390" i="1"/>
  <c r="I390" i="1"/>
  <c r="J390" i="1"/>
  <c r="K390" i="1"/>
  <c r="L390" i="1"/>
  <c r="M390" i="1"/>
  <c r="N390" i="1"/>
  <c r="C391" i="1"/>
  <c r="D391" i="1"/>
  <c r="E391" i="1"/>
  <c r="F391" i="1"/>
  <c r="G391" i="1"/>
  <c r="H391" i="1"/>
  <c r="I391" i="1"/>
  <c r="J391" i="1"/>
  <c r="K391" i="1"/>
  <c r="L391" i="1"/>
  <c r="M391" i="1"/>
  <c r="N391" i="1"/>
  <c r="C392" i="1"/>
  <c r="D392" i="1"/>
  <c r="E392" i="1"/>
  <c r="F392" i="1"/>
  <c r="G392" i="1"/>
  <c r="H392" i="1"/>
  <c r="I392" i="1"/>
  <c r="J392" i="1"/>
  <c r="K392" i="1"/>
  <c r="L392" i="1"/>
  <c r="M392" i="1"/>
  <c r="N392" i="1"/>
  <c r="C393" i="1"/>
  <c r="D393" i="1"/>
  <c r="E393" i="1"/>
  <c r="F393" i="1"/>
  <c r="G393" i="1"/>
  <c r="H393" i="1"/>
  <c r="I393" i="1"/>
  <c r="J393" i="1"/>
  <c r="K393" i="1"/>
  <c r="L393" i="1"/>
  <c r="M393" i="1"/>
  <c r="N393" i="1"/>
  <c r="C394" i="1"/>
  <c r="D394" i="1"/>
  <c r="E394" i="1"/>
  <c r="F394" i="1"/>
  <c r="G394" i="1"/>
  <c r="H394" i="1"/>
  <c r="I394" i="1"/>
  <c r="J394" i="1"/>
  <c r="K394" i="1"/>
  <c r="L394" i="1"/>
  <c r="M394" i="1"/>
  <c r="N394" i="1"/>
  <c r="C395" i="1"/>
  <c r="D395" i="1"/>
  <c r="E395" i="1"/>
  <c r="F395" i="1"/>
  <c r="G395" i="1"/>
  <c r="H395" i="1"/>
  <c r="I395" i="1"/>
  <c r="J395" i="1"/>
  <c r="K395" i="1"/>
  <c r="L395" i="1"/>
  <c r="M395" i="1"/>
  <c r="N395" i="1"/>
  <c r="C396" i="1"/>
  <c r="D396" i="1"/>
  <c r="E396" i="1"/>
  <c r="F396" i="1"/>
  <c r="G396" i="1"/>
  <c r="H396" i="1"/>
  <c r="I396" i="1"/>
  <c r="J396" i="1"/>
  <c r="K396" i="1"/>
  <c r="L396" i="1"/>
  <c r="M396" i="1"/>
  <c r="N396" i="1"/>
  <c r="C397" i="1"/>
  <c r="D397" i="1"/>
  <c r="E397" i="1"/>
  <c r="F397" i="1"/>
  <c r="G397" i="1"/>
  <c r="H397" i="1"/>
  <c r="I397" i="1"/>
  <c r="J397" i="1"/>
  <c r="K397" i="1"/>
  <c r="L397" i="1"/>
  <c r="M397" i="1"/>
  <c r="N397" i="1"/>
  <c r="C398" i="1"/>
  <c r="D398" i="1"/>
  <c r="E398" i="1"/>
  <c r="F398" i="1"/>
  <c r="G398" i="1"/>
  <c r="H398" i="1"/>
  <c r="I398" i="1"/>
  <c r="J398" i="1"/>
  <c r="K398" i="1"/>
  <c r="L398" i="1"/>
  <c r="M398" i="1"/>
  <c r="N398" i="1"/>
  <c r="C399" i="1"/>
  <c r="D399" i="1"/>
  <c r="E399" i="1"/>
  <c r="F399" i="1"/>
  <c r="G399" i="1"/>
  <c r="H399" i="1"/>
  <c r="I399" i="1"/>
  <c r="J399" i="1"/>
  <c r="K399" i="1"/>
  <c r="L399" i="1"/>
  <c r="M399" i="1"/>
  <c r="N399" i="1"/>
  <c r="C400" i="1"/>
  <c r="D400" i="1"/>
  <c r="E400" i="1"/>
  <c r="F400" i="1"/>
  <c r="G400" i="1"/>
  <c r="H400" i="1"/>
  <c r="I400" i="1"/>
  <c r="J400" i="1"/>
  <c r="K400" i="1"/>
  <c r="L400" i="1"/>
  <c r="M400" i="1"/>
  <c r="N400" i="1"/>
  <c r="C401" i="1"/>
  <c r="D401" i="1"/>
  <c r="E401" i="1"/>
  <c r="F401" i="1"/>
  <c r="G401" i="1"/>
  <c r="H401" i="1"/>
  <c r="I401" i="1"/>
  <c r="J401" i="1"/>
  <c r="K401" i="1"/>
  <c r="L401" i="1"/>
  <c r="M401" i="1"/>
  <c r="N401" i="1"/>
  <c r="C402" i="1"/>
  <c r="D402" i="1"/>
  <c r="E402" i="1"/>
  <c r="F402" i="1"/>
  <c r="G402" i="1"/>
  <c r="H402" i="1"/>
  <c r="I402" i="1"/>
  <c r="J402" i="1"/>
  <c r="K402" i="1"/>
  <c r="L402" i="1"/>
  <c r="M402" i="1"/>
  <c r="N402" i="1"/>
  <c r="C403" i="1"/>
  <c r="D403" i="1"/>
  <c r="E403" i="1"/>
  <c r="F403" i="1"/>
  <c r="G403" i="1"/>
  <c r="H403" i="1"/>
  <c r="I403" i="1"/>
  <c r="J403" i="1"/>
  <c r="K403" i="1"/>
  <c r="L403" i="1"/>
  <c r="M403" i="1"/>
  <c r="N403" i="1"/>
  <c r="C404" i="1"/>
  <c r="D404" i="1"/>
  <c r="E404" i="1"/>
  <c r="F404" i="1"/>
  <c r="G404" i="1"/>
  <c r="H404" i="1"/>
  <c r="I404" i="1"/>
  <c r="J404" i="1"/>
  <c r="K404" i="1"/>
  <c r="L404" i="1"/>
  <c r="M404" i="1"/>
  <c r="N404" i="1"/>
  <c r="C405" i="1"/>
  <c r="D405" i="1"/>
  <c r="E405" i="1"/>
  <c r="F405" i="1"/>
  <c r="G405" i="1"/>
  <c r="H405" i="1"/>
  <c r="I405" i="1"/>
  <c r="J405" i="1"/>
  <c r="K405" i="1"/>
  <c r="L405" i="1"/>
  <c r="M405" i="1"/>
  <c r="N405" i="1"/>
  <c r="C406" i="1"/>
  <c r="D406" i="1"/>
  <c r="E406" i="1"/>
  <c r="F406" i="1"/>
  <c r="G406" i="1"/>
  <c r="H406" i="1"/>
  <c r="I406" i="1"/>
  <c r="J406" i="1"/>
  <c r="K406" i="1"/>
  <c r="L406" i="1"/>
  <c r="M406" i="1"/>
  <c r="N406" i="1"/>
  <c r="C407" i="1"/>
  <c r="D407" i="1"/>
  <c r="E407" i="1"/>
  <c r="F407" i="1"/>
  <c r="G407" i="1"/>
  <c r="H407" i="1"/>
  <c r="I407" i="1"/>
  <c r="J407" i="1"/>
  <c r="K407" i="1"/>
  <c r="L407" i="1"/>
  <c r="M407" i="1"/>
  <c r="N407" i="1"/>
  <c r="C408" i="1"/>
  <c r="D408" i="1"/>
  <c r="E408" i="1"/>
  <c r="F408" i="1"/>
  <c r="G408" i="1"/>
  <c r="H408" i="1"/>
  <c r="I408" i="1"/>
  <c r="J408" i="1"/>
  <c r="K408" i="1"/>
  <c r="L408" i="1"/>
  <c r="M408" i="1"/>
  <c r="N408" i="1"/>
  <c r="C409" i="1"/>
  <c r="D409" i="1"/>
  <c r="E409" i="1"/>
  <c r="F409" i="1"/>
  <c r="G409" i="1"/>
  <c r="H409" i="1"/>
  <c r="I409" i="1"/>
  <c r="J409" i="1"/>
  <c r="K409" i="1"/>
  <c r="L409" i="1"/>
  <c r="M409" i="1"/>
  <c r="N409" i="1"/>
  <c r="C410" i="1"/>
  <c r="D410" i="1"/>
  <c r="E410" i="1"/>
  <c r="F410" i="1"/>
  <c r="G410" i="1"/>
  <c r="H410" i="1"/>
  <c r="I410" i="1"/>
  <c r="J410" i="1"/>
  <c r="K410" i="1"/>
  <c r="L410" i="1"/>
  <c r="M410" i="1"/>
  <c r="N410" i="1"/>
  <c r="C411" i="1"/>
  <c r="D411" i="1"/>
  <c r="E411" i="1"/>
  <c r="F411" i="1"/>
  <c r="G411" i="1"/>
  <c r="H411" i="1"/>
  <c r="I411" i="1"/>
  <c r="J411" i="1"/>
  <c r="K411" i="1"/>
  <c r="L411" i="1"/>
  <c r="M411" i="1"/>
  <c r="N411" i="1"/>
  <c r="C412" i="1"/>
  <c r="D412" i="1"/>
  <c r="E412" i="1"/>
  <c r="F412" i="1"/>
  <c r="G412" i="1"/>
  <c r="H412" i="1"/>
  <c r="I412" i="1"/>
  <c r="J412" i="1"/>
  <c r="K412" i="1"/>
  <c r="L412" i="1"/>
  <c r="M412" i="1"/>
  <c r="N412" i="1"/>
  <c r="C413" i="1"/>
  <c r="D413" i="1"/>
  <c r="E413" i="1"/>
  <c r="F413" i="1"/>
  <c r="G413" i="1"/>
  <c r="H413" i="1"/>
  <c r="I413" i="1"/>
  <c r="J413" i="1"/>
  <c r="K413" i="1"/>
  <c r="L413" i="1"/>
  <c r="M413" i="1"/>
  <c r="N413" i="1"/>
  <c r="C414" i="1"/>
  <c r="D414" i="1"/>
  <c r="E414" i="1"/>
  <c r="F414" i="1"/>
  <c r="G414" i="1"/>
  <c r="H414" i="1"/>
  <c r="I414" i="1"/>
  <c r="J414" i="1"/>
  <c r="K414" i="1"/>
  <c r="L414" i="1"/>
  <c r="M414" i="1"/>
  <c r="N414" i="1"/>
  <c r="C415" i="1"/>
  <c r="D415" i="1"/>
  <c r="E415" i="1"/>
  <c r="F415" i="1"/>
  <c r="G415" i="1"/>
  <c r="H415" i="1"/>
  <c r="I415" i="1"/>
  <c r="J415" i="1"/>
  <c r="K415" i="1"/>
  <c r="L415" i="1"/>
  <c r="M415" i="1"/>
  <c r="N415" i="1"/>
  <c r="C416" i="1"/>
  <c r="D416" i="1"/>
  <c r="E416" i="1"/>
  <c r="F416" i="1"/>
  <c r="G416" i="1"/>
  <c r="H416" i="1"/>
  <c r="I416" i="1"/>
  <c r="J416" i="1"/>
  <c r="K416" i="1"/>
  <c r="L416" i="1"/>
  <c r="M416" i="1"/>
  <c r="N416" i="1"/>
  <c r="C417" i="1"/>
  <c r="D417" i="1"/>
  <c r="E417" i="1"/>
  <c r="F417" i="1"/>
  <c r="G417" i="1"/>
  <c r="H417" i="1"/>
  <c r="I417" i="1"/>
  <c r="J417" i="1"/>
  <c r="K417" i="1"/>
  <c r="L417" i="1"/>
  <c r="M417" i="1"/>
  <c r="N417" i="1"/>
  <c r="C418" i="1"/>
  <c r="D418" i="1"/>
  <c r="E418" i="1"/>
  <c r="F418" i="1"/>
  <c r="G418" i="1"/>
  <c r="H418" i="1"/>
  <c r="I418" i="1"/>
  <c r="J418" i="1"/>
  <c r="K418" i="1"/>
  <c r="L418" i="1"/>
  <c r="M418" i="1"/>
  <c r="N418" i="1"/>
  <c r="C419" i="1"/>
  <c r="D419" i="1"/>
  <c r="E419" i="1"/>
  <c r="F419" i="1"/>
  <c r="G419" i="1"/>
  <c r="H419" i="1"/>
  <c r="I419" i="1"/>
  <c r="J419" i="1"/>
  <c r="K419" i="1"/>
  <c r="L419" i="1"/>
  <c r="M419" i="1"/>
  <c r="N419" i="1"/>
  <c r="C420" i="1"/>
  <c r="D420" i="1"/>
  <c r="E420" i="1"/>
  <c r="F420" i="1"/>
  <c r="G420" i="1"/>
  <c r="H420" i="1"/>
  <c r="I420" i="1"/>
  <c r="J420" i="1"/>
  <c r="K420" i="1"/>
  <c r="L420" i="1"/>
  <c r="M420" i="1"/>
  <c r="N420" i="1"/>
  <c r="C421" i="1"/>
  <c r="D421" i="1"/>
  <c r="E421" i="1"/>
  <c r="F421" i="1"/>
  <c r="G421" i="1"/>
  <c r="H421" i="1"/>
  <c r="I421" i="1"/>
  <c r="J421" i="1"/>
  <c r="K421" i="1"/>
  <c r="L421" i="1"/>
  <c r="M421" i="1"/>
  <c r="N421" i="1"/>
  <c r="C422" i="1"/>
  <c r="D422" i="1"/>
  <c r="E422" i="1"/>
  <c r="F422" i="1"/>
  <c r="G422" i="1"/>
  <c r="H422" i="1"/>
  <c r="I422" i="1"/>
  <c r="J422" i="1"/>
  <c r="K422" i="1"/>
  <c r="L422" i="1"/>
  <c r="M422" i="1"/>
  <c r="N422" i="1"/>
  <c r="C423" i="1"/>
  <c r="D423" i="1"/>
  <c r="E423" i="1"/>
  <c r="F423" i="1"/>
  <c r="G423" i="1"/>
  <c r="H423" i="1"/>
  <c r="I423" i="1"/>
  <c r="J423" i="1"/>
  <c r="K423" i="1"/>
  <c r="L423" i="1"/>
  <c r="M423" i="1"/>
  <c r="N423" i="1"/>
  <c r="C424" i="1"/>
  <c r="D424" i="1"/>
  <c r="E424" i="1"/>
  <c r="F424" i="1"/>
  <c r="G424" i="1"/>
  <c r="H424" i="1"/>
  <c r="I424" i="1"/>
  <c r="J424" i="1"/>
  <c r="K424" i="1"/>
  <c r="L424" i="1"/>
  <c r="M424" i="1"/>
  <c r="N424" i="1"/>
  <c r="C425" i="1"/>
  <c r="D425" i="1"/>
  <c r="E425" i="1"/>
  <c r="F425" i="1"/>
  <c r="G425" i="1"/>
  <c r="H425" i="1"/>
  <c r="I425" i="1"/>
  <c r="J425" i="1"/>
  <c r="K425" i="1"/>
  <c r="L425" i="1"/>
  <c r="M425" i="1"/>
  <c r="N425" i="1"/>
  <c r="C426" i="1"/>
  <c r="D426" i="1"/>
  <c r="E426" i="1"/>
  <c r="F426" i="1"/>
  <c r="G426" i="1"/>
  <c r="H426" i="1"/>
  <c r="I426" i="1"/>
  <c r="J426" i="1"/>
  <c r="K426" i="1"/>
  <c r="L426" i="1"/>
  <c r="M426" i="1"/>
  <c r="N426" i="1"/>
  <c r="C427" i="1"/>
  <c r="D427" i="1"/>
  <c r="E427" i="1"/>
  <c r="F427" i="1"/>
  <c r="G427" i="1"/>
  <c r="H427" i="1"/>
  <c r="I427" i="1"/>
  <c r="J427" i="1"/>
  <c r="K427" i="1"/>
  <c r="L427" i="1"/>
  <c r="M427" i="1"/>
  <c r="N427" i="1"/>
  <c r="C428" i="1"/>
  <c r="D428" i="1"/>
  <c r="E428" i="1"/>
  <c r="F428" i="1"/>
  <c r="G428" i="1"/>
  <c r="H428" i="1"/>
  <c r="I428" i="1"/>
  <c r="J428" i="1"/>
  <c r="K428" i="1"/>
  <c r="L428" i="1"/>
  <c r="M428" i="1"/>
  <c r="N428" i="1"/>
  <c r="C429" i="1"/>
  <c r="D429" i="1"/>
  <c r="E429" i="1"/>
  <c r="F429" i="1"/>
  <c r="G429" i="1"/>
  <c r="H429" i="1"/>
  <c r="I429" i="1"/>
  <c r="J429" i="1"/>
  <c r="K429" i="1"/>
  <c r="L429" i="1"/>
  <c r="M429" i="1"/>
  <c r="N429" i="1"/>
  <c r="C430" i="1"/>
  <c r="D430" i="1"/>
  <c r="E430" i="1"/>
  <c r="F430" i="1"/>
  <c r="G430" i="1"/>
  <c r="H430" i="1"/>
  <c r="I430" i="1"/>
  <c r="J430" i="1"/>
  <c r="K430" i="1"/>
  <c r="L430" i="1"/>
  <c r="M430" i="1"/>
  <c r="N430" i="1"/>
  <c r="C431" i="1"/>
  <c r="D431" i="1"/>
  <c r="E431" i="1"/>
  <c r="F431" i="1"/>
  <c r="G431" i="1"/>
  <c r="H431" i="1"/>
  <c r="I431" i="1"/>
  <c r="J431" i="1"/>
  <c r="K431" i="1"/>
  <c r="L431" i="1"/>
  <c r="M431" i="1"/>
  <c r="N431" i="1"/>
  <c r="C432" i="1"/>
  <c r="D432" i="1"/>
  <c r="E432" i="1"/>
  <c r="F432" i="1"/>
  <c r="G432" i="1"/>
  <c r="H432" i="1"/>
  <c r="I432" i="1"/>
  <c r="J432" i="1"/>
  <c r="K432" i="1"/>
  <c r="L432" i="1"/>
  <c r="M432" i="1"/>
  <c r="N432" i="1"/>
  <c r="C433" i="1"/>
  <c r="D433" i="1"/>
  <c r="E433" i="1"/>
  <c r="F433" i="1"/>
  <c r="G433" i="1"/>
  <c r="H433" i="1"/>
  <c r="I433" i="1"/>
  <c r="J433" i="1"/>
  <c r="K433" i="1"/>
  <c r="L433" i="1"/>
  <c r="M433" i="1"/>
  <c r="N433" i="1"/>
  <c r="C434" i="1"/>
  <c r="D434" i="1"/>
  <c r="E434" i="1"/>
  <c r="F434" i="1"/>
  <c r="G434" i="1"/>
  <c r="H434" i="1"/>
  <c r="I434" i="1"/>
  <c r="J434" i="1"/>
  <c r="K434" i="1"/>
  <c r="L434" i="1"/>
  <c r="M434" i="1"/>
  <c r="N434" i="1"/>
  <c r="C435" i="1"/>
  <c r="D435" i="1"/>
  <c r="E435" i="1"/>
  <c r="F435" i="1"/>
  <c r="G435" i="1"/>
  <c r="H435" i="1"/>
  <c r="I435" i="1"/>
  <c r="J435" i="1"/>
  <c r="K435" i="1"/>
  <c r="L435" i="1"/>
  <c r="M435" i="1"/>
  <c r="N435" i="1"/>
  <c r="C436" i="1"/>
  <c r="D436" i="1"/>
  <c r="E436" i="1"/>
  <c r="F436" i="1"/>
  <c r="G436" i="1"/>
  <c r="H436" i="1"/>
  <c r="I436" i="1"/>
  <c r="J436" i="1"/>
  <c r="K436" i="1"/>
  <c r="L436" i="1"/>
  <c r="M436" i="1"/>
  <c r="N436" i="1"/>
  <c r="C437" i="1"/>
  <c r="D437" i="1"/>
  <c r="E437" i="1"/>
  <c r="F437" i="1"/>
  <c r="G437" i="1"/>
  <c r="H437" i="1"/>
  <c r="I437" i="1"/>
  <c r="J437" i="1"/>
  <c r="K437" i="1"/>
  <c r="L437" i="1"/>
  <c r="M437" i="1"/>
  <c r="N437" i="1"/>
  <c r="C438" i="1"/>
  <c r="D438" i="1"/>
  <c r="E438" i="1"/>
  <c r="F438" i="1"/>
  <c r="G438" i="1"/>
  <c r="H438" i="1"/>
  <c r="I438" i="1"/>
  <c r="J438" i="1"/>
  <c r="K438" i="1"/>
  <c r="L438" i="1"/>
  <c r="M438" i="1"/>
  <c r="N438" i="1"/>
  <c r="C439" i="1"/>
  <c r="D439" i="1"/>
  <c r="E439" i="1"/>
  <c r="F439" i="1"/>
  <c r="G439" i="1"/>
  <c r="H439" i="1"/>
  <c r="I439" i="1"/>
  <c r="J439" i="1"/>
  <c r="K439" i="1"/>
  <c r="L439" i="1"/>
  <c r="M439" i="1"/>
  <c r="N439" i="1"/>
  <c r="C440" i="1"/>
  <c r="D440" i="1"/>
  <c r="E440" i="1"/>
  <c r="F440" i="1"/>
  <c r="G440" i="1"/>
  <c r="H440" i="1"/>
  <c r="I440" i="1"/>
  <c r="J440" i="1"/>
  <c r="K440" i="1"/>
  <c r="L440" i="1"/>
  <c r="M440" i="1"/>
  <c r="N440" i="1"/>
  <c r="C441" i="1"/>
  <c r="D441" i="1"/>
  <c r="E441" i="1"/>
  <c r="F441" i="1"/>
  <c r="G441" i="1"/>
  <c r="H441" i="1"/>
  <c r="I441" i="1"/>
  <c r="J441" i="1"/>
  <c r="K441" i="1"/>
  <c r="L441" i="1"/>
  <c r="M441" i="1"/>
  <c r="N441" i="1"/>
  <c r="C442" i="1"/>
  <c r="D442" i="1"/>
  <c r="E442" i="1"/>
  <c r="F442" i="1"/>
  <c r="G442" i="1"/>
  <c r="H442" i="1"/>
  <c r="I442" i="1"/>
  <c r="J442" i="1"/>
  <c r="K442" i="1"/>
  <c r="L442" i="1"/>
  <c r="M442" i="1"/>
  <c r="N442" i="1"/>
  <c r="C443" i="1"/>
  <c r="D443" i="1"/>
  <c r="E443" i="1"/>
  <c r="F443" i="1"/>
  <c r="G443" i="1"/>
  <c r="H443" i="1"/>
  <c r="I443" i="1"/>
  <c r="J443" i="1"/>
  <c r="K443" i="1"/>
  <c r="L443" i="1"/>
  <c r="M443" i="1"/>
  <c r="N443" i="1"/>
  <c r="C444" i="1"/>
  <c r="D444" i="1"/>
  <c r="E444" i="1"/>
  <c r="F444" i="1"/>
  <c r="G444" i="1"/>
  <c r="H444" i="1"/>
  <c r="I444" i="1"/>
  <c r="J444" i="1"/>
  <c r="K444" i="1"/>
  <c r="L444" i="1"/>
  <c r="M444" i="1"/>
  <c r="N444" i="1"/>
  <c r="C445" i="1"/>
  <c r="D445" i="1"/>
  <c r="E445" i="1"/>
  <c r="F445" i="1"/>
  <c r="G445" i="1"/>
  <c r="H445" i="1"/>
  <c r="I445" i="1"/>
  <c r="J445" i="1"/>
  <c r="K445" i="1"/>
  <c r="L445" i="1"/>
  <c r="M445" i="1"/>
  <c r="N445" i="1"/>
  <c r="C446" i="1"/>
  <c r="D446" i="1"/>
  <c r="E446" i="1"/>
  <c r="F446" i="1"/>
  <c r="G446" i="1"/>
  <c r="H446" i="1"/>
  <c r="I446" i="1"/>
  <c r="J446" i="1"/>
  <c r="K446" i="1"/>
  <c r="L446" i="1"/>
  <c r="M446" i="1"/>
  <c r="N446" i="1"/>
  <c r="C447" i="1"/>
  <c r="D447" i="1"/>
  <c r="E447" i="1"/>
  <c r="F447" i="1"/>
  <c r="G447" i="1"/>
  <c r="H447" i="1"/>
  <c r="I447" i="1"/>
  <c r="J447" i="1"/>
  <c r="K447" i="1"/>
  <c r="L447" i="1"/>
  <c r="M447" i="1"/>
  <c r="N447" i="1"/>
  <c r="C448" i="1"/>
  <c r="D448" i="1"/>
  <c r="E448" i="1"/>
  <c r="F448" i="1"/>
  <c r="G448" i="1"/>
  <c r="H448" i="1"/>
  <c r="I448" i="1"/>
  <c r="J448" i="1"/>
  <c r="K448" i="1"/>
  <c r="L448" i="1"/>
  <c r="M448" i="1"/>
  <c r="N448" i="1"/>
  <c r="C449" i="1"/>
  <c r="D449" i="1"/>
  <c r="E449" i="1"/>
  <c r="F449" i="1"/>
  <c r="G449" i="1"/>
  <c r="H449" i="1"/>
  <c r="I449" i="1"/>
  <c r="J449" i="1"/>
  <c r="K449" i="1"/>
  <c r="L449" i="1"/>
  <c r="M449" i="1"/>
  <c r="N449" i="1"/>
  <c r="C450" i="1"/>
  <c r="D450" i="1"/>
  <c r="E450" i="1"/>
  <c r="F450" i="1"/>
  <c r="G450" i="1"/>
  <c r="H450" i="1"/>
  <c r="I450" i="1"/>
  <c r="J450" i="1"/>
  <c r="K450" i="1"/>
  <c r="L450" i="1"/>
  <c r="M450" i="1"/>
  <c r="N450" i="1"/>
  <c r="C451" i="1"/>
  <c r="D451" i="1"/>
  <c r="E451" i="1"/>
  <c r="F451" i="1"/>
  <c r="G451" i="1"/>
  <c r="H451" i="1"/>
  <c r="I451" i="1"/>
  <c r="J451" i="1"/>
  <c r="K451" i="1"/>
  <c r="L451" i="1"/>
  <c r="M451" i="1"/>
  <c r="N451" i="1"/>
  <c r="C452" i="1"/>
  <c r="D452" i="1"/>
  <c r="E452" i="1"/>
  <c r="F452" i="1"/>
  <c r="G452" i="1"/>
  <c r="H452" i="1"/>
  <c r="I452" i="1"/>
  <c r="J452" i="1"/>
  <c r="K452" i="1"/>
  <c r="L452" i="1"/>
  <c r="M452" i="1"/>
  <c r="N452" i="1"/>
  <c r="C453" i="1"/>
  <c r="D453" i="1"/>
  <c r="E453" i="1"/>
  <c r="F453" i="1"/>
  <c r="G453" i="1"/>
  <c r="H453" i="1"/>
  <c r="I453" i="1"/>
  <c r="J453" i="1"/>
  <c r="K453" i="1"/>
  <c r="L453" i="1"/>
  <c r="M453" i="1"/>
  <c r="N453" i="1"/>
  <c r="C454" i="1"/>
  <c r="D454" i="1"/>
  <c r="E454" i="1"/>
  <c r="F454" i="1"/>
  <c r="G454" i="1"/>
  <c r="H454" i="1"/>
  <c r="I454" i="1"/>
  <c r="J454" i="1"/>
  <c r="K454" i="1"/>
  <c r="L454" i="1"/>
  <c r="M454" i="1"/>
  <c r="N454" i="1"/>
  <c r="C455" i="1"/>
  <c r="D455" i="1"/>
  <c r="E455" i="1"/>
  <c r="F455" i="1"/>
  <c r="G455" i="1"/>
  <c r="H455" i="1"/>
  <c r="I455" i="1"/>
  <c r="J455" i="1"/>
  <c r="K455" i="1"/>
  <c r="L455" i="1"/>
  <c r="M455" i="1"/>
  <c r="N455" i="1"/>
  <c r="C456" i="1"/>
  <c r="D456" i="1"/>
  <c r="E456" i="1"/>
  <c r="F456" i="1"/>
  <c r="G456" i="1"/>
  <c r="H456" i="1"/>
  <c r="I456" i="1"/>
  <c r="J456" i="1"/>
  <c r="K456" i="1"/>
  <c r="L456" i="1"/>
  <c r="M456" i="1"/>
  <c r="N456" i="1"/>
  <c r="C457" i="1"/>
  <c r="D457" i="1"/>
  <c r="E457" i="1"/>
  <c r="F457" i="1"/>
  <c r="G457" i="1"/>
  <c r="H457" i="1"/>
  <c r="I457" i="1"/>
  <c r="J457" i="1"/>
  <c r="K457" i="1"/>
  <c r="L457" i="1"/>
  <c r="M457" i="1"/>
  <c r="N457" i="1"/>
  <c r="C458" i="1"/>
  <c r="D458" i="1"/>
  <c r="E458" i="1"/>
  <c r="F458" i="1"/>
  <c r="G458" i="1"/>
  <c r="H458" i="1"/>
  <c r="I458" i="1"/>
  <c r="J458" i="1"/>
  <c r="K458" i="1"/>
  <c r="L458" i="1"/>
  <c r="M458" i="1"/>
  <c r="N458" i="1"/>
  <c r="C459" i="1"/>
  <c r="D459" i="1"/>
  <c r="E459" i="1"/>
  <c r="F459" i="1"/>
  <c r="G459" i="1"/>
  <c r="H459" i="1"/>
  <c r="I459" i="1"/>
  <c r="J459" i="1"/>
  <c r="K459" i="1"/>
  <c r="L459" i="1"/>
  <c r="M459" i="1"/>
  <c r="N459" i="1"/>
  <c r="C460" i="1"/>
  <c r="D460" i="1"/>
  <c r="E460" i="1"/>
  <c r="F460" i="1"/>
  <c r="G460" i="1"/>
  <c r="H460" i="1"/>
  <c r="I460" i="1"/>
  <c r="J460" i="1"/>
  <c r="K460" i="1"/>
  <c r="L460" i="1"/>
  <c r="M460" i="1"/>
  <c r="N460" i="1"/>
  <c r="C461" i="1"/>
  <c r="D461" i="1"/>
  <c r="E461" i="1"/>
  <c r="F461" i="1"/>
  <c r="G461" i="1"/>
  <c r="H461" i="1"/>
  <c r="I461" i="1"/>
  <c r="J461" i="1"/>
  <c r="K461" i="1"/>
  <c r="L461" i="1"/>
  <c r="M461" i="1"/>
  <c r="N461" i="1"/>
  <c r="C462" i="1"/>
  <c r="D462" i="1"/>
  <c r="E462" i="1"/>
  <c r="F462" i="1"/>
  <c r="G462" i="1"/>
  <c r="H462" i="1"/>
  <c r="I462" i="1"/>
  <c r="J462" i="1"/>
  <c r="K462" i="1"/>
  <c r="L462" i="1"/>
  <c r="M462" i="1"/>
  <c r="N462" i="1"/>
  <c r="C463" i="1"/>
  <c r="D463" i="1"/>
  <c r="E463" i="1"/>
  <c r="F463" i="1"/>
  <c r="G463" i="1"/>
  <c r="H463" i="1"/>
  <c r="I463" i="1"/>
  <c r="J463" i="1"/>
  <c r="K463" i="1"/>
  <c r="L463" i="1"/>
  <c r="M463" i="1"/>
  <c r="N463" i="1"/>
  <c r="C464" i="1"/>
  <c r="D464" i="1"/>
  <c r="E464" i="1"/>
  <c r="F464" i="1"/>
  <c r="G464" i="1"/>
  <c r="H464" i="1"/>
  <c r="I464" i="1"/>
  <c r="J464" i="1"/>
  <c r="K464" i="1"/>
  <c r="L464" i="1"/>
  <c r="M464" i="1"/>
  <c r="N464" i="1"/>
  <c r="C465" i="1"/>
  <c r="D465" i="1"/>
  <c r="E465" i="1"/>
  <c r="F465" i="1"/>
  <c r="G465" i="1"/>
  <c r="H465" i="1"/>
  <c r="I465" i="1"/>
  <c r="J465" i="1"/>
  <c r="K465" i="1"/>
  <c r="L465" i="1"/>
  <c r="M465" i="1"/>
  <c r="N465" i="1"/>
  <c r="C466" i="1"/>
  <c r="D466" i="1"/>
  <c r="E466" i="1"/>
  <c r="F466" i="1"/>
  <c r="G466" i="1"/>
  <c r="H466" i="1"/>
  <c r="I466" i="1"/>
  <c r="J466" i="1"/>
  <c r="K466" i="1"/>
  <c r="L466" i="1"/>
  <c r="M466" i="1"/>
  <c r="N466" i="1"/>
  <c r="C467" i="1"/>
  <c r="D467" i="1"/>
  <c r="E467" i="1"/>
  <c r="F467" i="1"/>
  <c r="G467" i="1"/>
  <c r="H467" i="1"/>
  <c r="I467" i="1"/>
  <c r="J467" i="1"/>
  <c r="K467" i="1"/>
  <c r="L467" i="1"/>
  <c r="M467" i="1"/>
  <c r="N467" i="1"/>
  <c r="C468" i="1"/>
  <c r="D468" i="1"/>
  <c r="E468" i="1"/>
  <c r="F468" i="1"/>
  <c r="G468" i="1"/>
  <c r="H468" i="1"/>
  <c r="I468" i="1"/>
  <c r="J468" i="1"/>
  <c r="K468" i="1"/>
  <c r="L468" i="1"/>
  <c r="M468" i="1"/>
  <c r="N468" i="1"/>
  <c r="C469" i="1"/>
  <c r="D469" i="1"/>
  <c r="E469" i="1"/>
  <c r="F469" i="1"/>
  <c r="G469" i="1"/>
  <c r="H469" i="1"/>
  <c r="I469" i="1"/>
  <c r="J469" i="1"/>
  <c r="K469" i="1"/>
  <c r="L469" i="1"/>
  <c r="M469" i="1"/>
  <c r="N469" i="1"/>
  <c r="C470" i="1"/>
  <c r="D470" i="1"/>
  <c r="E470" i="1"/>
  <c r="F470" i="1"/>
  <c r="G470" i="1"/>
  <c r="H470" i="1"/>
  <c r="I470" i="1"/>
  <c r="J470" i="1"/>
  <c r="K470" i="1"/>
  <c r="L470" i="1"/>
  <c r="M470" i="1"/>
  <c r="N470" i="1"/>
  <c r="C471" i="1"/>
  <c r="D471" i="1"/>
  <c r="E471" i="1"/>
  <c r="F471" i="1"/>
  <c r="G471" i="1"/>
  <c r="H471" i="1"/>
  <c r="I471" i="1"/>
  <c r="J471" i="1"/>
  <c r="K471" i="1"/>
  <c r="L471" i="1"/>
  <c r="M471" i="1"/>
  <c r="N471" i="1"/>
  <c r="C472" i="1"/>
  <c r="D472" i="1"/>
  <c r="E472" i="1"/>
  <c r="F472" i="1"/>
  <c r="G472" i="1"/>
  <c r="H472" i="1"/>
  <c r="I472" i="1"/>
  <c r="J472" i="1"/>
  <c r="K472" i="1"/>
  <c r="L472" i="1"/>
  <c r="M472" i="1"/>
  <c r="N472" i="1"/>
  <c r="C473" i="1"/>
  <c r="D473" i="1"/>
  <c r="E473" i="1"/>
  <c r="F473" i="1"/>
  <c r="G473" i="1"/>
  <c r="H473" i="1"/>
  <c r="I473" i="1"/>
  <c r="J473" i="1"/>
  <c r="K473" i="1"/>
  <c r="L473" i="1"/>
  <c r="M473" i="1"/>
  <c r="N473" i="1"/>
  <c r="C474" i="1"/>
  <c r="D474" i="1"/>
  <c r="E474" i="1"/>
  <c r="F474" i="1"/>
  <c r="G474" i="1"/>
  <c r="H474" i="1"/>
  <c r="I474" i="1"/>
  <c r="J474" i="1"/>
  <c r="K474" i="1"/>
  <c r="L474" i="1"/>
  <c r="M474" i="1"/>
  <c r="N474" i="1"/>
  <c r="C475" i="1"/>
  <c r="D475" i="1"/>
  <c r="E475" i="1"/>
  <c r="F475" i="1"/>
  <c r="G475" i="1"/>
  <c r="H475" i="1"/>
  <c r="I475" i="1"/>
  <c r="J475" i="1"/>
  <c r="K475" i="1"/>
  <c r="L475" i="1"/>
  <c r="M475" i="1"/>
  <c r="N475" i="1"/>
  <c r="C476" i="1"/>
  <c r="D476" i="1"/>
  <c r="E476" i="1"/>
  <c r="F476" i="1"/>
  <c r="G476" i="1"/>
  <c r="H476" i="1"/>
  <c r="I476" i="1"/>
  <c r="J476" i="1"/>
  <c r="K476" i="1"/>
  <c r="L476" i="1"/>
  <c r="M476" i="1"/>
  <c r="N476" i="1"/>
  <c r="C477" i="1"/>
  <c r="D477" i="1"/>
  <c r="E477" i="1"/>
  <c r="F477" i="1"/>
  <c r="G477" i="1"/>
  <c r="H477" i="1"/>
  <c r="I477" i="1"/>
  <c r="J477" i="1"/>
  <c r="K477" i="1"/>
  <c r="L477" i="1"/>
  <c r="M477" i="1"/>
  <c r="N477" i="1"/>
  <c r="C478" i="1"/>
  <c r="D478" i="1"/>
  <c r="E478" i="1"/>
  <c r="F478" i="1"/>
  <c r="G478" i="1"/>
  <c r="H478" i="1"/>
  <c r="I478" i="1"/>
  <c r="J478" i="1"/>
  <c r="K478" i="1"/>
  <c r="L478" i="1"/>
  <c r="M478" i="1"/>
  <c r="N478" i="1"/>
  <c r="C479" i="1"/>
  <c r="D479" i="1"/>
  <c r="E479" i="1"/>
  <c r="F479" i="1"/>
  <c r="G479" i="1"/>
  <c r="H479" i="1"/>
  <c r="I479" i="1"/>
  <c r="J479" i="1"/>
  <c r="K479" i="1"/>
  <c r="L479" i="1"/>
  <c r="M479" i="1"/>
  <c r="N479" i="1"/>
  <c r="C480" i="1"/>
  <c r="D480" i="1"/>
  <c r="E480" i="1"/>
  <c r="F480" i="1"/>
  <c r="G480" i="1"/>
  <c r="H480" i="1"/>
  <c r="I480" i="1"/>
  <c r="J480" i="1"/>
  <c r="K480" i="1"/>
  <c r="L480" i="1"/>
  <c r="M480" i="1"/>
  <c r="N480" i="1"/>
  <c r="C481" i="1"/>
  <c r="D481" i="1"/>
  <c r="E481" i="1"/>
  <c r="F481" i="1"/>
  <c r="G481" i="1"/>
  <c r="H481" i="1"/>
  <c r="I481" i="1"/>
  <c r="J481" i="1"/>
  <c r="K481" i="1"/>
  <c r="L481" i="1"/>
  <c r="M481" i="1"/>
  <c r="N481" i="1"/>
  <c r="C482" i="1"/>
  <c r="D482" i="1"/>
  <c r="E482" i="1"/>
  <c r="F482" i="1"/>
  <c r="G482" i="1"/>
  <c r="H482" i="1"/>
  <c r="I482" i="1"/>
  <c r="J482" i="1"/>
  <c r="K482" i="1"/>
  <c r="L482" i="1"/>
  <c r="M482" i="1"/>
  <c r="N482" i="1"/>
  <c r="C483" i="1"/>
  <c r="D483" i="1"/>
  <c r="E483" i="1"/>
  <c r="F483" i="1"/>
  <c r="G483" i="1"/>
  <c r="H483" i="1"/>
  <c r="I483" i="1"/>
  <c r="J483" i="1"/>
  <c r="K483" i="1"/>
  <c r="L483" i="1"/>
  <c r="M483" i="1"/>
  <c r="N483" i="1"/>
  <c r="C484" i="1"/>
  <c r="D484" i="1"/>
  <c r="E484" i="1"/>
  <c r="F484" i="1"/>
  <c r="G484" i="1"/>
  <c r="H484" i="1"/>
  <c r="I484" i="1"/>
  <c r="J484" i="1"/>
  <c r="K484" i="1"/>
  <c r="L484" i="1"/>
  <c r="M484" i="1"/>
  <c r="N484" i="1"/>
  <c r="C485" i="1"/>
  <c r="D485" i="1"/>
  <c r="E485" i="1"/>
  <c r="F485" i="1"/>
  <c r="G485" i="1"/>
  <c r="H485" i="1"/>
  <c r="I485" i="1"/>
  <c r="J485" i="1"/>
  <c r="K485" i="1"/>
  <c r="L485" i="1"/>
  <c r="M485" i="1"/>
  <c r="N485" i="1"/>
  <c r="C486" i="1"/>
  <c r="D486" i="1"/>
  <c r="E486" i="1"/>
  <c r="F486" i="1"/>
  <c r="G486" i="1"/>
  <c r="H486" i="1"/>
  <c r="I486" i="1"/>
  <c r="J486" i="1"/>
  <c r="K486" i="1"/>
  <c r="L486" i="1"/>
  <c r="M486" i="1"/>
  <c r="N486" i="1"/>
  <c r="C487" i="1"/>
  <c r="D487" i="1"/>
  <c r="E487" i="1"/>
  <c r="F487" i="1"/>
  <c r="G487" i="1"/>
  <c r="H487" i="1"/>
  <c r="I487" i="1"/>
  <c r="J487" i="1"/>
  <c r="K487" i="1"/>
  <c r="L487" i="1"/>
  <c r="M487" i="1"/>
  <c r="N487" i="1"/>
  <c r="C488" i="1"/>
  <c r="D488" i="1"/>
  <c r="E488" i="1"/>
  <c r="F488" i="1"/>
  <c r="G488" i="1"/>
  <c r="H488" i="1"/>
  <c r="I488" i="1"/>
  <c r="J488" i="1"/>
  <c r="K488" i="1"/>
  <c r="L488" i="1"/>
  <c r="M488" i="1"/>
  <c r="N488" i="1"/>
  <c r="C489" i="1"/>
  <c r="D489" i="1"/>
  <c r="E489" i="1"/>
  <c r="F489" i="1"/>
  <c r="G489" i="1"/>
  <c r="H489" i="1"/>
  <c r="I489" i="1"/>
  <c r="J489" i="1"/>
  <c r="K489" i="1"/>
  <c r="L489" i="1"/>
  <c r="M489" i="1"/>
  <c r="N489" i="1"/>
  <c r="C490" i="1"/>
  <c r="D490" i="1"/>
  <c r="E490" i="1"/>
  <c r="F490" i="1"/>
  <c r="G490" i="1"/>
  <c r="H490" i="1"/>
  <c r="I490" i="1"/>
  <c r="J490" i="1"/>
  <c r="K490" i="1"/>
  <c r="L490" i="1"/>
  <c r="M490" i="1"/>
  <c r="N490" i="1"/>
  <c r="C491" i="1"/>
  <c r="D491" i="1"/>
  <c r="E491" i="1"/>
  <c r="F491" i="1"/>
  <c r="G491" i="1"/>
  <c r="H491" i="1"/>
  <c r="I491" i="1"/>
  <c r="J491" i="1"/>
  <c r="K491" i="1"/>
  <c r="L491" i="1"/>
  <c r="M491" i="1"/>
  <c r="N491" i="1"/>
  <c r="C492" i="1"/>
  <c r="D492" i="1"/>
  <c r="E492" i="1"/>
  <c r="F492" i="1"/>
  <c r="G492" i="1"/>
  <c r="H492" i="1"/>
  <c r="I492" i="1"/>
  <c r="J492" i="1"/>
  <c r="K492" i="1"/>
  <c r="L492" i="1"/>
  <c r="M492" i="1"/>
  <c r="N492" i="1"/>
  <c r="C493" i="1"/>
  <c r="D493" i="1"/>
  <c r="E493" i="1"/>
  <c r="F493" i="1"/>
  <c r="G493" i="1"/>
  <c r="H493" i="1"/>
  <c r="I493" i="1"/>
  <c r="J493" i="1"/>
  <c r="K493" i="1"/>
  <c r="L493" i="1"/>
  <c r="M493" i="1"/>
  <c r="N493" i="1"/>
  <c r="C494" i="1"/>
  <c r="D494" i="1"/>
  <c r="E494" i="1"/>
  <c r="F494" i="1"/>
  <c r="G494" i="1"/>
  <c r="H494" i="1"/>
  <c r="I494" i="1"/>
  <c r="J494" i="1"/>
  <c r="K494" i="1"/>
  <c r="L494" i="1"/>
  <c r="M494" i="1"/>
  <c r="N494" i="1"/>
  <c r="C495" i="1"/>
  <c r="D495" i="1"/>
  <c r="E495" i="1"/>
  <c r="F495" i="1"/>
  <c r="G495" i="1"/>
  <c r="H495" i="1"/>
  <c r="I495" i="1"/>
  <c r="J495" i="1"/>
  <c r="K495" i="1"/>
  <c r="L495" i="1"/>
  <c r="M495" i="1"/>
  <c r="N495" i="1"/>
  <c r="C496" i="1"/>
  <c r="D496" i="1"/>
  <c r="E496" i="1"/>
  <c r="F496" i="1"/>
  <c r="G496" i="1"/>
  <c r="H496" i="1"/>
  <c r="I496" i="1"/>
  <c r="J496" i="1"/>
  <c r="K496" i="1"/>
  <c r="L496" i="1"/>
  <c r="M496" i="1"/>
  <c r="N496" i="1"/>
  <c r="C497" i="1"/>
  <c r="D497" i="1"/>
  <c r="E497" i="1"/>
  <c r="F497" i="1"/>
  <c r="G497" i="1"/>
  <c r="H497" i="1"/>
  <c r="I497" i="1"/>
  <c r="J497" i="1"/>
  <c r="K497" i="1"/>
  <c r="L497" i="1"/>
  <c r="M497" i="1"/>
  <c r="N497" i="1"/>
  <c r="C498" i="1"/>
  <c r="D498" i="1"/>
  <c r="E498" i="1"/>
  <c r="F498" i="1"/>
  <c r="G498" i="1"/>
  <c r="H498" i="1"/>
  <c r="I498" i="1"/>
  <c r="J498" i="1"/>
  <c r="K498" i="1"/>
  <c r="L498" i="1"/>
  <c r="M498" i="1"/>
  <c r="N498" i="1"/>
  <c r="C499" i="1"/>
  <c r="D499" i="1"/>
  <c r="E499" i="1"/>
  <c r="F499" i="1"/>
  <c r="G499" i="1"/>
  <c r="H499" i="1"/>
  <c r="I499" i="1"/>
  <c r="J499" i="1"/>
  <c r="K499" i="1"/>
  <c r="L499" i="1"/>
  <c r="M499" i="1"/>
  <c r="N499" i="1"/>
  <c r="C500" i="1"/>
  <c r="D500" i="1"/>
  <c r="E500" i="1"/>
  <c r="F500" i="1"/>
  <c r="G500" i="1"/>
  <c r="H500" i="1"/>
  <c r="I500" i="1"/>
  <c r="J500" i="1"/>
  <c r="K500" i="1"/>
  <c r="L500" i="1"/>
  <c r="M500" i="1"/>
  <c r="N500" i="1"/>
  <c r="C501" i="1"/>
  <c r="D501" i="1"/>
  <c r="E501" i="1"/>
  <c r="F501" i="1"/>
  <c r="G501" i="1"/>
  <c r="H501" i="1"/>
  <c r="I501" i="1"/>
  <c r="J501" i="1"/>
  <c r="K501" i="1"/>
  <c r="L501" i="1"/>
  <c r="M501" i="1"/>
  <c r="N501" i="1"/>
  <c r="C502" i="1"/>
  <c r="D502" i="1"/>
  <c r="E502" i="1"/>
  <c r="F502" i="1"/>
  <c r="G502" i="1"/>
  <c r="H502" i="1"/>
  <c r="I502" i="1"/>
  <c r="J502" i="1"/>
  <c r="K502" i="1"/>
  <c r="L502" i="1"/>
  <c r="M502" i="1"/>
  <c r="N502" i="1"/>
  <c r="C503" i="1"/>
  <c r="D503" i="1"/>
  <c r="E503" i="1"/>
  <c r="F503" i="1"/>
  <c r="G503" i="1"/>
  <c r="H503" i="1"/>
  <c r="I503" i="1"/>
  <c r="J503" i="1"/>
  <c r="K503" i="1"/>
  <c r="L503" i="1"/>
  <c r="M503" i="1"/>
  <c r="N503" i="1"/>
  <c r="C504" i="1"/>
  <c r="D504" i="1"/>
  <c r="E504" i="1"/>
  <c r="F504" i="1"/>
  <c r="G504" i="1"/>
  <c r="H504" i="1"/>
  <c r="I504" i="1"/>
  <c r="J504" i="1"/>
  <c r="K504" i="1"/>
  <c r="L504" i="1"/>
  <c r="M504" i="1"/>
  <c r="N504" i="1"/>
  <c r="C505" i="1"/>
  <c r="D505" i="1"/>
  <c r="E505" i="1"/>
  <c r="F505" i="1"/>
  <c r="G505" i="1"/>
  <c r="H505" i="1"/>
  <c r="I505" i="1"/>
  <c r="J505" i="1"/>
  <c r="K505" i="1"/>
  <c r="L505" i="1"/>
  <c r="M505" i="1"/>
  <c r="N505" i="1"/>
  <c r="C506" i="1"/>
  <c r="D506" i="1"/>
  <c r="E506" i="1"/>
  <c r="F506" i="1"/>
  <c r="G506" i="1"/>
  <c r="H506" i="1"/>
  <c r="I506" i="1"/>
  <c r="J506" i="1"/>
  <c r="K506" i="1"/>
  <c r="L506" i="1"/>
  <c r="M506" i="1"/>
  <c r="N506" i="1"/>
  <c r="C507" i="1"/>
  <c r="D507" i="1"/>
  <c r="E507" i="1"/>
  <c r="F507" i="1"/>
  <c r="G507" i="1"/>
  <c r="H507" i="1"/>
  <c r="I507" i="1"/>
  <c r="J507" i="1"/>
  <c r="K507" i="1"/>
  <c r="L507" i="1"/>
  <c r="M507" i="1"/>
  <c r="N507" i="1"/>
  <c r="C508" i="1"/>
  <c r="D508" i="1"/>
  <c r="E508" i="1"/>
  <c r="F508" i="1"/>
  <c r="G508" i="1"/>
  <c r="H508" i="1"/>
  <c r="I508" i="1"/>
  <c r="J508" i="1"/>
  <c r="K508" i="1"/>
  <c r="L508" i="1"/>
  <c r="M508" i="1"/>
  <c r="N508" i="1"/>
  <c r="C509" i="1"/>
  <c r="D509" i="1"/>
  <c r="E509" i="1"/>
  <c r="F509" i="1"/>
  <c r="G509" i="1"/>
  <c r="H509" i="1"/>
  <c r="I509" i="1"/>
  <c r="J509" i="1"/>
  <c r="K509" i="1"/>
  <c r="L509" i="1"/>
  <c r="M509" i="1"/>
  <c r="N509" i="1"/>
  <c r="C510" i="1"/>
  <c r="D510" i="1"/>
  <c r="E510" i="1"/>
  <c r="F510" i="1"/>
  <c r="G510" i="1"/>
  <c r="H510" i="1"/>
  <c r="I510" i="1"/>
  <c r="J510" i="1"/>
  <c r="K510" i="1"/>
  <c r="L510" i="1"/>
  <c r="M510" i="1"/>
  <c r="N510" i="1"/>
  <c r="C511" i="1"/>
  <c r="D511" i="1"/>
  <c r="E511" i="1"/>
  <c r="F511" i="1"/>
  <c r="G511" i="1"/>
  <c r="H511" i="1"/>
  <c r="I511" i="1"/>
  <c r="J511" i="1"/>
  <c r="K511" i="1"/>
  <c r="L511" i="1"/>
  <c r="M511" i="1"/>
  <c r="N511" i="1"/>
  <c r="C512" i="1"/>
  <c r="D512" i="1"/>
  <c r="E512" i="1"/>
  <c r="F512" i="1"/>
  <c r="G512" i="1"/>
  <c r="H512" i="1"/>
  <c r="I512" i="1"/>
  <c r="J512" i="1"/>
  <c r="K512" i="1"/>
  <c r="L512" i="1"/>
  <c r="M512" i="1"/>
  <c r="N512" i="1"/>
  <c r="C513" i="1"/>
  <c r="D513" i="1"/>
  <c r="E513" i="1"/>
  <c r="F513" i="1"/>
  <c r="G513" i="1"/>
  <c r="H513" i="1"/>
  <c r="I513" i="1"/>
  <c r="J513" i="1"/>
  <c r="K513" i="1"/>
  <c r="L513" i="1"/>
  <c r="M513" i="1"/>
  <c r="N513" i="1"/>
  <c r="C514" i="1"/>
  <c r="D514" i="1"/>
  <c r="E514" i="1"/>
  <c r="F514" i="1"/>
  <c r="G514" i="1"/>
  <c r="H514" i="1"/>
  <c r="I514" i="1"/>
  <c r="J514" i="1"/>
  <c r="K514" i="1"/>
  <c r="L514" i="1"/>
  <c r="M514" i="1"/>
  <c r="N514" i="1"/>
  <c r="C515" i="1"/>
  <c r="D515" i="1"/>
  <c r="E515" i="1"/>
  <c r="F515" i="1"/>
  <c r="G515" i="1"/>
  <c r="H515" i="1"/>
  <c r="I515" i="1"/>
  <c r="J515" i="1"/>
  <c r="K515" i="1"/>
  <c r="L515" i="1"/>
  <c r="M515" i="1"/>
  <c r="N515" i="1"/>
  <c r="C516" i="1"/>
  <c r="D516" i="1"/>
  <c r="E516" i="1"/>
  <c r="F516" i="1"/>
  <c r="G516" i="1"/>
  <c r="H516" i="1"/>
  <c r="I516" i="1"/>
  <c r="J516" i="1"/>
  <c r="K516" i="1"/>
  <c r="L516" i="1"/>
  <c r="M516" i="1"/>
  <c r="N516" i="1"/>
  <c r="C517" i="1"/>
  <c r="D517" i="1"/>
  <c r="E517" i="1"/>
  <c r="F517" i="1"/>
  <c r="G517" i="1"/>
  <c r="H517" i="1"/>
  <c r="I517" i="1"/>
  <c r="J517" i="1"/>
  <c r="K517" i="1"/>
  <c r="L517" i="1"/>
  <c r="M517" i="1"/>
  <c r="N517" i="1"/>
  <c r="C518" i="1"/>
  <c r="D518" i="1"/>
  <c r="E518" i="1"/>
  <c r="F518" i="1"/>
  <c r="G518" i="1"/>
  <c r="H518" i="1"/>
  <c r="I518" i="1"/>
  <c r="J518" i="1"/>
  <c r="K518" i="1"/>
  <c r="L518" i="1"/>
  <c r="M518" i="1"/>
  <c r="N518" i="1"/>
  <c r="C519" i="1"/>
  <c r="D519" i="1"/>
  <c r="E519" i="1"/>
  <c r="F519" i="1"/>
  <c r="G519" i="1"/>
  <c r="H519" i="1"/>
  <c r="I519" i="1"/>
  <c r="J519" i="1"/>
  <c r="K519" i="1"/>
  <c r="L519" i="1"/>
  <c r="M519" i="1"/>
  <c r="N519" i="1"/>
  <c r="C520" i="1"/>
  <c r="D520" i="1"/>
  <c r="E520" i="1"/>
  <c r="F520" i="1"/>
  <c r="G520" i="1"/>
  <c r="H520" i="1"/>
  <c r="I520" i="1"/>
  <c r="J520" i="1"/>
  <c r="K520" i="1"/>
  <c r="L520" i="1"/>
  <c r="M520" i="1"/>
  <c r="N520" i="1"/>
  <c r="C521" i="1"/>
  <c r="D521" i="1"/>
  <c r="E521" i="1"/>
  <c r="F521" i="1"/>
  <c r="G521" i="1"/>
  <c r="H521" i="1"/>
  <c r="I521" i="1"/>
  <c r="J521" i="1"/>
  <c r="K521" i="1"/>
  <c r="L521" i="1"/>
  <c r="M521" i="1"/>
  <c r="N521" i="1"/>
  <c r="C522" i="1"/>
  <c r="D522" i="1"/>
  <c r="E522" i="1"/>
  <c r="F522" i="1"/>
  <c r="G522" i="1"/>
  <c r="H522" i="1"/>
  <c r="I522" i="1"/>
  <c r="J522" i="1"/>
  <c r="K522" i="1"/>
  <c r="L522" i="1"/>
  <c r="M522" i="1"/>
  <c r="N522" i="1"/>
  <c r="C523" i="1"/>
  <c r="D523" i="1"/>
  <c r="E523" i="1"/>
  <c r="F523" i="1"/>
  <c r="G523" i="1"/>
  <c r="H523" i="1"/>
  <c r="I523" i="1"/>
  <c r="J523" i="1"/>
  <c r="K523" i="1"/>
  <c r="L523" i="1"/>
  <c r="M523" i="1"/>
  <c r="N523" i="1"/>
  <c r="C524" i="1"/>
  <c r="D524" i="1"/>
  <c r="E524" i="1"/>
  <c r="F524" i="1"/>
  <c r="G524" i="1"/>
  <c r="H524" i="1"/>
  <c r="I524" i="1"/>
  <c r="J524" i="1"/>
  <c r="K524" i="1"/>
  <c r="L524" i="1"/>
  <c r="M524" i="1"/>
  <c r="N524" i="1"/>
  <c r="C525" i="1"/>
  <c r="D525" i="1"/>
  <c r="E525" i="1"/>
  <c r="F525" i="1"/>
  <c r="G525" i="1"/>
  <c r="H525" i="1"/>
  <c r="I525" i="1"/>
  <c r="J525" i="1"/>
  <c r="K525" i="1"/>
  <c r="L525" i="1"/>
  <c r="M525" i="1"/>
  <c r="N525" i="1"/>
  <c r="C526" i="1"/>
  <c r="D526" i="1"/>
  <c r="E526" i="1"/>
  <c r="F526" i="1"/>
  <c r="G526" i="1"/>
  <c r="H526" i="1"/>
  <c r="I526" i="1"/>
  <c r="J526" i="1"/>
  <c r="K526" i="1"/>
  <c r="L526" i="1"/>
  <c r="M526" i="1"/>
  <c r="N526" i="1"/>
  <c r="C527" i="1"/>
  <c r="D527" i="1"/>
  <c r="E527" i="1"/>
  <c r="F527" i="1"/>
  <c r="G527" i="1"/>
  <c r="H527" i="1"/>
  <c r="I527" i="1"/>
  <c r="J527" i="1"/>
  <c r="K527" i="1"/>
  <c r="L527" i="1"/>
  <c r="M527" i="1"/>
  <c r="N527" i="1"/>
  <c r="C528" i="1"/>
  <c r="D528" i="1"/>
  <c r="E528" i="1"/>
  <c r="F528" i="1"/>
  <c r="G528" i="1"/>
  <c r="H528" i="1"/>
  <c r="I528" i="1"/>
  <c r="J528" i="1"/>
  <c r="K528" i="1"/>
  <c r="L528" i="1"/>
  <c r="M528" i="1"/>
  <c r="N528" i="1"/>
  <c r="C529" i="1"/>
  <c r="D529" i="1"/>
  <c r="E529" i="1"/>
  <c r="F529" i="1"/>
  <c r="G529" i="1"/>
  <c r="H529" i="1"/>
  <c r="I529" i="1"/>
  <c r="J529" i="1"/>
  <c r="K529" i="1"/>
  <c r="L529" i="1"/>
  <c r="M529" i="1"/>
  <c r="N529" i="1"/>
  <c r="C530" i="1"/>
  <c r="D530" i="1"/>
  <c r="E530" i="1"/>
  <c r="F530" i="1"/>
  <c r="G530" i="1"/>
  <c r="H530" i="1"/>
  <c r="I530" i="1"/>
  <c r="J530" i="1"/>
  <c r="K530" i="1"/>
  <c r="L530" i="1"/>
  <c r="M530" i="1"/>
  <c r="N530" i="1"/>
  <c r="C531" i="1"/>
  <c r="D531" i="1"/>
  <c r="E531" i="1"/>
  <c r="F531" i="1"/>
  <c r="G531" i="1"/>
  <c r="H531" i="1"/>
  <c r="I531" i="1"/>
  <c r="J531" i="1"/>
  <c r="K531" i="1"/>
  <c r="L531" i="1"/>
  <c r="M531" i="1"/>
  <c r="N531" i="1"/>
  <c r="C532" i="1"/>
  <c r="D532" i="1"/>
  <c r="E532" i="1"/>
  <c r="F532" i="1"/>
  <c r="G532" i="1"/>
  <c r="H532" i="1"/>
  <c r="I532" i="1"/>
  <c r="J532" i="1"/>
  <c r="K532" i="1"/>
  <c r="L532" i="1"/>
  <c r="M532" i="1"/>
  <c r="N532" i="1"/>
  <c r="C533" i="1"/>
  <c r="D533" i="1"/>
  <c r="E533" i="1"/>
  <c r="F533" i="1"/>
  <c r="G533" i="1"/>
  <c r="H533" i="1"/>
  <c r="I533" i="1"/>
  <c r="J533" i="1"/>
  <c r="K533" i="1"/>
  <c r="L533" i="1"/>
  <c r="M533" i="1"/>
  <c r="N533" i="1"/>
  <c r="C534" i="1"/>
  <c r="D534" i="1"/>
  <c r="E534" i="1"/>
  <c r="F534" i="1"/>
  <c r="G534" i="1"/>
  <c r="H534" i="1"/>
  <c r="I534" i="1"/>
  <c r="J534" i="1"/>
  <c r="K534" i="1"/>
  <c r="L534" i="1"/>
  <c r="M534" i="1"/>
  <c r="N534" i="1"/>
  <c r="C535" i="1"/>
  <c r="D535" i="1"/>
  <c r="E535" i="1"/>
  <c r="F535" i="1"/>
  <c r="G535" i="1"/>
  <c r="H535" i="1"/>
  <c r="I535" i="1"/>
  <c r="J535" i="1"/>
  <c r="K535" i="1"/>
  <c r="L535" i="1"/>
  <c r="M535" i="1"/>
  <c r="N535" i="1"/>
  <c r="C536" i="1"/>
  <c r="D536" i="1"/>
  <c r="E536" i="1"/>
  <c r="F536" i="1"/>
  <c r="G536" i="1"/>
  <c r="H536" i="1"/>
  <c r="I536" i="1"/>
  <c r="J536" i="1"/>
  <c r="K536" i="1"/>
  <c r="L536" i="1"/>
  <c r="M536" i="1"/>
  <c r="N536" i="1"/>
  <c r="C537" i="1"/>
  <c r="D537" i="1"/>
  <c r="E537" i="1"/>
  <c r="F537" i="1"/>
  <c r="G537" i="1"/>
  <c r="H537" i="1"/>
  <c r="I537" i="1"/>
  <c r="J537" i="1"/>
  <c r="K537" i="1"/>
  <c r="L537" i="1"/>
  <c r="M537" i="1"/>
  <c r="N537" i="1"/>
  <c r="C538" i="1"/>
  <c r="D538" i="1"/>
  <c r="E538" i="1"/>
  <c r="F538" i="1"/>
  <c r="G538" i="1"/>
  <c r="H538" i="1"/>
  <c r="I538" i="1"/>
  <c r="J538" i="1"/>
  <c r="K538" i="1"/>
  <c r="L538" i="1"/>
  <c r="M538" i="1"/>
  <c r="N538" i="1"/>
  <c r="C539" i="1"/>
  <c r="D539" i="1"/>
  <c r="E539" i="1"/>
  <c r="F539" i="1"/>
  <c r="G539" i="1"/>
  <c r="H539" i="1"/>
  <c r="I539" i="1"/>
  <c r="J539" i="1"/>
  <c r="K539" i="1"/>
  <c r="L539" i="1"/>
  <c r="M539" i="1"/>
  <c r="N539" i="1"/>
  <c r="C540" i="1"/>
  <c r="D540" i="1"/>
  <c r="E540" i="1"/>
  <c r="F540" i="1"/>
  <c r="G540" i="1"/>
  <c r="H540" i="1"/>
  <c r="I540" i="1"/>
  <c r="J540" i="1"/>
  <c r="K540" i="1"/>
  <c r="L540" i="1"/>
  <c r="M540" i="1"/>
  <c r="N540" i="1"/>
  <c r="C541" i="1"/>
  <c r="D541" i="1"/>
  <c r="E541" i="1"/>
  <c r="F541" i="1"/>
  <c r="G541" i="1"/>
  <c r="H541" i="1"/>
  <c r="I541" i="1"/>
  <c r="J541" i="1"/>
  <c r="K541" i="1"/>
  <c r="L541" i="1"/>
  <c r="M541" i="1"/>
  <c r="N541" i="1"/>
  <c r="C542" i="1"/>
  <c r="D542" i="1"/>
  <c r="E542" i="1"/>
  <c r="F542" i="1"/>
  <c r="G542" i="1"/>
  <c r="H542" i="1"/>
  <c r="I542" i="1"/>
  <c r="J542" i="1"/>
  <c r="K542" i="1"/>
  <c r="L542" i="1"/>
  <c r="M542" i="1"/>
  <c r="N542" i="1"/>
  <c r="C543" i="1"/>
  <c r="D543" i="1"/>
  <c r="E543" i="1"/>
  <c r="F543" i="1"/>
  <c r="G543" i="1"/>
  <c r="H543" i="1"/>
  <c r="I543" i="1"/>
  <c r="J543" i="1"/>
  <c r="K543" i="1"/>
  <c r="L543" i="1"/>
  <c r="M543" i="1"/>
  <c r="N543" i="1"/>
  <c r="C544" i="1"/>
  <c r="D544" i="1"/>
  <c r="E544" i="1"/>
  <c r="F544" i="1"/>
  <c r="G544" i="1"/>
  <c r="H544" i="1"/>
  <c r="I544" i="1"/>
  <c r="J544" i="1"/>
  <c r="K544" i="1"/>
  <c r="L544" i="1"/>
  <c r="M544" i="1"/>
  <c r="N544" i="1"/>
  <c r="C545" i="1"/>
  <c r="D545" i="1"/>
  <c r="E545" i="1"/>
  <c r="F545" i="1"/>
  <c r="G545" i="1"/>
  <c r="H545" i="1"/>
  <c r="I545" i="1"/>
  <c r="J545" i="1"/>
  <c r="K545" i="1"/>
  <c r="L545" i="1"/>
  <c r="M545" i="1"/>
  <c r="N545" i="1"/>
  <c r="C546" i="1"/>
  <c r="D546" i="1"/>
  <c r="E546" i="1"/>
  <c r="F546" i="1"/>
  <c r="G546" i="1"/>
  <c r="H546" i="1"/>
  <c r="I546" i="1"/>
  <c r="J546" i="1"/>
  <c r="K546" i="1"/>
  <c r="L546" i="1"/>
  <c r="M546" i="1"/>
  <c r="N546" i="1"/>
  <c r="C547" i="1"/>
  <c r="D547" i="1"/>
  <c r="E547" i="1"/>
  <c r="F547" i="1"/>
  <c r="G547" i="1"/>
  <c r="H547" i="1"/>
  <c r="I547" i="1"/>
  <c r="J547" i="1"/>
  <c r="K547" i="1"/>
  <c r="L547" i="1"/>
  <c r="M547" i="1"/>
  <c r="N547" i="1"/>
  <c r="C548" i="1"/>
  <c r="D548" i="1"/>
  <c r="E548" i="1"/>
  <c r="F548" i="1"/>
  <c r="G548" i="1"/>
  <c r="H548" i="1"/>
  <c r="I548" i="1"/>
  <c r="J548" i="1"/>
  <c r="K548" i="1"/>
  <c r="L548" i="1"/>
  <c r="M548" i="1"/>
  <c r="N548" i="1"/>
  <c r="C549" i="1"/>
  <c r="D549" i="1"/>
  <c r="E549" i="1"/>
  <c r="F549" i="1"/>
  <c r="G549" i="1"/>
  <c r="H549" i="1"/>
  <c r="I549" i="1"/>
  <c r="J549" i="1"/>
  <c r="K549" i="1"/>
  <c r="L549" i="1"/>
  <c r="M549" i="1"/>
  <c r="N549" i="1"/>
  <c r="C550" i="1"/>
  <c r="D550" i="1"/>
  <c r="E550" i="1"/>
  <c r="F550" i="1"/>
  <c r="G550" i="1"/>
  <c r="H550" i="1"/>
  <c r="I550" i="1"/>
  <c r="J550" i="1"/>
  <c r="K550" i="1"/>
  <c r="L550" i="1"/>
  <c r="M550" i="1"/>
  <c r="N550" i="1"/>
  <c r="C551" i="1"/>
  <c r="D551" i="1"/>
  <c r="E551" i="1"/>
  <c r="F551" i="1"/>
  <c r="G551" i="1"/>
  <c r="H551" i="1"/>
  <c r="I551" i="1"/>
  <c r="J551" i="1"/>
  <c r="K551" i="1"/>
  <c r="L551" i="1"/>
  <c r="M551" i="1"/>
  <c r="N551" i="1"/>
  <c r="C552" i="1"/>
  <c r="D552" i="1"/>
  <c r="E552" i="1"/>
  <c r="F552" i="1"/>
  <c r="G552" i="1"/>
  <c r="H552" i="1"/>
  <c r="I552" i="1"/>
  <c r="J552" i="1"/>
  <c r="K552" i="1"/>
  <c r="L552" i="1"/>
  <c r="M552" i="1"/>
  <c r="N552" i="1"/>
  <c r="C553" i="1"/>
  <c r="D553" i="1"/>
  <c r="E553" i="1"/>
  <c r="F553" i="1"/>
  <c r="G553" i="1"/>
  <c r="H553" i="1"/>
  <c r="I553" i="1"/>
  <c r="J553" i="1"/>
  <c r="K553" i="1"/>
  <c r="L553" i="1"/>
  <c r="M553" i="1"/>
  <c r="N553" i="1"/>
  <c r="C554" i="1"/>
  <c r="D554" i="1"/>
  <c r="E554" i="1"/>
  <c r="F554" i="1"/>
  <c r="G554" i="1"/>
  <c r="H554" i="1"/>
  <c r="I554" i="1"/>
  <c r="J554" i="1"/>
  <c r="K554" i="1"/>
  <c r="L554" i="1"/>
  <c r="M554" i="1"/>
  <c r="N554" i="1"/>
  <c r="C555" i="1"/>
  <c r="D555" i="1"/>
  <c r="E555" i="1"/>
  <c r="F555" i="1"/>
  <c r="G555" i="1"/>
  <c r="H555" i="1"/>
  <c r="I555" i="1"/>
  <c r="J555" i="1"/>
  <c r="K555" i="1"/>
  <c r="L555" i="1"/>
  <c r="M555" i="1"/>
  <c r="N555" i="1"/>
  <c r="C556" i="1"/>
  <c r="D556" i="1"/>
  <c r="E556" i="1"/>
  <c r="F556" i="1"/>
  <c r="G556" i="1"/>
  <c r="H556" i="1"/>
  <c r="I556" i="1"/>
  <c r="J556" i="1"/>
  <c r="K556" i="1"/>
  <c r="L556" i="1"/>
  <c r="M556" i="1"/>
  <c r="N556" i="1"/>
  <c r="C557" i="1"/>
  <c r="D557" i="1"/>
  <c r="E557" i="1"/>
  <c r="F557" i="1"/>
  <c r="G557" i="1"/>
  <c r="H557" i="1"/>
  <c r="I557" i="1"/>
  <c r="J557" i="1"/>
  <c r="K557" i="1"/>
  <c r="L557" i="1"/>
  <c r="M557" i="1"/>
  <c r="N557" i="1"/>
  <c r="C558" i="1"/>
  <c r="D558" i="1"/>
  <c r="E558" i="1"/>
  <c r="F558" i="1"/>
  <c r="G558" i="1"/>
  <c r="H558" i="1"/>
  <c r="I558" i="1"/>
  <c r="J558" i="1"/>
  <c r="K558" i="1"/>
  <c r="L558" i="1"/>
  <c r="M558" i="1"/>
  <c r="N558" i="1"/>
  <c r="C559" i="1"/>
  <c r="D559" i="1"/>
  <c r="E559" i="1"/>
  <c r="F559" i="1"/>
  <c r="G559" i="1"/>
  <c r="H559" i="1"/>
  <c r="I559" i="1"/>
  <c r="J559" i="1"/>
  <c r="K559" i="1"/>
  <c r="L559" i="1"/>
  <c r="M559" i="1"/>
  <c r="N559" i="1"/>
  <c r="C560" i="1"/>
  <c r="D560" i="1"/>
  <c r="E560" i="1"/>
  <c r="F560" i="1"/>
  <c r="G560" i="1"/>
  <c r="H560" i="1"/>
  <c r="I560" i="1"/>
  <c r="J560" i="1"/>
  <c r="K560" i="1"/>
  <c r="L560" i="1"/>
  <c r="M560" i="1"/>
  <c r="N560" i="1"/>
  <c r="C561" i="1"/>
  <c r="D561" i="1"/>
  <c r="E561" i="1"/>
  <c r="F561" i="1"/>
  <c r="G561" i="1"/>
  <c r="H561" i="1"/>
  <c r="I561" i="1"/>
  <c r="J561" i="1"/>
  <c r="K561" i="1"/>
  <c r="L561" i="1"/>
  <c r="M561" i="1"/>
  <c r="N561" i="1"/>
  <c r="C562" i="1"/>
  <c r="D562" i="1"/>
  <c r="E562" i="1"/>
  <c r="F562" i="1"/>
  <c r="G562" i="1"/>
  <c r="H562" i="1"/>
  <c r="I562" i="1"/>
  <c r="J562" i="1"/>
  <c r="K562" i="1"/>
  <c r="L562" i="1"/>
  <c r="M562" i="1"/>
  <c r="N562" i="1"/>
  <c r="C563" i="1"/>
  <c r="D563" i="1"/>
  <c r="E563" i="1"/>
  <c r="F563" i="1"/>
  <c r="G563" i="1"/>
  <c r="H563" i="1"/>
  <c r="I563" i="1"/>
  <c r="J563" i="1"/>
  <c r="K563" i="1"/>
  <c r="L563" i="1"/>
  <c r="M563" i="1"/>
  <c r="N563" i="1"/>
  <c r="C564" i="1"/>
  <c r="D564" i="1"/>
  <c r="E564" i="1"/>
  <c r="F564" i="1"/>
  <c r="G564" i="1"/>
  <c r="H564" i="1"/>
  <c r="I564" i="1"/>
  <c r="J564" i="1"/>
  <c r="K564" i="1"/>
  <c r="L564" i="1"/>
  <c r="M564" i="1"/>
  <c r="N564" i="1"/>
  <c r="C565" i="1"/>
  <c r="D565" i="1"/>
  <c r="E565" i="1"/>
  <c r="F565" i="1"/>
  <c r="G565" i="1"/>
  <c r="H565" i="1"/>
  <c r="I565" i="1"/>
  <c r="J565" i="1"/>
  <c r="K565" i="1"/>
  <c r="L565" i="1"/>
  <c r="M565" i="1"/>
  <c r="N565" i="1"/>
  <c r="C566" i="1"/>
  <c r="D566" i="1"/>
  <c r="E566" i="1"/>
  <c r="F566" i="1"/>
  <c r="G566" i="1"/>
  <c r="H566" i="1"/>
  <c r="I566" i="1"/>
  <c r="J566" i="1"/>
  <c r="K566" i="1"/>
  <c r="L566" i="1"/>
  <c r="M566" i="1"/>
  <c r="N566" i="1"/>
  <c r="C567" i="1"/>
  <c r="D567" i="1"/>
  <c r="E567" i="1"/>
  <c r="F567" i="1"/>
  <c r="G567" i="1"/>
  <c r="H567" i="1"/>
  <c r="I567" i="1"/>
  <c r="J567" i="1"/>
  <c r="K567" i="1"/>
  <c r="L567" i="1"/>
  <c r="M567" i="1"/>
  <c r="N567" i="1"/>
  <c r="C568" i="1"/>
  <c r="D568" i="1"/>
  <c r="E568" i="1"/>
  <c r="F568" i="1"/>
  <c r="G568" i="1"/>
  <c r="H568" i="1"/>
  <c r="I568" i="1"/>
  <c r="J568" i="1"/>
  <c r="K568" i="1"/>
  <c r="L568" i="1"/>
  <c r="M568" i="1"/>
  <c r="N568" i="1"/>
  <c r="C569" i="1"/>
  <c r="D569" i="1"/>
  <c r="E569" i="1"/>
  <c r="F569" i="1"/>
  <c r="G569" i="1"/>
  <c r="H569" i="1"/>
  <c r="I569" i="1"/>
  <c r="J569" i="1"/>
  <c r="K569" i="1"/>
  <c r="L569" i="1"/>
  <c r="M569" i="1"/>
  <c r="N569" i="1"/>
  <c r="C570" i="1"/>
  <c r="D570" i="1"/>
  <c r="E570" i="1"/>
  <c r="F570" i="1"/>
  <c r="G570" i="1"/>
  <c r="H570" i="1"/>
  <c r="I570" i="1"/>
  <c r="J570" i="1"/>
  <c r="K570" i="1"/>
  <c r="L570" i="1"/>
  <c r="M570" i="1"/>
  <c r="N570" i="1"/>
  <c r="C571" i="1"/>
  <c r="D571" i="1"/>
  <c r="E571" i="1"/>
  <c r="F571" i="1"/>
  <c r="G571" i="1"/>
  <c r="H571" i="1"/>
  <c r="I571" i="1"/>
  <c r="J571" i="1"/>
  <c r="K571" i="1"/>
  <c r="L571" i="1"/>
  <c r="M571" i="1"/>
  <c r="N571" i="1"/>
  <c r="C572" i="1"/>
  <c r="D572" i="1"/>
  <c r="E572" i="1"/>
  <c r="F572" i="1"/>
  <c r="G572" i="1"/>
  <c r="H572" i="1"/>
  <c r="I572" i="1"/>
  <c r="J572" i="1"/>
  <c r="K572" i="1"/>
  <c r="L572" i="1"/>
  <c r="M572" i="1"/>
  <c r="N572" i="1"/>
  <c r="C573" i="1"/>
  <c r="D573" i="1"/>
  <c r="E573" i="1"/>
  <c r="F573" i="1"/>
  <c r="G573" i="1"/>
  <c r="H573" i="1"/>
  <c r="I573" i="1"/>
  <c r="J573" i="1"/>
  <c r="K573" i="1"/>
  <c r="L573" i="1"/>
  <c r="M573" i="1"/>
  <c r="N573" i="1"/>
  <c r="C574" i="1"/>
  <c r="D574" i="1"/>
  <c r="E574" i="1"/>
  <c r="F574" i="1"/>
  <c r="G574" i="1"/>
  <c r="H574" i="1"/>
  <c r="I574" i="1"/>
  <c r="J574" i="1"/>
  <c r="K574" i="1"/>
  <c r="L574" i="1"/>
  <c r="M574" i="1"/>
  <c r="N574" i="1"/>
  <c r="C575" i="1"/>
  <c r="D575" i="1"/>
  <c r="E575" i="1"/>
  <c r="F575" i="1"/>
  <c r="G575" i="1"/>
  <c r="H575" i="1"/>
  <c r="I575" i="1"/>
  <c r="J575" i="1"/>
  <c r="K575" i="1"/>
  <c r="L575" i="1"/>
  <c r="M575" i="1"/>
  <c r="N575" i="1"/>
  <c r="C576" i="1"/>
  <c r="D576" i="1"/>
  <c r="E576" i="1"/>
  <c r="F576" i="1"/>
  <c r="G576" i="1"/>
  <c r="H576" i="1"/>
  <c r="I576" i="1"/>
  <c r="J576" i="1"/>
  <c r="K576" i="1"/>
  <c r="L576" i="1"/>
  <c r="M576" i="1"/>
  <c r="N576" i="1"/>
  <c r="C577" i="1"/>
  <c r="D577" i="1"/>
  <c r="E577" i="1"/>
  <c r="F577" i="1"/>
  <c r="G577" i="1"/>
  <c r="H577" i="1"/>
  <c r="I577" i="1"/>
  <c r="J577" i="1"/>
  <c r="K577" i="1"/>
  <c r="L577" i="1"/>
  <c r="M577" i="1"/>
  <c r="N577" i="1"/>
  <c r="C578" i="1"/>
  <c r="D578" i="1"/>
  <c r="E578" i="1"/>
  <c r="F578" i="1"/>
  <c r="G578" i="1"/>
  <c r="H578" i="1"/>
  <c r="I578" i="1"/>
  <c r="J578" i="1"/>
  <c r="K578" i="1"/>
  <c r="L578" i="1"/>
  <c r="M578" i="1"/>
  <c r="N578" i="1"/>
  <c r="C579" i="1"/>
  <c r="D579" i="1"/>
  <c r="E579" i="1"/>
  <c r="F579" i="1"/>
  <c r="G579" i="1"/>
  <c r="H579" i="1"/>
  <c r="I579" i="1"/>
  <c r="J579" i="1"/>
  <c r="K579" i="1"/>
  <c r="L579" i="1"/>
  <c r="M579" i="1"/>
  <c r="N579" i="1"/>
  <c r="C580" i="1"/>
  <c r="D580" i="1"/>
  <c r="E580" i="1"/>
  <c r="F580" i="1"/>
  <c r="G580" i="1"/>
  <c r="H580" i="1"/>
  <c r="I580" i="1"/>
  <c r="J580" i="1"/>
  <c r="K580" i="1"/>
  <c r="L580" i="1"/>
  <c r="M580" i="1"/>
  <c r="N580" i="1"/>
  <c r="C581" i="1"/>
  <c r="D581" i="1"/>
  <c r="E581" i="1"/>
  <c r="F581" i="1"/>
  <c r="G581" i="1"/>
  <c r="H581" i="1"/>
  <c r="I581" i="1"/>
  <c r="J581" i="1"/>
  <c r="K581" i="1"/>
  <c r="L581" i="1"/>
  <c r="M581" i="1"/>
  <c r="N581" i="1"/>
  <c r="C582" i="1"/>
  <c r="D582" i="1"/>
  <c r="E582" i="1"/>
  <c r="F582" i="1"/>
  <c r="G582" i="1"/>
  <c r="H582" i="1"/>
  <c r="I582" i="1"/>
  <c r="J582" i="1"/>
  <c r="K582" i="1"/>
  <c r="L582" i="1"/>
  <c r="M582" i="1"/>
  <c r="N582" i="1"/>
  <c r="C583" i="1"/>
  <c r="D583" i="1"/>
  <c r="E583" i="1"/>
  <c r="F583" i="1"/>
  <c r="G583" i="1"/>
  <c r="H583" i="1"/>
  <c r="I583" i="1"/>
  <c r="J583" i="1"/>
  <c r="K583" i="1"/>
  <c r="L583" i="1"/>
  <c r="M583" i="1"/>
  <c r="N583" i="1"/>
  <c r="C584" i="1"/>
  <c r="D584" i="1"/>
  <c r="E584" i="1"/>
  <c r="F584" i="1"/>
  <c r="G584" i="1"/>
  <c r="H584" i="1"/>
  <c r="I584" i="1"/>
  <c r="J584" i="1"/>
  <c r="K584" i="1"/>
  <c r="L584" i="1"/>
  <c r="M584" i="1"/>
  <c r="N584" i="1"/>
  <c r="C585" i="1"/>
  <c r="D585" i="1"/>
  <c r="E585" i="1"/>
  <c r="F585" i="1"/>
  <c r="G585" i="1"/>
  <c r="H585" i="1"/>
  <c r="I585" i="1"/>
  <c r="J585" i="1"/>
  <c r="K585" i="1"/>
  <c r="L585" i="1"/>
  <c r="M585" i="1"/>
  <c r="N585" i="1"/>
  <c r="C586" i="1"/>
  <c r="D586" i="1"/>
  <c r="E586" i="1"/>
  <c r="F586" i="1"/>
  <c r="G586" i="1"/>
  <c r="H586" i="1"/>
  <c r="I586" i="1"/>
  <c r="J586" i="1"/>
  <c r="K586" i="1"/>
  <c r="L586" i="1"/>
  <c r="M586" i="1"/>
  <c r="N586" i="1"/>
  <c r="C587" i="1"/>
  <c r="D587" i="1"/>
  <c r="E587" i="1"/>
  <c r="F587" i="1"/>
  <c r="G587" i="1"/>
  <c r="H587" i="1"/>
  <c r="I587" i="1"/>
  <c r="J587" i="1"/>
  <c r="K587" i="1"/>
  <c r="L587" i="1"/>
  <c r="M587" i="1"/>
  <c r="N587" i="1"/>
  <c r="C588" i="1"/>
  <c r="D588" i="1"/>
  <c r="E588" i="1"/>
  <c r="F588" i="1"/>
  <c r="G588" i="1"/>
  <c r="H588" i="1"/>
  <c r="I588" i="1"/>
  <c r="J588" i="1"/>
  <c r="K588" i="1"/>
  <c r="L588" i="1"/>
  <c r="M588" i="1"/>
  <c r="N588" i="1"/>
  <c r="C589" i="1"/>
  <c r="D589" i="1"/>
  <c r="E589" i="1"/>
  <c r="F589" i="1"/>
  <c r="G589" i="1"/>
  <c r="H589" i="1"/>
  <c r="I589" i="1"/>
  <c r="J589" i="1"/>
  <c r="K589" i="1"/>
  <c r="L589" i="1"/>
  <c r="M589" i="1"/>
  <c r="N589" i="1"/>
  <c r="C590" i="1"/>
  <c r="D590" i="1"/>
  <c r="E590" i="1"/>
  <c r="F590" i="1"/>
  <c r="G590" i="1"/>
  <c r="H590" i="1"/>
  <c r="I590" i="1"/>
  <c r="J590" i="1"/>
  <c r="K590" i="1"/>
  <c r="L590" i="1"/>
  <c r="M590" i="1"/>
  <c r="N590" i="1"/>
  <c r="C591" i="1"/>
  <c r="D591" i="1"/>
  <c r="E591" i="1"/>
  <c r="F591" i="1"/>
  <c r="G591" i="1"/>
  <c r="H591" i="1"/>
  <c r="I591" i="1"/>
  <c r="J591" i="1"/>
  <c r="K591" i="1"/>
  <c r="L591" i="1"/>
  <c r="M591" i="1"/>
  <c r="N591" i="1"/>
  <c r="C592" i="1"/>
  <c r="D592" i="1"/>
  <c r="E592" i="1"/>
  <c r="F592" i="1"/>
  <c r="G592" i="1"/>
  <c r="H592" i="1"/>
  <c r="I592" i="1"/>
  <c r="J592" i="1"/>
  <c r="K592" i="1"/>
  <c r="L592" i="1"/>
  <c r="M592" i="1"/>
  <c r="N592" i="1"/>
  <c r="C593" i="1"/>
  <c r="D593" i="1"/>
  <c r="E593" i="1"/>
  <c r="F593" i="1"/>
  <c r="G593" i="1"/>
  <c r="H593" i="1"/>
  <c r="I593" i="1"/>
  <c r="J593" i="1"/>
  <c r="K593" i="1"/>
  <c r="L593" i="1"/>
  <c r="M593" i="1"/>
  <c r="N593" i="1"/>
  <c r="C594" i="1"/>
  <c r="D594" i="1"/>
  <c r="E594" i="1"/>
  <c r="F594" i="1"/>
  <c r="G594" i="1"/>
  <c r="H594" i="1"/>
  <c r="I594" i="1"/>
  <c r="J594" i="1"/>
  <c r="K594" i="1"/>
  <c r="L594" i="1"/>
  <c r="M594" i="1"/>
  <c r="N594" i="1"/>
  <c r="C595" i="1"/>
  <c r="D595" i="1"/>
  <c r="E595" i="1"/>
  <c r="F595" i="1"/>
  <c r="G595" i="1"/>
  <c r="H595" i="1"/>
  <c r="I595" i="1"/>
  <c r="J595" i="1"/>
  <c r="K595" i="1"/>
  <c r="L595" i="1"/>
  <c r="M595" i="1"/>
  <c r="N595" i="1"/>
  <c r="C596" i="1"/>
  <c r="D596" i="1"/>
  <c r="E596" i="1"/>
  <c r="F596" i="1"/>
  <c r="G596" i="1"/>
  <c r="H596" i="1"/>
  <c r="I596" i="1"/>
  <c r="J596" i="1"/>
  <c r="K596" i="1"/>
  <c r="L596" i="1"/>
  <c r="M596" i="1"/>
  <c r="N596" i="1"/>
  <c r="C597" i="1"/>
  <c r="D597" i="1"/>
  <c r="E597" i="1"/>
  <c r="F597" i="1"/>
  <c r="G597" i="1"/>
  <c r="H597" i="1"/>
  <c r="I597" i="1"/>
  <c r="J597" i="1"/>
  <c r="K597" i="1"/>
  <c r="L597" i="1"/>
  <c r="M597" i="1"/>
  <c r="N597" i="1"/>
  <c r="C598" i="1"/>
  <c r="D598" i="1"/>
  <c r="E598" i="1"/>
  <c r="F598" i="1"/>
  <c r="G598" i="1"/>
  <c r="H598" i="1"/>
  <c r="I598" i="1"/>
  <c r="J598" i="1"/>
  <c r="K598" i="1"/>
  <c r="L598" i="1"/>
  <c r="M598" i="1"/>
  <c r="N598" i="1"/>
  <c r="C599" i="1"/>
  <c r="D599" i="1"/>
  <c r="E599" i="1"/>
  <c r="F599" i="1"/>
  <c r="G599" i="1"/>
  <c r="H599" i="1"/>
  <c r="I599" i="1"/>
  <c r="J599" i="1"/>
  <c r="K599" i="1"/>
  <c r="L599" i="1"/>
  <c r="M599" i="1"/>
  <c r="N599" i="1"/>
  <c r="C600" i="1"/>
  <c r="D600" i="1"/>
  <c r="E600" i="1"/>
  <c r="F600" i="1"/>
  <c r="G600" i="1"/>
  <c r="H600" i="1"/>
  <c r="I600" i="1"/>
  <c r="J600" i="1"/>
  <c r="K600" i="1"/>
  <c r="L600" i="1"/>
  <c r="M600" i="1"/>
  <c r="N600" i="1"/>
  <c r="C601" i="1"/>
  <c r="D601" i="1"/>
  <c r="E601" i="1"/>
  <c r="F601" i="1"/>
  <c r="G601" i="1"/>
  <c r="H601" i="1"/>
  <c r="I601" i="1"/>
  <c r="J601" i="1"/>
  <c r="K601" i="1"/>
  <c r="L601" i="1"/>
  <c r="M601" i="1"/>
  <c r="N601" i="1"/>
  <c r="C602" i="1"/>
  <c r="D602" i="1"/>
  <c r="E602" i="1"/>
  <c r="F602" i="1"/>
  <c r="G602" i="1"/>
  <c r="H602" i="1"/>
  <c r="I602" i="1"/>
  <c r="J602" i="1"/>
  <c r="K602" i="1"/>
  <c r="L602" i="1"/>
  <c r="M602" i="1"/>
  <c r="N602" i="1"/>
  <c r="C603" i="1"/>
  <c r="D603" i="1"/>
  <c r="E603" i="1"/>
  <c r="F603" i="1"/>
  <c r="G603" i="1"/>
  <c r="H603" i="1"/>
  <c r="I603" i="1"/>
  <c r="J603" i="1"/>
  <c r="K603" i="1"/>
  <c r="L603" i="1"/>
  <c r="M603" i="1"/>
  <c r="N603" i="1"/>
  <c r="C604" i="1"/>
  <c r="D604" i="1"/>
  <c r="E604" i="1"/>
  <c r="F604" i="1"/>
  <c r="G604" i="1"/>
  <c r="H604" i="1"/>
  <c r="I604" i="1"/>
  <c r="J604" i="1"/>
  <c r="K604" i="1"/>
  <c r="L604" i="1"/>
  <c r="M604" i="1"/>
  <c r="N604" i="1"/>
  <c r="C605" i="1"/>
  <c r="D605" i="1"/>
  <c r="E605" i="1"/>
  <c r="F605" i="1"/>
  <c r="G605" i="1"/>
  <c r="H605" i="1"/>
  <c r="I605" i="1"/>
  <c r="J605" i="1"/>
  <c r="K605" i="1"/>
  <c r="L605" i="1"/>
  <c r="M605" i="1"/>
  <c r="N605" i="1"/>
  <c r="C606" i="1"/>
  <c r="D606" i="1"/>
  <c r="E606" i="1"/>
  <c r="F606" i="1"/>
  <c r="G606" i="1"/>
  <c r="H606" i="1"/>
  <c r="I606" i="1"/>
  <c r="J606" i="1"/>
  <c r="K606" i="1"/>
  <c r="L606" i="1"/>
  <c r="M606" i="1"/>
  <c r="N606" i="1"/>
  <c r="C607" i="1"/>
  <c r="D607" i="1"/>
  <c r="E607" i="1"/>
  <c r="F607" i="1"/>
  <c r="G607" i="1"/>
  <c r="H607" i="1"/>
  <c r="I607" i="1"/>
  <c r="J607" i="1"/>
  <c r="K607" i="1"/>
  <c r="L607" i="1"/>
  <c r="M607" i="1"/>
  <c r="N607" i="1"/>
  <c r="C608" i="1"/>
  <c r="D608" i="1"/>
  <c r="E608" i="1"/>
  <c r="F608" i="1"/>
  <c r="G608" i="1"/>
  <c r="H608" i="1"/>
  <c r="I608" i="1"/>
  <c r="J608" i="1"/>
  <c r="K608" i="1"/>
  <c r="L608" i="1"/>
  <c r="M608" i="1"/>
  <c r="N608" i="1"/>
  <c r="C609" i="1"/>
  <c r="D609" i="1"/>
  <c r="E609" i="1"/>
  <c r="F609" i="1"/>
  <c r="G609" i="1"/>
  <c r="H609" i="1"/>
  <c r="I609" i="1"/>
  <c r="J609" i="1"/>
  <c r="K609" i="1"/>
  <c r="L609" i="1"/>
  <c r="M609" i="1"/>
  <c r="N609" i="1"/>
  <c r="C610" i="1"/>
  <c r="D610" i="1"/>
  <c r="E610" i="1"/>
  <c r="F610" i="1"/>
  <c r="G610" i="1"/>
  <c r="H610" i="1"/>
  <c r="I610" i="1"/>
  <c r="J610" i="1"/>
  <c r="K610" i="1"/>
  <c r="L610" i="1"/>
  <c r="M610" i="1"/>
  <c r="N610" i="1"/>
  <c r="C611" i="1"/>
  <c r="D611" i="1"/>
  <c r="E611" i="1"/>
  <c r="F611" i="1"/>
  <c r="G611" i="1"/>
  <c r="H611" i="1"/>
  <c r="I611" i="1"/>
  <c r="J611" i="1"/>
  <c r="K611" i="1"/>
  <c r="L611" i="1"/>
  <c r="M611" i="1"/>
  <c r="N611" i="1"/>
  <c r="C612" i="1"/>
  <c r="D612" i="1"/>
  <c r="E612" i="1"/>
  <c r="F612" i="1"/>
  <c r="G612" i="1"/>
  <c r="H612" i="1"/>
  <c r="I612" i="1"/>
  <c r="J612" i="1"/>
  <c r="K612" i="1"/>
  <c r="L612" i="1"/>
  <c r="M612" i="1"/>
  <c r="N612" i="1"/>
  <c r="C613" i="1"/>
  <c r="D613" i="1"/>
  <c r="E613" i="1"/>
  <c r="F613" i="1"/>
  <c r="G613" i="1"/>
  <c r="H613" i="1"/>
  <c r="I613" i="1"/>
  <c r="J613" i="1"/>
  <c r="K613" i="1"/>
  <c r="L613" i="1"/>
  <c r="M613" i="1"/>
  <c r="N613" i="1"/>
  <c r="C614" i="1"/>
  <c r="D614" i="1"/>
  <c r="E614" i="1"/>
  <c r="F614" i="1"/>
  <c r="G614" i="1"/>
  <c r="H614" i="1"/>
  <c r="I614" i="1"/>
  <c r="J614" i="1"/>
  <c r="K614" i="1"/>
  <c r="L614" i="1"/>
  <c r="M614" i="1"/>
  <c r="N614" i="1"/>
  <c r="C615" i="1"/>
  <c r="D615" i="1"/>
  <c r="E615" i="1"/>
  <c r="F615" i="1"/>
  <c r="G615" i="1"/>
  <c r="H615" i="1"/>
  <c r="I615" i="1"/>
  <c r="J615" i="1"/>
  <c r="K615" i="1"/>
  <c r="L615" i="1"/>
  <c r="M615" i="1"/>
  <c r="N615" i="1"/>
  <c r="C616" i="1"/>
  <c r="D616" i="1"/>
  <c r="E616" i="1"/>
  <c r="F616" i="1"/>
  <c r="G616" i="1"/>
  <c r="H616" i="1"/>
  <c r="I616" i="1"/>
  <c r="J616" i="1"/>
  <c r="K616" i="1"/>
  <c r="L616" i="1"/>
  <c r="M616" i="1"/>
  <c r="N616" i="1"/>
  <c r="C617" i="1"/>
  <c r="D617" i="1"/>
  <c r="E617" i="1"/>
  <c r="F617" i="1"/>
  <c r="G617" i="1"/>
  <c r="H617" i="1"/>
  <c r="I617" i="1"/>
  <c r="J617" i="1"/>
  <c r="K617" i="1"/>
  <c r="L617" i="1"/>
  <c r="M617" i="1"/>
  <c r="N617" i="1"/>
  <c r="C618" i="1"/>
  <c r="D618" i="1"/>
  <c r="E618" i="1"/>
  <c r="F618" i="1"/>
  <c r="G618" i="1"/>
  <c r="H618" i="1"/>
  <c r="I618" i="1"/>
  <c r="J618" i="1"/>
  <c r="K618" i="1"/>
  <c r="L618" i="1"/>
  <c r="M618" i="1"/>
  <c r="N618" i="1"/>
  <c r="C619" i="1"/>
  <c r="D619" i="1"/>
  <c r="E619" i="1"/>
  <c r="F619" i="1"/>
  <c r="G619" i="1"/>
  <c r="H619" i="1"/>
  <c r="I619" i="1"/>
  <c r="J619" i="1"/>
  <c r="K619" i="1"/>
  <c r="L619" i="1"/>
  <c r="M619" i="1"/>
  <c r="N619" i="1"/>
  <c r="C620" i="1"/>
  <c r="D620" i="1"/>
  <c r="E620" i="1"/>
  <c r="F620" i="1"/>
  <c r="G620" i="1"/>
  <c r="H620" i="1"/>
  <c r="I620" i="1"/>
  <c r="J620" i="1"/>
  <c r="K620" i="1"/>
  <c r="L620" i="1"/>
  <c r="M620" i="1"/>
  <c r="N620" i="1"/>
  <c r="D361" i="1"/>
  <c r="E361" i="1"/>
  <c r="F361" i="1"/>
  <c r="G361" i="1"/>
  <c r="H361" i="1"/>
  <c r="I361" i="1"/>
  <c r="J361" i="1"/>
  <c r="K361" i="1"/>
  <c r="L361" i="1"/>
  <c r="M361" i="1"/>
  <c r="N361" i="1"/>
  <c r="C361" i="1"/>
  <c r="I36" i="1" l="1"/>
  <c r="I37" i="1"/>
  <c r="I38" i="1"/>
  <c r="I39" i="1"/>
  <c r="F81" i="1"/>
  <c r="F85" i="1"/>
  <c r="F80" i="1"/>
  <c r="E85" i="1"/>
  <c r="E81" i="1"/>
  <c r="E82" i="1"/>
  <c r="E83" i="1"/>
  <c r="E84" i="1"/>
  <c r="F82" i="1"/>
  <c r="F83" i="1"/>
  <c r="F84" i="1"/>
  <c r="E80" i="1"/>
  <c r="D630" i="1"/>
  <c r="C633" i="1"/>
  <c r="N633" i="1"/>
  <c r="M633" i="1"/>
  <c r="L633" i="1"/>
  <c r="K633" i="1"/>
  <c r="J633" i="1"/>
  <c r="I633" i="1"/>
  <c r="H633" i="1"/>
  <c r="G633" i="1"/>
  <c r="F633" i="1"/>
  <c r="E633" i="1"/>
  <c r="I628" i="1"/>
  <c r="C629" i="1"/>
  <c r="C628" i="1"/>
  <c r="K627" i="1"/>
  <c r="E629" i="1"/>
  <c r="D629" i="1"/>
  <c r="C627" i="1"/>
  <c r="C630" i="1"/>
  <c r="E630" i="1"/>
  <c r="E628" i="1"/>
  <c r="F630" i="1"/>
  <c r="H627" i="1"/>
  <c r="J629" i="1"/>
  <c r="G630" i="1"/>
  <c r="F629" i="1"/>
  <c r="J627" i="1"/>
  <c r="K626" i="1"/>
  <c r="I627" i="1"/>
  <c r="L627" i="1"/>
  <c r="N626" i="1"/>
  <c r="M628" i="1"/>
  <c r="L629" i="1"/>
  <c r="H630" i="1"/>
  <c r="D628" i="1"/>
  <c r="N627" i="1"/>
  <c r="M627" i="1"/>
  <c r="N628" i="1"/>
  <c r="L628" i="1"/>
  <c r="J626" i="1"/>
  <c r="I626" i="1"/>
  <c r="G626" i="1"/>
  <c r="J630" i="1"/>
  <c r="I629" i="1"/>
  <c r="G627" i="1"/>
  <c r="F626" i="1"/>
  <c r="I630" i="1"/>
  <c r="H629" i="1"/>
  <c r="G628" i="1"/>
  <c r="F627" i="1"/>
  <c r="L626" i="1"/>
  <c r="N629" i="1"/>
  <c r="M629" i="1"/>
  <c r="M630" i="1"/>
  <c r="L630" i="1"/>
  <c r="H626" i="1"/>
  <c r="H628" i="1"/>
  <c r="E626" i="1"/>
  <c r="G629" i="1"/>
  <c r="F628" i="1"/>
  <c r="E627" i="1"/>
  <c r="N630" i="1"/>
  <c r="K628" i="1"/>
  <c r="K629" i="1"/>
  <c r="K630" i="1"/>
  <c r="M626" i="1"/>
  <c r="J628" i="1"/>
  <c r="D626" i="1"/>
  <c r="D627" i="1"/>
  <c r="C626" i="1"/>
  <c r="H48" i="1" l="1"/>
  <c r="H49" i="1"/>
  <c r="H50" i="1"/>
  <c r="H51" i="1"/>
  <c r="H52" i="1"/>
  <c r="H53" i="1"/>
  <c r="H54" i="1"/>
  <c r="H55" i="1"/>
  <c r="H56" i="1"/>
  <c r="H47" i="1"/>
  <c r="G47" i="1"/>
  <c r="D48" i="1"/>
  <c r="E48" i="1"/>
  <c r="F48" i="1"/>
  <c r="G48" i="1"/>
  <c r="D49" i="1"/>
  <c r="E49" i="1"/>
  <c r="F49" i="1"/>
  <c r="G49" i="1"/>
  <c r="D50" i="1"/>
  <c r="E50" i="1"/>
  <c r="F50" i="1"/>
  <c r="G50" i="1"/>
  <c r="D51" i="1"/>
  <c r="E51" i="1"/>
  <c r="F51" i="1"/>
  <c r="G51" i="1"/>
  <c r="D52" i="1"/>
  <c r="E52" i="1"/>
  <c r="F52" i="1"/>
  <c r="G52" i="1"/>
  <c r="D53" i="1"/>
  <c r="E53" i="1"/>
  <c r="F53" i="1"/>
  <c r="G53" i="1"/>
  <c r="D54" i="1"/>
  <c r="E54" i="1"/>
  <c r="F54" i="1"/>
  <c r="G54" i="1"/>
  <c r="D55" i="1"/>
  <c r="E55" i="1"/>
  <c r="F55" i="1"/>
  <c r="G55" i="1"/>
  <c r="D56" i="1"/>
  <c r="E56" i="1"/>
  <c r="F56" i="1"/>
  <c r="G56" i="1"/>
  <c r="E47" i="1"/>
  <c r="F47" i="1"/>
  <c r="D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47" i="1"/>
  <c r="J47" i="1"/>
  <c r="J26" i="1"/>
  <c r="J27" i="1"/>
  <c r="J28" i="1"/>
  <c r="J29" i="1"/>
  <c r="J30" i="1"/>
  <c r="J31" i="1"/>
  <c r="J32" i="1"/>
  <c r="J33" i="1"/>
  <c r="J34" i="1"/>
  <c r="J25" i="1"/>
  <c r="K11" i="1"/>
  <c r="D70" i="1" s="1"/>
  <c r="H70" i="1" s="1"/>
  <c r="L11" i="1"/>
  <c r="M11" i="1"/>
  <c r="N11" i="1"/>
  <c r="O11" i="1"/>
  <c r="K12" i="1"/>
  <c r="D71" i="1" s="1"/>
  <c r="H71" i="1" s="1"/>
  <c r="L12" i="1"/>
  <c r="M12" i="1"/>
  <c r="N12" i="1"/>
  <c r="O12" i="1"/>
  <c r="K13" i="1"/>
  <c r="D72" i="1" s="1"/>
  <c r="H72" i="1" s="1"/>
  <c r="L13" i="1"/>
  <c r="M13" i="1"/>
  <c r="N13" i="1"/>
  <c r="O13" i="1"/>
  <c r="K14" i="1"/>
  <c r="D73" i="1" s="1"/>
  <c r="H73" i="1" s="1"/>
  <c r="L14" i="1"/>
  <c r="M14" i="1"/>
  <c r="N14" i="1"/>
  <c r="O14" i="1"/>
  <c r="K15" i="1"/>
  <c r="D74" i="1" s="1"/>
  <c r="H74" i="1" s="1"/>
  <c r="L15" i="1"/>
  <c r="M15" i="1"/>
  <c r="N15" i="1"/>
  <c r="O15" i="1"/>
  <c r="K16" i="1"/>
  <c r="D75" i="1" s="1"/>
  <c r="H75" i="1" s="1"/>
  <c r="L16" i="1"/>
  <c r="M16" i="1"/>
  <c r="N16" i="1"/>
  <c r="O16" i="1"/>
  <c r="K17" i="1"/>
  <c r="D76" i="1" s="1"/>
  <c r="H76" i="1" s="1"/>
  <c r="L17" i="1"/>
  <c r="M17" i="1"/>
  <c r="N17" i="1"/>
  <c r="O17" i="1"/>
  <c r="K18" i="1"/>
  <c r="D77" i="1" s="1"/>
  <c r="H77" i="1" s="1"/>
  <c r="L18" i="1"/>
  <c r="M18" i="1"/>
  <c r="N18" i="1"/>
  <c r="O18" i="1"/>
  <c r="K19" i="1"/>
  <c r="D78" i="1" s="1"/>
  <c r="H78" i="1" s="1"/>
  <c r="L19" i="1"/>
  <c r="M19" i="1"/>
  <c r="N19" i="1"/>
  <c r="O19" i="1"/>
  <c r="O10" i="1"/>
  <c r="N10" i="1"/>
  <c r="M10" i="1"/>
  <c r="L10" i="1"/>
  <c r="K10" i="1"/>
  <c r="D69" i="1" s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I10" i="1"/>
  <c r="H10" i="1"/>
  <c r="F11" i="1"/>
  <c r="F12" i="1"/>
  <c r="F13" i="1"/>
  <c r="F14" i="1"/>
  <c r="F15" i="1"/>
  <c r="F16" i="1"/>
  <c r="F17" i="1"/>
  <c r="F18" i="1"/>
  <c r="F19" i="1"/>
  <c r="F10" i="1"/>
  <c r="E11" i="1"/>
  <c r="E12" i="1"/>
  <c r="E13" i="1"/>
  <c r="E14" i="1"/>
  <c r="E15" i="1"/>
  <c r="E16" i="1"/>
  <c r="E17" i="1"/>
  <c r="E18" i="1"/>
  <c r="E19" i="1"/>
  <c r="E10" i="1"/>
  <c r="C11" i="1"/>
  <c r="C26" i="1" s="1"/>
  <c r="C12" i="1"/>
  <c r="C49" i="1" s="1"/>
  <c r="C13" i="1"/>
  <c r="C28" i="1" s="1"/>
  <c r="C14" i="1"/>
  <c r="C29" i="1" s="1"/>
  <c r="C15" i="1"/>
  <c r="C52" i="1" s="1"/>
  <c r="C16" i="1"/>
  <c r="C31" i="1" s="1"/>
  <c r="C17" i="1"/>
  <c r="C32" i="1" s="1"/>
  <c r="C18" i="1"/>
  <c r="C55" i="1" s="1"/>
  <c r="C19" i="1"/>
  <c r="C34" i="1" s="1"/>
  <c r="C10" i="1"/>
  <c r="C25" i="1" s="1"/>
  <c r="H69" i="1" l="1"/>
  <c r="D81" i="1"/>
  <c r="D80" i="1"/>
  <c r="D83" i="1"/>
  <c r="D85" i="1"/>
  <c r="D82" i="1"/>
  <c r="D84" i="1"/>
  <c r="G32" i="1"/>
  <c r="F59" i="1"/>
  <c r="H63" i="1"/>
  <c r="C47" i="1"/>
  <c r="F30" i="1"/>
  <c r="C53" i="1"/>
  <c r="G11" i="1"/>
  <c r="J11" i="1" s="1"/>
  <c r="K26" i="1" s="1"/>
  <c r="F34" i="1"/>
  <c r="G30" i="1"/>
  <c r="D59" i="1"/>
  <c r="G19" i="1"/>
  <c r="J19" i="1" s="1"/>
  <c r="D34" i="1" s="1"/>
  <c r="G25" i="1"/>
  <c r="J59" i="1"/>
  <c r="D61" i="1"/>
  <c r="G14" i="1"/>
  <c r="J14" i="1" s="1"/>
  <c r="D29" i="1" s="1"/>
  <c r="G59" i="1"/>
  <c r="H61" i="1"/>
  <c r="J37" i="1"/>
  <c r="F58" i="1"/>
  <c r="E62" i="1"/>
  <c r="H59" i="1"/>
  <c r="C54" i="1"/>
  <c r="E60" i="1"/>
  <c r="G16" i="1"/>
  <c r="J16" i="1" s="1"/>
  <c r="H31" i="1" s="1"/>
  <c r="C48" i="1"/>
  <c r="J63" i="1"/>
  <c r="F60" i="1"/>
  <c r="F29" i="1"/>
  <c r="I63" i="1"/>
  <c r="I58" i="1"/>
  <c r="G60" i="1"/>
  <c r="G15" i="1"/>
  <c r="J15" i="1" s="1"/>
  <c r="F28" i="1"/>
  <c r="G34" i="1"/>
  <c r="F27" i="1"/>
  <c r="G10" i="1"/>
  <c r="J10" i="1" s="1"/>
  <c r="E25" i="1" s="1"/>
  <c r="F32" i="1"/>
  <c r="I60" i="1"/>
  <c r="E58" i="1"/>
  <c r="H58" i="1"/>
  <c r="G26" i="1"/>
  <c r="C56" i="1"/>
  <c r="D60" i="1"/>
  <c r="C33" i="1"/>
  <c r="D62" i="1"/>
  <c r="J58" i="1"/>
  <c r="H60" i="1"/>
  <c r="F62" i="1"/>
  <c r="C30" i="1"/>
  <c r="G62" i="1"/>
  <c r="E59" i="1"/>
  <c r="J60" i="1"/>
  <c r="H62" i="1"/>
  <c r="I62" i="1"/>
  <c r="J62" i="1"/>
  <c r="F26" i="1"/>
  <c r="C27" i="1"/>
  <c r="C51" i="1"/>
  <c r="E61" i="1"/>
  <c r="G13" i="1"/>
  <c r="J13" i="1" s="1"/>
  <c r="J40" i="1"/>
  <c r="J38" i="1"/>
  <c r="J36" i="1"/>
  <c r="C50" i="1"/>
  <c r="F61" i="1"/>
  <c r="D63" i="1"/>
  <c r="G12" i="1"/>
  <c r="J12" i="1" s="1"/>
  <c r="D58" i="1"/>
  <c r="I59" i="1"/>
  <c r="G61" i="1"/>
  <c r="E63" i="1"/>
  <c r="F63" i="1"/>
  <c r="G18" i="1"/>
  <c r="J18" i="1" s="1"/>
  <c r="F25" i="1"/>
  <c r="G33" i="1"/>
  <c r="G31" i="1"/>
  <c r="G29" i="1"/>
  <c r="G27" i="1"/>
  <c r="I61" i="1"/>
  <c r="G63" i="1"/>
  <c r="G28" i="1"/>
  <c r="G17" i="1"/>
  <c r="J17" i="1" s="1"/>
  <c r="F33" i="1"/>
  <c r="F31" i="1"/>
  <c r="G58" i="1"/>
  <c r="J61" i="1"/>
  <c r="J41" i="1"/>
  <c r="J39" i="1"/>
  <c r="H83" i="1" l="1"/>
  <c r="H85" i="1"/>
  <c r="H82" i="1"/>
  <c r="H80" i="1"/>
  <c r="H84" i="1"/>
  <c r="H81" i="1"/>
  <c r="K34" i="1"/>
  <c r="D26" i="1"/>
  <c r="H26" i="1"/>
  <c r="H34" i="1"/>
  <c r="E26" i="1"/>
  <c r="E34" i="1"/>
  <c r="K31" i="1"/>
  <c r="E31" i="1"/>
  <c r="D31" i="1"/>
  <c r="K29" i="1"/>
  <c r="H25" i="1"/>
  <c r="H29" i="1"/>
  <c r="K25" i="1"/>
  <c r="E29" i="1"/>
  <c r="G37" i="1"/>
  <c r="D25" i="1"/>
  <c r="G39" i="1"/>
  <c r="G38" i="1"/>
  <c r="G36" i="1"/>
  <c r="H27" i="1"/>
  <c r="K27" i="1"/>
  <c r="D27" i="1"/>
  <c r="E27" i="1"/>
  <c r="G40" i="1"/>
  <c r="F36" i="1"/>
  <c r="F38" i="1"/>
  <c r="F40" i="1"/>
  <c r="F39" i="1"/>
  <c r="F41" i="1"/>
  <c r="F37" i="1"/>
  <c r="E30" i="1"/>
  <c r="D30" i="1"/>
  <c r="H30" i="1"/>
  <c r="K30" i="1"/>
  <c r="H33" i="1"/>
  <c r="K33" i="1"/>
  <c r="D33" i="1"/>
  <c r="E33" i="1"/>
  <c r="D28" i="1"/>
  <c r="E28" i="1"/>
  <c r="K28" i="1"/>
  <c r="H28" i="1"/>
  <c r="D32" i="1"/>
  <c r="E32" i="1"/>
  <c r="H32" i="1"/>
  <c r="K32" i="1"/>
  <c r="G41" i="1"/>
  <c r="H38" i="1" l="1"/>
  <c r="D37" i="1"/>
  <c r="D36" i="1"/>
  <c r="K36" i="1"/>
  <c r="E39" i="1"/>
  <c r="E38" i="1"/>
  <c r="E41" i="1"/>
  <c r="D41" i="1"/>
  <c r="H39" i="1"/>
  <c r="K41" i="1"/>
  <c r="K39" i="1"/>
  <c r="E40" i="1"/>
  <c r="E36" i="1"/>
  <c r="K40" i="1"/>
  <c r="D38" i="1"/>
  <c r="K38" i="1"/>
  <c r="D40" i="1"/>
  <c r="H40" i="1"/>
  <c r="H36" i="1"/>
  <c r="H41" i="1"/>
  <c r="D39" i="1"/>
  <c r="H37" i="1"/>
  <c r="K37" i="1"/>
  <c r="E37" i="1"/>
</calcChain>
</file>

<file path=xl/sharedStrings.xml><?xml version="1.0" encoding="utf-8"?>
<sst xmlns="http://schemas.openxmlformats.org/spreadsheetml/2006/main" count="207" uniqueCount="102">
  <si>
    <t>Indian IT-Software</t>
  </si>
  <si>
    <t>S.No.</t>
  </si>
  <si>
    <t>Name</t>
  </si>
  <si>
    <t>CMP Rs.</t>
  </si>
  <si>
    <t>No. Eq. Shares Cr.</t>
  </si>
  <si>
    <t>Debt Rs.Cr.</t>
  </si>
  <si>
    <t>Cash End Rs.Cr.</t>
  </si>
  <si>
    <t>EV Rs.Cr.</t>
  </si>
  <si>
    <t>Sales Rs.Cr.</t>
  </si>
  <si>
    <t>EBIT 12M Rs.Cr.</t>
  </si>
  <si>
    <t>NP 12M Rs.Cr.</t>
  </si>
  <si>
    <t>P/E</t>
  </si>
  <si>
    <t>OPM %</t>
  </si>
  <si>
    <t>B.V. Rs.</t>
  </si>
  <si>
    <t>Free Cash Flow Rs.Cr.</t>
  </si>
  <si>
    <t>Div Yld %</t>
  </si>
  <si>
    <t>TCS</t>
  </si>
  <si>
    <t>Infosys</t>
  </si>
  <si>
    <t>HCL Technologies</t>
  </si>
  <si>
    <t>Wipro</t>
  </si>
  <si>
    <t>Tech Mahindra</t>
  </si>
  <si>
    <t>LTIMindtree</t>
  </si>
  <si>
    <t>Persistent Systems</t>
  </si>
  <si>
    <t>Oracle Fin.Serv.</t>
  </si>
  <si>
    <t>Mphasis</t>
  </si>
  <si>
    <t>Coforge</t>
  </si>
  <si>
    <t>(Figures in Rs. Cr., except price per share, shares outstanding, and other ratios)</t>
  </si>
  <si>
    <t>Equity Value</t>
  </si>
  <si>
    <t>Dep 12M Rs.Cr.</t>
  </si>
  <si>
    <t>EBITDA</t>
  </si>
  <si>
    <t>Revenue</t>
  </si>
  <si>
    <t>Net Income</t>
  </si>
  <si>
    <t>EBIT</t>
  </si>
  <si>
    <t>Book Value</t>
  </si>
  <si>
    <r>
      <t xml:space="preserve">IT - Software Companies  </t>
    </r>
    <r>
      <rPr>
        <b/>
        <i/>
        <sz val="10"/>
        <color theme="1"/>
        <rFont val="Aptos"/>
        <family val="2"/>
      </rPr>
      <t>(Ranked in order of Market Cap in Rs. Cr)</t>
    </r>
  </si>
  <si>
    <t xml:space="preserve">Cash </t>
  </si>
  <si>
    <t>Debt </t>
  </si>
  <si>
    <t>CMP </t>
  </si>
  <si>
    <t>Enterprise Value</t>
  </si>
  <si>
    <t>1. Multiples Ratio</t>
  </si>
  <si>
    <t>EV/Revenue</t>
  </si>
  <si>
    <t>EV/EBITDA</t>
  </si>
  <si>
    <t>P/BV</t>
  </si>
  <si>
    <t>EV/EBIT</t>
  </si>
  <si>
    <t>Dividend Yield %</t>
  </si>
  <si>
    <t>FCF Yield %</t>
  </si>
  <si>
    <t>Maximum</t>
  </si>
  <si>
    <t>75th Percentile</t>
  </si>
  <si>
    <t>Average</t>
  </si>
  <si>
    <t>Median</t>
  </si>
  <si>
    <t>25th Percentile</t>
  </si>
  <si>
    <t>Minimum</t>
  </si>
  <si>
    <t>Sales Var 3Yrs %</t>
  </si>
  <si>
    <t>Profit Var 3Yrs %</t>
  </si>
  <si>
    <t>3Yrs return %</t>
  </si>
  <si>
    <t>ROE 3Yr %</t>
  </si>
  <si>
    <t>Debt / Eq</t>
  </si>
  <si>
    <t>ROCE 3Yr %</t>
  </si>
  <si>
    <t>Int Coverage</t>
  </si>
  <si>
    <t>2. Quality &amp; Momentum Signals</t>
  </si>
  <si>
    <t>Debt / Equity</t>
  </si>
  <si>
    <t>Sales CAGR 3Yrs %</t>
  </si>
  <si>
    <t>Profit CAGR 3Yrs %</t>
  </si>
  <si>
    <t>Return 3Yrs%</t>
  </si>
  <si>
    <t>Nifty IT</t>
  </si>
  <si>
    <t>Nifty 50</t>
  </si>
  <si>
    <t>Date</t>
  </si>
  <si>
    <t>(14-Mar-2021 to 08-Mar-2026)</t>
  </si>
  <si>
    <t>Max</t>
  </si>
  <si>
    <t>Min</t>
  </si>
  <si>
    <t>Variance</t>
  </si>
  <si>
    <t>CAGR</t>
  </si>
  <si>
    <t>Avg EBIT 5Yrs Rs.Cr.</t>
  </si>
  <si>
    <t>Sales Var 5Yrs %</t>
  </si>
  <si>
    <t>5Yr OPM %</t>
  </si>
  <si>
    <t>3. Sector Specific KPI's</t>
  </si>
  <si>
    <t>Avg Revenue 5Yrs %</t>
  </si>
  <si>
    <t>Avg OPM 5Yrs %</t>
  </si>
  <si>
    <t>Revenue / Headcount</t>
  </si>
  <si>
    <t>Avg Head Count FY 25</t>
  </si>
  <si>
    <t xml:space="preserve">Revenue </t>
  </si>
  <si>
    <t>Attrition %</t>
  </si>
  <si>
    <t>Utilisation %</t>
  </si>
  <si>
    <t>~</t>
  </si>
  <si>
    <r>
      <t xml:space="preserve">4. Historical Price of Indices and Stocks, for 5 year period </t>
    </r>
    <r>
      <rPr>
        <b/>
        <i/>
        <sz val="10"/>
        <color theme="1"/>
        <rFont val="Aptos"/>
        <family val="2"/>
      </rPr>
      <t>(investing.com)</t>
    </r>
  </si>
  <si>
    <t>5. Returns Table of Indices &amp; Stocks</t>
  </si>
  <si>
    <t>6. Average Return &amp; Variance of Indicies &amp; Stocks</t>
  </si>
  <si>
    <t>Total Years (Historical)</t>
  </si>
  <si>
    <t>ROE %</t>
  </si>
  <si>
    <t>ROE %</t>
  </si>
  <si>
    <t>IT - Software | Sector Comps -  Relative Value Analysis</t>
  </si>
  <si>
    <t>1. Sector Summary</t>
  </si>
  <si>
    <t>INFY</t>
  </si>
  <si>
    <t>HCLTECH</t>
  </si>
  <si>
    <t>WIPRO</t>
  </si>
  <si>
    <t>TECHM</t>
  </si>
  <si>
    <t>LTM</t>
  </si>
  <si>
    <t>PERSISTENT</t>
  </si>
  <si>
    <t>OFSLL</t>
  </si>
  <si>
    <t>MPHASIS</t>
  </si>
  <si>
    <t>COFORGE</t>
  </si>
  <si>
    <t xml:space="preserve"># Ticker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</si>
</sst>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;\(#,##0.0\);\ \-\ "/>
    <numFmt numFmtId="165" formatCode="_ [$₹-4009]\ * #,##0.00_ ;_ [$₹-4009]\ * \-#,##0.00_ ;_ [$₹-4009]\ * &quot;-&quot;??_ ;_ @_ "/>
    <numFmt numFmtId="166" formatCode="0.0%"/>
    <numFmt numFmtId="167" formatCode="_ [$₹-4009]\ * #,##0_ ;_ [$₹-4009]\ * \-#,##0_ ;_ [$₹-4009]\ * &quot;-&quot;??_ ;_ @_ "/>
    <numFmt numFmtId="168" formatCode="0.0"/>
  </numFmts>
  <fonts count="12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0"/>
      <name val="Aptos"/>
      <family val="2"/>
    </font>
    <font>
      <sz val="10"/>
      <color theme="1"/>
      <name val="Aptos"/>
      <family val="2"/>
    </font>
    <font>
      <i/>
      <sz val="10"/>
      <color theme="0"/>
      <name val="Aptos"/>
      <family val="2"/>
    </font>
    <font>
      <b/>
      <sz val="10"/>
      <color theme="1"/>
      <name val="Aptos"/>
      <family val="2"/>
    </font>
    <font>
      <b/>
      <i/>
      <sz val="10"/>
      <color theme="1"/>
      <name val="Aptos"/>
      <family val="2"/>
    </font>
    <font>
      <i/>
      <sz val="10"/>
      <color theme="1"/>
      <name val="Aptos"/>
      <family val="2"/>
    </font>
    <font>
      <b/>
      <sz val="10"/>
      <color theme="0"/>
      <name val="Aptos"/>
      <family val="2"/>
    </font>
    <font>
      <sz val="10"/>
      <color rgb="FF232526"/>
      <name val="Aptos"/>
      <family val="2"/>
    </font>
    <font>
      <b/>
      <sz val="12"/>
      <color theme="0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00144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5F5F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3" fillId="2" borderId="0" xfId="0" applyFont="1" applyFill="1"/>
    <xf numFmtId="0" fontId="4" fillId="0" borderId="0" xfId="0" applyFont="1"/>
    <xf numFmtId="0" fontId="2" fillId="0" borderId="0" xfId="0" applyFont="1"/>
    <xf numFmtId="0" fontId="5" fillId="2" borderId="0" xfId="0" applyFont="1" applyFill="1"/>
    <xf numFmtId="0" fontId="6" fillId="0" borderId="0" xfId="0" applyFont="1"/>
    <xf numFmtId="0" fontId="4" fillId="0" borderId="8" xfId="0" applyFont="1" applyBorder="1" applyAlignment="1">
      <alignment horizontal="left"/>
    </xf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1" xfId="0" applyFont="1" applyBorder="1"/>
    <xf numFmtId="165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4" fontId="4" fillId="0" borderId="0" xfId="0" applyNumberFormat="1" applyFont="1" applyAlignment="1">
      <alignment horizontal="center"/>
    </xf>
    <xf numFmtId="166" fontId="4" fillId="0" borderId="0" xfId="1" applyNumberFormat="1" applyFont="1" applyBorder="1" applyAlignment="1">
      <alignment horizontal="center"/>
    </xf>
    <xf numFmtId="166" fontId="4" fillId="0" borderId="2" xfId="1" applyNumberFormat="1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166" fontId="4" fillId="0" borderId="1" xfId="1" applyNumberFormat="1" applyFont="1" applyBorder="1" applyAlignment="1">
      <alignment horizontal="center"/>
    </xf>
    <xf numFmtId="166" fontId="4" fillId="0" borderId="3" xfId="1" applyNumberFormat="1" applyFont="1" applyBorder="1" applyAlignment="1">
      <alignment horizontal="center"/>
    </xf>
    <xf numFmtId="0" fontId="4" fillId="4" borderId="15" xfId="0" applyFont="1" applyFill="1" applyBorder="1"/>
    <xf numFmtId="4" fontId="4" fillId="4" borderId="16" xfId="0" applyNumberFormat="1" applyFont="1" applyFill="1" applyBorder="1" applyAlignment="1">
      <alignment horizontal="center"/>
    </xf>
    <xf numFmtId="166" fontId="4" fillId="4" borderId="16" xfId="1" applyNumberFormat="1" applyFont="1" applyFill="1" applyBorder="1" applyAlignment="1">
      <alignment horizontal="center"/>
    </xf>
    <xf numFmtId="166" fontId="4" fillId="4" borderId="17" xfId="1" applyNumberFormat="1" applyFont="1" applyFill="1" applyBorder="1" applyAlignment="1">
      <alignment horizontal="center"/>
    </xf>
    <xf numFmtId="0" fontId="4" fillId="3" borderId="12" xfId="0" applyFont="1" applyFill="1" applyBorder="1"/>
    <xf numFmtId="4" fontId="4" fillId="3" borderId="13" xfId="0" applyNumberFormat="1" applyFont="1" applyFill="1" applyBorder="1" applyAlignment="1">
      <alignment horizontal="center"/>
    </xf>
    <xf numFmtId="166" fontId="4" fillId="3" borderId="13" xfId="1" applyNumberFormat="1" applyFont="1" applyFill="1" applyBorder="1" applyAlignment="1">
      <alignment horizontal="center"/>
    </xf>
    <xf numFmtId="166" fontId="4" fillId="3" borderId="14" xfId="1" applyNumberFormat="1" applyFont="1" applyFill="1" applyBorder="1" applyAlignment="1">
      <alignment horizontal="center"/>
    </xf>
    <xf numFmtId="0" fontId="4" fillId="3" borderId="15" xfId="0" applyFont="1" applyFill="1" applyBorder="1"/>
    <xf numFmtId="4" fontId="4" fillId="3" borderId="16" xfId="0" applyNumberFormat="1" applyFont="1" applyFill="1" applyBorder="1" applyAlignment="1">
      <alignment horizontal="center"/>
    </xf>
    <xf numFmtId="166" fontId="4" fillId="3" borderId="16" xfId="1" applyNumberFormat="1" applyFont="1" applyFill="1" applyBorder="1" applyAlignment="1">
      <alignment horizontal="center"/>
    </xf>
    <xf numFmtId="166" fontId="4" fillId="3" borderId="17" xfId="1" applyNumberFormat="1" applyFont="1" applyFill="1" applyBorder="1" applyAlignment="1">
      <alignment horizontal="center"/>
    </xf>
    <xf numFmtId="0" fontId="4" fillId="3" borderId="18" xfId="0" applyFont="1" applyFill="1" applyBorder="1"/>
    <xf numFmtId="4" fontId="4" fillId="3" borderId="19" xfId="0" applyNumberFormat="1" applyFont="1" applyFill="1" applyBorder="1" applyAlignment="1">
      <alignment horizontal="center"/>
    </xf>
    <xf numFmtId="166" fontId="4" fillId="3" borderId="19" xfId="1" applyNumberFormat="1" applyFont="1" applyFill="1" applyBorder="1" applyAlignment="1">
      <alignment horizontal="center"/>
    </xf>
    <xf numFmtId="166" fontId="4" fillId="3" borderId="20" xfId="1" applyNumberFormat="1" applyFont="1" applyFill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2" fontId="4" fillId="3" borderId="13" xfId="1" applyNumberFormat="1" applyFont="1" applyFill="1" applyBorder="1" applyAlignment="1">
      <alignment horizontal="center"/>
    </xf>
    <xf numFmtId="2" fontId="4" fillId="3" borderId="14" xfId="1" applyNumberFormat="1" applyFont="1" applyFill="1" applyBorder="1" applyAlignment="1">
      <alignment horizontal="center"/>
    </xf>
    <xf numFmtId="2" fontId="4" fillId="3" borderId="16" xfId="1" applyNumberFormat="1" applyFont="1" applyFill="1" applyBorder="1" applyAlignment="1">
      <alignment horizontal="center"/>
    </xf>
    <xf numFmtId="2" fontId="4" fillId="3" borderId="17" xfId="1" applyNumberFormat="1" applyFont="1" applyFill="1" applyBorder="1" applyAlignment="1">
      <alignment horizontal="center"/>
    </xf>
    <xf numFmtId="2" fontId="4" fillId="4" borderId="16" xfId="1" applyNumberFormat="1" applyFont="1" applyFill="1" applyBorder="1" applyAlignment="1">
      <alignment horizontal="center"/>
    </xf>
    <xf numFmtId="2" fontId="4" fillId="4" borderId="17" xfId="1" applyNumberFormat="1" applyFont="1" applyFill="1" applyBorder="1" applyAlignment="1">
      <alignment horizontal="center"/>
    </xf>
    <xf numFmtId="2" fontId="4" fillId="3" borderId="19" xfId="1" applyNumberFormat="1" applyFont="1" applyFill="1" applyBorder="1" applyAlignment="1">
      <alignment horizontal="center"/>
    </xf>
    <xf numFmtId="2" fontId="4" fillId="3" borderId="20" xfId="1" applyNumberFormat="1" applyFont="1" applyFill="1" applyBorder="1" applyAlignment="1">
      <alignment horizontal="center"/>
    </xf>
    <xf numFmtId="4" fontId="4" fillId="0" borderId="2" xfId="0" applyNumberFormat="1" applyFont="1" applyBorder="1" applyAlignment="1">
      <alignment horizontal="right"/>
    </xf>
    <xf numFmtId="15" fontId="4" fillId="0" borderId="10" xfId="0" applyNumberFormat="1" applyFont="1" applyBorder="1"/>
    <xf numFmtId="15" fontId="4" fillId="0" borderId="11" xfId="0" applyNumberFormat="1" applyFont="1" applyBorder="1"/>
    <xf numFmtId="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8" fillId="0" borderId="0" xfId="0" applyFont="1"/>
    <xf numFmtId="0" fontId="4" fillId="3" borderId="9" xfId="0" applyFont="1" applyFill="1" applyBorder="1"/>
    <xf numFmtId="10" fontId="4" fillId="3" borderId="5" xfId="0" applyNumberFormat="1" applyFont="1" applyFill="1" applyBorder="1"/>
    <xf numFmtId="10" fontId="4" fillId="3" borderId="6" xfId="0" applyNumberFormat="1" applyFont="1" applyFill="1" applyBorder="1"/>
    <xf numFmtId="0" fontId="4" fillId="3" borderId="10" xfId="0" applyFont="1" applyFill="1" applyBorder="1"/>
    <xf numFmtId="10" fontId="4" fillId="3" borderId="0" xfId="1" applyNumberFormat="1" applyFont="1" applyFill="1" applyBorder="1"/>
    <xf numFmtId="10" fontId="4" fillId="3" borderId="2" xfId="1" applyNumberFormat="1" applyFont="1" applyFill="1" applyBorder="1"/>
    <xf numFmtId="0" fontId="4" fillId="3" borderId="11" xfId="0" applyFont="1" applyFill="1" applyBorder="1"/>
    <xf numFmtId="10" fontId="4" fillId="3" borderId="1" xfId="1" applyNumberFormat="1" applyFont="1" applyFill="1" applyBorder="1"/>
    <xf numFmtId="10" fontId="4" fillId="3" borderId="3" xfId="1" applyNumberFormat="1" applyFont="1" applyFill="1" applyBorder="1"/>
    <xf numFmtId="10" fontId="4" fillId="3" borderId="9" xfId="0" applyNumberFormat="1" applyFont="1" applyFill="1" applyBorder="1"/>
    <xf numFmtId="10" fontId="4" fillId="3" borderId="10" xfId="1" applyNumberFormat="1" applyFont="1" applyFill="1" applyBorder="1"/>
    <xf numFmtId="10" fontId="4" fillId="3" borderId="11" xfId="1" applyNumberFormat="1" applyFont="1" applyFill="1" applyBorder="1"/>
    <xf numFmtId="166" fontId="6" fillId="0" borderId="0" xfId="1" applyNumberFormat="1" applyFont="1"/>
    <xf numFmtId="167" fontId="4" fillId="3" borderId="13" xfId="1" applyNumberFormat="1" applyFont="1" applyFill="1" applyBorder="1" applyAlignment="1">
      <alignment horizontal="center"/>
    </xf>
    <xf numFmtId="167" fontId="4" fillId="3" borderId="16" xfId="1" applyNumberFormat="1" applyFont="1" applyFill="1" applyBorder="1" applyAlignment="1">
      <alignment horizontal="center"/>
    </xf>
    <xf numFmtId="167" fontId="4" fillId="4" borderId="16" xfId="1" applyNumberFormat="1" applyFont="1" applyFill="1" applyBorder="1" applyAlignment="1">
      <alignment horizontal="center"/>
    </xf>
    <xf numFmtId="167" fontId="4" fillId="3" borderId="19" xfId="1" applyNumberFormat="1" applyFont="1" applyFill="1" applyBorder="1" applyAlignment="1">
      <alignment horizontal="center"/>
    </xf>
    <xf numFmtId="3" fontId="4" fillId="3" borderId="13" xfId="1" applyNumberFormat="1" applyFont="1" applyFill="1" applyBorder="1" applyAlignment="1">
      <alignment horizontal="center"/>
    </xf>
    <xf numFmtId="3" fontId="4" fillId="3" borderId="16" xfId="1" applyNumberFormat="1" applyFont="1" applyFill="1" applyBorder="1" applyAlignment="1">
      <alignment horizontal="center"/>
    </xf>
    <xf numFmtId="3" fontId="4" fillId="4" borderId="16" xfId="1" applyNumberFormat="1" applyFont="1" applyFill="1" applyBorder="1" applyAlignment="1">
      <alignment horizontal="center"/>
    </xf>
    <xf numFmtId="3" fontId="4" fillId="3" borderId="19" xfId="1" applyNumberFormat="1" applyFont="1" applyFill="1" applyBorder="1" applyAlignment="1">
      <alignment horizontal="center"/>
    </xf>
    <xf numFmtId="167" fontId="4" fillId="0" borderId="0" xfId="0" applyNumberFormat="1" applyFont="1"/>
    <xf numFmtId="3" fontId="4" fillId="0" borderId="0" xfId="0" applyNumberFormat="1" applyFont="1"/>
    <xf numFmtId="2" fontId="4" fillId="0" borderId="0" xfId="0" applyNumberFormat="1" applyFont="1"/>
    <xf numFmtId="10" fontId="4" fillId="0" borderId="0" xfId="0" applyNumberFormat="1" applyFont="1"/>
    <xf numFmtId="10" fontId="4" fillId="0" borderId="2" xfId="1" applyNumberFormat="1" applyFont="1" applyBorder="1"/>
    <xf numFmtId="10" fontId="4" fillId="0" borderId="2" xfId="1" applyNumberFormat="1" applyFont="1" applyBorder="1" applyAlignment="1">
      <alignment horizontal="right"/>
    </xf>
    <xf numFmtId="167" fontId="4" fillId="0" borderId="1" xfId="0" applyNumberFormat="1" applyFont="1" applyBorder="1"/>
    <xf numFmtId="3" fontId="4" fillId="0" borderId="1" xfId="0" applyNumberFormat="1" applyFont="1" applyBorder="1"/>
    <xf numFmtId="2" fontId="4" fillId="0" borderId="1" xfId="0" applyNumberFormat="1" applyFont="1" applyBorder="1"/>
    <xf numFmtId="10" fontId="4" fillId="0" borderId="1" xfId="0" applyNumberFormat="1" applyFont="1" applyBorder="1"/>
    <xf numFmtId="10" fontId="4" fillId="0" borderId="3" xfId="1" applyNumberFormat="1" applyFont="1" applyBorder="1"/>
    <xf numFmtId="2" fontId="6" fillId="0" borderId="0" xfId="0" applyNumberFormat="1" applyFont="1" applyAlignment="1">
      <alignment horizontal="left"/>
    </xf>
    <xf numFmtId="0" fontId="4" fillId="0" borderId="2" xfId="0" applyFont="1" applyBorder="1"/>
    <xf numFmtId="10" fontId="4" fillId="0" borderId="0" xfId="1" applyNumberFormat="1" applyFont="1" applyBorder="1"/>
    <xf numFmtId="10" fontId="4" fillId="0" borderId="1" xfId="1" applyNumberFormat="1" applyFont="1" applyBorder="1"/>
    <xf numFmtId="0" fontId="9" fillId="2" borderId="0" xfId="0" applyFont="1" applyFill="1"/>
    <xf numFmtId="0" fontId="10" fillId="5" borderId="0" xfId="0" applyFont="1" applyFill="1" applyAlignment="1">
      <alignment horizontal="right" vertical="center" wrapText="1"/>
    </xf>
    <xf numFmtId="168" fontId="4" fillId="0" borderId="0" xfId="0" applyNumberFormat="1" applyFont="1"/>
    <xf numFmtId="0" fontId="0" fillId="0" borderId="0" xfId="0" applyAlignment="1">
      <alignment wrapText="1"/>
    </xf>
    <xf numFmtId="49" fontId="4" fillId="0" borderId="0" xfId="0" applyNumberFormat="1" applyFont="1"/>
    <xf numFmtId="49" fontId="4" fillId="0" borderId="1" xfId="0" applyNumberFormat="1" applyFont="1" applyBorder="1"/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6" fillId="4" borderId="5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1" fillId="2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144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22DBC-EA36-4E9D-B817-0A96B70F47FF}">
  <dimension ref="B2:AD633"/>
  <sheetViews>
    <sheetView showGridLines="0" zoomScaleNormal="100" workbookViewId="0">
      <selection activeCell="F10" sqref="F10"/>
    </sheetView>
  </sheetViews>
  <sheetFormatPr defaultRowHeight="13.8" outlineLevelRow="2" x14ac:dyDescent="0.3"/>
  <cols>
    <col min="1" max="1" width="1.88671875" style="2" customWidth="1"/>
    <col min="2" max="2" width="9.5546875" style="2" customWidth="1"/>
    <col min="3" max="3" width="18.21875" style="2" customWidth="1"/>
    <col min="4" max="4" width="11.88671875" style="2" customWidth="1"/>
    <col min="5" max="5" width="12.33203125" style="2" customWidth="1"/>
    <col min="6" max="6" width="11.5546875" style="2" bestFit="1" customWidth="1"/>
    <col min="7" max="7" width="12.5546875" style="2" customWidth="1"/>
    <col min="8" max="8" width="10.88671875" style="2" customWidth="1"/>
    <col min="9" max="9" width="12.77734375" style="2" customWidth="1"/>
    <col min="10" max="10" width="12.109375" style="2" customWidth="1"/>
    <col min="11" max="15" width="10.88671875" style="2" customWidth="1"/>
    <col min="16" max="16" width="10.33203125" style="2" bestFit="1" customWidth="1"/>
    <col min="17" max="18" width="10" style="2" customWidth="1"/>
    <col min="19" max="20" width="11.6640625" style="2" customWidth="1"/>
    <col min="21" max="21" width="12.77734375" style="2" customWidth="1"/>
    <col min="22" max="28" width="11.6640625" style="2" customWidth="1"/>
    <col min="29" max="16384" width="8.88671875" style="2"/>
  </cols>
  <sheetData>
    <row r="2" spans="2:30" ht="15.6" x14ac:dyDescent="0.3">
      <c r="B2" s="115" t="s">
        <v>90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2:30" x14ac:dyDescent="0.3">
      <c r="B3" s="4" t="s">
        <v>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2:30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6" spans="2:30" x14ac:dyDescent="0.3">
      <c r="B6" s="5" t="s">
        <v>34</v>
      </c>
    </row>
    <row r="7" spans="2:30" ht="14.4" customHeight="1" x14ac:dyDescent="0.3"/>
    <row r="8" spans="2:30" ht="14.4" customHeight="1" x14ac:dyDescent="0.3">
      <c r="B8" s="111" t="s">
        <v>1</v>
      </c>
      <c r="C8" s="113" t="s">
        <v>2</v>
      </c>
      <c r="D8" s="113" t="s">
        <v>101</v>
      </c>
      <c r="E8" s="113" t="s">
        <v>37</v>
      </c>
      <c r="F8" s="113" t="s">
        <v>4</v>
      </c>
      <c r="G8" s="113" t="s">
        <v>27</v>
      </c>
      <c r="H8" s="113" t="s">
        <v>36</v>
      </c>
      <c r="I8" s="113" t="s">
        <v>35</v>
      </c>
      <c r="J8" s="113" t="s">
        <v>38</v>
      </c>
      <c r="K8" s="113" t="s">
        <v>30</v>
      </c>
      <c r="L8" s="113" t="s">
        <v>29</v>
      </c>
      <c r="M8" s="113" t="s">
        <v>32</v>
      </c>
      <c r="N8" s="113" t="s">
        <v>31</v>
      </c>
      <c r="O8" s="109" t="s">
        <v>33</v>
      </c>
    </row>
    <row r="9" spans="2:30" x14ac:dyDescent="0.3">
      <c r="B9" s="112"/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4"/>
      <c r="N9" s="114"/>
      <c r="O9" s="110"/>
      <c r="Q9" s="5"/>
      <c r="AD9" s="93"/>
    </row>
    <row r="10" spans="2:30" x14ac:dyDescent="0.3">
      <c r="B10" s="6">
        <v>1</v>
      </c>
      <c r="C10" s="2" t="str">
        <f>'Data Sheet'!B4</f>
        <v>TCS</v>
      </c>
      <c r="D10" s="96" t="s">
        <v>16</v>
      </c>
      <c r="E10" s="7">
        <f>'Data Sheet'!C4</f>
        <v>2488.4</v>
      </c>
      <c r="F10" s="8">
        <f>'Data Sheet'!D4</f>
        <v>361.81</v>
      </c>
      <c r="G10" s="8">
        <f>E10*F10</f>
        <v>900328.00400000007</v>
      </c>
      <c r="H10" s="8">
        <f>'Data Sheet'!E4</f>
        <v>10932</v>
      </c>
      <c r="I10" s="8">
        <f>'Data Sheet'!F4</f>
        <v>15463</v>
      </c>
      <c r="J10" s="8">
        <f>G10+H10-I10</f>
        <v>895797.00400000007</v>
      </c>
      <c r="K10" s="8">
        <f>'Data Sheet'!H4</f>
        <v>260802</v>
      </c>
      <c r="L10" s="8">
        <f>'Data Sheet'!I4+'Data Sheet'!J4</f>
        <v>74775</v>
      </c>
      <c r="M10" s="8">
        <f>'Data Sheet'!I4</f>
        <v>69242</v>
      </c>
      <c r="N10" s="8">
        <f>'Data Sheet'!K4</f>
        <v>47963</v>
      </c>
      <c r="O10" s="9">
        <f>'Data Sheet'!N4</f>
        <v>294.12</v>
      </c>
      <c r="AD10" s="93"/>
    </row>
    <row r="11" spans="2:30" x14ac:dyDescent="0.3">
      <c r="B11" s="6">
        <v>2</v>
      </c>
      <c r="C11" s="2" t="str">
        <f>'Data Sheet'!B5</f>
        <v>Infosys</v>
      </c>
      <c r="D11" s="96" t="s">
        <v>92</v>
      </c>
      <c r="E11" s="7">
        <f>'Data Sheet'!C5</f>
        <v>1284.7</v>
      </c>
      <c r="F11" s="8">
        <f>'Data Sheet'!D5</f>
        <v>405.54</v>
      </c>
      <c r="G11" s="8">
        <f t="shared" ref="G11:G19" si="0">E11*F11</f>
        <v>520997.23800000007</v>
      </c>
      <c r="H11" s="8">
        <f>'Data Sheet'!E5</f>
        <v>8796</v>
      </c>
      <c r="I11" s="8">
        <f>'Data Sheet'!F5</f>
        <v>24455</v>
      </c>
      <c r="J11" s="8">
        <f t="shared" ref="J11:J19" si="1">G11+H11-I11</f>
        <v>505338.23800000013</v>
      </c>
      <c r="K11" s="8">
        <f>'Data Sheet'!H5</f>
        <v>173173</v>
      </c>
      <c r="L11" s="8">
        <f>'Data Sheet'!I5+'Data Sheet'!J5</f>
        <v>45339</v>
      </c>
      <c r="M11" s="8">
        <f>'Data Sheet'!I5</f>
        <v>40563</v>
      </c>
      <c r="N11" s="8">
        <f>'Data Sheet'!K5</f>
        <v>28003</v>
      </c>
      <c r="O11" s="9">
        <f>'Data Sheet'!N5</f>
        <v>204.77</v>
      </c>
      <c r="AD11" s="93"/>
    </row>
    <row r="12" spans="2:30" x14ac:dyDescent="0.3">
      <c r="B12" s="6">
        <v>3</v>
      </c>
      <c r="C12" s="2" t="str">
        <f>'Data Sheet'!B6</f>
        <v>HCL Technologies</v>
      </c>
      <c r="D12" s="96" t="s">
        <v>93</v>
      </c>
      <c r="E12" s="7">
        <f>'Data Sheet'!C6</f>
        <v>1359.45</v>
      </c>
      <c r="F12" s="8">
        <f>'Data Sheet'!D6</f>
        <v>271.37</v>
      </c>
      <c r="G12" s="8">
        <f t="shared" si="0"/>
        <v>368913.94650000002</v>
      </c>
      <c r="H12" s="8">
        <f>'Data Sheet'!E6</f>
        <v>6780</v>
      </c>
      <c r="I12" s="8">
        <f>'Data Sheet'!F6</f>
        <v>21289</v>
      </c>
      <c r="J12" s="8">
        <f t="shared" si="1"/>
        <v>354404.94650000002</v>
      </c>
      <c r="K12" s="8">
        <f>'Data Sheet'!H6</f>
        <v>126409</v>
      </c>
      <c r="L12" s="8">
        <f>'Data Sheet'!I6+'Data Sheet'!J6</f>
        <v>28179</v>
      </c>
      <c r="M12" s="8">
        <f>'Data Sheet'!I6</f>
        <v>23876</v>
      </c>
      <c r="N12" s="8">
        <f>'Data Sheet'!K6</f>
        <v>16471</v>
      </c>
      <c r="O12" s="9">
        <f>'Data Sheet'!N6</f>
        <v>262.56</v>
      </c>
      <c r="AD12" s="93"/>
    </row>
    <row r="13" spans="2:30" x14ac:dyDescent="0.3">
      <c r="B13" s="6">
        <v>4</v>
      </c>
      <c r="C13" s="2" t="str">
        <f>'Data Sheet'!B7</f>
        <v>Wipro</v>
      </c>
      <c r="D13" s="96" t="s">
        <v>94</v>
      </c>
      <c r="E13" s="7">
        <f>'Data Sheet'!C7</f>
        <v>203.35</v>
      </c>
      <c r="F13" s="8">
        <f>'Data Sheet'!D7</f>
        <v>1048.8</v>
      </c>
      <c r="G13" s="8">
        <f t="shared" si="0"/>
        <v>213273.47999999998</v>
      </c>
      <c r="H13" s="8">
        <f>'Data Sheet'!E7</f>
        <v>16163.7</v>
      </c>
      <c r="I13" s="8">
        <f>'Data Sheet'!F7</f>
        <v>12197.4</v>
      </c>
      <c r="J13" s="8">
        <f t="shared" si="1"/>
        <v>217239.78</v>
      </c>
      <c r="K13" s="8">
        <f>'Data Sheet'!H7</f>
        <v>90891.9</v>
      </c>
      <c r="L13" s="8">
        <f>'Data Sheet'!I7+'Data Sheet'!J7</f>
        <v>21785.800000000003</v>
      </c>
      <c r="M13" s="8">
        <f>'Data Sheet'!I7</f>
        <v>18881.900000000001</v>
      </c>
      <c r="N13" s="8">
        <f>'Data Sheet'!K7</f>
        <v>13332</v>
      </c>
      <c r="O13" s="9">
        <f>'Data Sheet'!N7</f>
        <v>81.61</v>
      </c>
    </row>
    <row r="14" spans="2:30" x14ac:dyDescent="0.3">
      <c r="B14" s="6">
        <v>5</v>
      </c>
      <c r="C14" s="2" t="str">
        <f>'Data Sheet'!B8</f>
        <v>Tech Mahindra</v>
      </c>
      <c r="D14" s="96" t="s">
        <v>95</v>
      </c>
      <c r="E14" s="7">
        <f>'Data Sheet'!C8</f>
        <v>1346.2</v>
      </c>
      <c r="F14" s="8">
        <f>'Data Sheet'!D8</f>
        <v>97.98</v>
      </c>
      <c r="G14" s="8">
        <f t="shared" si="0"/>
        <v>131900.67600000001</v>
      </c>
      <c r="H14" s="8">
        <f>'Data Sheet'!E8</f>
        <v>1954.4</v>
      </c>
      <c r="I14" s="8">
        <f>'Data Sheet'!F8</f>
        <v>4542.2</v>
      </c>
      <c r="J14" s="8">
        <f t="shared" si="1"/>
        <v>129312.876</v>
      </c>
      <c r="K14" s="8">
        <f>'Data Sheet'!H8</f>
        <v>55123.3</v>
      </c>
      <c r="L14" s="8">
        <f>'Data Sheet'!I8+'Data Sheet'!J8</f>
        <v>8715.6</v>
      </c>
      <c r="M14" s="8">
        <f>'Data Sheet'!I8</f>
        <v>6853</v>
      </c>
      <c r="N14" s="8">
        <f>'Data Sheet'!K8</f>
        <v>4591</v>
      </c>
      <c r="O14" s="9">
        <f>'Data Sheet'!N8</f>
        <v>280.73</v>
      </c>
    </row>
    <row r="15" spans="2:30" x14ac:dyDescent="0.3">
      <c r="B15" s="6">
        <v>6</v>
      </c>
      <c r="C15" s="2" t="str">
        <f>'Data Sheet'!B9</f>
        <v>LTIMindtree</v>
      </c>
      <c r="D15" s="96" t="s">
        <v>96</v>
      </c>
      <c r="E15" s="7">
        <f>'Data Sheet'!C9</f>
        <v>4303.6000000000004</v>
      </c>
      <c r="F15" s="8">
        <f>'Data Sheet'!D9</f>
        <v>29.65</v>
      </c>
      <c r="G15" s="8">
        <f t="shared" si="0"/>
        <v>127601.74</v>
      </c>
      <c r="H15" s="8">
        <f>'Data Sheet'!E9</f>
        <v>2382.6</v>
      </c>
      <c r="I15" s="8">
        <f>'Data Sheet'!F9</f>
        <v>3588.2</v>
      </c>
      <c r="J15" s="8">
        <f t="shared" si="1"/>
        <v>126396.14000000001</v>
      </c>
      <c r="K15" s="8">
        <f>'Data Sheet'!H9</f>
        <v>40787.599999999999</v>
      </c>
      <c r="L15" s="8">
        <f>'Data Sheet'!I9+'Data Sheet'!J9</f>
        <v>8349.2999999999993</v>
      </c>
      <c r="M15" s="8">
        <f>'Data Sheet'!I9</f>
        <v>7308</v>
      </c>
      <c r="N15" s="8">
        <f>'Data Sheet'!K9</f>
        <v>4724</v>
      </c>
      <c r="O15" s="9">
        <f>'Data Sheet'!N9</f>
        <v>789.34</v>
      </c>
    </row>
    <row r="16" spans="2:30" x14ac:dyDescent="0.3">
      <c r="B16" s="6">
        <v>7</v>
      </c>
      <c r="C16" s="2" t="str">
        <f>'Data Sheet'!B10</f>
        <v>Persistent Systems</v>
      </c>
      <c r="D16" s="96" t="s">
        <v>97</v>
      </c>
      <c r="E16" s="7">
        <f>'Data Sheet'!C10</f>
        <v>4789.3</v>
      </c>
      <c r="F16" s="8">
        <f>'Data Sheet'!D10</f>
        <v>15.78</v>
      </c>
      <c r="G16" s="8">
        <f t="shared" si="0"/>
        <v>75575.153999999995</v>
      </c>
      <c r="H16" s="8">
        <f>'Data Sheet'!E10</f>
        <v>403.94</v>
      </c>
      <c r="I16" s="8">
        <f>'Data Sheet'!F10</f>
        <v>1025.47</v>
      </c>
      <c r="J16" s="8">
        <f t="shared" si="1"/>
        <v>74953.623999999996</v>
      </c>
      <c r="K16" s="8">
        <f>'Data Sheet'!H10</f>
        <v>13934.63</v>
      </c>
      <c r="L16" s="8">
        <f>'Data Sheet'!I10+'Data Sheet'!J10</f>
        <v>2777.4399999999996</v>
      </c>
      <c r="M16" s="8">
        <f>'Data Sheet'!I10</f>
        <v>2403.9299999999998</v>
      </c>
      <c r="N16" s="8">
        <f>'Data Sheet'!K10</f>
        <v>1731.62</v>
      </c>
      <c r="O16" s="9">
        <f>'Data Sheet'!N10</f>
        <v>453.09</v>
      </c>
    </row>
    <row r="17" spans="2:22" x14ac:dyDescent="0.3">
      <c r="B17" s="6">
        <v>8</v>
      </c>
      <c r="C17" s="2" t="str">
        <f>'Data Sheet'!B11</f>
        <v>Oracle Fin.Serv.</v>
      </c>
      <c r="D17" s="96" t="s">
        <v>98</v>
      </c>
      <c r="E17" s="7">
        <f>'Data Sheet'!C11</f>
        <v>6764.5</v>
      </c>
      <c r="F17" s="8">
        <f>'Data Sheet'!D11</f>
        <v>8.6999999999999993</v>
      </c>
      <c r="G17" s="8">
        <f t="shared" si="0"/>
        <v>58851.149999999994</v>
      </c>
      <c r="H17" s="8">
        <f>'Data Sheet'!E11</f>
        <v>34</v>
      </c>
      <c r="I17" s="8">
        <f>'Data Sheet'!F11</f>
        <v>5951.4</v>
      </c>
      <c r="J17" s="8">
        <f t="shared" si="1"/>
        <v>52933.749999999993</v>
      </c>
      <c r="K17" s="8">
        <f>'Data Sheet'!H11</f>
        <v>7323.2</v>
      </c>
      <c r="L17" s="8">
        <f>'Data Sheet'!I11+'Data Sheet'!J11</f>
        <v>3467</v>
      </c>
      <c r="M17" s="8">
        <f>'Data Sheet'!I11</f>
        <v>3400.1</v>
      </c>
      <c r="N17" s="8">
        <f>'Data Sheet'!K11</f>
        <v>2441.5</v>
      </c>
      <c r="O17" s="9">
        <f>'Data Sheet'!N11</f>
        <v>846.77</v>
      </c>
      <c r="P17" s="8"/>
    </row>
    <row r="18" spans="2:22" x14ac:dyDescent="0.3">
      <c r="B18" s="6">
        <v>9</v>
      </c>
      <c r="C18" s="2" t="str">
        <f>'Data Sheet'!B12</f>
        <v>Mphasis</v>
      </c>
      <c r="D18" s="96" t="s">
        <v>99</v>
      </c>
      <c r="E18" s="7">
        <f>'Data Sheet'!C12</f>
        <v>2199.35</v>
      </c>
      <c r="F18" s="8">
        <f>'Data Sheet'!D12</f>
        <v>19.07</v>
      </c>
      <c r="G18" s="8">
        <f t="shared" si="0"/>
        <v>41941.604500000001</v>
      </c>
      <c r="H18" s="8">
        <f>'Data Sheet'!E12</f>
        <v>1979.03</v>
      </c>
      <c r="I18" s="8">
        <f>'Data Sheet'!F12</f>
        <v>1612.58</v>
      </c>
      <c r="J18" s="8">
        <f t="shared" si="1"/>
        <v>42308.054499999998</v>
      </c>
      <c r="K18" s="8">
        <f>'Data Sheet'!H12</f>
        <v>15347.02</v>
      </c>
      <c r="L18" s="8">
        <f>'Data Sheet'!I12+'Data Sheet'!J12</f>
        <v>3155.15</v>
      </c>
      <c r="M18" s="8">
        <f>'Data Sheet'!I12</f>
        <v>2617.33</v>
      </c>
      <c r="N18" s="8">
        <f>'Data Sheet'!K12</f>
        <v>1799.45</v>
      </c>
      <c r="O18" s="9">
        <f>'Data Sheet'!N12</f>
        <v>504.96</v>
      </c>
      <c r="P18" s="8"/>
    </row>
    <row r="19" spans="2:22" x14ac:dyDescent="0.3">
      <c r="B19" s="10">
        <v>10</v>
      </c>
      <c r="C19" s="11" t="str">
        <f>'Data Sheet'!B13</f>
        <v>Coforge</v>
      </c>
      <c r="D19" s="97" t="s">
        <v>100</v>
      </c>
      <c r="E19" s="12">
        <f>'Data Sheet'!C13</f>
        <v>1123.3499999999999</v>
      </c>
      <c r="F19" s="13">
        <f>'Data Sheet'!D13</f>
        <v>33.58</v>
      </c>
      <c r="G19" s="13">
        <f t="shared" si="0"/>
        <v>37722.092999999993</v>
      </c>
      <c r="H19" s="13">
        <f>'Data Sheet'!E13</f>
        <v>971.5</v>
      </c>
      <c r="I19" s="13">
        <f>'Data Sheet'!F13</f>
        <v>883.2</v>
      </c>
      <c r="J19" s="13">
        <f t="shared" si="1"/>
        <v>37810.392999999996</v>
      </c>
      <c r="K19" s="13">
        <f>'Data Sheet'!H13</f>
        <v>15272.3</v>
      </c>
      <c r="L19" s="13">
        <f>'Data Sheet'!I13+'Data Sheet'!J13</f>
        <v>2669.1</v>
      </c>
      <c r="M19" s="13">
        <f>'Data Sheet'!I13</f>
        <v>2041.8</v>
      </c>
      <c r="N19" s="13">
        <f>'Data Sheet'!K13</f>
        <v>1385.8</v>
      </c>
      <c r="O19" s="14">
        <f>'Data Sheet'!N13</f>
        <v>205.79</v>
      </c>
      <c r="P19" s="8"/>
      <c r="V19" s="15"/>
    </row>
    <row r="20" spans="2:22" x14ac:dyDescent="0.3">
      <c r="U20" s="15"/>
    </row>
    <row r="21" spans="2:22" x14ac:dyDescent="0.3">
      <c r="B21" s="5" t="s">
        <v>39</v>
      </c>
      <c r="U21" s="15"/>
    </row>
    <row r="22" spans="2:22" x14ac:dyDescent="0.3">
      <c r="U22" s="15"/>
    </row>
    <row r="23" spans="2:22" ht="13.8" customHeight="1" x14ac:dyDescent="0.3">
      <c r="B23" s="111" t="s">
        <v>1</v>
      </c>
      <c r="C23" s="113" t="s">
        <v>2</v>
      </c>
      <c r="D23" s="113" t="s">
        <v>40</v>
      </c>
      <c r="E23" s="113" t="s">
        <v>41</v>
      </c>
      <c r="F23" s="113" t="s">
        <v>11</v>
      </c>
      <c r="G23" s="113" t="s">
        <v>42</v>
      </c>
      <c r="H23" s="113" t="s">
        <v>43</v>
      </c>
      <c r="I23" s="113" t="s">
        <v>89</v>
      </c>
      <c r="J23" s="113" t="s">
        <v>44</v>
      </c>
      <c r="K23" s="109" t="s">
        <v>45</v>
      </c>
    </row>
    <row r="24" spans="2:22" ht="13.8" customHeight="1" x14ac:dyDescent="0.3">
      <c r="B24" s="112"/>
      <c r="C24" s="114"/>
      <c r="D24" s="114"/>
      <c r="E24" s="114"/>
      <c r="F24" s="114"/>
      <c r="G24" s="114"/>
      <c r="H24" s="114"/>
      <c r="I24" s="114"/>
      <c r="J24" s="114"/>
      <c r="K24" s="110"/>
    </row>
    <row r="25" spans="2:22" x14ac:dyDescent="0.3">
      <c r="B25" s="6">
        <v>1</v>
      </c>
      <c r="C25" s="2" t="str">
        <f>C10</f>
        <v>TCS</v>
      </c>
      <c r="D25" s="15">
        <f t="shared" ref="D25:D34" si="2">J10/K10</f>
        <v>3.4347781228671561</v>
      </c>
      <c r="E25" s="15">
        <f t="shared" ref="E25:E34" si="3">J10/L10</f>
        <v>11.979899752591107</v>
      </c>
      <c r="F25" s="15">
        <f t="shared" ref="F25:F34" si="4">E10/(N10/F10)</f>
        <v>18.771302962700418</v>
      </c>
      <c r="G25" s="15">
        <f t="shared" ref="G25:G34" si="5">E10/O10</f>
        <v>8.4604923160614725</v>
      </c>
      <c r="H25" s="15">
        <f t="shared" ref="H25:H34" si="6">J10/M10</f>
        <v>12.937191357846395</v>
      </c>
      <c r="I25" s="15">
        <f>'Data Sheet'!G28</f>
        <v>52.38</v>
      </c>
      <c r="J25" s="16">
        <f>'Data Sheet'!P4/10</f>
        <v>0.24</v>
      </c>
      <c r="K25" s="17">
        <f>'Data Sheet'!O4/J10</f>
        <v>5.0227897390913795E-2</v>
      </c>
    </row>
    <row r="26" spans="2:22" x14ac:dyDescent="0.3">
      <c r="B26" s="6">
        <v>2</v>
      </c>
      <c r="C26" s="2" t="str">
        <f t="shared" ref="C26:C34" si="7">C11</f>
        <v>Infosys</v>
      </c>
      <c r="D26" s="15">
        <f t="shared" si="2"/>
        <v>2.9181121652913569</v>
      </c>
      <c r="E26" s="15">
        <f t="shared" si="3"/>
        <v>11.145773792981762</v>
      </c>
      <c r="F26" s="15">
        <f t="shared" si="4"/>
        <v>18.605050815984004</v>
      </c>
      <c r="G26" s="15">
        <f t="shared" si="5"/>
        <v>6.273868242418323</v>
      </c>
      <c r="H26" s="15">
        <f t="shared" si="6"/>
        <v>12.458108078791019</v>
      </c>
      <c r="I26" s="15">
        <f>'Data Sheet'!G29</f>
        <v>28.83</v>
      </c>
      <c r="J26" s="16">
        <f>'Data Sheet'!P5/10</f>
        <v>0.33399999999999996</v>
      </c>
      <c r="K26" s="17">
        <f>'Data Sheet'!O5/J11</f>
        <v>6.6207141047576912E-2</v>
      </c>
    </row>
    <row r="27" spans="2:22" x14ac:dyDescent="0.3">
      <c r="B27" s="6">
        <v>3</v>
      </c>
      <c r="C27" s="2" t="str">
        <f t="shared" si="7"/>
        <v>HCL Technologies</v>
      </c>
      <c r="D27" s="15">
        <f t="shared" si="2"/>
        <v>2.8036369760064552</v>
      </c>
      <c r="E27" s="15">
        <f t="shared" si="3"/>
        <v>12.576917083643849</v>
      </c>
      <c r="F27" s="15">
        <f t="shared" si="4"/>
        <v>22.397786807115537</v>
      </c>
      <c r="G27" s="15">
        <f t="shared" si="5"/>
        <v>5.1776736745886653</v>
      </c>
      <c r="H27" s="15">
        <f t="shared" si="6"/>
        <v>14.843564520857766</v>
      </c>
      <c r="I27" s="15">
        <f>'Data Sheet'!G30</f>
        <v>25</v>
      </c>
      <c r="J27" s="16">
        <f>'Data Sheet'!P6/10</f>
        <v>0.39500000000000002</v>
      </c>
      <c r="K27" s="17">
        <f>'Data Sheet'!O6/J12</f>
        <v>5.9756502298141598E-2</v>
      </c>
    </row>
    <row r="28" spans="2:22" x14ac:dyDescent="0.3">
      <c r="B28" s="6">
        <v>4</v>
      </c>
      <c r="C28" s="2" t="str">
        <f t="shared" si="7"/>
        <v>Wipro</v>
      </c>
      <c r="D28" s="15">
        <f t="shared" si="2"/>
        <v>2.3900895459331362</v>
      </c>
      <c r="E28" s="15">
        <f t="shared" si="3"/>
        <v>9.9716228001725877</v>
      </c>
      <c r="F28" s="15">
        <f t="shared" si="4"/>
        <v>15.997110711071105</v>
      </c>
      <c r="G28" s="15">
        <f t="shared" si="5"/>
        <v>2.4917289547849526</v>
      </c>
      <c r="H28" s="15">
        <f t="shared" si="6"/>
        <v>11.505186448397671</v>
      </c>
      <c r="I28" s="15">
        <f>'Data Sheet'!G31</f>
        <v>16.59</v>
      </c>
      <c r="J28" s="16">
        <f>'Data Sheet'!P7/10</f>
        <v>0.54100000000000004</v>
      </c>
      <c r="K28" s="17">
        <f>'Data Sheet'!O7/J13</f>
        <v>7.2045276422209606E-2</v>
      </c>
    </row>
    <row r="29" spans="2:22" x14ac:dyDescent="0.3">
      <c r="B29" s="6">
        <v>5</v>
      </c>
      <c r="C29" s="2" t="str">
        <f t="shared" si="7"/>
        <v>Tech Mahindra</v>
      </c>
      <c r="D29" s="15">
        <f t="shared" si="2"/>
        <v>2.345884154250562</v>
      </c>
      <c r="E29" s="15">
        <f t="shared" si="3"/>
        <v>14.836944788654826</v>
      </c>
      <c r="F29" s="15">
        <f t="shared" si="4"/>
        <v>28.730271400566327</v>
      </c>
      <c r="G29" s="15">
        <f t="shared" si="5"/>
        <v>4.7953549674064044</v>
      </c>
      <c r="H29" s="15">
        <f t="shared" si="6"/>
        <v>18.869528089887641</v>
      </c>
      <c r="I29" s="15">
        <f>'Data Sheet'!G32</f>
        <v>14.62</v>
      </c>
      <c r="J29" s="16">
        <f>'Data Sheet'!P8/10</f>
        <v>0.33700000000000002</v>
      </c>
      <c r="K29" s="17">
        <f>'Data Sheet'!O8/J14</f>
        <v>4.1007517302453313E-2</v>
      </c>
    </row>
    <row r="30" spans="2:22" x14ac:dyDescent="0.3">
      <c r="B30" s="6">
        <v>6</v>
      </c>
      <c r="C30" s="2" t="str">
        <f t="shared" si="7"/>
        <v>LTIMindtree</v>
      </c>
      <c r="D30" s="15">
        <f t="shared" si="2"/>
        <v>3.098886426266807</v>
      </c>
      <c r="E30" s="15">
        <f t="shared" si="3"/>
        <v>15.138531373887634</v>
      </c>
      <c r="F30" s="15">
        <f t="shared" si="4"/>
        <v>27.011375952582558</v>
      </c>
      <c r="G30" s="15">
        <f t="shared" si="5"/>
        <v>5.4521498973826237</v>
      </c>
      <c r="H30" s="15">
        <f t="shared" si="6"/>
        <v>17.295585659551179</v>
      </c>
      <c r="I30" s="15">
        <f>'Data Sheet'!G33</f>
        <v>21.53</v>
      </c>
      <c r="J30" s="16">
        <f>'Data Sheet'!P9/10</f>
        <v>0.15</v>
      </c>
      <c r="K30" s="17">
        <f>'Data Sheet'!O9/J15</f>
        <v>2.857840437215883E-2</v>
      </c>
    </row>
    <row r="31" spans="2:22" x14ac:dyDescent="0.3">
      <c r="B31" s="6">
        <v>7</v>
      </c>
      <c r="C31" s="2" t="str">
        <f t="shared" si="7"/>
        <v>Persistent Systems</v>
      </c>
      <c r="D31" s="15">
        <f t="shared" si="2"/>
        <v>5.3789461219996513</v>
      </c>
      <c r="E31" s="15">
        <f t="shared" si="3"/>
        <v>26.986586208883004</v>
      </c>
      <c r="F31" s="15">
        <f t="shared" si="4"/>
        <v>43.64419098878507</v>
      </c>
      <c r="G31" s="15">
        <f t="shared" si="5"/>
        <v>10.570306120196872</v>
      </c>
      <c r="H31" s="15">
        <f t="shared" si="6"/>
        <v>31.179620038853045</v>
      </c>
      <c r="I31" s="15">
        <f>'Data Sheet'!G34</f>
        <v>24.08</v>
      </c>
      <c r="J31" s="16">
        <f>'Data Sheet'!P10/10</f>
        <v>7.0999999999999994E-2</v>
      </c>
      <c r="K31" s="17">
        <f>'Data Sheet'!O10/J16</f>
        <v>1.2859151413412647E-2</v>
      </c>
    </row>
    <row r="32" spans="2:22" x14ac:dyDescent="0.3">
      <c r="B32" s="6">
        <v>8</v>
      </c>
      <c r="C32" s="2" t="str">
        <f t="shared" si="7"/>
        <v>Oracle Fin.Serv.</v>
      </c>
      <c r="D32" s="15">
        <f t="shared" si="2"/>
        <v>7.2282267314835034</v>
      </c>
      <c r="E32" s="15">
        <f t="shared" si="3"/>
        <v>15.267882895875395</v>
      </c>
      <c r="F32" s="15">
        <f t="shared" si="4"/>
        <v>24.104505426991601</v>
      </c>
      <c r="G32" s="15">
        <f t="shared" si="5"/>
        <v>7.9885919435029589</v>
      </c>
      <c r="H32" s="15">
        <f t="shared" si="6"/>
        <v>15.568292109055614</v>
      </c>
      <c r="I32" s="15">
        <f>'Data Sheet'!G35</f>
        <v>29.34</v>
      </c>
      <c r="J32" s="16">
        <f>'Data Sheet'!P11/10</f>
        <v>0.38900000000000001</v>
      </c>
      <c r="K32" s="17">
        <f>'Data Sheet'!O11/J17</f>
        <v>4.0886957753796027E-2</v>
      </c>
    </row>
    <row r="33" spans="2:11" x14ac:dyDescent="0.3">
      <c r="B33" s="6">
        <v>9</v>
      </c>
      <c r="C33" s="2" t="str">
        <f t="shared" si="7"/>
        <v>Mphasis</v>
      </c>
      <c r="D33" s="15">
        <f t="shared" si="2"/>
        <v>2.7567602374923599</v>
      </c>
      <c r="E33" s="15">
        <f t="shared" si="3"/>
        <v>13.409205426049473</v>
      </c>
      <c r="F33" s="15">
        <f t="shared" si="4"/>
        <v>23.308013281836114</v>
      </c>
      <c r="G33" s="15">
        <f t="shared" si="5"/>
        <v>4.3554935044359953</v>
      </c>
      <c r="H33" s="15">
        <f t="shared" si="6"/>
        <v>16.164585474510282</v>
      </c>
      <c r="I33" s="15">
        <f>'Data Sheet'!G36</f>
        <v>18.22</v>
      </c>
      <c r="J33" s="16">
        <f>'Data Sheet'!P12/10</f>
        <v>0.255</v>
      </c>
      <c r="K33" s="17">
        <f>'Data Sheet'!O12/J18</f>
        <v>4.3616517512049625E-2</v>
      </c>
    </row>
    <row r="34" spans="2:11" x14ac:dyDescent="0.3">
      <c r="B34" s="10">
        <v>10</v>
      </c>
      <c r="C34" s="11" t="str">
        <f t="shared" si="7"/>
        <v>Coforge</v>
      </c>
      <c r="D34" s="18">
        <f t="shared" si="2"/>
        <v>2.4757497560943666</v>
      </c>
      <c r="E34" s="18">
        <f t="shared" si="3"/>
        <v>14.165970926529541</v>
      </c>
      <c r="F34" s="18">
        <f t="shared" si="4"/>
        <v>27.220445230191942</v>
      </c>
      <c r="G34" s="18">
        <f t="shared" si="5"/>
        <v>5.458720054424413</v>
      </c>
      <c r="H34" s="18">
        <f t="shared" si="6"/>
        <v>18.518166813595844</v>
      </c>
      <c r="I34" s="18">
        <f>'Data Sheet'!G37</f>
        <v>15.98</v>
      </c>
      <c r="J34" s="19">
        <f>'Data Sheet'!P13/10</f>
        <v>0.13500000000000001</v>
      </c>
      <c r="K34" s="20">
        <f>'Data Sheet'!O13/J19</f>
        <v>1.7981828435372254E-2</v>
      </c>
    </row>
    <row r="36" spans="2:11" x14ac:dyDescent="0.3">
      <c r="C36" s="25" t="s">
        <v>46</v>
      </c>
      <c r="D36" s="26">
        <f>MAX(D25:D34)</f>
        <v>7.2282267314835034</v>
      </c>
      <c r="E36" s="26">
        <f t="shared" ref="E36:K36" si="8">MAX(E25:E34)</f>
        <v>26.986586208883004</v>
      </c>
      <c r="F36" s="26">
        <f t="shared" si="8"/>
        <v>43.64419098878507</v>
      </c>
      <c r="G36" s="26">
        <f t="shared" si="8"/>
        <v>10.570306120196872</v>
      </c>
      <c r="H36" s="26">
        <f t="shared" si="8"/>
        <v>31.179620038853045</v>
      </c>
      <c r="I36" s="27">
        <f>MAX(I25:I34)/100</f>
        <v>0.52380000000000004</v>
      </c>
      <c r="J36" s="27">
        <f t="shared" si="8"/>
        <v>0.54100000000000004</v>
      </c>
      <c r="K36" s="28">
        <f t="shared" si="8"/>
        <v>7.2045276422209606E-2</v>
      </c>
    </row>
    <row r="37" spans="2:11" x14ac:dyDescent="0.3">
      <c r="C37" s="29" t="s">
        <v>47</v>
      </c>
      <c r="D37" s="30">
        <f>QUARTILE(D25:D34,3)</f>
        <v>3.3508051987170688</v>
      </c>
      <c r="E37" s="30">
        <f t="shared" ref="E37:K37" si="9">QUARTILE(E25:E34,3)</f>
        <v>15.063134727579431</v>
      </c>
      <c r="F37" s="30">
        <f t="shared" si="9"/>
        <v>27.168177910789595</v>
      </c>
      <c r="G37" s="30">
        <f t="shared" si="9"/>
        <v>7.5599110182317997</v>
      </c>
      <c r="H37" s="30">
        <f t="shared" si="9"/>
        <v>18.212521525084679</v>
      </c>
      <c r="I37" s="31">
        <f>QUARTILE(I25:I34,3)/100</f>
        <v>0.278725</v>
      </c>
      <c r="J37" s="31">
        <f t="shared" si="9"/>
        <v>0.376</v>
      </c>
      <c r="K37" s="32">
        <f t="shared" si="9"/>
        <v>5.7374351071334651E-2</v>
      </c>
    </row>
    <row r="38" spans="2:11" x14ac:dyDescent="0.3">
      <c r="C38" s="29" t="s">
        <v>48</v>
      </c>
      <c r="D38" s="30">
        <f>AVERAGE(D25:D34)</f>
        <v>3.4831070237685351</v>
      </c>
      <c r="E38" s="30">
        <f t="shared" ref="E38:K38" si="10">AVERAGE(E25:E34)</f>
        <v>14.54793350492692</v>
      </c>
      <c r="F38" s="30">
        <f t="shared" si="10"/>
        <v>24.979005357782466</v>
      </c>
      <c r="G38" s="30">
        <f t="shared" si="10"/>
        <v>6.1024379675202685</v>
      </c>
      <c r="H38" s="30">
        <f t="shared" si="10"/>
        <v>16.933982859134648</v>
      </c>
      <c r="I38" s="31">
        <f>AVERAGE(I25:I34)/100</f>
        <v>0.24657000000000004</v>
      </c>
      <c r="J38" s="31">
        <f t="shared" si="10"/>
        <v>0.28469999999999995</v>
      </c>
      <c r="K38" s="32">
        <f t="shared" si="10"/>
        <v>4.331671939480846E-2</v>
      </c>
    </row>
    <row r="39" spans="2:11" x14ac:dyDescent="0.3">
      <c r="C39" s="21" t="s">
        <v>49</v>
      </c>
      <c r="D39" s="22">
        <f>MEDIAN(D25:D34)</f>
        <v>2.8608745706489058</v>
      </c>
      <c r="E39" s="22">
        <f t="shared" ref="E39:K39" si="11">MEDIAN(E25:E34)</f>
        <v>13.787588176289507</v>
      </c>
      <c r="F39" s="22">
        <f t="shared" si="11"/>
        <v>23.706259354413859</v>
      </c>
      <c r="G39" s="22">
        <f t="shared" si="11"/>
        <v>5.4554349759035183</v>
      </c>
      <c r="H39" s="22">
        <f t="shared" si="11"/>
        <v>15.866438791782947</v>
      </c>
      <c r="I39" s="23">
        <f>MEDIAN(I25:I34)/100</f>
        <v>0.22805</v>
      </c>
      <c r="J39" s="23">
        <f t="shared" si="11"/>
        <v>0.29449999999999998</v>
      </c>
      <c r="K39" s="24">
        <f t="shared" si="11"/>
        <v>4.2312017407251469E-2</v>
      </c>
    </row>
    <row r="40" spans="2:11" x14ac:dyDescent="0.3">
      <c r="C40" s="29" t="s">
        <v>50</v>
      </c>
      <c r="D40" s="30">
        <f>QUARTILE(D25:D34,1)</f>
        <v>2.5460023764438651</v>
      </c>
      <c r="E40" s="30">
        <f t="shared" ref="E40:K40" si="12">QUARTILE(E25:E34,1)</f>
        <v>12.129154085354292</v>
      </c>
      <c r="F40" s="30">
        <f t="shared" si="12"/>
        <v>19.677923923804197</v>
      </c>
      <c r="G40" s="30">
        <f t="shared" si="12"/>
        <v>4.8909346442019697</v>
      </c>
      <c r="H40" s="30">
        <f t="shared" si="12"/>
        <v>13.413784648599238</v>
      </c>
      <c r="I40" s="31">
        <f>QUARTILE(I25:I34,1)/100</f>
        <v>0.16997499999999999</v>
      </c>
      <c r="J40" s="31">
        <f t="shared" si="12"/>
        <v>0.17249999999999999</v>
      </c>
      <c r="K40" s="32">
        <f t="shared" si="12"/>
        <v>3.1655542717568132E-2</v>
      </c>
    </row>
    <row r="41" spans="2:11" x14ac:dyDescent="0.3">
      <c r="C41" s="33" t="s">
        <v>51</v>
      </c>
      <c r="D41" s="34">
        <f>MIN(D25:D34)</f>
        <v>2.345884154250562</v>
      </c>
      <c r="E41" s="34">
        <f t="shared" ref="E41:K41" si="13">MIN(E25:E34)</f>
        <v>9.9716228001725877</v>
      </c>
      <c r="F41" s="34">
        <f t="shared" si="13"/>
        <v>15.997110711071105</v>
      </c>
      <c r="G41" s="34">
        <f t="shared" si="13"/>
        <v>2.4917289547849526</v>
      </c>
      <c r="H41" s="34">
        <f t="shared" si="13"/>
        <v>11.505186448397671</v>
      </c>
      <c r="I41" s="35">
        <f>MIN(I25:I34)/100</f>
        <v>0.1462</v>
      </c>
      <c r="J41" s="35">
        <f t="shared" si="13"/>
        <v>7.0999999999999994E-2</v>
      </c>
      <c r="K41" s="36">
        <f t="shared" si="13"/>
        <v>1.2859151413412647E-2</v>
      </c>
    </row>
    <row r="43" spans="2:11" x14ac:dyDescent="0.3">
      <c r="B43" s="5" t="s">
        <v>59</v>
      </c>
    </row>
    <row r="45" spans="2:11" ht="13.8" customHeight="1" x14ac:dyDescent="0.3">
      <c r="B45" s="111" t="s">
        <v>1</v>
      </c>
      <c r="C45" s="113" t="s">
        <v>2</v>
      </c>
      <c r="D45" s="113" t="s">
        <v>61</v>
      </c>
      <c r="E45" s="113" t="s">
        <v>62</v>
      </c>
      <c r="F45" s="113" t="s">
        <v>63</v>
      </c>
      <c r="G45" s="113" t="s">
        <v>55</v>
      </c>
      <c r="H45" s="113" t="s">
        <v>57</v>
      </c>
      <c r="I45" s="113" t="s">
        <v>60</v>
      </c>
      <c r="J45" s="109" t="s">
        <v>58</v>
      </c>
    </row>
    <row r="46" spans="2:11" ht="13.8" customHeight="1" x14ac:dyDescent="0.3">
      <c r="B46" s="112"/>
      <c r="C46" s="114"/>
      <c r="D46" s="114"/>
      <c r="E46" s="114"/>
      <c r="F46" s="114"/>
      <c r="G46" s="114"/>
      <c r="H46" s="114"/>
      <c r="I46" s="114"/>
      <c r="J46" s="110"/>
    </row>
    <row r="47" spans="2:11" x14ac:dyDescent="0.3">
      <c r="B47" s="6">
        <v>1</v>
      </c>
      <c r="C47" s="2" t="str">
        <f>C10</f>
        <v>TCS</v>
      </c>
      <c r="D47" s="16">
        <f>'Data Sheet'!G16/100</f>
        <v>0.10009999999999999</v>
      </c>
      <c r="E47" s="16">
        <f>'Data Sheet'!H16/100</f>
        <v>8.1900000000000001E-2</v>
      </c>
      <c r="F47" s="16">
        <f>'Data Sheet'!I16/100</f>
        <v>-8.9600000000000013E-2</v>
      </c>
      <c r="G47" s="16">
        <f>'Data Sheet'!J16/100</f>
        <v>0.503</v>
      </c>
      <c r="H47" s="16">
        <f>'Data Sheet'!L16/100</f>
        <v>0.62519999999999998</v>
      </c>
      <c r="I47" s="15">
        <f>'Data Sheet'!K16</f>
        <v>0.1</v>
      </c>
      <c r="J47" s="37">
        <f>'Data Sheet'!M16</f>
        <v>58.24</v>
      </c>
    </row>
    <row r="48" spans="2:11" x14ac:dyDescent="0.3">
      <c r="B48" s="6">
        <v>2</v>
      </c>
      <c r="C48" s="2" t="str">
        <f t="shared" ref="C48:C56" si="14">C11</f>
        <v>Infosys</v>
      </c>
      <c r="D48" s="16">
        <f>'Data Sheet'!G17/100</f>
        <v>0.10249999999999999</v>
      </c>
      <c r="E48" s="16">
        <f>'Data Sheet'!H17/100</f>
        <v>6.4500000000000002E-2</v>
      </c>
      <c r="F48" s="16">
        <f>'Data Sheet'!I17/100</f>
        <v>-4.1599999999999998E-2</v>
      </c>
      <c r="G48" s="16">
        <f>'Data Sheet'!J17/100</f>
        <v>0.30719999999999997</v>
      </c>
      <c r="H48" s="16">
        <f>'Data Sheet'!L17/100</f>
        <v>0.39319999999999999</v>
      </c>
      <c r="I48" s="15">
        <f>'Data Sheet'!K17</f>
        <v>0.11</v>
      </c>
      <c r="J48" s="37">
        <f>'Data Sheet'!M17</f>
        <v>98.22</v>
      </c>
    </row>
    <row r="49" spans="2:10" x14ac:dyDescent="0.3">
      <c r="B49" s="6">
        <v>3</v>
      </c>
      <c r="C49" s="2" t="str">
        <f t="shared" si="14"/>
        <v>HCL Technologies</v>
      </c>
      <c r="D49" s="16">
        <f>'Data Sheet'!G18/100</f>
        <v>0.10970000000000001</v>
      </c>
      <c r="E49" s="16">
        <f>'Data Sheet'!H18/100</f>
        <v>8.7499999999999994E-2</v>
      </c>
      <c r="F49" s="16">
        <f>'Data Sheet'!I18/100</f>
        <v>6.8400000000000002E-2</v>
      </c>
      <c r="G49" s="16">
        <f>'Data Sheet'!J18/100</f>
        <v>0.23800000000000002</v>
      </c>
      <c r="H49" s="16">
        <f>'Data Sheet'!L18/100</f>
        <v>0.29820000000000002</v>
      </c>
      <c r="I49" s="15">
        <f>'Data Sheet'!K18</f>
        <v>0.1</v>
      </c>
      <c r="J49" s="37">
        <f>'Data Sheet'!M18</f>
        <v>30.42</v>
      </c>
    </row>
    <row r="50" spans="2:10" x14ac:dyDescent="0.3">
      <c r="B50" s="6">
        <v>4</v>
      </c>
      <c r="C50" s="2" t="str">
        <f t="shared" si="14"/>
        <v>Wipro</v>
      </c>
      <c r="D50" s="16">
        <f>'Data Sheet'!G19/100</f>
        <v>3.95E-2</v>
      </c>
      <c r="E50" s="16">
        <f>'Data Sheet'!H19/100</f>
        <v>2.29E-2</v>
      </c>
      <c r="F50" s="16">
        <f>'Data Sheet'!I19/100</f>
        <v>1.0800000000000001E-2</v>
      </c>
      <c r="G50" s="16">
        <f>'Data Sheet'!J19/100</f>
        <v>0.15579999999999999</v>
      </c>
      <c r="H50" s="16">
        <f>'Data Sheet'!L19/100</f>
        <v>0.18030000000000002</v>
      </c>
      <c r="I50" s="15">
        <f>'Data Sheet'!K19</f>
        <v>0.19</v>
      </c>
      <c r="J50" s="37">
        <f>'Data Sheet'!M19</f>
        <v>12.89</v>
      </c>
    </row>
    <row r="51" spans="2:10" x14ac:dyDescent="0.3">
      <c r="B51" s="6">
        <v>5</v>
      </c>
      <c r="C51" s="2" t="str">
        <f t="shared" si="14"/>
        <v>Tech Mahindra</v>
      </c>
      <c r="D51" s="16">
        <f>'Data Sheet'!G20/100</f>
        <v>5.8799999999999998E-2</v>
      </c>
      <c r="E51" s="16">
        <f>'Data Sheet'!H20/100</f>
        <v>-0.10769999999999999</v>
      </c>
      <c r="F51" s="16">
        <f>'Data Sheet'!I20/100</f>
        <v>7.9899999999999999E-2</v>
      </c>
      <c r="G51" s="16">
        <f>'Data Sheet'!J20/100</f>
        <v>0.1363</v>
      </c>
      <c r="H51" s="16">
        <f>'Data Sheet'!L20/100</f>
        <v>0.17530000000000001</v>
      </c>
      <c r="I51" s="15">
        <f>'Data Sheet'!K20</f>
        <v>7.0000000000000007E-2</v>
      </c>
      <c r="J51" s="37">
        <f>'Data Sheet'!M20</f>
        <v>20.52</v>
      </c>
    </row>
    <row r="52" spans="2:10" x14ac:dyDescent="0.3">
      <c r="B52" s="6">
        <v>6</v>
      </c>
      <c r="C52" s="2" t="str">
        <f t="shared" si="14"/>
        <v>LTIMindtree</v>
      </c>
      <c r="D52" s="16">
        <f>'Data Sheet'!G21/100</f>
        <v>0.1333</v>
      </c>
      <c r="E52" s="16">
        <f>'Data Sheet'!H21/100</f>
        <v>5.21E-2</v>
      </c>
      <c r="F52" s="16">
        <f>'Data Sheet'!I21/100</f>
        <v>-2.3300000000000001E-2</v>
      </c>
      <c r="G52" s="16">
        <f>'Data Sheet'!J21/100</f>
        <v>0.24660000000000001</v>
      </c>
      <c r="H52" s="16">
        <f>'Data Sheet'!L21/100</f>
        <v>0.32490000000000002</v>
      </c>
      <c r="I52" s="15">
        <f>'Data Sheet'!K21</f>
        <v>0.1</v>
      </c>
      <c r="J52" s="37">
        <f>'Data Sheet'!M21</f>
        <v>26.26</v>
      </c>
    </row>
    <row r="53" spans="2:10" x14ac:dyDescent="0.3">
      <c r="B53" s="6">
        <v>7</v>
      </c>
      <c r="C53" s="2" t="str">
        <f t="shared" si="14"/>
        <v>Persistent Systems</v>
      </c>
      <c r="D53" s="16">
        <f>'Data Sheet'!G22/100</f>
        <v>0.2787</v>
      </c>
      <c r="E53" s="16">
        <f>'Data Sheet'!H22/100</f>
        <v>0.27</v>
      </c>
      <c r="F53" s="16">
        <f>'Data Sheet'!I22/100</f>
        <v>0.26679999999999998</v>
      </c>
      <c r="G53" s="16">
        <f>'Data Sheet'!J22/100</f>
        <v>0.24379999999999999</v>
      </c>
      <c r="H53" s="16">
        <f>'Data Sheet'!L22/100</f>
        <v>0.29969999999999997</v>
      </c>
      <c r="I53" s="15">
        <f>'Data Sheet'!K22</f>
        <v>0.06</v>
      </c>
      <c r="J53" s="37">
        <f>'Data Sheet'!M22</f>
        <v>33.18</v>
      </c>
    </row>
    <row r="54" spans="2:10" x14ac:dyDescent="0.3">
      <c r="B54" s="6">
        <v>8</v>
      </c>
      <c r="C54" s="2" t="str">
        <f t="shared" si="14"/>
        <v>Oracle Fin.Serv.</v>
      </c>
      <c r="D54" s="16">
        <f>'Data Sheet'!G23/100</f>
        <v>9.4499999999999987E-2</v>
      </c>
      <c r="E54" s="16">
        <f>'Data Sheet'!H23/100</f>
        <v>0.08</v>
      </c>
      <c r="F54" s="16">
        <f>'Data Sheet'!I23/100</f>
        <v>0.28149999999999997</v>
      </c>
      <c r="G54" s="16">
        <f>'Data Sheet'!J23/100</f>
        <v>0.27789999999999998</v>
      </c>
      <c r="H54" s="16">
        <f>'Data Sheet'!L23/100</f>
        <v>0.38420000000000004</v>
      </c>
      <c r="I54" s="15">
        <f>'Data Sheet'!K23</f>
        <v>0</v>
      </c>
      <c r="J54" s="37">
        <f>'Data Sheet'!M23</f>
        <v>30.91</v>
      </c>
    </row>
    <row r="55" spans="2:10" x14ac:dyDescent="0.3">
      <c r="B55" s="6">
        <v>9</v>
      </c>
      <c r="C55" s="2" t="str">
        <f t="shared" si="14"/>
        <v>Mphasis</v>
      </c>
      <c r="D55" s="16">
        <f>'Data Sheet'!G24/100</f>
        <v>5.96E-2</v>
      </c>
      <c r="E55" s="16">
        <f>'Data Sheet'!H24/100</f>
        <v>5.6600000000000004E-2</v>
      </c>
      <c r="F55" s="16">
        <f>'Data Sheet'!I24/100</f>
        <v>2.6000000000000002E-2</v>
      </c>
      <c r="G55" s="16">
        <f>'Data Sheet'!J24/100</f>
        <v>0.1938</v>
      </c>
      <c r="H55" s="16">
        <f>'Data Sheet'!L24/100</f>
        <v>0.25190000000000001</v>
      </c>
      <c r="I55" s="15">
        <f>'Data Sheet'!K24</f>
        <v>0.21</v>
      </c>
      <c r="J55" s="37">
        <f>'Data Sheet'!M24</f>
        <v>16.079999999999998</v>
      </c>
    </row>
    <row r="56" spans="2:10" x14ac:dyDescent="0.3">
      <c r="B56" s="10">
        <v>10</v>
      </c>
      <c r="C56" s="11" t="str">
        <f t="shared" si="14"/>
        <v>Coforge</v>
      </c>
      <c r="D56" s="19">
        <f>'Data Sheet'!G25/100</f>
        <v>0.23280000000000001</v>
      </c>
      <c r="E56" s="19">
        <f>'Data Sheet'!H25/100</f>
        <v>6.5299999999999997E-2</v>
      </c>
      <c r="F56" s="19">
        <f>'Data Sheet'!I25/100</f>
        <v>0.1125</v>
      </c>
      <c r="G56" s="19">
        <f>'Data Sheet'!J25/100</f>
        <v>0.2087</v>
      </c>
      <c r="H56" s="19">
        <f>'Data Sheet'!L25/100</f>
        <v>0.26780000000000004</v>
      </c>
      <c r="I56" s="18">
        <f>'Data Sheet'!K25</f>
        <v>0.14000000000000001</v>
      </c>
      <c r="J56" s="38">
        <f>'Data Sheet'!M25</f>
        <v>12.13</v>
      </c>
    </row>
    <row r="58" spans="2:10" x14ac:dyDescent="0.3">
      <c r="C58" s="25" t="s">
        <v>46</v>
      </c>
      <c r="D58" s="27">
        <f>MAX(D47:D56)</f>
        <v>0.2787</v>
      </c>
      <c r="E58" s="27">
        <f t="shared" ref="E58:J58" si="15">MAX(E47:E56)</f>
        <v>0.27</v>
      </c>
      <c r="F58" s="27">
        <f t="shared" si="15"/>
        <v>0.28149999999999997</v>
      </c>
      <c r="G58" s="27">
        <f t="shared" si="15"/>
        <v>0.503</v>
      </c>
      <c r="H58" s="27">
        <f t="shared" si="15"/>
        <v>0.62519999999999998</v>
      </c>
      <c r="I58" s="39">
        <f t="shared" si="15"/>
        <v>0.21</v>
      </c>
      <c r="J58" s="40">
        <f t="shared" si="15"/>
        <v>98.22</v>
      </c>
    </row>
    <row r="59" spans="2:10" x14ac:dyDescent="0.3">
      <c r="C59" s="29" t="s">
        <v>47</v>
      </c>
      <c r="D59" s="31">
        <f>QUARTILE(D47:D56,3)</f>
        <v>0.12740000000000001</v>
      </c>
      <c r="E59" s="31">
        <f t="shared" ref="E59:J59" si="16">QUARTILE(E47:E56,3)</f>
        <v>8.1424999999999997E-2</v>
      </c>
      <c r="F59" s="31">
        <f t="shared" si="16"/>
        <v>0.10435</v>
      </c>
      <c r="G59" s="31">
        <f t="shared" si="16"/>
        <v>0.27007500000000001</v>
      </c>
      <c r="H59" s="31">
        <f t="shared" si="16"/>
        <v>0.36937500000000001</v>
      </c>
      <c r="I59" s="41">
        <f t="shared" si="16"/>
        <v>0.13250000000000001</v>
      </c>
      <c r="J59" s="42">
        <f t="shared" si="16"/>
        <v>32.612499999999997</v>
      </c>
    </row>
    <row r="60" spans="2:10" x14ac:dyDescent="0.3">
      <c r="C60" s="29" t="s">
        <v>48</v>
      </c>
      <c r="D60" s="31">
        <f>AVERAGE(D47:D56)</f>
        <v>0.12095</v>
      </c>
      <c r="E60" s="31">
        <f t="shared" ref="E60:J60" si="17">AVERAGE(E47:E56)</f>
        <v>6.7310000000000009E-2</v>
      </c>
      <c r="F60" s="31">
        <f t="shared" si="17"/>
        <v>6.9140000000000007E-2</v>
      </c>
      <c r="G60" s="31">
        <f t="shared" si="17"/>
        <v>0.25111</v>
      </c>
      <c r="H60" s="31">
        <f t="shared" si="17"/>
        <v>0.32007000000000002</v>
      </c>
      <c r="I60" s="41">
        <f t="shared" si="17"/>
        <v>0.10800000000000001</v>
      </c>
      <c r="J60" s="42">
        <f t="shared" si="17"/>
        <v>33.884999999999998</v>
      </c>
    </row>
    <row r="61" spans="2:10" x14ac:dyDescent="0.3">
      <c r="C61" s="21" t="s">
        <v>49</v>
      </c>
      <c r="D61" s="23">
        <f>MEDIAN(D47:D56)</f>
        <v>0.1013</v>
      </c>
      <c r="E61" s="23">
        <f t="shared" ref="E61:J61" si="18">MEDIAN(E47:E56)</f>
        <v>6.4899999999999999E-2</v>
      </c>
      <c r="F61" s="23">
        <f t="shared" si="18"/>
        <v>4.7200000000000006E-2</v>
      </c>
      <c r="G61" s="23">
        <f t="shared" si="18"/>
        <v>0.2409</v>
      </c>
      <c r="H61" s="23">
        <f t="shared" si="18"/>
        <v>0.29894999999999999</v>
      </c>
      <c r="I61" s="43">
        <f t="shared" si="18"/>
        <v>0.1</v>
      </c>
      <c r="J61" s="44">
        <f t="shared" si="18"/>
        <v>28.340000000000003</v>
      </c>
    </row>
    <row r="62" spans="2:10" x14ac:dyDescent="0.3">
      <c r="C62" s="29" t="s">
        <v>50</v>
      </c>
      <c r="D62" s="31">
        <f>QUARTILE(D47:D56,1)</f>
        <v>6.8324999999999997E-2</v>
      </c>
      <c r="E62" s="31">
        <f t="shared" ref="E62:J62" si="19">QUARTILE(E47:E56,1)</f>
        <v>5.3225000000000001E-2</v>
      </c>
      <c r="F62" s="31">
        <f t="shared" si="19"/>
        <v>-1.4775E-2</v>
      </c>
      <c r="G62" s="31">
        <f t="shared" si="19"/>
        <v>0.19752500000000001</v>
      </c>
      <c r="H62" s="31">
        <f t="shared" si="19"/>
        <v>0.25587500000000002</v>
      </c>
      <c r="I62" s="41">
        <f t="shared" si="19"/>
        <v>7.7500000000000013E-2</v>
      </c>
      <c r="J62" s="42">
        <f t="shared" si="19"/>
        <v>17.189999999999998</v>
      </c>
    </row>
    <row r="63" spans="2:10" x14ac:dyDescent="0.3">
      <c r="C63" s="33" t="s">
        <v>51</v>
      </c>
      <c r="D63" s="35">
        <f>MIN(D47:D56)</f>
        <v>3.95E-2</v>
      </c>
      <c r="E63" s="35">
        <f t="shared" ref="E63:J63" si="20">MIN(E47:E56)</f>
        <v>-0.10769999999999999</v>
      </c>
      <c r="F63" s="35">
        <f t="shared" si="20"/>
        <v>-8.9600000000000013E-2</v>
      </c>
      <c r="G63" s="35">
        <f t="shared" si="20"/>
        <v>0.1363</v>
      </c>
      <c r="H63" s="35">
        <f t="shared" si="20"/>
        <v>0.17530000000000001</v>
      </c>
      <c r="I63" s="45">
        <f t="shared" si="20"/>
        <v>0</v>
      </c>
      <c r="J63" s="46">
        <f t="shared" si="20"/>
        <v>12.13</v>
      </c>
    </row>
    <row r="64" spans="2:10" x14ac:dyDescent="0.3">
      <c r="J64" s="94"/>
    </row>
    <row r="65" spans="2:10" x14ac:dyDescent="0.3">
      <c r="B65" s="5" t="s">
        <v>75</v>
      </c>
    </row>
    <row r="67" spans="2:10" ht="13.8" customHeight="1" x14ac:dyDescent="0.3">
      <c r="B67" s="111" t="s">
        <v>1</v>
      </c>
      <c r="C67" s="113" t="s">
        <v>2</v>
      </c>
      <c r="D67" s="113" t="s">
        <v>80</v>
      </c>
      <c r="E67" s="113" t="s">
        <v>76</v>
      </c>
      <c r="F67" s="113" t="s">
        <v>77</v>
      </c>
      <c r="G67" s="113" t="s">
        <v>79</v>
      </c>
      <c r="H67" s="113" t="s">
        <v>78</v>
      </c>
      <c r="I67" s="113" t="s">
        <v>81</v>
      </c>
      <c r="J67" s="109" t="s">
        <v>82</v>
      </c>
    </row>
    <row r="68" spans="2:10" ht="13.8" customHeight="1" x14ac:dyDescent="0.3">
      <c r="B68" s="112"/>
      <c r="C68" s="114"/>
      <c r="D68" s="114"/>
      <c r="E68" s="114"/>
      <c r="F68" s="114"/>
      <c r="G68" s="114"/>
      <c r="H68" s="114"/>
      <c r="I68" s="114"/>
      <c r="J68" s="110"/>
    </row>
    <row r="69" spans="2:10" x14ac:dyDescent="0.3">
      <c r="B69" s="98">
        <v>1</v>
      </c>
      <c r="C69" s="2" t="s">
        <v>16</v>
      </c>
      <c r="D69" s="77">
        <f t="shared" ref="D69:D78" si="21">K10</f>
        <v>260802</v>
      </c>
      <c r="E69" s="2">
        <f>'Data Sheet'!E28</f>
        <v>10.220000000000001</v>
      </c>
      <c r="F69" s="2">
        <f>'Data Sheet'!F28</f>
        <v>26.96</v>
      </c>
      <c r="G69" s="78">
        <v>607354</v>
      </c>
      <c r="H69" s="79">
        <f>D69/G69</f>
        <v>0.42940690272888626</v>
      </c>
      <c r="I69" s="80">
        <v>0.13300000000000001</v>
      </c>
      <c r="J69" s="81">
        <v>0.85099999999999998</v>
      </c>
    </row>
    <row r="70" spans="2:10" x14ac:dyDescent="0.3">
      <c r="B70" s="98">
        <v>2</v>
      </c>
      <c r="C70" s="2" t="s">
        <v>17</v>
      </c>
      <c r="D70" s="77">
        <f t="shared" si="21"/>
        <v>173173</v>
      </c>
      <c r="E70" s="2">
        <f>'Data Sheet'!E29</f>
        <v>12.41</v>
      </c>
      <c r="F70" s="2">
        <f>'Data Sheet'!F29</f>
        <v>24.82</v>
      </c>
      <c r="G70" s="78">
        <v>323578</v>
      </c>
      <c r="H70" s="79">
        <f t="shared" ref="H70:H78" si="22">D70/G70</f>
        <v>0.53518162545043235</v>
      </c>
      <c r="I70" s="80">
        <v>0.13700000000000001</v>
      </c>
      <c r="J70" s="81">
        <v>0.84</v>
      </c>
    </row>
    <row r="71" spans="2:10" x14ac:dyDescent="0.3">
      <c r="B71" s="98">
        <v>3</v>
      </c>
      <c r="C71" s="2" t="s">
        <v>18</v>
      </c>
      <c r="D71" s="77">
        <f t="shared" si="21"/>
        <v>126409</v>
      </c>
      <c r="E71" s="2">
        <f>'Data Sheet'!E30</f>
        <v>10.62</v>
      </c>
      <c r="F71" s="2">
        <f>'Data Sheet'!F30</f>
        <v>23.07</v>
      </c>
      <c r="G71" s="78">
        <v>223420</v>
      </c>
      <c r="H71" s="79">
        <f t="shared" si="22"/>
        <v>0.56579088711843162</v>
      </c>
      <c r="I71" s="80">
        <v>0.129</v>
      </c>
      <c r="J71" s="81">
        <v>0.83</v>
      </c>
    </row>
    <row r="72" spans="2:10" x14ac:dyDescent="0.3">
      <c r="B72" s="98">
        <v>4</v>
      </c>
      <c r="C72" s="2" t="s">
        <v>19</v>
      </c>
      <c r="D72" s="77">
        <f t="shared" si="21"/>
        <v>90891.9</v>
      </c>
      <c r="E72" s="2">
        <f>'Data Sheet'!E31</f>
        <v>7.82</v>
      </c>
      <c r="F72" s="2">
        <f>'Data Sheet'!F31</f>
        <v>20.23</v>
      </c>
      <c r="G72" s="78">
        <v>233346</v>
      </c>
      <c r="H72" s="79">
        <f t="shared" si="22"/>
        <v>0.38951556915481728</v>
      </c>
      <c r="I72" s="80">
        <v>0.151</v>
      </c>
      <c r="J72" s="81">
        <v>0.82</v>
      </c>
    </row>
    <row r="73" spans="2:10" x14ac:dyDescent="0.3">
      <c r="B73" s="98">
        <v>5</v>
      </c>
      <c r="C73" s="2" t="s">
        <v>20</v>
      </c>
      <c r="D73" s="77">
        <f t="shared" si="21"/>
        <v>55123.3</v>
      </c>
      <c r="E73" s="2">
        <f>'Data Sheet'!E32</f>
        <v>7.52</v>
      </c>
      <c r="F73" s="2">
        <f>'Data Sheet'!F32</f>
        <v>14.14</v>
      </c>
      <c r="G73" s="78">
        <v>148731</v>
      </c>
      <c r="H73" s="79">
        <f t="shared" si="22"/>
        <v>0.37062414694986251</v>
      </c>
      <c r="I73" s="80">
        <v>0.124</v>
      </c>
      <c r="J73" s="81">
        <v>0.81</v>
      </c>
    </row>
    <row r="74" spans="2:10" x14ac:dyDescent="0.3">
      <c r="B74" s="98">
        <v>6</v>
      </c>
      <c r="C74" s="2" t="s">
        <v>21</v>
      </c>
      <c r="D74" s="77">
        <f t="shared" si="21"/>
        <v>40787.599999999999</v>
      </c>
      <c r="E74" s="2">
        <f>'Data Sheet'!E33</f>
        <v>28.43</v>
      </c>
      <c r="F74" s="2">
        <f>'Data Sheet'!F33</f>
        <v>18.57</v>
      </c>
      <c r="G74" s="78">
        <v>81000</v>
      </c>
      <c r="H74" s="79">
        <f t="shared" si="22"/>
        <v>0.50355061728395056</v>
      </c>
      <c r="I74" s="80">
        <v>0.14599999999999999</v>
      </c>
      <c r="J74" s="81">
        <v>0.83499999999999996</v>
      </c>
    </row>
    <row r="75" spans="2:10" x14ac:dyDescent="0.3">
      <c r="B75" s="98">
        <v>7</v>
      </c>
      <c r="C75" s="2" t="s">
        <v>22</v>
      </c>
      <c r="D75" s="77">
        <f t="shared" si="21"/>
        <v>13934.63</v>
      </c>
      <c r="E75" s="2">
        <f>'Data Sheet'!E34</f>
        <v>27.34</v>
      </c>
      <c r="F75" s="2">
        <f>'Data Sheet'!F34</f>
        <v>17.23</v>
      </c>
      <c r="G75" s="78">
        <v>25000</v>
      </c>
      <c r="H75" s="79">
        <f t="shared" si="22"/>
        <v>0.55738519999999991</v>
      </c>
      <c r="I75" s="80">
        <v>0.11799999999999999</v>
      </c>
      <c r="J75" s="81">
        <v>0.85499999999999998</v>
      </c>
    </row>
    <row r="76" spans="2:10" x14ac:dyDescent="0.3">
      <c r="B76" s="98">
        <v>8</v>
      </c>
      <c r="C76" s="2" t="s">
        <v>23</v>
      </c>
      <c r="D76" s="77">
        <f t="shared" si="21"/>
        <v>7323.2</v>
      </c>
      <c r="E76" s="2">
        <f>'Data Sheet'!E35</f>
        <v>7.09</v>
      </c>
      <c r="F76" s="2">
        <f>'Data Sheet'!F35</f>
        <v>45.66</v>
      </c>
      <c r="G76" s="78">
        <v>32500</v>
      </c>
      <c r="H76" s="79">
        <f t="shared" si="22"/>
        <v>0.22532923076923075</v>
      </c>
      <c r="I76" s="80">
        <v>0.10199999999999999</v>
      </c>
      <c r="J76" s="82" t="s">
        <v>83</v>
      </c>
    </row>
    <row r="77" spans="2:10" x14ac:dyDescent="0.3">
      <c r="B77" s="98">
        <v>9</v>
      </c>
      <c r="C77" s="2" t="s">
        <v>24</v>
      </c>
      <c r="D77" s="77">
        <f t="shared" si="21"/>
        <v>15347.02</v>
      </c>
      <c r="E77" s="2">
        <f>'Data Sheet'!E36</f>
        <v>9.98</v>
      </c>
      <c r="F77" s="2">
        <f>'Data Sheet'!F36</f>
        <v>18.13</v>
      </c>
      <c r="G77" s="78">
        <v>30000</v>
      </c>
      <c r="H77" s="79">
        <f t="shared" si="22"/>
        <v>0.51156733333333337</v>
      </c>
      <c r="I77" s="80">
        <v>0.17199999999999999</v>
      </c>
      <c r="J77" s="81">
        <v>0.82799999999999996</v>
      </c>
    </row>
    <row r="78" spans="2:10" x14ac:dyDescent="0.3">
      <c r="B78" s="99">
        <v>10</v>
      </c>
      <c r="C78" s="11" t="s">
        <v>25</v>
      </c>
      <c r="D78" s="83">
        <f t="shared" si="21"/>
        <v>15272.3</v>
      </c>
      <c r="E78" s="11">
        <f>'Data Sheet'!E37</f>
        <v>23.56</v>
      </c>
      <c r="F78" s="11">
        <f>'Data Sheet'!F37</f>
        <v>15.7</v>
      </c>
      <c r="G78" s="84">
        <v>7000</v>
      </c>
      <c r="H78" s="85">
        <f t="shared" si="22"/>
        <v>2.1817571428571427</v>
      </c>
      <c r="I78" s="86">
        <v>0.158</v>
      </c>
      <c r="J78" s="87">
        <v>0.83</v>
      </c>
    </row>
    <row r="80" spans="2:10" x14ac:dyDescent="0.3">
      <c r="C80" s="25" t="s">
        <v>46</v>
      </c>
      <c r="D80" s="69">
        <f>MAX(D69:D78)</f>
        <v>260802</v>
      </c>
      <c r="E80" s="27">
        <f>MAX(E69:E78)/100</f>
        <v>0.2843</v>
      </c>
      <c r="F80" s="27">
        <f>MAX(F69:F78)/100</f>
        <v>0.45659999999999995</v>
      </c>
      <c r="G80" s="73">
        <f t="shared" ref="G80:J80" si="23">MAX(G69:G78)</f>
        <v>607354</v>
      </c>
      <c r="H80" s="39">
        <f t="shared" si="23"/>
        <v>2.1817571428571427</v>
      </c>
      <c r="I80" s="39">
        <f t="shared" si="23"/>
        <v>0.17199999999999999</v>
      </c>
      <c r="J80" s="40">
        <f t="shared" si="23"/>
        <v>0.85499999999999998</v>
      </c>
    </row>
    <row r="81" spans="2:14" x14ac:dyDescent="0.3">
      <c r="C81" s="29" t="s">
        <v>47</v>
      </c>
      <c r="D81" s="70">
        <f>QUARTILE(D69:D78,3)</f>
        <v>117529.72500000001</v>
      </c>
      <c r="E81" s="31">
        <f>QUARTILE(E69:E78,3)/100</f>
        <v>0.20772500000000002</v>
      </c>
      <c r="F81" s="31">
        <f>QUARTILE(F69:F78,3)/100</f>
        <v>0.24382500000000001</v>
      </c>
      <c r="G81" s="74">
        <f t="shared" ref="G81:J81" si="24">QUARTILE(G69:G78,3)</f>
        <v>230864.5</v>
      </c>
      <c r="H81" s="41">
        <f t="shared" si="24"/>
        <v>0.551834306362608</v>
      </c>
      <c r="I81" s="41">
        <f t="shared" si="24"/>
        <v>0.14974999999999999</v>
      </c>
      <c r="J81" s="42">
        <f t="shared" si="24"/>
        <v>0.84</v>
      </c>
    </row>
    <row r="82" spans="2:14" x14ac:dyDescent="0.3">
      <c r="C82" s="29" t="s">
        <v>48</v>
      </c>
      <c r="D82" s="70">
        <f>AVERAGE(D69:D78)</f>
        <v>79906.395000000004</v>
      </c>
      <c r="E82" s="31">
        <f>AVERAGE(E69:E78)/100</f>
        <v>0.14499000000000001</v>
      </c>
      <c r="F82" s="31">
        <f>AVERAGE(F69:F78)/100</f>
        <v>0.22450999999999996</v>
      </c>
      <c r="G82" s="74">
        <f t="shared" ref="G82:J82" si="25">AVERAGE(G69:G78)</f>
        <v>171192.9</v>
      </c>
      <c r="H82" s="41">
        <f t="shared" si="25"/>
        <v>0.62701086556460872</v>
      </c>
      <c r="I82" s="41">
        <f t="shared" si="25"/>
        <v>0.13699999999999998</v>
      </c>
      <c r="J82" s="42">
        <f t="shared" si="25"/>
        <v>0.8332222222222222</v>
      </c>
    </row>
    <row r="83" spans="2:14" x14ac:dyDescent="0.3">
      <c r="C83" s="21" t="s">
        <v>49</v>
      </c>
      <c r="D83" s="71">
        <f>MEDIAN(D69:D78)</f>
        <v>47955.45</v>
      </c>
      <c r="E83" s="23">
        <f>MEDIAN(E69:E78)/100</f>
        <v>0.1042</v>
      </c>
      <c r="F83" s="23">
        <f>MEDIAN(F69:F78)/100</f>
        <v>0.19399999999999998</v>
      </c>
      <c r="G83" s="75">
        <f t="shared" ref="G83:J83" si="26">MEDIAN(G69:G78)</f>
        <v>114865.5</v>
      </c>
      <c r="H83" s="43">
        <f t="shared" si="26"/>
        <v>0.50755897530864202</v>
      </c>
      <c r="I83" s="43">
        <f t="shared" si="26"/>
        <v>0.13500000000000001</v>
      </c>
      <c r="J83" s="44">
        <f t="shared" si="26"/>
        <v>0.83</v>
      </c>
    </row>
    <row r="84" spans="2:14" x14ac:dyDescent="0.3">
      <c r="C84" s="29" t="s">
        <v>50</v>
      </c>
      <c r="D84" s="70">
        <f>QUARTILE(D69:D78,1)</f>
        <v>15290.98</v>
      </c>
      <c r="E84" s="31">
        <f>QUARTILE(E69:E78,1)/100</f>
        <v>8.3599999999999994E-2</v>
      </c>
      <c r="F84" s="31">
        <f>QUARTILE(F69:F78,1)/100</f>
        <v>0.17454999999999998</v>
      </c>
      <c r="G84" s="74">
        <f t="shared" ref="G84:J84" si="27">QUARTILE(G69:G78,1)</f>
        <v>30625</v>
      </c>
      <c r="H84" s="41">
        <f t="shared" si="27"/>
        <v>0.39948840254833451</v>
      </c>
      <c r="I84" s="41">
        <f t="shared" si="27"/>
        <v>0.12525</v>
      </c>
      <c r="J84" s="42">
        <f t="shared" si="27"/>
        <v>0.82799999999999996</v>
      </c>
    </row>
    <row r="85" spans="2:14" x14ac:dyDescent="0.3">
      <c r="C85" s="33" t="s">
        <v>51</v>
      </c>
      <c r="D85" s="72">
        <f>MIN(D69:D78)</f>
        <v>7323.2</v>
      </c>
      <c r="E85" s="35">
        <f>MIN(E69:E78)/100</f>
        <v>7.0900000000000005E-2</v>
      </c>
      <c r="F85" s="35">
        <f>MIN(F69:F78)/100</f>
        <v>0.1414</v>
      </c>
      <c r="G85" s="76">
        <f t="shared" ref="G85:J85" si="28">MIN(G69:G78)</f>
        <v>7000</v>
      </c>
      <c r="H85" s="45">
        <f t="shared" si="28"/>
        <v>0.22532923076923075</v>
      </c>
      <c r="I85" s="45">
        <f t="shared" si="28"/>
        <v>0.10199999999999999</v>
      </c>
      <c r="J85" s="46">
        <f t="shared" si="28"/>
        <v>0.81</v>
      </c>
    </row>
    <row r="88" spans="2:14" x14ac:dyDescent="0.3">
      <c r="B88" s="5" t="s">
        <v>84</v>
      </c>
    </row>
    <row r="89" spans="2:14" x14ac:dyDescent="0.3">
      <c r="B89" s="55" t="s">
        <v>67</v>
      </c>
    </row>
    <row r="91" spans="2:14" x14ac:dyDescent="0.3">
      <c r="B91" s="104" t="s">
        <v>66</v>
      </c>
      <c r="C91" s="100" t="s">
        <v>65</v>
      </c>
      <c r="D91" s="100" t="s">
        <v>64</v>
      </c>
      <c r="E91" s="100" t="s">
        <v>16</v>
      </c>
      <c r="F91" s="100" t="s">
        <v>17</v>
      </c>
      <c r="G91" s="100" t="s">
        <v>18</v>
      </c>
      <c r="H91" s="100" t="s">
        <v>19</v>
      </c>
      <c r="I91" s="100" t="s">
        <v>20</v>
      </c>
      <c r="J91" s="100" t="s">
        <v>21</v>
      </c>
      <c r="K91" s="100" t="s">
        <v>22</v>
      </c>
      <c r="L91" s="100" t="s">
        <v>23</v>
      </c>
      <c r="M91" s="100" t="s">
        <v>24</v>
      </c>
      <c r="N91" s="102" t="s">
        <v>25</v>
      </c>
    </row>
    <row r="92" spans="2:14" x14ac:dyDescent="0.3">
      <c r="B92" s="108"/>
      <c r="C92" s="101"/>
      <c r="D92" s="101"/>
      <c r="E92" s="101"/>
      <c r="F92" s="101"/>
      <c r="G92" s="101"/>
      <c r="H92" s="101"/>
      <c r="I92" s="101"/>
      <c r="J92" s="101"/>
      <c r="K92" s="101"/>
      <c r="L92" s="101"/>
      <c r="M92" s="101"/>
      <c r="N92" s="103"/>
    </row>
    <row r="93" spans="2:14" x14ac:dyDescent="0.3">
      <c r="B93" s="48">
        <v>46089</v>
      </c>
      <c r="C93" s="50">
        <v>23866.85</v>
      </c>
      <c r="D93" s="50">
        <v>29651.7</v>
      </c>
      <c r="E93" s="50">
        <v>2461</v>
      </c>
      <c r="F93" s="50">
        <v>1275.8</v>
      </c>
      <c r="G93" s="50">
        <v>1350.6</v>
      </c>
      <c r="H93" s="50">
        <v>201.8</v>
      </c>
      <c r="I93" s="50">
        <v>1334.2</v>
      </c>
      <c r="J93" s="50">
        <v>4274</v>
      </c>
      <c r="K93" s="50">
        <v>4747.8999999999996</v>
      </c>
      <c r="L93" s="50">
        <v>6770.5</v>
      </c>
      <c r="M93" s="50">
        <v>2178</v>
      </c>
      <c r="N93" s="47">
        <v>1111</v>
      </c>
    </row>
    <row r="94" spans="2:14" hidden="1" outlineLevel="2" x14ac:dyDescent="0.3">
      <c r="B94" s="48">
        <v>46082</v>
      </c>
      <c r="C94" s="50">
        <v>24450.45</v>
      </c>
      <c r="D94" s="50">
        <v>30138.400000000001</v>
      </c>
      <c r="E94" s="50">
        <v>2557.6</v>
      </c>
      <c r="F94" s="50">
        <v>1308.4000000000001</v>
      </c>
      <c r="G94" s="50">
        <v>1356.7</v>
      </c>
      <c r="H94" s="50">
        <v>195.4</v>
      </c>
      <c r="I94" s="50">
        <v>1331.7</v>
      </c>
      <c r="J94" s="50">
        <v>4292</v>
      </c>
      <c r="K94" s="50">
        <v>4777.5</v>
      </c>
      <c r="L94" s="50">
        <v>6718</v>
      </c>
      <c r="M94" s="50">
        <v>2214.8000000000002</v>
      </c>
      <c r="N94" s="47">
        <v>1162.9000000000001</v>
      </c>
    </row>
    <row r="95" spans="2:14" hidden="1" outlineLevel="2" x14ac:dyDescent="0.3">
      <c r="B95" s="48">
        <v>46075</v>
      </c>
      <c r="C95" s="50">
        <v>25178.65</v>
      </c>
      <c r="D95" s="50">
        <v>30603.85</v>
      </c>
      <c r="E95" s="50">
        <v>2637.4</v>
      </c>
      <c r="F95" s="50">
        <v>1300.0999999999999</v>
      </c>
      <c r="G95" s="50">
        <v>1389.1</v>
      </c>
      <c r="H95" s="50">
        <v>200.96</v>
      </c>
      <c r="I95" s="50">
        <v>1357.8</v>
      </c>
      <c r="J95" s="50">
        <v>4462</v>
      </c>
      <c r="K95" s="50">
        <v>4733</v>
      </c>
      <c r="L95" s="50">
        <v>6932</v>
      </c>
      <c r="M95" s="50">
        <v>2296.5</v>
      </c>
      <c r="N95" s="47">
        <v>1185.8</v>
      </c>
    </row>
    <row r="96" spans="2:14" hidden="1" outlineLevel="2" x14ac:dyDescent="0.3">
      <c r="B96" s="48">
        <v>46068</v>
      </c>
      <c r="C96" s="50">
        <v>25571.25</v>
      </c>
      <c r="D96" s="50">
        <v>32004.05</v>
      </c>
      <c r="E96" s="50">
        <v>2686.2</v>
      </c>
      <c r="F96" s="50">
        <v>1353.2</v>
      </c>
      <c r="G96" s="50">
        <v>1436.5</v>
      </c>
      <c r="H96" s="50">
        <v>209.86</v>
      </c>
      <c r="I96" s="50">
        <v>1456.9</v>
      </c>
      <c r="J96" s="50">
        <v>4889.5</v>
      </c>
      <c r="K96" s="50">
        <v>5092</v>
      </c>
      <c r="L96" s="50">
        <v>6642.5</v>
      </c>
      <c r="M96" s="50">
        <v>2373.8000000000002</v>
      </c>
      <c r="N96" s="47">
        <v>1340.6</v>
      </c>
    </row>
    <row r="97" spans="2:14" hidden="1" outlineLevel="2" x14ac:dyDescent="0.3">
      <c r="B97" s="48">
        <v>46061</v>
      </c>
      <c r="C97" s="51">
        <v>25471.1</v>
      </c>
      <c r="D97" s="51">
        <v>32681.5</v>
      </c>
      <c r="E97" s="51">
        <v>2692.2</v>
      </c>
      <c r="F97" s="51">
        <v>1369.1</v>
      </c>
      <c r="G97" s="51">
        <v>1455.2</v>
      </c>
      <c r="H97" s="51">
        <v>214.09</v>
      </c>
      <c r="I97" s="51">
        <v>1534.4</v>
      </c>
      <c r="J97" s="51">
        <v>5115.5</v>
      </c>
      <c r="K97" s="51">
        <v>5479</v>
      </c>
      <c r="L97" s="51">
        <v>6639</v>
      </c>
      <c r="M97" s="51">
        <v>2458.4</v>
      </c>
      <c r="N97" s="52">
        <v>1361.8</v>
      </c>
    </row>
    <row r="98" spans="2:14" hidden="1" outlineLevel="2" x14ac:dyDescent="0.3">
      <c r="B98" s="48">
        <v>46054</v>
      </c>
      <c r="C98" s="51">
        <v>25693.7</v>
      </c>
      <c r="D98" s="51">
        <v>35611.050000000003</v>
      </c>
      <c r="E98" s="51">
        <v>2941.6</v>
      </c>
      <c r="F98" s="51">
        <v>1507.1</v>
      </c>
      <c r="G98" s="51">
        <v>1593.7</v>
      </c>
      <c r="H98" s="51">
        <v>230.72</v>
      </c>
      <c r="I98" s="51">
        <v>1619.9</v>
      </c>
      <c r="J98" s="51">
        <v>5561.5</v>
      </c>
      <c r="K98" s="51">
        <v>5852</v>
      </c>
      <c r="L98" s="51">
        <v>7264</v>
      </c>
      <c r="M98" s="51">
        <v>2610.5</v>
      </c>
      <c r="N98" s="52">
        <v>1546</v>
      </c>
    </row>
    <row r="99" spans="2:14" hidden="1" outlineLevel="2" x14ac:dyDescent="0.3">
      <c r="B99" s="48">
        <v>46047</v>
      </c>
      <c r="C99" s="51">
        <v>25320.65</v>
      </c>
      <c r="D99" s="51">
        <v>38036.15</v>
      </c>
      <c r="E99" s="51">
        <v>3123.9</v>
      </c>
      <c r="F99" s="51">
        <v>1641</v>
      </c>
      <c r="G99" s="51">
        <v>1695.6</v>
      </c>
      <c r="H99" s="51">
        <v>236.9</v>
      </c>
      <c r="I99" s="51">
        <v>1743.1</v>
      </c>
      <c r="J99" s="51">
        <v>5974.5</v>
      </c>
      <c r="K99" s="51">
        <v>6035</v>
      </c>
      <c r="L99" s="51">
        <v>7760</v>
      </c>
      <c r="M99" s="51">
        <v>2759</v>
      </c>
      <c r="N99" s="52">
        <v>1653.8</v>
      </c>
    </row>
    <row r="100" spans="2:14" hidden="1" outlineLevel="2" x14ac:dyDescent="0.3">
      <c r="B100" s="48">
        <v>46040</v>
      </c>
      <c r="C100" s="51">
        <v>25048.65</v>
      </c>
      <c r="D100" s="51">
        <v>38238.5</v>
      </c>
      <c r="E100" s="51">
        <v>3162.5</v>
      </c>
      <c r="F100" s="51">
        <v>1670.8</v>
      </c>
      <c r="G100" s="51">
        <v>1707</v>
      </c>
      <c r="H100" s="51">
        <v>238.4</v>
      </c>
      <c r="I100" s="51">
        <v>1701.1</v>
      </c>
      <c r="J100" s="51">
        <v>5893.5</v>
      </c>
      <c r="K100" s="51">
        <v>6155</v>
      </c>
      <c r="L100" s="51">
        <v>7956</v>
      </c>
      <c r="M100" s="51">
        <v>2752.8</v>
      </c>
      <c r="N100" s="52">
        <v>1636.4</v>
      </c>
    </row>
    <row r="101" spans="2:14" hidden="1" outlineLevel="2" x14ac:dyDescent="0.3">
      <c r="B101" s="48">
        <v>46033</v>
      </c>
      <c r="C101" s="51">
        <v>25694.35</v>
      </c>
      <c r="D101" s="51">
        <v>39086.65</v>
      </c>
      <c r="E101" s="51">
        <v>3206.7</v>
      </c>
      <c r="F101" s="51">
        <v>1689.8</v>
      </c>
      <c r="G101" s="51">
        <v>1698</v>
      </c>
      <c r="H101" s="51">
        <v>267.45</v>
      </c>
      <c r="I101" s="51">
        <v>1670.5</v>
      </c>
      <c r="J101" s="51">
        <v>6308</v>
      </c>
      <c r="K101" s="51">
        <v>6403</v>
      </c>
      <c r="L101" s="51">
        <v>7959.5</v>
      </c>
      <c r="M101" s="51">
        <v>2886.5</v>
      </c>
      <c r="N101" s="52">
        <v>1732.3</v>
      </c>
    </row>
    <row r="102" spans="2:14" hidden="1" outlineLevel="2" x14ac:dyDescent="0.3">
      <c r="B102" s="48">
        <v>46026</v>
      </c>
      <c r="C102" s="51">
        <v>25683.3</v>
      </c>
      <c r="D102" s="51">
        <v>38027.199999999997</v>
      </c>
      <c r="E102" s="51">
        <v>3161.58</v>
      </c>
      <c r="F102" s="51">
        <v>1614.1</v>
      </c>
      <c r="G102" s="51">
        <v>1661.4</v>
      </c>
      <c r="H102" s="51">
        <v>261.95</v>
      </c>
      <c r="I102" s="51">
        <v>1582.2</v>
      </c>
      <c r="J102" s="51">
        <v>6037</v>
      </c>
      <c r="K102" s="51">
        <v>6417</v>
      </c>
      <c r="L102" s="51">
        <v>7597.5</v>
      </c>
      <c r="M102" s="51">
        <v>2838.2</v>
      </c>
      <c r="N102" s="52">
        <v>1681.6</v>
      </c>
    </row>
    <row r="103" spans="2:14" hidden="1" outlineLevel="2" x14ac:dyDescent="0.3">
      <c r="B103" s="48">
        <v>46019</v>
      </c>
      <c r="C103" s="51">
        <v>26328.55</v>
      </c>
      <c r="D103" s="51">
        <v>38320.300000000003</v>
      </c>
      <c r="E103" s="51">
        <v>3203.86</v>
      </c>
      <c r="F103" s="51">
        <v>1640.4</v>
      </c>
      <c r="G103" s="51">
        <v>1640.2</v>
      </c>
      <c r="H103" s="51">
        <v>269</v>
      </c>
      <c r="I103" s="51">
        <v>1612</v>
      </c>
      <c r="J103" s="51">
        <v>6067</v>
      </c>
      <c r="K103" s="51">
        <v>6289.5</v>
      </c>
      <c r="L103" s="51">
        <v>7731.5</v>
      </c>
      <c r="M103" s="51">
        <v>2807.2</v>
      </c>
      <c r="N103" s="52">
        <v>1650.3</v>
      </c>
    </row>
    <row r="104" spans="2:14" hidden="1" outlineLevel="2" x14ac:dyDescent="0.3">
      <c r="B104" s="48">
        <v>46012</v>
      </c>
      <c r="C104" s="51">
        <v>26042.3</v>
      </c>
      <c r="D104" s="51">
        <v>38572.300000000003</v>
      </c>
      <c r="E104" s="51">
        <v>3232.74</v>
      </c>
      <c r="F104" s="51">
        <v>1656.1</v>
      </c>
      <c r="G104" s="51">
        <v>1660.9</v>
      </c>
      <c r="H104" s="51">
        <v>266.3</v>
      </c>
      <c r="I104" s="51">
        <v>1612.3</v>
      </c>
      <c r="J104" s="51">
        <v>6035.5</v>
      </c>
      <c r="K104" s="51">
        <v>6300.5</v>
      </c>
      <c r="L104" s="51">
        <v>7777</v>
      </c>
      <c r="M104" s="51">
        <v>2850.6</v>
      </c>
      <c r="N104" s="52">
        <v>1673.3</v>
      </c>
    </row>
    <row r="105" spans="2:14" hidden="1" outlineLevel="2" x14ac:dyDescent="0.3">
      <c r="B105" s="48">
        <v>46005</v>
      </c>
      <c r="C105" s="51">
        <v>25966.400000000001</v>
      </c>
      <c r="D105" s="51">
        <v>38691.599999999999</v>
      </c>
      <c r="E105" s="51">
        <v>3282</v>
      </c>
      <c r="F105" s="51">
        <v>1638.7</v>
      </c>
      <c r="G105" s="51">
        <v>1642.4</v>
      </c>
      <c r="H105" s="51">
        <v>264.45</v>
      </c>
      <c r="I105" s="51">
        <v>1612.5</v>
      </c>
      <c r="J105" s="51">
        <v>6197.5</v>
      </c>
      <c r="K105" s="51">
        <v>6358</v>
      </c>
      <c r="L105" s="51">
        <v>7823.5</v>
      </c>
      <c r="M105" s="51">
        <v>2890.2</v>
      </c>
      <c r="N105" s="52">
        <v>1845.4</v>
      </c>
    </row>
    <row r="106" spans="2:14" hidden="1" outlineLevel="2" x14ac:dyDescent="0.3">
      <c r="B106" s="48">
        <v>45998</v>
      </c>
      <c r="C106" s="51">
        <v>26046.95</v>
      </c>
      <c r="D106" s="51">
        <v>38274.75</v>
      </c>
      <c r="E106" s="51">
        <v>3220.5</v>
      </c>
      <c r="F106" s="51">
        <v>1598.2</v>
      </c>
      <c r="G106" s="51">
        <v>1673.2</v>
      </c>
      <c r="H106" s="51">
        <v>260.60000000000002</v>
      </c>
      <c r="I106" s="51">
        <v>1578.4</v>
      </c>
      <c r="J106" s="51">
        <v>6284.5</v>
      </c>
      <c r="K106" s="51">
        <v>6336.5</v>
      </c>
      <c r="L106" s="51">
        <v>7990</v>
      </c>
      <c r="M106" s="51">
        <v>2912.7</v>
      </c>
      <c r="N106" s="52">
        <v>1851</v>
      </c>
    </row>
    <row r="107" spans="2:14" hidden="1" outlineLevel="2" x14ac:dyDescent="0.3">
      <c r="B107" s="48">
        <v>45991</v>
      </c>
      <c r="C107" s="51">
        <v>26186.45</v>
      </c>
      <c r="D107" s="51">
        <v>38703.65</v>
      </c>
      <c r="E107" s="51">
        <v>3238.2</v>
      </c>
      <c r="F107" s="51">
        <v>1616.2</v>
      </c>
      <c r="G107" s="51">
        <v>1683</v>
      </c>
      <c r="H107" s="51">
        <v>259.91000000000003</v>
      </c>
      <c r="I107" s="51">
        <v>1570.8</v>
      </c>
      <c r="J107" s="51">
        <v>6292</v>
      </c>
      <c r="K107" s="51">
        <v>6520.5</v>
      </c>
      <c r="L107" s="51">
        <v>8219</v>
      </c>
      <c r="M107" s="51">
        <v>2953.6</v>
      </c>
      <c r="N107" s="52">
        <v>1977.9</v>
      </c>
    </row>
    <row r="108" spans="2:14" hidden="1" outlineLevel="2" x14ac:dyDescent="0.3">
      <c r="B108" s="48">
        <v>45984</v>
      </c>
      <c r="C108" s="51">
        <v>26202.95</v>
      </c>
      <c r="D108" s="51">
        <v>37405.5</v>
      </c>
      <c r="E108" s="51">
        <v>3137.5</v>
      </c>
      <c r="F108" s="51">
        <v>1560.1</v>
      </c>
      <c r="G108" s="51">
        <v>1624.2</v>
      </c>
      <c r="H108" s="51">
        <v>249.53</v>
      </c>
      <c r="I108" s="51">
        <v>1517.3</v>
      </c>
      <c r="J108" s="51">
        <v>6096.5</v>
      </c>
      <c r="K108" s="51">
        <v>6353</v>
      </c>
      <c r="L108" s="51">
        <v>8107</v>
      </c>
      <c r="M108" s="51">
        <v>2811.4</v>
      </c>
      <c r="N108" s="52">
        <v>1908.7</v>
      </c>
    </row>
    <row r="109" spans="2:14" hidden="1" outlineLevel="2" x14ac:dyDescent="0.3">
      <c r="B109" s="48">
        <v>45977</v>
      </c>
      <c r="C109" s="51">
        <v>26068.15</v>
      </c>
      <c r="D109" s="51">
        <v>36885.35</v>
      </c>
      <c r="E109" s="51">
        <v>3150.6</v>
      </c>
      <c r="F109" s="51">
        <v>1545</v>
      </c>
      <c r="G109" s="51">
        <v>1608</v>
      </c>
      <c r="H109" s="51">
        <v>244.49</v>
      </c>
      <c r="I109" s="51">
        <v>1461.5</v>
      </c>
      <c r="J109" s="51">
        <v>5926</v>
      </c>
      <c r="K109" s="51">
        <v>6296.5</v>
      </c>
      <c r="L109" s="51">
        <v>8169.5</v>
      </c>
      <c r="M109" s="51">
        <v>2747.1</v>
      </c>
      <c r="N109" s="52">
        <v>1797.5</v>
      </c>
    </row>
    <row r="110" spans="2:14" hidden="1" outlineLevel="2" x14ac:dyDescent="0.3">
      <c r="B110" s="48">
        <v>45970</v>
      </c>
      <c r="C110" s="51">
        <v>25910.05</v>
      </c>
      <c r="D110" s="51">
        <v>36301.25</v>
      </c>
      <c r="E110" s="51">
        <v>3106</v>
      </c>
      <c r="F110" s="51">
        <v>1502.8</v>
      </c>
      <c r="G110" s="51">
        <v>1594.6</v>
      </c>
      <c r="H110" s="51">
        <v>244.37</v>
      </c>
      <c r="I110" s="51">
        <v>1439.2</v>
      </c>
      <c r="J110" s="51">
        <v>5809</v>
      </c>
      <c r="K110" s="51">
        <v>6101</v>
      </c>
      <c r="L110" s="51">
        <v>8223.5</v>
      </c>
      <c r="M110" s="51">
        <v>2772.1</v>
      </c>
      <c r="N110" s="52">
        <v>1799.6</v>
      </c>
    </row>
    <row r="111" spans="2:14" hidden="1" outlineLevel="2" x14ac:dyDescent="0.3">
      <c r="B111" s="48">
        <v>45963</v>
      </c>
      <c r="C111" s="51">
        <v>25492.3</v>
      </c>
      <c r="D111" s="51">
        <v>35117.65</v>
      </c>
      <c r="E111" s="51">
        <v>2991.8</v>
      </c>
      <c r="F111" s="51">
        <v>1476.8</v>
      </c>
      <c r="G111" s="51">
        <v>1512.4</v>
      </c>
      <c r="H111" s="51">
        <v>236.49</v>
      </c>
      <c r="I111" s="51">
        <v>1386.7</v>
      </c>
      <c r="J111" s="51">
        <v>5567.5</v>
      </c>
      <c r="K111" s="51">
        <v>5781</v>
      </c>
      <c r="L111" s="51">
        <v>8076.5</v>
      </c>
      <c r="M111" s="51">
        <v>2736</v>
      </c>
      <c r="N111" s="52">
        <v>1740.2</v>
      </c>
    </row>
    <row r="112" spans="2:14" hidden="1" outlineLevel="2" x14ac:dyDescent="0.3">
      <c r="B112" s="48">
        <v>45956</v>
      </c>
      <c r="C112" s="51">
        <v>25722.1</v>
      </c>
      <c r="D112" s="51">
        <v>35712.35</v>
      </c>
      <c r="E112" s="51">
        <v>3058</v>
      </c>
      <c r="F112" s="51">
        <v>1482.3</v>
      </c>
      <c r="G112" s="51">
        <v>1541.5</v>
      </c>
      <c r="H112" s="51">
        <v>240.67</v>
      </c>
      <c r="I112" s="51">
        <v>1424.4</v>
      </c>
      <c r="J112" s="51">
        <v>5684.5</v>
      </c>
      <c r="K112" s="51">
        <v>5916.6</v>
      </c>
      <c r="L112" s="51">
        <v>8515</v>
      </c>
      <c r="M112" s="51">
        <v>2764.4</v>
      </c>
      <c r="N112" s="52">
        <v>1778.1</v>
      </c>
    </row>
    <row r="113" spans="2:14" hidden="1" outlineLevel="2" x14ac:dyDescent="0.3">
      <c r="B113" s="48">
        <v>45949</v>
      </c>
      <c r="C113" s="51">
        <v>25795.15</v>
      </c>
      <c r="D113" s="51">
        <v>35986.35</v>
      </c>
      <c r="E113" s="51">
        <v>3063.2</v>
      </c>
      <c r="F113" s="51">
        <v>1525.4</v>
      </c>
      <c r="G113" s="51">
        <v>1523.8</v>
      </c>
      <c r="H113" s="51">
        <v>242.98</v>
      </c>
      <c r="I113" s="51">
        <v>1453.7</v>
      </c>
      <c r="J113" s="51">
        <v>5546</v>
      </c>
      <c r="K113" s="51">
        <v>5826</v>
      </c>
      <c r="L113" s="51">
        <v>8565</v>
      </c>
      <c r="M113" s="51">
        <v>2818.9</v>
      </c>
      <c r="N113" s="52">
        <v>1760</v>
      </c>
    </row>
    <row r="114" spans="2:14" hidden="1" outlineLevel="2" x14ac:dyDescent="0.3">
      <c r="B114" s="48">
        <v>45942</v>
      </c>
      <c r="C114" s="51">
        <v>25709.85</v>
      </c>
      <c r="D114" s="51">
        <v>34950.699999999997</v>
      </c>
      <c r="E114" s="51">
        <v>2962.2</v>
      </c>
      <c r="F114" s="51">
        <v>1441.1</v>
      </c>
      <c r="G114" s="51">
        <v>1486.2</v>
      </c>
      <c r="H114" s="51">
        <v>240.9</v>
      </c>
      <c r="I114" s="51">
        <v>1447.6</v>
      </c>
      <c r="J114" s="51">
        <v>5605</v>
      </c>
      <c r="K114" s="51">
        <v>5755.7</v>
      </c>
      <c r="L114" s="51">
        <v>8780.5</v>
      </c>
      <c r="M114" s="51">
        <v>2693.7</v>
      </c>
      <c r="N114" s="52">
        <v>1734.9</v>
      </c>
    </row>
    <row r="115" spans="2:14" hidden="1" outlineLevel="2" x14ac:dyDescent="0.3">
      <c r="B115" s="48">
        <v>45935</v>
      </c>
      <c r="C115" s="51">
        <v>25285.35</v>
      </c>
      <c r="D115" s="51">
        <v>35609.050000000003</v>
      </c>
      <c r="E115" s="51">
        <v>3028.3</v>
      </c>
      <c r="F115" s="51">
        <v>1514.9</v>
      </c>
      <c r="G115" s="51">
        <v>1495.5</v>
      </c>
      <c r="H115" s="51">
        <v>248.7</v>
      </c>
      <c r="I115" s="51">
        <v>1457.2</v>
      </c>
      <c r="J115" s="51">
        <v>5471.5</v>
      </c>
      <c r="K115" s="51">
        <v>5357.7</v>
      </c>
      <c r="L115" s="51">
        <v>9213</v>
      </c>
      <c r="M115" s="51">
        <v>2783.2</v>
      </c>
      <c r="N115" s="52">
        <v>1722.3</v>
      </c>
    </row>
    <row r="116" spans="2:14" hidden="1" outlineLevel="2" x14ac:dyDescent="0.3">
      <c r="B116" s="48">
        <v>45928</v>
      </c>
      <c r="C116" s="51">
        <v>24894.25</v>
      </c>
      <c r="D116" s="51">
        <v>33949.75</v>
      </c>
      <c r="E116" s="51">
        <v>2901.9</v>
      </c>
      <c r="F116" s="51">
        <v>1446.6</v>
      </c>
      <c r="G116" s="51">
        <v>1393.5</v>
      </c>
      <c r="H116" s="51">
        <v>240.98</v>
      </c>
      <c r="I116" s="51">
        <v>1400.6</v>
      </c>
      <c r="J116" s="51">
        <v>5120</v>
      </c>
      <c r="K116" s="51">
        <v>5068.8</v>
      </c>
      <c r="L116" s="51">
        <v>8962</v>
      </c>
      <c r="M116" s="51">
        <v>2736.9</v>
      </c>
      <c r="N116" s="52">
        <v>1613.1</v>
      </c>
    </row>
    <row r="117" spans="2:14" hidden="1" outlineLevel="2" x14ac:dyDescent="0.3">
      <c r="B117" s="48">
        <v>45921</v>
      </c>
      <c r="C117" s="51">
        <v>24654.7</v>
      </c>
      <c r="D117" s="51">
        <v>33702</v>
      </c>
      <c r="E117" s="51">
        <v>2899.1</v>
      </c>
      <c r="F117" s="51">
        <v>1448.9</v>
      </c>
      <c r="G117" s="51">
        <v>1395.3</v>
      </c>
      <c r="H117" s="51">
        <v>235.75</v>
      </c>
      <c r="I117" s="51">
        <v>1407.7</v>
      </c>
      <c r="J117" s="51">
        <v>5075</v>
      </c>
      <c r="K117" s="51">
        <v>4951</v>
      </c>
      <c r="L117" s="51">
        <v>8515</v>
      </c>
      <c r="M117" s="51">
        <v>2642.4</v>
      </c>
      <c r="N117" s="52">
        <v>1538.5</v>
      </c>
    </row>
    <row r="118" spans="2:14" hidden="1" outlineLevel="2" x14ac:dyDescent="0.3">
      <c r="B118" s="48">
        <v>45914</v>
      </c>
      <c r="C118" s="51">
        <v>25327.05</v>
      </c>
      <c r="D118" s="51">
        <v>36578.25</v>
      </c>
      <c r="E118" s="51">
        <v>3169.2</v>
      </c>
      <c r="F118" s="51">
        <v>1540.2</v>
      </c>
      <c r="G118" s="51">
        <v>1467.4</v>
      </c>
      <c r="H118" s="51">
        <v>255.88</v>
      </c>
      <c r="I118" s="51">
        <v>1553.8</v>
      </c>
      <c r="J118" s="51">
        <v>5509.5</v>
      </c>
      <c r="K118" s="51">
        <v>5506</v>
      </c>
      <c r="L118" s="51">
        <v>9018</v>
      </c>
      <c r="M118" s="51">
        <v>2993.8</v>
      </c>
      <c r="N118" s="52">
        <v>1795.3</v>
      </c>
    </row>
    <row r="119" spans="2:14" hidden="1" outlineLevel="2" x14ac:dyDescent="0.3">
      <c r="B119" s="48">
        <v>45907</v>
      </c>
      <c r="C119" s="51">
        <v>25114</v>
      </c>
      <c r="D119" s="51">
        <v>36110.75</v>
      </c>
      <c r="E119" s="51">
        <v>3133.4</v>
      </c>
      <c r="F119" s="51">
        <v>1525.6</v>
      </c>
      <c r="G119" s="51">
        <v>1467.2</v>
      </c>
      <c r="H119" s="51">
        <v>251.94</v>
      </c>
      <c r="I119" s="51">
        <v>1525.5</v>
      </c>
      <c r="J119" s="51">
        <v>5332.5</v>
      </c>
      <c r="K119" s="51">
        <v>5411</v>
      </c>
      <c r="L119" s="51">
        <v>8979</v>
      </c>
      <c r="M119" s="51">
        <v>2904.2</v>
      </c>
      <c r="N119" s="52">
        <v>1764</v>
      </c>
    </row>
    <row r="120" spans="2:14" hidden="1" outlineLevel="2" x14ac:dyDescent="0.3">
      <c r="B120" s="48">
        <v>45900</v>
      </c>
      <c r="C120" s="51">
        <v>24741</v>
      </c>
      <c r="D120" s="51">
        <v>34635.85</v>
      </c>
      <c r="E120" s="51">
        <v>3048.3</v>
      </c>
      <c r="F120" s="51">
        <v>1444.6</v>
      </c>
      <c r="G120" s="51">
        <v>1419</v>
      </c>
      <c r="H120" s="51">
        <v>243.67</v>
      </c>
      <c r="I120" s="51">
        <v>1477.9</v>
      </c>
      <c r="J120" s="51">
        <v>5195.5</v>
      </c>
      <c r="K120" s="51">
        <v>5132</v>
      </c>
      <c r="L120" s="51">
        <v>8280</v>
      </c>
      <c r="M120" s="51">
        <v>2797.4</v>
      </c>
      <c r="N120" s="52">
        <v>1658.3</v>
      </c>
    </row>
    <row r="121" spans="2:14" hidden="1" outlineLevel="2" x14ac:dyDescent="0.3">
      <c r="B121" s="48">
        <v>45893</v>
      </c>
      <c r="C121" s="51">
        <v>24426.85</v>
      </c>
      <c r="D121" s="51">
        <v>35181.25</v>
      </c>
      <c r="E121" s="51">
        <v>3084.7</v>
      </c>
      <c r="F121" s="51">
        <v>1469.6</v>
      </c>
      <c r="G121" s="51">
        <v>1454.8</v>
      </c>
      <c r="H121" s="51">
        <v>249.41</v>
      </c>
      <c r="I121" s="51">
        <v>1481.4</v>
      </c>
      <c r="J121" s="51">
        <v>5133.5</v>
      </c>
      <c r="K121" s="51">
        <v>5305.5</v>
      </c>
      <c r="L121" s="51">
        <v>8293.5</v>
      </c>
      <c r="M121" s="51">
        <v>2788</v>
      </c>
      <c r="N121" s="52">
        <v>1724.3</v>
      </c>
    </row>
    <row r="122" spans="2:14" hidden="1" outlineLevel="2" x14ac:dyDescent="0.3">
      <c r="B122" s="48">
        <v>45886</v>
      </c>
      <c r="C122" s="51">
        <v>24870.1</v>
      </c>
      <c r="D122" s="51">
        <v>35440.85</v>
      </c>
      <c r="E122" s="51">
        <v>3054</v>
      </c>
      <c r="F122" s="51">
        <v>1487.5</v>
      </c>
      <c r="G122" s="51">
        <v>1466.3</v>
      </c>
      <c r="H122" s="51">
        <v>248.64</v>
      </c>
      <c r="I122" s="51">
        <v>1505</v>
      </c>
      <c r="J122" s="51">
        <v>5224.5</v>
      </c>
      <c r="K122" s="51">
        <v>5369</v>
      </c>
      <c r="L122" s="51">
        <v>8624</v>
      </c>
      <c r="M122" s="51">
        <v>2848.6</v>
      </c>
      <c r="N122" s="52">
        <v>1747.7</v>
      </c>
    </row>
    <row r="123" spans="2:14" hidden="1" outlineLevel="2" x14ac:dyDescent="0.3">
      <c r="B123" s="48">
        <v>45879</v>
      </c>
      <c r="C123" s="51">
        <v>24631.3</v>
      </c>
      <c r="D123" s="51">
        <v>34833.199999999997</v>
      </c>
      <c r="E123" s="51">
        <v>3022.3</v>
      </c>
      <c r="F123" s="51">
        <v>1447.7</v>
      </c>
      <c r="G123" s="51">
        <v>1489.8</v>
      </c>
      <c r="H123" s="51">
        <v>246.81</v>
      </c>
      <c r="I123" s="51">
        <v>1486.7</v>
      </c>
      <c r="J123" s="51">
        <v>5108</v>
      </c>
      <c r="K123" s="51">
        <v>5289</v>
      </c>
      <c r="L123" s="51">
        <v>8586.5</v>
      </c>
      <c r="M123" s="51">
        <v>2720.2</v>
      </c>
      <c r="N123" s="52">
        <v>1642</v>
      </c>
    </row>
    <row r="124" spans="2:14" hidden="1" outlineLevel="2" x14ac:dyDescent="0.3">
      <c r="B124" s="48">
        <v>45872</v>
      </c>
      <c r="C124" s="51">
        <v>24363.3</v>
      </c>
      <c r="D124" s="51">
        <v>34398.5</v>
      </c>
      <c r="E124" s="51">
        <v>3036.4</v>
      </c>
      <c r="F124" s="51">
        <v>1423.1</v>
      </c>
      <c r="G124" s="51">
        <v>1475.7</v>
      </c>
      <c r="H124" s="51">
        <v>239.05</v>
      </c>
      <c r="I124" s="51">
        <v>1480.4</v>
      </c>
      <c r="J124" s="51">
        <v>5012</v>
      </c>
      <c r="K124" s="51">
        <v>5105.5</v>
      </c>
      <c r="L124" s="51">
        <v>8424</v>
      </c>
      <c r="M124" s="51">
        <v>2695.9</v>
      </c>
      <c r="N124" s="52">
        <v>1606.8</v>
      </c>
    </row>
    <row r="125" spans="2:14" hidden="1" outlineLevel="2" x14ac:dyDescent="0.3">
      <c r="B125" s="48">
        <v>45865</v>
      </c>
      <c r="C125" s="51">
        <v>24565.35</v>
      </c>
      <c r="D125" s="51">
        <v>34649.599999999999</v>
      </c>
      <c r="E125" s="51">
        <v>3003</v>
      </c>
      <c r="F125" s="51">
        <v>1469.6</v>
      </c>
      <c r="G125" s="51">
        <v>1452.1</v>
      </c>
      <c r="H125" s="51">
        <v>242.75</v>
      </c>
      <c r="I125" s="51">
        <v>1438.8</v>
      </c>
      <c r="J125" s="51">
        <v>5017.5</v>
      </c>
      <c r="K125" s="51">
        <v>5061.5</v>
      </c>
      <c r="L125" s="51">
        <v>8378.5</v>
      </c>
      <c r="M125" s="51">
        <v>2757.4</v>
      </c>
      <c r="N125" s="52">
        <v>1706.3</v>
      </c>
    </row>
    <row r="126" spans="2:14" hidden="1" outlineLevel="2" x14ac:dyDescent="0.3">
      <c r="B126" s="48">
        <v>45858</v>
      </c>
      <c r="C126" s="51">
        <v>24837</v>
      </c>
      <c r="D126" s="51">
        <v>35623.75</v>
      </c>
      <c r="E126" s="51">
        <v>3135.8</v>
      </c>
      <c r="F126" s="51">
        <v>1515.7</v>
      </c>
      <c r="G126" s="51">
        <v>1490.1</v>
      </c>
      <c r="H126" s="51">
        <v>259.2</v>
      </c>
      <c r="I126" s="51">
        <v>1461.9</v>
      </c>
      <c r="J126" s="51">
        <v>5096</v>
      </c>
      <c r="K126" s="51">
        <v>5150.5</v>
      </c>
      <c r="L126" s="51">
        <v>8609</v>
      </c>
      <c r="M126" s="51">
        <v>2625</v>
      </c>
      <c r="N126" s="52">
        <v>1688.8</v>
      </c>
    </row>
    <row r="127" spans="2:14" hidden="1" outlineLevel="2" x14ac:dyDescent="0.3">
      <c r="B127" s="48">
        <v>45851</v>
      </c>
      <c r="C127" s="51">
        <v>24968.400000000001</v>
      </c>
      <c r="D127" s="51">
        <v>37141.9</v>
      </c>
      <c r="E127" s="51">
        <v>3189.9</v>
      </c>
      <c r="F127" s="51">
        <v>1586.1</v>
      </c>
      <c r="G127" s="51">
        <v>1548.8</v>
      </c>
      <c r="H127" s="51">
        <v>266.95</v>
      </c>
      <c r="I127" s="51">
        <v>1548.9</v>
      </c>
      <c r="J127" s="51">
        <v>5124</v>
      </c>
      <c r="K127" s="51">
        <v>5547.5</v>
      </c>
      <c r="L127" s="51">
        <v>8790.5</v>
      </c>
      <c r="M127" s="51">
        <v>2832.7</v>
      </c>
      <c r="N127" s="52">
        <v>1859.3</v>
      </c>
    </row>
    <row r="128" spans="2:14" hidden="1" outlineLevel="2" x14ac:dyDescent="0.3">
      <c r="B128" s="48">
        <v>45844</v>
      </c>
      <c r="C128" s="51">
        <v>25149.85</v>
      </c>
      <c r="D128" s="51">
        <v>37693.25</v>
      </c>
      <c r="E128" s="51">
        <v>3266</v>
      </c>
      <c r="F128" s="51">
        <v>1594.9</v>
      </c>
      <c r="G128" s="51">
        <v>1638.3</v>
      </c>
      <c r="H128" s="51">
        <v>258.3</v>
      </c>
      <c r="I128" s="51">
        <v>1602.5</v>
      </c>
      <c r="J128" s="51">
        <v>5206</v>
      </c>
      <c r="K128" s="51">
        <v>5578.5</v>
      </c>
      <c r="L128" s="51">
        <v>8636</v>
      </c>
      <c r="M128" s="51">
        <v>2838.8</v>
      </c>
      <c r="N128" s="52">
        <v>1867.8</v>
      </c>
    </row>
    <row r="129" spans="2:14" hidden="1" outlineLevel="2" x14ac:dyDescent="0.3">
      <c r="B129" s="48">
        <v>45837</v>
      </c>
      <c r="C129" s="51">
        <v>25461</v>
      </c>
      <c r="D129" s="51">
        <v>39166.550000000003</v>
      </c>
      <c r="E129" s="51">
        <v>3419.8</v>
      </c>
      <c r="F129" s="51">
        <v>1640.7</v>
      </c>
      <c r="G129" s="51">
        <v>1725.9</v>
      </c>
      <c r="H129" s="51">
        <v>270.05</v>
      </c>
      <c r="I129" s="51">
        <v>1655.2</v>
      </c>
      <c r="J129" s="51">
        <v>5316</v>
      </c>
      <c r="K129" s="51">
        <v>5896</v>
      </c>
      <c r="L129" s="51">
        <v>9109</v>
      </c>
      <c r="M129" s="51">
        <v>2924.2</v>
      </c>
      <c r="N129" s="52">
        <v>1950.6</v>
      </c>
    </row>
    <row r="130" spans="2:14" hidden="1" outlineLevel="2" x14ac:dyDescent="0.3">
      <c r="B130" s="48">
        <v>45830</v>
      </c>
      <c r="C130" s="51">
        <v>25637.8</v>
      </c>
      <c r="D130" s="51">
        <v>38822.949999999997</v>
      </c>
      <c r="E130" s="51">
        <v>3441.1</v>
      </c>
      <c r="F130" s="51">
        <v>1608</v>
      </c>
      <c r="G130" s="51">
        <v>1723.3</v>
      </c>
      <c r="H130" s="51">
        <v>265.05</v>
      </c>
      <c r="I130" s="51">
        <v>1674.4</v>
      </c>
      <c r="J130" s="51">
        <v>5293</v>
      </c>
      <c r="K130" s="51">
        <v>6010.5</v>
      </c>
      <c r="L130" s="51">
        <v>8991</v>
      </c>
      <c r="M130" s="51">
        <v>2800</v>
      </c>
      <c r="N130" s="52">
        <v>1899.5</v>
      </c>
    </row>
    <row r="131" spans="2:14" hidden="1" outlineLevel="2" x14ac:dyDescent="0.3">
      <c r="B131" s="48">
        <v>45823</v>
      </c>
      <c r="C131" s="51">
        <v>25112.400000000001</v>
      </c>
      <c r="D131" s="51">
        <v>38991.449999999997</v>
      </c>
      <c r="E131" s="51">
        <v>3435.7</v>
      </c>
      <c r="F131" s="51">
        <v>1622.9</v>
      </c>
      <c r="G131" s="51">
        <v>1739.9</v>
      </c>
      <c r="H131" s="51">
        <v>266.54000000000002</v>
      </c>
      <c r="I131" s="51">
        <v>1696.1</v>
      </c>
      <c r="J131" s="51">
        <v>5376.5</v>
      </c>
      <c r="K131" s="51">
        <v>6106.5</v>
      </c>
      <c r="L131" s="51">
        <v>9395.5</v>
      </c>
      <c r="M131" s="51">
        <v>2696.1</v>
      </c>
      <c r="N131" s="52">
        <v>1832</v>
      </c>
    </row>
    <row r="132" spans="2:14" hidden="1" outlineLevel="2" x14ac:dyDescent="0.3">
      <c r="B132" s="48">
        <v>45816</v>
      </c>
      <c r="C132" s="51">
        <v>24718.6</v>
      </c>
      <c r="D132" s="51">
        <v>38469.25</v>
      </c>
      <c r="E132" s="51">
        <v>3445.7</v>
      </c>
      <c r="F132" s="51">
        <v>1602</v>
      </c>
      <c r="G132" s="51">
        <v>1695.3</v>
      </c>
      <c r="H132" s="51">
        <v>260.20999999999998</v>
      </c>
      <c r="I132" s="51">
        <v>1659</v>
      </c>
      <c r="J132" s="51">
        <v>5429</v>
      </c>
      <c r="K132" s="51">
        <v>5882.5</v>
      </c>
      <c r="L132" s="51">
        <v>9478.5</v>
      </c>
      <c r="M132" s="51">
        <v>2644.2</v>
      </c>
      <c r="N132" s="52">
        <v>1792.5</v>
      </c>
    </row>
    <row r="133" spans="2:14" hidden="1" outlineLevel="2" x14ac:dyDescent="0.3">
      <c r="B133" s="48">
        <v>45809</v>
      </c>
      <c r="C133" s="51">
        <v>25003.05</v>
      </c>
      <c r="D133" s="51">
        <v>37294.85</v>
      </c>
      <c r="E133" s="51">
        <v>3384.2</v>
      </c>
      <c r="F133" s="51">
        <v>1563.8</v>
      </c>
      <c r="G133" s="51">
        <v>1637.7</v>
      </c>
      <c r="H133" s="51">
        <v>248.59</v>
      </c>
      <c r="I133" s="51">
        <v>1571.1</v>
      </c>
      <c r="J133" s="51">
        <v>5204</v>
      </c>
      <c r="K133" s="51">
        <v>5676.5</v>
      </c>
      <c r="L133" s="51">
        <v>8786</v>
      </c>
      <c r="M133" s="51">
        <v>2545.1999999999998</v>
      </c>
      <c r="N133" s="52">
        <v>1775.5</v>
      </c>
    </row>
    <row r="134" spans="2:14" hidden="1" outlineLevel="2" x14ac:dyDescent="0.3">
      <c r="B134" s="48">
        <v>45802</v>
      </c>
      <c r="C134" s="51">
        <v>24750.7</v>
      </c>
      <c r="D134" s="51">
        <v>37321.75</v>
      </c>
      <c r="E134" s="51">
        <v>3463.4</v>
      </c>
      <c r="F134" s="51">
        <v>1562.7</v>
      </c>
      <c r="G134" s="51">
        <v>1636.6</v>
      </c>
      <c r="H134" s="51">
        <v>249.67</v>
      </c>
      <c r="I134" s="51">
        <v>1573.9</v>
      </c>
      <c r="J134" s="51">
        <v>5068.8999999999996</v>
      </c>
      <c r="K134" s="51">
        <v>5638</v>
      </c>
      <c r="L134" s="51">
        <v>8462.5</v>
      </c>
      <c r="M134" s="51">
        <v>2558.8000000000002</v>
      </c>
      <c r="N134" s="52">
        <v>1710.1</v>
      </c>
    </row>
    <row r="135" spans="2:14" hidden="1" outlineLevel="2" x14ac:dyDescent="0.3">
      <c r="B135" s="48">
        <v>45795</v>
      </c>
      <c r="C135" s="51">
        <v>24853.15</v>
      </c>
      <c r="D135" s="51">
        <v>37403.550000000003</v>
      </c>
      <c r="E135" s="51">
        <v>3514.6</v>
      </c>
      <c r="F135" s="51">
        <v>1564.8</v>
      </c>
      <c r="G135" s="51">
        <v>1648.2</v>
      </c>
      <c r="H135" s="51">
        <v>247.36</v>
      </c>
      <c r="I135" s="51">
        <v>1580.3</v>
      </c>
      <c r="J135" s="51">
        <v>5045.8</v>
      </c>
      <c r="K135" s="51">
        <v>5662</v>
      </c>
      <c r="L135" s="51">
        <v>8366.5</v>
      </c>
      <c r="M135" s="51">
        <v>2541.4</v>
      </c>
      <c r="N135" s="52">
        <v>1664.3</v>
      </c>
    </row>
    <row r="136" spans="2:14" hidden="1" outlineLevel="2" x14ac:dyDescent="0.3">
      <c r="B136" s="48">
        <v>45788</v>
      </c>
      <c r="C136" s="51">
        <v>25019.8</v>
      </c>
      <c r="D136" s="51">
        <v>37972.35</v>
      </c>
      <c r="E136" s="51">
        <v>3561.3</v>
      </c>
      <c r="F136" s="51">
        <v>1589.9</v>
      </c>
      <c r="G136" s="51">
        <v>1659.9</v>
      </c>
      <c r="H136" s="51">
        <v>254.31</v>
      </c>
      <c r="I136" s="51">
        <v>1617</v>
      </c>
      <c r="J136" s="51">
        <v>5047.8</v>
      </c>
      <c r="K136" s="51">
        <v>5699</v>
      </c>
      <c r="L136" s="51">
        <v>8696.5</v>
      </c>
      <c r="M136" s="51">
        <v>2600.4</v>
      </c>
      <c r="N136" s="52">
        <v>1685.2</v>
      </c>
    </row>
    <row r="137" spans="2:14" hidden="1" outlineLevel="2" x14ac:dyDescent="0.3">
      <c r="B137" s="48">
        <v>45781</v>
      </c>
      <c r="C137" s="51">
        <v>24008</v>
      </c>
      <c r="D137" s="51">
        <v>35880.1</v>
      </c>
      <c r="E137" s="51">
        <v>3440.3</v>
      </c>
      <c r="F137" s="51">
        <v>1507.6</v>
      </c>
      <c r="G137" s="51">
        <v>1569.4</v>
      </c>
      <c r="H137" s="51">
        <v>242.01</v>
      </c>
      <c r="I137" s="51">
        <v>1493.7</v>
      </c>
      <c r="J137" s="51">
        <v>4621.6000000000004</v>
      </c>
      <c r="K137" s="51">
        <v>5443</v>
      </c>
      <c r="L137" s="51">
        <v>7993.5</v>
      </c>
      <c r="M137" s="51">
        <v>2387.3000000000002</v>
      </c>
      <c r="N137" s="52">
        <v>1536.2</v>
      </c>
    </row>
    <row r="138" spans="2:14" hidden="1" outlineLevel="2" x14ac:dyDescent="0.3">
      <c r="B138" s="48">
        <v>45774</v>
      </c>
      <c r="C138" s="51">
        <v>24346.7</v>
      </c>
      <c r="D138" s="51">
        <v>35891.85</v>
      </c>
      <c r="E138" s="51">
        <v>3444.7</v>
      </c>
      <c r="F138" s="51">
        <v>1506.8</v>
      </c>
      <c r="G138" s="51">
        <v>1576.5</v>
      </c>
      <c r="H138" s="51">
        <v>242.87</v>
      </c>
      <c r="I138" s="51">
        <v>1496.3</v>
      </c>
      <c r="J138" s="51">
        <v>4579.8999999999996</v>
      </c>
      <c r="K138" s="51">
        <v>5425.5</v>
      </c>
      <c r="L138" s="51">
        <v>8693.5</v>
      </c>
      <c r="M138" s="51">
        <v>2460.6999999999998</v>
      </c>
      <c r="N138" s="52">
        <v>1476.4</v>
      </c>
    </row>
    <row r="139" spans="2:14" hidden="1" outlineLevel="2" x14ac:dyDescent="0.3">
      <c r="B139" s="48">
        <v>45767</v>
      </c>
      <c r="C139" s="51">
        <v>24039.35</v>
      </c>
      <c r="D139" s="51">
        <v>35562.25</v>
      </c>
      <c r="E139" s="51">
        <v>3448</v>
      </c>
      <c r="F139" s="51">
        <v>1480.2</v>
      </c>
      <c r="G139" s="51">
        <v>1578.2</v>
      </c>
      <c r="H139" s="51">
        <v>240.9</v>
      </c>
      <c r="I139" s="51">
        <v>1462</v>
      </c>
      <c r="J139" s="51">
        <v>4498.3</v>
      </c>
      <c r="K139" s="51">
        <v>5273.5</v>
      </c>
      <c r="L139" s="51">
        <v>8604</v>
      </c>
      <c r="M139" s="51">
        <v>2538.6</v>
      </c>
      <c r="N139" s="52">
        <v>1478</v>
      </c>
    </row>
    <row r="140" spans="2:14" hidden="1" outlineLevel="2" x14ac:dyDescent="0.3">
      <c r="B140" s="48">
        <v>45760</v>
      </c>
      <c r="C140" s="51">
        <v>23851.65</v>
      </c>
      <c r="D140" s="51">
        <v>33372.35</v>
      </c>
      <c r="E140" s="51">
        <v>3298.9</v>
      </c>
      <c r="F140" s="51">
        <v>1419.5</v>
      </c>
      <c r="G140" s="51">
        <v>1438</v>
      </c>
      <c r="H140" s="51">
        <v>236.9</v>
      </c>
      <c r="I140" s="51">
        <v>1306.8</v>
      </c>
      <c r="J140" s="51">
        <v>4191.8999999999996</v>
      </c>
      <c r="K140" s="51">
        <v>4836</v>
      </c>
      <c r="L140" s="51">
        <v>7950</v>
      </c>
      <c r="M140" s="51">
        <v>2273.6999999999998</v>
      </c>
      <c r="N140" s="52">
        <v>1320</v>
      </c>
    </row>
    <row r="141" spans="2:14" hidden="1" outlineLevel="2" x14ac:dyDescent="0.3">
      <c r="B141" s="48">
        <v>45753</v>
      </c>
      <c r="C141" s="51">
        <v>22828.55</v>
      </c>
      <c r="D141" s="51">
        <v>32740.85</v>
      </c>
      <c r="E141" s="51">
        <v>3231.5</v>
      </c>
      <c r="F141" s="51">
        <v>1409.45</v>
      </c>
      <c r="G141" s="51">
        <v>1390.55</v>
      </c>
      <c r="H141" s="51">
        <v>239.75</v>
      </c>
      <c r="I141" s="51">
        <v>1282.25</v>
      </c>
      <c r="J141" s="51">
        <v>4240.8</v>
      </c>
      <c r="K141" s="51">
        <v>4544.6000000000004</v>
      </c>
      <c r="L141" s="51">
        <v>7579.85</v>
      </c>
      <c r="M141" s="51">
        <v>2160.5500000000002</v>
      </c>
      <c r="N141" s="52">
        <v>1263.33</v>
      </c>
    </row>
    <row r="142" spans="2:14" hidden="1" outlineLevel="2" x14ac:dyDescent="0.3">
      <c r="B142" s="48">
        <v>45746</v>
      </c>
      <c r="C142" s="51">
        <v>22904.45</v>
      </c>
      <c r="D142" s="51">
        <v>33511.449999999997</v>
      </c>
      <c r="E142" s="51">
        <v>3299.4</v>
      </c>
      <c r="F142" s="51">
        <v>1451.65</v>
      </c>
      <c r="G142" s="51">
        <v>1422.1</v>
      </c>
      <c r="H142" s="51">
        <v>246.3</v>
      </c>
      <c r="I142" s="51">
        <v>1320.95</v>
      </c>
      <c r="J142" s="51">
        <v>4136.25</v>
      </c>
      <c r="K142" s="51">
        <v>4609.95</v>
      </c>
      <c r="L142" s="51">
        <v>7521.55</v>
      </c>
      <c r="M142" s="51">
        <v>2229.1999999999998</v>
      </c>
      <c r="N142" s="52">
        <v>1321.58</v>
      </c>
    </row>
    <row r="143" spans="2:14" hidden="1" outlineLevel="2" x14ac:dyDescent="0.3">
      <c r="B143" s="48">
        <v>45739</v>
      </c>
      <c r="C143" s="51">
        <v>23519.35</v>
      </c>
      <c r="D143" s="51">
        <v>36886.15</v>
      </c>
      <c r="E143" s="51">
        <v>3606.15</v>
      </c>
      <c r="F143" s="51">
        <v>1570.65</v>
      </c>
      <c r="G143" s="51">
        <v>1592.5</v>
      </c>
      <c r="H143" s="51">
        <v>262.25</v>
      </c>
      <c r="I143" s="51">
        <v>1418.25</v>
      </c>
      <c r="J143" s="51">
        <v>4491.3500000000004</v>
      </c>
      <c r="K143" s="51">
        <v>5513.75</v>
      </c>
      <c r="L143" s="51">
        <v>7850.9</v>
      </c>
      <c r="M143" s="51">
        <v>2500.1999999999998</v>
      </c>
      <c r="N143" s="52">
        <v>1621.84</v>
      </c>
    </row>
    <row r="144" spans="2:14" hidden="1" outlineLevel="2" x14ac:dyDescent="0.3">
      <c r="B144" s="48">
        <v>45732</v>
      </c>
      <c r="C144" s="51">
        <v>23350.400000000001</v>
      </c>
      <c r="D144" s="51">
        <v>36702.800000000003</v>
      </c>
      <c r="E144" s="51">
        <v>3578.1</v>
      </c>
      <c r="F144" s="51">
        <v>1592.55</v>
      </c>
      <c r="G144" s="51">
        <v>1566.7</v>
      </c>
      <c r="H144" s="51">
        <v>264.3</v>
      </c>
      <c r="I144" s="51">
        <v>1409.25</v>
      </c>
      <c r="J144" s="51">
        <v>4520.25</v>
      </c>
      <c r="K144" s="51">
        <v>5275.55</v>
      </c>
      <c r="L144" s="51">
        <v>7644.4</v>
      </c>
      <c r="M144" s="51">
        <v>2429.9499999999998</v>
      </c>
      <c r="N144" s="52">
        <v>1549.36</v>
      </c>
    </row>
    <row r="145" spans="2:14" hidden="1" outlineLevel="2" x14ac:dyDescent="0.3">
      <c r="B145" s="48">
        <v>45725</v>
      </c>
      <c r="C145" s="51">
        <v>22397.200000000001</v>
      </c>
      <c r="D145" s="51">
        <v>36122.5</v>
      </c>
      <c r="E145" s="51">
        <v>3511.05</v>
      </c>
      <c r="F145" s="51">
        <v>1579.85</v>
      </c>
      <c r="G145" s="51">
        <v>1534.75</v>
      </c>
      <c r="H145" s="51">
        <v>264</v>
      </c>
      <c r="I145" s="51">
        <v>1440.65</v>
      </c>
      <c r="J145" s="51">
        <v>4467.05</v>
      </c>
      <c r="K145" s="51">
        <v>5125.75</v>
      </c>
      <c r="L145" s="51">
        <v>7328</v>
      </c>
      <c r="M145" s="51">
        <v>2205.15</v>
      </c>
      <c r="N145" s="52">
        <v>1458.45</v>
      </c>
    </row>
    <row r="146" spans="2:14" hidden="1" outlineLevel="2" x14ac:dyDescent="0.3">
      <c r="B146" s="48">
        <v>45718</v>
      </c>
      <c r="C146" s="51">
        <v>22552.5</v>
      </c>
      <c r="D146" s="51">
        <v>37820.449999999997</v>
      </c>
      <c r="E146" s="51">
        <v>3611.2</v>
      </c>
      <c r="F146" s="51">
        <v>1686</v>
      </c>
      <c r="G146" s="51">
        <v>1557.95</v>
      </c>
      <c r="H146" s="51">
        <v>284.8</v>
      </c>
      <c r="I146" s="51">
        <v>1492.35</v>
      </c>
      <c r="J146" s="51">
        <v>4721.95</v>
      </c>
      <c r="K146" s="51">
        <v>5278.8</v>
      </c>
      <c r="L146" s="51">
        <v>7569.1</v>
      </c>
      <c r="M146" s="51">
        <v>2302.25</v>
      </c>
      <c r="N146" s="52">
        <v>1541.45</v>
      </c>
    </row>
    <row r="147" spans="2:14" hidden="1" outlineLevel="2" x14ac:dyDescent="0.3">
      <c r="B147" s="48">
        <v>45711</v>
      </c>
      <c r="C147" s="51">
        <v>22124.7</v>
      </c>
      <c r="D147" s="51">
        <v>37318.300000000003</v>
      </c>
      <c r="E147" s="51">
        <v>3483.25</v>
      </c>
      <c r="F147" s="51">
        <v>1687.7</v>
      </c>
      <c r="G147" s="51">
        <v>1575.05</v>
      </c>
      <c r="H147" s="51">
        <v>277.64999999999998</v>
      </c>
      <c r="I147" s="51">
        <v>1487.85</v>
      </c>
      <c r="J147" s="51">
        <v>4665.95</v>
      </c>
      <c r="K147" s="51">
        <v>5303.9</v>
      </c>
      <c r="L147" s="51">
        <v>7763.9</v>
      </c>
      <c r="M147" s="51">
        <v>2247.25</v>
      </c>
      <c r="N147" s="52">
        <v>1472.43</v>
      </c>
    </row>
    <row r="148" spans="2:14" hidden="1" outlineLevel="2" x14ac:dyDescent="0.3">
      <c r="B148" s="48">
        <v>45704</v>
      </c>
      <c r="C148" s="51">
        <v>22795.9</v>
      </c>
      <c r="D148" s="51">
        <v>40544.550000000003</v>
      </c>
      <c r="E148" s="51">
        <v>3786</v>
      </c>
      <c r="F148" s="51">
        <v>1815</v>
      </c>
      <c r="G148" s="51">
        <v>1700.7</v>
      </c>
      <c r="H148" s="51">
        <v>306.35000000000002</v>
      </c>
      <c r="I148" s="51">
        <v>1649.5</v>
      </c>
      <c r="J148" s="51">
        <v>5298.5</v>
      </c>
      <c r="K148" s="51">
        <v>5710.3</v>
      </c>
      <c r="L148" s="51">
        <v>8405</v>
      </c>
      <c r="M148" s="51">
        <v>2567.5500000000002</v>
      </c>
      <c r="N148" s="52">
        <v>1499.24</v>
      </c>
    </row>
    <row r="149" spans="2:14" hidden="1" outlineLevel="2" x14ac:dyDescent="0.3">
      <c r="B149" s="48">
        <v>45697</v>
      </c>
      <c r="C149" s="51">
        <v>22929.25</v>
      </c>
      <c r="D149" s="51">
        <v>41311.15</v>
      </c>
      <c r="E149" s="51">
        <v>3934.85</v>
      </c>
      <c r="F149" s="51">
        <v>1856.4</v>
      </c>
      <c r="G149" s="51">
        <v>1711.25</v>
      </c>
      <c r="H149" s="51">
        <v>308.10000000000002</v>
      </c>
      <c r="I149" s="51">
        <v>1659.1</v>
      </c>
      <c r="J149" s="51">
        <v>5511.6</v>
      </c>
      <c r="K149" s="51">
        <v>5562.7</v>
      </c>
      <c r="L149" s="51">
        <v>8962.9500000000007</v>
      </c>
      <c r="M149" s="51">
        <v>2554.25</v>
      </c>
      <c r="N149" s="52">
        <v>1558.67</v>
      </c>
    </row>
    <row r="150" spans="2:14" hidden="1" outlineLevel="2" x14ac:dyDescent="0.3">
      <c r="B150" s="48">
        <v>45690</v>
      </c>
      <c r="C150" s="51">
        <v>23559.95</v>
      </c>
      <c r="D150" s="51">
        <v>42921.65</v>
      </c>
      <c r="E150" s="51">
        <v>4029.4</v>
      </c>
      <c r="F150" s="51">
        <v>1903.65</v>
      </c>
      <c r="G150" s="51">
        <v>1725.65</v>
      </c>
      <c r="H150" s="51">
        <v>318</v>
      </c>
      <c r="I150" s="51">
        <v>1692.1</v>
      </c>
      <c r="J150" s="51">
        <v>5956.6</v>
      </c>
      <c r="K150" s="51">
        <v>6254.1</v>
      </c>
      <c r="L150" s="51">
        <v>9452.7000000000007</v>
      </c>
      <c r="M150" s="51">
        <v>2868.5</v>
      </c>
      <c r="N150" s="52">
        <v>1707.17</v>
      </c>
    </row>
    <row r="151" spans="2:14" hidden="1" outlineLevel="2" x14ac:dyDescent="0.3">
      <c r="B151" s="48">
        <v>45683</v>
      </c>
      <c r="C151" s="51">
        <v>23508.400000000001</v>
      </c>
      <c r="D151" s="51">
        <v>42662.75</v>
      </c>
      <c r="E151" s="51">
        <v>4112.3999999999996</v>
      </c>
      <c r="F151" s="51">
        <v>1879.8</v>
      </c>
      <c r="G151" s="51">
        <v>1725.45</v>
      </c>
      <c r="H151" s="51">
        <v>311.89999999999998</v>
      </c>
      <c r="I151" s="51">
        <v>1674.45</v>
      </c>
      <c r="J151" s="51">
        <v>5914.15</v>
      </c>
      <c r="K151" s="51">
        <v>6032.6</v>
      </c>
      <c r="L151" s="51">
        <v>9122.0499999999993</v>
      </c>
      <c r="M151" s="51">
        <v>2867.95</v>
      </c>
      <c r="N151" s="52">
        <v>1652.77</v>
      </c>
    </row>
    <row r="152" spans="2:14" hidden="1" outlineLevel="2" x14ac:dyDescent="0.3">
      <c r="B152" s="48">
        <v>45676</v>
      </c>
      <c r="C152" s="51">
        <v>23092.2</v>
      </c>
      <c r="D152" s="51">
        <v>43524.1</v>
      </c>
      <c r="E152" s="51">
        <v>4152.3500000000004</v>
      </c>
      <c r="F152" s="51">
        <v>1875.45</v>
      </c>
      <c r="G152" s="51">
        <v>1792.85</v>
      </c>
      <c r="H152" s="51">
        <v>320.10000000000002</v>
      </c>
      <c r="I152" s="51">
        <v>1723.05</v>
      </c>
      <c r="J152" s="51">
        <v>5998.15</v>
      </c>
      <c r="K152" s="51">
        <v>6360.65</v>
      </c>
      <c r="L152" s="51">
        <v>9805.65</v>
      </c>
      <c r="M152" s="51">
        <v>3009.3</v>
      </c>
      <c r="N152" s="52">
        <v>1846.92</v>
      </c>
    </row>
    <row r="153" spans="2:14" hidden="1" outlineLevel="2" x14ac:dyDescent="0.3">
      <c r="B153" s="48">
        <v>45669</v>
      </c>
      <c r="C153" s="51">
        <v>23203.200000000001</v>
      </c>
      <c r="D153" s="51">
        <v>42032.2</v>
      </c>
      <c r="E153" s="51">
        <v>4124.3</v>
      </c>
      <c r="F153" s="51">
        <v>1815.45</v>
      </c>
      <c r="G153" s="51">
        <v>1788.9</v>
      </c>
      <c r="H153" s="51">
        <v>281.95</v>
      </c>
      <c r="I153" s="51">
        <v>1660.3</v>
      </c>
      <c r="J153" s="51">
        <v>5890.3</v>
      </c>
      <c r="K153" s="51">
        <v>5961.2</v>
      </c>
      <c r="L153" s="51">
        <v>10027.15</v>
      </c>
      <c r="M153" s="51">
        <v>2817.2</v>
      </c>
      <c r="N153" s="52">
        <v>1728.31</v>
      </c>
    </row>
    <row r="154" spans="2:14" hidden="1" outlineLevel="2" x14ac:dyDescent="0.3">
      <c r="B154" s="48">
        <v>45662</v>
      </c>
      <c r="C154" s="51">
        <v>23431.5</v>
      </c>
      <c r="D154" s="51">
        <v>44609.5</v>
      </c>
      <c r="E154" s="51">
        <v>4198.72</v>
      </c>
      <c r="F154" s="51">
        <v>1966.95</v>
      </c>
      <c r="G154" s="51">
        <v>1988.42</v>
      </c>
      <c r="H154" s="51">
        <v>300.55</v>
      </c>
      <c r="I154" s="51">
        <v>1705.6</v>
      </c>
      <c r="J154" s="51">
        <v>6124.4</v>
      </c>
      <c r="K154" s="51">
        <v>6319.65</v>
      </c>
      <c r="L154" s="51">
        <v>11451.35</v>
      </c>
      <c r="M154" s="51">
        <v>2915</v>
      </c>
      <c r="N154" s="52">
        <v>1880.83</v>
      </c>
    </row>
    <row r="155" spans="2:14" hidden="1" outlineLevel="2" x14ac:dyDescent="0.3">
      <c r="B155" s="48">
        <v>45655</v>
      </c>
      <c r="C155" s="51">
        <v>24004.75</v>
      </c>
      <c r="D155" s="51">
        <v>43726.55</v>
      </c>
      <c r="E155" s="51">
        <v>4035.57</v>
      </c>
      <c r="F155" s="51">
        <v>1938.75</v>
      </c>
      <c r="G155" s="51">
        <v>1940.13</v>
      </c>
      <c r="H155" s="51">
        <v>294.45</v>
      </c>
      <c r="I155" s="51">
        <v>1689.45</v>
      </c>
      <c r="J155" s="51">
        <v>5733.4</v>
      </c>
      <c r="K155" s="51">
        <v>6405.95</v>
      </c>
      <c r="L155" s="51">
        <v>12518.05</v>
      </c>
      <c r="M155" s="51">
        <v>2869.25</v>
      </c>
      <c r="N155" s="52">
        <v>1933.93</v>
      </c>
    </row>
    <row r="156" spans="2:14" hidden="1" outlineLevel="2" x14ac:dyDescent="0.3">
      <c r="B156" s="48">
        <v>45648</v>
      </c>
      <c r="C156" s="51">
        <v>23813.4</v>
      </c>
      <c r="D156" s="51">
        <v>43721.4</v>
      </c>
      <c r="E156" s="51">
        <v>4099.5</v>
      </c>
      <c r="F156" s="51">
        <v>1916.75</v>
      </c>
      <c r="G156" s="51">
        <v>1885.67</v>
      </c>
      <c r="H156" s="51">
        <v>309.10000000000002</v>
      </c>
      <c r="I156" s="51">
        <v>1711.65</v>
      </c>
      <c r="J156" s="51">
        <v>5678</v>
      </c>
      <c r="K156" s="51">
        <v>6393.6</v>
      </c>
      <c r="L156" s="51">
        <v>12646.6</v>
      </c>
      <c r="M156" s="51">
        <v>2883.95</v>
      </c>
      <c r="N156" s="52">
        <v>1890.22</v>
      </c>
    </row>
    <row r="157" spans="2:14" hidden="1" outlineLevel="2" x14ac:dyDescent="0.3">
      <c r="B157" s="48">
        <v>45641</v>
      </c>
      <c r="C157" s="51">
        <v>23587.5</v>
      </c>
      <c r="D157" s="51">
        <v>43771.05</v>
      </c>
      <c r="E157" s="51">
        <v>4104.8599999999997</v>
      </c>
      <c r="F157" s="51">
        <v>1922.15</v>
      </c>
      <c r="G157" s="51">
        <v>1904.95</v>
      </c>
      <c r="H157" s="51">
        <v>305.2</v>
      </c>
      <c r="I157" s="51">
        <v>1686.05</v>
      </c>
      <c r="J157" s="51">
        <v>5824.3</v>
      </c>
      <c r="K157" s="51">
        <v>6368.7</v>
      </c>
      <c r="L157" s="51">
        <v>12247.55</v>
      </c>
      <c r="M157" s="51">
        <v>2950.6</v>
      </c>
      <c r="N157" s="52">
        <v>1874.09</v>
      </c>
    </row>
    <row r="158" spans="2:14" hidden="1" outlineLevel="2" x14ac:dyDescent="0.3">
      <c r="B158" s="48">
        <v>45634</v>
      </c>
      <c r="C158" s="51">
        <v>24768.3</v>
      </c>
      <c r="D158" s="51">
        <v>45995.8</v>
      </c>
      <c r="E158" s="51">
        <v>4403.7</v>
      </c>
      <c r="F158" s="51">
        <v>1999.7</v>
      </c>
      <c r="G158" s="51">
        <v>1962.21</v>
      </c>
      <c r="H158" s="51">
        <v>309.95</v>
      </c>
      <c r="I158" s="51">
        <v>1796.4</v>
      </c>
      <c r="J158" s="51">
        <v>6714.45</v>
      </c>
      <c r="K158" s="51">
        <v>6477.65</v>
      </c>
      <c r="L158" s="51">
        <v>12283.8</v>
      </c>
      <c r="M158" s="51">
        <v>3195.4</v>
      </c>
      <c r="N158" s="52">
        <v>1860.15</v>
      </c>
    </row>
    <row r="159" spans="2:14" hidden="1" outlineLevel="2" x14ac:dyDescent="0.3">
      <c r="B159" s="48">
        <v>45627</v>
      </c>
      <c r="C159" s="51">
        <v>24677.8</v>
      </c>
      <c r="D159" s="51">
        <v>44716.05</v>
      </c>
      <c r="E159" s="51">
        <v>4375.75</v>
      </c>
      <c r="F159" s="51">
        <v>1922.4</v>
      </c>
      <c r="G159" s="51">
        <v>1916.26</v>
      </c>
      <c r="H159" s="51">
        <v>297.35000000000002</v>
      </c>
      <c r="I159" s="51">
        <v>1782.8</v>
      </c>
      <c r="J159" s="51">
        <v>6378.9</v>
      </c>
      <c r="K159" s="51">
        <v>6174.25</v>
      </c>
      <c r="L159" s="51">
        <v>12579.5</v>
      </c>
      <c r="M159" s="51">
        <v>3053.95</v>
      </c>
      <c r="N159" s="52">
        <v>1780.29</v>
      </c>
    </row>
    <row r="160" spans="2:14" hidden="1" outlineLevel="2" x14ac:dyDescent="0.3">
      <c r="B160" s="48">
        <v>45620</v>
      </c>
      <c r="C160" s="51">
        <v>24131.1</v>
      </c>
      <c r="D160" s="51">
        <v>43146.25</v>
      </c>
      <c r="E160" s="51">
        <v>4203.84</v>
      </c>
      <c r="F160" s="51">
        <v>1857.85</v>
      </c>
      <c r="G160" s="51">
        <v>1841.86</v>
      </c>
      <c r="H160" s="51">
        <v>288.92</v>
      </c>
      <c r="I160" s="51">
        <v>1712.3</v>
      </c>
      <c r="J160" s="51">
        <v>6172.4</v>
      </c>
      <c r="K160" s="51">
        <v>5905.65</v>
      </c>
      <c r="L160" s="51">
        <v>11696.45</v>
      </c>
      <c r="M160" s="51">
        <v>2974.55</v>
      </c>
      <c r="N160" s="52">
        <v>1737.17</v>
      </c>
    </row>
    <row r="161" spans="2:14" hidden="1" outlineLevel="2" x14ac:dyDescent="0.3">
      <c r="B161" s="48">
        <v>45613</v>
      </c>
      <c r="C161" s="51">
        <v>23907.25</v>
      </c>
      <c r="D161" s="51">
        <v>43332.1</v>
      </c>
      <c r="E161" s="51">
        <v>4178</v>
      </c>
      <c r="F161" s="51">
        <v>1902.25</v>
      </c>
      <c r="G161" s="51">
        <v>1892.04</v>
      </c>
      <c r="H161" s="51">
        <v>285.83</v>
      </c>
      <c r="I161" s="51">
        <v>1747.45</v>
      </c>
      <c r="J161" s="51">
        <v>6133.7</v>
      </c>
      <c r="K161" s="51">
        <v>5796.25</v>
      </c>
      <c r="L161" s="51">
        <v>11516.4</v>
      </c>
      <c r="M161" s="51">
        <v>2883.55</v>
      </c>
      <c r="N161" s="52">
        <v>1665.5</v>
      </c>
    </row>
    <row r="162" spans="2:14" hidden="1" outlineLevel="2" x14ac:dyDescent="0.3">
      <c r="B162" s="48">
        <v>45606</v>
      </c>
      <c r="C162" s="51">
        <v>23532.7</v>
      </c>
      <c r="D162" s="51">
        <v>42390.85</v>
      </c>
      <c r="E162" s="51">
        <v>4080.85</v>
      </c>
      <c r="F162" s="51">
        <v>1864.55</v>
      </c>
      <c r="G162" s="51">
        <v>1852.73</v>
      </c>
      <c r="H162" s="51">
        <v>283.35000000000002</v>
      </c>
      <c r="I162" s="51">
        <v>1687.5</v>
      </c>
      <c r="J162" s="51">
        <v>5994.65</v>
      </c>
      <c r="K162" s="51">
        <v>5713.8</v>
      </c>
      <c r="L162" s="51">
        <v>11768.55</v>
      </c>
      <c r="M162" s="51">
        <v>2839.3</v>
      </c>
      <c r="N162" s="52">
        <v>1614.8</v>
      </c>
    </row>
    <row r="163" spans="2:14" hidden="1" outlineLevel="2" x14ac:dyDescent="0.3">
      <c r="B163" s="48">
        <v>45599</v>
      </c>
      <c r="C163" s="51">
        <v>24148.2</v>
      </c>
      <c r="D163" s="51">
        <v>42050.15</v>
      </c>
      <c r="E163" s="51">
        <v>4081.93</v>
      </c>
      <c r="F163" s="51">
        <v>1829.95</v>
      </c>
      <c r="G163" s="51">
        <v>1831.35</v>
      </c>
      <c r="H163" s="51">
        <v>284.5</v>
      </c>
      <c r="I163" s="51">
        <v>1681.35</v>
      </c>
      <c r="J163" s="51">
        <v>5926.95</v>
      </c>
      <c r="K163" s="51">
        <v>5668.7</v>
      </c>
      <c r="L163" s="51">
        <v>11518.15</v>
      </c>
      <c r="M163" s="51">
        <v>2858.35</v>
      </c>
      <c r="N163" s="52">
        <v>1590.76</v>
      </c>
    </row>
    <row r="164" spans="2:14" hidden="1" outlineLevel="2" x14ac:dyDescent="0.3">
      <c r="B164" s="48">
        <v>45592</v>
      </c>
      <c r="C164" s="51">
        <v>24304.35</v>
      </c>
      <c r="D164" s="51">
        <v>40433.65</v>
      </c>
      <c r="E164" s="51">
        <v>3921.68</v>
      </c>
      <c r="F164" s="51">
        <v>1760.85</v>
      </c>
      <c r="G164" s="51">
        <v>1751.52</v>
      </c>
      <c r="H164" s="51">
        <v>275.67</v>
      </c>
      <c r="I164" s="51">
        <v>1603.65</v>
      </c>
      <c r="J164" s="51">
        <v>5731.6</v>
      </c>
      <c r="K164" s="51">
        <v>5389</v>
      </c>
      <c r="L164" s="51">
        <v>10822.35</v>
      </c>
      <c r="M164" s="51">
        <v>2894.15</v>
      </c>
      <c r="N164" s="52">
        <v>1510.54</v>
      </c>
    </row>
    <row r="165" spans="2:14" hidden="1" outlineLevel="2" x14ac:dyDescent="0.3">
      <c r="B165" s="48">
        <v>45585</v>
      </c>
      <c r="C165" s="51">
        <v>24180.799999999999</v>
      </c>
      <c r="D165" s="51">
        <v>42038.85</v>
      </c>
      <c r="E165" s="51">
        <v>3993.88</v>
      </c>
      <c r="F165" s="51">
        <v>1862.05</v>
      </c>
      <c r="G165" s="51">
        <v>1846.15</v>
      </c>
      <c r="H165" s="51">
        <v>271.73</v>
      </c>
      <c r="I165" s="51">
        <v>1716.45</v>
      </c>
      <c r="J165" s="51">
        <v>5903.2</v>
      </c>
      <c r="K165" s="51">
        <v>5670.9</v>
      </c>
      <c r="L165" s="51">
        <v>10888.05</v>
      </c>
      <c r="M165" s="51">
        <v>3041.05</v>
      </c>
      <c r="N165" s="52">
        <v>1547.97</v>
      </c>
    </row>
    <row r="166" spans="2:14" hidden="1" outlineLevel="2" x14ac:dyDescent="0.3">
      <c r="B166" s="48">
        <v>45578</v>
      </c>
      <c r="C166" s="51">
        <v>24854.05</v>
      </c>
      <c r="D166" s="51">
        <v>42106.5</v>
      </c>
      <c r="E166" s="51">
        <v>4058.35</v>
      </c>
      <c r="F166" s="51">
        <v>1879.6</v>
      </c>
      <c r="G166" s="51">
        <v>1851.48</v>
      </c>
      <c r="H166" s="51">
        <v>274.33</v>
      </c>
      <c r="I166" s="51">
        <v>1687.9</v>
      </c>
      <c r="J166" s="51">
        <v>5991.7</v>
      </c>
      <c r="K166" s="51">
        <v>5506.15</v>
      </c>
      <c r="L166" s="51">
        <v>11583.6</v>
      </c>
      <c r="M166" s="51">
        <v>3095.75</v>
      </c>
      <c r="N166" s="52">
        <v>1442.08</v>
      </c>
    </row>
    <row r="167" spans="2:14" hidden="1" outlineLevel="2" x14ac:dyDescent="0.3">
      <c r="B167" s="48">
        <v>45571</v>
      </c>
      <c r="C167" s="51">
        <v>24964.25</v>
      </c>
      <c r="D167" s="51">
        <v>42335.7</v>
      </c>
      <c r="E167" s="51">
        <v>4084.09</v>
      </c>
      <c r="F167" s="51">
        <v>1935.1</v>
      </c>
      <c r="G167" s="51">
        <v>1833.49</v>
      </c>
      <c r="H167" s="51">
        <v>264.14999999999998</v>
      </c>
      <c r="I167" s="51">
        <v>1647.05</v>
      </c>
      <c r="J167" s="51">
        <v>6410.95</v>
      </c>
      <c r="K167" s="51">
        <v>5469.55</v>
      </c>
      <c r="L167" s="51">
        <v>11556.4</v>
      </c>
      <c r="M167" s="51">
        <v>2876.35</v>
      </c>
      <c r="N167" s="52">
        <v>1476.12</v>
      </c>
    </row>
    <row r="168" spans="2:14" hidden="1" outlineLevel="2" x14ac:dyDescent="0.3">
      <c r="B168" s="48">
        <v>45564</v>
      </c>
      <c r="C168" s="51">
        <v>25014.6</v>
      </c>
      <c r="D168" s="51">
        <v>41912.5</v>
      </c>
      <c r="E168" s="51">
        <v>4185.53</v>
      </c>
      <c r="F168" s="51">
        <v>1918.15</v>
      </c>
      <c r="G168" s="51">
        <v>1770.65</v>
      </c>
      <c r="H168" s="51">
        <v>266.77</v>
      </c>
      <c r="I168" s="51">
        <v>1616.45</v>
      </c>
      <c r="J168" s="51">
        <v>6114.1</v>
      </c>
      <c r="K168" s="51">
        <v>5141.3</v>
      </c>
      <c r="L168" s="51">
        <v>10951.2</v>
      </c>
      <c r="M168" s="51">
        <v>2846.6</v>
      </c>
      <c r="N168" s="52">
        <v>1425.11</v>
      </c>
    </row>
    <row r="169" spans="2:14" hidden="1" outlineLevel="2" x14ac:dyDescent="0.3">
      <c r="B169" s="48">
        <v>45557</v>
      </c>
      <c r="C169" s="51">
        <v>26178.95</v>
      </c>
      <c r="D169" s="51">
        <v>42312.6</v>
      </c>
      <c r="E169" s="51">
        <v>4241.09</v>
      </c>
      <c r="F169" s="51">
        <v>1906.75</v>
      </c>
      <c r="G169" s="51">
        <v>1802.34</v>
      </c>
      <c r="H169" s="51">
        <v>270.89999999999998</v>
      </c>
      <c r="I169" s="51">
        <v>1609.25</v>
      </c>
      <c r="J169" s="51">
        <v>6136.1</v>
      </c>
      <c r="K169" s="51">
        <v>5437</v>
      </c>
      <c r="L169" s="51">
        <v>11392.8</v>
      </c>
      <c r="M169" s="51">
        <v>3082.6</v>
      </c>
      <c r="N169" s="52">
        <v>1387.07</v>
      </c>
    </row>
    <row r="170" spans="2:14" hidden="1" outlineLevel="2" x14ac:dyDescent="0.3">
      <c r="B170" s="48">
        <v>45550</v>
      </c>
      <c r="C170" s="51">
        <v>25790.95</v>
      </c>
      <c r="D170" s="51">
        <v>42204.4</v>
      </c>
      <c r="E170" s="51">
        <v>4217.67</v>
      </c>
      <c r="F170" s="51">
        <v>1905.75</v>
      </c>
      <c r="G170" s="51">
        <v>1754.16</v>
      </c>
      <c r="H170" s="51">
        <v>269.55</v>
      </c>
      <c r="I170" s="51">
        <v>1622.05</v>
      </c>
      <c r="J170" s="51">
        <v>6373.1</v>
      </c>
      <c r="K170" s="51">
        <v>5355.05</v>
      </c>
      <c r="L170" s="51">
        <v>11371.6</v>
      </c>
      <c r="M170" s="51">
        <v>3028.35</v>
      </c>
      <c r="N170" s="52">
        <v>1389.07</v>
      </c>
    </row>
    <row r="171" spans="2:14" hidden="1" outlineLevel="2" x14ac:dyDescent="0.3">
      <c r="B171" s="48">
        <v>45543</v>
      </c>
      <c r="C171" s="51">
        <v>25356.5</v>
      </c>
      <c r="D171" s="51">
        <v>43394.35</v>
      </c>
      <c r="E171" s="51">
        <v>4451.6400000000003</v>
      </c>
      <c r="F171" s="51">
        <v>1944.1</v>
      </c>
      <c r="G171" s="51">
        <v>1806.73</v>
      </c>
      <c r="H171" s="51">
        <v>275.3</v>
      </c>
      <c r="I171" s="51">
        <v>1656.05</v>
      </c>
      <c r="J171" s="51">
        <v>6416.2</v>
      </c>
      <c r="K171" s="51">
        <v>5359.9</v>
      </c>
      <c r="L171" s="51">
        <v>12261.9</v>
      </c>
      <c r="M171" s="51">
        <v>3146.15</v>
      </c>
      <c r="N171" s="52">
        <v>1402.75</v>
      </c>
    </row>
    <row r="172" spans="2:14" hidden="1" outlineLevel="2" x14ac:dyDescent="0.3">
      <c r="B172" s="48">
        <v>45536</v>
      </c>
      <c r="C172" s="51">
        <v>24852.15</v>
      </c>
      <c r="D172" s="51">
        <v>42228.9</v>
      </c>
      <c r="E172" s="51">
        <v>4386.82</v>
      </c>
      <c r="F172" s="51">
        <v>1901.85</v>
      </c>
      <c r="G172" s="51">
        <v>1750.22</v>
      </c>
      <c r="H172" s="51">
        <v>260.3</v>
      </c>
      <c r="I172" s="51">
        <v>1623.25</v>
      </c>
      <c r="J172" s="51">
        <v>6165.4</v>
      </c>
      <c r="K172" s="51">
        <v>5189.95</v>
      </c>
      <c r="L172" s="51">
        <v>10847.8</v>
      </c>
      <c r="M172" s="51">
        <v>3051.5</v>
      </c>
      <c r="N172" s="52">
        <v>1324.93</v>
      </c>
    </row>
    <row r="173" spans="2:14" hidden="1" outlineLevel="2" x14ac:dyDescent="0.3">
      <c r="B173" s="48">
        <v>45529</v>
      </c>
      <c r="C173" s="51">
        <v>25235.9</v>
      </c>
      <c r="D173" s="51">
        <v>42787.8</v>
      </c>
      <c r="E173" s="51">
        <v>4482.3</v>
      </c>
      <c r="F173" s="51">
        <v>1943.7</v>
      </c>
      <c r="G173" s="51">
        <v>1747.38</v>
      </c>
      <c r="H173" s="51">
        <v>269.2</v>
      </c>
      <c r="I173" s="51">
        <v>1636.5</v>
      </c>
      <c r="J173" s="51">
        <v>6156.05</v>
      </c>
      <c r="K173" s="51">
        <v>5170.8500000000004</v>
      </c>
      <c r="L173" s="51">
        <v>10988.7</v>
      </c>
      <c r="M173" s="51">
        <v>3104.95</v>
      </c>
      <c r="N173" s="52">
        <v>1268.81</v>
      </c>
    </row>
    <row r="174" spans="2:14" hidden="1" outlineLevel="2" x14ac:dyDescent="0.3">
      <c r="B174" s="48">
        <v>45522</v>
      </c>
      <c r="C174" s="51">
        <v>24823.15</v>
      </c>
      <c r="D174" s="51">
        <v>41089.85</v>
      </c>
      <c r="E174" s="51">
        <v>4393.8599999999997</v>
      </c>
      <c r="F174" s="51">
        <v>1862.1</v>
      </c>
      <c r="G174" s="51">
        <v>1655.89</v>
      </c>
      <c r="H174" s="51">
        <v>256.2</v>
      </c>
      <c r="I174" s="51">
        <v>1598.4</v>
      </c>
      <c r="J174" s="51">
        <v>5641.6</v>
      </c>
      <c r="K174" s="51">
        <v>4882.5</v>
      </c>
      <c r="L174" s="51">
        <v>10931.5</v>
      </c>
      <c r="M174" s="51">
        <v>2997.65</v>
      </c>
      <c r="N174" s="52">
        <v>1204.45</v>
      </c>
    </row>
    <row r="175" spans="2:14" hidden="1" outlineLevel="2" x14ac:dyDescent="0.3">
      <c r="B175" s="48">
        <v>45515</v>
      </c>
      <c r="C175" s="51">
        <v>24541.15</v>
      </c>
      <c r="D175" s="51">
        <v>40878.25</v>
      </c>
      <c r="E175" s="51">
        <v>4346.76</v>
      </c>
      <c r="F175" s="51">
        <v>1858.95</v>
      </c>
      <c r="G175" s="51">
        <v>1662.67</v>
      </c>
      <c r="H175" s="51">
        <v>258.13</v>
      </c>
      <c r="I175" s="51">
        <v>1585.3</v>
      </c>
      <c r="J175" s="51">
        <v>5563.75</v>
      </c>
      <c r="K175" s="51">
        <v>4857.1499999999996</v>
      </c>
      <c r="L175" s="51">
        <v>10898.45</v>
      </c>
      <c r="M175" s="51">
        <v>2910.95</v>
      </c>
      <c r="N175" s="52">
        <v>1215.4000000000001</v>
      </c>
    </row>
    <row r="176" spans="2:14" hidden="1" outlineLevel="2" x14ac:dyDescent="0.3">
      <c r="B176" s="48">
        <v>45508</v>
      </c>
      <c r="C176" s="51">
        <v>24367.5</v>
      </c>
      <c r="D176" s="51">
        <v>39043.300000000003</v>
      </c>
      <c r="E176" s="51">
        <v>4162.3999999999996</v>
      </c>
      <c r="F176" s="51">
        <v>1770.75</v>
      </c>
      <c r="G176" s="51">
        <v>1584.63</v>
      </c>
      <c r="H176" s="51">
        <v>245.65</v>
      </c>
      <c r="I176" s="51">
        <v>1506.7</v>
      </c>
      <c r="J176" s="51">
        <v>5373.55</v>
      </c>
      <c r="K176" s="51">
        <v>4699.05</v>
      </c>
      <c r="L176" s="51">
        <v>10564.1</v>
      </c>
      <c r="M176" s="51">
        <v>2720.5</v>
      </c>
      <c r="N176" s="52">
        <v>1175.68</v>
      </c>
    </row>
    <row r="177" spans="2:14" hidden="1" outlineLevel="2" x14ac:dyDescent="0.3">
      <c r="B177" s="48">
        <v>45501</v>
      </c>
      <c r="C177" s="51">
        <v>24717.7</v>
      </c>
      <c r="D177" s="51">
        <v>39730.300000000003</v>
      </c>
      <c r="E177" s="51">
        <v>4215.8500000000004</v>
      </c>
      <c r="F177" s="51">
        <v>1821.2</v>
      </c>
      <c r="G177" s="51">
        <v>1603.91</v>
      </c>
      <c r="H177" s="51">
        <v>251.07</v>
      </c>
      <c r="I177" s="51">
        <v>1507.7</v>
      </c>
      <c r="J177" s="51">
        <v>5509.9</v>
      </c>
      <c r="K177" s="51">
        <v>4636.3500000000004</v>
      </c>
      <c r="L177" s="51">
        <v>10389.6</v>
      </c>
      <c r="M177" s="51">
        <v>2775.3</v>
      </c>
      <c r="N177" s="52">
        <v>1216</v>
      </c>
    </row>
    <row r="178" spans="2:14" hidden="1" outlineLevel="2" x14ac:dyDescent="0.3">
      <c r="B178" s="48">
        <v>45494</v>
      </c>
      <c r="C178" s="51">
        <v>24834.85</v>
      </c>
      <c r="D178" s="51">
        <v>40977.35</v>
      </c>
      <c r="E178" s="51">
        <v>4319</v>
      </c>
      <c r="F178" s="51">
        <v>1878.9</v>
      </c>
      <c r="G178" s="51">
        <v>1629.88</v>
      </c>
      <c r="H178" s="51">
        <v>262.39999999999998</v>
      </c>
      <c r="I178" s="51">
        <v>1541.15</v>
      </c>
      <c r="J178" s="51">
        <v>5788.45</v>
      </c>
      <c r="K178" s="51">
        <v>4772.95</v>
      </c>
      <c r="L178" s="51">
        <v>11093.65</v>
      </c>
      <c r="M178" s="51">
        <v>3029.8</v>
      </c>
      <c r="N178" s="52">
        <v>1268.74</v>
      </c>
    </row>
    <row r="179" spans="2:14" hidden="1" outlineLevel="2" x14ac:dyDescent="0.3">
      <c r="B179" s="48">
        <v>45487</v>
      </c>
      <c r="C179" s="51">
        <v>24530.9</v>
      </c>
      <c r="D179" s="51">
        <v>39923.300000000003</v>
      </c>
      <c r="E179" s="51">
        <v>4234.8900000000003</v>
      </c>
      <c r="F179" s="51">
        <v>1792.95</v>
      </c>
      <c r="G179" s="51">
        <v>1589.21</v>
      </c>
      <c r="H179" s="51">
        <v>278.60000000000002</v>
      </c>
      <c r="I179" s="51">
        <v>1491.4</v>
      </c>
      <c r="J179" s="51">
        <v>5762.75</v>
      </c>
      <c r="K179" s="51">
        <v>4583.45</v>
      </c>
      <c r="L179" s="51">
        <v>10822.3</v>
      </c>
      <c r="M179" s="51">
        <v>2873.55</v>
      </c>
      <c r="N179" s="52">
        <v>1196.75</v>
      </c>
    </row>
    <row r="180" spans="2:14" hidden="1" outlineLevel="2" x14ac:dyDescent="0.3">
      <c r="B180" s="48">
        <v>45480</v>
      </c>
      <c r="C180" s="51">
        <v>24502.15</v>
      </c>
      <c r="D180" s="51">
        <v>39023</v>
      </c>
      <c r="E180" s="51">
        <v>4118.3</v>
      </c>
      <c r="F180" s="51">
        <v>1711.75</v>
      </c>
      <c r="G180" s="51">
        <v>1554.98</v>
      </c>
      <c r="H180" s="51">
        <v>280.08</v>
      </c>
      <c r="I180" s="51">
        <v>1505.05</v>
      </c>
      <c r="J180" s="51">
        <v>5572.65</v>
      </c>
      <c r="K180" s="51">
        <v>4808.5</v>
      </c>
      <c r="L180" s="51">
        <v>10556.85</v>
      </c>
      <c r="M180" s="51">
        <v>2690.7</v>
      </c>
      <c r="N180" s="52">
        <v>1195.53</v>
      </c>
    </row>
    <row r="181" spans="2:14" hidden="1" outlineLevel="2" x14ac:dyDescent="0.3">
      <c r="B181" s="48">
        <v>45473</v>
      </c>
      <c r="C181" s="51">
        <v>24323.85</v>
      </c>
      <c r="D181" s="51">
        <v>37720.75</v>
      </c>
      <c r="E181" s="51">
        <v>3948.85</v>
      </c>
      <c r="F181" s="51">
        <v>1647.45</v>
      </c>
      <c r="G181" s="51">
        <v>1514.31</v>
      </c>
      <c r="H181" s="51">
        <v>267.55</v>
      </c>
      <c r="I181" s="51">
        <v>1461.35</v>
      </c>
      <c r="J181" s="51">
        <v>5421.7</v>
      </c>
      <c r="K181" s="51">
        <v>4771.25</v>
      </c>
      <c r="L181" s="51">
        <v>10425.450000000001</v>
      </c>
      <c r="M181" s="51">
        <v>2628.9</v>
      </c>
      <c r="N181" s="52">
        <v>1174.03</v>
      </c>
    </row>
    <row r="182" spans="2:14" hidden="1" outlineLevel="2" x14ac:dyDescent="0.3">
      <c r="B182" s="48">
        <v>45466</v>
      </c>
      <c r="C182" s="51">
        <v>24010.6</v>
      </c>
      <c r="D182" s="51">
        <v>36157.5</v>
      </c>
      <c r="E182" s="51">
        <v>3842.89</v>
      </c>
      <c r="F182" s="51">
        <v>1566.75</v>
      </c>
      <c r="G182" s="51">
        <v>1454.71</v>
      </c>
      <c r="H182" s="51">
        <v>257.42</v>
      </c>
      <c r="I182" s="51">
        <v>1430.35</v>
      </c>
      <c r="J182" s="51">
        <v>5385.05</v>
      </c>
      <c r="K182" s="51">
        <v>4241.45</v>
      </c>
      <c r="L182" s="51">
        <v>9882.25</v>
      </c>
      <c r="M182" s="51">
        <v>2456.5500000000002</v>
      </c>
      <c r="N182" s="52">
        <v>1091.76</v>
      </c>
    </row>
    <row r="183" spans="2:14" hidden="1" outlineLevel="2" x14ac:dyDescent="0.3">
      <c r="B183" s="48">
        <v>45459</v>
      </c>
      <c r="C183" s="51">
        <v>23501.1</v>
      </c>
      <c r="D183" s="51">
        <v>35200.300000000003</v>
      </c>
      <c r="E183" s="51">
        <v>3750.96</v>
      </c>
      <c r="F183" s="51">
        <v>1532.7</v>
      </c>
      <c r="G183" s="51">
        <v>1443</v>
      </c>
      <c r="H183" s="51">
        <v>245.27</v>
      </c>
      <c r="I183" s="51">
        <v>1399.8</v>
      </c>
      <c r="J183" s="51">
        <v>5125.45</v>
      </c>
      <c r="K183" s="51">
        <v>3944.45</v>
      </c>
      <c r="L183" s="51">
        <v>9738.9</v>
      </c>
      <c r="M183" s="51">
        <v>2429.75</v>
      </c>
      <c r="N183" s="52">
        <v>1076.68</v>
      </c>
    </row>
    <row r="184" spans="2:14" hidden="1" outlineLevel="2" x14ac:dyDescent="0.3">
      <c r="B184" s="48">
        <v>45452</v>
      </c>
      <c r="C184" s="51">
        <v>23465.599999999999</v>
      </c>
      <c r="D184" s="51">
        <v>34598.550000000003</v>
      </c>
      <c r="E184" s="51">
        <v>3771.92</v>
      </c>
      <c r="F184" s="51">
        <v>1488.9</v>
      </c>
      <c r="G184" s="51">
        <v>1426.26</v>
      </c>
      <c r="H184" s="51">
        <v>238.75</v>
      </c>
      <c r="I184" s="51">
        <v>1371.45</v>
      </c>
      <c r="J184" s="51">
        <v>5032.55</v>
      </c>
      <c r="K184" s="51">
        <v>3772.8</v>
      </c>
      <c r="L184" s="51">
        <v>9510.7000000000007</v>
      </c>
      <c r="M184" s="51">
        <v>2408.85</v>
      </c>
      <c r="N184" s="52">
        <v>1040.3499999999999</v>
      </c>
    </row>
    <row r="185" spans="2:14" hidden="1" outlineLevel="2" x14ac:dyDescent="0.3">
      <c r="B185" s="48">
        <v>45445</v>
      </c>
      <c r="C185" s="51">
        <v>23290.15</v>
      </c>
      <c r="D185" s="51">
        <v>35169.9</v>
      </c>
      <c r="E185" s="51">
        <v>3832.85</v>
      </c>
      <c r="F185" s="51">
        <v>1533.6</v>
      </c>
      <c r="G185" s="51">
        <v>1426.71</v>
      </c>
      <c r="H185" s="51">
        <v>242.27</v>
      </c>
      <c r="I185" s="51">
        <v>1377.6</v>
      </c>
      <c r="J185" s="51">
        <v>4977.2</v>
      </c>
      <c r="K185" s="51">
        <v>3850.25</v>
      </c>
      <c r="L185" s="51">
        <v>8406.2999999999993</v>
      </c>
      <c r="M185" s="51">
        <v>2471.9499999999998</v>
      </c>
      <c r="N185" s="52">
        <v>1086.22</v>
      </c>
    </row>
    <row r="186" spans="2:14" hidden="1" outlineLevel="2" x14ac:dyDescent="0.3">
      <c r="B186" s="48">
        <v>45438</v>
      </c>
      <c r="C186" s="51">
        <v>22530.7</v>
      </c>
      <c r="D186" s="51">
        <v>32386.1</v>
      </c>
      <c r="E186" s="51">
        <v>3613.35</v>
      </c>
      <c r="F186" s="51">
        <v>1406.9</v>
      </c>
      <c r="G186" s="51">
        <v>1319.67</v>
      </c>
      <c r="H186" s="51">
        <v>219.1</v>
      </c>
      <c r="I186" s="51">
        <v>1228.45</v>
      </c>
      <c r="J186" s="51">
        <v>4701.8999999999996</v>
      </c>
      <c r="K186" s="51">
        <v>3410.5</v>
      </c>
      <c r="L186" s="51">
        <v>7454.95</v>
      </c>
      <c r="M186" s="51">
        <v>2284.1</v>
      </c>
      <c r="N186" s="52">
        <v>994.2</v>
      </c>
    </row>
    <row r="187" spans="2:14" hidden="1" outlineLevel="2" x14ac:dyDescent="0.3">
      <c r="B187" s="48">
        <v>45431</v>
      </c>
      <c r="C187" s="51">
        <v>22957.1</v>
      </c>
      <c r="D187" s="51">
        <v>33824.300000000003</v>
      </c>
      <c r="E187" s="51">
        <v>3789.1</v>
      </c>
      <c r="F187" s="51">
        <v>1456.89</v>
      </c>
      <c r="G187" s="51">
        <v>1340.7</v>
      </c>
      <c r="H187" s="51">
        <v>231.82</v>
      </c>
      <c r="I187" s="51">
        <v>1321.75</v>
      </c>
      <c r="J187" s="51">
        <v>4839.75</v>
      </c>
      <c r="K187" s="51">
        <v>3555.2</v>
      </c>
      <c r="L187" s="51">
        <v>7542.4</v>
      </c>
      <c r="M187" s="51">
        <v>2390.9499999999998</v>
      </c>
      <c r="N187" s="52">
        <v>1021.09</v>
      </c>
    </row>
    <row r="188" spans="2:14" hidden="1" outlineLevel="2" x14ac:dyDescent="0.3">
      <c r="B188" s="48">
        <v>45424</v>
      </c>
      <c r="C188" s="51">
        <v>22466.1</v>
      </c>
      <c r="D188" s="51">
        <v>33381.85</v>
      </c>
      <c r="E188" s="51">
        <v>3773.94</v>
      </c>
      <c r="F188" s="51">
        <v>1436.21</v>
      </c>
      <c r="G188" s="51">
        <v>1328.74</v>
      </c>
      <c r="H188" s="51">
        <v>230.5</v>
      </c>
      <c r="I188" s="51">
        <v>1305.4000000000001</v>
      </c>
      <c r="J188" s="51">
        <v>4764.3</v>
      </c>
      <c r="K188" s="51">
        <v>3540.15</v>
      </c>
      <c r="L188" s="51">
        <v>7786</v>
      </c>
      <c r="M188" s="51">
        <v>2311.6</v>
      </c>
      <c r="N188" s="52">
        <v>942.52</v>
      </c>
    </row>
    <row r="189" spans="2:14" hidden="1" outlineLevel="2" x14ac:dyDescent="0.3">
      <c r="B189" s="48">
        <v>45417</v>
      </c>
      <c r="C189" s="51">
        <v>22055.200000000001</v>
      </c>
      <c r="D189" s="51">
        <v>32935.15</v>
      </c>
      <c r="E189" s="51">
        <v>3832.8</v>
      </c>
      <c r="F189" s="51">
        <v>1416.92</v>
      </c>
      <c r="G189" s="51">
        <v>1311.79</v>
      </c>
      <c r="H189" s="51">
        <v>225.93</v>
      </c>
      <c r="I189" s="51">
        <v>1264.4000000000001</v>
      </c>
      <c r="J189" s="51">
        <v>4607.6499999999996</v>
      </c>
      <c r="K189" s="51">
        <v>3367.5</v>
      </c>
      <c r="L189" s="51">
        <v>7580.75</v>
      </c>
      <c r="M189" s="51">
        <v>2231.1999999999998</v>
      </c>
      <c r="N189" s="52">
        <v>893.06</v>
      </c>
    </row>
    <row r="190" spans="2:14" hidden="1" outlineLevel="2" x14ac:dyDescent="0.3">
      <c r="B190" s="48">
        <v>45410</v>
      </c>
      <c r="C190" s="51">
        <v>22475.85</v>
      </c>
      <c r="D190" s="51">
        <v>32908.400000000001</v>
      </c>
      <c r="E190" s="51">
        <v>3783.09</v>
      </c>
      <c r="F190" s="51">
        <v>1408.36</v>
      </c>
      <c r="G190" s="51">
        <v>1343.54</v>
      </c>
      <c r="H190" s="51">
        <v>228.68</v>
      </c>
      <c r="I190" s="51">
        <v>1250.45</v>
      </c>
      <c r="J190" s="51">
        <v>4651.95</v>
      </c>
      <c r="K190" s="51">
        <v>3366.85</v>
      </c>
      <c r="L190" s="51">
        <v>7780.7</v>
      </c>
      <c r="M190" s="51">
        <v>2291.9</v>
      </c>
      <c r="N190" s="52">
        <v>896.51</v>
      </c>
    </row>
    <row r="191" spans="2:14" hidden="1" outlineLevel="2" x14ac:dyDescent="0.3">
      <c r="B191" s="48">
        <v>45403</v>
      </c>
      <c r="C191" s="51">
        <v>22419.95</v>
      </c>
      <c r="D191" s="51">
        <v>33666.25</v>
      </c>
      <c r="E191" s="51">
        <v>3761.39</v>
      </c>
      <c r="F191" s="51">
        <v>1422.23</v>
      </c>
      <c r="G191" s="51">
        <v>1468.92</v>
      </c>
      <c r="H191" s="51">
        <v>232.3</v>
      </c>
      <c r="I191" s="51">
        <v>1278.75</v>
      </c>
      <c r="J191" s="51">
        <v>4788.05</v>
      </c>
      <c r="K191" s="51">
        <v>3397.45</v>
      </c>
      <c r="L191" s="51">
        <v>7490.6</v>
      </c>
      <c r="M191" s="51">
        <v>2298.1</v>
      </c>
      <c r="N191" s="52">
        <v>1050.2</v>
      </c>
    </row>
    <row r="192" spans="2:14" hidden="1" outlineLevel="2" x14ac:dyDescent="0.3">
      <c r="B192" s="48">
        <v>45396</v>
      </c>
      <c r="C192" s="51">
        <v>22147</v>
      </c>
      <c r="D192" s="51">
        <v>33368.300000000003</v>
      </c>
      <c r="E192" s="51">
        <v>3766.16</v>
      </c>
      <c r="F192" s="51">
        <v>1403.34</v>
      </c>
      <c r="G192" s="51">
        <v>1442.65</v>
      </c>
      <c r="H192" s="51">
        <v>226.38</v>
      </c>
      <c r="I192" s="51">
        <v>1193.6500000000001</v>
      </c>
      <c r="J192" s="51">
        <v>4660.55</v>
      </c>
      <c r="K192" s="51">
        <v>3884.7</v>
      </c>
      <c r="L192" s="51">
        <v>7602.75</v>
      </c>
      <c r="M192" s="51">
        <v>2280.3000000000002</v>
      </c>
      <c r="N192" s="52">
        <v>1023.63</v>
      </c>
    </row>
    <row r="193" spans="2:14" hidden="1" outlineLevel="2" x14ac:dyDescent="0.3">
      <c r="B193" s="48">
        <v>45389</v>
      </c>
      <c r="C193" s="51">
        <v>22519.4</v>
      </c>
      <c r="D193" s="51">
        <v>35018.1</v>
      </c>
      <c r="E193" s="51">
        <v>3938.61</v>
      </c>
      <c r="F193" s="51">
        <v>1476.43</v>
      </c>
      <c r="G193" s="51">
        <v>1516.41</v>
      </c>
      <c r="H193" s="51">
        <v>235.38</v>
      </c>
      <c r="I193" s="51">
        <v>1242.0999999999999</v>
      </c>
      <c r="J193" s="51">
        <v>4888.8999999999996</v>
      </c>
      <c r="K193" s="51">
        <v>3977.95</v>
      </c>
      <c r="L193" s="51">
        <v>8204.2000000000007</v>
      </c>
      <c r="M193" s="51">
        <v>2446.15</v>
      </c>
      <c r="N193" s="52">
        <v>1123.25</v>
      </c>
    </row>
    <row r="194" spans="2:14" hidden="1" outlineLevel="2" x14ac:dyDescent="0.3">
      <c r="B194" s="48">
        <v>45382</v>
      </c>
      <c r="C194" s="51">
        <v>22513.7</v>
      </c>
      <c r="D194" s="51">
        <v>35247.9</v>
      </c>
      <c r="E194" s="51">
        <v>3916.81</v>
      </c>
      <c r="F194" s="51">
        <v>1470.81</v>
      </c>
      <c r="G194" s="51">
        <v>1540.08</v>
      </c>
      <c r="H194" s="51">
        <v>242.52</v>
      </c>
      <c r="I194" s="51">
        <v>1263.4000000000001</v>
      </c>
      <c r="J194" s="51">
        <v>4927.5</v>
      </c>
      <c r="K194" s="51">
        <v>3996.75</v>
      </c>
      <c r="L194" s="51">
        <v>8775.4500000000007</v>
      </c>
      <c r="M194" s="51">
        <v>2510.6</v>
      </c>
      <c r="N194" s="52">
        <v>1156.58</v>
      </c>
    </row>
    <row r="195" spans="2:14" hidden="1" outlineLevel="2" x14ac:dyDescent="0.3">
      <c r="B195" s="48">
        <v>45375</v>
      </c>
      <c r="C195" s="51">
        <v>22326.9</v>
      </c>
      <c r="D195" s="51">
        <v>34898.15</v>
      </c>
      <c r="E195" s="51">
        <v>3815.48</v>
      </c>
      <c r="F195" s="51">
        <v>1489.66</v>
      </c>
      <c r="G195" s="51">
        <v>1538.38</v>
      </c>
      <c r="H195" s="51">
        <v>240.05</v>
      </c>
      <c r="I195" s="51">
        <v>1248.0999999999999</v>
      </c>
      <c r="J195" s="51">
        <v>4938.3999999999996</v>
      </c>
      <c r="K195" s="51">
        <v>3984.55</v>
      </c>
      <c r="L195" s="51">
        <v>8774.1</v>
      </c>
      <c r="M195" s="51">
        <v>2388.0500000000002</v>
      </c>
      <c r="N195" s="52">
        <v>1100.49</v>
      </c>
    </row>
    <row r="196" spans="2:14" hidden="1" outlineLevel="2" x14ac:dyDescent="0.3">
      <c r="B196" s="48">
        <v>45368</v>
      </c>
      <c r="C196" s="51">
        <v>22096.75</v>
      </c>
      <c r="D196" s="51">
        <v>35188.400000000001</v>
      </c>
      <c r="E196" s="51">
        <v>3849.53</v>
      </c>
      <c r="F196" s="51">
        <v>1500.39</v>
      </c>
      <c r="G196" s="51">
        <v>1552.63</v>
      </c>
      <c r="H196" s="51">
        <v>243.55</v>
      </c>
      <c r="I196" s="51">
        <v>1262.6500000000001</v>
      </c>
      <c r="J196" s="51">
        <v>5005</v>
      </c>
      <c r="K196" s="51">
        <v>3985.7</v>
      </c>
      <c r="L196" s="51">
        <v>8378.9500000000007</v>
      </c>
      <c r="M196" s="51">
        <v>2389.4</v>
      </c>
      <c r="N196" s="52">
        <v>1108.02</v>
      </c>
    </row>
    <row r="197" spans="2:14" hidden="1" outlineLevel="2" x14ac:dyDescent="0.3">
      <c r="B197" s="48">
        <v>45361</v>
      </c>
      <c r="C197" s="51">
        <v>22023.35</v>
      </c>
      <c r="D197" s="51">
        <v>37500.699999999997</v>
      </c>
      <c r="E197" s="51">
        <v>4153.05</v>
      </c>
      <c r="F197" s="51">
        <v>1624.84</v>
      </c>
      <c r="G197" s="51">
        <v>1641.79</v>
      </c>
      <c r="H197" s="51">
        <v>258.5</v>
      </c>
      <c r="I197" s="51">
        <v>1282.2</v>
      </c>
      <c r="J197" s="51">
        <v>5194.3500000000004</v>
      </c>
      <c r="K197" s="51">
        <v>4216.2299999999996</v>
      </c>
      <c r="L197" s="51">
        <v>8453.2999999999993</v>
      </c>
      <c r="M197" s="51">
        <v>2487.85</v>
      </c>
      <c r="N197" s="52">
        <v>1223.28</v>
      </c>
    </row>
    <row r="198" spans="2:14" hidden="1" outlineLevel="2" x14ac:dyDescent="0.3">
      <c r="B198" s="48">
        <v>45354</v>
      </c>
      <c r="C198" s="51">
        <v>22493.55</v>
      </c>
      <c r="D198" s="51">
        <v>37099.9</v>
      </c>
      <c r="E198" s="51">
        <v>4044.13</v>
      </c>
      <c r="F198" s="51">
        <v>1607.39</v>
      </c>
      <c r="G198" s="51">
        <v>1632.17</v>
      </c>
      <c r="H198" s="51">
        <v>257.75</v>
      </c>
      <c r="I198" s="51">
        <v>1288.1500000000001</v>
      </c>
      <c r="J198" s="51">
        <v>5122.7</v>
      </c>
      <c r="K198" s="51">
        <v>4186.05</v>
      </c>
      <c r="L198" s="51">
        <v>8301.7999999999993</v>
      </c>
      <c r="M198" s="51">
        <v>2492.85</v>
      </c>
      <c r="N198" s="52">
        <v>1250.74</v>
      </c>
    </row>
    <row r="199" spans="2:14" hidden="1" outlineLevel="2" x14ac:dyDescent="0.3">
      <c r="B199" s="48">
        <v>45347</v>
      </c>
      <c r="C199" s="51">
        <v>22338.75</v>
      </c>
      <c r="D199" s="51">
        <v>37516.050000000003</v>
      </c>
      <c r="E199" s="51">
        <v>4030.11</v>
      </c>
      <c r="F199" s="51">
        <v>1645.43</v>
      </c>
      <c r="G199" s="51">
        <v>1638.6</v>
      </c>
      <c r="H199" s="51">
        <v>259.55</v>
      </c>
      <c r="I199" s="51">
        <v>1271.8</v>
      </c>
      <c r="J199" s="51">
        <v>5273.55</v>
      </c>
      <c r="K199" s="51">
        <v>4299.5</v>
      </c>
      <c r="L199" s="51">
        <v>7710.05</v>
      </c>
      <c r="M199" s="51">
        <v>2617.25</v>
      </c>
      <c r="N199" s="52">
        <v>1300.94</v>
      </c>
    </row>
    <row r="200" spans="2:14" hidden="1" outlineLevel="2" x14ac:dyDescent="0.3">
      <c r="B200" s="48">
        <v>45340</v>
      </c>
      <c r="C200" s="51">
        <v>22212.7</v>
      </c>
      <c r="D200" s="51">
        <v>38045.65</v>
      </c>
      <c r="E200" s="51">
        <v>3988.52</v>
      </c>
      <c r="F200" s="51">
        <v>1667.45</v>
      </c>
      <c r="G200" s="51">
        <v>1660.17</v>
      </c>
      <c r="H200" s="51">
        <v>268.08</v>
      </c>
      <c r="I200" s="51">
        <v>1322.25</v>
      </c>
      <c r="J200" s="51">
        <v>5542.65</v>
      </c>
      <c r="K200" s="51">
        <v>4326.1499999999996</v>
      </c>
      <c r="L200" s="51">
        <v>7890.3</v>
      </c>
      <c r="M200" s="51">
        <v>2727.6</v>
      </c>
      <c r="N200" s="52">
        <v>1321.2</v>
      </c>
    </row>
    <row r="201" spans="2:14" hidden="1" outlineLevel="2" x14ac:dyDescent="0.3">
      <c r="B201" s="48">
        <v>45333</v>
      </c>
      <c r="C201" s="51">
        <v>22040.7</v>
      </c>
      <c r="D201" s="51">
        <v>38477.050000000003</v>
      </c>
      <c r="E201" s="51">
        <v>4063.52</v>
      </c>
      <c r="F201" s="51">
        <v>1692.11</v>
      </c>
      <c r="G201" s="51">
        <v>1661.87</v>
      </c>
      <c r="H201" s="51">
        <v>271.5</v>
      </c>
      <c r="I201" s="51">
        <v>1302.55</v>
      </c>
      <c r="J201" s="51">
        <v>5580.4</v>
      </c>
      <c r="K201" s="51">
        <v>4434.7700000000004</v>
      </c>
      <c r="L201" s="51">
        <v>7917.5</v>
      </c>
      <c r="M201" s="51">
        <v>2801.95</v>
      </c>
      <c r="N201" s="52">
        <v>1333.08</v>
      </c>
    </row>
    <row r="202" spans="2:14" hidden="1" outlineLevel="2" x14ac:dyDescent="0.3">
      <c r="B202" s="48">
        <v>45326</v>
      </c>
      <c r="C202" s="51">
        <v>21782.5</v>
      </c>
      <c r="D202" s="51">
        <v>37699.25</v>
      </c>
      <c r="E202" s="51">
        <v>4068.84</v>
      </c>
      <c r="F202" s="51">
        <v>1659.99</v>
      </c>
      <c r="G202" s="51">
        <v>1625.14</v>
      </c>
      <c r="H202" s="51">
        <v>245.23</v>
      </c>
      <c r="I202" s="51">
        <v>1311.05</v>
      </c>
      <c r="J202" s="51">
        <v>5453.3</v>
      </c>
      <c r="K202" s="51">
        <v>4319.38</v>
      </c>
      <c r="L202" s="51">
        <v>7525.75</v>
      </c>
      <c r="M202" s="51">
        <v>2589.3000000000002</v>
      </c>
      <c r="N202" s="52">
        <v>1300.1500000000001</v>
      </c>
    </row>
    <row r="203" spans="2:14" hidden="1" outlineLevel="2" x14ac:dyDescent="0.3">
      <c r="B203" s="48">
        <v>45319</v>
      </c>
      <c r="C203" s="51">
        <v>21853.8</v>
      </c>
      <c r="D203" s="51">
        <v>37323.25</v>
      </c>
      <c r="E203" s="51">
        <v>3904.06</v>
      </c>
      <c r="F203" s="51">
        <v>1683.86</v>
      </c>
      <c r="G203" s="51">
        <v>1578.45</v>
      </c>
      <c r="H203" s="51">
        <v>241.57</v>
      </c>
      <c r="I203" s="51">
        <v>1338.1</v>
      </c>
      <c r="J203" s="51">
        <v>5485.85</v>
      </c>
      <c r="K203" s="51">
        <v>4251.3</v>
      </c>
      <c r="L203" s="51">
        <v>6564.1</v>
      </c>
      <c r="M203" s="51">
        <v>2560.1999999999998</v>
      </c>
      <c r="N203" s="52">
        <v>1285.07</v>
      </c>
    </row>
    <row r="204" spans="2:14" hidden="1" outlineLevel="2" x14ac:dyDescent="0.3">
      <c r="B204" s="48">
        <v>45312</v>
      </c>
      <c r="C204" s="51">
        <v>21352.6</v>
      </c>
      <c r="D204" s="51">
        <v>36496.199999999997</v>
      </c>
      <c r="E204" s="51">
        <v>3750.51</v>
      </c>
      <c r="F204" s="51">
        <v>1659.75</v>
      </c>
      <c r="G204" s="51">
        <v>1545.06</v>
      </c>
      <c r="H204" s="51">
        <v>235</v>
      </c>
      <c r="I204" s="51">
        <v>1322.05</v>
      </c>
      <c r="J204" s="51">
        <v>5494.65</v>
      </c>
      <c r="K204" s="51">
        <v>4189.38</v>
      </c>
      <c r="L204" s="51">
        <v>6707.3</v>
      </c>
      <c r="M204" s="51">
        <v>2522.4</v>
      </c>
      <c r="N204" s="52">
        <v>1241.01</v>
      </c>
    </row>
    <row r="205" spans="2:14" hidden="1" outlineLevel="2" x14ac:dyDescent="0.3">
      <c r="B205" s="48">
        <v>45305</v>
      </c>
      <c r="C205" s="51">
        <v>21622.400000000001</v>
      </c>
      <c r="D205" s="51">
        <v>37069.25</v>
      </c>
      <c r="E205" s="51">
        <v>3881.18</v>
      </c>
      <c r="F205" s="51">
        <v>1649.9</v>
      </c>
      <c r="G205" s="51">
        <v>1562.7</v>
      </c>
      <c r="H205" s="51">
        <v>242.52</v>
      </c>
      <c r="I205" s="51">
        <v>1389.9</v>
      </c>
      <c r="J205" s="51">
        <v>5652.15</v>
      </c>
      <c r="K205" s="51">
        <v>3932.88</v>
      </c>
      <c r="L205" s="51">
        <v>6877.1</v>
      </c>
      <c r="M205" s="51">
        <v>2549.0500000000002</v>
      </c>
      <c r="N205" s="52">
        <v>1283.07</v>
      </c>
    </row>
    <row r="206" spans="2:14" hidden="1" outlineLevel="2" x14ac:dyDescent="0.3">
      <c r="B206" s="48">
        <v>45298</v>
      </c>
      <c r="C206" s="51">
        <v>21894.55</v>
      </c>
      <c r="D206" s="51">
        <v>36521.699999999997</v>
      </c>
      <c r="E206" s="51">
        <v>3804.25</v>
      </c>
      <c r="F206" s="51">
        <v>1603.71</v>
      </c>
      <c r="G206" s="51">
        <v>1535.64</v>
      </c>
      <c r="H206" s="51">
        <v>232.73</v>
      </c>
      <c r="I206" s="51">
        <v>1308.05</v>
      </c>
      <c r="J206" s="51">
        <v>6237.05</v>
      </c>
      <c r="K206" s="51">
        <v>3827.52</v>
      </c>
      <c r="L206" s="51">
        <v>4656.75</v>
      </c>
      <c r="M206" s="51">
        <v>2679.6</v>
      </c>
      <c r="N206" s="52">
        <v>1318.54</v>
      </c>
    </row>
    <row r="207" spans="2:14" hidden="1" outlineLevel="2" x14ac:dyDescent="0.3">
      <c r="B207" s="48">
        <v>45291</v>
      </c>
      <c r="C207" s="51">
        <v>21710.799999999999</v>
      </c>
      <c r="D207" s="51">
        <v>34851.75</v>
      </c>
      <c r="E207" s="51">
        <v>3662.28</v>
      </c>
      <c r="F207" s="51">
        <v>1523.96</v>
      </c>
      <c r="G207" s="51">
        <v>1428</v>
      </c>
      <c r="H207" s="51">
        <v>228.3</v>
      </c>
      <c r="I207" s="51">
        <v>1248.3</v>
      </c>
      <c r="J207" s="51">
        <v>5947.65</v>
      </c>
      <c r="K207" s="51">
        <v>3675.38</v>
      </c>
      <c r="L207" s="51">
        <v>4457.6499999999996</v>
      </c>
      <c r="M207" s="51">
        <v>2637.55</v>
      </c>
      <c r="N207" s="52">
        <v>1215.27</v>
      </c>
    </row>
    <row r="208" spans="2:14" hidden="1" outlineLevel="2" x14ac:dyDescent="0.3">
      <c r="B208" s="48">
        <v>45284</v>
      </c>
      <c r="C208" s="51">
        <v>21731.4</v>
      </c>
      <c r="D208" s="51">
        <v>35515</v>
      </c>
      <c r="E208" s="51">
        <v>3716.66</v>
      </c>
      <c r="F208" s="51">
        <v>1534.25</v>
      </c>
      <c r="G208" s="51">
        <v>1461.19</v>
      </c>
      <c r="H208" s="51">
        <v>235.65</v>
      </c>
      <c r="I208" s="51">
        <v>1272.6500000000001</v>
      </c>
      <c r="J208" s="51">
        <v>6294.95</v>
      </c>
      <c r="K208" s="51">
        <v>3694.7</v>
      </c>
      <c r="L208" s="51">
        <v>4212.8</v>
      </c>
      <c r="M208" s="51">
        <v>2739.75</v>
      </c>
      <c r="N208" s="52">
        <v>1254.8800000000001</v>
      </c>
    </row>
    <row r="209" spans="2:14" hidden="1" outlineLevel="2" x14ac:dyDescent="0.3">
      <c r="B209" s="48">
        <v>45277</v>
      </c>
      <c r="C209" s="51">
        <v>21349.4</v>
      </c>
      <c r="D209" s="51">
        <v>35637.800000000003</v>
      </c>
      <c r="E209" s="51">
        <v>3746.64</v>
      </c>
      <c r="F209" s="51">
        <v>1554.14</v>
      </c>
      <c r="G209" s="51">
        <v>1457.8</v>
      </c>
      <c r="H209" s="51">
        <v>231.32</v>
      </c>
      <c r="I209" s="51">
        <v>1275.1500000000001</v>
      </c>
      <c r="J209" s="51">
        <v>6229.1</v>
      </c>
      <c r="K209" s="51">
        <v>3715.68</v>
      </c>
      <c r="L209" s="51">
        <v>4212.1499999999996</v>
      </c>
      <c r="M209" s="51">
        <v>2738.4</v>
      </c>
      <c r="N209" s="52">
        <v>1258.04</v>
      </c>
    </row>
    <row r="210" spans="2:14" hidden="1" outlineLevel="2" x14ac:dyDescent="0.3">
      <c r="B210" s="48">
        <v>45270</v>
      </c>
      <c r="C210" s="51">
        <v>21456.65</v>
      </c>
      <c r="D210" s="51">
        <v>35782.449999999997</v>
      </c>
      <c r="E210" s="51">
        <v>3782.89</v>
      </c>
      <c r="F210" s="51">
        <v>1569.56</v>
      </c>
      <c r="G210" s="51">
        <v>1486.31</v>
      </c>
      <c r="H210" s="51">
        <v>223.27</v>
      </c>
      <c r="I210" s="51">
        <v>1306.0999999999999</v>
      </c>
      <c r="J210" s="51">
        <v>6129.3</v>
      </c>
      <c r="K210" s="51">
        <v>3612.43</v>
      </c>
      <c r="L210" s="51">
        <v>4360.75</v>
      </c>
      <c r="M210" s="51">
        <v>2658.9</v>
      </c>
      <c r="N210" s="52">
        <v>1287.97</v>
      </c>
    </row>
    <row r="211" spans="2:14" hidden="1" outlineLevel="2" x14ac:dyDescent="0.3">
      <c r="B211" s="48">
        <v>45263</v>
      </c>
      <c r="C211" s="51">
        <v>20969.400000000001</v>
      </c>
      <c r="D211" s="51">
        <v>33392.9</v>
      </c>
      <c r="E211" s="51">
        <v>3553.33</v>
      </c>
      <c r="F211" s="51">
        <v>1482.79</v>
      </c>
      <c r="G211" s="51">
        <v>1359.53</v>
      </c>
      <c r="H211" s="51">
        <v>211.3</v>
      </c>
      <c r="I211" s="51">
        <v>1225.3</v>
      </c>
      <c r="J211" s="51">
        <v>5708.7</v>
      </c>
      <c r="K211" s="51">
        <v>3232.25</v>
      </c>
      <c r="L211" s="51">
        <v>4131.3500000000004</v>
      </c>
      <c r="M211" s="51">
        <v>2427.0500000000002</v>
      </c>
      <c r="N211" s="52">
        <v>1156.5999999999999</v>
      </c>
    </row>
    <row r="212" spans="2:14" hidden="1" outlineLevel="2" x14ac:dyDescent="0.3">
      <c r="B212" s="48">
        <v>45256</v>
      </c>
      <c r="C212" s="51">
        <v>20267.900000000001</v>
      </c>
      <c r="D212" s="51">
        <v>32598.7</v>
      </c>
      <c r="E212" s="51">
        <v>3440.61</v>
      </c>
      <c r="F212" s="51">
        <v>1444.16</v>
      </c>
      <c r="G212" s="51">
        <v>1332.22</v>
      </c>
      <c r="H212" s="51">
        <v>203.82</v>
      </c>
      <c r="I212" s="51">
        <v>1220.55</v>
      </c>
      <c r="J212" s="51">
        <v>5577.05</v>
      </c>
      <c r="K212" s="51">
        <v>3216.65</v>
      </c>
      <c r="L212" s="51">
        <v>4043.3</v>
      </c>
      <c r="M212" s="51">
        <v>2375.1999999999998</v>
      </c>
      <c r="N212" s="52">
        <v>1142.8</v>
      </c>
    </row>
    <row r="213" spans="2:14" hidden="1" outlineLevel="2" x14ac:dyDescent="0.3">
      <c r="B213" s="48">
        <v>45249</v>
      </c>
      <c r="C213" s="51">
        <v>19794.7</v>
      </c>
      <c r="D213" s="51">
        <v>32055.15</v>
      </c>
      <c r="E213" s="51">
        <v>3387.16</v>
      </c>
      <c r="F213" s="51">
        <v>1429.34</v>
      </c>
      <c r="G213" s="51">
        <v>1304.77</v>
      </c>
      <c r="H213" s="51">
        <v>198</v>
      </c>
      <c r="I213" s="51">
        <v>1197.8499999999999</v>
      </c>
      <c r="J213" s="51">
        <v>5472.6</v>
      </c>
      <c r="K213" s="51">
        <v>3195.18</v>
      </c>
      <c r="L213" s="51">
        <v>4031.15</v>
      </c>
      <c r="M213" s="51">
        <v>2319.4</v>
      </c>
      <c r="N213" s="52">
        <v>1123.71</v>
      </c>
    </row>
    <row r="214" spans="2:14" hidden="1" outlineLevel="2" x14ac:dyDescent="0.3">
      <c r="B214" s="48">
        <v>45242</v>
      </c>
      <c r="C214" s="51">
        <v>19731.8</v>
      </c>
      <c r="D214" s="51">
        <v>32191.35</v>
      </c>
      <c r="E214" s="51">
        <v>3431.59</v>
      </c>
      <c r="F214" s="51">
        <v>1429.49</v>
      </c>
      <c r="G214" s="51">
        <v>1304.77</v>
      </c>
      <c r="H214" s="51">
        <v>197.7</v>
      </c>
      <c r="I214" s="51">
        <v>1202.75</v>
      </c>
      <c r="J214" s="51">
        <v>5518.5</v>
      </c>
      <c r="K214" s="51">
        <v>3193.43</v>
      </c>
      <c r="L214" s="51">
        <v>4180</v>
      </c>
      <c r="M214" s="51">
        <v>2325.4</v>
      </c>
      <c r="N214" s="52">
        <v>1134.99</v>
      </c>
    </row>
    <row r="215" spans="2:14" hidden="1" outlineLevel="2" x14ac:dyDescent="0.3">
      <c r="B215" s="48">
        <v>45235</v>
      </c>
      <c r="C215" s="51">
        <v>19425.349999999999</v>
      </c>
      <c r="D215" s="51">
        <v>30639.05</v>
      </c>
      <c r="E215" s="51">
        <v>3266.01</v>
      </c>
      <c r="F215" s="51">
        <v>1361.18</v>
      </c>
      <c r="G215" s="51">
        <v>1251.25</v>
      </c>
      <c r="H215" s="51">
        <v>189.65</v>
      </c>
      <c r="I215" s="51">
        <v>1138.1500000000001</v>
      </c>
      <c r="J215" s="51">
        <v>5262.15</v>
      </c>
      <c r="K215" s="51">
        <v>3123.07</v>
      </c>
      <c r="L215" s="51">
        <v>4019.15</v>
      </c>
      <c r="M215" s="51">
        <v>2202.1999999999998</v>
      </c>
      <c r="N215" s="52">
        <v>1027.8</v>
      </c>
    </row>
    <row r="216" spans="2:14" hidden="1" outlineLevel="2" x14ac:dyDescent="0.3">
      <c r="B216" s="48">
        <v>45228</v>
      </c>
      <c r="C216" s="51">
        <v>19230.599999999999</v>
      </c>
      <c r="D216" s="51">
        <v>30779.95</v>
      </c>
      <c r="E216" s="51">
        <v>3283.11</v>
      </c>
      <c r="F216" s="51">
        <v>1381.27</v>
      </c>
      <c r="G216" s="51">
        <v>1262.01</v>
      </c>
      <c r="H216" s="51">
        <v>191.77</v>
      </c>
      <c r="I216" s="51">
        <v>1133.0999999999999</v>
      </c>
      <c r="J216" s="51">
        <v>5134.95</v>
      </c>
      <c r="K216" s="51">
        <v>3143.07</v>
      </c>
      <c r="L216" s="51">
        <v>3933.9</v>
      </c>
      <c r="M216" s="51">
        <v>2210.1999999999998</v>
      </c>
      <c r="N216" s="52">
        <v>1016.62</v>
      </c>
    </row>
    <row r="217" spans="2:14" hidden="1" outlineLevel="2" x14ac:dyDescent="0.3">
      <c r="B217" s="48">
        <v>45221</v>
      </c>
      <c r="C217" s="51">
        <v>19047.25</v>
      </c>
      <c r="D217" s="51">
        <v>30599.7</v>
      </c>
      <c r="E217" s="51">
        <v>3283.16</v>
      </c>
      <c r="F217" s="51">
        <v>1372.61</v>
      </c>
      <c r="G217" s="51">
        <v>1264.45</v>
      </c>
      <c r="H217" s="51">
        <v>191.18</v>
      </c>
      <c r="I217" s="51">
        <v>1120.55</v>
      </c>
      <c r="J217" s="51">
        <v>5171</v>
      </c>
      <c r="K217" s="51">
        <v>3041.88</v>
      </c>
      <c r="L217" s="51">
        <v>3932.55</v>
      </c>
      <c r="M217" s="51">
        <v>2114.3000000000002</v>
      </c>
      <c r="N217" s="52">
        <v>1001.79</v>
      </c>
    </row>
    <row r="218" spans="2:14" hidden="1" outlineLevel="2" x14ac:dyDescent="0.3">
      <c r="B218" s="48">
        <v>45214</v>
      </c>
      <c r="C218" s="51">
        <v>19542.650000000001</v>
      </c>
      <c r="D218" s="51">
        <v>31469.35</v>
      </c>
      <c r="E218" s="51">
        <v>3423.85</v>
      </c>
      <c r="F218" s="51">
        <v>1419.25</v>
      </c>
      <c r="G218" s="51">
        <v>1254.3900000000001</v>
      </c>
      <c r="H218" s="51">
        <v>195.93</v>
      </c>
      <c r="I218" s="51">
        <v>1170.7</v>
      </c>
      <c r="J218" s="51">
        <v>5416.2</v>
      </c>
      <c r="K218" s="51">
        <v>2953.65</v>
      </c>
      <c r="L218" s="51">
        <v>3926.8</v>
      </c>
      <c r="M218" s="51">
        <v>2169.75</v>
      </c>
      <c r="N218" s="52">
        <v>1000.02</v>
      </c>
    </row>
    <row r="219" spans="2:14" hidden="1" outlineLevel="2" x14ac:dyDescent="0.3">
      <c r="B219" s="48">
        <v>45207</v>
      </c>
      <c r="C219" s="51">
        <v>19751.05</v>
      </c>
      <c r="D219" s="51">
        <v>31807.95</v>
      </c>
      <c r="E219" s="51">
        <v>3498.61</v>
      </c>
      <c r="F219" s="51">
        <v>1423.13</v>
      </c>
      <c r="G219" s="51">
        <v>1251.69</v>
      </c>
      <c r="H219" s="51">
        <v>205.52</v>
      </c>
      <c r="I219" s="51">
        <v>1194.0999999999999</v>
      </c>
      <c r="J219" s="51">
        <v>5095.1499999999996</v>
      </c>
      <c r="K219" s="51">
        <v>2882.73</v>
      </c>
      <c r="L219" s="51">
        <v>4100.1499999999996</v>
      </c>
      <c r="M219" s="51">
        <v>2376.1999999999998</v>
      </c>
      <c r="N219" s="52">
        <v>1001.33</v>
      </c>
    </row>
    <row r="220" spans="2:14" hidden="1" outlineLevel="2" x14ac:dyDescent="0.3">
      <c r="B220" s="48">
        <v>45200</v>
      </c>
      <c r="C220" s="51">
        <v>19653.5</v>
      </c>
      <c r="D220" s="51">
        <v>32341.7</v>
      </c>
      <c r="E220" s="51">
        <v>3548.14</v>
      </c>
      <c r="F220" s="51">
        <v>1470.41</v>
      </c>
      <c r="G220" s="51">
        <v>1233.56</v>
      </c>
      <c r="H220" s="51">
        <v>203.93</v>
      </c>
      <c r="I220" s="51">
        <v>1216.9000000000001</v>
      </c>
      <c r="J220" s="51">
        <v>5239.2</v>
      </c>
      <c r="K220" s="51">
        <v>2874.02</v>
      </c>
      <c r="L220" s="51">
        <v>4102.2</v>
      </c>
      <c r="M220" s="51">
        <v>2491</v>
      </c>
      <c r="N220" s="52">
        <v>1037.1099999999999</v>
      </c>
    </row>
    <row r="221" spans="2:14" hidden="1" outlineLevel="2" x14ac:dyDescent="0.3">
      <c r="B221" s="48">
        <v>45193</v>
      </c>
      <c r="C221" s="51">
        <v>19638.3</v>
      </c>
      <c r="D221" s="51">
        <v>31784.400000000001</v>
      </c>
      <c r="E221" s="51">
        <v>3457.21</v>
      </c>
      <c r="F221" s="51">
        <v>1427.41</v>
      </c>
      <c r="G221" s="51">
        <v>1230.67</v>
      </c>
      <c r="H221" s="51">
        <v>203.02</v>
      </c>
      <c r="I221" s="51">
        <v>1222.8</v>
      </c>
      <c r="J221" s="51">
        <v>5209.8500000000004</v>
      </c>
      <c r="K221" s="51">
        <v>2898.35</v>
      </c>
      <c r="L221" s="51">
        <v>4110.8500000000004</v>
      </c>
      <c r="M221" s="51">
        <v>2376.6</v>
      </c>
      <c r="N221" s="52">
        <v>1020.89</v>
      </c>
    </row>
    <row r="222" spans="2:14" hidden="1" outlineLevel="2" x14ac:dyDescent="0.3">
      <c r="B222" s="48">
        <v>45186</v>
      </c>
      <c r="C222" s="51">
        <v>19674.25</v>
      </c>
      <c r="D222" s="51">
        <v>32906.300000000003</v>
      </c>
      <c r="E222" s="51">
        <v>3530.75</v>
      </c>
      <c r="F222" s="51">
        <v>1487.77</v>
      </c>
      <c r="G222" s="51">
        <v>1269.44</v>
      </c>
      <c r="H222" s="51">
        <v>209.25</v>
      </c>
      <c r="I222" s="51">
        <v>1305.3499999999999</v>
      </c>
      <c r="J222" s="51">
        <v>5427.5</v>
      </c>
      <c r="K222" s="51">
        <v>2924.68</v>
      </c>
      <c r="L222" s="51">
        <v>4195.3</v>
      </c>
      <c r="M222" s="51">
        <v>2486</v>
      </c>
      <c r="N222" s="52">
        <v>1058.69</v>
      </c>
    </row>
    <row r="223" spans="2:14" hidden="1" outlineLevel="2" x14ac:dyDescent="0.3">
      <c r="B223" s="48">
        <v>45179</v>
      </c>
      <c r="C223" s="51">
        <v>20192.349999999999</v>
      </c>
      <c r="D223" s="51">
        <v>33355.050000000003</v>
      </c>
      <c r="E223" s="51">
        <v>3525.5</v>
      </c>
      <c r="F223" s="51">
        <v>1503.13</v>
      </c>
      <c r="G223" s="51">
        <v>1300.23</v>
      </c>
      <c r="H223" s="51">
        <v>220.52</v>
      </c>
      <c r="I223" s="51">
        <v>1300.05</v>
      </c>
      <c r="J223" s="51">
        <v>5532.8</v>
      </c>
      <c r="K223" s="51">
        <v>2982.82</v>
      </c>
      <c r="L223" s="51">
        <v>4298.95</v>
      </c>
      <c r="M223" s="51">
        <v>2493.15</v>
      </c>
      <c r="N223" s="52">
        <v>1123.78</v>
      </c>
    </row>
    <row r="224" spans="2:14" hidden="1" outlineLevel="2" x14ac:dyDescent="0.3">
      <c r="B224" s="48">
        <v>45172</v>
      </c>
      <c r="C224" s="51">
        <v>19819.95</v>
      </c>
      <c r="D224" s="51">
        <v>32415.65</v>
      </c>
      <c r="E224" s="51">
        <v>3372.27</v>
      </c>
      <c r="F224" s="51">
        <v>1461.36</v>
      </c>
      <c r="G224" s="51">
        <v>1257.82</v>
      </c>
      <c r="H224" s="51">
        <v>215</v>
      </c>
      <c r="I224" s="51">
        <v>1262.95</v>
      </c>
      <c r="J224" s="51">
        <v>5478.5</v>
      </c>
      <c r="K224" s="51">
        <v>2985.52</v>
      </c>
      <c r="L224" s="51">
        <v>4347.75</v>
      </c>
      <c r="M224" s="51">
        <v>2466.15</v>
      </c>
      <c r="N224" s="52">
        <v>1110.1199999999999</v>
      </c>
    </row>
    <row r="225" spans="2:14" hidden="1" outlineLevel="2" x14ac:dyDescent="0.3">
      <c r="B225" s="48">
        <v>45165</v>
      </c>
      <c r="C225" s="51">
        <v>19435.3</v>
      </c>
      <c r="D225" s="51">
        <v>31514.35</v>
      </c>
      <c r="E225" s="51">
        <v>3310.84</v>
      </c>
      <c r="F225" s="51">
        <v>1435.76</v>
      </c>
      <c r="G225" s="51">
        <v>1181.83</v>
      </c>
      <c r="H225" s="51">
        <v>208.18</v>
      </c>
      <c r="I225" s="51">
        <v>1228.05</v>
      </c>
      <c r="J225" s="51">
        <v>5303.35</v>
      </c>
      <c r="K225" s="51">
        <v>2771.65</v>
      </c>
      <c r="L225" s="51">
        <v>4136.25</v>
      </c>
      <c r="M225" s="51">
        <v>2433.1999999999998</v>
      </c>
      <c r="N225" s="52">
        <v>1090.3800000000001</v>
      </c>
    </row>
    <row r="226" spans="2:14" hidden="1" outlineLevel="2" x14ac:dyDescent="0.3">
      <c r="B226" s="48">
        <v>45158</v>
      </c>
      <c r="C226" s="51">
        <v>19265.8</v>
      </c>
      <c r="D226" s="51">
        <v>30914.55</v>
      </c>
      <c r="E226" s="51">
        <v>3312.89</v>
      </c>
      <c r="F226" s="51">
        <v>1412.14</v>
      </c>
      <c r="G226" s="51">
        <v>1150.0899999999999</v>
      </c>
      <c r="H226" s="51">
        <v>204.85</v>
      </c>
      <c r="I226" s="51">
        <v>1189.5</v>
      </c>
      <c r="J226" s="51">
        <v>5127.3999999999996</v>
      </c>
      <c r="K226" s="51">
        <v>2568.9499999999998</v>
      </c>
      <c r="L226" s="51">
        <v>3964.1</v>
      </c>
      <c r="M226" s="51">
        <v>2392.1</v>
      </c>
      <c r="N226" s="52">
        <v>1051.24</v>
      </c>
    </row>
    <row r="227" spans="2:14" hidden="1" outlineLevel="2" x14ac:dyDescent="0.3">
      <c r="B227" s="48">
        <v>45151</v>
      </c>
      <c r="C227" s="51">
        <v>19310.150000000001</v>
      </c>
      <c r="D227" s="51">
        <v>30604.05</v>
      </c>
      <c r="E227" s="51">
        <v>3298.98</v>
      </c>
      <c r="F227" s="51">
        <v>1381.02</v>
      </c>
      <c r="G227" s="51">
        <v>1169.77</v>
      </c>
      <c r="H227" s="51">
        <v>205.85</v>
      </c>
      <c r="I227" s="51">
        <v>1210.8</v>
      </c>
      <c r="J227" s="51">
        <v>5085.1499999999996</v>
      </c>
      <c r="K227" s="51">
        <v>2425.85</v>
      </c>
      <c r="L227" s="51">
        <v>3997.05</v>
      </c>
      <c r="M227" s="51">
        <v>2291.0500000000002</v>
      </c>
      <c r="N227" s="52">
        <v>984.03</v>
      </c>
    </row>
    <row r="228" spans="2:14" hidden="1" outlineLevel="2" x14ac:dyDescent="0.3">
      <c r="B228" s="48">
        <v>45144</v>
      </c>
      <c r="C228" s="51">
        <v>19428.3</v>
      </c>
      <c r="D228" s="51">
        <v>30819.15</v>
      </c>
      <c r="E228" s="51">
        <v>3379.03</v>
      </c>
      <c r="F228" s="51">
        <v>1364.16</v>
      </c>
      <c r="G228" s="51">
        <v>1167.53</v>
      </c>
      <c r="H228" s="51">
        <v>206.52</v>
      </c>
      <c r="I228" s="51">
        <v>1220.45</v>
      </c>
      <c r="J228" s="51">
        <v>5107.3500000000004</v>
      </c>
      <c r="K228" s="51">
        <v>2446.27</v>
      </c>
      <c r="L228" s="51">
        <v>3958.4</v>
      </c>
      <c r="M228" s="51">
        <v>2329.65</v>
      </c>
      <c r="N228" s="52">
        <v>1053.58</v>
      </c>
    </row>
    <row r="229" spans="2:14" hidden="1" outlineLevel="2" x14ac:dyDescent="0.3">
      <c r="B229" s="48">
        <v>45137</v>
      </c>
      <c r="C229" s="51">
        <v>19517</v>
      </c>
      <c r="D229" s="51">
        <v>30436.1</v>
      </c>
      <c r="E229" s="51">
        <v>3373.89</v>
      </c>
      <c r="F229" s="51">
        <v>1370.63</v>
      </c>
      <c r="G229" s="51">
        <v>1140.52</v>
      </c>
      <c r="H229" s="51">
        <v>204.43</v>
      </c>
      <c r="I229" s="51">
        <v>1175.2</v>
      </c>
      <c r="J229" s="51">
        <v>4940.8999999999996</v>
      </c>
      <c r="K229" s="51">
        <v>2392.88</v>
      </c>
      <c r="L229" s="51">
        <v>3883.3</v>
      </c>
      <c r="M229" s="51">
        <v>2263.65</v>
      </c>
      <c r="N229" s="52">
        <v>977.63</v>
      </c>
    </row>
    <row r="230" spans="2:14" hidden="1" outlineLevel="2" x14ac:dyDescent="0.3">
      <c r="B230" s="48">
        <v>45130</v>
      </c>
      <c r="C230" s="51">
        <v>19646.05</v>
      </c>
      <c r="D230" s="51">
        <v>29490.25</v>
      </c>
      <c r="E230" s="51">
        <v>3287.52</v>
      </c>
      <c r="F230" s="51">
        <v>1332.99</v>
      </c>
      <c r="G230" s="51">
        <v>1099.8499999999999</v>
      </c>
      <c r="H230" s="51">
        <v>199.38</v>
      </c>
      <c r="I230" s="51">
        <v>1091.05</v>
      </c>
      <c r="J230" s="51">
        <v>4844.05</v>
      </c>
      <c r="K230" s="51">
        <v>2348.4</v>
      </c>
      <c r="L230" s="51">
        <v>3818.85</v>
      </c>
      <c r="M230" s="51">
        <v>2250.35</v>
      </c>
      <c r="N230" s="52">
        <v>934.46</v>
      </c>
    </row>
    <row r="231" spans="2:14" hidden="1" outlineLevel="2" x14ac:dyDescent="0.3">
      <c r="B231" s="48">
        <v>45123</v>
      </c>
      <c r="C231" s="51">
        <v>19745</v>
      </c>
      <c r="D231" s="51">
        <v>29871.05</v>
      </c>
      <c r="E231" s="51">
        <v>3300.16</v>
      </c>
      <c r="F231" s="51">
        <v>1324.14</v>
      </c>
      <c r="G231" s="51">
        <v>1111.71</v>
      </c>
      <c r="H231" s="51">
        <v>202.35</v>
      </c>
      <c r="I231" s="51">
        <v>1195.0999999999999</v>
      </c>
      <c r="J231" s="51">
        <v>4922.75</v>
      </c>
      <c r="K231" s="51">
        <v>2374.8000000000002</v>
      </c>
      <c r="L231" s="51">
        <v>3856.55</v>
      </c>
      <c r="M231" s="51">
        <v>2330.85</v>
      </c>
      <c r="N231" s="52">
        <v>928.06</v>
      </c>
    </row>
    <row r="232" spans="2:14" hidden="1" outlineLevel="2" x14ac:dyDescent="0.3">
      <c r="B232" s="48">
        <v>45116</v>
      </c>
      <c r="C232" s="51">
        <v>19564.5</v>
      </c>
      <c r="D232" s="51">
        <v>30945.5</v>
      </c>
      <c r="E232" s="51">
        <v>3443.55</v>
      </c>
      <c r="F232" s="51">
        <v>1417.96</v>
      </c>
      <c r="G232" s="51">
        <v>1147.0999999999999</v>
      </c>
      <c r="H232" s="51">
        <v>202.52</v>
      </c>
      <c r="I232" s="51">
        <v>1228.6500000000001</v>
      </c>
      <c r="J232" s="51">
        <v>5093.1000000000004</v>
      </c>
      <c r="K232" s="51">
        <v>2462</v>
      </c>
      <c r="L232" s="51">
        <v>4021.5</v>
      </c>
      <c r="M232" s="51">
        <v>2069.5500000000002</v>
      </c>
      <c r="N232" s="52">
        <v>985.16</v>
      </c>
    </row>
    <row r="233" spans="2:14" hidden="1" outlineLevel="2" x14ac:dyDescent="0.3">
      <c r="B233" s="48">
        <v>45109</v>
      </c>
      <c r="C233" s="51">
        <v>19331.8</v>
      </c>
      <c r="D233" s="51">
        <v>29560.45</v>
      </c>
      <c r="E233" s="51">
        <v>3261.9</v>
      </c>
      <c r="F233" s="51">
        <v>1322.75</v>
      </c>
      <c r="G233" s="51">
        <v>1153.72</v>
      </c>
      <c r="H233" s="51">
        <v>197.93</v>
      </c>
      <c r="I233" s="51">
        <v>1156</v>
      </c>
      <c r="J233" s="51">
        <v>5114.55</v>
      </c>
      <c r="K233" s="51">
        <v>2409.69</v>
      </c>
      <c r="L233" s="51">
        <v>3806.4</v>
      </c>
      <c r="M233" s="51">
        <v>1877.5</v>
      </c>
      <c r="N233" s="52">
        <v>938.33</v>
      </c>
    </row>
    <row r="234" spans="2:14" hidden="1" outlineLevel="2" x14ac:dyDescent="0.3">
      <c r="B234" s="48">
        <v>45102</v>
      </c>
      <c r="C234" s="51">
        <v>19189.05</v>
      </c>
      <c r="D234" s="51">
        <v>29563</v>
      </c>
      <c r="E234" s="51">
        <v>3235.44</v>
      </c>
      <c r="F234" s="51">
        <v>1328.02</v>
      </c>
      <c r="G234" s="51">
        <v>1183.97</v>
      </c>
      <c r="H234" s="51">
        <v>194.57</v>
      </c>
      <c r="I234" s="51">
        <v>1130.8499999999999</v>
      </c>
      <c r="J234" s="51">
        <v>5197.2</v>
      </c>
      <c r="K234" s="51">
        <v>2500.25</v>
      </c>
      <c r="L234" s="51">
        <v>3858.65</v>
      </c>
      <c r="M234" s="51">
        <v>1895.05</v>
      </c>
      <c r="N234" s="52">
        <v>942.26</v>
      </c>
    </row>
    <row r="235" spans="2:14" hidden="1" outlineLevel="2" x14ac:dyDescent="0.3">
      <c r="B235" s="48">
        <v>45095</v>
      </c>
      <c r="C235" s="51">
        <v>18665.5</v>
      </c>
      <c r="D235" s="51">
        <v>28554.3</v>
      </c>
      <c r="E235" s="51">
        <v>3151.28</v>
      </c>
      <c r="F235" s="51">
        <v>1257.9100000000001</v>
      </c>
      <c r="G235" s="51">
        <v>1161.25</v>
      </c>
      <c r="H235" s="51">
        <v>189.98</v>
      </c>
      <c r="I235" s="51">
        <v>1115.5</v>
      </c>
      <c r="J235" s="51">
        <v>4956.6499999999996</v>
      </c>
      <c r="K235" s="51">
        <v>2397.36</v>
      </c>
      <c r="L235" s="51">
        <v>3813.25</v>
      </c>
      <c r="M235" s="51">
        <v>1831.05</v>
      </c>
      <c r="N235" s="52">
        <v>899.89</v>
      </c>
    </row>
    <row r="236" spans="2:14" hidden="1" outlineLevel="2" x14ac:dyDescent="0.3">
      <c r="B236" s="48">
        <v>45088</v>
      </c>
      <c r="C236" s="51">
        <v>18826</v>
      </c>
      <c r="D236" s="51">
        <v>28588.799999999999</v>
      </c>
      <c r="E236" s="51">
        <v>3110.67</v>
      </c>
      <c r="F236" s="51">
        <v>1284.4100000000001</v>
      </c>
      <c r="G236" s="51">
        <v>1144.3599999999999</v>
      </c>
      <c r="H236" s="51">
        <v>190.65</v>
      </c>
      <c r="I236" s="51">
        <v>1077.2</v>
      </c>
      <c r="J236" s="51">
        <v>5010.6000000000004</v>
      </c>
      <c r="K236" s="51">
        <v>2474.15</v>
      </c>
      <c r="L236" s="51">
        <v>3869.9</v>
      </c>
      <c r="M236" s="51">
        <v>1860.05</v>
      </c>
      <c r="N236" s="52">
        <v>918.85</v>
      </c>
    </row>
    <row r="237" spans="2:14" hidden="1" outlineLevel="2" x14ac:dyDescent="0.3">
      <c r="B237" s="48">
        <v>45081</v>
      </c>
      <c r="C237" s="51">
        <v>18563.400000000001</v>
      </c>
      <c r="D237" s="51">
        <v>28355.35</v>
      </c>
      <c r="E237" s="51">
        <v>3144.37</v>
      </c>
      <c r="F237" s="51">
        <v>1258.8599999999999</v>
      </c>
      <c r="G237" s="51">
        <v>1106.04</v>
      </c>
      <c r="H237" s="51">
        <v>198.65</v>
      </c>
      <c r="I237" s="51">
        <v>1063.05</v>
      </c>
      <c r="J237" s="51">
        <v>4823.05</v>
      </c>
      <c r="K237" s="51">
        <v>2438.23</v>
      </c>
      <c r="L237" s="51">
        <v>3540.95</v>
      </c>
      <c r="M237" s="51">
        <v>1853.25</v>
      </c>
      <c r="N237" s="52">
        <v>881.6</v>
      </c>
    </row>
    <row r="238" spans="2:14" hidden="1" outlineLevel="2" x14ac:dyDescent="0.3">
      <c r="B238" s="48">
        <v>45074</v>
      </c>
      <c r="C238" s="51">
        <v>18534.099999999999</v>
      </c>
      <c r="D238" s="51">
        <v>29328.15</v>
      </c>
      <c r="E238" s="51">
        <v>3238.73</v>
      </c>
      <c r="F238" s="51">
        <v>1291.72</v>
      </c>
      <c r="G238" s="51">
        <v>1133.24</v>
      </c>
      <c r="H238" s="51">
        <v>202.48</v>
      </c>
      <c r="I238" s="51">
        <v>1123.0999999999999</v>
      </c>
      <c r="J238" s="51">
        <v>4994.1499999999996</v>
      </c>
      <c r="K238" s="51">
        <v>2607.75</v>
      </c>
      <c r="L238" s="51">
        <v>3613.55</v>
      </c>
      <c r="M238" s="51">
        <v>2017.65</v>
      </c>
      <c r="N238" s="52">
        <v>918.16</v>
      </c>
    </row>
    <row r="239" spans="2:14" hidden="1" outlineLevel="2" x14ac:dyDescent="0.3">
      <c r="B239" s="48">
        <v>45067</v>
      </c>
      <c r="C239" s="51">
        <v>18499.349999999999</v>
      </c>
      <c r="D239" s="51">
        <v>29355.9</v>
      </c>
      <c r="E239" s="51">
        <v>3261.55</v>
      </c>
      <c r="F239" s="51">
        <v>1310.07</v>
      </c>
      <c r="G239" s="51">
        <v>1135.3900000000001</v>
      </c>
      <c r="H239" s="51">
        <v>200.85</v>
      </c>
      <c r="I239" s="51">
        <v>1114.75</v>
      </c>
      <c r="J239" s="51">
        <v>5001.1000000000004</v>
      </c>
      <c r="K239" s="51">
        <v>2539.12</v>
      </c>
      <c r="L239" s="51">
        <v>3596.8</v>
      </c>
      <c r="M239" s="51">
        <v>1974.7</v>
      </c>
      <c r="N239" s="52">
        <v>891.99</v>
      </c>
    </row>
    <row r="240" spans="2:14" hidden="1" outlineLevel="2" x14ac:dyDescent="0.3">
      <c r="B240" s="48">
        <v>45060</v>
      </c>
      <c r="C240" s="51">
        <v>18203.400000000001</v>
      </c>
      <c r="D240" s="51">
        <v>28303.65</v>
      </c>
      <c r="E240" s="51">
        <v>3157.65</v>
      </c>
      <c r="F240" s="51">
        <v>1261.79</v>
      </c>
      <c r="G240" s="51">
        <v>1091.68</v>
      </c>
      <c r="H240" s="51">
        <v>193.1</v>
      </c>
      <c r="I240" s="51">
        <v>1072.1500000000001</v>
      </c>
      <c r="J240" s="51">
        <v>4803</v>
      </c>
      <c r="K240" s="51">
        <v>2438.9499999999998</v>
      </c>
      <c r="L240" s="51">
        <v>3550.1</v>
      </c>
      <c r="M240" s="51">
        <v>1906.5</v>
      </c>
      <c r="N240" s="52">
        <v>855.63</v>
      </c>
    </row>
    <row r="241" spans="2:14" hidden="1" outlineLevel="2" x14ac:dyDescent="0.3">
      <c r="B241" s="48">
        <v>45053</v>
      </c>
      <c r="C241" s="51">
        <v>18314.8</v>
      </c>
      <c r="D241" s="51">
        <v>28028.400000000001</v>
      </c>
      <c r="E241" s="51">
        <v>3208.06</v>
      </c>
      <c r="F241" s="51">
        <v>1238.22</v>
      </c>
      <c r="G241" s="51">
        <v>1091.83</v>
      </c>
      <c r="H241" s="51">
        <v>191.63</v>
      </c>
      <c r="I241" s="51">
        <v>1046.3499999999999</v>
      </c>
      <c r="J241" s="51">
        <v>4687.2</v>
      </c>
      <c r="K241" s="51">
        <v>2321.0500000000002</v>
      </c>
      <c r="L241" s="51">
        <v>3551.45</v>
      </c>
      <c r="M241" s="51">
        <v>1852.35</v>
      </c>
      <c r="N241" s="52">
        <v>817.13</v>
      </c>
    </row>
    <row r="242" spans="2:14" hidden="1" outlineLevel="2" x14ac:dyDescent="0.3">
      <c r="B242" s="48">
        <v>45046</v>
      </c>
      <c r="C242" s="51">
        <v>18069</v>
      </c>
      <c r="D242" s="51">
        <v>27719.95</v>
      </c>
      <c r="E242" s="51">
        <v>3165.34</v>
      </c>
      <c r="F242" s="51">
        <v>1252.04</v>
      </c>
      <c r="G242" s="51">
        <v>1052.02</v>
      </c>
      <c r="H242" s="51">
        <v>189.7</v>
      </c>
      <c r="I242" s="51">
        <v>1036.4000000000001</v>
      </c>
      <c r="J242" s="51">
        <v>4487.8500000000004</v>
      </c>
      <c r="K242" s="51">
        <v>2314.9899999999998</v>
      </c>
      <c r="L242" s="51">
        <v>3665.9</v>
      </c>
      <c r="M242" s="51">
        <v>1820</v>
      </c>
      <c r="N242" s="52">
        <v>823.52</v>
      </c>
    </row>
    <row r="243" spans="2:14" hidden="1" outlineLevel="2" x14ac:dyDescent="0.3">
      <c r="B243" s="48">
        <v>45039</v>
      </c>
      <c r="C243" s="51">
        <v>18065</v>
      </c>
      <c r="D243" s="51">
        <v>27708.2</v>
      </c>
      <c r="E243" s="51">
        <v>3154.12</v>
      </c>
      <c r="F243" s="51">
        <v>1245.73</v>
      </c>
      <c r="G243" s="51">
        <v>1060.54</v>
      </c>
      <c r="H243" s="51">
        <v>192.5</v>
      </c>
      <c r="I243" s="51">
        <v>1023.7</v>
      </c>
      <c r="J243" s="51">
        <v>4419.45</v>
      </c>
      <c r="K243" s="51">
        <v>2363.64</v>
      </c>
      <c r="L243" s="51">
        <v>3561.85</v>
      </c>
      <c r="M243" s="51">
        <v>1814.45</v>
      </c>
      <c r="N243" s="52">
        <v>836.9</v>
      </c>
    </row>
    <row r="244" spans="2:14" hidden="1" outlineLevel="2" x14ac:dyDescent="0.3">
      <c r="B244" s="48">
        <v>45032</v>
      </c>
      <c r="C244" s="51">
        <v>17624.05</v>
      </c>
      <c r="D244" s="51">
        <v>26822.1</v>
      </c>
      <c r="E244" s="51">
        <v>3096.9</v>
      </c>
      <c r="F244" s="51">
        <v>1220.47</v>
      </c>
      <c r="G244" s="51">
        <v>1045.44</v>
      </c>
      <c r="H244" s="51">
        <v>184.02</v>
      </c>
      <c r="I244" s="51">
        <v>998.75</v>
      </c>
      <c r="J244" s="51">
        <v>4170.8500000000004</v>
      </c>
      <c r="K244" s="51">
        <v>2146.15</v>
      </c>
      <c r="L244" s="51">
        <v>3309.2</v>
      </c>
      <c r="M244" s="51">
        <v>1759.95</v>
      </c>
      <c r="N244" s="52">
        <v>766.15</v>
      </c>
    </row>
    <row r="245" spans="2:14" hidden="1" outlineLevel="2" x14ac:dyDescent="0.3">
      <c r="B245" s="48">
        <v>45025</v>
      </c>
      <c r="C245" s="51">
        <v>17828</v>
      </c>
      <c r="D245" s="51">
        <v>28342.799999999999</v>
      </c>
      <c r="E245" s="51">
        <v>3124.34</v>
      </c>
      <c r="F245" s="51">
        <v>1381.42</v>
      </c>
      <c r="G245" s="51">
        <v>1068.26</v>
      </c>
      <c r="H245" s="51">
        <v>184.15</v>
      </c>
      <c r="I245" s="51">
        <v>1086.8499999999999</v>
      </c>
      <c r="J245" s="51">
        <v>4646.3999999999996</v>
      </c>
      <c r="K245" s="51">
        <v>2191.25</v>
      </c>
      <c r="L245" s="51">
        <v>3301.75</v>
      </c>
      <c r="M245" s="51">
        <v>1771.05</v>
      </c>
      <c r="N245" s="52">
        <v>805.74</v>
      </c>
    </row>
    <row r="246" spans="2:14" hidden="1" outlineLevel="2" x14ac:dyDescent="0.3">
      <c r="B246" s="48">
        <v>45018</v>
      </c>
      <c r="C246" s="51">
        <v>17599.150000000001</v>
      </c>
      <c r="D246" s="51">
        <v>28764.55</v>
      </c>
      <c r="E246" s="51">
        <v>3155.54</v>
      </c>
      <c r="F246" s="51">
        <v>1413.93</v>
      </c>
      <c r="G246" s="51">
        <v>1088.19</v>
      </c>
      <c r="H246" s="51">
        <v>183.32</v>
      </c>
      <c r="I246" s="51">
        <v>1092.75</v>
      </c>
      <c r="J246" s="51">
        <v>4773.25</v>
      </c>
      <c r="K246" s="51">
        <v>2268.86</v>
      </c>
      <c r="L246" s="51">
        <v>3254.55</v>
      </c>
      <c r="M246" s="51">
        <v>1794.1</v>
      </c>
      <c r="N246" s="52">
        <v>800.02</v>
      </c>
    </row>
    <row r="247" spans="2:14" hidden="1" outlineLevel="2" x14ac:dyDescent="0.3">
      <c r="B247" s="48">
        <v>45011</v>
      </c>
      <c r="C247" s="51">
        <v>17359.75</v>
      </c>
      <c r="D247" s="51">
        <v>28698.6</v>
      </c>
      <c r="E247" s="51">
        <v>3141.04</v>
      </c>
      <c r="F247" s="51">
        <v>1419.95</v>
      </c>
      <c r="G247" s="51">
        <v>1081.6199999999999</v>
      </c>
      <c r="H247" s="51">
        <v>182.63</v>
      </c>
      <c r="I247" s="51">
        <v>1101.8499999999999</v>
      </c>
      <c r="J247" s="51">
        <v>4759.6499999999996</v>
      </c>
      <c r="K247" s="51">
        <v>2299.9</v>
      </c>
      <c r="L247" s="51">
        <v>3263.75</v>
      </c>
      <c r="M247" s="51">
        <v>1795.75</v>
      </c>
      <c r="N247" s="52">
        <v>762.82</v>
      </c>
    </row>
    <row r="248" spans="2:14" hidden="1" outlineLevel="2" x14ac:dyDescent="0.3">
      <c r="B248" s="48">
        <v>45004</v>
      </c>
      <c r="C248" s="51">
        <v>16945.05</v>
      </c>
      <c r="D248" s="51">
        <v>27935.65</v>
      </c>
      <c r="E248" s="51">
        <v>3057.37</v>
      </c>
      <c r="F248" s="51">
        <v>1372.91</v>
      </c>
      <c r="G248" s="51">
        <v>1048.23</v>
      </c>
      <c r="H248" s="51">
        <v>180.88</v>
      </c>
      <c r="I248" s="51">
        <v>1101.95</v>
      </c>
      <c r="J248" s="51">
        <v>4601.45</v>
      </c>
      <c r="K248" s="51">
        <v>2157.85</v>
      </c>
      <c r="L248" s="51">
        <v>3201.15</v>
      </c>
      <c r="M248" s="51">
        <v>1737.4</v>
      </c>
      <c r="N248" s="52">
        <v>740.1</v>
      </c>
    </row>
    <row r="249" spans="2:14" hidden="1" outlineLevel="2" x14ac:dyDescent="0.3">
      <c r="B249" s="48">
        <v>44997</v>
      </c>
      <c r="C249" s="51">
        <v>17100.05</v>
      </c>
      <c r="D249" s="51">
        <v>28854.45</v>
      </c>
      <c r="E249" s="51">
        <v>3114.98</v>
      </c>
      <c r="F249" s="51">
        <v>1412.74</v>
      </c>
      <c r="G249" s="51">
        <v>1104.74</v>
      </c>
      <c r="H249" s="51">
        <v>188.25</v>
      </c>
      <c r="I249" s="51">
        <v>1127.1500000000001</v>
      </c>
      <c r="J249" s="51">
        <v>4673.95</v>
      </c>
      <c r="K249" s="51">
        <v>2321.08</v>
      </c>
      <c r="L249" s="51">
        <v>3237.8</v>
      </c>
      <c r="M249" s="51">
        <v>1886.4</v>
      </c>
      <c r="N249" s="52">
        <v>780.2</v>
      </c>
    </row>
    <row r="250" spans="2:14" hidden="1" outlineLevel="2" x14ac:dyDescent="0.3">
      <c r="B250" s="48">
        <v>44990</v>
      </c>
      <c r="C250" s="51">
        <v>17412.900000000001</v>
      </c>
      <c r="D250" s="51">
        <v>29545.5</v>
      </c>
      <c r="E250" s="51">
        <v>3263.61</v>
      </c>
      <c r="F250" s="51">
        <v>1463.3</v>
      </c>
      <c r="G250" s="51">
        <v>1112.56</v>
      </c>
      <c r="H250" s="51">
        <v>194.55</v>
      </c>
      <c r="I250" s="51">
        <v>1061.25</v>
      </c>
      <c r="J250" s="51">
        <v>4640.1000000000004</v>
      </c>
      <c r="K250" s="51">
        <v>2369.6999999999998</v>
      </c>
      <c r="L250" s="51">
        <v>3242.2</v>
      </c>
      <c r="M250" s="51">
        <v>2038.95</v>
      </c>
      <c r="N250" s="52">
        <v>827.27</v>
      </c>
    </row>
    <row r="251" spans="2:14" hidden="1" outlineLevel="2" x14ac:dyDescent="0.3">
      <c r="B251" s="48">
        <v>44983</v>
      </c>
      <c r="C251" s="51">
        <v>17594.349999999999</v>
      </c>
      <c r="D251" s="51">
        <v>29817.05</v>
      </c>
      <c r="E251" s="51">
        <v>3274.54</v>
      </c>
      <c r="F251" s="51">
        <v>1471.01</v>
      </c>
      <c r="G251" s="51">
        <v>1115.25</v>
      </c>
      <c r="H251" s="51">
        <v>195.23</v>
      </c>
      <c r="I251" s="51">
        <v>1085.1500000000001</v>
      </c>
      <c r="J251" s="51">
        <v>4710.3500000000004</v>
      </c>
      <c r="K251" s="51">
        <v>2427.9499999999998</v>
      </c>
      <c r="L251" s="51">
        <v>3153.2</v>
      </c>
      <c r="M251" s="51">
        <v>2079.1999999999998</v>
      </c>
      <c r="N251" s="52">
        <v>851.68</v>
      </c>
    </row>
    <row r="252" spans="2:14" hidden="1" outlineLevel="2" x14ac:dyDescent="0.3">
      <c r="B252" s="48">
        <v>44976</v>
      </c>
      <c r="C252" s="51">
        <v>17465.8</v>
      </c>
      <c r="D252" s="51">
        <v>30514.9</v>
      </c>
      <c r="E252" s="51">
        <v>3331.66</v>
      </c>
      <c r="F252" s="51">
        <v>1541.96</v>
      </c>
      <c r="G252" s="51">
        <v>1091.18</v>
      </c>
      <c r="H252" s="51">
        <v>196.65</v>
      </c>
      <c r="I252" s="51">
        <v>1119</v>
      </c>
      <c r="J252" s="51">
        <v>4853.55</v>
      </c>
      <c r="K252" s="51">
        <v>2442.35</v>
      </c>
      <c r="L252" s="51">
        <v>3147.9</v>
      </c>
      <c r="M252" s="51">
        <v>2197.9499999999998</v>
      </c>
      <c r="N252" s="52">
        <v>875.5</v>
      </c>
    </row>
    <row r="253" spans="2:14" hidden="1" outlineLevel="2" x14ac:dyDescent="0.3">
      <c r="B253" s="48">
        <v>44969</v>
      </c>
      <c r="C253" s="51">
        <v>17944.2</v>
      </c>
      <c r="D253" s="51">
        <v>31054.85</v>
      </c>
      <c r="E253" s="51">
        <v>3430.32</v>
      </c>
      <c r="F253" s="51">
        <v>1574.92</v>
      </c>
      <c r="G253" s="51">
        <v>1105.83</v>
      </c>
      <c r="H253" s="51">
        <v>203.15</v>
      </c>
      <c r="I253" s="51">
        <v>1129.2</v>
      </c>
      <c r="J253" s="51">
        <v>4858.3</v>
      </c>
      <c r="K253" s="51">
        <v>2450</v>
      </c>
      <c r="L253" s="51">
        <v>3231.65</v>
      </c>
      <c r="M253" s="51">
        <v>2236.5500000000002</v>
      </c>
      <c r="N253" s="52">
        <v>840.82</v>
      </c>
    </row>
    <row r="254" spans="2:14" hidden="1" outlineLevel="2" x14ac:dyDescent="0.3">
      <c r="B254" s="48">
        <v>44962</v>
      </c>
      <c r="C254" s="51">
        <v>17856.5</v>
      </c>
      <c r="D254" s="51">
        <v>30870.2</v>
      </c>
      <c r="E254" s="51">
        <v>3465.98</v>
      </c>
      <c r="F254" s="51">
        <v>1599.54</v>
      </c>
      <c r="G254" s="51">
        <v>1111.92</v>
      </c>
      <c r="H254" s="51">
        <v>202.9</v>
      </c>
      <c r="I254" s="51">
        <v>1017.35</v>
      </c>
      <c r="J254" s="51">
        <v>4691.6000000000004</v>
      </c>
      <c r="K254" s="51">
        <v>2440.1999999999998</v>
      </c>
      <c r="L254" s="51">
        <v>3176.6</v>
      </c>
      <c r="M254" s="51">
        <v>2153.35</v>
      </c>
      <c r="N254" s="52">
        <v>866.86</v>
      </c>
    </row>
    <row r="255" spans="2:14" hidden="1" outlineLevel="2" x14ac:dyDescent="0.3">
      <c r="B255" s="48">
        <v>44955</v>
      </c>
      <c r="C255" s="51">
        <v>17854.05</v>
      </c>
      <c r="D255" s="51">
        <v>30597.65</v>
      </c>
      <c r="E255" s="51">
        <v>3411.85</v>
      </c>
      <c r="F255" s="51">
        <v>1590.44</v>
      </c>
      <c r="G255" s="51">
        <v>1142.31</v>
      </c>
      <c r="H255" s="51">
        <v>203.95</v>
      </c>
      <c r="I255" s="51">
        <v>1011.3</v>
      </c>
      <c r="J255" s="51">
        <v>4502.2</v>
      </c>
      <c r="K255" s="51">
        <v>2420.39</v>
      </c>
      <c r="L255" s="51">
        <v>3123.7</v>
      </c>
      <c r="M255" s="51">
        <v>2087.3000000000002</v>
      </c>
      <c r="N255" s="52">
        <v>861.72</v>
      </c>
    </row>
    <row r="256" spans="2:14" hidden="1" outlineLevel="2" x14ac:dyDescent="0.3">
      <c r="B256" s="48">
        <v>44948</v>
      </c>
      <c r="C256" s="51">
        <v>17604.349999999999</v>
      </c>
      <c r="D256" s="51">
        <v>29766.45</v>
      </c>
      <c r="E256" s="51">
        <v>3342.04</v>
      </c>
      <c r="F256" s="51">
        <v>1510.64</v>
      </c>
      <c r="G256" s="51">
        <v>1111.8599999999999</v>
      </c>
      <c r="H256" s="51">
        <v>199.02</v>
      </c>
      <c r="I256" s="51">
        <v>1030.0999999999999</v>
      </c>
      <c r="J256" s="51">
        <v>4399.05</v>
      </c>
      <c r="K256" s="51">
        <v>2283.66</v>
      </c>
      <c r="L256" s="51">
        <v>3051.55</v>
      </c>
      <c r="M256" s="51">
        <v>2072.4</v>
      </c>
      <c r="N256" s="52">
        <v>858.82</v>
      </c>
    </row>
    <row r="257" spans="2:14" hidden="1" outlineLevel="2" x14ac:dyDescent="0.3">
      <c r="B257" s="48">
        <v>44941</v>
      </c>
      <c r="C257" s="51">
        <v>18027.650000000001</v>
      </c>
      <c r="D257" s="51">
        <v>29529.65</v>
      </c>
      <c r="E257" s="51">
        <v>3295.06</v>
      </c>
      <c r="F257" s="51">
        <v>1517</v>
      </c>
      <c r="G257" s="51">
        <v>1104.0899999999999</v>
      </c>
      <c r="H257" s="51">
        <v>201.57</v>
      </c>
      <c r="I257" s="51">
        <v>1046.5</v>
      </c>
      <c r="J257" s="51">
        <v>4268.05</v>
      </c>
      <c r="K257" s="51">
        <v>2157.1999999999998</v>
      </c>
      <c r="L257" s="51">
        <v>3042.65</v>
      </c>
      <c r="M257" s="51">
        <v>2024.65</v>
      </c>
      <c r="N257" s="52">
        <v>820.4</v>
      </c>
    </row>
    <row r="258" spans="2:14" hidden="1" outlineLevel="2" x14ac:dyDescent="0.3">
      <c r="B258" s="48">
        <v>44934</v>
      </c>
      <c r="C258" s="51">
        <v>17956.599999999999</v>
      </c>
      <c r="D258" s="51">
        <v>28933.75</v>
      </c>
      <c r="E258" s="51">
        <v>3240.64</v>
      </c>
      <c r="F258" s="51">
        <v>1495.22</v>
      </c>
      <c r="G258" s="51">
        <v>1074.19</v>
      </c>
      <c r="H258" s="51">
        <v>196.95</v>
      </c>
      <c r="I258" s="51">
        <v>1003.15</v>
      </c>
      <c r="J258" s="51">
        <v>4287.45</v>
      </c>
      <c r="K258" s="51">
        <v>1998.73</v>
      </c>
      <c r="L258" s="51">
        <v>3083.6</v>
      </c>
      <c r="M258" s="51">
        <v>2035.25</v>
      </c>
      <c r="N258" s="52">
        <v>776.89</v>
      </c>
    </row>
    <row r="259" spans="2:14" hidden="1" outlineLevel="2" x14ac:dyDescent="0.3">
      <c r="B259" s="48">
        <v>44927</v>
      </c>
      <c r="C259" s="51">
        <v>17859.45</v>
      </c>
      <c r="D259" s="51">
        <v>27956.45</v>
      </c>
      <c r="E259" s="51">
        <v>3084.11</v>
      </c>
      <c r="F259" s="51">
        <v>1440.38</v>
      </c>
      <c r="G259" s="51">
        <v>1029.3399999999999</v>
      </c>
      <c r="H259" s="51">
        <v>191</v>
      </c>
      <c r="I259" s="51">
        <v>986.15</v>
      </c>
      <c r="J259" s="51">
        <v>4197.6000000000004</v>
      </c>
      <c r="K259" s="51">
        <v>1921.89</v>
      </c>
      <c r="L259" s="51">
        <v>2996.3</v>
      </c>
      <c r="M259" s="51">
        <v>1977.7</v>
      </c>
      <c r="N259" s="52">
        <v>780.2</v>
      </c>
    </row>
    <row r="260" spans="2:14" hidden="1" outlineLevel="2" x14ac:dyDescent="0.3">
      <c r="B260" s="48">
        <v>44920</v>
      </c>
      <c r="C260" s="51">
        <v>18105.3</v>
      </c>
      <c r="D260" s="51">
        <v>28621.7</v>
      </c>
      <c r="E260" s="51">
        <v>3127.46</v>
      </c>
      <c r="F260" s="51">
        <v>1499.75</v>
      </c>
      <c r="G260" s="51">
        <v>1035.82</v>
      </c>
      <c r="H260" s="51">
        <v>196.38</v>
      </c>
      <c r="I260" s="51">
        <v>1016.4</v>
      </c>
      <c r="J260" s="51">
        <v>4365.3999999999996</v>
      </c>
      <c r="K260" s="51">
        <v>1931.37</v>
      </c>
      <c r="L260" s="51">
        <v>3023.35</v>
      </c>
      <c r="M260" s="51">
        <v>1972.8</v>
      </c>
      <c r="N260" s="52">
        <v>776.82</v>
      </c>
    </row>
    <row r="261" spans="2:14" hidden="1" outlineLevel="2" x14ac:dyDescent="0.3">
      <c r="B261" s="48">
        <v>44913</v>
      </c>
      <c r="C261" s="51">
        <v>17806.8</v>
      </c>
      <c r="D261" s="51">
        <v>28237.05</v>
      </c>
      <c r="E261" s="51">
        <v>3100.24</v>
      </c>
      <c r="F261" s="51">
        <v>1488.71</v>
      </c>
      <c r="G261" s="51">
        <v>1027.1500000000001</v>
      </c>
      <c r="H261" s="51">
        <v>188.82</v>
      </c>
      <c r="I261" s="51">
        <v>995.75</v>
      </c>
      <c r="J261" s="51">
        <v>4266.55</v>
      </c>
      <c r="K261" s="51">
        <v>1913.14</v>
      </c>
      <c r="L261" s="51">
        <v>2986.85</v>
      </c>
      <c r="M261" s="51">
        <v>1919.45</v>
      </c>
      <c r="N261" s="52">
        <v>747.09</v>
      </c>
    </row>
    <row r="262" spans="2:14" hidden="1" outlineLevel="2" x14ac:dyDescent="0.3">
      <c r="B262" s="48">
        <v>44906</v>
      </c>
      <c r="C262" s="51">
        <v>18269</v>
      </c>
      <c r="D262" s="51">
        <v>28702.2</v>
      </c>
      <c r="E262" s="51">
        <v>3111.67</v>
      </c>
      <c r="F262" s="51">
        <v>1513.67</v>
      </c>
      <c r="G262" s="51">
        <v>1026.2</v>
      </c>
      <c r="H262" s="51">
        <v>194.88</v>
      </c>
      <c r="I262" s="51">
        <v>1020.8</v>
      </c>
      <c r="J262" s="51">
        <v>4336.3500000000004</v>
      </c>
      <c r="K262" s="51">
        <v>1980</v>
      </c>
      <c r="L262" s="51">
        <v>3018.85</v>
      </c>
      <c r="M262" s="51">
        <v>1913.15</v>
      </c>
      <c r="N262" s="52">
        <v>790.52</v>
      </c>
    </row>
    <row r="263" spans="2:14" hidden="1" outlineLevel="2" x14ac:dyDescent="0.3">
      <c r="B263" s="48">
        <v>44899</v>
      </c>
      <c r="C263" s="51">
        <v>18496.599999999999</v>
      </c>
      <c r="D263" s="51">
        <v>29168.45</v>
      </c>
      <c r="E263" s="51">
        <v>3162.08</v>
      </c>
      <c r="F263" s="51">
        <v>1560.51</v>
      </c>
      <c r="G263" s="51">
        <v>1024.06</v>
      </c>
      <c r="H263" s="51">
        <v>197.02</v>
      </c>
      <c r="I263" s="51">
        <v>1035.3</v>
      </c>
      <c r="J263" s="51">
        <v>4401.75</v>
      </c>
      <c r="K263" s="51">
        <v>1973.64</v>
      </c>
      <c r="L263" s="51">
        <v>3046.95</v>
      </c>
      <c r="M263" s="51">
        <v>1997.3</v>
      </c>
      <c r="N263" s="52">
        <v>775.44</v>
      </c>
    </row>
    <row r="264" spans="2:14" hidden="1" outlineLevel="2" x14ac:dyDescent="0.3">
      <c r="B264" s="48">
        <v>44892</v>
      </c>
      <c r="C264" s="51">
        <v>18696.099999999999</v>
      </c>
      <c r="D264" s="51">
        <v>31052.1</v>
      </c>
      <c r="E264" s="51">
        <v>3302.67</v>
      </c>
      <c r="F264" s="51">
        <v>1628.72</v>
      </c>
      <c r="G264" s="51">
        <v>1131.75</v>
      </c>
      <c r="H264" s="51">
        <v>206.2</v>
      </c>
      <c r="I264" s="51">
        <v>1114.75</v>
      </c>
      <c r="J264" s="51">
        <v>5065.75</v>
      </c>
      <c r="K264" s="51">
        <v>2168.0500000000002</v>
      </c>
      <c r="L264" s="51">
        <v>3218.8</v>
      </c>
      <c r="M264" s="51">
        <v>2157.35</v>
      </c>
      <c r="N264" s="52">
        <v>847.5</v>
      </c>
    </row>
    <row r="265" spans="2:14" hidden="1" outlineLevel="2" x14ac:dyDescent="0.3">
      <c r="B265" s="48">
        <v>44885</v>
      </c>
      <c r="C265" s="51">
        <v>18512.75</v>
      </c>
      <c r="D265" s="51">
        <v>30334.6</v>
      </c>
      <c r="E265" s="51">
        <v>3255.14</v>
      </c>
      <c r="F265" s="51">
        <v>1626.48</v>
      </c>
      <c r="G265" s="51">
        <v>1124.42</v>
      </c>
      <c r="H265" s="51">
        <v>201.4</v>
      </c>
      <c r="I265" s="51">
        <v>1080.1500000000001</v>
      </c>
      <c r="J265" s="51">
        <v>4938.3</v>
      </c>
      <c r="K265" s="51">
        <v>1981.22</v>
      </c>
      <c r="L265" s="51">
        <v>3049.35</v>
      </c>
      <c r="M265" s="51">
        <v>1989.55</v>
      </c>
      <c r="N265" s="52">
        <v>788.96</v>
      </c>
    </row>
    <row r="266" spans="2:14" hidden="1" outlineLevel="2" x14ac:dyDescent="0.3">
      <c r="B266" s="48">
        <v>44878</v>
      </c>
      <c r="C266" s="51">
        <v>18307.650000000001</v>
      </c>
      <c r="D266" s="51">
        <v>29669.25</v>
      </c>
      <c r="E266" s="51">
        <v>3210.77</v>
      </c>
      <c r="F266" s="51">
        <v>1584.47</v>
      </c>
      <c r="G266" s="51">
        <v>1099.46</v>
      </c>
      <c r="H266" s="51">
        <v>196.93</v>
      </c>
      <c r="I266" s="51">
        <v>1060.8499999999999</v>
      </c>
      <c r="J266" s="51">
        <v>4895.8999999999996</v>
      </c>
      <c r="K266" s="51">
        <v>1863.34</v>
      </c>
      <c r="L266" s="51">
        <v>3075.1</v>
      </c>
      <c r="M266" s="51">
        <v>1948.6</v>
      </c>
      <c r="N266" s="52">
        <v>761.75</v>
      </c>
    </row>
    <row r="267" spans="2:14" hidden="1" outlineLevel="2" x14ac:dyDescent="0.3">
      <c r="B267" s="48">
        <v>44871</v>
      </c>
      <c r="C267" s="51">
        <v>18349.7</v>
      </c>
      <c r="D267" s="51">
        <v>29591.95</v>
      </c>
      <c r="E267" s="51">
        <v>3184.36</v>
      </c>
      <c r="F267" s="51">
        <v>1561.3</v>
      </c>
      <c r="G267" s="51">
        <v>1087</v>
      </c>
      <c r="H267" s="51">
        <v>199.85</v>
      </c>
      <c r="I267" s="51">
        <v>1058.7</v>
      </c>
      <c r="J267" s="51">
        <v>5058</v>
      </c>
      <c r="K267" s="51">
        <v>1870</v>
      </c>
      <c r="L267" s="51">
        <v>3079.65</v>
      </c>
      <c r="M267" s="51">
        <v>2026.65</v>
      </c>
      <c r="N267" s="52">
        <v>779.53</v>
      </c>
    </row>
    <row r="268" spans="2:14" hidden="1" outlineLevel="2" x14ac:dyDescent="0.3">
      <c r="B268" s="48">
        <v>44864</v>
      </c>
      <c r="C268" s="51">
        <v>18117.150000000001</v>
      </c>
      <c r="D268" s="51">
        <v>28693.05</v>
      </c>
      <c r="E268" s="51">
        <v>3089.72</v>
      </c>
      <c r="F268" s="51">
        <v>1505.52</v>
      </c>
      <c r="G268" s="51">
        <v>1041.8499999999999</v>
      </c>
      <c r="H268" s="51">
        <v>195.27</v>
      </c>
      <c r="I268" s="51">
        <v>1035.6500000000001</v>
      </c>
      <c r="J268" s="51">
        <v>4806.8999999999996</v>
      </c>
      <c r="K268" s="51">
        <v>1845.08</v>
      </c>
      <c r="L268" s="51">
        <v>3007.1</v>
      </c>
      <c r="M268" s="51">
        <v>1969.8</v>
      </c>
      <c r="N268" s="52">
        <v>747.62</v>
      </c>
    </row>
    <row r="269" spans="2:14" hidden="1" outlineLevel="2" x14ac:dyDescent="0.3">
      <c r="B269" s="48">
        <v>44857</v>
      </c>
      <c r="C269" s="51">
        <v>17786.8</v>
      </c>
      <c r="D269" s="51">
        <v>28318.35</v>
      </c>
      <c r="E269" s="51">
        <v>3037.72</v>
      </c>
      <c r="F269" s="51">
        <v>1504.77</v>
      </c>
      <c r="G269" s="51">
        <v>1026.55</v>
      </c>
      <c r="H269" s="51">
        <v>191.63</v>
      </c>
      <c r="I269" s="51">
        <v>1031.03</v>
      </c>
      <c r="J269" s="51">
        <v>4584.1499999999996</v>
      </c>
      <c r="K269" s="51">
        <v>1806.94</v>
      </c>
      <c r="L269" s="51">
        <v>2892.9</v>
      </c>
      <c r="M269" s="51">
        <v>1947.85</v>
      </c>
      <c r="N269" s="52">
        <v>747.3</v>
      </c>
    </row>
    <row r="270" spans="2:14" hidden="1" outlineLevel="2" x14ac:dyDescent="0.3">
      <c r="B270" s="48">
        <v>44850</v>
      </c>
      <c r="C270" s="51">
        <v>17576.3</v>
      </c>
      <c r="D270" s="51">
        <v>28336.95</v>
      </c>
      <c r="E270" s="51">
        <v>3012.9</v>
      </c>
      <c r="F270" s="51">
        <v>1492.09</v>
      </c>
      <c r="G270" s="51">
        <v>1023.76</v>
      </c>
      <c r="H270" s="51">
        <v>191.27</v>
      </c>
      <c r="I270" s="51">
        <v>1023.36</v>
      </c>
      <c r="J270" s="51">
        <v>4765.25</v>
      </c>
      <c r="K270" s="51">
        <v>1828.99</v>
      </c>
      <c r="L270" s="51">
        <v>2916.8</v>
      </c>
      <c r="M270" s="51">
        <v>2042.95</v>
      </c>
      <c r="N270" s="52">
        <v>772.42</v>
      </c>
    </row>
    <row r="271" spans="2:14" hidden="1" outlineLevel="2" x14ac:dyDescent="0.3">
      <c r="B271" s="48">
        <v>44843</v>
      </c>
      <c r="C271" s="51">
        <v>17185.7</v>
      </c>
      <c r="D271" s="51">
        <v>27954.05</v>
      </c>
      <c r="E271" s="51">
        <v>2976.17</v>
      </c>
      <c r="F271" s="51">
        <v>1465.99</v>
      </c>
      <c r="G271" s="51">
        <v>999.19</v>
      </c>
      <c r="H271" s="51">
        <v>188.65</v>
      </c>
      <c r="I271" s="51">
        <v>1002.42</v>
      </c>
      <c r="J271" s="51">
        <v>4668.55</v>
      </c>
      <c r="K271" s="51">
        <v>1819.86</v>
      </c>
      <c r="L271" s="51">
        <v>2947.3</v>
      </c>
      <c r="M271" s="51">
        <v>2105.6999999999998</v>
      </c>
      <c r="N271" s="52">
        <v>748.4</v>
      </c>
    </row>
    <row r="272" spans="2:14" hidden="1" outlineLevel="2" x14ac:dyDescent="0.3">
      <c r="B272" s="48">
        <v>44836</v>
      </c>
      <c r="C272" s="51">
        <v>17314.650000000001</v>
      </c>
      <c r="D272" s="51">
        <v>27733.599999999999</v>
      </c>
      <c r="E272" s="51">
        <v>2943.28</v>
      </c>
      <c r="F272" s="51">
        <v>1443.07</v>
      </c>
      <c r="G272" s="51">
        <v>954.49</v>
      </c>
      <c r="H272" s="51">
        <v>204.05</v>
      </c>
      <c r="I272" s="51">
        <v>1006.36</v>
      </c>
      <c r="J272" s="51">
        <v>4645.25</v>
      </c>
      <c r="K272" s="51">
        <v>1740.95</v>
      </c>
      <c r="L272" s="51">
        <v>2968</v>
      </c>
      <c r="M272" s="51">
        <v>2118.4499999999998</v>
      </c>
      <c r="N272" s="52">
        <v>720.5</v>
      </c>
    </row>
    <row r="273" spans="2:14" hidden="1" outlineLevel="2" x14ac:dyDescent="0.3">
      <c r="B273" s="48">
        <v>44829</v>
      </c>
      <c r="C273" s="51">
        <v>17094.349999999999</v>
      </c>
      <c r="D273" s="51">
        <v>26981.15</v>
      </c>
      <c r="E273" s="51">
        <v>2885.32</v>
      </c>
      <c r="F273" s="51">
        <v>1405.53</v>
      </c>
      <c r="G273" s="51">
        <v>929.23</v>
      </c>
      <c r="H273" s="51">
        <v>197.13</v>
      </c>
      <c r="I273" s="51">
        <v>991.37</v>
      </c>
      <c r="J273" s="51">
        <v>4457.8500000000004</v>
      </c>
      <c r="K273" s="51">
        <v>1617.19</v>
      </c>
      <c r="L273" s="51">
        <v>2982.5</v>
      </c>
      <c r="M273" s="51">
        <v>2087.65</v>
      </c>
      <c r="N273" s="52">
        <v>672.39</v>
      </c>
    </row>
    <row r="274" spans="2:14" hidden="1" outlineLevel="2" x14ac:dyDescent="0.3">
      <c r="B274" s="48">
        <v>44822</v>
      </c>
      <c r="C274" s="51">
        <v>17327.349999999999</v>
      </c>
      <c r="D274" s="51">
        <v>26592.35</v>
      </c>
      <c r="E274" s="51">
        <v>2863.71</v>
      </c>
      <c r="F274" s="51">
        <v>1357.8</v>
      </c>
      <c r="G274" s="51">
        <v>892.85</v>
      </c>
      <c r="H274" s="51">
        <v>197.18</v>
      </c>
      <c r="I274" s="51">
        <v>1017.41</v>
      </c>
      <c r="J274" s="51">
        <v>4417.8999999999996</v>
      </c>
      <c r="K274" s="51">
        <v>1570.69</v>
      </c>
      <c r="L274" s="51">
        <v>2993.7</v>
      </c>
      <c r="M274" s="51">
        <v>2019.45</v>
      </c>
      <c r="N274" s="52">
        <v>667.31</v>
      </c>
    </row>
    <row r="275" spans="2:14" hidden="1" outlineLevel="2" x14ac:dyDescent="0.3">
      <c r="B275" s="48">
        <v>44815</v>
      </c>
      <c r="C275" s="51">
        <v>17530.849999999999</v>
      </c>
      <c r="D275" s="51">
        <v>26706.45</v>
      </c>
      <c r="E275" s="51">
        <v>2889.31</v>
      </c>
      <c r="F275" s="51">
        <v>1369.33</v>
      </c>
      <c r="G275" s="51">
        <v>893.9</v>
      </c>
      <c r="H275" s="51">
        <v>200.82</v>
      </c>
      <c r="I275" s="51">
        <v>1015.55</v>
      </c>
      <c r="J275" s="51">
        <v>4379.5</v>
      </c>
      <c r="K275" s="51">
        <v>1577.22</v>
      </c>
      <c r="L275" s="51">
        <v>3036.5</v>
      </c>
      <c r="M275" s="51">
        <v>2016.35</v>
      </c>
      <c r="N275" s="52">
        <v>656.26</v>
      </c>
    </row>
    <row r="276" spans="2:14" hidden="1" outlineLevel="2" x14ac:dyDescent="0.3">
      <c r="B276" s="48">
        <v>44808</v>
      </c>
      <c r="C276" s="51">
        <v>17833.349999999999</v>
      </c>
      <c r="D276" s="51">
        <v>28724.05</v>
      </c>
      <c r="E276" s="51">
        <v>3089.96</v>
      </c>
      <c r="F276" s="51">
        <v>1503.18</v>
      </c>
      <c r="G276" s="51">
        <v>945.32</v>
      </c>
      <c r="H276" s="51">
        <v>208.57</v>
      </c>
      <c r="I276" s="51">
        <v>1107.4000000000001</v>
      </c>
      <c r="J276" s="51">
        <v>4673.6000000000004</v>
      </c>
      <c r="K276" s="51">
        <v>1693.05</v>
      </c>
      <c r="L276" s="51">
        <v>3171.95</v>
      </c>
      <c r="M276" s="51">
        <v>2144.85</v>
      </c>
      <c r="N276" s="52">
        <v>713.59</v>
      </c>
    </row>
    <row r="277" spans="2:14" hidden="1" outlineLevel="2" x14ac:dyDescent="0.3">
      <c r="B277" s="48">
        <v>44801</v>
      </c>
      <c r="C277" s="51">
        <v>17539.45</v>
      </c>
      <c r="D277" s="51">
        <v>27745.8</v>
      </c>
      <c r="E277" s="51">
        <v>3006.18</v>
      </c>
      <c r="F277" s="51">
        <v>1444.86</v>
      </c>
      <c r="G277" s="51">
        <v>921.35</v>
      </c>
      <c r="H277" s="51">
        <v>203.85</v>
      </c>
      <c r="I277" s="51">
        <v>1038.3499999999999</v>
      </c>
      <c r="J277" s="51">
        <v>4522</v>
      </c>
      <c r="K277" s="51">
        <v>1703.63</v>
      </c>
      <c r="L277" s="51">
        <v>3147.7</v>
      </c>
      <c r="M277" s="51">
        <v>2072.85</v>
      </c>
      <c r="N277" s="52">
        <v>693.52</v>
      </c>
    </row>
    <row r="278" spans="2:14" hidden="1" outlineLevel="2" x14ac:dyDescent="0.3">
      <c r="B278" s="48">
        <v>44794</v>
      </c>
      <c r="C278" s="51">
        <v>17558.900000000001</v>
      </c>
      <c r="D278" s="51">
        <v>28691.599999999999</v>
      </c>
      <c r="E278" s="51">
        <v>3094.33</v>
      </c>
      <c r="F278" s="51">
        <v>1513.02</v>
      </c>
      <c r="G278" s="51">
        <v>942.48</v>
      </c>
      <c r="H278" s="51">
        <v>208.63</v>
      </c>
      <c r="I278" s="51">
        <v>1067</v>
      </c>
      <c r="J278" s="51">
        <v>4658.95</v>
      </c>
      <c r="K278" s="51">
        <v>1759.06</v>
      </c>
      <c r="L278" s="51">
        <v>3229.25</v>
      </c>
      <c r="M278" s="51">
        <v>2166.0500000000002</v>
      </c>
      <c r="N278" s="52">
        <v>732.37</v>
      </c>
    </row>
    <row r="279" spans="2:14" hidden="1" outlineLevel="2" x14ac:dyDescent="0.3">
      <c r="B279" s="48">
        <v>44787</v>
      </c>
      <c r="C279" s="51">
        <v>17758.45</v>
      </c>
      <c r="D279" s="51">
        <v>30036.1</v>
      </c>
      <c r="E279" s="51">
        <v>3251.39</v>
      </c>
      <c r="F279" s="51">
        <v>1588.15</v>
      </c>
      <c r="G279" s="51">
        <v>966.8</v>
      </c>
      <c r="H279" s="51">
        <v>216.23</v>
      </c>
      <c r="I279" s="51">
        <v>1085.28</v>
      </c>
      <c r="J279" s="51">
        <v>4892.7</v>
      </c>
      <c r="K279" s="51">
        <v>1877.89</v>
      </c>
      <c r="L279" s="51">
        <v>3338.1</v>
      </c>
      <c r="M279" s="51">
        <v>2394.15</v>
      </c>
      <c r="N279" s="52">
        <v>784.74</v>
      </c>
    </row>
    <row r="280" spans="2:14" hidden="1" outlineLevel="2" x14ac:dyDescent="0.3">
      <c r="B280" s="48">
        <v>44780</v>
      </c>
      <c r="C280" s="51">
        <v>17698.150000000001</v>
      </c>
      <c r="D280" s="51">
        <v>29885.9</v>
      </c>
      <c r="E280" s="51">
        <v>3266.57</v>
      </c>
      <c r="F280" s="51">
        <v>1585.17</v>
      </c>
      <c r="G280" s="51">
        <v>953.2</v>
      </c>
      <c r="H280" s="51">
        <v>218.05</v>
      </c>
      <c r="I280" s="51">
        <v>1047.69</v>
      </c>
      <c r="J280" s="51">
        <v>4911.3999999999996</v>
      </c>
      <c r="K280" s="51">
        <v>1857.78</v>
      </c>
      <c r="L280" s="51">
        <v>3377.7</v>
      </c>
      <c r="M280" s="51">
        <v>2373.9499999999998</v>
      </c>
      <c r="N280" s="52">
        <v>758.5</v>
      </c>
    </row>
    <row r="281" spans="2:14" hidden="1" outlineLevel="2" x14ac:dyDescent="0.3">
      <c r="B281" s="48">
        <v>44773</v>
      </c>
      <c r="C281" s="51">
        <v>17397.5</v>
      </c>
      <c r="D281" s="51">
        <v>29973.55</v>
      </c>
      <c r="E281" s="51">
        <v>3231.51</v>
      </c>
      <c r="F281" s="51">
        <v>1607.59</v>
      </c>
      <c r="G281" s="51">
        <v>954.54</v>
      </c>
      <c r="H281" s="51">
        <v>220</v>
      </c>
      <c r="I281" s="51">
        <v>1040.1199999999999</v>
      </c>
      <c r="J281" s="51">
        <v>4925.3500000000004</v>
      </c>
      <c r="K281" s="51">
        <v>1892.23</v>
      </c>
      <c r="L281" s="51">
        <v>3365.85</v>
      </c>
      <c r="M281" s="51">
        <v>2394.85</v>
      </c>
      <c r="N281" s="52">
        <v>786.9</v>
      </c>
    </row>
    <row r="282" spans="2:14" hidden="1" outlineLevel="2" x14ac:dyDescent="0.3">
      <c r="B282" s="48">
        <v>44766</v>
      </c>
      <c r="C282" s="51">
        <v>17158.25</v>
      </c>
      <c r="D282" s="51">
        <v>29152.3</v>
      </c>
      <c r="E282" s="51">
        <v>3170.87</v>
      </c>
      <c r="F282" s="51">
        <v>1541.02</v>
      </c>
      <c r="G282" s="51">
        <v>945.22</v>
      </c>
      <c r="H282" s="51">
        <v>211.85</v>
      </c>
      <c r="I282" s="51">
        <v>1030.73</v>
      </c>
      <c r="J282" s="51">
        <v>4730.75</v>
      </c>
      <c r="K282" s="51">
        <v>1812.6</v>
      </c>
      <c r="L282" s="51">
        <v>3144.05</v>
      </c>
      <c r="M282" s="51">
        <v>2299.8000000000002</v>
      </c>
      <c r="N282" s="52">
        <v>790.86</v>
      </c>
    </row>
    <row r="283" spans="2:14" hidden="1" outlineLevel="2" x14ac:dyDescent="0.3">
      <c r="B283" s="48">
        <v>44759</v>
      </c>
      <c r="C283" s="51">
        <v>16719.45</v>
      </c>
      <c r="D283" s="51">
        <v>28168.15</v>
      </c>
      <c r="E283" s="51">
        <v>3045.17</v>
      </c>
      <c r="F283" s="51">
        <v>1497.86</v>
      </c>
      <c r="G283" s="51">
        <v>917.17</v>
      </c>
      <c r="H283" s="51">
        <v>205.43</v>
      </c>
      <c r="I283" s="51">
        <v>1011.12</v>
      </c>
      <c r="J283" s="51">
        <v>4504.8</v>
      </c>
      <c r="K283" s="51">
        <v>1812.55</v>
      </c>
      <c r="L283" s="51">
        <v>3233.4</v>
      </c>
      <c r="M283" s="51">
        <v>2276.4499999999998</v>
      </c>
      <c r="N283" s="52">
        <v>745.29</v>
      </c>
    </row>
    <row r="284" spans="2:14" hidden="1" outlineLevel="2" x14ac:dyDescent="0.3">
      <c r="B284" s="48">
        <v>44752</v>
      </c>
      <c r="C284" s="51">
        <v>16049.2</v>
      </c>
      <c r="D284" s="51">
        <v>26484.75</v>
      </c>
      <c r="E284" s="51">
        <v>2875.76</v>
      </c>
      <c r="F284" s="51">
        <v>1422.33</v>
      </c>
      <c r="G284" s="51">
        <v>880.19</v>
      </c>
      <c r="H284" s="51">
        <v>196.93</v>
      </c>
      <c r="I284" s="51">
        <v>943.44</v>
      </c>
      <c r="J284" s="51">
        <v>3974.55</v>
      </c>
      <c r="K284" s="51">
        <v>1567.62</v>
      </c>
      <c r="L284" s="51">
        <v>3119.05</v>
      </c>
      <c r="M284" s="51">
        <v>2141.5500000000002</v>
      </c>
      <c r="N284" s="52">
        <v>675.73</v>
      </c>
    </row>
    <row r="285" spans="2:14" hidden="1" outlineLevel="2" x14ac:dyDescent="0.3">
      <c r="B285" s="48">
        <v>44745</v>
      </c>
      <c r="C285" s="51">
        <v>16220.6</v>
      </c>
      <c r="D285" s="51">
        <v>28250.3</v>
      </c>
      <c r="E285" s="51">
        <v>3135.87</v>
      </c>
      <c r="F285" s="51">
        <v>1505.96</v>
      </c>
      <c r="G285" s="51">
        <v>980.26</v>
      </c>
      <c r="H285" s="51">
        <v>209.55</v>
      </c>
      <c r="I285" s="51">
        <v>994.5</v>
      </c>
      <c r="J285" s="51">
        <v>4067.85</v>
      </c>
      <c r="K285" s="51">
        <v>1695.32</v>
      </c>
      <c r="L285" s="51">
        <v>3204.05</v>
      </c>
      <c r="M285" s="51">
        <v>2232.8000000000002</v>
      </c>
      <c r="N285" s="52">
        <v>721.33</v>
      </c>
    </row>
    <row r="286" spans="2:14" hidden="1" outlineLevel="2" x14ac:dyDescent="0.3">
      <c r="B286" s="48">
        <v>44738</v>
      </c>
      <c r="C286" s="51">
        <v>15752.05</v>
      </c>
      <c r="D286" s="51">
        <v>28064.25</v>
      </c>
      <c r="E286" s="51">
        <v>3183.55</v>
      </c>
      <c r="F286" s="51">
        <v>1471.11</v>
      </c>
      <c r="G286" s="51">
        <v>972.09</v>
      </c>
      <c r="H286" s="51">
        <v>211</v>
      </c>
      <c r="I286" s="51">
        <v>979.19</v>
      </c>
      <c r="J286" s="51">
        <v>4000.8</v>
      </c>
      <c r="K286" s="51">
        <v>1653.51</v>
      </c>
      <c r="L286" s="51">
        <v>3059.15</v>
      </c>
      <c r="M286" s="51">
        <v>2241.15</v>
      </c>
      <c r="N286" s="52">
        <v>697.61</v>
      </c>
    </row>
    <row r="287" spans="2:14" hidden="1" outlineLevel="2" x14ac:dyDescent="0.3">
      <c r="B287" s="48">
        <v>44731</v>
      </c>
      <c r="C287" s="51">
        <v>15699.25</v>
      </c>
      <c r="D287" s="51">
        <v>27777.8</v>
      </c>
      <c r="E287" s="51">
        <v>3162.42</v>
      </c>
      <c r="F287" s="51">
        <v>1433.02</v>
      </c>
      <c r="G287" s="51">
        <v>963.46</v>
      </c>
      <c r="H287" s="51">
        <v>209.38</v>
      </c>
      <c r="I287" s="51">
        <v>950.61</v>
      </c>
      <c r="J287" s="51">
        <v>4033.75</v>
      </c>
      <c r="K287" s="51">
        <v>1627.09</v>
      </c>
      <c r="L287" s="51">
        <v>3121.35</v>
      </c>
      <c r="M287" s="51">
        <v>2260.65</v>
      </c>
      <c r="N287" s="52">
        <v>729.47</v>
      </c>
    </row>
    <row r="288" spans="2:14" hidden="1" outlineLevel="2" x14ac:dyDescent="0.3">
      <c r="B288" s="48">
        <v>44724</v>
      </c>
      <c r="C288" s="51">
        <v>15293.5</v>
      </c>
      <c r="D288" s="51">
        <v>26732.45</v>
      </c>
      <c r="E288" s="51">
        <v>2966.32</v>
      </c>
      <c r="F288" s="51">
        <v>1379.53</v>
      </c>
      <c r="G288" s="51">
        <v>955.54</v>
      </c>
      <c r="H288" s="51">
        <v>202.6</v>
      </c>
      <c r="I288" s="51">
        <v>934.96</v>
      </c>
      <c r="J288" s="51">
        <v>4003.3</v>
      </c>
      <c r="K288" s="51">
        <v>1590.29</v>
      </c>
      <c r="L288" s="51">
        <v>2991.65</v>
      </c>
      <c r="M288" s="51">
        <v>2193.15</v>
      </c>
      <c r="N288" s="52">
        <v>675.16</v>
      </c>
    </row>
    <row r="289" spans="2:14" hidden="1" outlineLevel="2" x14ac:dyDescent="0.3">
      <c r="B289" s="48">
        <v>44717</v>
      </c>
      <c r="C289" s="51">
        <v>16201.8</v>
      </c>
      <c r="D289" s="51">
        <v>29114.3</v>
      </c>
      <c r="E289" s="51">
        <v>3226.57</v>
      </c>
      <c r="F289" s="51">
        <v>1468.52</v>
      </c>
      <c r="G289" s="51">
        <v>1011.95</v>
      </c>
      <c r="H289" s="51">
        <v>230.48</v>
      </c>
      <c r="I289" s="51">
        <v>1075.25</v>
      </c>
      <c r="J289" s="51">
        <v>4331.45</v>
      </c>
      <c r="K289" s="51">
        <v>1743.72</v>
      </c>
      <c r="L289" s="51">
        <v>3176.55</v>
      </c>
      <c r="M289" s="51">
        <v>2507.85</v>
      </c>
      <c r="N289" s="52">
        <v>696.64</v>
      </c>
    </row>
    <row r="290" spans="2:14" hidden="1" outlineLevel="2" x14ac:dyDescent="0.3">
      <c r="B290" s="48">
        <v>44710</v>
      </c>
      <c r="C290" s="51">
        <v>16584.3</v>
      </c>
      <c r="D290" s="51">
        <v>29903.8</v>
      </c>
      <c r="E290" s="51">
        <v>3303.64</v>
      </c>
      <c r="F290" s="51">
        <v>1513.17</v>
      </c>
      <c r="G290" s="51">
        <v>1039.51</v>
      </c>
      <c r="H290" s="51">
        <v>237.75</v>
      </c>
      <c r="I290" s="51">
        <v>1112.1099999999999</v>
      </c>
      <c r="J290" s="51">
        <v>4335.05</v>
      </c>
      <c r="K290" s="51">
        <v>1896.47</v>
      </c>
      <c r="L290" s="51">
        <v>3283.7</v>
      </c>
      <c r="M290" s="51">
        <v>2568.0500000000002</v>
      </c>
      <c r="N290" s="52">
        <v>752.02</v>
      </c>
    </row>
    <row r="291" spans="2:14" hidden="1" outlineLevel="2" x14ac:dyDescent="0.3">
      <c r="B291" s="48">
        <v>44703</v>
      </c>
      <c r="C291" s="51">
        <v>16352.45</v>
      </c>
      <c r="D291" s="51">
        <v>28641.599999999999</v>
      </c>
      <c r="E291" s="51">
        <v>3131.88</v>
      </c>
      <c r="F291" s="51">
        <v>1453.16</v>
      </c>
      <c r="G291" s="51">
        <v>1000.54</v>
      </c>
      <c r="H291" s="51">
        <v>233.48</v>
      </c>
      <c r="I291" s="51">
        <v>1088.23</v>
      </c>
      <c r="J291" s="51">
        <v>3998</v>
      </c>
      <c r="K291" s="51">
        <v>1769.37</v>
      </c>
      <c r="L291" s="51">
        <v>3171.35</v>
      </c>
      <c r="M291" s="51">
        <v>2484.15</v>
      </c>
      <c r="N291" s="52">
        <v>734.29</v>
      </c>
    </row>
    <row r="292" spans="2:14" hidden="1" outlineLevel="2" x14ac:dyDescent="0.3">
      <c r="B292" s="48">
        <v>44696</v>
      </c>
      <c r="C292" s="51">
        <v>16266.15</v>
      </c>
      <c r="D292" s="51">
        <v>28789.4</v>
      </c>
      <c r="E292" s="51">
        <v>3162.32</v>
      </c>
      <c r="F292" s="51">
        <v>1446.99</v>
      </c>
      <c r="G292" s="51">
        <v>1025.4100000000001</v>
      </c>
      <c r="H292" s="51">
        <v>229.8</v>
      </c>
      <c r="I292" s="51">
        <v>1095.6400000000001</v>
      </c>
      <c r="J292" s="51">
        <v>4043.5</v>
      </c>
      <c r="K292" s="51">
        <v>1845.53</v>
      </c>
      <c r="L292" s="51">
        <v>3217.45</v>
      </c>
      <c r="M292" s="51">
        <v>2459.0500000000002</v>
      </c>
      <c r="N292" s="52">
        <v>757.39</v>
      </c>
    </row>
    <row r="293" spans="2:14" hidden="1" outlineLevel="2" x14ac:dyDescent="0.3">
      <c r="B293" s="48">
        <v>44689</v>
      </c>
      <c r="C293" s="51">
        <v>15782.15</v>
      </c>
      <c r="D293" s="51">
        <v>29624.85</v>
      </c>
      <c r="E293" s="51">
        <v>3279.39</v>
      </c>
      <c r="F293" s="51">
        <v>1495.97</v>
      </c>
      <c r="G293" s="51">
        <v>1048.6300000000001</v>
      </c>
      <c r="H293" s="51">
        <v>234.32</v>
      </c>
      <c r="I293" s="51">
        <v>1165.3499999999999</v>
      </c>
      <c r="J293" s="51">
        <v>4110.7</v>
      </c>
      <c r="K293" s="51">
        <v>1793.34</v>
      </c>
      <c r="L293" s="51">
        <v>3230.7</v>
      </c>
      <c r="M293" s="51">
        <v>2443.6999999999998</v>
      </c>
      <c r="N293" s="52">
        <v>748.65</v>
      </c>
    </row>
    <row r="294" spans="2:14" hidden="1" outlineLevel="2" x14ac:dyDescent="0.3">
      <c r="B294" s="48">
        <v>44682</v>
      </c>
      <c r="C294" s="51">
        <v>16411.25</v>
      </c>
      <c r="D294" s="51">
        <v>30719.45</v>
      </c>
      <c r="E294" s="51">
        <v>3296.38</v>
      </c>
      <c r="F294" s="51">
        <v>1534.2</v>
      </c>
      <c r="G294" s="51">
        <v>1046.68</v>
      </c>
      <c r="H294" s="51">
        <v>242.55</v>
      </c>
      <c r="I294" s="51">
        <v>1250.51</v>
      </c>
      <c r="J294" s="51">
        <v>4593</v>
      </c>
      <c r="K294" s="51">
        <v>2026.22</v>
      </c>
      <c r="L294" s="51">
        <v>3517.1</v>
      </c>
      <c r="M294" s="51">
        <v>2694.05</v>
      </c>
      <c r="N294" s="52">
        <v>781.08</v>
      </c>
    </row>
    <row r="295" spans="2:14" hidden="1" outlineLevel="2" x14ac:dyDescent="0.3">
      <c r="B295" s="48">
        <v>44675</v>
      </c>
      <c r="C295" s="51">
        <v>17102.55</v>
      </c>
      <c r="D295" s="51">
        <v>31622.400000000001</v>
      </c>
      <c r="E295" s="51">
        <v>3405.96</v>
      </c>
      <c r="F295" s="51">
        <v>1558.77</v>
      </c>
      <c r="G295" s="51">
        <v>1075.6400000000001</v>
      </c>
      <c r="H295" s="51">
        <v>254.4</v>
      </c>
      <c r="I295" s="51">
        <v>1219.75</v>
      </c>
      <c r="J295" s="51">
        <v>4839.05</v>
      </c>
      <c r="K295" s="51">
        <v>2155.77</v>
      </c>
      <c r="L295" s="51">
        <v>3561.25</v>
      </c>
      <c r="M295" s="51">
        <v>2843.2</v>
      </c>
      <c r="N295" s="52">
        <v>840.04</v>
      </c>
    </row>
    <row r="296" spans="2:14" hidden="1" outlineLevel="2" x14ac:dyDescent="0.3">
      <c r="B296" s="48">
        <v>44668</v>
      </c>
      <c r="C296" s="51">
        <v>17171.95</v>
      </c>
      <c r="D296" s="51">
        <v>32426.7</v>
      </c>
      <c r="E296" s="51">
        <v>3469.19</v>
      </c>
      <c r="F296" s="51">
        <v>1576.56</v>
      </c>
      <c r="G296" s="51">
        <v>1098.3599999999999</v>
      </c>
      <c r="H296" s="51">
        <v>268.85000000000002</v>
      </c>
      <c r="I296" s="51">
        <v>1265.77</v>
      </c>
      <c r="J296" s="51">
        <v>5093.8500000000004</v>
      </c>
      <c r="K296" s="51">
        <v>2009.46</v>
      </c>
      <c r="L296" s="51">
        <v>3485.65</v>
      </c>
      <c r="M296" s="51">
        <v>2895.85</v>
      </c>
      <c r="N296" s="52">
        <v>825.85</v>
      </c>
    </row>
    <row r="297" spans="2:14" hidden="1" outlineLevel="2" x14ac:dyDescent="0.3">
      <c r="B297" s="48">
        <v>44661</v>
      </c>
      <c r="C297" s="51">
        <v>17475.650000000001</v>
      </c>
      <c r="D297" s="51">
        <v>34354.800000000003</v>
      </c>
      <c r="E297" s="51">
        <v>3516.63</v>
      </c>
      <c r="F297" s="51">
        <v>1738.75</v>
      </c>
      <c r="G297" s="51">
        <v>1121.33</v>
      </c>
      <c r="H297" s="51">
        <v>279.60000000000002</v>
      </c>
      <c r="I297" s="51">
        <v>1366.48</v>
      </c>
      <c r="J297" s="51">
        <v>6038.8</v>
      </c>
      <c r="K297" s="51">
        <v>2160.42</v>
      </c>
      <c r="L297" s="51">
        <v>3568.15</v>
      </c>
      <c r="M297" s="51">
        <v>3050.8</v>
      </c>
      <c r="N297" s="52">
        <v>832.16</v>
      </c>
    </row>
    <row r="298" spans="2:14" hidden="1" outlineLevel="2" x14ac:dyDescent="0.3">
      <c r="B298" s="48">
        <v>44654</v>
      </c>
      <c r="C298" s="51">
        <v>17784.349999999999</v>
      </c>
      <c r="D298" s="51">
        <v>35394.449999999997</v>
      </c>
      <c r="E298" s="51">
        <v>3539.39</v>
      </c>
      <c r="F298" s="51">
        <v>1804.43</v>
      </c>
      <c r="G298" s="51">
        <v>1161.45</v>
      </c>
      <c r="H298" s="51">
        <v>291.83</v>
      </c>
      <c r="I298" s="51">
        <v>1403.58</v>
      </c>
      <c r="J298" s="51">
        <v>6153.2</v>
      </c>
      <c r="K298" s="51">
        <v>2350.4899999999998</v>
      </c>
      <c r="L298" s="51">
        <v>3700.2</v>
      </c>
      <c r="M298" s="51">
        <v>3161.15</v>
      </c>
      <c r="N298" s="52">
        <v>874.63</v>
      </c>
    </row>
    <row r="299" spans="2:14" hidden="1" outlineLevel="2" x14ac:dyDescent="0.3">
      <c r="B299" s="48">
        <v>44647</v>
      </c>
      <c r="C299" s="51">
        <v>17670.45</v>
      </c>
      <c r="D299" s="51">
        <v>36343.4</v>
      </c>
      <c r="E299" s="51">
        <v>3609.59</v>
      </c>
      <c r="F299" s="51">
        <v>1892.88</v>
      </c>
      <c r="G299" s="51">
        <v>1165.73</v>
      </c>
      <c r="H299" s="51">
        <v>300.89999999999998</v>
      </c>
      <c r="I299" s="51">
        <v>1440.74</v>
      </c>
      <c r="J299" s="51">
        <v>6173.5</v>
      </c>
      <c r="K299" s="51">
        <v>2356.4</v>
      </c>
      <c r="L299" s="51">
        <v>3587.55</v>
      </c>
      <c r="M299" s="51">
        <v>3344.05</v>
      </c>
      <c r="N299" s="52">
        <v>882.97</v>
      </c>
    </row>
    <row r="300" spans="2:14" hidden="1" outlineLevel="2" x14ac:dyDescent="0.3">
      <c r="B300" s="48">
        <v>44640</v>
      </c>
      <c r="C300" s="51">
        <v>17153</v>
      </c>
      <c r="D300" s="51">
        <v>36152.300000000003</v>
      </c>
      <c r="E300" s="51">
        <v>3560.33</v>
      </c>
      <c r="F300" s="51">
        <v>1866.03</v>
      </c>
      <c r="G300" s="51">
        <v>1175.4000000000001</v>
      </c>
      <c r="H300" s="51">
        <v>301.67</v>
      </c>
      <c r="I300" s="51">
        <v>1482.83</v>
      </c>
      <c r="J300" s="51">
        <v>6183.25</v>
      </c>
      <c r="K300" s="51">
        <v>2333.0500000000002</v>
      </c>
      <c r="L300" s="51">
        <v>3580.9</v>
      </c>
      <c r="M300" s="51">
        <v>3279.15</v>
      </c>
      <c r="N300" s="52">
        <v>884.61</v>
      </c>
    </row>
    <row r="301" spans="2:14" hidden="1" outlineLevel="2" x14ac:dyDescent="0.3">
      <c r="B301" s="48">
        <v>44633</v>
      </c>
      <c r="C301" s="51">
        <v>17287.05</v>
      </c>
      <c r="D301" s="51">
        <v>35643.599999999999</v>
      </c>
      <c r="E301" s="51">
        <v>3527</v>
      </c>
      <c r="F301" s="51">
        <v>1844.21</v>
      </c>
      <c r="G301" s="51">
        <v>1192.8900000000001</v>
      </c>
      <c r="H301" s="51">
        <v>300.60000000000002</v>
      </c>
      <c r="I301" s="51">
        <v>1446.94</v>
      </c>
      <c r="J301" s="51">
        <v>6113.85</v>
      </c>
      <c r="K301" s="51">
        <v>2237.75</v>
      </c>
      <c r="L301" s="51">
        <v>3553.55</v>
      </c>
      <c r="M301" s="51">
        <v>3106.9</v>
      </c>
      <c r="N301" s="52">
        <v>882.21</v>
      </c>
    </row>
    <row r="302" spans="2:14" hidden="1" outlineLevel="2" x14ac:dyDescent="0.3">
      <c r="B302" s="48">
        <v>44626</v>
      </c>
      <c r="C302" s="51">
        <v>16630.45</v>
      </c>
      <c r="D302" s="51">
        <v>35348.699999999997</v>
      </c>
      <c r="E302" s="51">
        <v>3456.32</v>
      </c>
      <c r="F302" s="51">
        <v>1811.79</v>
      </c>
      <c r="G302" s="51">
        <v>1189.45</v>
      </c>
      <c r="H302" s="51">
        <v>293.10000000000002</v>
      </c>
      <c r="I302" s="51">
        <v>1440.45</v>
      </c>
      <c r="J302" s="51">
        <v>6224.2</v>
      </c>
      <c r="K302" s="51">
        <v>2174.7399999999998</v>
      </c>
      <c r="L302" s="51">
        <v>3468.55</v>
      </c>
      <c r="M302" s="51">
        <v>3285.9</v>
      </c>
      <c r="N302" s="52">
        <v>859.66</v>
      </c>
    </row>
    <row r="303" spans="2:14" hidden="1" outlineLevel="2" x14ac:dyDescent="0.3">
      <c r="B303" s="48">
        <v>44619</v>
      </c>
      <c r="C303" s="51">
        <v>16245.35</v>
      </c>
      <c r="D303" s="51">
        <v>34177.699999999997</v>
      </c>
      <c r="E303" s="51">
        <v>3384.49</v>
      </c>
      <c r="F303" s="51">
        <v>1713.64</v>
      </c>
      <c r="G303" s="51">
        <v>1134.6400000000001</v>
      </c>
      <c r="H303" s="51">
        <v>287.64999999999998</v>
      </c>
      <c r="I303" s="51">
        <v>1408.28</v>
      </c>
      <c r="J303" s="51">
        <v>6108.65</v>
      </c>
      <c r="K303" s="51">
        <v>2031.81</v>
      </c>
      <c r="L303" s="51">
        <v>3346.1</v>
      </c>
      <c r="M303" s="51">
        <v>3187.15</v>
      </c>
      <c r="N303" s="52">
        <v>932.49</v>
      </c>
    </row>
    <row r="304" spans="2:14" hidden="1" outlineLevel="2" x14ac:dyDescent="0.3">
      <c r="B304" s="48">
        <v>44612</v>
      </c>
      <c r="C304" s="51">
        <v>16658.400000000001</v>
      </c>
      <c r="D304" s="51">
        <v>33476.949999999997</v>
      </c>
      <c r="E304" s="51">
        <v>3381.04</v>
      </c>
      <c r="F304" s="51">
        <v>1685.1</v>
      </c>
      <c r="G304" s="51">
        <v>1125.92</v>
      </c>
      <c r="H304" s="51">
        <v>277.63</v>
      </c>
      <c r="I304" s="51">
        <v>1346.37</v>
      </c>
      <c r="J304" s="51">
        <v>5715.3</v>
      </c>
      <c r="K304" s="51">
        <v>1932.75</v>
      </c>
      <c r="L304" s="51">
        <v>3409.3</v>
      </c>
      <c r="M304" s="51">
        <v>3050.4</v>
      </c>
      <c r="N304" s="52">
        <v>900.38</v>
      </c>
    </row>
    <row r="305" spans="2:14" hidden="1" outlineLevel="2" x14ac:dyDescent="0.3">
      <c r="B305" s="48">
        <v>44605</v>
      </c>
      <c r="C305" s="51">
        <v>17276.3</v>
      </c>
      <c r="D305" s="51">
        <v>34483.1</v>
      </c>
      <c r="E305" s="51">
        <v>3643.35</v>
      </c>
      <c r="F305" s="51">
        <v>1697.38</v>
      </c>
      <c r="G305" s="51">
        <v>1161.0999999999999</v>
      </c>
      <c r="H305" s="51">
        <v>281.23</v>
      </c>
      <c r="I305" s="51">
        <v>1393.12</v>
      </c>
      <c r="J305" s="51">
        <v>5860.65</v>
      </c>
      <c r="K305" s="51">
        <v>1925.14</v>
      </c>
      <c r="L305" s="51">
        <v>3602.45</v>
      </c>
      <c r="M305" s="51">
        <v>3021.95</v>
      </c>
      <c r="N305" s="52">
        <v>864.09</v>
      </c>
    </row>
    <row r="306" spans="2:14" hidden="1" outlineLevel="2" x14ac:dyDescent="0.3">
      <c r="B306" s="48">
        <v>44598</v>
      </c>
      <c r="C306" s="51">
        <v>17374.75</v>
      </c>
      <c r="D306" s="51">
        <v>34379.050000000003</v>
      </c>
      <c r="E306" s="51">
        <v>3548.32</v>
      </c>
      <c r="F306" s="51">
        <v>1711.7</v>
      </c>
      <c r="G306" s="51">
        <v>1159.8</v>
      </c>
      <c r="H306" s="51">
        <v>280.73</v>
      </c>
      <c r="I306" s="51">
        <v>1380.48</v>
      </c>
      <c r="J306" s="51">
        <v>5999.85</v>
      </c>
      <c r="K306" s="51">
        <v>2093.71</v>
      </c>
      <c r="L306" s="51">
        <v>3671.85</v>
      </c>
      <c r="M306" s="51">
        <v>3001.55</v>
      </c>
      <c r="N306" s="52">
        <v>908.32</v>
      </c>
    </row>
    <row r="307" spans="2:14" hidden="1" outlineLevel="2" x14ac:dyDescent="0.3">
      <c r="B307" s="48">
        <v>44591</v>
      </c>
      <c r="C307" s="51">
        <v>17516.3</v>
      </c>
      <c r="D307" s="51">
        <v>35080.1</v>
      </c>
      <c r="E307" s="51">
        <v>3663.51</v>
      </c>
      <c r="F307" s="51">
        <v>1731.34</v>
      </c>
      <c r="G307" s="51">
        <v>1159.9000000000001</v>
      </c>
      <c r="H307" s="51">
        <v>285.88</v>
      </c>
      <c r="I307" s="51">
        <v>1403.05</v>
      </c>
      <c r="J307" s="51">
        <v>6282</v>
      </c>
      <c r="K307" s="51">
        <v>2143.6</v>
      </c>
      <c r="L307" s="51">
        <v>3625.25</v>
      </c>
      <c r="M307" s="51">
        <v>3051.85</v>
      </c>
      <c r="N307" s="52">
        <v>939.02</v>
      </c>
    </row>
    <row r="308" spans="2:14" hidden="1" outlineLevel="2" x14ac:dyDescent="0.3">
      <c r="B308" s="48">
        <v>44584</v>
      </c>
      <c r="C308" s="51">
        <v>17101.95</v>
      </c>
      <c r="D308" s="51">
        <v>33851.949999999997</v>
      </c>
      <c r="E308" s="51">
        <v>3543.62</v>
      </c>
      <c r="F308" s="51">
        <v>1676.75</v>
      </c>
      <c r="G308" s="51">
        <v>1076.83</v>
      </c>
      <c r="H308" s="51">
        <v>276.08</v>
      </c>
      <c r="I308" s="51">
        <v>1366.67</v>
      </c>
      <c r="J308" s="51">
        <v>5911.55</v>
      </c>
      <c r="K308" s="51">
        <v>2138.9899999999998</v>
      </c>
      <c r="L308" s="51">
        <v>3414.2</v>
      </c>
      <c r="M308" s="51">
        <v>3039.3</v>
      </c>
      <c r="N308" s="52">
        <v>942.65</v>
      </c>
    </row>
    <row r="309" spans="2:14" hidden="1" outlineLevel="2" x14ac:dyDescent="0.3">
      <c r="B309" s="48">
        <v>44577</v>
      </c>
      <c r="C309" s="51">
        <v>17617.150000000001</v>
      </c>
      <c r="D309" s="51">
        <v>36054.6</v>
      </c>
      <c r="E309" s="51">
        <v>3681.38</v>
      </c>
      <c r="F309" s="51">
        <v>1775.69</v>
      </c>
      <c r="G309" s="51">
        <v>1164.04</v>
      </c>
      <c r="H309" s="51">
        <v>302.52</v>
      </c>
      <c r="I309" s="51">
        <v>1543.87</v>
      </c>
      <c r="J309" s="51">
        <v>6393.8</v>
      </c>
      <c r="K309" s="51">
        <v>2146.27</v>
      </c>
      <c r="L309" s="51">
        <v>3674.15</v>
      </c>
      <c r="M309" s="51">
        <v>3024.6</v>
      </c>
      <c r="N309" s="52">
        <v>1040.07</v>
      </c>
    </row>
    <row r="310" spans="2:14" hidden="1" outlineLevel="2" x14ac:dyDescent="0.3">
      <c r="B310" s="48">
        <v>44570</v>
      </c>
      <c r="C310" s="51">
        <v>18255.75</v>
      </c>
      <c r="D310" s="51">
        <v>38826.85</v>
      </c>
      <c r="E310" s="51">
        <v>3810.68</v>
      </c>
      <c r="F310" s="51">
        <v>1918.54</v>
      </c>
      <c r="G310" s="51">
        <v>1332.72</v>
      </c>
      <c r="H310" s="51">
        <v>319.89999999999998</v>
      </c>
      <c r="I310" s="51">
        <v>1683.57</v>
      </c>
      <c r="J310" s="51">
        <v>7078.35</v>
      </c>
      <c r="K310" s="51">
        <v>2218.09</v>
      </c>
      <c r="L310" s="51">
        <v>4098</v>
      </c>
      <c r="M310" s="51">
        <v>3263.7</v>
      </c>
      <c r="N310" s="52">
        <v>1137.71</v>
      </c>
    </row>
    <row r="311" spans="2:14" hidden="1" outlineLevel="2" x14ac:dyDescent="0.3">
      <c r="B311" s="48">
        <v>44563</v>
      </c>
      <c r="C311" s="51">
        <v>17812.7</v>
      </c>
      <c r="D311" s="51">
        <v>38139.85</v>
      </c>
      <c r="E311" s="51">
        <v>3700.58</v>
      </c>
      <c r="F311" s="51">
        <v>1804.13</v>
      </c>
      <c r="G311" s="51">
        <v>1286.23</v>
      </c>
      <c r="H311" s="51">
        <v>355.75</v>
      </c>
      <c r="I311" s="51">
        <v>1650.73</v>
      </c>
      <c r="J311" s="51">
        <v>7205.45</v>
      </c>
      <c r="K311" s="51">
        <v>2267.7600000000002</v>
      </c>
      <c r="L311" s="51">
        <v>4000.3</v>
      </c>
      <c r="M311" s="51">
        <v>3240.2</v>
      </c>
      <c r="N311" s="52">
        <v>1151.24</v>
      </c>
    </row>
    <row r="312" spans="2:14" hidden="1" outlineLevel="2" x14ac:dyDescent="0.3">
      <c r="B312" s="48">
        <v>44556</v>
      </c>
      <c r="C312" s="51">
        <v>17354.05</v>
      </c>
      <c r="D312" s="51">
        <v>38701.050000000003</v>
      </c>
      <c r="E312" s="51">
        <v>3590</v>
      </c>
      <c r="F312" s="51">
        <v>1877.17</v>
      </c>
      <c r="G312" s="51">
        <v>1314.68</v>
      </c>
      <c r="H312" s="51">
        <v>357.67</v>
      </c>
      <c r="I312" s="51">
        <v>1734.73</v>
      </c>
      <c r="J312" s="51">
        <v>7332</v>
      </c>
      <c r="K312" s="51">
        <v>2447.0100000000002</v>
      </c>
      <c r="L312" s="51">
        <v>3961.2</v>
      </c>
      <c r="M312" s="51">
        <v>3396.7</v>
      </c>
      <c r="N312" s="52">
        <v>1178.07</v>
      </c>
    </row>
    <row r="313" spans="2:14" hidden="1" outlineLevel="2" x14ac:dyDescent="0.3">
      <c r="B313" s="48">
        <v>44549</v>
      </c>
      <c r="C313" s="51">
        <v>17003.75</v>
      </c>
      <c r="D313" s="51">
        <v>37727.800000000003</v>
      </c>
      <c r="E313" s="51">
        <v>3525.23</v>
      </c>
      <c r="F313" s="51">
        <v>1853.06</v>
      </c>
      <c r="G313" s="51">
        <v>1260.96</v>
      </c>
      <c r="H313" s="51">
        <v>349.23</v>
      </c>
      <c r="I313" s="51">
        <v>1670.06</v>
      </c>
      <c r="J313" s="51">
        <v>7166.55</v>
      </c>
      <c r="K313" s="51">
        <v>2304.16</v>
      </c>
      <c r="L313" s="51">
        <v>3905.65</v>
      </c>
      <c r="M313" s="51">
        <v>3218</v>
      </c>
      <c r="N313" s="52">
        <v>1129.1199999999999</v>
      </c>
    </row>
    <row r="314" spans="2:14" hidden="1" outlineLevel="2" x14ac:dyDescent="0.3">
      <c r="B314" s="48">
        <v>44542</v>
      </c>
      <c r="C314" s="51">
        <v>16985.2</v>
      </c>
      <c r="D314" s="51">
        <v>36647.9</v>
      </c>
      <c r="E314" s="51">
        <v>3442.11</v>
      </c>
      <c r="F314" s="51">
        <v>1810.65</v>
      </c>
      <c r="G314" s="51">
        <v>1167.48</v>
      </c>
      <c r="H314" s="51">
        <v>335.4</v>
      </c>
      <c r="I314" s="51">
        <v>1591.63</v>
      </c>
      <c r="J314" s="51">
        <v>6978.3</v>
      </c>
      <c r="K314" s="51">
        <v>2315.19</v>
      </c>
      <c r="L314" s="51">
        <v>4131.75</v>
      </c>
      <c r="M314" s="51">
        <v>3263.15</v>
      </c>
      <c r="N314" s="52">
        <v>1078.5899999999999</v>
      </c>
    </row>
    <row r="315" spans="2:14" hidden="1" outlineLevel="2" x14ac:dyDescent="0.3">
      <c r="B315" s="48">
        <v>44535</v>
      </c>
      <c r="C315" s="51">
        <v>17511.3</v>
      </c>
      <c r="D315" s="51">
        <v>35939.599999999999</v>
      </c>
      <c r="E315" s="51">
        <v>3492.48</v>
      </c>
      <c r="F315" s="51">
        <v>1749.39</v>
      </c>
      <c r="G315" s="51">
        <v>1158.31</v>
      </c>
      <c r="H315" s="51">
        <v>319.13</v>
      </c>
      <c r="I315" s="51">
        <v>1552.68</v>
      </c>
      <c r="J315" s="51">
        <v>6613.2</v>
      </c>
      <c r="K315" s="51">
        <v>2164.23</v>
      </c>
      <c r="L315" s="51">
        <v>4307.3999999999996</v>
      </c>
      <c r="M315" s="51">
        <v>3133.9</v>
      </c>
      <c r="N315" s="52">
        <v>1063.07</v>
      </c>
    </row>
    <row r="316" spans="2:14" hidden="1" outlineLevel="2" x14ac:dyDescent="0.3">
      <c r="B316" s="48">
        <v>44528</v>
      </c>
      <c r="C316" s="51">
        <v>17196.7</v>
      </c>
      <c r="D316" s="51">
        <v>35848.050000000003</v>
      </c>
      <c r="E316" s="51">
        <v>3495.99</v>
      </c>
      <c r="F316" s="51">
        <v>1725.82</v>
      </c>
      <c r="G316" s="51">
        <v>1167.48</v>
      </c>
      <c r="H316" s="51">
        <v>320.38</v>
      </c>
      <c r="I316" s="51">
        <v>1543.63</v>
      </c>
      <c r="J316" s="51">
        <v>6848.85</v>
      </c>
      <c r="K316" s="51">
        <v>2163.56</v>
      </c>
      <c r="L316" s="51">
        <v>4158.05</v>
      </c>
      <c r="M316" s="51">
        <v>3086.85</v>
      </c>
      <c r="N316" s="52">
        <v>1070.03</v>
      </c>
    </row>
    <row r="317" spans="2:14" hidden="1" outlineLevel="2" x14ac:dyDescent="0.3">
      <c r="B317" s="48">
        <v>44521</v>
      </c>
      <c r="C317" s="51">
        <v>17026.45</v>
      </c>
      <c r="D317" s="51">
        <v>34606.15</v>
      </c>
      <c r="E317" s="51">
        <v>3310.07</v>
      </c>
      <c r="F317" s="51">
        <v>1682.17</v>
      </c>
      <c r="G317" s="51">
        <v>1106.33</v>
      </c>
      <c r="H317" s="51">
        <v>310.73</v>
      </c>
      <c r="I317" s="51">
        <v>1479.78</v>
      </c>
      <c r="J317" s="51">
        <v>6648.3</v>
      </c>
      <c r="K317" s="51">
        <v>1950.43</v>
      </c>
      <c r="L317" s="51">
        <v>4181.8</v>
      </c>
      <c r="M317" s="51">
        <v>3059.2</v>
      </c>
      <c r="N317" s="52">
        <v>1053.53</v>
      </c>
    </row>
    <row r="318" spans="2:14" hidden="1" outlineLevel="2" x14ac:dyDescent="0.3">
      <c r="B318" s="48">
        <v>44514</v>
      </c>
      <c r="C318" s="51">
        <v>17764.8</v>
      </c>
      <c r="D318" s="51">
        <v>36007</v>
      </c>
      <c r="E318" s="51">
        <v>3337.77</v>
      </c>
      <c r="F318" s="51">
        <v>1769.43</v>
      </c>
      <c r="G318" s="51">
        <v>1116.45</v>
      </c>
      <c r="H318" s="51">
        <v>325.73</v>
      </c>
      <c r="I318" s="51">
        <v>1518.87</v>
      </c>
      <c r="J318" s="51">
        <v>7147.65</v>
      </c>
      <c r="K318" s="51">
        <v>2076.34</v>
      </c>
      <c r="L318" s="51">
        <v>4375.7</v>
      </c>
      <c r="M318" s="51">
        <v>3339.15</v>
      </c>
      <c r="N318" s="52">
        <v>1114.42</v>
      </c>
    </row>
    <row r="319" spans="2:14" hidden="1" outlineLevel="2" x14ac:dyDescent="0.3">
      <c r="B319" s="48">
        <v>44507</v>
      </c>
      <c r="C319" s="51">
        <v>18102.75</v>
      </c>
      <c r="D319" s="51">
        <v>36332.300000000003</v>
      </c>
      <c r="E319" s="51">
        <v>3386.13</v>
      </c>
      <c r="F319" s="51">
        <v>1770.22</v>
      </c>
      <c r="G319" s="51">
        <v>1168.43</v>
      </c>
      <c r="H319" s="51">
        <v>330.02</v>
      </c>
      <c r="I319" s="51">
        <v>1535.58</v>
      </c>
      <c r="J319" s="51">
        <v>7243.25</v>
      </c>
      <c r="K319" s="51">
        <v>2069.11</v>
      </c>
      <c r="L319" s="51">
        <v>4450.3</v>
      </c>
      <c r="M319" s="51">
        <v>3353.4</v>
      </c>
      <c r="N319" s="52">
        <v>1083.5999999999999</v>
      </c>
    </row>
    <row r="320" spans="2:14" hidden="1" outlineLevel="2" x14ac:dyDescent="0.3">
      <c r="B320" s="48">
        <v>44500</v>
      </c>
      <c r="C320" s="51">
        <v>17916.8</v>
      </c>
      <c r="D320" s="51">
        <v>35334.25</v>
      </c>
      <c r="E320" s="51">
        <v>3369.42</v>
      </c>
      <c r="F320" s="51">
        <v>1699.12</v>
      </c>
      <c r="G320" s="51">
        <v>1179.1400000000001</v>
      </c>
      <c r="H320" s="51">
        <v>326.85000000000002</v>
      </c>
      <c r="I320" s="51">
        <v>1458.9</v>
      </c>
      <c r="J320" s="51">
        <v>6765</v>
      </c>
      <c r="K320" s="51">
        <v>2020.41</v>
      </c>
      <c r="L320" s="51">
        <v>4427.05</v>
      </c>
      <c r="M320" s="51">
        <v>3316.6</v>
      </c>
      <c r="N320" s="52">
        <v>1016.28</v>
      </c>
    </row>
    <row r="321" spans="2:14" hidden="1" outlineLevel="2" x14ac:dyDescent="0.3">
      <c r="B321" s="48">
        <v>44493</v>
      </c>
      <c r="C321" s="51">
        <v>17671.650000000001</v>
      </c>
      <c r="D321" s="51">
        <v>34408.75</v>
      </c>
      <c r="E321" s="51">
        <v>3262.92</v>
      </c>
      <c r="F321" s="51">
        <v>1658.4</v>
      </c>
      <c r="G321" s="51">
        <v>1139.92</v>
      </c>
      <c r="H321" s="51">
        <v>323.38</v>
      </c>
      <c r="I321" s="51">
        <v>1417.67</v>
      </c>
      <c r="J321" s="51">
        <v>6682.3</v>
      </c>
      <c r="K321" s="51">
        <v>1957.72</v>
      </c>
      <c r="L321" s="51">
        <v>4424.5</v>
      </c>
      <c r="M321" s="51">
        <v>3235.8</v>
      </c>
      <c r="N321" s="52">
        <v>974.09</v>
      </c>
    </row>
    <row r="322" spans="2:14" hidden="1" outlineLevel="2" x14ac:dyDescent="0.3">
      <c r="B322" s="48">
        <v>44486</v>
      </c>
      <c r="C322" s="51">
        <v>18114.900000000001</v>
      </c>
      <c r="D322" s="51">
        <v>35394.65</v>
      </c>
      <c r="E322" s="51">
        <v>3360</v>
      </c>
      <c r="F322" s="51">
        <v>1710.16</v>
      </c>
      <c r="G322" s="51">
        <v>1190</v>
      </c>
      <c r="H322" s="51">
        <v>341.2</v>
      </c>
      <c r="I322" s="51">
        <v>1455.65</v>
      </c>
      <c r="J322" s="51">
        <v>6543.5</v>
      </c>
      <c r="K322" s="51">
        <v>1931.87</v>
      </c>
      <c r="L322" s="51">
        <v>4548.8</v>
      </c>
      <c r="M322" s="51">
        <v>3254.7</v>
      </c>
      <c r="N322" s="52">
        <v>1079.5</v>
      </c>
    </row>
    <row r="323" spans="2:14" hidden="1" outlineLevel="2" x14ac:dyDescent="0.3">
      <c r="B323" s="48">
        <v>44479</v>
      </c>
      <c r="C323" s="51">
        <v>18338.55</v>
      </c>
      <c r="D323" s="51">
        <v>35744.85</v>
      </c>
      <c r="E323" s="51">
        <v>3468.14</v>
      </c>
      <c r="F323" s="51">
        <v>1706.14</v>
      </c>
      <c r="G323" s="51">
        <v>1246.96</v>
      </c>
      <c r="H323" s="51">
        <v>354.13</v>
      </c>
      <c r="I323" s="51">
        <v>1372.53</v>
      </c>
      <c r="J323" s="51">
        <v>6098.9</v>
      </c>
      <c r="K323" s="51">
        <v>2101.56</v>
      </c>
      <c r="L323" s="51">
        <v>4777.7</v>
      </c>
      <c r="M323" s="51">
        <v>3266.6</v>
      </c>
      <c r="N323" s="52">
        <v>1120.82</v>
      </c>
    </row>
    <row r="324" spans="2:14" hidden="1" outlineLevel="2" x14ac:dyDescent="0.3">
      <c r="B324" s="48">
        <v>44472</v>
      </c>
      <c r="C324" s="51">
        <v>17895.2</v>
      </c>
      <c r="D324" s="51">
        <v>36402</v>
      </c>
      <c r="E324" s="51">
        <v>3779.47</v>
      </c>
      <c r="F324" s="51">
        <v>1714.19</v>
      </c>
      <c r="G324" s="51">
        <v>1317.72</v>
      </c>
      <c r="H324" s="51">
        <v>330.58</v>
      </c>
      <c r="I324" s="51">
        <v>1381.31</v>
      </c>
      <c r="J324" s="51">
        <v>5983.55</v>
      </c>
      <c r="K324" s="51">
        <v>2002.03</v>
      </c>
      <c r="L324" s="51">
        <v>4789.6499999999996</v>
      </c>
      <c r="M324" s="51">
        <v>3247.65</v>
      </c>
      <c r="N324" s="52">
        <v>1129.17</v>
      </c>
    </row>
    <row r="325" spans="2:14" hidden="1" outlineLevel="2" x14ac:dyDescent="0.3">
      <c r="B325" s="48">
        <v>44465</v>
      </c>
      <c r="C325" s="51">
        <v>17532.05</v>
      </c>
      <c r="D325" s="51">
        <v>34780.6</v>
      </c>
      <c r="E325" s="51">
        <v>3582.18</v>
      </c>
      <c r="F325" s="51">
        <v>1655.82</v>
      </c>
      <c r="G325" s="51">
        <v>1269.48</v>
      </c>
      <c r="H325" s="51">
        <v>318.13</v>
      </c>
      <c r="I325" s="51">
        <v>1315.41</v>
      </c>
      <c r="J325" s="51">
        <v>5750.8</v>
      </c>
      <c r="K325" s="51">
        <v>1817.79</v>
      </c>
      <c r="L325" s="51">
        <v>4512.25</v>
      </c>
      <c r="M325" s="51">
        <v>3026.25</v>
      </c>
      <c r="N325" s="52">
        <v>1055.9000000000001</v>
      </c>
    </row>
    <row r="326" spans="2:14" hidden="1" outlineLevel="2" x14ac:dyDescent="0.3">
      <c r="B326" s="48">
        <v>44458</v>
      </c>
      <c r="C326" s="51">
        <v>17853.2</v>
      </c>
      <c r="D326" s="51">
        <v>37103.25</v>
      </c>
      <c r="E326" s="51">
        <v>3717.68</v>
      </c>
      <c r="F326" s="51">
        <v>1753.96</v>
      </c>
      <c r="G326" s="51">
        <v>1353.65</v>
      </c>
      <c r="H326" s="51">
        <v>338.25</v>
      </c>
      <c r="I326" s="51">
        <v>1453.06</v>
      </c>
      <c r="J326" s="51">
        <v>6231.35</v>
      </c>
      <c r="K326" s="51">
        <v>1873.25</v>
      </c>
      <c r="L326" s="51">
        <v>4710.3999999999996</v>
      </c>
      <c r="M326" s="51">
        <v>3342.35</v>
      </c>
      <c r="N326" s="52">
        <v>1129.8</v>
      </c>
    </row>
    <row r="327" spans="2:14" hidden="1" outlineLevel="2" x14ac:dyDescent="0.3">
      <c r="B327" s="48">
        <v>44451</v>
      </c>
      <c r="C327" s="51">
        <v>17585.150000000001</v>
      </c>
      <c r="D327" s="51">
        <v>35646.5</v>
      </c>
      <c r="E327" s="51">
        <v>3675.95</v>
      </c>
      <c r="F327" s="51">
        <v>1681.82</v>
      </c>
      <c r="G327" s="51">
        <v>1259.07</v>
      </c>
      <c r="H327" s="51">
        <v>332.63</v>
      </c>
      <c r="I327" s="51">
        <v>1392.44</v>
      </c>
      <c r="J327" s="51">
        <v>5715.25</v>
      </c>
      <c r="K327" s="51">
        <v>1765.27</v>
      </c>
      <c r="L327" s="51">
        <v>4790.8</v>
      </c>
      <c r="M327" s="51">
        <v>3194.1</v>
      </c>
      <c r="N327" s="52">
        <v>1088.94</v>
      </c>
    </row>
    <row r="328" spans="2:14" hidden="1" outlineLevel="2" x14ac:dyDescent="0.3">
      <c r="B328" s="48">
        <v>44444</v>
      </c>
      <c r="C328" s="51">
        <v>17369.25</v>
      </c>
      <c r="D328" s="51">
        <v>34802.300000000003</v>
      </c>
      <c r="E328" s="51">
        <v>3640.95</v>
      </c>
      <c r="F328" s="51">
        <v>1682.12</v>
      </c>
      <c r="G328" s="51">
        <v>1194.54</v>
      </c>
      <c r="H328" s="51">
        <v>331.17</v>
      </c>
      <c r="I328" s="51">
        <v>1374.88</v>
      </c>
      <c r="J328" s="51">
        <v>5434.55</v>
      </c>
      <c r="K328" s="51">
        <v>1744.07</v>
      </c>
      <c r="L328" s="51">
        <v>4767.55</v>
      </c>
      <c r="M328" s="51">
        <v>2966.55</v>
      </c>
      <c r="N328" s="52">
        <v>1022.99</v>
      </c>
    </row>
    <row r="329" spans="2:14" hidden="1" outlineLevel="2" x14ac:dyDescent="0.3">
      <c r="B329" s="48">
        <v>44437</v>
      </c>
      <c r="C329" s="51">
        <v>17323.599999999999</v>
      </c>
      <c r="D329" s="51">
        <v>34891.199999999997</v>
      </c>
      <c r="E329" s="51">
        <v>3689.59</v>
      </c>
      <c r="F329" s="51">
        <v>1691.12</v>
      </c>
      <c r="G329" s="51">
        <v>1170.82</v>
      </c>
      <c r="H329" s="51">
        <v>327.55</v>
      </c>
      <c r="I329" s="51">
        <v>1383.23</v>
      </c>
      <c r="J329" s="51">
        <v>5461.25</v>
      </c>
      <c r="K329" s="51">
        <v>1717.05</v>
      </c>
      <c r="L329" s="51">
        <v>4749</v>
      </c>
      <c r="M329" s="51">
        <v>2925.62</v>
      </c>
      <c r="N329" s="52">
        <v>1048.6500000000001</v>
      </c>
    </row>
    <row r="330" spans="2:14" hidden="1" outlineLevel="2" x14ac:dyDescent="0.3">
      <c r="B330" s="48">
        <v>44430</v>
      </c>
      <c r="C330" s="51">
        <v>16705.2</v>
      </c>
      <c r="D330" s="51">
        <v>34309.800000000003</v>
      </c>
      <c r="E330" s="51">
        <v>3572.52</v>
      </c>
      <c r="F330" s="51">
        <v>1699.22</v>
      </c>
      <c r="G330" s="51">
        <v>1159.06</v>
      </c>
      <c r="H330" s="51">
        <v>317.48</v>
      </c>
      <c r="I330" s="51">
        <v>1386.54</v>
      </c>
      <c r="J330" s="51">
        <v>5233.6000000000004</v>
      </c>
      <c r="K330" s="51">
        <v>1623.32</v>
      </c>
      <c r="L330" s="51">
        <v>4763.55</v>
      </c>
      <c r="M330" s="51">
        <v>2868.69</v>
      </c>
      <c r="N330" s="52">
        <v>1015.4</v>
      </c>
    </row>
    <row r="331" spans="2:14" hidden="1" outlineLevel="2" x14ac:dyDescent="0.3">
      <c r="B331" s="48">
        <v>44423</v>
      </c>
      <c r="C331" s="51">
        <v>16450.5</v>
      </c>
      <c r="D331" s="51">
        <v>33351.35</v>
      </c>
      <c r="E331" s="51">
        <v>3418.25</v>
      </c>
      <c r="F331" s="51">
        <v>1723.24</v>
      </c>
      <c r="G331" s="51">
        <v>1113.6099999999999</v>
      </c>
      <c r="H331" s="51">
        <v>310.02</v>
      </c>
      <c r="I331" s="51">
        <v>1342.22</v>
      </c>
      <c r="J331" s="51">
        <v>4918.25</v>
      </c>
      <c r="K331" s="51">
        <v>1587.5</v>
      </c>
      <c r="L331" s="51">
        <v>4438.95</v>
      </c>
      <c r="M331" s="51">
        <v>2822.31</v>
      </c>
      <c r="N331" s="52">
        <v>981.34</v>
      </c>
    </row>
    <row r="332" spans="2:14" hidden="1" outlineLevel="2" x14ac:dyDescent="0.3">
      <c r="B332" s="48">
        <v>44416</v>
      </c>
      <c r="C332" s="51">
        <v>16529.099999999999</v>
      </c>
      <c r="D332" s="51">
        <v>32678.799999999999</v>
      </c>
      <c r="E332" s="51">
        <v>3325.96</v>
      </c>
      <c r="F332" s="51">
        <v>1702.6</v>
      </c>
      <c r="G332" s="51">
        <v>1115.7</v>
      </c>
      <c r="H332" s="51">
        <v>307.75</v>
      </c>
      <c r="I332" s="51">
        <v>1326.82</v>
      </c>
      <c r="J332" s="51">
        <v>4862.5</v>
      </c>
      <c r="K332" s="51">
        <v>1558.94</v>
      </c>
      <c r="L332" s="51">
        <v>4618.45</v>
      </c>
      <c r="M332" s="51">
        <v>2729.01</v>
      </c>
      <c r="N332" s="52">
        <v>962.29</v>
      </c>
    </row>
    <row r="333" spans="2:14" hidden="1" outlineLevel="2" x14ac:dyDescent="0.3">
      <c r="B333" s="48">
        <v>44409</v>
      </c>
      <c r="C333" s="51">
        <v>16238.2</v>
      </c>
      <c r="D333" s="51">
        <v>31303.3</v>
      </c>
      <c r="E333" s="51">
        <v>3178.46</v>
      </c>
      <c r="F333" s="51">
        <v>1640.95</v>
      </c>
      <c r="G333" s="51">
        <v>1046.44</v>
      </c>
      <c r="H333" s="51">
        <v>299</v>
      </c>
      <c r="I333" s="51">
        <v>1213.0999999999999</v>
      </c>
      <c r="J333" s="51">
        <v>4762.55</v>
      </c>
      <c r="K333" s="51">
        <v>1555.92</v>
      </c>
      <c r="L333" s="51">
        <v>4419.8</v>
      </c>
      <c r="M333" s="51">
        <v>2670.35</v>
      </c>
      <c r="N333" s="52">
        <v>957.93</v>
      </c>
    </row>
    <row r="334" spans="2:14" hidden="1" outlineLevel="2" x14ac:dyDescent="0.3">
      <c r="B334" s="48">
        <v>44402</v>
      </c>
      <c r="C334" s="51">
        <v>15763.05</v>
      </c>
      <c r="D334" s="51">
        <v>30480.05</v>
      </c>
      <c r="E334" s="51">
        <v>3041.76</v>
      </c>
      <c r="F334" s="51">
        <v>1601.47</v>
      </c>
      <c r="G334" s="51">
        <v>1021.52</v>
      </c>
      <c r="H334" s="51">
        <v>293.58</v>
      </c>
      <c r="I334" s="51">
        <v>1160.29</v>
      </c>
      <c r="J334" s="51">
        <v>4684.3500000000004</v>
      </c>
      <c r="K334" s="51">
        <v>1568.29</v>
      </c>
      <c r="L334" s="51">
        <v>4315.45</v>
      </c>
      <c r="M334" s="51">
        <v>2576.3000000000002</v>
      </c>
      <c r="N334" s="52">
        <v>1016.78</v>
      </c>
    </row>
    <row r="335" spans="2:14" hidden="1" outlineLevel="2" x14ac:dyDescent="0.3">
      <c r="B335" s="48">
        <v>44395</v>
      </c>
      <c r="C335" s="51">
        <v>15856.05</v>
      </c>
      <c r="D335" s="51">
        <v>29894.3</v>
      </c>
      <c r="E335" s="51">
        <v>3085.35</v>
      </c>
      <c r="F335" s="51">
        <v>1581.54</v>
      </c>
      <c r="G335" s="51">
        <v>990.67</v>
      </c>
      <c r="H335" s="51">
        <v>299.58</v>
      </c>
      <c r="I335" s="51">
        <v>1084.94</v>
      </c>
      <c r="J335" s="51">
        <v>4351.8</v>
      </c>
      <c r="K335" s="51">
        <v>1516.38</v>
      </c>
      <c r="L335" s="51">
        <v>4012.1</v>
      </c>
      <c r="M335" s="51">
        <v>2507.33</v>
      </c>
      <c r="N335" s="52">
        <v>937.69</v>
      </c>
    </row>
    <row r="336" spans="2:14" hidden="1" outlineLevel="2" x14ac:dyDescent="0.3">
      <c r="B336" s="48">
        <v>44388</v>
      </c>
      <c r="C336" s="51">
        <v>15923.4</v>
      </c>
      <c r="D336" s="51">
        <v>29400.25</v>
      </c>
      <c r="E336" s="51">
        <v>3068.02</v>
      </c>
      <c r="F336" s="51">
        <v>1546.73</v>
      </c>
      <c r="G336" s="51">
        <v>1001.64</v>
      </c>
      <c r="H336" s="51">
        <v>288.88</v>
      </c>
      <c r="I336" s="51">
        <v>1044.4100000000001</v>
      </c>
      <c r="J336" s="51">
        <v>4279.3599999999997</v>
      </c>
      <c r="K336" s="51">
        <v>1417.86</v>
      </c>
      <c r="L336" s="51">
        <v>4019.4</v>
      </c>
      <c r="M336" s="51">
        <v>2368.64</v>
      </c>
      <c r="N336" s="52">
        <v>909.55</v>
      </c>
    </row>
    <row r="337" spans="2:14" hidden="1" outlineLevel="2" x14ac:dyDescent="0.3">
      <c r="B337" s="48">
        <v>44381</v>
      </c>
      <c r="C337" s="51">
        <v>15689.8</v>
      </c>
      <c r="D337" s="51">
        <v>28662.2</v>
      </c>
      <c r="E337" s="51">
        <v>3080.84</v>
      </c>
      <c r="F337" s="51">
        <v>1554.14</v>
      </c>
      <c r="G337" s="51">
        <v>973.58</v>
      </c>
      <c r="H337" s="51">
        <v>262.89999999999998</v>
      </c>
      <c r="I337" s="51">
        <v>995.74</v>
      </c>
      <c r="J337" s="51">
        <v>4045.36</v>
      </c>
      <c r="K337" s="51">
        <v>1384.63</v>
      </c>
      <c r="L337" s="51">
        <v>3943.95</v>
      </c>
      <c r="M337" s="51">
        <v>2209.19</v>
      </c>
      <c r="N337" s="52">
        <v>871.31</v>
      </c>
    </row>
    <row r="338" spans="2:14" hidden="1" outlineLevel="2" x14ac:dyDescent="0.3">
      <c r="B338" s="48">
        <v>44374</v>
      </c>
      <c r="C338" s="51">
        <v>15722.2</v>
      </c>
      <c r="D338" s="51">
        <v>29007.95</v>
      </c>
      <c r="E338" s="51">
        <v>3193.49</v>
      </c>
      <c r="F338" s="51">
        <v>1559.01</v>
      </c>
      <c r="G338" s="51">
        <v>981.35</v>
      </c>
      <c r="H338" s="51">
        <v>269.3</v>
      </c>
      <c r="I338" s="51">
        <v>1031.3900000000001</v>
      </c>
      <c r="J338" s="51">
        <v>4034.14</v>
      </c>
      <c r="K338" s="51">
        <v>1461.67</v>
      </c>
      <c r="L338" s="51">
        <v>3624.3</v>
      </c>
      <c r="M338" s="51">
        <v>2135.5100000000002</v>
      </c>
      <c r="N338" s="52">
        <v>839.39</v>
      </c>
    </row>
    <row r="339" spans="2:14" hidden="1" outlineLevel="2" x14ac:dyDescent="0.3">
      <c r="B339" s="48">
        <v>44367</v>
      </c>
      <c r="C339" s="51">
        <v>15860.35</v>
      </c>
      <c r="D339" s="51">
        <v>29210.55</v>
      </c>
      <c r="E339" s="51">
        <v>3246.64</v>
      </c>
      <c r="F339" s="51">
        <v>1565.38</v>
      </c>
      <c r="G339" s="51">
        <v>992.32</v>
      </c>
      <c r="H339" s="51">
        <v>273.75</v>
      </c>
      <c r="I339" s="51">
        <v>1031.48</v>
      </c>
      <c r="J339" s="51">
        <v>4206.37</v>
      </c>
      <c r="K339" s="51">
        <v>1307.77</v>
      </c>
      <c r="L339" s="51">
        <v>3633.05</v>
      </c>
      <c r="M339" s="51">
        <v>2048.5100000000002</v>
      </c>
      <c r="N339" s="52">
        <v>819.54</v>
      </c>
    </row>
    <row r="340" spans="2:14" hidden="1" outlineLevel="2" x14ac:dyDescent="0.3">
      <c r="B340" s="48">
        <v>44360</v>
      </c>
      <c r="C340" s="51">
        <v>15683.35</v>
      </c>
      <c r="D340" s="51">
        <v>28445.599999999999</v>
      </c>
      <c r="E340" s="51">
        <v>3166.45</v>
      </c>
      <c r="F340" s="51">
        <v>1494.88</v>
      </c>
      <c r="G340" s="51">
        <v>971.98</v>
      </c>
      <c r="H340" s="51">
        <v>274.89999999999998</v>
      </c>
      <c r="I340" s="51">
        <v>1013.68</v>
      </c>
      <c r="J340" s="51">
        <v>4063.72</v>
      </c>
      <c r="K340" s="51">
        <v>1267.32</v>
      </c>
      <c r="L340" s="51">
        <v>3536.4</v>
      </c>
      <c r="M340" s="51">
        <v>2014.52</v>
      </c>
      <c r="N340" s="52">
        <v>794.21</v>
      </c>
    </row>
    <row r="341" spans="2:14" hidden="1" outlineLevel="2" x14ac:dyDescent="0.3">
      <c r="B341" s="48">
        <v>44353</v>
      </c>
      <c r="C341" s="51">
        <v>15799.35</v>
      </c>
      <c r="D341" s="51">
        <v>28217.5</v>
      </c>
      <c r="E341" s="51">
        <v>3143.89</v>
      </c>
      <c r="F341" s="51">
        <v>1438.79</v>
      </c>
      <c r="G341" s="51">
        <v>980.06</v>
      </c>
      <c r="H341" s="51">
        <v>277.14999999999998</v>
      </c>
      <c r="I341" s="51">
        <v>1015.86</v>
      </c>
      <c r="J341" s="51">
        <v>4164.8500000000004</v>
      </c>
      <c r="K341" s="51">
        <v>1257.47</v>
      </c>
      <c r="L341" s="51">
        <v>3689.35</v>
      </c>
      <c r="M341" s="51">
        <v>1991.62</v>
      </c>
      <c r="N341" s="52">
        <v>795.79</v>
      </c>
    </row>
    <row r="342" spans="2:14" hidden="1" outlineLevel="2" x14ac:dyDescent="0.3">
      <c r="B342" s="48">
        <v>44346</v>
      </c>
      <c r="C342" s="51">
        <v>15670.25</v>
      </c>
      <c r="D342" s="51">
        <v>26996.75</v>
      </c>
      <c r="E342" s="51">
        <v>3019</v>
      </c>
      <c r="F342" s="51">
        <v>1377.89</v>
      </c>
      <c r="G342" s="51">
        <v>933.41</v>
      </c>
      <c r="H342" s="51">
        <v>270.60000000000002</v>
      </c>
      <c r="I342" s="51">
        <v>964.93</v>
      </c>
      <c r="J342" s="51">
        <v>3848.29</v>
      </c>
      <c r="K342" s="51">
        <v>1228.56</v>
      </c>
      <c r="L342" s="51">
        <v>3514.95</v>
      </c>
      <c r="M342" s="51">
        <v>1892.23</v>
      </c>
      <c r="N342" s="52">
        <v>738.82</v>
      </c>
    </row>
    <row r="343" spans="2:14" hidden="1" outlineLevel="2" x14ac:dyDescent="0.3">
      <c r="B343" s="48">
        <v>44339</v>
      </c>
      <c r="C343" s="51">
        <v>15435.65</v>
      </c>
      <c r="D343" s="51">
        <v>27122.799999999999</v>
      </c>
      <c r="E343" s="51">
        <v>3018.85</v>
      </c>
      <c r="F343" s="51">
        <v>1397.18</v>
      </c>
      <c r="G343" s="51">
        <v>939.39</v>
      </c>
      <c r="H343" s="51">
        <v>269.35000000000002</v>
      </c>
      <c r="I343" s="51">
        <v>971.6</v>
      </c>
      <c r="J343" s="51">
        <v>3921.98</v>
      </c>
      <c r="K343" s="51">
        <v>1238.54</v>
      </c>
      <c r="L343" s="51">
        <v>3525.3</v>
      </c>
      <c r="M343" s="51">
        <v>1918.64</v>
      </c>
      <c r="N343" s="52">
        <v>708.61</v>
      </c>
    </row>
    <row r="344" spans="2:14" hidden="1" outlineLevel="2" x14ac:dyDescent="0.3">
      <c r="B344" s="48">
        <v>44332</v>
      </c>
      <c r="C344" s="51">
        <v>15175.3</v>
      </c>
      <c r="D344" s="51">
        <v>26105.3</v>
      </c>
      <c r="E344" s="51">
        <v>2958.26</v>
      </c>
      <c r="F344" s="51">
        <v>1346.91</v>
      </c>
      <c r="G344" s="51">
        <v>927.53</v>
      </c>
      <c r="H344" s="51">
        <v>256.35000000000002</v>
      </c>
      <c r="I344" s="51">
        <v>928.29</v>
      </c>
      <c r="J344" s="51">
        <v>3647.77</v>
      </c>
      <c r="K344" s="51">
        <v>1192.08</v>
      </c>
      <c r="L344" s="51">
        <v>3659.7</v>
      </c>
      <c r="M344" s="51">
        <v>1769.94</v>
      </c>
      <c r="N344" s="52">
        <v>666.04</v>
      </c>
    </row>
    <row r="345" spans="2:14" hidden="1" outlineLevel="2" x14ac:dyDescent="0.3">
      <c r="B345" s="48">
        <v>44325</v>
      </c>
      <c r="C345" s="51">
        <v>14677.8</v>
      </c>
      <c r="D345" s="51">
        <v>25588.2</v>
      </c>
      <c r="E345" s="51">
        <v>2930.41</v>
      </c>
      <c r="F345" s="51">
        <v>1309.02</v>
      </c>
      <c r="G345" s="51">
        <v>907.3</v>
      </c>
      <c r="H345" s="51">
        <v>249.23</v>
      </c>
      <c r="I345" s="51">
        <v>901.49</v>
      </c>
      <c r="J345" s="51">
        <v>3590.6</v>
      </c>
      <c r="K345" s="51">
        <v>1136.83</v>
      </c>
      <c r="L345" s="51">
        <v>3694.4</v>
      </c>
      <c r="M345" s="51">
        <v>1772.72</v>
      </c>
      <c r="N345" s="52">
        <v>669.91</v>
      </c>
    </row>
    <row r="346" spans="2:14" hidden="1" outlineLevel="2" x14ac:dyDescent="0.3">
      <c r="B346" s="48">
        <v>44318</v>
      </c>
      <c r="C346" s="51">
        <v>14823.15</v>
      </c>
      <c r="D346" s="51">
        <v>26269.45</v>
      </c>
      <c r="E346" s="51">
        <v>3008.58</v>
      </c>
      <c r="F346" s="51">
        <v>1344.97</v>
      </c>
      <c r="G346" s="51">
        <v>913.33</v>
      </c>
      <c r="H346" s="51">
        <v>257.63</v>
      </c>
      <c r="I346" s="51">
        <v>928.71</v>
      </c>
      <c r="J346" s="51">
        <v>3760.48</v>
      </c>
      <c r="K346" s="51">
        <v>1126.97</v>
      </c>
      <c r="L346" s="51">
        <v>3565.1</v>
      </c>
      <c r="M346" s="51">
        <v>1829.55</v>
      </c>
      <c r="N346" s="52">
        <v>676.15</v>
      </c>
    </row>
    <row r="347" spans="2:14" hidden="1" outlineLevel="2" x14ac:dyDescent="0.3">
      <c r="B347" s="48">
        <v>44311</v>
      </c>
      <c r="C347" s="51">
        <v>14631.1</v>
      </c>
      <c r="D347" s="51">
        <v>25664.45</v>
      </c>
      <c r="E347" s="51">
        <v>2915.19</v>
      </c>
      <c r="F347" s="51">
        <v>1346.76</v>
      </c>
      <c r="G347" s="51">
        <v>895.94</v>
      </c>
      <c r="H347" s="51">
        <v>246.38</v>
      </c>
      <c r="I347" s="51">
        <v>909.26</v>
      </c>
      <c r="J347" s="51">
        <v>3881.87</v>
      </c>
      <c r="K347" s="51">
        <v>1017</v>
      </c>
      <c r="L347" s="51">
        <v>3478.55</v>
      </c>
      <c r="M347" s="51">
        <v>1748.88</v>
      </c>
      <c r="N347" s="52">
        <v>573.80999999999995</v>
      </c>
    </row>
    <row r="348" spans="2:14" hidden="1" outlineLevel="2" x14ac:dyDescent="0.3">
      <c r="B348" s="48">
        <v>44304</v>
      </c>
      <c r="C348" s="51">
        <v>14341.35</v>
      </c>
      <c r="D348" s="51">
        <v>25609.1</v>
      </c>
      <c r="E348" s="51">
        <v>2986.11</v>
      </c>
      <c r="F348" s="51">
        <v>1326.32</v>
      </c>
      <c r="G348" s="51">
        <v>942.14</v>
      </c>
      <c r="H348" s="51">
        <v>237.85</v>
      </c>
      <c r="I348" s="51">
        <v>899.6</v>
      </c>
      <c r="J348" s="51">
        <v>3892.64</v>
      </c>
      <c r="K348" s="51">
        <v>935.53</v>
      </c>
      <c r="L348" s="51">
        <v>3266.95</v>
      </c>
      <c r="M348" s="51">
        <v>1681.2</v>
      </c>
      <c r="N348" s="52">
        <v>570.20000000000005</v>
      </c>
    </row>
    <row r="349" spans="2:14" hidden="1" outlineLevel="2" x14ac:dyDescent="0.3">
      <c r="B349" s="48">
        <v>44297</v>
      </c>
      <c r="C349" s="51">
        <v>14617.85</v>
      </c>
      <c r="D349" s="51">
        <v>26324.9</v>
      </c>
      <c r="E349" s="51">
        <v>3068.36</v>
      </c>
      <c r="F349" s="51">
        <v>1346.16</v>
      </c>
      <c r="G349" s="51">
        <v>998.43</v>
      </c>
      <c r="H349" s="51">
        <v>234.6</v>
      </c>
      <c r="I349" s="51">
        <v>956.5</v>
      </c>
      <c r="J349" s="51">
        <v>4081.09</v>
      </c>
      <c r="K349" s="51">
        <v>978.78</v>
      </c>
      <c r="L349" s="51">
        <v>3366.25</v>
      </c>
      <c r="M349" s="51">
        <v>1692.89</v>
      </c>
      <c r="N349" s="52">
        <v>634.39</v>
      </c>
    </row>
    <row r="350" spans="2:14" hidden="1" outlineLevel="2" x14ac:dyDescent="0.3">
      <c r="B350" s="48">
        <v>44290</v>
      </c>
      <c r="C350" s="51">
        <v>14834.85</v>
      </c>
      <c r="D350" s="51">
        <v>27367.05</v>
      </c>
      <c r="E350" s="51">
        <v>3190.41</v>
      </c>
      <c r="F350" s="51">
        <v>1432.97</v>
      </c>
      <c r="G350" s="51">
        <v>1030.6199999999999</v>
      </c>
      <c r="H350" s="51">
        <v>225.05</v>
      </c>
      <c r="I350" s="51">
        <v>996.93</v>
      </c>
      <c r="J350" s="51">
        <v>4369.16</v>
      </c>
      <c r="K350" s="51">
        <v>1036.31</v>
      </c>
      <c r="L350" s="51">
        <v>3512.2</v>
      </c>
      <c r="M350" s="51">
        <v>1786.19</v>
      </c>
      <c r="N350" s="52">
        <v>633.57000000000005</v>
      </c>
    </row>
    <row r="351" spans="2:14" hidden="1" outlineLevel="2" x14ac:dyDescent="0.3">
      <c r="B351" s="48">
        <v>44283</v>
      </c>
      <c r="C351" s="51">
        <v>14867.35</v>
      </c>
      <c r="D351" s="51">
        <v>25980.400000000001</v>
      </c>
      <c r="E351" s="51">
        <v>3039.4</v>
      </c>
      <c r="F351" s="51">
        <v>1377.44</v>
      </c>
      <c r="G351" s="51">
        <v>988.43</v>
      </c>
      <c r="H351" s="51">
        <v>208.2</v>
      </c>
      <c r="I351" s="51">
        <v>939.32</v>
      </c>
      <c r="J351" s="51">
        <v>4103.9399999999996</v>
      </c>
      <c r="K351" s="51">
        <v>974.57</v>
      </c>
      <c r="L351" s="51">
        <v>3209.1</v>
      </c>
      <c r="M351" s="51">
        <v>1732.04</v>
      </c>
      <c r="N351" s="52">
        <v>586.69000000000005</v>
      </c>
    </row>
    <row r="352" spans="2:14" hidden="1" outlineLevel="2" x14ac:dyDescent="0.3">
      <c r="B352" s="48">
        <v>44276</v>
      </c>
      <c r="C352" s="51">
        <v>14507.3</v>
      </c>
      <c r="D352" s="51">
        <v>25385.1</v>
      </c>
      <c r="E352" s="51">
        <v>2945.1</v>
      </c>
      <c r="F352" s="51">
        <v>1328.71</v>
      </c>
      <c r="G352" s="51">
        <v>945</v>
      </c>
      <c r="H352" s="51">
        <v>201.95</v>
      </c>
      <c r="I352" s="51">
        <v>938.23</v>
      </c>
      <c r="J352" s="51">
        <v>3938.74</v>
      </c>
      <c r="K352" s="51">
        <v>908.91</v>
      </c>
      <c r="L352" s="51">
        <v>3124.15</v>
      </c>
      <c r="M352" s="51">
        <v>1620.5</v>
      </c>
      <c r="N352" s="52">
        <v>559.21</v>
      </c>
    </row>
    <row r="353" spans="2:14" collapsed="1" x14ac:dyDescent="0.3">
      <c r="B353" s="49">
        <v>44269</v>
      </c>
      <c r="C353" s="53">
        <v>14744</v>
      </c>
      <c r="D353" s="53">
        <v>25562.75</v>
      </c>
      <c r="E353" s="53">
        <v>2929.16</v>
      </c>
      <c r="F353" s="53">
        <v>1336.92</v>
      </c>
      <c r="G353" s="53">
        <v>946.87</v>
      </c>
      <c r="H353" s="53">
        <v>205.25</v>
      </c>
      <c r="I353" s="53">
        <v>936.76</v>
      </c>
      <c r="J353" s="53">
        <v>4066.32</v>
      </c>
      <c r="K353" s="53">
        <v>969.05</v>
      </c>
      <c r="L353" s="53">
        <v>3205.15</v>
      </c>
      <c r="M353" s="53">
        <v>1651.27</v>
      </c>
      <c r="N353" s="54">
        <v>593.35</v>
      </c>
    </row>
    <row r="355" spans="2:14" x14ac:dyDescent="0.3">
      <c r="B355" s="5" t="s">
        <v>85</v>
      </c>
    </row>
    <row r="356" spans="2:14" x14ac:dyDescent="0.3">
      <c r="B356" s="55" t="s">
        <v>67</v>
      </c>
    </row>
    <row r="357" spans="2:14" x14ac:dyDescent="0.3">
      <c r="B357" s="55"/>
    </row>
    <row r="358" spans="2:14" x14ac:dyDescent="0.3">
      <c r="B358" s="104" t="s">
        <v>66</v>
      </c>
      <c r="C358" s="100" t="s">
        <v>65</v>
      </c>
      <c r="D358" s="100" t="s">
        <v>64</v>
      </c>
      <c r="E358" s="100" t="s">
        <v>16</v>
      </c>
      <c r="F358" s="100" t="s">
        <v>17</v>
      </c>
      <c r="G358" s="100" t="s">
        <v>18</v>
      </c>
      <c r="H358" s="100" t="s">
        <v>19</v>
      </c>
      <c r="I358" s="100" t="s">
        <v>20</v>
      </c>
      <c r="J358" s="100" t="s">
        <v>21</v>
      </c>
      <c r="K358" s="100" t="s">
        <v>22</v>
      </c>
      <c r="L358" s="100" t="s">
        <v>23</v>
      </c>
      <c r="M358" s="100" t="s">
        <v>24</v>
      </c>
      <c r="N358" s="102" t="s">
        <v>25</v>
      </c>
    </row>
    <row r="359" spans="2:14" x14ac:dyDescent="0.3">
      <c r="B359" s="108"/>
      <c r="C359" s="101"/>
      <c r="D359" s="101"/>
      <c r="E359" s="101"/>
      <c r="F359" s="101"/>
      <c r="G359" s="101"/>
      <c r="H359" s="101"/>
      <c r="I359" s="101"/>
      <c r="J359" s="101"/>
      <c r="K359" s="101"/>
      <c r="L359" s="101"/>
      <c r="M359" s="101"/>
      <c r="N359" s="103"/>
    </row>
    <row r="360" spans="2:14" x14ac:dyDescent="0.3">
      <c r="B360" s="48">
        <v>46089</v>
      </c>
      <c r="N360" s="89"/>
    </row>
    <row r="361" spans="2:14" x14ac:dyDescent="0.3">
      <c r="B361" s="48">
        <v>46082</v>
      </c>
      <c r="C361" s="90">
        <f t="shared" ref="C361:N361" si="29">C94/C93-1</f>
        <v>2.445232613436632E-2</v>
      </c>
      <c r="D361" s="90">
        <f t="shared" si="29"/>
        <v>1.6413898697207996E-2</v>
      </c>
      <c r="E361" s="90">
        <f t="shared" si="29"/>
        <v>3.9252336448598157E-2</v>
      </c>
      <c r="F361" s="90">
        <f t="shared" si="29"/>
        <v>2.5552594450541033E-2</v>
      </c>
      <c r="G361" s="90">
        <f t="shared" si="29"/>
        <v>4.5165111802163427E-3</v>
      </c>
      <c r="H361" s="90">
        <f t="shared" si="29"/>
        <v>-3.1714568880079286E-2</v>
      </c>
      <c r="I361" s="90">
        <f t="shared" si="29"/>
        <v>-1.8737820416728779E-3</v>
      </c>
      <c r="J361" s="90">
        <f t="shared" si="29"/>
        <v>4.2115114646701368E-3</v>
      </c>
      <c r="K361" s="90">
        <f t="shared" si="29"/>
        <v>6.2343351797637947E-3</v>
      </c>
      <c r="L361" s="90">
        <f t="shared" si="29"/>
        <v>-7.7542279004504389E-3</v>
      </c>
      <c r="M361" s="90">
        <f t="shared" si="29"/>
        <v>1.6896235078053268E-2</v>
      </c>
      <c r="N361" s="81">
        <f t="shared" si="29"/>
        <v>4.6714671467146696E-2</v>
      </c>
    </row>
    <row r="362" spans="2:14" hidden="1" outlineLevel="1" x14ac:dyDescent="0.3">
      <c r="B362" s="48">
        <v>46075</v>
      </c>
      <c r="C362" s="90">
        <f t="shared" ref="C362:N362" si="30">C95/C94-1</f>
        <v>2.9782682936305926E-2</v>
      </c>
      <c r="D362" s="90">
        <f t="shared" si="30"/>
        <v>1.5443752820322176E-2</v>
      </c>
      <c r="E362" s="90">
        <f t="shared" si="30"/>
        <v>3.1201126055677264E-2</v>
      </c>
      <c r="F362" s="90">
        <f t="shared" si="30"/>
        <v>-6.3436258025070247E-3</v>
      </c>
      <c r="G362" s="90">
        <f t="shared" si="30"/>
        <v>2.3881477113584237E-2</v>
      </c>
      <c r="H362" s="90">
        <f t="shared" si="30"/>
        <v>2.8454452405322517E-2</v>
      </c>
      <c r="I362" s="90">
        <f t="shared" si="30"/>
        <v>1.9599008785762484E-2</v>
      </c>
      <c r="J362" s="90">
        <f t="shared" si="30"/>
        <v>3.9608574091332782E-2</v>
      </c>
      <c r="K362" s="90">
        <f t="shared" si="30"/>
        <v>-9.3144950287807893E-3</v>
      </c>
      <c r="L362" s="90">
        <f t="shared" si="30"/>
        <v>3.1854718666269655E-2</v>
      </c>
      <c r="M362" s="90">
        <f t="shared" si="30"/>
        <v>3.6888206610077523E-2</v>
      </c>
      <c r="N362" s="81">
        <f t="shared" si="30"/>
        <v>1.9692148937999754E-2</v>
      </c>
    </row>
    <row r="363" spans="2:14" hidden="1" outlineLevel="1" x14ac:dyDescent="0.3">
      <c r="B363" s="48">
        <v>46068</v>
      </c>
      <c r="C363" s="90">
        <f t="shared" ref="C363:N363" si="31">C96/C95-1</f>
        <v>1.5592575455792845E-2</v>
      </c>
      <c r="D363" s="90">
        <f t="shared" si="31"/>
        <v>4.5752413503529876E-2</v>
      </c>
      <c r="E363" s="90">
        <f t="shared" si="31"/>
        <v>1.8503071206491084E-2</v>
      </c>
      <c r="F363" s="90">
        <f t="shared" si="31"/>
        <v>4.0843012075994167E-2</v>
      </c>
      <c r="G363" s="90">
        <f t="shared" si="31"/>
        <v>3.4122813332373436E-2</v>
      </c>
      <c r="H363" s="90">
        <f t="shared" si="31"/>
        <v>4.428742038216571E-2</v>
      </c>
      <c r="I363" s="90">
        <f t="shared" si="31"/>
        <v>7.2985712181470097E-2</v>
      </c>
      <c r="J363" s="90">
        <f t="shared" si="31"/>
        <v>9.5809054235768798E-2</v>
      </c>
      <c r="K363" s="90">
        <f t="shared" si="31"/>
        <v>7.5850412000845191E-2</v>
      </c>
      <c r="L363" s="90">
        <f t="shared" si="31"/>
        <v>-4.176283900750144E-2</v>
      </c>
      <c r="M363" s="90">
        <f t="shared" si="31"/>
        <v>3.365991726540396E-2</v>
      </c>
      <c r="N363" s="81">
        <f t="shared" si="31"/>
        <v>0.13054477989542912</v>
      </c>
    </row>
    <row r="364" spans="2:14" hidden="1" outlineLevel="1" x14ac:dyDescent="0.3">
      <c r="B364" s="48">
        <v>46061</v>
      </c>
      <c r="C364" s="90">
        <f t="shared" ref="C364:N364" si="32">C97/C96-1</f>
        <v>-3.9165077968421613E-3</v>
      </c>
      <c r="D364" s="90">
        <f t="shared" si="32"/>
        <v>2.1167633471388836E-2</v>
      </c>
      <c r="E364" s="90">
        <f t="shared" si="32"/>
        <v>2.2336385972749895E-3</v>
      </c>
      <c r="F364" s="90">
        <f t="shared" si="32"/>
        <v>1.17499261010936E-2</v>
      </c>
      <c r="G364" s="90">
        <f t="shared" si="32"/>
        <v>1.3017751479289963E-2</v>
      </c>
      <c r="H364" s="90">
        <f t="shared" si="32"/>
        <v>2.0156294672638797E-2</v>
      </c>
      <c r="I364" s="90">
        <f t="shared" si="32"/>
        <v>5.3195140366531612E-2</v>
      </c>
      <c r="J364" s="90">
        <f t="shared" si="32"/>
        <v>4.6221495040392746E-2</v>
      </c>
      <c r="K364" s="90">
        <f t="shared" si="32"/>
        <v>7.6001571091908859E-2</v>
      </c>
      <c r="L364" s="90">
        <f t="shared" si="32"/>
        <v>-5.2691004892735371E-4</v>
      </c>
      <c r="M364" s="90">
        <f t="shared" si="32"/>
        <v>3.5639059735445233E-2</v>
      </c>
      <c r="N364" s="81">
        <f t="shared" si="32"/>
        <v>1.5813814709831453E-2</v>
      </c>
    </row>
    <row r="365" spans="2:14" hidden="1" outlineLevel="1" x14ac:dyDescent="0.3">
      <c r="B365" s="48">
        <v>46054</v>
      </c>
      <c r="C365" s="90">
        <f t="shared" ref="C365:N365" si="33">C98/C97-1</f>
        <v>8.7393163232056814E-3</v>
      </c>
      <c r="D365" s="90">
        <f t="shared" si="33"/>
        <v>8.9639398436424322E-2</v>
      </c>
      <c r="E365" s="90">
        <f t="shared" si="33"/>
        <v>9.2637991233935013E-2</v>
      </c>
      <c r="F365" s="90">
        <f t="shared" si="33"/>
        <v>0.10079614345190269</v>
      </c>
      <c r="G365" s="90">
        <f t="shared" si="33"/>
        <v>9.5175920835623984E-2</v>
      </c>
      <c r="H365" s="90">
        <f t="shared" si="33"/>
        <v>7.7677612219160252E-2</v>
      </c>
      <c r="I365" s="90">
        <f t="shared" si="33"/>
        <v>5.5722106360792445E-2</v>
      </c>
      <c r="J365" s="90">
        <f t="shared" si="33"/>
        <v>8.718600332323323E-2</v>
      </c>
      <c r="K365" s="90">
        <f t="shared" si="33"/>
        <v>6.8078116444606707E-2</v>
      </c>
      <c r="L365" s="90">
        <f t="shared" si="33"/>
        <v>9.4140683837927508E-2</v>
      </c>
      <c r="M365" s="90">
        <f t="shared" si="33"/>
        <v>6.1869508623494829E-2</v>
      </c>
      <c r="N365" s="81">
        <f t="shared" si="33"/>
        <v>0.13526215303275091</v>
      </c>
    </row>
    <row r="366" spans="2:14" hidden="1" outlineLevel="1" x14ac:dyDescent="0.3">
      <c r="B366" s="48">
        <v>46047</v>
      </c>
      <c r="C366" s="90">
        <f t="shared" ref="C366:N366" si="34">C99/C98-1</f>
        <v>-1.4519123364871489E-2</v>
      </c>
      <c r="D366" s="90">
        <f t="shared" si="34"/>
        <v>6.8099648844951233E-2</v>
      </c>
      <c r="E366" s="90">
        <f t="shared" si="34"/>
        <v>6.1973075877073791E-2</v>
      </c>
      <c r="F366" s="90">
        <f t="shared" si="34"/>
        <v>8.884612832592409E-2</v>
      </c>
      <c r="G366" s="90">
        <f t="shared" si="34"/>
        <v>6.39392608395557E-2</v>
      </c>
      <c r="H366" s="90">
        <f t="shared" si="34"/>
        <v>2.6785714285714413E-2</v>
      </c>
      <c r="I366" s="90">
        <f t="shared" si="34"/>
        <v>7.6054077412185839E-2</v>
      </c>
      <c r="J366" s="90">
        <f t="shared" si="34"/>
        <v>7.426054122089365E-2</v>
      </c>
      <c r="K366" s="90">
        <f t="shared" si="34"/>
        <v>3.1271360218728672E-2</v>
      </c>
      <c r="L366" s="90">
        <f t="shared" si="34"/>
        <v>6.8281938325991165E-2</v>
      </c>
      <c r="M366" s="90">
        <f t="shared" si="34"/>
        <v>5.6885654089254833E-2</v>
      </c>
      <c r="N366" s="81">
        <f t="shared" si="34"/>
        <v>6.9728331177231428E-2</v>
      </c>
    </row>
    <row r="367" spans="2:14" hidden="1" outlineLevel="1" x14ac:dyDescent="0.3">
      <c r="B367" s="48">
        <v>46040</v>
      </c>
      <c r="C367" s="90">
        <f t="shared" ref="C367:N367" si="35">C100/C99-1</f>
        <v>-1.0742220282654702E-2</v>
      </c>
      <c r="D367" s="90">
        <f t="shared" si="35"/>
        <v>5.3199390579750094E-3</v>
      </c>
      <c r="E367" s="90">
        <f t="shared" si="35"/>
        <v>1.235634943500119E-2</v>
      </c>
      <c r="F367" s="90">
        <f t="shared" si="35"/>
        <v>1.8159658744667961E-2</v>
      </c>
      <c r="G367" s="90">
        <f t="shared" si="35"/>
        <v>6.7232837933475231E-3</v>
      </c>
      <c r="H367" s="90">
        <f t="shared" si="35"/>
        <v>6.3317855635289799E-3</v>
      </c>
      <c r="I367" s="90">
        <f t="shared" si="35"/>
        <v>-2.4095003155298E-2</v>
      </c>
      <c r="J367" s="90">
        <f t="shared" si="35"/>
        <v>-1.3557619884509209E-2</v>
      </c>
      <c r="K367" s="90">
        <f t="shared" si="35"/>
        <v>1.988400994200501E-2</v>
      </c>
      <c r="L367" s="90">
        <f t="shared" si="35"/>
        <v>2.5257731958762797E-2</v>
      </c>
      <c r="M367" s="90">
        <f t="shared" si="35"/>
        <v>-2.2471910112359383E-3</v>
      </c>
      <c r="N367" s="81">
        <f t="shared" si="35"/>
        <v>-1.0521223848107275E-2</v>
      </c>
    </row>
    <row r="368" spans="2:14" hidden="1" outlineLevel="1" x14ac:dyDescent="0.3">
      <c r="B368" s="48">
        <v>46033</v>
      </c>
      <c r="C368" s="90">
        <f t="shared" ref="C368:N368" si="36">C101/C100-1</f>
        <v>2.5777836330500792E-2</v>
      </c>
      <c r="D368" s="90">
        <f t="shared" si="36"/>
        <v>2.2180524863684603E-2</v>
      </c>
      <c r="E368" s="90">
        <f t="shared" si="36"/>
        <v>1.3976284584980236E-2</v>
      </c>
      <c r="F368" s="90">
        <f t="shared" si="36"/>
        <v>1.1371797941106099E-2</v>
      </c>
      <c r="G368" s="90">
        <f t="shared" si="36"/>
        <v>-5.2724077328646368E-3</v>
      </c>
      <c r="H368" s="90">
        <f t="shared" si="36"/>
        <v>0.12185402684563762</v>
      </c>
      <c r="I368" s="90">
        <f t="shared" si="36"/>
        <v>-1.7988360472635301E-2</v>
      </c>
      <c r="J368" s="90">
        <f t="shared" si="36"/>
        <v>7.0331721387969726E-2</v>
      </c>
      <c r="K368" s="90">
        <f t="shared" si="36"/>
        <v>4.0292445166531188E-2</v>
      </c>
      <c r="L368" s="90">
        <f t="shared" si="36"/>
        <v>4.3991955756661483E-4</v>
      </c>
      <c r="M368" s="90">
        <f t="shared" si="36"/>
        <v>4.8568730020342787E-2</v>
      </c>
      <c r="N368" s="81">
        <f t="shared" si="36"/>
        <v>5.8604253238816906E-2</v>
      </c>
    </row>
    <row r="369" spans="2:14" hidden="1" outlineLevel="1" x14ac:dyDescent="0.3">
      <c r="B369" s="48">
        <v>46026</v>
      </c>
      <c r="C369" s="90">
        <f t="shared" ref="C369:N369" si="37">C102/C101-1</f>
        <v>-4.3005563479903142E-4</v>
      </c>
      <c r="D369" s="90">
        <f t="shared" si="37"/>
        <v>-2.710516250433348E-2</v>
      </c>
      <c r="E369" s="90">
        <f t="shared" si="37"/>
        <v>-1.4070539807278459E-2</v>
      </c>
      <c r="F369" s="90">
        <f t="shared" si="37"/>
        <v>-4.4798200970529112E-2</v>
      </c>
      <c r="G369" s="90">
        <f t="shared" si="37"/>
        <v>-2.155477031802111E-2</v>
      </c>
      <c r="H369" s="90">
        <f t="shared" si="37"/>
        <v>-2.0564591512432284E-2</v>
      </c>
      <c r="I369" s="90">
        <f t="shared" si="37"/>
        <v>-5.2858425621071459E-2</v>
      </c>
      <c r="J369" s="90">
        <f t="shared" si="37"/>
        <v>-4.2961318960050732E-2</v>
      </c>
      <c r="K369" s="90">
        <f t="shared" si="37"/>
        <v>2.1864750898017427E-3</v>
      </c>
      <c r="L369" s="90">
        <f t="shared" si="37"/>
        <v>-4.5480243733902914E-2</v>
      </c>
      <c r="M369" s="90">
        <f t="shared" si="37"/>
        <v>-1.6733067729083784E-2</v>
      </c>
      <c r="N369" s="81">
        <f t="shared" si="37"/>
        <v>-2.9267447901633714E-2</v>
      </c>
    </row>
    <row r="370" spans="2:14" hidden="1" outlineLevel="1" x14ac:dyDescent="0.3">
      <c r="B370" s="48">
        <v>46019</v>
      </c>
      <c r="C370" s="90">
        <f t="shared" ref="C370:N370" si="38">C103/C102-1</f>
        <v>2.5123329167201947E-2</v>
      </c>
      <c r="D370" s="90">
        <f t="shared" si="38"/>
        <v>7.7076408465521773E-3</v>
      </c>
      <c r="E370" s="90">
        <f t="shared" si="38"/>
        <v>1.3373060305290396E-2</v>
      </c>
      <c r="F370" s="90">
        <f t="shared" si="38"/>
        <v>1.6293909918840388E-2</v>
      </c>
      <c r="G370" s="90">
        <f t="shared" si="38"/>
        <v>-1.2760322619477571E-2</v>
      </c>
      <c r="H370" s="90">
        <f t="shared" si="38"/>
        <v>2.6913533117007171E-2</v>
      </c>
      <c r="I370" s="90">
        <f t="shared" si="38"/>
        <v>1.8834534192895935E-2</v>
      </c>
      <c r="J370" s="90">
        <f t="shared" si="38"/>
        <v>4.969355640218609E-3</v>
      </c>
      <c r="K370" s="90">
        <f t="shared" si="38"/>
        <v>-1.986909770920986E-2</v>
      </c>
      <c r="L370" s="90">
        <f t="shared" si="38"/>
        <v>1.7637380717341333E-2</v>
      </c>
      <c r="M370" s="90">
        <f t="shared" si="38"/>
        <v>-1.0922415615530978E-2</v>
      </c>
      <c r="N370" s="81">
        <f t="shared" si="38"/>
        <v>-1.8613225499524266E-2</v>
      </c>
    </row>
    <row r="371" spans="2:14" hidden="1" outlineLevel="1" x14ac:dyDescent="0.3">
      <c r="B371" s="48">
        <v>46012</v>
      </c>
      <c r="C371" s="90">
        <f t="shared" ref="C371:N371" si="39">C104/C103-1</f>
        <v>-1.0872228056615363E-2</v>
      </c>
      <c r="D371" s="90">
        <f t="shared" si="39"/>
        <v>6.5761489341158441E-3</v>
      </c>
      <c r="E371" s="90">
        <f t="shared" si="39"/>
        <v>9.0141267096564004E-3</v>
      </c>
      <c r="F371" s="90">
        <f t="shared" si="39"/>
        <v>9.5708363813702402E-3</v>
      </c>
      <c r="G371" s="90">
        <f t="shared" si="39"/>
        <v>1.2620412144860316E-2</v>
      </c>
      <c r="H371" s="90">
        <f t="shared" si="39"/>
        <v>-1.003717472118959E-2</v>
      </c>
      <c r="I371" s="90">
        <f t="shared" si="39"/>
        <v>1.8610421836218194E-4</v>
      </c>
      <c r="J371" s="90">
        <f t="shared" si="39"/>
        <v>-5.19202241635075E-3</v>
      </c>
      <c r="K371" s="90">
        <f t="shared" si="39"/>
        <v>1.7489466571269929E-3</v>
      </c>
      <c r="L371" s="90">
        <f t="shared" si="39"/>
        <v>5.8850158442733669E-3</v>
      </c>
      <c r="M371" s="90">
        <f t="shared" si="39"/>
        <v>1.5460245084069513E-2</v>
      </c>
      <c r="N371" s="81">
        <f t="shared" si="39"/>
        <v>1.3936859964854831E-2</v>
      </c>
    </row>
    <row r="372" spans="2:14" hidden="1" outlineLevel="1" x14ac:dyDescent="0.3">
      <c r="B372" s="48">
        <v>46005</v>
      </c>
      <c r="C372" s="90">
        <f t="shared" ref="C372:N372" si="40">C105/C104-1</f>
        <v>-2.9144891196245526E-3</v>
      </c>
      <c r="D372" s="90">
        <f t="shared" si="40"/>
        <v>3.0928930864895232E-3</v>
      </c>
      <c r="E372" s="90">
        <f t="shared" si="40"/>
        <v>1.5237847770003254E-2</v>
      </c>
      <c r="F372" s="90">
        <f t="shared" si="40"/>
        <v>-1.050661191957003E-2</v>
      </c>
      <c r="G372" s="90">
        <f t="shared" si="40"/>
        <v>-1.1138539346137621E-2</v>
      </c>
      <c r="H372" s="90">
        <f t="shared" si="40"/>
        <v>-6.9470521967706089E-3</v>
      </c>
      <c r="I372" s="90">
        <f t="shared" si="40"/>
        <v>1.2404639335117373E-4</v>
      </c>
      <c r="J372" s="90">
        <f t="shared" si="40"/>
        <v>2.6841189628034057E-2</v>
      </c>
      <c r="K372" s="90">
        <f t="shared" si="40"/>
        <v>9.1262598206491852E-3</v>
      </c>
      <c r="L372" s="90">
        <f t="shared" si="40"/>
        <v>5.9791693455060191E-3</v>
      </c>
      <c r="M372" s="90">
        <f t="shared" si="40"/>
        <v>1.3891812250052649E-2</v>
      </c>
      <c r="N372" s="81">
        <f t="shared" si="40"/>
        <v>0.10285065439550589</v>
      </c>
    </row>
    <row r="373" spans="2:14" hidden="1" outlineLevel="1" x14ac:dyDescent="0.3">
      <c r="B373" s="48">
        <v>45998</v>
      </c>
      <c r="C373" s="90">
        <f t="shared" ref="C373:N373" si="41">C106/C105-1</f>
        <v>3.10208577238269E-3</v>
      </c>
      <c r="D373" s="90">
        <f t="shared" si="41"/>
        <v>-1.0773656297490941E-2</v>
      </c>
      <c r="E373" s="90">
        <f t="shared" si="41"/>
        <v>-1.8738574040219391E-2</v>
      </c>
      <c r="F373" s="90">
        <f t="shared" si="41"/>
        <v>-2.4714712882162648E-2</v>
      </c>
      <c r="G373" s="90">
        <f t="shared" si="41"/>
        <v>1.8753044325377388E-2</v>
      </c>
      <c r="H373" s="90">
        <f t="shared" si="41"/>
        <v>-1.4558517678199934E-2</v>
      </c>
      <c r="I373" s="90">
        <f t="shared" si="41"/>
        <v>-2.1147286821705413E-2</v>
      </c>
      <c r="J373" s="90">
        <f t="shared" si="41"/>
        <v>1.4037918515530379E-2</v>
      </c>
      <c r="K373" s="90">
        <f t="shared" si="41"/>
        <v>-3.3815665303554843E-3</v>
      </c>
      <c r="L373" s="90">
        <f t="shared" si="41"/>
        <v>2.1282034894868129E-2</v>
      </c>
      <c r="M373" s="90">
        <f t="shared" si="41"/>
        <v>7.7849283786588508E-3</v>
      </c>
      <c r="N373" s="81">
        <f t="shared" si="41"/>
        <v>3.0345724504172722E-3</v>
      </c>
    </row>
    <row r="374" spans="2:14" hidden="1" outlineLevel="1" x14ac:dyDescent="0.3">
      <c r="B374" s="48">
        <v>45991</v>
      </c>
      <c r="C374" s="90">
        <f t="shared" ref="C374:N374" si="42">C107/C106-1</f>
        <v>5.3557134328587885E-3</v>
      </c>
      <c r="D374" s="90">
        <f t="shared" si="42"/>
        <v>1.1205821070026545E-2</v>
      </c>
      <c r="E374" s="90">
        <f t="shared" si="42"/>
        <v>5.4960409874242888E-3</v>
      </c>
      <c r="F374" s="90">
        <f t="shared" si="42"/>
        <v>1.1262670504317285E-2</v>
      </c>
      <c r="G374" s="90">
        <f t="shared" si="42"/>
        <v>5.8570404016256017E-3</v>
      </c>
      <c r="H374" s="90">
        <f t="shared" si="42"/>
        <v>-2.6477359938603673E-3</v>
      </c>
      <c r="I374" s="90">
        <f t="shared" si="42"/>
        <v>-4.8150025342119651E-3</v>
      </c>
      <c r="J374" s="90">
        <f t="shared" si="42"/>
        <v>1.1934123637520333E-3</v>
      </c>
      <c r="K374" s="90">
        <f t="shared" si="42"/>
        <v>2.9038112522685955E-2</v>
      </c>
      <c r="L374" s="90">
        <f t="shared" si="42"/>
        <v>2.866082603254072E-2</v>
      </c>
      <c r="M374" s="90">
        <f t="shared" si="42"/>
        <v>1.4041954200569862E-2</v>
      </c>
      <c r="N374" s="81">
        <f t="shared" si="42"/>
        <v>6.855753646677476E-2</v>
      </c>
    </row>
    <row r="375" spans="2:14" hidden="1" outlineLevel="1" x14ac:dyDescent="0.3">
      <c r="B375" s="48">
        <v>45984</v>
      </c>
      <c r="C375" s="90">
        <f t="shared" ref="C375:N375" si="43">C108/C107-1</f>
        <v>6.3009686307236024E-4</v>
      </c>
      <c r="D375" s="90">
        <f t="shared" si="43"/>
        <v>-3.3540764243165766E-2</v>
      </c>
      <c r="E375" s="90">
        <f t="shared" si="43"/>
        <v>-3.1097523315422149E-2</v>
      </c>
      <c r="F375" s="90">
        <f t="shared" si="43"/>
        <v>-3.4711050612548089E-2</v>
      </c>
      <c r="G375" s="90">
        <f t="shared" si="43"/>
        <v>-3.493761140819962E-2</v>
      </c>
      <c r="H375" s="90">
        <f t="shared" si="43"/>
        <v>-3.993690123504301E-2</v>
      </c>
      <c r="I375" s="90">
        <f t="shared" si="43"/>
        <v>-3.4059078176725266E-2</v>
      </c>
      <c r="J375" s="90">
        <f t="shared" si="43"/>
        <v>-3.1071201525746939E-2</v>
      </c>
      <c r="K375" s="90">
        <f t="shared" si="43"/>
        <v>-2.568821409401123E-2</v>
      </c>
      <c r="L375" s="90">
        <f t="shared" si="43"/>
        <v>-1.3626961917508229E-2</v>
      </c>
      <c r="M375" s="90">
        <f t="shared" si="43"/>
        <v>-4.8144637053087691E-2</v>
      </c>
      <c r="N375" s="81">
        <f t="shared" si="43"/>
        <v>-3.4986601951564777E-2</v>
      </c>
    </row>
    <row r="376" spans="2:14" hidden="1" outlineLevel="1" x14ac:dyDescent="0.3">
      <c r="B376" s="48">
        <v>45977</v>
      </c>
      <c r="C376" s="90">
        <f t="shared" ref="C376:N376" si="44">C109/C108-1</f>
        <v>-5.144458925426254E-3</v>
      </c>
      <c r="D376" s="90">
        <f t="shared" si="44"/>
        <v>-1.390570905348143E-2</v>
      </c>
      <c r="E376" s="90">
        <f t="shared" si="44"/>
        <v>4.1752988047809581E-3</v>
      </c>
      <c r="F376" s="90">
        <f t="shared" si="44"/>
        <v>-9.6788667393115091E-3</v>
      </c>
      <c r="G376" s="90">
        <f t="shared" si="44"/>
        <v>-9.9741411156262227E-3</v>
      </c>
      <c r="H376" s="90">
        <f t="shared" si="44"/>
        <v>-2.0197972187712909E-2</v>
      </c>
      <c r="I376" s="90">
        <f t="shared" si="44"/>
        <v>-3.677585184208787E-2</v>
      </c>
      <c r="J376" s="90">
        <f t="shared" si="44"/>
        <v>-2.7966866234724885E-2</v>
      </c>
      <c r="K376" s="90">
        <f t="shared" si="44"/>
        <v>-8.8934361718873145E-3</v>
      </c>
      <c r="L376" s="90">
        <f t="shared" si="44"/>
        <v>7.7093869495497014E-3</v>
      </c>
      <c r="M376" s="90">
        <f t="shared" si="44"/>
        <v>-2.2871167389912572E-2</v>
      </c>
      <c r="N376" s="81">
        <f t="shared" si="44"/>
        <v>-5.8259548383716719E-2</v>
      </c>
    </row>
    <row r="377" spans="2:14" hidden="1" outlineLevel="1" x14ac:dyDescent="0.3">
      <c r="B377" s="48">
        <v>45970</v>
      </c>
      <c r="C377" s="90">
        <f t="shared" ref="C377:N377" si="45">C110/C109-1</f>
        <v>-6.0648722674989664E-3</v>
      </c>
      <c r="D377" s="90">
        <f t="shared" si="45"/>
        <v>-1.5835555308543858E-2</v>
      </c>
      <c r="E377" s="90">
        <f t="shared" si="45"/>
        <v>-1.4156033771345111E-2</v>
      </c>
      <c r="F377" s="90">
        <f t="shared" si="45"/>
        <v>-2.7313915857605231E-2</v>
      </c>
      <c r="G377" s="90">
        <f t="shared" si="45"/>
        <v>-8.3333333333334147E-3</v>
      </c>
      <c r="H377" s="90">
        <f t="shared" si="45"/>
        <v>-4.9081762035263488E-4</v>
      </c>
      <c r="I377" s="90">
        <f t="shared" si="45"/>
        <v>-1.525829627095443E-2</v>
      </c>
      <c r="J377" s="90">
        <f t="shared" si="45"/>
        <v>-1.9743503206209878E-2</v>
      </c>
      <c r="K377" s="90">
        <f t="shared" si="45"/>
        <v>-3.10489954736759E-2</v>
      </c>
      <c r="L377" s="90">
        <f t="shared" si="45"/>
        <v>6.6099516494277921E-3</v>
      </c>
      <c r="M377" s="90">
        <f t="shared" si="45"/>
        <v>9.1005059881328343E-3</v>
      </c>
      <c r="N377" s="81">
        <f t="shared" si="45"/>
        <v>1.1682892906814679E-3</v>
      </c>
    </row>
    <row r="378" spans="2:14" hidden="1" outlineLevel="1" x14ac:dyDescent="0.3">
      <c r="B378" s="48">
        <v>45963</v>
      </c>
      <c r="C378" s="90">
        <f t="shared" ref="C378:N378" si="46">C111/C110-1</f>
        <v>-1.6123087373432266E-2</v>
      </c>
      <c r="D378" s="90">
        <f t="shared" si="46"/>
        <v>-3.2604937846492876E-2</v>
      </c>
      <c r="E378" s="90">
        <f t="shared" si="46"/>
        <v>-3.6767546683837637E-2</v>
      </c>
      <c r="F378" s="90">
        <f t="shared" si="46"/>
        <v>-1.730103806228378E-2</v>
      </c>
      <c r="G378" s="90">
        <f t="shared" si="46"/>
        <v>-5.1548977800075169E-2</v>
      </c>
      <c r="H378" s="90">
        <f t="shared" si="46"/>
        <v>-3.2246184065147121E-2</v>
      </c>
      <c r="I378" s="90">
        <f t="shared" si="46"/>
        <v>-3.6478599221789865E-2</v>
      </c>
      <c r="J378" s="90">
        <f t="shared" si="46"/>
        <v>-4.1573420554312235E-2</v>
      </c>
      <c r="K378" s="90">
        <f t="shared" si="46"/>
        <v>-5.2450417964268192E-2</v>
      </c>
      <c r="L378" s="90">
        <f t="shared" si="46"/>
        <v>-1.7875600413449266E-2</v>
      </c>
      <c r="M378" s="90">
        <f t="shared" si="46"/>
        <v>-1.3022618231665506E-2</v>
      </c>
      <c r="N378" s="81">
        <f t="shared" si="46"/>
        <v>-3.3007334963325086E-2</v>
      </c>
    </row>
    <row r="379" spans="2:14" hidden="1" outlineLevel="1" x14ac:dyDescent="0.3">
      <c r="B379" s="48">
        <v>45956</v>
      </c>
      <c r="C379" s="90">
        <f t="shared" ref="C379:N379" si="47">C112/C111-1</f>
        <v>9.0144867273647122E-3</v>
      </c>
      <c r="D379" s="90">
        <f t="shared" si="47"/>
        <v>1.6934504444346299E-2</v>
      </c>
      <c r="E379" s="90">
        <f t="shared" si="47"/>
        <v>2.2127147536600056E-2</v>
      </c>
      <c r="F379" s="90">
        <f t="shared" si="47"/>
        <v>3.7242686890575083E-3</v>
      </c>
      <c r="G379" s="90">
        <f t="shared" si="47"/>
        <v>1.9240941549854451E-2</v>
      </c>
      <c r="H379" s="90">
        <f t="shared" si="47"/>
        <v>1.7675165968962681E-2</v>
      </c>
      <c r="I379" s="90">
        <f t="shared" si="47"/>
        <v>2.7186846470036885E-2</v>
      </c>
      <c r="J379" s="90">
        <f t="shared" si="47"/>
        <v>2.1014818140996816E-2</v>
      </c>
      <c r="K379" s="90">
        <f t="shared" si="47"/>
        <v>2.3456149455111541E-2</v>
      </c>
      <c r="L379" s="90">
        <f t="shared" si="47"/>
        <v>5.4293320126292288E-2</v>
      </c>
      <c r="M379" s="90">
        <f t="shared" si="47"/>
        <v>1.0380116959064267E-2</v>
      </c>
      <c r="N379" s="81">
        <f t="shared" si="47"/>
        <v>2.1779105849902169E-2</v>
      </c>
    </row>
    <row r="380" spans="2:14" hidden="1" outlineLevel="1" x14ac:dyDescent="0.3">
      <c r="B380" s="48">
        <v>45949</v>
      </c>
      <c r="C380" s="90">
        <f t="shared" ref="C380:N380" si="48">C113/C112-1</f>
        <v>2.839970297915162E-3</v>
      </c>
      <c r="D380" s="90">
        <f t="shared" si="48"/>
        <v>7.6724158449388291E-3</v>
      </c>
      <c r="E380" s="90">
        <f t="shared" si="48"/>
        <v>1.7004578155657146E-3</v>
      </c>
      <c r="F380" s="90">
        <f t="shared" si="48"/>
        <v>2.9076435269513645E-2</v>
      </c>
      <c r="G380" s="90">
        <f t="shared" si="48"/>
        <v>-1.1482322413233881E-2</v>
      </c>
      <c r="H380" s="90">
        <f t="shared" si="48"/>
        <v>9.5982050110108297E-3</v>
      </c>
      <c r="I380" s="90">
        <f t="shared" si="48"/>
        <v>2.0570064588598669E-2</v>
      </c>
      <c r="J380" s="90">
        <f t="shared" si="48"/>
        <v>-2.4364499956020746E-2</v>
      </c>
      <c r="K380" s="90">
        <f t="shared" si="48"/>
        <v>-1.5312848595477213E-2</v>
      </c>
      <c r="L380" s="90">
        <f t="shared" si="48"/>
        <v>5.871990604815025E-3</v>
      </c>
      <c r="M380" s="90">
        <f t="shared" si="48"/>
        <v>1.9714947185646148E-2</v>
      </c>
      <c r="N380" s="81">
        <f t="shared" si="48"/>
        <v>-1.0179404982846862E-2</v>
      </c>
    </row>
    <row r="381" spans="2:14" hidden="1" outlineLevel="1" x14ac:dyDescent="0.3">
      <c r="B381" s="48">
        <v>45942</v>
      </c>
      <c r="C381" s="90">
        <f t="shared" ref="C381:N381" si="49">C114/C113-1</f>
        <v>-3.3068231818773608E-3</v>
      </c>
      <c r="D381" s="90">
        <f t="shared" si="49"/>
        <v>-2.8778967580763259E-2</v>
      </c>
      <c r="E381" s="90">
        <f t="shared" si="49"/>
        <v>-3.2972055366936592E-2</v>
      </c>
      <c r="F381" s="90">
        <f t="shared" si="49"/>
        <v>-5.5264192998557893E-2</v>
      </c>
      <c r="G381" s="90">
        <f t="shared" si="49"/>
        <v>-2.467515421971378E-2</v>
      </c>
      <c r="H381" s="90">
        <f t="shared" si="49"/>
        <v>-8.560375339534021E-3</v>
      </c>
      <c r="I381" s="90">
        <f t="shared" si="49"/>
        <v>-4.1961890348766184E-3</v>
      </c>
      <c r="J381" s="90">
        <f t="shared" si="49"/>
        <v>1.0638297872340496E-2</v>
      </c>
      <c r="K381" s="90">
        <f t="shared" si="49"/>
        <v>-1.2066598008925511E-2</v>
      </c>
      <c r="L381" s="90">
        <f t="shared" si="49"/>
        <v>2.5160537069468747E-2</v>
      </c>
      <c r="M381" s="90">
        <f t="shared" si="49"/>
        <v>-4.4414487920820256E-2</v>
      </c>
      <c r="N381" s="81">
        <f t="shared" si="49"/>
        <v>-1.4261363636363544E-2</v>
      </c>
    </row>
    <row r="382" spans="2:14" hidden="1" outlineLevel="1" x14ac:dyDescent="0.3">
      <c r="B382" s="48">
        <v>45935</v>
      </c>
      <c r="C382" s="90">
        <f t="shared" ref="C382:N382" si="50">C115/C114-1</f>
        <v>-1.6511181512144146E-2</v>
      </c>
      <c r="D382" s="90">
        <f t="shared" si="50"/>
        <v>1.8836532601636202E-2</v>
      </c>
      <c r="E382" s="90">
        <f t="shared" si="50"/>
        <v>2.2314495982715732E-2</v>
      </c>
      <c r="F382" s="90">
        <f t="shared" si="50"/>
        <v>5.1210880577336804E-2</v>
      </c>
      <c r="G382" s="90">
        <f t="shared" si="50"/>
        <v>6.2575696406943493E-3</v>
      </c>
      <c r="H382" s="90">
        <f t="shared" si="50"/>
        <v>3.2378580323785711E-2</v>
      </c>
      <c r="I382" s="90">
        <f t="shared" si="50"/>
        <v>6.6316662061343123E-3</v>
      </c>
      <c r="J382" s="90">
        <f t="shared" si="50"/>
        <v>-2.3818019625334474E-2</v>
      </c>
      <c r="K382" s="90">
        <f t="shared" si="50"/>
        <v>-6.9148843754886502E-2</v>
      </c>
      <c r="L382" s="90">
        <f t="shared" si="50"/>
        <v>4.9256876032116592E-2</v>
      </c>
      <c r="M382" s="90">
        <f t="shared" si="50"/>
        <v>3.3225674722500598E-2</v>
      </c>
      <c r="N382" s="81">
        <f t="shared" si="50"/>
        <v>-7.2626664361059579E-3</v>
      </c>
    </row>
    <row r="383" spans="2:14" hidden="1" outlineLevel="1" x14ac:dyDescent="0.3">
      <c r="B383" s="48">
        <v>45928</v>
      </c>
      <c r="C383" s="90">
        <f t="shared" ref="C383:N383" si="51">C116/C115-1</f>
        <v>-1.5467454474626607E-2</v>
      </c>
      <c r="D383" s="90">
        <f t="shared" si="51"/>
        <v>-4.6597704796954798E-2</v>
      </c>
      <c r="E383" s="90">
        <f t="shared" si="51"/>
        <v>-4.173958986890336E-2</v>
      </c>
      <c r="F383" s="90">
        <f t="shared" si="51"/>
        <v>-4.5085484190375724E-2</v>
      </c>
      <c r="G383" s="90">
        <f t="shared" si="51"/>
        <v>-6.8204613841524542E-2</v>
      </c>
      <c r="H383" s="90">
        <f t="shared" si="51"/>
        <v>-3.1041415359871372E-2</v>
      </c>
      <c r="I383" s="90">
        <f t="shared" si="51"/>
        <v>-3.8841614054350937E-2</v>
      </c>
      <c r="J383" s="90">
        <f t="shared" si="51"/>
        <v>-6.4241981175180429E-2</v>
      </c>
      <c r="K383" s="90">
        <f t="shared" si="51"/>
        <v>-5.3922392071224512E-2</v>
      </c>
      <c r="L383" s="90">
        <f t="shared" si="51"/>
        <v>-2.7244111581461006E-2</v>
      </c>
      <c r="M383" s="90">
        <f t="shared" si="51"/>
        <v>-1.6635527450416743E-2</v>
      </c>
      <c r="N383" s="81">
        <f t="shared" si="51"/>
        <v>-6.340358822504788E-2</v>
      </c>
    </row>
    <row r="384" spans="2:14" hidden="1" outlineLevel="1" x14ac:dyDescent="0.3">
      <c r="B384" s="48">
        <v>45921</v>
      </c>
      <c r="C384" s="90">
        <f t="shared" ref="C384:N384" si="52">C117/C116-1</f>
        <v>-9.6227040380810758E-3</v>
      </c>
      <c r="D384" s="90">
        <f t="shared" si="52"/>
        <v>-7.2975500555968464E-3</v>
      </c>
      <c r="E384" s="90">
        <f t="shared" si="52"/>
        <v>-9.6488507529557399E-4</v>
      </c>
      <c r="F384" s="90">
        <f t="shared" si="52"/>
        <v>1.5899350200472284E-3</v>
      </c>
      <c r="G384" s="90">
        <f t="shared" si="52"/>
        <v>1.2917115177610849E-3</v>
      </c>
      <c r="H384" s="90">
        <f t="shared" si="52"/>
        <v>-2.1703045895924977E-2</v>
      </c>
      <c r="I384" s="90">
        <f t="shared" si="52"/>
        <v>5.0692560331286884E-3</v>
      </c>
      <c r="J384" s="90">
        <f t="shared" si="52"/>
        <v>-8.7890625E-3</v>
      </c>
      <c r="K384" s="90">
        <f t="shared" si="52"/>
        <v>-2.3240214646464641E-2</v>
      </c>
      <c r="L384" s="90">
        <f t="shared" si="52"/>
        <v>-4.9877259540281216E-2</v>
      </c>
      <c r="M384" s="90">
        <f t="shared" si="52"/>
        <v>-3.4528115751397581E-2</v>
      </c>
      <c r="N384" s="81">
        <f t="shared" si="52"/>
        <v>-4.624635794433074E-2</v>
      </c>
    </row>
    <row r="385" spans="2:14" hidden="1" outlineLevel="1" x14ac:dyDescent="0.3">
      <c r="B385" s="48">
        <v>45914</v>
      </c>
      <c r="C385" s="90">
        <f t="shared" ref="C385:N385" si="53">C118/C117-1</f>
        <v>2.7270662388915623E-2</v>
      </c>
      <c r="D385" s="90">
        <f t="shared" si="53"/>
        <v>8.5343599786362745E-2</v>
      </c>
      <c r="E385" s="90">
        <f t="shared" si="53"/>
        <v>9.3166844882894617E-2</v>
      </c>
      <c r="F385" s="90">
        <f t="shared" si="53"/>
        <v>6.3013320449996524E-2</v>
      </c>
      <c r="G385" s="90">
        <f t="shared" si="53"/>
        <v>5.1673475238300126E-2</v>
      </c>
      <c r="H385" s="90">
        <f t="shared" si="53"/>
        <v>8.5387062566277816E-2</v>
      </c>
      <c r="I385" s="90">
        <f t="shared" si="53"/>
        <v>0.10378631810755135</v>
      </c>
      <c r="J385" s="90">
        <f t="shared" si="53"/>
        <v>8.5615763546798007E-2</v>
      </c>
      <c r="K385" s="90">
        <f t="shared" si="53"/>
        <v>0.11209856594627343</v>
      </c>
      <c r="L385" s="90">
        <f t="shared" si="53"/>
        <v>5.9072225484439134E-2</v>
      </c>
      <c r="M385" s="90">
        <f t="shared" si="53"/>
        <v>0.13298516500151369</v>
      </c>
      <c r="N385" s="81">
        <f t="shared" si="53"/>
        <v>0.16691582710432229</v>
      </c>
    </row>
    <row r="386" spans="2:14" hidden="1" outlineLevel="1" x14ac:dyDescent="0.3">
      <c r="B386" s="48">
        <v>45907</v>
      </c>
      <c r="C386" s="90">
        <f t="shared" ref="C386:N386" si="54">C119/C118-1</f>
        <v>-8.4119548072120187E-3</v>
      </c>
      <c r="D386" s="90">
        <f t="shared" si="54"/>
        <v>-1.278081920266827E-2</v>
      </c>
      <c r="E386" s="90">
        <f t="shared" si="54"/>
        <v>-1.1296226176953139E-2</v>
      </c>
      <c r="F386" s="90">
        <f t="shared" si="54"/>
        <v>-9.479288404103503E-3</v>
      </c>
      <c r="G386" s="90">
        <f t="shared" si="54"/>
        <v>-1.3629548861937568E-4</v>
      </c>
      <c r="H386" s="90">
        <f t="shared" si="54"/>
        <v>-1.5397842738783751E-2</v>
      </c>
      <c r="I386" s="90">
        <f t="shared" si="54"/>
        <v>-1.8213412279572627E-2</v>
      </c>
      <c r="J386" s="90">
        <f t="shared" si="54"/>
        <v>-3.2126327252926745E-2</v>
      </c>
      <c r="K386" s="90">
        <f t="shared" si="54"/>
        <v>-1.7253904831093347E-2</v>
      </c>
      <c r="L386" s="90">
        <f t="shared" si="54"/>
        <v>-4.3246839654025315E-3</v>
      </c>
      <c r="M386" s="90">
        <f t="shared" si="54"/>
        <v>-2.9928518939141058E-2</v>
      </c>
      <c r="N386" s="81">
        <f t="shared" si="54"/>
        <v>-1.743441207597618E-2</v>
      </c>
    </row>
    <row r="387" spans="2:14" hidden="1" outlineLevel="1" x14ac:dyDescent="0.3">
      <c r="B387" s="48">
        <v>45900</v>
      </c>
      <c r="C387" s="90">
        <f t="shared" ref="C387:N387" si="55">C120/C119-1</f>
        <v>-1.4852273632236956E-2</v>
      </c>
      <c r="D387" s="90">
        <f t="shared" si="55"/>
        <v>-4.0843793053315203E-2</v>
      </c>
      <c r="E387" s="90">
        <f t="shared" si="55"/>
        <v>-2.7158996617093201E-2</v>
      </c>
      <c r="F387" s="90">
        <f t="shared" si="55"/>
        <v>-5.3093864708966931E-2</v>
      </c>
      <c r="G387" s="90">
        <f t="shared" si="55"/>
        <v>-3.2851690294438463E-2</v>
      </c>
      <c r="H387" s="90">
        <f t="shared" si="55"/>
        <v>-3.2825275859331593E-2</v>
      </c>
      <c r="I387" s="90">
        <f t="shared" si="55"/>
        <v>-3.1202884300229328E-2</v>
      </c>
      <c r="J387" s="90">
        <f t="shared" si="55"/>
        <v>-2.5691514299109208E-2</v>
      </c>
      <c r="K387" s="90">
        <f t="shared" si="55"/>
        <v>-5.1561633709111043E-2</v>
      </c>
      <c r="L387" s="90">
        <f t="shared" si="55"/>
        <v>-7.7848312729702607E-2</v>
      </c>
      <c r="M387" s="90">
        <f t="shared" si="55"/>
        <v>-3.6774326836994553E-2</v>
      </c>
      <c r="N387" s="81">
        <f t="shared" si="55"/>
        <v>-5.992063492063493E-2</v>
      </c>
    </row>
    <row r="388" spans="2:14" hidden="1" outlineLevel="1" x14ac:dyDescent="0.3">
      <c r="B388" s="48">
        <v>45893</v>
      </c>
      <c r="C388" s="90">
        <f t="shared" ref="C388:N388" si="56">C121/C120-1</f>
        <v>-1.2697546582595698E-2</v>
      </c>
      <c r="D388" s="90">
        <f t="shared" si="56"/>
        <v>1.5746690206823288E-2</v>
      </c>
      <c r="E388" s="90">
        <f t="shared" si="56"/>
        <v>1.1941081914509599E-2</v>
      </c>
      <c r="F388" s="90">
        <f t="shared" si="56"/>
        <v>1.7305828603073614E-2</v>
      </c>
      <c r="G388" s="90">
        <f t="shared" si="56"/>
        <v>2.5229034531360162E-2</v>
      </c>
      <c r="H388" s="90">
        <f t="shared" si="56"/>
        <v>2.3556449296179283E-2</v>
      </c>
      <c r="I388" s="90">
        <f t="shared" si="56"/>
        <v>2.368225184383288E-3</v>
      </c>
      <c r="J388" s="90">
        <f t="shared" si="56"/>
        <v>-1.1933403907227413E-2</v>
      </c>
      <c r="K388" s="90">
        <f t="shared" si="56"/>
        <v>3.3807482462977489E-2</v>
      </c>
      <c r="L388" s="90">
        <f t="shared" si="56"/>
        <v>1.630434782608603E-3</v>
      </c>
      <c r="M388" s="90">
        <f t="shared" si="56"/>
        <v>-3.3602631014514328E-3</v>
      </c>
      <c r="N388" s="81">
        <f t="shared" si="56"/>
        <v>3.9799794970753144E-2</v>
      </c>
    </row>
    <row r="389" spans="2:14" hidden="1" outlineLevel="1" x14ac:dyDescent="0.3">
      <c r="B389" s="48">
        <v>45886</v>
      </c>
      <c r="C389" s="90">
        <f t="shared" ref="C389:N389" si="57">C122/C121-1</f>
        <v>1.8146015552557904E-2</v>
      </c>
      <c r="D389" s="90">
        <f t="shared" si="57"/>
        <v>7.3789305382838677E-3</v>
      </c>
      <c r="E389" s="90">
        <f t="shared" si="57"/>
        <v>-9.9523454468829486E-3</v>
      </c>
      <c r="F389" s="90">
        <f t="shared" si="57"/>
        <v>1.2180185084376793E-2</v>
      </c>
      <c r="G389" s="90">
        <f t="shared" si="57"/>
        <v>7.9048666483365615E-3</v>
      </c>
      <c r="H389" s="90">
        <f t="shared" si="57"/>
        <v>-3.0872859949481191E-3</v>
      </c>
      <c r="I389" s="90">
        <f t="shared" si="57"/>
        <v>1.5930876198190891E-2</v>
      </c>
      <c r="J389" s="90">
        <f t="shared" si="57"/>
        <v>1.7726697185156404E-2</v>
      </c>
      <c r="K389" s="90">
        <f t="shared" si="57"/>
        <v>1.196871171425884E-2</v>
      </c>
      <c r="L389" s="90">
        <f t="shared" si="57"/>
        <v>3.985048531982871E-2</v>
      </c>
      <c r="M389" s="90">
        <f t="shared" si="57"/>
        <v>2.173601147776183E-2</v>
      </c>
      <c r="N389" s="81">
        <f t="shared" si="57"/>
        <v>1.3570724351910979E-2</v>
      </c>
    </row>
    <row r="390" spans="2:14" hidden="1" outlineLevel="1" x14ac:dyDescent="0.3">
      <c r="B390" s="48">
        <v>45879</v>
      </c>
      <c r="C390" s="90">
        <f t="shared" ref="C390:N390" si="58">C123/C122-1</f>
        <v>-9.6018914278591661E-3</v>
      </c>
      <c r="D390" s="90">
        <f t="shared" si="58"/>
        <v>-1.7145469140836145E-2</v>
      </c>
      <c r="E390" s="90">
        <f t="shared" si="58"/>
        <v>-1.0379829731499646E-2</v>
      </c>
      <c r="F390" s="90">
        <f t="shared" si="58"/>
        <v>-2.6756302521008357E-2</v>
      </c>
      <c r="G390" s="90">
        <f t="shared" si="58"/>
        <v>1.6026733956216344E-2</v>
      </c>
      <c r="H390" s="90">
        <f t="shared" si="58"/>
        <v>-7.3600386100385329E-3</v>
      </c>
      <c r="I390" s="90">
        <f t="shared" si="58"/>
        <v>-1.2159468438538212E-2</v>
      </c>
      <c r="J390" s="90">
        <f t="shared" si="58"/>
        <v>-2.2298784572686414E-2</v>
      </c>
      <c r="K390" s="90">
        <f t="shared" si="58"/>
        <v>-1.4900353883404716E-2</v>
      </c>
      <c r="L390" s="90">
        <f t="shared" si="58"/>
        <v>-4.3483302411874147E-3</v>
      </c>
      <c r="M390" s="90">
        <f t="shared" si="58"/>
        <v>-4.5074773572983284E-2</v>
      </c>
      <c r="N390" s="81">
        <f t="shared" si="58"/>
        <v>-6.0479487326200121E-2</v>
      </c>
    </row>
    <row r="391" spans="2:14" hidden="1" outlineLevel="1" x14ac:dyDescent="0.3">
      <c r="B391" s="48">
        <v>45872</v>
      </c>
      <c r="C391" s="90">
        <f t="shared" ref="C391:N391" si="59">C124/C123-1</f>
        <v>-1.0880465099284198E-2</v>
      </c>
      <c r="D391" s="90">
        <f t="shared" si="59"/>
        <v>-1.2479473605640501E-2</v>
      </c>
      <c r="E391" s="90">
        <f t="shared" si="59"/>
        <v>4.6653211130596173E-3</v>
      </c>
      <c r="F391" s="90">
        <f t="shared" si="59"/>
        <v>-1.6992470815776817E-2</v>
      </c>
      <c r="G391" s="90">
        <f t="shared" si="59"/>
        <v>-9.4643576318967915E-3</v>
      </c>
      <c r="H391" s="90">
        <f t="shared" si="59"/>
        <v>-3.1441189579028417E-2</v>
      </c>
      <c r="I391" s="90">
        <f t="shared" si="59"/>
        <v>-4.237573148584084E-3</v>
      </c>
      <c r="J391" s="90">
        <f t="shared" si="59"/>
        <v>-1.8794048551292075E-2</v>
      </c>
      <c r="K391" s="90">
        <f t="shared" si="59"/>
        <v>-3.4694649272074107E-2</v>
      </c>
      <c r="L391" s="90">
        <f t="shared" si="59"/>
        <v>-1.8925056775170312E-2</v>
      </c>
      <c r="M391" s="90">
        <f t="shared" si="59"/>
        <v>-8.9331666789205233E-3</v>
      </c>
      <c r="N391" s="81">
        <f t="shared" si="59"/>
        <v>-2.1437271619975662E-2</v>
      </c>
    </row>
    <row r="392" spans="2:14" hidden="1" outlineLevel="1" x14ac:dyDescent="0.3">
      <c r="B392" s="48">
        <v>45865</v>
      </c>
      <c r="C392" s="90">
        <f t="shared" ref="C392:N392" si="60">C125/C124-1</f>
        <v>8.2932115107559046E-3</v>
      </c>
      <c r="D392" s="90">
        <f t="shared" si="60"/>
        <v>7.2997369071325924E-3</v>
      </c>
      <c r="E392" s="90">
        <f t="shared" si="60"/>
        <v>-1.0999868265050727E-2</v>
      </c>
      <c r="F392" s="90">
        <f t="shared" si="60"/>
        <v>3.2675145808446437E-2</v>
      </c>
      <c r="G392" s="90">
        <f t="shared" si="60"/>
        <v>-1.5992410381514E-2</v>
      </c>
      <c r="H392" s="90">
        <f t="shared" si="60"/>
        <v>1.547793348671811E-2</v>
      </c>
      <c r="I392" s="90">
        <f t="shared" si="60"/>
        <v>-2.8100513374763714E-2</v>
      </c>
      <c r="J392" s="90">
        <f t="shared" si="60"/>
        <v>1.0973663208300177E-3</v>
      </c>
      <c r="K392" s="90">
        <f t="shared" si="60"/>
        <v>-8.6181568896288585E-3</v>
      </c>
      <c r="L392" s="90">
        <f t="shared" si="60"/>
        <v>-5.401234567901203E-3</v>
      </c>
      <c r="M392" s="90">
        <f t="shared" si="60"/>
        <v>2.2812418858266348E-2</v>
      </c>
      <c r="N392" s="81">
        <f t="shared" si="60"/>
        <v>6.1924321633059609E-2</v>
      </c>
    </row>
    <row r="393" spans="2:14" hidden="1" outlineLevel="1" x14ac:dyDescent="0.3">
      <c r="B393" s="48">
        <v>45858</v>
      </c>
      <c r="C393" s="90">
        <f t="shared" ref="C393:N393" si="61">C126/C125-1</f>
        <v>1.1058258889045103E-2</v>
      </c>
      <c r="D393" s="90">
        <f t="shared" si="61"/>
        <v>2.8114321666051101E-2</v>
      </c>
      <c r="E393" s="90">
        <f t="shared" si="61"/>
        <v>4.4222444222444368E-2</v>
      </c>
      <c r="F393" s="90">
        <f t="shared" si="61"/>
        <v>3.1369080021774742E-2</v>
      </c>
      <c r="G393" s="90">
        <f t="shared" si="61"/>
        <v>2.6168996625576701E-2</v>
      </c>
      <c r="H393" s="90">
        <f t="shared" si="61"/>
        <v>6.7765190525231667E-2</v>
      </c>
      <c r="I393" s="90">
        <f t="shared" si="61"/>
        <v>1.6055045871559814E-2</v>
      </c>
      <c r="J393" s="90">
        <f t="shared" si="61"/>
        <v>1.5645241654210329E-2</v>
      </c>
      <c r="K393" s="90">
        <f t="shared" si="61"/>
        <v>1.7583720241035161E-2</v>
      </c>
      <c r="L393" s="90">
        <f t="shared" si="61"/>
        <v>2.7510890970937618E-2</v>
      </c>
      <c r="M393" s="90">
        <f t="shared" si="61"/>
        <v>-4.8016247189381356E-2</v>
      </c>
      <c r="N393" s="81">
        <f t="shared" si="61"/>
        <v>-1.0256109711070716E-2</v>
      </c>
    </row>
    <row r="394" spans="2:14" hidden="1" outlineLevel="1" x14ac:dyDescent="0.3">
      <c r="B394" s="48">
        <v>45851</v>
      </c>
      <c r="C394" s="90">
        <f t="shared" ref="C394:N394" si="62">C127/C126-1</f>
        <v>5.2904940210170004E-3</v>
      </c>
      <c r="D394" s="90">
        <f t="shared" si="62"/>
        <v>4.2616232148496414E-2</v>
      </c>
      <c r="E394" s="90">
        <f t="shared" si="62"/>
        <v>1.725237578927219E-2</v>
      </c>
      <c r="F394" s="90">
        <f t="shared" si="62"/>
        <v>4.6447186118624861E-2</v>
      </c>
      <c r="G394" s="90">
        <f t="shared" si="62"/>
        <v>3.9393329306757874E-2</v>
      </c>
      <c r="H394" s="90">
        <f t="shared" si="62"/>
        <v>2.9899691358024727E-2</v>
      </c>
      <c r="I394" s="90">
        <f t="shared" si="62"/>
        <v>5.9511594500307741E-2</v>
      </c>
      <c r="J394" s="90">
        <f t="shared" si="62"/>
        <v>5.494505494505475E-3</v>
      </c>
      <c r="K394" s="90">
        <f t="shared" si="62"/>
        <v>7.7079895155810041E-2</v>
      </c>
      <c r="L394" s="90">
        <f t="shared" si="62"/>
        <v>2.1082587989313506E-2</v>
      </c>
      <c r="M394" s="90">
        <f t="shared" si="62"/>
        <v>7.9123809523809374E-2</v>
      </c>
      <c r="N394" s="81">
        <f t="shared" si="62"/>
        <v>0.10095926101373753</v>
      </c>
    </row>
    <row r="395" spans="2:14" hidden="1" outlineLevel="1" x14ac:dyDescent="0.3">
      <c r="B395" s="48">
        <v>45844</v>
      </c>
      <c r="C395" s="90">
        <f t="shared" ref="C395:N395" si="63">C128/C127-1</f>
        <v>7.267185722753533E-3</v>
      </c>
      <c r="D395" s="90">
        <f t="shared" si="63"/>
        <v>1.4844420990848484E-2</v>
      </c>
      <c r="E395" s="90">
        <f t="shared" si="63"/>
        <v>2.3856547227185887E-2</v>
      </c>
      <c r="F395" s="90">
        <f t="shared" si="63"/>
        <v>5.5481999873905341E-3</v>
      </c>
      <c r="G395" s="90">
        <f t="shared" si="63"/>
        <v>5.7786673553718915E-2</v>
      </c>
      <c r="H395" s="90">
        <f t="shared" si="63"/>
        <v>-3.2403071736280098E-2</v>
      </c>
      <c r="I395" s="90">
        <f t="shared" si="63"/>
        <v>3.4605203692943398E-2</v>
      </c>
      <c r="J395" s="90">
        <f t="shared" si="63"/>
        <v>1.6003122560499516E-2</v>
      </c>
      <c r="K395" s="90">
        <f t="shared" si="63"/>
        <v>5.5881027489861346E-3</v>
      </c>
      <c r="L395" s="90">
        <f t="shared" si="63"/>
        <v>-1.7575792048233896E-2</v>
      </c>
      <c r="M395" s="90">
        <f t="shared" si="63"/>
        <v>2.153422529742155E-3</v>
      </c>
      <c r="N395" s="81">
        <f t="shared" si="63"/>
        <v>4.5716129726240951E-3</v>
      </c>
    </row>
    <row r="396" spans="2:14" hidden="1" outlineLevel="1" x14ac:dyDescent="0.3">
      <c r="B396" s="48">
        <v>45837</v>
      </c>
      <c r="C396" s="90">
        <f t="shared" ref="C396:N396" si="64">C129/C128-1</f>
        <v>1.2371843172026997E-2</v>
      </c>
      <c r="D396" s="90">
        <f t="shared" si="64"/>
        <v>3.9086573856061735E-2</v>
      </c>
      <c r="E396" s="90">
        <f t="shared" si="64"/>
        <v>4.7091243110839009E-2</v>
      </c>
      <c r="F396" s="90">
        <f t="shared" si="64"/>
        <v>2.8716533951971934E-2</v>
      </c>
      <c r="G396" s="90">
        <f t="shared" si="64"/>
        <v>5.3470060428493005E-2</v>
      </c>
      <c r="H396" s="90">
        <f t="shared" si="64"/>
        <v>4.5489740611691865E-2</v>
      </c>
      <c r="I396" s="90">
        <f t="shared" si="64"/>
        <v>3.2886115444617836E-2</v>
      </c>
      <c r="J396" s="90">
        <f t="shared" si="64"/>
        <v>2.1129466000768371E-2</v>
      </c>
      <c r="K396" s="90">
        <f t="shared" si="64"/>
        <v>5.6914941292462107E-2</v>
      </c>
      <c r="L396" s="90">
        <f t="shared" si="64"/>
        <v>5.4770727188513169E-2</v>
      </c>
      <c r="M396" s="90">
        <f t="shared" si="64"/>
        <v>3.0083133718472377E-2</v>
      </c>
      <c r="N396" s="81">
        <f t="shared" si="64"/>
        <v>4.4330228075811107E-2</v>
      </c>
    </row>
    <row r="397" spans="2:14" hidden="1" outlineLevel="1" x14ac:dyDescent="0.3">
      <c r="B397" s="48">
        <v>45830</v>
      </c>
      <c r="C397" s="90">
        <f t="shared" ref="C397:N397" si="65">C130/C129-1</f>
        <v>6.9439534975059836E-3</v>
      </c>
      <c r="D397" s="90">
        <f t="shared" si="65"/>
        <v>-8.7727920891680355E-3</v>
      </c>
      <c r="E397" s="90">
        <f t="shared" si="65"/>
        <v>6.2284344113689993E-3</v>
      </c>
      <c r="F397" s="90">
        <f t="shared" si="65"/>
        <v>-1.9930517462058872E-2</v>
      </c>
      <c r="G397" s="90">
        <f t="shared" si="65"/>
        <v>-1.5064603974738189E-3</v>
      </c>
      <c r="H397" s="90">
        <f t="shared" si="65"/>
        <v>-1.8515089798185502E-2</v>
      </c>
      <c r="I397" s="90">
        <f t="shared" si="65"/>
        <v>1.1599806669888801E-2</v>
      </c>
      <c r="J397" s="90">
        <f t="shared" si="65"/>
        <v>-4.3265613243039791E-3</v>
      </c>
      <c r="K397" s="90">
        <f t="shared" si="65"/>
        <v>1.9419945725915877E-2</v>
      </c>
      <c r="L397" s="90">
        <f t="shared" si="65"/>
        <v>-1.2954221100010987E-2</v>
      </c>
      <c r="M397" s="90">
        <f t="shared" si="65"/>
        <v>-4.2473155050954059E-2</v>
      </c>
      <c r="N397" s="81">
        <f t="shared" si="65"/>
        <v>-2.6197067568953125E-2</v>
      </c>
    </row>
    <row r="398" spans="2:14" hidden="1" outlineLevel="1" x14ac:dyDescent="0.3">
      <c r="B398" s="48">
        <v>45823</v>
      </c>
      <c r="C398" s="90">
        <f t="shared" ref="C398:N398" si="66">C131/C130-1</f>
        <v>-2.0493178041797622E-2</v>
      </c>
      <c r="D398" s="90">
        <f t="shared" si="66"/>
        <v>4.3402162895915808E-3</v>
      </c>
      <c r="E398" s="90">
        <f t="shared" si="66"/>
        <v>-1.569265641800599E-3</v>
      </c>
      <c r="F398" s="90">
        <f t="shared" si="66"/>
        <v>9.2661691542288427E-3</v>
      </c>
      <c r="G398" s="90">
        <f t="shared" si="66"/>
        <v>9.6326814832008445E-3</v>
      </c>
      <c r="H398" s="90">
        <f t="shared" si="66"/>
        <v>5.6215808338049289E-3</v>
      </c>
      <c r="I398" s="90">
        <f t="shared" si="66"/>
        <v>1.295986622073575E-2</v>
      </c>
      <c r="J398" s="90">
        <f t="shared" si="66"/>
        <v>1.5775552616663413E-2</v>
      </c>
      <c r="K398" s="90">
        <f t="shared" si="66"/>
        <v>1.5972048914399739E-2</v>
      </c>
      <c r="L398" s="90">
        <f t="shared" si="66"/>
        <v>4.4989433878322771E-2</v>
      </c>
      <c r="M398" s="90">
        <f t="shared" si="66"/>
        <v>-3.7107142857142894E-2</v>
      </c>
      <c r="N398" s="81">
        <f t="shared" si="66"/>
        <v>-3.5535667280863437E-2</v>
      </c>
    </row>
    <row r="399" spans="2:14" hidden="1" outlineLevel="1" x14ac:dyDescent="0.3">
      <c r="B399" s="48">
        <v>45816</v>
      </c>
      <c r="C399" s="90">
        <f t="shared" ref="C399:N399" si="67">C132/C131-1</f>
        <v>-1.568149599401103E-2</v>
      </c>
      <c r="D399" s="90">
        <f t="shared" si="67"/>
        <v>-1.339267967721125E-2</v>
      </c>
      <c r="E399" s="90">
        <f t="shared" si="67"/>
        <v>2.9106150129523112E-3</v>
      </c>
      <c r="F399" s="90">
        <f t="shared" si="67"/>
        <v>-1.2878181033951663E-2</v>
      </c>
      <c r="G399" s="90">
        <f t="shared" si="67"/>
        <v>-2.5633657106730379E-2</v>
      </c>
      <c r="H399" s="90">
        <f t="shared" si="67"/>
        <v>-2.3748780670818759E-2</v>
      </c>
      <c r="I399" s="90">
        <f t="shared" si="67"/>
        <v>-2.1873710276516634E-2</v>
      </c>
      <c r="J399" s="90">
        <f t="shared" si="67"/>
        <v>9.7647168232122272E-3</v>
      </c>
      <c r="K399" s="90">
        <f t="shared" si="67"/>
        <v>-3.668222385982145E-2</v>
      </c>
      <c r="L399" s="90">
        <f t="shared" si="67"/>
        <v>8.8340162843913994E-3</v>
      </c>
      <c r="M399" s="90">
        <f t="shared" si="67"/>
        <v>-1.9250027817959259E-2</v>
      </c>
      <c r="N399" s="81">
        <f t="shared" si="67"/>
        <v>-2.1561135371178985E-2</v>
      </c>
    </row>
    <row r="400" spans="2:14" hidden="1" outlineLevel="1" x14ac:dyDescent="0.3">
      <c r="B400" s="48">
        <v>45809</v>
      </c>
      <c r="C400" s="90">
        <f t="shared" ref="C400:N400" si="68">C133/C132-1</f>
        <v>1.1507528743537332E-2</v>
      </c>
      <c r="D400" s="90">
        <f t="shared" si="68"/>
        <v>-3.0528279080044518E-2</v>
      </c>
      <c r="E400" s="90">
        <f t="shared" si="68"/>
        <v>-1.7848332704530234E-2</v>
      </c>
      <c r="F400" s="90">
        <f t="shared" si="68"/>
        <v>-2.384519350811487E-2</v>
      </c>
      <c r="G400" s="90">
        <f t="shared" si="68"/>
        <v>-3.3976287382764037E-2</v>
      </c>
      <c r="H400" s="90">
        <f t="shared" si="68"/>
        <v>-4.4656239191422253E-2</v>
      </c>
      <c r="I400" s="90">
        <f t="shared" si="68"/>
        <v>-5.2983725135623883E-2</v>
      </c>
      <c r="J400" s="90">
        <f t="shared" si="68"/>
        <v>-4.144409651869585E-2</v>
      </c>
      <c r="K400" s="90">
        <f t="shared" si="68"/>
        <v>-3.5019124521886935E-2</v>
      </c>
      <c r="L400" s="90">
        <f t="shared" si="68"/>
        <v>-7.3060083346521032E-2</v>
      </c>
      <c r="M400" s="90">
        <f t="shared" si="68"/>
        <v>-3.744043567052413E-2</v>
      </c>
      <c r="N400" s="81">
        <f t="shared" si="68"/>
        <v>-9.4839609483960974E-3</v>
      </c>
    </row>
    <row r="401" spans="2:14" hidden="1" outlineLevel="1" x14ac:dyDescent="0.3">
      <c r="B401" s="48">
        <v>45802</v>
      </c>
      <c r="C401" s="90">
        <f t="shared" ref="C401:N401" si="69">C134/C133-1</f>
        <v>-1.0092768682220754E-2</v>
      </c>
      <c r="D401" s="90">
        <f t="shared" si="69"/>
        <v>7.2127921147302487E-4</v>
      </c>
      <c r="E401" s="90">
        <f t="shared" si="69"/>
        <v>2.3402872170675604E-2</v>
      </c>
      <c r="F401" s="90">
        <f t="shared" si="69"/>
        <v>-7.0341475892055083E-4</v>
      </c>
      <c r="G401" s="90">
        <f t="shared" si="69"/>
        <v>-6.7167368870990618E-4</v>
      </c>
      <c r="H401" s="90">
        <f t="shared" si="69"/>
        <v>4.3445029969024773E-3</v>
      </c>
      <c r="I401" s="90">
        <f t="shared" si="69"/>
        <v>1.7821908217174887E-3</v>
      </c>
      <c r="J401" s="90">
        <f t="shared" si="69"/>
        <v>-2.596079938508844E-2</v>
      </c>
      <c r="K401" s="90">
        <f t="shared" si="69"/>
        <v>-6.7823482779881816E-3</v>
      </c>
      <c r="L401" s="90">
        <f t="shared" si="69"/>
        <v>-3.6819940814932894E-2</v>
      </c>
      <c r="M401" s="90">
        <f t="shared" si="69"/>
        <v>5.3433914820055772E-3</v>
      </c>
      <c r="N401" s="81">
        <f t="shared" si="69"/>
        <v>-3.6834694452267058E-2</v>
      </c>
    </row>
    <row r="402" spans="2:14" hidden="1" outlineLevel="1" x14ac:dyDescent="0.3">
      <c r="B402" s="48">
        <v>45795</v>
      </c>
      <c r="C402" s="90">
        <f t="shared" ref="C402:N402" si="70">C135/C134-1</f>
        <v>4.139276868937003E-3</v>
      </c>
      <c r="D402" s="90">
        <f t="shared" si="70"/>
        <v>2.1917514586000664E-3</v>
      </c>
      <c r="E402" s="90">
        <f t="shared" si="70"/>
        <v>1.478316105560995E-2</v>
      </c>
      <c r="F402" s="90">
        <f t="shared" si="70"/>
        <v>1.34382799001731E-3</v>
      </c>
      <c r="G402" s="90">
        <f t="shared" si="70"/>
        <v>7.0878650861543324E-3</v>
      </c>
      <c r="H402" s="90">
        <f t="shared" si="70"/>
        <v>-9.2522129210557136E-3</v>
      </c>
      <c r="I402" s="90">
        <f t="shared" si="70"/>
        <v>4.066332041425591E-3</v>
      </c>
      <c r="J402" s="90">
        <f t="shared" si="70"/>
        <v>-4.5572017597504955E-3</v>
      </c>
      <c r="K402" s="90">
        <f t="shared" si="70"/>
        <v>4.256828662646317E-3</v>
      </c>
      <c r="L402" s="90">
        <f t="shared" si="70"/>
        <v>-1.1344165435745901E-2</v>
      </c>
      <c r="M402" s="90">
        <f t="shared" si="70"/>
        <v>-6.8000625293106465E-3</v>
      </c>
      <c r="N402" s="81">
        <f t="shared" si="70"/>
        <v>-2.6782059528682511E-2</v>
      </c>
    </row>
    <row r="403" spans="2:14" hidden="1" outlineLevel="1" x14ac:dyDescent="0.3">
      <c r="B403" s="48">
        <v>45788</v>
      </c>
      <c r="C403" s="90">
        <f t="shared" ref="C403:N403" si="71">C136/C135-1</f>
        <v>6.705387445856914E-3</v>
      </c>
      <c r="D403" s="90">
        <f t="shared" si="71"/>
        <v>1.5207112693848446E-2</v>
      </c>
      <c r="E403" s="90">
        <f t="shared" si="71"/>
        <v>1.328742957946849E-2</v>
      </c>
      <c r="F403" s="90">
        <f t="shared" si="71"/>
        <v>1.6040388548057338E-2</v>
      </c>
      <c r="G403" s="90">
        <f t="shared" si="71"/>
        <v>7.0986530760830391E-3</v>
      </c>
      <c r="H403" s="90">
        <f t="shared" si="71"/>
        <v>2.8096701164294968E-2</v>
      </c>
      <c r="I403" s="90">
        <f t="shared" si="71"/>
        <v>2.3223438587610001E-2</v>
      </c>
      <c r="J403" s="90">
        <f t="shared" si="71"/>
        <v>3.9636925760033748E-4</v>
      </c>
      <c r="K403" s="90">
        <f t="shared" si="71"/>
        <v>6.5347933592370122E-3</v>
      </c>
      <c r="L403" s="90">
        <f t="shared" si="71"/>
        <v>3.9443016793163199E-2</v>
      </c>
      <c r="M403" s="90">
        <f t="shared" si="71"/>
        <v>2.321555048398527E-2</v>
      </c>
      <c r="N403" s="81">
        <f t="shared" si="71"/>
        <v>1.2557832121612655E-2</v>
      </c>
    </row>
    <row r="404" spans="2:14" hidden="1" outlineLevel="1" x14ac:dyDescent="0.3">
      <c r="B404" s="48">
        <v>45781</v>
      </c>
      <c r="C404" s="90">
        <f t="shared" ref="C404:N404" si="72">C137/C136-1</f>
        <v>-4.0439971542538311E-2</v>
      </c>
      <c r="D404" s="90">
        <f t="shared" si="72"/>
        <v>-5.5099302518806459E-2</v>
      </c>
      <c r="E404" s="90">
        <f t="shared" si="72"/>
        <v>-3.3976356948305364E-2</v>
      </c>
      <c r="F404" s="90">
        <f t="shared" si="72"/>
        <v>-5.1764261903264441E-2</v>
      </c>
      <c r="G404" s="90">
        <f t="shared" si="72"/>
        <v>-5.4521356708235436E-2</v>
      </c>
      <c r="H404" s="90">
        <f t="shared" si="72"/>
        <v>-4.8366167276159056E-2</v>
      </c>
      <c r="I404" s="90">
        <f t="shared" si="72"/>
        <v>-7.6252319109461952E-2</v>
      </c>
      <c r="J404" s="90">
        <f t="shared" si="72"/>
        <v>-8.4432822219580816E-2</v>
      </c>
      <c r="K404" s="90">
        <f t="shared" si="72"/>
        <v>-4.4920161431830197E-2</v>
      </c>
      <c r="L404" s="90">
        <f t="shared" si="72"/>
        <v>-8.0837118380957862E-2</v>
      </c>
      <c r="M404" s="90">
        <f t="shared" si="72"/>
        <v>-8.194893093370248E-2</v>
      </c>
      <c r="N404" s="81">
        <f t="shared" si="72"/>
        <v>-8.8416805126987907E-2</v>
      </c>
    </row>
    <row r="405" spans="2:14" hidden="1" outlineLevel="1" x14ac:dyDescent="0.3">
      <c r="B405" s="48">
        <v>45774</v>
      </c>
      <c r="C405" s="90">
        <f t="shared" ref="C405:N405" si="73">C138/C137-1</f>
        <v>1.4107797400866318E-2</v>
      </c>
      <c r="D405" s="90">
        <f t="shared" si="73"/>
        <v>3.2747957781609216E-4</v>
      </c>
      <c r="E405" s="90">
        <f t="shared" si="73"/>
        <v>1.2789582303867064E-3</v>
      </c>
      <c r="F405" s="90">
        <f t="shared" si="73"/>
        <v>-5.3064473335096007E-4</v>
      </c>
      <c r="G405" s="90">
        <f t="shared" si="73"/>
        <v>4.524021919204646E-3</v>
      </c>
      <c r="H405" s="90">
        <f t="shared" si="73"/>
        <v>3.5535721664394782E-3</v>
      </c>
      <c r="I405" s="90">
        <f t="shared" si="73"/>
        <v>1.7406440382941035E-3</v>
      </c>
      <c r="J405" s="90">
        <f t="shared" si="73"/>
        <v>-9.0228492297041996E-3</v>
      </c>
      <c r="K405" s="90">
        <f t="shared" si="73"/>
        <v>-3.2151387102701268E-3</v>
      </c>
      <c r="L405" s="90">
        <f t="shared" si="73"/>
        <v>8.757115156064299E-2</v>
      </c>
      <c r="M405" s="90">
        <f t="shared" si="73"/>
        <v>3.0746031081137604E-2</v>
      </c>
      <c r="N405" s="81">
        <f t="shared" si="73"/>
        <v>-3.8927223017836243E-2</v>
      </c>
    </row>
    <row r="406" spans="2:14" hidden="1" outlineLevel="1" x14ac:dyDescent="0.3">
      <c r="B406" s="48">
        <v>45767</v>
      </c>
      <c r="C406" s="90">
        <f t="shared" ref="C406:N406" si="74">C139/C138-1</f>
        <v>-1.2623887426222113E-2</v>
      </c>
      <c r="D406" s="90">
        <f t="shared" si="74"/>
        <v>-9.1831432483975295E-3</v>
      </c>
      <c r="E406" s="90">
        <f t="shared" si="74"/>
        <v>9.5799343919655833E-4</v>
      </c>
      <c r="F406" s="90">
        <f t="shared" si="74"/>
        <v>-1.7653305017255039E-2</v>
      </c>
      <c r="G406" s="90">
        <f t="shared" si="74"/>
        <v>1.0783380907073425E-3</v>
      </c>
      <c r="H406" s="90">
        <f t="shared" si="74"/>
        <v>-8.1113352822497209E-3</v>
      </c>
      <c r="I406" s="90">
        <f t="shared" si="74"/>
        <v>-2.2923210586112353E-2</v>
      </c>
      <c r="J406" s="90">
        <f t="shared" si="74"/>
        <v>-1.7816982903556711E-2</v>
      </c>
      <c r="K406" s="90">
        <f t="shared" si="74"/>
        <v>-2.8015851073633802E-2</v>
      </c>
      <c r="L406" s="90">
        <f t="shared" si="74"/>
        <v>-1.0295048024386078E-2</v>
      </c>
      <c r="M406" s="90">
        <f t="shared" si="74"/>
        <v>3.1657658389889098E-2</v>
      </c>
      <c r="N406" s="81">
        <f t="shared" si="74"/>
        <v>1.0837171498239151E-3</v>
      </c>
    </row>
    <row r="407" spans="2:14" hidden="1" outlineLevel="1" x14ac:dyDescent="0.3">
      <c r="B407" s="48">
        <v>45760</v>
      </c>
      <c r="C407" s="90">
        <f t="shared" ref="C407:N407" si="75">C140/C139-1</f>
        <v>-7.8080314151587338E-3</v>
      </c>
      <c r="D407" s="90">
        <f t="shared" si="75"/>
        <v>-6.1579343264276054E-2</v>
      </c>
      <c r="E407" s="90">
        <f t="shared" si="75"/>
        <v>-4.3242459396751753E-2</v>
      </c>
      <c r="F407" s="90">
        <f t="shared" si="75"/>
        <v>-4.1007971895689832E-2</v>
      </c>
      <c r="G407" s="90">
        <f t="shared" si="75"/>
        <v>-8.8835382080851621E-2</v>
      </c>
      <c r="H407" s="90">
        <f t="shared" si="75"/>
        <v>-1.6604400166044031E-2</v>
      </c>
      <c r="I407" s="90">
        <f t="shared" si="75"/>
        <v>-0.10615595075239403</v>
      </c>
      <c r="J407" s="90">
        <f t="shared" si="75"/>
        <v>-6.81146210790744E-2</v>
      </c>
      <c r="K407" s="90">
        <f t="shared" si="75"/>
        <v>-8.2961979709870071E-2</v>
      </c>
      <c r="L407" s="90">
        <f t="shared" si="75"/>
        <v>-7.6011157601115764E-2</v>
      </c>
      <c r="M407" s="90">
        <f t="shared" si="75"/>
        <v>-0.10434885369888924</v>
      </c>
      <c r="N407" s="81">
        <f t="shared" si="75"/>
        <v>-0.10690121786197559</v>
      </c>
    </row>
    <row r="408" spans="2:14" hidden="1" outlineLevel="1" x14ac:dyDescent="0.3">
      <c r="B408" s="48">
        <v>45753</v>
      </c>
      <c r="C408" s="90">
        <f t="shared" ref="C408:N408" si="76">C141/C140-1</f>
        <v>-4.2894307102443685E-2</v>
      </c>
      <c r="D408" s="90">
        <f t="shared" si="76"/>
        <v>-1.8922850803134939E-2</v>
      </c>
      <c r="E408" s="90">
        <f t="shared" si="76"/>
        <v>-2.0431052775167546E-2</v>
      </c>
      <c r="F408" s="90">
        <f t="shared" si="76"/>
        <v>-7.079957731595643E-3</v>
      </c>
      <c r="G408" s="90">
        <f t="shared" si="76"/>
        <v>-3.2997218358831737E-2</v>
      </c>
      <c r="H408" s="90">
        <f t="shared" si="76"/>
        <v>1.2030392570704818E-2</v>
      </c>
      <c r="I408" s="90">
        <f t="shared" si="76"/>
        <v>-1.8786348331802816E-2</v>
      </c>
      <c r="J408" s="90">
        <f t="shared" si="76"/>
        <v>1.1665354612466983E-2</v>
      </c>
      <c r="K408" s="90">
        <f t="shared" si="76"/>
        <v>-6.0256410256410153E-2</v>
      </c>
      <c r="L408" s="90">
        <f t="shared" si="76"/>
        <v>-4.6559748427672965E-2</v>
      </c>
      <c r="M408" s="90">
        <f t="shared" si="76"/>
        <v>-4.9764700708096798E-2</v>
      </c>
      <c r="N408" s="81">
        <f t="shared" si="76"/>
        <v>-4.2931818181818238E-2</v>
      </c>
    </row>
    <row r="409" spans="2:14" hidden="1" outlineLevel="1" x14ac:dyDescent="0.3">
      <c r="B409" s="48">
        <v>45746</v>
      </c>
      <c r="C409" s="90">
        <f t="shared" ref="C409:N409" si="77">C142/C141-1</f>
        <v>3.3247840971064591E-3</v>
      </c>
      <c r="D409" s="90">
        <f t="shared" si="77"/>
        <v>2.3536346796127816E-2</v>
      </c>
      <c r="E409" s="90">
        <f t="shared" si="77"/>
        <v>2.1011913971839657E-2</v>
      </c>
      <c r="F409" s="90">
        <f t="shared" si="77"/>
        <v>2.9940757032885124E-2</v>
      </c>
      <c r="G409" s="90">
        <f t="shared" si="77"/>
        <v>2.2688864118514118E-2</v>
      </c>
      <c r="H409" s="90">
        <f t="shared" si="77"/>
        <v>2.7320125130344097E-2</v>
      </c>
      <c r="I409" s="90">
        <f t="shared" si="77"/>
        <v>3.0181321895106361E-2</v>
      </c>
      <c r="J409" s="90">
        <f t="shared" si="77"/>
        <v>-2.4653367289190764E-2</v>
      </c>
      <c r="K409" s="90">
        <f t="shared" si="77"/>
        <v>1.4379703384236109E-2</v>
      </c>
      <c r="L409" s="90">
        <f t="shared" si="77"/>
        <v>-7.6914450813670987E-3</v>
      </c>
      <c r="M409" s="90">
        <f t="shared" si="77"/>
        <v>3.1774316724907825E-2</v>
      </c>
      <c r="N409" s="81">
        <f t="shared" si="77"/>
        <v>4.6108301077311564E-2</v>
      </c>
    </row>
    <row r="410" spans="2:14" hidden="1" outlineLevel="1" x14ac:dyDescent="0.3">
      <c r="B410" s="48">
        <v>45739</v>
      </c>
      <c r="C410" s="90">
        <f t="shared" ref="C410:N410" si="78">C143/C142-1</f>
        <v>2.6846311524616251E-2</v>
      </c>
      <c r="D410" s="90">
        <f t="shared" si="78"/>
        <v>0.10070289408545441</v>
      </c>
      <c r="E410" s="90">
        <f t="shared" si="78"/>
        <v>9.2971449354428026E-2</v>
      </c>
      <c r="F410" s="90">
        <f t="shared" si="78"/>
        <v>8.1975682843660636E-2</v>
      </c>
      <c r="G410" s="90">
        <f t="shared" si="78"/>
        <v>0.11982279727164058</v>
      </c>
      <c r="H410" s="90">
        <f t="shared" si="78"/>
        <v>6.4758424685342986E-2</v>
      </c>
      <c r="I410" s="90">
        <f t="shared" si="78"/>
        <v>7.3659108974601484E-2</v>
      </c>
      <c r="J410" s="90">
        <f t="shared" si="78"/>
        <v>8.5850710184345758E-2</v>
      </c>
      <c r="K410" s="90">
        <f t="shared" si="78"/>
        <v>0.19605418713868916</v>
      </c>
      <c r="L410" s="90">
        <f t="shared" si="78"/>
        <v>4.3787517200576831E-2</v>
      </c>
      <c r="M410" s="90">
        <f t="shared" si="78"/>
        <v>0.12156827561457018</v>
      </c>
      <c r="N410" s="81">
        <f t="shared" si="78"/>
        <v>0.22719774814994165</v>
      </c>
    </row>
    <row r="411" spans="2:14" hidden="1" outlineLevel="1" x14ac:dyDescent="0.3">
      <c r="B411" s="48">
        <v>45732</v>
      </c>
      <c r="C411" s="90">
        <f t="shared" ref="C411:N411" si="79">C144/C143-1</f>
        <v>-7.1834468214468927E-3</v>
      </c>
      <c r="D411" s="90">
        <f t="shared" si="79"/>
        <v>-4.9707003848327158E-3</v>
      </c>
      <c r="E411" s="90">
        <f t="shared" si="79"/>
        <v>-7.7783786032195046E-3</v>
      </c>
      <c r="F411" s="90">
        <f t="shared" si="79"/>
        <v>1.3943271893801734E-2</v>
      </c>
      <c r="G411" s="90">
        <f t="shared" si="79"/>
        <v>-1.6200941915227585E-2</v>
      </c>
      <c r="H411" s="90">
        <f t="shared" si="79"/>
        <v>7.8169685414681833E-3</v>
      </c>
      <c r="I411" s="90">
        <f t="shared" si="79"/>
        <v>-6.3458487572712885E-3</v>
      </c>
      <c r="J411" s="90">
        <f t="shared" si="79"/>
        <v>6.4345909359100339E-3</v>
      </c>
      <c r="K411" s="90">
        <f t="shared" si="79"/>
        <v>-4.3201088188619341E-2</v>
      </c>
      <c r="L411" s="90">
        <f t="shared" si="79"/>
        <v>-2.6302716885962085E-2</v>
      </c>
      <c r="M411" s="90">
        <f t="shared" si="79"/>
        <v>-2.8097752179825575E-2</v>
      </c>
      <c r="N411" s="81">
        <f t="shared" si="79"/>
        <v>-4.4689981749124419E-2</v>
      </c>
    </row>
    <row r="412" spans="2:14" hidden="1" outlineLevel="1" x14ac:dyDescent="0.3">
      <c r="B412" s="48">
        <v>45725</v>
      </c>
      <c r="C412" s="90">
        <f t="shared" ref="C412:N412" si="80">C145/C144-1</f>
        <v>-4.0821570508428162E-2</v>
      </c>
      <c r="D412" s="90">
        <f t="shared" si="80"/>
        <v>-1.5810782828558079E-2</v>
      </c>
      <c r="E412" s="90">
        <f t="shared" si="80"/>
        <v>-1.8738995556300764E-2</v>
      </c>
      <c r="F412" s="90">
        <f t="shared" si="80"/>
        <v>-7.9746318796898308E-3</v>
      </c>
      <c r="G412" s="90">
        <f t="shared" si="80"/>
        <v>-2.039318312376337E-2</v>
      </c>
      <c r="H412" s="90">
        <f t="shared" si="80"/>
        <v>-1.1350737797957144E-3</v>
      </c>
      <c r="I412" s="90">
        <f t="shared" si="80"/>
        <v>2.228135533084985E-2</v>
      </c>
      <c r="J412" s="90">
        <f t="shared" si="80"/>
        <v>-1.1769260549748362E-2</v>
      </c>
      <c r="K412" s="90">
        <f t="shared" si="80"/>
        <v>-2.8395143634313058E-2</v>
      </c>
      <c r="L412" s="90">
        <f t="shared" si="80"/>
        <v>-4.1389775521950667E-2</v>
      </c>
      <c r="M412" s="90">
        <f t="shared" si="80"/>
        <v>-9.2512191608880689E-2</v>
      </c>
      <c r="N412" s="81">
        <f t="shared" si="80"/>
        <v>-5.8675840346981922E-2</v>
      </c>
    </row>
    <row r="413" spans="2:14" hidden="1" outlineLevel="1" x14ac:dyDescent="0.3">
      <c r="B413" s="48">
        <v>45718</v>
      </c>
      <c r="C413" s="90">
        <f t="shared" ref="C413:N413" si="81">C146/C145-1</f>
        <v>6.9339024520922443E-3</v>
      </c>
      <c r="D413" s="90">
        <f t="shared" si="81"/>
        <v>4.7005329088518177E-2</v>
      </c>
      <c r="E413" s="90">
        <f t="shared" si="81"/>
        <v>2.8524230643254711E-2</v>
      </c>
      <c r="F413" s="90">
        <f t="shared" si="81"/>
        <v>6.7189923093964765E-2</v>
      </c>
      <c r="G413" s="90">
        <f t="shared" si="81"/>
        <v>1.5116468480208534E-2</v>
      </c>
      <c r="H413" s="90">
        <f t="shared" si="81"/>
        <v>7.8787878787878851E-2</v>
      </c>
      <c r="I413" s="90">
        <f t="shared" si="81"/>
        <v>3.5886578974768213E-2</v>
      </c>
      <c r="J413" s="90">
        <f t="shared" si="81"/>
        <v>5.7062267044246218E-2</v>
      </c>
      <c r="K413" s="90">
        <f t="shared" si="81"/>
        <v>2.9859045017802233E-2</v>
      </c>
      <c r="L413" s="90">
        <f t="shared" si="81"/>
        <v>3.2901200873362457E-2</v>
      </c>
      <c r="M413" s="90">
        <f t="shared" si="81"/>
        <v>4.4033285717524739E-2</v>
      </c>
      <c r="N413" s="81">
        <f t="shared" si="81"/>
        <v>5.6909732935650936E-2</v>
      </c>
    </row>
    <row r="414" spans="2:14" hidden="1" outlineLevel="1" x14ac:dyDescent="0.3">
      <c r="B414" s="48">
        <v>45711</v>
      </c>
      <c r="C414" s="90">
        <f t="shared" ref="C414:N414" si="82">C147/C146-1</f>
        <v>-1.8969072164948475E-2</v>
      </c>
      <c r="D414" s="90">
        <f t="shared" si="82"/>
        <v>-1.3277208494346104E-2</v>
      </c>
      <c r="E414" s="90">
        <f t="shared" si="82"/>
        <v>-3.5431435533894495E-2</v>
      </c>
      <c r="F414" s="90">
        <f t="shared" si="82"/>
        <v>1.0083036773429477E-3</v>
      </c>
      <c r="G414" s="90">
        <f t="shared" si="82"/>
        <v>1.0975962001347872E-2</v>
      </c>
      <c r="H414" s="90">
        <f t="shared" si="82"/>
        <v>-2.5105337078651813E-2</v>
      </c>
      <c r="I414" s="90">
        <f t="shared" si="82"/>
        <v>-3.0153784299929987E-3</v>
      </c>
      <c r="J414" s="90">
        <f t="shared" si="82"/>
        <v>-1.1859507195120633E-2</v>
      </c>
      <c r="K414" s="90">
        <f t="shared" si="82"/>
        <v>4.754868530726597E-3</v>
      </c>
      <c r="L414" s="90">
        <f t="shared" si="82"/>
        <v>2.5736216987488403E-2</v>
      </c>
      <c r="M414" s="90">
        <f t="shared" si="82"/>
        <v>-2.3889673145835566E-2</v>
      </c>
      <c r="N414" s="81">
        <f t="shared" si="82"/>
        <v>-4.4776022576145769E-2</v>
      </c>
    </row>
    <row r="415" spans="2:14" hidden="1" outlineLevel="1" x14ac:dyDescent="0.3">
      <c r="B415" s="48">
        <v>45704</v>
      </c>
      <c r="C415" s="90">
        <f t="shared" ref="C415:N415" si="83">C148/C147-1</f>
        <v>3.0337134514818231E-2</v>
      </c>
      <c r="D415" s="90">
        <f t="shared" si="83"/>
        <v>8.6452223172009512E-2</v>
      </c>
      <c r="E415" s="90">
        <f t="shared" si="83"/>
        <v>8.6915954927151429E-2</v>
      </c>
      <c r="F415" s="90">
        <f t="shared" si="83"/>
        <v>7.5428097410677131E-2</v>
      </c>
      <c r="G415" s="90">
        <f t="shared" si="83"/>
        <v>7.977524523031021E-2</v>
      </c>
      <c r="H415" s="90">
        <f t="shared" si="83"/>
        <v>0.10336754907257362</v>
      </c>
      <c r="I415" s="90">
        <f t="shared" si="83"/>
        <v>0.10864670497698037</v>
      </c>
      <c r="J415" s="90">
        <f t="shared" si="83"/>
        <v>0.13556724782734486</v>
      </c>
      <c r="K415" s="90">
        <f t="shared" si="83"/>
        <v>7.6622862421991567E-2</v>
      </c>
      <c r="L415" s="90">
        <f t="shared" si="83"/>
        <v>8.2574479320959959E-2</v>
      </c>
      <c r="M415" s="90">
        <f t="shared" si="83"/>
        <v>0.14252975859383699</v>
      </c>
      <c r="N415" s="81">
        <f t="shared" si="83"/>
        <v>1.8207996305427132E-2</v>
      </c>
    </row>
    <row r="416" spans="2:14" hidden="1" outlineLevel="1" x14ac:dyDescent="0.3">
      <c r="B416" s="48">
        <v>45697</v>
      </c>
      <c r="C416" s="90">
        <f t="shared" ref="C416:N416" si="84">C149/C148-1</f>
        <v>5.8497361367613188E-3</v>
      </c>
      <c r="D416" s="90">
        <f t="shared" si="84"/>
        <v>1.890759670535247E-2</v>
      </c>
      <c r="E416" s="90">
        <f t="shared" si="84"/>
        <v>3.9315900686740513E-2</v>
      </c>
      <c r="F416" s="90">
        <f t="shared" si="84"/>
        <v>2.2809917355371967E-2</v>
      </c>
      <c r="G416" s="90">
        <f t="shared" si="84"/>
        <v>6.2033280413946734E-3</v>
      </c>
      <c r="H416" s="90">
        <f t="shared" si="84"/>
        <v>5.7124204341438833E-3</v>
      </c>
      <c r="I416" s="90">
        <f t="shared" si="84"/>
        <v>5.8199454380114535E-3</v>
      </c>
      <c r="J416" s="90">
        <f t="shared" si="84"/>
        <v>4.0218929885816879E-2</v>
      </c>
      <c r="K416" s="90">
        <f t="shared" si="84"/>
        <v>-2.5848029000227757E-2</v>
      </c>
      <c r="L416" s="90">
        <f t="shared" si="84"/>
        <v>6.638310529446767E-2</v>
      </c>
      <c r="M416" s="90">
        <f t="shared" si="84"/>
        <v>-5.1800354423477968E-3</v>
      </c>
      <c r="N416" s="81">
        <f t="shared" si="84"/>
        <v>3.9640084309383372E-2</v>
      </c>
    </row>
    <row r="417" spans="2:14" hidden="1" outlineLevel="1" x14ac:dyDescent="0.3">
      <c r="B417" s="48">
        <v>45690</v>
      </c>
      <c r="C417" s="90">
        <f t="shared" ref="C417:N417" si="85">C150/C149-1</f>
        <v>2.7506351058146361E-2</v>
      </c>
      <c r="D417" s="90">
        <f t="shared" si="85"/>
        <v>3.8984632478156644E-2</v>
      </c>
      <c r="E417" s="90">
        <f t="shared" si="85"/>
        <v>2.4028870223769649E-2</v>
      </c>
      <c r="F417" s="90">
        <f t="shared" si="85"/>
        <v>2.5452488687782715E-2</v>
      </c>
      <c r="G417" s="90">
        <f t="shared" si="85"/>
        <v>8.4149013878744849E-3</v>
      </c>
      <c r="H417" s="90">
        <f t="shared" si="85"/>
        <v>3.2132424537487658E-2</v>
      </c>
      <c r="I417" s="90">
        <f t="shared" si="85"/>
        <v>1.989030197094821E-2</v>
      </c>
      <c r="J417" s="90">
        <f t="shared" si="85"/>
        <v>8.073880542855072E-2</v>
      </c>
      <c r="K417" s="90">
        <f t="shared" si="85"/>
        <v>0.12429216028187762</v>
      </c>
      <c r="L417" s="90">
        <f t="shared" si="85"/>
        <v>5.4641607952738758E-2</v>
      </c>
      <c r="M417" s="90">
        <f t="shared" si="85"/>
        <v>0.12303024371146121</v>
      </c>
      <c r="N417" s="81">
        <f t="shared" si="85"/>
        <v>9.5273534487736233E-2</v>
      </c>
    </row>
    <row r="418" spans="2:14" hidden="1" outlineLevel="1" x14ac:dyDescent="0.3">
      <c r="B418" s="48">
        <v>45683</v>
      </c>
      <c r="C418" s="90">
        <f t="shared" ref="C418:N418" si="86">C151/C150-1</f>
        <v>-2.188035203809835E-3</v>
      </c>
      <c r="D418" s="90">
        <f t="shared" si="86"/>
        <v>-6.0319209536446872E-3</v>
      </c>
      <c r="E418" s="90">
        <f t="shared" si="86"/>
        <v>2.0598600287883961E-2</v>
      </c>
      <c r="F418" s="90">
        <f t="shared" si="86"/>
        <v>-1.2528563548971805E-2</v>
      </c>
      <c r="G418" s="90">
        <f t="shared" si="86"/>
        <v>-1.1589835714076457E-4</v>
      </c>
      <c r="H418" s="90">
        <f t="shared" si="86"/>
        <v>-1.9182389937106969E-2</v>
      </c>
      <c r="I418" s="90">
        <f t="shared" si="86"/>
        <v>-1.043082560132369E-2</v>
      </c>
      <c r="J418" s="90">
        <f t="shared" si="86"/>
        <v>-7.1265487022799112E-3</v>
      </c>
      <c r="K418" s="90">
        <f t="shared" si="86"/>
        <v>-3.5416766601109706E-2</v>
      </c>
      <c r="L418" s="90">
        <f t="shared" si="86"/>
        <v>-3.4979423868312876E-2</v>
      </c>
      <c r="M418" s="90">
        <f t="shared" si="86"/>
        <v>-1.9173784207782152E-4</v>
      </c>
      <c r="N418" s="81">
        <f t="shared" si="86"/>
        <v>-3.1865602136869842E-2</v>
      </c>
    </row>
    <row r="419" spans="2:14" hidden="1" outlineLevel="1" x14ac:dyDescent="0.3">
      <c r="B419" s="48">
        <v>45676</v>
      </c>
      <c r="C419" s="90">
        <f t="shared" ref="C419:N419" si="87">C152/C151-1</f>
        <v>-1.7704309948784247E-2</v>
      </c>
      <c r="D419" s="90">
        <f t="shared" si="87"/>
        <v>2.0189743980404407E-2</v>
      </c>
      <c r="E419" s="90">
        <f t="shared" si="87"/>
        <v>9.7145219336642885E-3</v>
      </c>
      <c r="F419" s="90">
        <f t="shared" si="87"/>
        <v>-2.3140759655282395E-3</v>
      </c>
      <c r="G419" s="90">
        <f t="shared" si="87"/>
        <v>3.9062273609782983E-2</v>
      </c>
      <c r="H419" s="90">
        <f t="shared" si="87"/>
        <v>2.6290477717217264E-2</v>
      </c>
      <c r="I419" s="90">
        <f t="shared" si="87"/>
        <v>2.9024455791453851E-2</v>
      </c>
      <c r="J419" s="90">
        <f t="shared" si="87"/>
        <v>1.4203224470126674E-2</v>
      </c>
      <c r="K419" s="90">
        <f t="shared" si="87"/>
        <v>5.4379537844378767E-2</v>
      </c>
      <c r="L419" s="90">
        <f t="shared" si="87"/>
        <v>7.4939295443458454E-2</v>
      </c>
      <c r="M419" s="90">
        <f t="shared" si="87"/>
        <v>4.9286075419725073E-2</v>
      </c>
      <c r="N419" s="81">
        <f t="shared" si="87"/>
        <v>0.11746946036048578</v>
      </c>
    </row>
    <row r="420" spans="2:14" hidden="1" outlineLevel="1" x14ac:dyDescent="0.3">
      <c r="B420" s="48">
        <v>45669</v>
      </c>
      <c r="C420" s="90">
        <f t="shared" ref="C420:N420" si="88">C153/C152-1</f>
        <v>4.8068178865590117E-3</v>
      </c>
      <c r="D420" s="90">
        <f t="shared" si="88"/>
        <v>-3.4277561167261439E-2</v>
      </c>
      <c r="E420" s="90">
        <f t="shared" si="88"/>
        <v>-6.7552109046684627E-3</v>
      </c>
      <c r="F420" s="90">
        <f t="shared" si="88"/>
        <v>-3.1992321842757687E-2</v>
      </c>
      <c r="G420" s="90">
        <f t="shared" si="88"/>
        <v>-2.203196028669363E-3</v>
      </c>
      <c r="H420" s="90">
        <f t="shared" si="88"/>
        <v>-0.11918150577944397</v>
      </c>
      <c r="I420" s="90">
        <f t="shared" si="88"/>
        <v>-3.6417979745219209E-2</v>
      </c>
      <c r="J420" s="90">
        <f t="shared" si="88"/>
        <v>-1.7980544001066856E-2</v>
      </c>
      <c r="K420" s="90">
        <f t="shared" si="88"/>
        <v>-6.2800185515631268E-2</v>
      </c>
      <c r="L420" s="90">
        <f t="shared" si="88"/>
        <v>2.2589017556204904E-2</v>
      </c>
      <c r="M420" s="90">
        <f t="shared" si="88"/>
        <v>-6.3835443458611807E-2</v>
      </c>
      <c r="N420" s="81">
        <f t="shared" si="88"/>
        <v>-6.4220431854113968E-2</v>
      </c>
    </row>
    <row r="421" spans="2:14" hidden="1" outlineLevel="1" x14ac:dyDescent="0.3">
      <c r="B421" s="48">
        <v>45662</v>
      </c>
      <c r="C421" s="90">
        <f t="shared" ref="C421:N421" si="89">C154/C153-1</f>
        <v>9.8391601158460684E-3</v>
      </c>
      <c r="D421" s="90">
        <f t="shared" si="89"/>
        <v>6.1317275802836857E-2</v>
      </c>
      <c r="E421" s="90">
        <f t="shared" si="89"/>
        <v>1.8044274179860764E-2</v>
      </c>
      <c r="F421" s="90">
        <f t="shared" si="89"/>
        <v>8.3450384202263805E-2</v>
      </c>
      <c r="G421" s="90">
        <f t="shared" si="89"/>
        <v>0.11153222650790995</v>
      </c>
      <c r="H421" s="90">
        <f t="shared" si="89"/>
        <v>6.5969143465153479E-2</v>
      </c>
      <c r="I421" s="90">
        <f t="shared" si="89"/>
        <v>2.7284225742335799E-2</v>
      </c>
      <c r="J421" s="90">
        <f t="shared" si="89"/>
        <v>3.9743306792523247E-2</v>
      </c>
      <c r="K421" s="90">
        <f t="shared" si="89"/>
        <v>6.0130510635442391E-2</v>
      </c>
      <c r="L421" s="90">
        <f t="shared" si="89"/>
        <v>0.14203437666734819</v>
      </c>
      <c r="M421" s="90">
        <f t="shared" si="89"/>
        <v>3.4715320176061493E-2</v>
      </c>
      <c r="N421" s="81">
        <f t="shared" si="89"/>
        <v>8.8248057350822418E-2</v>
      </c>
    </row>
    <row r="422" spans="2:14" hidden="1" outlineLevel="1" x14ac:dyDescent="0.3">
      <c r="B422" s="48">
        <v>45655</v>
      </c>
      <c r="C422" s="90">
        <f t="shared" ref="C422:N422" si="90">C155/C154-1</f>
        <v>2.4464929688666981E-2</v>
      </c>
      <c r="D422" s="90">
        <f t="shared" si="90"/>
        <v>-1.9792869231890053E-2</v>
      </c>
      <c r="E422" s="90">
        <f t="shared" si="90"/>
        <v>-3.8857080253029475E-2</v>
      </c>
      <c r="F422" s="90">
        <f t="shared" si="90"/>
        <v>-1.4336917562724039E-2</v>
      </c>
      <c r="G422" s="90">
        <f t="shared" si="90"/>
        <v>-2.4285613703342368E-2</v>
      </c>
      <c r="H422" s="90">
        <f t="shared" si="90"/>
        <v>-2.0296123773082764E-2</v>
      </c>
      <c r="I422" s="90">
        <f t="shared" si="90"/>
        <v>-9.468808630393899E-3</v>
      </c>
      <c r="J422" s="90">
        <f t="shared" si="90"/>
        <v>-6.3842988700933967E-2</v>
      </c>
      <c r="K422" s="90">
        <f t="shared" si="90"/>
        <v>1.3655819546968706E-2</v>
      </c>
      <c r="L422" s="90">
        <f t="shared" si="90"/>
        <v>9.3150589231837166E-2</v>
      </c>
      <c r="M422" s="90">
        <f t="shared" si="90"/>
        <v>-1.5694682675814753E-2</v>
      </c>
      <c r="N422" s="81">
        <f t="shared" si="90"/>
        <v>2.8232216627765538E-2</v>
      </c>
    </row>
    <row r="423" spans="2:14" hidden="1" outlineLevel="1" x14ac:dyDescent="0.3">
      <c r="B423" s="48">
        <v>45648</v>
      </c>
      <c r="C423" s="90">
        <f t="shared" ref="C423:N423" si="91">C156/C155-1</f>
        <v>-7.9713390058216982E-3</v>
      </c>
      <c r="D423" s="90">
        <f t="shared" si="91"/>
        <v>-1.1777741440843759E-4</v>
      </c>
      <c r="E423" s="90">
        <f t="shared" si="91"/>
        <v>1.5841628320163004E-2</v>
      </c>
      <c r="F423" s="90">
        <f t="shared" si="91"/>
        <v>-1.134751773049647E-2</v>
      </c>
      <c r="G423" s="90">
        <f t="shared" si="91"/>
        <v>-2.8070283950044628E-2</v>
      </c>
      <c r="H423" s="90">
        <f t="shared" si="91"/>
        <v>4.9753778230599455E-2</v>
      </c>
      <c r="I423" s="90">
        <f t="shared" si="91"/>
        <v>1.3140371126697969E-2</v>
      </c>
      <c r="J423" s="90">
        <f t="shared" si="91"/>
        <v>-9.662678340949471E-3</v>
      </c>
      <c r="K423" s="90">
        <f t="shared" si="91"/>
        <v>-1.9278951599683847E-3</v>
      </c>
      <c r="L423" s="90">
        <f t="shared" si="91"/>
        <v>1.0269171316618975E-2</v>
      </c>
      <c r="M423" s="90">
        <f t="shared" si="91"/>
        <v>5.1232900583775276E-3</v>
      </c>
      <c r="N423" s="81">
        <f t="shared" si="91"/>
        <v>-2.2601645354278666E-2</v>
      </c>
    </row>
    <row r="424" spans="2:14" hidden="1" outlineLevel="1" x14ac:dyDescent="0.3">
      <c r="B424" s="48">
        <v>45641</v>
      </c>
      <c r="C424" s="90">
        <f t="shared" ref="C424:N424" si="92">C157/C156-1</f>
        <v>-9.4862556375822082E-3</v>
      </c>
      <c r="D424" s="90">
        <f t="shared" si="92"/>
        <v>1.1355995004735941E-3</v>
      </c>
      <c r="E424" s="90">
        <f t="shared" si="92"/>
        <v>1.3074765215268513E-3</v>
      </c>
      <c r="F424" s="90">
        <f t="shared" si="92"/>
        <v>2.8172688143994762E-3</v>
      </c>
      <c r="G424" s="90">
        <f t="shared" si="92"/>
        <v>1.0224482544665792E-2</v>
      </c>
      <c r="H424" s="90">
        <f t="shared" si="92"/>
        <v>-1.2617275962471752E-2</v>
      </c>
      <c r="I424" s="90">
        <f t="shared" si="92"/>
        <v>-1.4956328688692233E-2</v>
      </c>
      <c r="J424" s="90">
        <f t="shared" si="92"/>
        <v>2.5766114829165243E-2</v>
      </c>
      <c r="K424" s="90">
        <f t="shared" si="92"/>
        <v>-3.8945195195195792E-3</v>
      </c>
      <c r="L424" s="90">
        <f t="shared" si="92"/>
        <v>-3.155393544509999E-2</v>
      </c>
      <c r="M424" s="90">
        <f t="shared" si="92"/>
        <v>2.3110664193207286E-2</v>
      </c>
      <c r="N424" s="81">
        <f t="shared" si="92"/>
        <v>-8.5333982287776333E-3</v>
      </c>
    </row>
    <row r="425" spans="2:14" hidden="1" outlineLevel="1" x14ac:dyDescent="0.3">
      <c r="B425" s="48">
        <v>45634</v>
      </c>
      <c r="C425" s="90">
        <f t="shared" ref="C425:N425" si="93">C158/C157-1</f>
        <v>5.0060413354531041E-2</v>
      </c>
      <c r="D425" s="90">
        <f t="shared" si="93"/>
        <v>5.0826973536161502E-2</v>
      </c>
      <c r="E425" s="90">
        <f t="shared" si="93"/>
        <v>7.2801508455830444E-2</v>
      </c>
      <c r="F425" s="90">
        <f t="shared" si="93"/>
        <v>4.0345446505215543E-2</v>
      </c>
      <c r="G425" s="90">
        <f t="shared" si="93"/>
        <v>3.0058531719992621E-2</v>
      </c>
      <c r="H425" s="90">
        <f t="shared" si="93"/>
        <v>1.5563564875491487E-2</v>
      </c>
      <c r="I425" s="90">
        <f t="shared" si="93"/>
        <v>6.5448830105868883E-2</v>
      </c>
      <c r="J425" s="90">
        <f t="shared" si="93"/>
        <v>0.15283381693937459</v>
      </c>
      <c r="K425" s="90">
        <f t="shared" si="93"/>
        <v>1.7107101920329049E-2</v>
      </c>
      <c r="L425" s="90">
        <f t="shared" si="93"/>
        <v>2.9597756285950627E-3</v>
      </c>
      <c r="M425" s="90">
        <f t="shared" si="93"/>
        <v>8.2966176370907752E-2</v>
      </c>
      <c r="N425" s="81">
        <f t="shared" si="93"/>
        <v>-7.4382767102966207E-3</v>
      </c>
    </row>
    <row r="426" spans="2:14" hidden="1" outlineLevel="1" x14ac:dyDescent="0.3">
      <c r="B426" s="48">
        <v>45627</v>
      </c>
      <c r="C426" s="90">
        <f t="shared" ref="C426:N426" si="94">C159/C158-1</f>
        <v>-3.653864011660013E-3</v>
      </c>
      <c r="D426" s="90">
        <f t="shared" si="94"/>
        <v>-2.7823192552363429E-2</v>
      </c>
      <c r="E426" s="90">
        <f t="shared" si="94"/>
        <v>-6.3469355314847986E-3</v>
      </c>
      <c r="F426" s="90">
        <f t="shared" si="94"/>
        <v>-3.8655798369755412E-2</v>
      </c>
      <c r="G426" s="90">
        <f t="shared" si="94"/>
        <v>-2.3417473155268875E-2</v>
      </c>
      <c r="H426" s="90">
        <f t="shared" si="94"/>
        <v>-4.0651718019035221E-2</v>
      </c>
      <c r="I426" s="90">
        <f t="shared" si="94"/>
        <v>-7.5706969494545584E-3</v>
      </c>
      <c r="J426" s="90">
        <f t="shared" si="94"/>
        <v>-4.9974309139244499E-2</v>
      </c>
      <c r="K426" s="90">
        <f t="shared" si="94"/>
        <v>-4.6837973647850584E-2</v>
      </c>
      <c r="L426" s="90">
        <f t="shared" si="94"/>
        <v>2.4072355460036832E-2</v>
      </c>
      <c r="M426" s="90">
        <f t="shared" si="94"/>
        <v>-4.4266758465293932E-2</v>
      </c>
      <c r="N426" s="81">
        <f t="shared" si="94"/>
        <v>-4.2932021611160498E-2</v>
      </c>
    </row>
    <row r="427" spans="2:14" hidden="1" outlineLevel="1" x14ac:dyDescent="0.3">
      <c r="B427" s="48">
        <v>45620</v>
      </c>
      <c r="C427" s="90">
        <f t="shared" ref="C427:N427" si="95">C160/C159-1</f>
        <v>-2.2153514494809179E-2</v>
      </c>
      <c r="D427" s="90">
        <f t="shared" si="95"/>
        <v>-3.5105963071425217E-2</v>
      </c>
      <c r="E427" s="90">
        <f t="shared" si="95"/>
        <v>-3.9286979374964281E-2</v>
      </c>
      <c r="F427" s="90">
        <f t="shared" si="95"/>
        <v>-3.3577819392426211E-2</v>
      </c>
      <c r="G427" s="90">
        <f t="shared" si="95"/>
        <v>-3.8825629089998315E-2</v>
      </c>
      <c r="H427" s="90">
        <f t="shared" si="95"/>
        <v>-2.835042878762406E-2</v>
      </c>
      <c r="I427" s="90">
        <f t="shared" si="95"/>
        <v>-3.9544536683868037E-2</v>
      </c>
      <c r="J427" s="90">
        <f t="shared" si="95"/>
        <v>-3.237235259997806E-2</v>
      </c>
      <c r="K427" s="90">
        <f t="shared" si="95"/>
        <v>-4.3503259505203173E-2</v>
      </c>
      <c r="L427" s="90">
        <f t="shared" si="95"/>
        <v>-7.0197543622560477E-2</v>
      </c>
      <c r="M427" s="90">
        <f t="shared" si="95"/>
        <v>-2.5999115899081437E-2</v>
      </c>
      <c r="N427" s="81">
        <f t="shared" si="95"/>
        <v>-2.4220773020125819E-2</v>
      </c>
    </row>
    <row r="428" spans="2:14" hidden="1" outlineLevel="1" x14ac:dyDescent="0.3">
      <c r="B428" s="48">
        <v>45613</v>
      </c>
      <c r="C428" s="90">
        <f t="shared" ref="C428:N428" si="96">C161/C160-1</f>
        <v>-9.2764109385812255E-3</v>
      </c>
      <c r="D428" s="90">
        <f t="shared" si="96"/>
        <v>4.3074427093896528E-3</v>
      </c>
      <c r="E428" s="90">
        <f t="shared" si="96"/>
        <v>-6.1467610565578701E-3</v>
      </c>
      <c r="F428" s="90">
        <f t="shared" si="96"/>
        <v>2.389859245902537E-2</v>
      </c>
      <c r="G428" s="90">
        <f t="shared" si="96"/>
        <v>2.7244198799040165E-2</v>
      </c>
      <c r="H428" s="90">
        <f t="shared" si="96"/>
        <v>-1.0695002076699489E-2</v>
      </c>
      <c r="I428" s="90">
        <f t="shared" si="96"/>
        <v>2.0527944869473957E-2</v>
      </c>
      <c r="J428" s="90">
        <f t="shared" si="96"/>
        <v>-6.2698464130646059E-3</v>
      </c>
      <c r="K428" s="90">
        <f t="shared" si="96"/>
        <v>-1.8524633190249995E-2</v>
      </c>
      <c r="L428" s="90">
        <f t="shared" si="96"/>
        <v>-1.5393559584318428E-2</v>
      </c>
      <c r="M428" s="90">
        <f t="shared" si="96"/>
        <v>-3.0592862785967623E-2</v>
      </c>
      <c r="N428" s="81">
        <f t="shared" si="96"/>
        <v>-4.1256756678966444E-2</v>
      </c>
    </row>
    <row r="429" spans="2:14" hidden="1" outlineLevel="1" x14ac:dyDescent="0.3">
      <c r="B429" s="48">
        <v>45606</v>
      </c>
      <c r="C429" s="90">
        <f t="shared" ref="C429:N429" si="97">C162/C161-1</f>
        <v>-1.5666795637306663E-2</v>
      </c>
      <c r="D429" s="90">
        <f t="shared" si="97"/>
        <v>-2.1721772081205404E-2</v>
      </c>
      <c r="E429" s="90">
        <f t="shared" si="97"/>
        <v>-2.3252752513164165E-2</v>
      </c>
      <c r="F429" s="90">
        <f t="shared" si="97"/>
        <v>-1.9818635825995523E-2</v>
      </c>
      <c r="G429" s="90">
        <f t="shared" si="97"/>
        <v>-2.077651635271982E-2</v>
      </c>
      <c r="H429" s="90">
        <f t="shared" si="97"/>
        <v>-8.6764860231605123E-3</v>
      </c>
      <c r="I429" s="90">
        <f t="shared" si="97"/>
        <v>-3.4307133251309074E-2</v>
      </c>
      <c r="J429" s="90">
        <f t="shared" si="97"/>
        <v>-2.266984038997677E-2</v>
      </c>
      <c r="K429" s="90">
        <f t="shared" si="97"/>
        <v>-1.4224714254906123E-2</v>
      </c>
      <c r="L429" s="90">
        <f t="shared" si="97"/>
        <v>2.1894862978014018E-2</v>
      </c>
      <c r="M429" s="90">
        <f t="shared" si="97"/>
        <v>-1.5345667666591511E-2</v>
      </c>
      <c r="N429" s="81">
        <f t="shared" si="97"/>
        <v>-3.0441308916241416E-2</v>
      </c>
    </row>
    <row r="430" spans="2:14" hidden="1" outlineLevel="1" x14ac:dyDescent="0.3">
      <c r="B430" s="48">
        <v>45599</v>
      </c>
      <c r="C430" s="90">
        <f t="shared" ref="C430:N430" si="98">C163/C162-1</f>
        <v>2.6155094825498049E-2</v>
      </c>
      <c r="D430" s="90">
        <f t="shared" si="98"/>
        <v>-8.0371117823775373E-3</v>
      </c>
      <c r="E430" s="90">
        <f t="shared" si="98"/>
        <v>2.6465074678072575E-4</v>
      </c>
      <c r="F430" s="90">
        <f t="shared" si="98"/>
        <v>-1.855675632190068E-2</v>
      </c>
      <c r="G430" s="90">
        <f t="shared" si="98"/>
        <v>-1.1539727861048399E-2</v>
      </c>
      <c r="H430" s="90">
        <f t="shared" si="98"/>
        <v>4.0585847891299043E-3</v>
      </c>
      <c r="I430" s="90">
        <f t="shared" si="98"/>
        <v>-3.6444444444444501E-3</v>
      </c>
      <c r="J430" s="90">
        <f t="shared" si="98"/>
        <v>-1.1293403284595382E-2</v>
      </c>
      <c r="K430" s="90">
        <f t="shared" si="98"/>
        <v>-7.8931709195282362E-3</v>
      </c>
      <c r="L430" s="90">
        <f t="shared" si="98"/>
        <v>-2.1277047724655884E-2</v>
      </c>
      <c r="M430" s="90">
        <f t="shared" si="98"/>
        <v>6.7094002042755729E-3</v>
      </c>
      <c r="N430" s="81">
        <f t="shared" si="98"/>
        <v>-1.4887292543968256E-2</v>
      </c>
    </row>
    <row r="431" spans="2:14" hidden="1" outlineLevel="1" x14ac:dyDescent="0.3">
      <c r="B431" s="48">
        <v>45592</v>
      </c>
      <c r="C431" s="90">
        <f t="shared" ref="C431:N431" si="99">C164/C163-1</f>
        <v>6.4663204710908584E-3</v>
      </c>
      <c r="D431" s="90">
        <f t="shared" si="99"/>
        <v>-3.8442193428560922E-2</v>
      </c>
      <c r="E431" s="90">
        <f t="shared" si="99"/>
        <v>-3.9258390026286616E-2</v>
      </c>
      <c r="F431" s="90">
        <f t="shared" si="99"/>
        <v>-3.7760594551763838E-2</v>
      </c>
      <c r="G431" s="90">
        <f t="shared" si="99"/>
        <v>-4.3590793676795747E-2</v>
      </c>
      <c r="H431" s="90">
        <f t="shared" si="99"/>
        <v>-3.1036906854129964E-2</v>
      </c>
      <c r="I431" s="90">
        <f t="shared" si="99"/>
        <v>-4.6212864662324771E-2</v>
      </c>
      <c r="J431" s="90">
        <f t="shared" si="99"/>
        <v>-3.2959616666244806E-2</v>
      </c>
      <c r="K431" s="90">
        <f t="shared" si="99"/>
        <v>-4.9341118775027781E-2</v>
      </c>
      <c r="L431" s="90">
        <f t="shared" si="99"/>
        <v>-6.0409006654714492E-2</v>
      </c>
      <c r="M431" s="90">
        <f t="shared" si="99"/>
        <v>1.2524708310738708E-2</v>
      </c>
      <c r="N431" s="81">
        <f t="shared" si="99"/>
        <v>-5.0428725892026516E-2</v>
      </c>
    </row>
    <row r="432" spans="2:14" hidden="1" outlineLevel="1" x14ac:dyDescent="0.3">
      <c r="B432" s="48">
        <v>45585</v>
      </c>
      <c r="C432" s="90">
        <f t="shared" ref="C432:N432" si="100">C165/C164-1</f>
        <v>-5.0834521392261189E-3</v>
      </c>
      <c r="D432" s="90">
        <f t="shared" si="100"/>
        <v>3.9699606639519214E-2</v>
      </c>
      <c r="E432" s="90">
        <f t="shared" si="100"/>
        <v>1.8410477142449144E-2</v>
      </c>
      <c r="F432" s="90">
        <f t="shared" si="100"/>
        <v>5.7472243518755128E-2</v>
      </c>
      <c r="G432" s="90">
        <f t="shared" si="100"/>
        <v>5.4027359093815619E-2</v>
      </c>
      <c r="H432" s="90">
        <f t="shared" si="100"/>
        <v>-1.4292451119091609E-2</v>
      </c>
      <c r="I432" s="90">
        <f t="shared" si="100"/>
        <v>7.0339537929099194E-2</v>
      </c>
      <c r="J432" s="90">
        <f t="shared" si="100"/>
        <v>2.9939283969572017E-2</v>
      </c>
      <c r="K432" s="90">
        <f t="shared" si="100"/>
        <v>5.2310261644089806E-2</v>
      </c>
      <c r="L432" s="90">
        <f t="shared" si="100"/>
        <v>6.070770211645149E-3</v>
      </c>
      <c r="M432" s="90">
        <f t="shared" si="100"/>
        <v>5.0757562669523137E-2</v>
      </c>
      <c r="N432" s="81">
        <f t="shared" si="100"/>
        <v>2.4779218027989991E-2</v>
      </c>
    </row>
    <row r="433" spans="2:14" hidden="1" outlineLevel="1" x14ac:dyDescent="0.3">
      <c r="B433" s="48">
        <v>45578</v>
      </c>
      <c r="C433" s="90">
        <f t="shared" ref="C433:N433" si="101">C166/C165-1</f>
        <v>2.7842337722490562E-2</v>
      </c>
      <c r="D433" s="90">
        <f t="shared" si="101"/>
        <v>1.6092257518938169E-3</v>
      </c>
      <c r="E433" s="90">
        <f t="shared" si="101"/>
        <v>1.61421975622702E-2</v>
      </c>
      <c r="F433" s="90">
        <f t="shared" si="101"/>
        <v>9.4250959963479986E-3</v>
      </c>
      <c r="G433" s="90">
        <f t="shared" si="101"/>
        <v>2.8870893481027782E-3</v>
      </c>
      <c r="H433" s="90">
        <f t="shared" si="101"/>
        <v>9.5683214956021612E-3</v>
      </c>
      <c r="I433" s="90">
        <f t="shared" si="101"/>
        <v>-1.6633167292959272E-2</v>
      </c>
      <c r="J433" s="90">
        <f t="shared" si="101"/>
        <v>1.4991868816912834E-2</v>
      </c>
      <c r="K433" s="90">
        <f t="shared" si="101"/>
        <v>-2.9051825988820168E-2</v>
      </c>
      <c r="L433" s="90">
        <f t="shared" si="101"/>
        <v>6.3881962334853437E-2</v>
      </c>
      <c r="M433" s="90">
        <f t="shared" si="101"/>
        <v>1.7987208365531471E-2</v>
      </c>
      <c r="N433" s="81">
        <f t="shared" si="101"/>
        <v>-6.8405718457076103E-2</v>
      </c>
    </row>
    <row r="434" spans="2:14" hidden="1" outlineLevel="1" x14ac:dyDescent="0.3">
      <c r="B434" s="48">
        <v>45571</v>
      </c>
      <c r="C434" s="90">
        <f t="shared" ref="C434:N434" si="102">C167/C166-1</f>
        <v>4.4338850207512603E-3</v>
      </c>
      <c r="D434" s="90">
        <f t="shared" si="102"/>
        <v>5.4433401018845196E-3</v>
      </c>
      <c r="E434" s="90">
        <f t="shared" si="102"/>
        <v>6.3424790863282343E-3</v>
      </c>
      <c r="F434" s="90">
        <f t="shared" si="102"/>
        <v>2.9527559055118058E-2</v>
      </c>
      <c r="G434" s="90">
        <f t="shared" si="102"/>
        <v>-9.7165510834575919E-3</v>
      </c>
      <c r="H434" s="90">
        <f t="shared" si="102"/>
        <v>-3.7108591841942262E-2</v>
      </c>
      <c r="I434" s="90">
        <f t="shared" si="102"/>
        <v>-2.4201670715089829E-2</v>
      </c>
      <c r="J434" s="90">
        <f t="shared" si="102"/>
        <v>6.9971794315469626E-2</v>
      </c>
      <c r="K434" s="90">
        <f t="shared" si="102"/>
        <v>-6.6471127738981783E-3</v>
      </c>
      <c r="L434" s="90">
        <f t="shared" si="102"/>
        <v>-2.3481473807798192E-3</v>
      </c>
      <c r="M434" s="90">
        <f t="shared" si="102"/>
        <v>-7.087135589114113E-2</v>
      </c>
      <c r="N434" s="81">
        <f t="shared" si="102"/>
        <v>2.3604793076666963E-2</v>
      </c>
    </row>
    <row r="435" spans="2:14" hidden="1" outlineLevel="1" x14ac:dyDescent="0.3">
      <c r="B435" s="48">
        <v>45564</v>
      </c>
      <c r="C435" s="90">
        <f t="shared" ref="C435:N435" si="103">C168/C167-1</f>
        <v>2.0168841443264363E-3</v>
      </c>
      <c r="D435" s="90">
        <f t="shared" si="103"/>
        <v>-9.9962915459056445E-3</v>
      </c>
      <c r="E435" s="90">
        <f t="shared" si="103"/>
        <v>2.4837846374590189E-2</v>
      </c>
      <c r="F435" s="90">
        <f t="shared" si="103"/>
        <v>-8.7592372487208525E-3</v>
      </c>
      <c r="G435" s="90">
        <f t="shared" si="103"/>
        <v>-3.4273434815570214E-2</v>
      </c>
      <c r="H435" s="90">
        <f t="shared" si="103"/>
        <v>9.9186068521672777E-3</v>
      </c>
      <c r="I435" s="90">
        <f t="shared" si="103"/>
        <v>-1.857867095716581E-2</v>
      </c>
      <c r="J435" s="90">
        <f t="shared" si="103"/>
        <v>-4.6303589951567137E-2</v>
      </c>
      <c r="K435" s="90">
        <f t="shared" si="103"/>
        <v>-6.0014077940598431E-2</v>
      </c>
      <c r="L435" s="90">
        <f t="shared" si="103"/>
        <v>-5.2369249939427376E-2</v>
      </c>
      <c r="M435" s="90">
        <f t="shared" si="103"/>
        <v>-1.0342969388287271E-2</v>
      </c>
      <c r="N435" s="81">
        <f t="shared" si="103"/>
        <v>-3.455681109936859E-2</v>
      </c>
    </row>
    <row r="436" spans="2:14" hidden="1" outlineLevel="1" x14ac:dyDescent="0.3">
      <c r="B436" s="48">
        <v>45557</v>
      </c>
      <c r="C436" s="90">
        <f t="shared" ref="C436:N436" si="104">C169/C168-1</f>
        <v>4.6546816659071233E-2</v>
      </c>
      <c r="D436" s="90">
        <f t="shared" si="104"/>
        <v>9.5460781389800076E-3</v>
      </c>
      <c r="E436" s="90">
        <f t="shared" si="104"/>
        <v>1.3274304568358319E-2</v>
      </c>
      <c r="F436" s="90">
        <f t="shared" si="104"/>
        <v>-5.9432265464119949E-3</v>
      </c>
      <c r="G436" s="90">
        <f t="shared" si="104"/>
        <v>1.7897382317227928E-2</v>
      </c>
      <c r="H436" s="90">
        <f t="shared" si="104"/>
        <v>1.5481500918394175E-2</v>
      </c>
      <c r="I436" s="90">
        <f t="shared" si="104"/>
        <v>-4.4542052027591872E-3</v>
      </c>
      <c r="J436" s="90">
        <f t="shared" si="104"/>
        <v>3.598240133461994E-3</v>
      </c>
      <c r="K436" s="90">
        <f t="shared" si="104"/>
        <v>5.7514636376013728E-2</v>
      </c>
      <c r="L436" s="90">
        <f t="shared" si="104"/>
        <v>4.032434801665552E-2</v>
      </c>
      <c r="M436" s="90">
        <f t="shared" si="104"/>
        <v>8.2905922855336156E-2</v>
      </c>
      <c r="N436" s="81">
        <f t="shared" si="104"/>
        <v>-2.6692676354807654E-2</v>
      </c>
    </row>
    <row r="437" spans="2:14" hidden="1" outlineLevel="1" x14ac:dyDescent="0.3">
      <c r="B437" s="48">
        <v>45550</v>
      </c>
      <c r="C437" s="90">
        <f t="shared" ref="C437:N437" si="105">C170/C169-1</f>
        <v>-1.4821068071866894E-2</v>
      </c>
      <c r="D437" s="90">
        <f t="shared" si="105"/>
        <v>-2.5571579151363322E-3</v>
      </c>
      <c r="E437" s="90">
        <f t="shared" si="105"/>
        <v>-5.522165292413006E-3</v>
      </c>
      <c r="F437" s="90">
        <f t="shared" si="105"/>
        <v>-5.2445260259603721E-4</v>
      </c>
      <c r="G437" s="90">
        <f t="shared" si="105"/>
        <v>-2.6731915176936516E-2</v>
      </c>
      <c r="H437" s="90">
        <f t="shared" si="105"/>
        <v>-4.983388704318803E-3</v>
      </c>
      <c r="I437" s="90">
        <f t="shared" si="105"/>
        <v>7.9540158458908383E-3</v>
      </c>
      <c r="J437" s="90">
        <f t="shared" si="105"/>
        <v>3.8623881618617739E-2</v>
      </c>
      <c r="K437" s="90">
        <f t="shared" si="105"/>
        <v>-1.5072650358653683E-2</v>
      </c>
      <c r="L437" s="90">
        <f t="shared" si="105"/>
        <v>-1.8608243803103219E-3</v>
      </c>
      <c r="M437" s="90">
        <f t="shared" si="105"/>
        <v>-1.7598780250437929E-2</v>
      </c>
      <c r="N437" s="81">
        <f t="shared" si="105"/>
        <v>1.4418882969136071E-3</v>
      </c>
    </row>
    <row r="438" spans="2:14" hidden="1" outlineLevel="1" x14ac:dyDescent="0.3">
      <c r="B438" s="48">
        <v>45543</v>
      </c>
      <c r="C438" s="90">
        <f t="shared" ref="C438:N438" si="106">C171/C170-1</f>
        <v>-1.684505611464493E-2</v>
      </c>
      <c r="D438" s="90">
        <f t="shared" si="106"/>
        <v>2.8194927543099713E-2</v>
      </c>
      <c r="E438" s="90">
        <f t="shared" si="106"/>
        <v>5.5473756837306043E-2</v>
      </c>
      <c r="F438" s="90">
        <f t="shared" si="106"/>
        <v>2.0123311032401947E-2</v>
      </c>
      <c r="G438" s="90">
        <f t="shared" si="106"/>
        <v>2.9968759976285009E-2</v>
      </c>
      <c r="H438" s="90">
        <f t="shared" si="106"/>
        <v>2.1331849378593892E-2</v>
      </c>
      <c r="I438" s="90">
        <f t="shared" si="106"/>
        <v>2.0961129434974302E-2</v>
      </c>
      <c r="J438" s="90">
        <f t="shared" si="106"/>
        <v>6.7627998933015299E-3</v>
      </c>
      <c r="K438" s="90">
        <f t="shared" si="106"/>
        <v>9.0568715511518683E-4</v>
      </c>
      <c r="L438" s="90">
        <f t="shared" si="106"/>
        <v>7.8291533293467941E-2</v>
      </c>
      <c r="M438" s="90">
        <f t="shared" si="106"/>
        <v>3.8899070450905571E-2</v>
      </c>
      <c r="N438" s="81">
        <f t="shared" si="106"/>
        <v>9.8483157796223075E-3</v>
      </c>
    </row>
    <row r="439" spans="2:14" hidden="1" outlineLevel="1" x14ac:dyDescent="0.3">
      <c r="B439" s="48">
        <v>45536</v>
      </c>
      <c r="C439" s="90">
        <f t="shared" ref="C439:N439" si="107">C172/C171-1</f>
        <v>-1.9890363417664036E-2</v>
      </c>
      <c r="D439" s="90">
        <f t="shared" si="107"/>
        <v>-2.6857183020370101E-2</v>
      </c>
      <c r="E439" s="90">
        <f t="shared" si="107"/>
        <v>-1.4560925861031082E-2</v>
      </c>
      <c r="F439" s="90">
        <f t="shared" si="107"/>
        <v>-2.1732421171750449E-2</v>
      </c>
      <c r="G439" s="90">
        <f t="shared" si="107"/>
        <v>-3.1277501342203862E-2</v>
      </c>
      <c r="H439" s="90">
        <f t="shared" si="107"/>
        <v>-5.4486015256084319E-2</v>
      </c>
      <c r="I439" s="90">
        <f t="shared" si="107"/>
        <v>-1.9806165272787668E-2</v>
      </c>
      <c r="J439" s="90">
        <f t="shared" si="107"/>
        <v>-3.908855708986636E-2</v>
      </c>
      <c r="K439" s="90">
        <f t="shared" si="107"/>
        <v>-3.1707681113453567E-2</v>
      </c>
      <c r="L439" s="90">
        <f t="shared" si="107"/>
        <v>-0.11532470498046798</v>
      </c>
      <c r="M439" s="90">
        <f t="shared" si="107"/>
        <v>-3.0084388856221111E-2</v>
      </c>
      <c r="N439" s="81">
        <f t="shared" si="107"/>
        <v>-5.5476742113705124E-2</v>
      </c>
    </row>
    <row r="440" spans="2:14" hidden="1" outlineLevel="1" x14ac:dyDescent="0.3">
      <c r="B440" s="48">
        <v>45529</v>
      </c>
      <c r="C440" s="90">
        <f t="shared" ref="C440:N440" si="108">C173/C172-1</f>
        <v>1.544131996628062E-2</v>
      </c>
      <c r="D440" s="90">
        <f t="shared" si="108"/>
        <v>1.3235012041516558E-2</v>
      </c>
      <c r="E440" s="90">
        <f t="shared" si="108"/>
        <v>2.1765196657259844E-2</v>
      </c>
      <c r="F440" s="90">
        <f t="shared" si="108"/>
        <v>2.2004889975550279E-2</v>
      </c>
      <c r="G440" s="90">
        <f t="shared" si="108"/>
        <v>-1.6226531521751353E-3</v>
      </c>
      <c r="H440" s="90">
        <f t="shared" si="108"/>
        <v>3.4191317710334124E-2</v>
      </c>
      <c r="I440" s="90">
        <f t="shared" si="108"/>
        <v>8.1626366856615284E-3</v>
      </c>
      <c r="J440" s="90">
        <f t="shared" si="108"/>
        <v>-1.5165277192070725E-3</v>
      </c>
      <c r="K440" s="90">
        <f t="shared" si="108"/>
        <v>-3.680189597202177E-3</v>
      </c>
      <c r="L440" s="90">
        <f t="shared" si="108"/>
        <v>1.2988808790722617E-2</v>
      </c>
      <c r="M440" s="90">
        <f t="shared" si="108"/>
        <v>1.7515975749631263E-2</v>
      </c>
      <c r="N440" s="81">
        <f t="shared" si="108"/>
        <v>-4.2356954707041261E-2</v>
      </c>
    </row>
    <row r="441" spans="2:14" hidden="1" outlineLevel="1" x14ac:dyDescent="0.3">
      <c r="B441" s="48">
        <v>45522</v>
      </c>
      <c r="C441" s="90">
        <f t="shared" ref="C441:N441" si="109">C174/C173-1</f>
        <v>-1.6355667917530181E-2</v>
      </c>
      <c r="D441" s="90">
        <f t="shared" si="109"/>
        <v>-3.9683040492850874E-2</v>
      </c>
      <c r="E441" s="90">
        <f t="shared" si="109"/>
        <v>-1.9730941704035998E-2</v>
      </c>
      <c r="F441" s="90">
        <f t="shared" si="109"/>
        <v>-4.1981787312856955E-2</v>
      </c>
      <c r="G441" s="90">
        <f t="shared" si="109"/>
        <v>-5.2358387986585653E-2</v>
      </c>
      <c r="H441" s="90">
        <f t="shared" si="109"/>
        <v>-4.8291233283803914E-2</v>
      </c>
      <c r="I441" s="90">
        <f t="shared" si="109"/>
        <v>-2.3281393217231883E-2</v>
      </c>
      <c r="J441" s="90">
        <f t="shared" si="109"/>
        <v>-8.3568197139399447E-2</v>
      </c>
      <c r="K441" s="90">
        <f t="shared" si="109"/>
        <v>-5.5764526141736881E-2</v>
      </c>
      <c r="L441" s="90">
        <f t="shared" si="109"/>
        <v>-5.2053473113289339E-3</v>
      </c>
      <c r="M441" s="90">
        <f t="shared" si="109"/>
        <v>-3.4557722346575503E-2</v>
      </c>
      <c r="N441" s="81">
        <f t="shared" si="109"/>
        <v>-5.072469479275854E-2</v>
      </c>
    </row>
    <row r="442" spans="2:14" hidden="1" outlineLevel="1" x14ac:dyDescent="0.3">
      <c r="B442" s="48">
        <v>45515</v>
      </c>
      <c r="C442" s="90">
        <f t="shared" ref="C442:N442" si="110">C175/C174-1</f>
        <v>-1.1360363209342861E-2</v>
      </c>
      <c r="D442" s="90">
        <f t="shared" si="110"/>
        <v>-5.1496902519722054E-3</v>
      </c>
      <c r="E442" s="90">
        <f t="shared" si="110"/>
        <v>-1.0719504035176186E-2</v>
      </c>
      <c r="F442" s="90">
        <f t="shared" si="110"/>
        <v>-1.6916384726920475E-3</v>
      </c>
      <c r="G442" s="90">
        <f t="shared" si="110"/>
        <v>4.0944748745388448E-3</v>
      </c>
      <c r="H442" s="90">
        <f t="shared" si="110"/>
        <v>7.5331772053084389E-3</v>
      </c>
      <c r="I442" s="90">
        <f t="shared" si="110"/>
        <v>-8.1956956956957816E-3</v>
      </c>
      <c r="J442" s="90">
        <f t="shared" si="110"/>
        <v>-1.3799276800907645E-2</v>
      </c>
      <c r="K442" s="90">
        <f t="shared" si="110"/>
        <v>-5.1920122887865183E-3</v>
      </c>
      <c r="L442" s="90">
        <f t="shared" si="110"/>
        <v>-3.0233728216620959E-3</v>
      </c>
      <c r="M442" s="90">
        <f t="shared" si="110"/>
        <v>-2.892265608059652E-2</v>
      </c>
      <c r="N442" s="81">
        <f t="shared" si="110"/>
        <v>9.0912864793060155E-3</v>
      </c>
    </row>
    <row r="443" spans="2:14" hidden="1" outlineLevel="1" x14ac:dyDescent="0.3">
      <c r="B443" s="48">
        <v>45508</v>
      </c>
      <c r="C443" s="90">
        <f t="shared" ref="C443:N443" si="111">C176/C175-1</f>
        <v>-7.0758705276647849E-3</v>
      </c>
      <c r="D443" s="90">
        <f t="shared" si="111"/>
        <v>-4.4888174028976269E-2</v>
      </c>
      <c r="E443" s="90">
        <f t="shared" si="111"/>
        <v>-4.2413199716570649E-2</v>
      </c>
      <c r="F443" s="90">
        <f t="shared" si="111"/>
        <v>-4.7446138949406969E-2</v>
      </c>
      <c r="G443" s="90">
        <f t="shared" si="111"/>
        <v>-4.6936553856147034E-2</v>
      </c>
      <c r="H443" s="90">
        <f t="shared" si="111"/>
        <v>-4.834773176306506E-2</v>
      </c>
      <c r="I443" s="90">
        <f t="shared" si="111"/>
        <v>-4.9580521037027592E-2</v>
      </c>
      <c r="J443" s="90">
        <f t="shared" si="111"/>
        <v>-3.41855762749943E-2</v>
      </c>
      <c r="K443" s="90">
        <f t="shared" si="111"/>
        <v>-3.2549952132423177E-2</v>
      </c>
      <c r="L443" s="90">
        <f t="shared" si="111"/>
        <v>-3.0678674490409175E-2</v>
      </c>
      <c r="M443" s="90">
        <f t="shared" si="111"/>
        <v>-6.542537659526948E-2</v>
      </c>
      <c r="N443" s="81">
        <f t="shared" si="111"/>
        <v>-3.2680598979759723E-2</v>
      </c>
    </row>
    <row r="444" spans="2:14" hidden="1" outlineLevel="1" x14ac:dyDescent="0.3">
      <c r="B444" s="48">
        <v>45501</v>
      </c>
      <c r="C444" s="90">
        <f t="shared" ref="C444:N444" si="112">C177/C176-1</f>
        <v>1.4371601518415877E-2</v>
      </c>
      <c r="D444" s="90">
        <f t="shared" si="112"/>
        <v>1.7595848711558615E-2</v>
      </c>
      <c r="E444" s="90">
        <f t="shared" si="112"/>
        <v>1.2841149336921154E-2</v>
      </c>
      <c r="F444" s="90">
        <f t="shared" si="112"/>
        <v>2.8490752506000305E-2</v>
      </c>
      <c r="G444" s="90">
        <f t="shared" si="112"/>
        <v>1.2166878072483733E-2</v>
      </c>
      <c r="H444" s="90">
        <f t="shared" si="112"/>
        <v>2.2063912070018343E-2</v>
      </c>
      <c r="I444" s="90">
        <f t="shared" si="112"/>
        <v>6.637021304838342E-4</v>
      </c>
      <c r="J444" s="90">
        <f t="shared" si="112"/>
        <v>2.5374287016962649E-2</v>
      </c>
      <c r="K444" s="90">
        <f t="shared" si="112"/>
        <v>-1.3343122546046526E-2</v>
      </c>
      <c r="L444" s="90">
        <f t="shared" si="112"/>
        <v>-1.6518207892768921E-2</v>
      </c>
      <c r="M444" s="90">
        <f t="shared" si="112"/>
        <v>2.0143356000735135E-2</v>
      </c>
      <c r="N444" s="81">
        <f t="shared" si="112"/>
        <v>3.4295046271094032E-2</v>
      </c>
    </row>
    <row r="445" spans="2:14" hidden="1" outlineLevel="1" x14ac:dyDescent="0.3">
      <c r="B445" s="48">
        <v>45494</v>
      </c>
      <c r="C445" s="90">
        <f t="shared" ref="C445:N445" si="113">C178/C177-1</f>
        <v>4.7395186445340354E-3</v>
      </c>
      <c r="D445" s="90">
        <f t="shared" si="113"/>
        <v>3.1387882799777334E-2</v>
      </c>
      <c r="E445" s="90">
        <f t="shared" si="113"/>
        <v>2.4467189297531888E-2</v>
      </c>
      <c r="F445" s="90">
        <f t="shared" si="113"/>
        <v>3.1682407204041363E-2</v>
      </c>
      <c r="G445" s="90">
        <f t="shared" si="113"/>
        <v>1.6191681578143324E-2</v>
      </c>
      <c r="H445" s="90">
        <f t="shared" si="113"/>
        <v>4.5126857051818181E-2</v>
      </c>
      <c r="I445" s="90">
        <f t="shared" si="113"/>
        <v>2.218611129535053E-2</v>
      </c>
      <c r="J445" s="90">
        <f t="shared" si="113"/>
        <v>5.0554456523711933E-2</v>
      </c>
      <c r="K445" s="90">
        <f t="shared" si="113"/>
        <v>2.9462831753426677E-2</v>
      </c>
      <c r="L445" s="90">
        <f t="shared" si="113"/>
        <v>6.7764880264880256E-2</v>
      </c>
      <c r="M445" s="90">
        <f t="shared" si="113"/>
        <v>9.1701798003819501E-2</v>
      </c>
      <c r="N445" s="81">
        <f t="shared" si="113"/>
        <v>4.3371710526315832E-2</v>
      </c>
    </row>
    <row r="446" spans="2:14" hidden="1" outlineLevel="1" x14ac:dyDescent="0.3">
      <c r="B446" s="48">
        <v>45487</v>
      </c>
      <c r="C446" s="90">
        <f t="shared" ref="C446:N446" si="114">C179/C178-1</f>
        <v>-1.2238849842056476E-2</v>
      </c>
      <c r="D446" s="90">
        <f t="shared" si="114"/>
        <v>-2.5722746834531685E-2</v>
      </c>
      <c r="E446" s="90">
        <f t="shared" si="114"/>
        <v>-1.9474415373929022E-2</v>
      </c>
      <c r="F446" s="90">
        <f t="shared" si="114"/>
        <v>-4.5744850710522145E-2</v>
      </c>
      <c r="G446" s="90">
        <f t="shared" si="114"/>
        <v>-2.4952757258203118E-2</v>
      </c>
      <c r="H446" s="90">
        <f t="shared" si="114"/>
        <v>6.173780487804903E-2</v>
      </c>
      <c r="I446" s="90">
        <f t="shared" si="114"/>
        <v>-3.2281088797326718E-2</v>
      </c>
      <c r="J446" s="90">
        <f t="shared" si="114"/>
        <v>-4.4398759598855975E-3</v>
      </c>
      <c r="K446" s="90">
        <f t="shared" si="114"/>
        <v>-3.9702909102337092E-2</v>
      </c>
      <c r="L446" s="90">
        <f t="shared" si="114"/>
        <v>-2.4459938793814473E-2</v>
      </c>
      <c r="M446" s="90">
        <f t="shared" si="114"/>
        <v>-5.1571060796092194E-2</v>
      </c>
      <c r="N446" s="81">
        <f t="shared" si="114"/>
        <v>-5.6741333921843773E-2</v>
      </c>
    </row>
    <row r="447" spans="2:14" hidden="1" outlineLevel="1" x14ac:dyDescent="0.3">
      <c r="B447" s="48">
        <v>45480</v>
      </c>
      <c r="C447" s="90">
        <f t="shared" ref="C447:N447" si="115">C180/C179-1</f>
        <v>-1.1719912436967128E-3</v>
      </c>
      <c r="D447" s="90">
        <f t="shared" si="115"/>
        <v>-2.2550741045955669E-2</v>
      </c>
      <c r="E447" s="90">
        <f t="shared" si="115"/>
        <v>-2.7530821343647705E-2</v>
      </c>
      <c r="F447" s="90">
        <f t="shared" si="115"/>
        <v>-4.528849103432897E-2</v>
      </c>
      <c r="G447" s="90">
        <f t="shared" si="115"/>
        <v>-2.1539003655904554E-2</v>
      </c>
      <c r="H447" s="90">
        <f t="shared" si="115"/>
        <v>5.3122756640342494E-3</v>
      </c>
      <c r="I447" s="90">
        <f t="shared" si="115"/>
        <v>9.1524741853290514E-3</v>
      </c>
      <c r="J447" s="90">
        <f t="shared" si="115"/>
        <v>-3.2987722875363334E-2</v>
      </c>
      <c r="K447" s="90">
        <f t="shared" si="115"/>
        <v>4.9100568349169427E-2</v>
      </c>
      <c r="L447" s="90">
        <f t="shared" si="115"/>
        <v>-2.4528057806565973E-2</v>
      </c>
      <c r="M447" s="90">
        <f t="shared" si="115"/>
        <v>-6.3632092707626597E-2</v>
      </c>
      <c r="N447" s="81">
        <f t="shared" si="115"/>
        <v>-1.0194276164612326E-3</v>
      </c>
    </row>
    <row r="448" spans="2:14" hidden="1" outlineLevel="1" x14ac:dyDescent="0.3">
      <c r="B448" s="48">
        <v>45473</v>
      </c>
      <c r="C448" s="90">
        <f t="shared" ref="C448:N448" si="116">C181/C180-1</f>
        <v>-7.2769124342150215E-3</v>
      </c>
      <c r="D448" s="90">
        <f t="shared" si="116"/>
        <v>-3.3371345104169281E-2</v>
      </c>
      <c r="E448" s="90">
        <f t="shared" si="116"/>
        <v>-4.1145618337663614E-2</v>
      </c>
      <c r="F448" s="90">
        <f t="shared" si="116"/>
        <v>-3.7563896597049728E-2</v>
      </c>
      <c r="G448" s="90">
        <f t="shared" si="116"/>
        <v>-2.6154677230575407E-2</v>
      </c>
      <c r="H448" s="90">
        <f t="shared" si="116"/>
        <v>-4.4737217937731999E-2</v>
      </c>
      <c r="I448" s="90">
        <f t="shared" si="116"/>
        <v>-2.9035580213282008E-2</v>
      </c>
      <c r="J448" s="90">
        <f t="shared" si="116"/>
        <v>-2.7087651296959225E-2</v>
      </c>
      <c r="K448" s="90">
        <f t="shared" si="116"/>
        <v>-7.746698554642828E-3</v>
      </c>
      <c r="L448" s="90">
        <f t="shared" si="116"/>
        <v>-1.2446894670285147E-2</v>
      </c>
      <c r="M448" s="90">
        <f t="shared" si="116"/>
        <v>-2.2968000891961049E-2</v>
      </c>
      <c r="N448" s="81">
        <f t="shared" si="116"/>
        <v>-1.7983655784463815E-2</v>
      </c>
    </row>
    <row r="449" spans="2:14" hidden="1" outlineLevel="1" x14ac:dyDescent="0.3">
      <c r="B449" s="48">
        <v>45466</v>
      </c>
      <c r="C449" s="90">
        <f t="shared" ref="C449:N449" si="117">C182/C181-1</f>
        <v>-1.2878306682535867E-2</v>
      </c>
      <c r="D449" s="90">
        <f t="shared" si="117"/>
        <v>-4.1442707263243728E-2</v>
      </c>
      <c r="E449" s="90">
        <f t="shared" si="117"/>
        <v>-2.6833128632386627E-2</v>
      </c>
      <c r="F449" s="90">
        <f t="shared" si="117"/>
        <v>-4.8984794682691457E-2</v>
      </c>
      <c r="G449" s="90">
        <f t="shared" si="117"/>
        <v>-3.9357859355085734E-2</v>
      </c>
      <c r="H449" s="90">
        <f t="shared" si="117"/>
        <v>-3.7862081853859086E-2</v>
      </c>
      <c r="I449" s="90">
        <f t="shared" si="117"/>
        <v>-2.1213261710062659E-2</v>
      </c>
      <c r="J449" s="90">
        <f t="shared" si="117"/>
        <v>-6.7598723647563919E-3</v>
      </c>
      <c r="K449" s="90">
        <f t="shared" si="117"/>
        <v>-0.11104008383547292</v>
      </c>
      <c r="L449" s="90">
        <f t="shared" si="117"/>
        <v>-5.2103266525665659E-2</v>
      </c>
      <c r="M449" s="90">
        <f t="shared" si="117"/>
        <v>-6.5559739815131746E-2</v>
      </c>
      <c r="N449" s="81">
        <f t="shared" si="117"/>
        <v>-7.0074870318475702E-2</v>
      </c>
    </row>
    <row r="450" spans="2:14" hidden="1" outlineLevel="1" x14ac:dyDescent="0.3">
      <c r="B450" s="48">
        <v>45459</v>
      </c>
      <c r="C450" s="90">
        <f t="shared" ref="C450:N450" si="118">C183/C182-1</f>
        <v>-2.1219794590722429E-2</v>
      </c>
      <c r="D450" s="90">
        <f t="shared" si="118"/>
        <v>-2.6473069211090272E-2</v>
      </c>
      <c r="E450" s="90">
        <f t="shared" si="118"/>
        <v>-2.3922100294309745E-2</v>
      </c>
      <c r="F450" s="90">
        <f t="shared" si="118"/>
        <v>-2.1732886548587849E-2</v>
      </c>
      <c r="G450" s="90">
        <f t="shared" si="118"/>
        <v>-8.0497143760612788E-3</v>
      </c>
      <c r="H450" s="90">
        <f t="shared" si="118"/>
        <v>-4.7199129826742348E-2</v>
      </c>
      <c r="I450" s="90">
        <f t="shared" si="118"/>
        <v>-2.1358408781067539E-2</v>
      </c>
      <c r="J450" s="90">
        <f t="shared" si="118"/>
        <v>-4.820753753447049E-2</v>
      </c>
      <c r="K450" s="90">
        <f t="shared" si="118"/>
        <v>-7.0023223190182615E-2</v>
      </c>
      <c r="L450" s="90">
        <f t="shared" si="118"/>
        <v>-1.4505805864049259E-2</v>
      </c>
      <c r="M450" s="90">
        <f t="shared" si="118"/>
        <v>-1.0909609004498222E-2</v>
      </c>
      <c r="N450" s="81">
        <f t="shared" si="118"/>
        <v>-1.3812559536894531E-2</v>
      </c>
    </row>
    <row r="451" spans="2:14" hidden="1" outlineLevel="1" x14ac:dyDescent="0.3">
      <c r="B451" s="48">
        <v>45452</v>
      </c>
      <c r="C451" s="90">
        <f t="shared" ref="C451:N451" si="119">C184/C183-1</f>
        <v>-1.5105675904532045E-3</v>
      </c>
      <c r="D451" s="90">
        <f t="shared" si="119"/>
        <v>-1.7095024758311705E-2</v>
      </c>
      <c r="E451" s="90">
        <f t="shared" si="119"/>
        <v>5.5879028302088241E-3</v>
      </c>
      <c r="F451" s="90">
        <f t="shared" si="119"/>
        <v>-2.8577020943433173E-2</v>
      </c>
      <c r="G451" s="90">
        <f t="shared" si="119"/>
        <v>-1.1600831600831585E-2</v>
      </c>
      <c r="H451" s="90">
        <f t="shared" si="119"/>
        <v>-2.6582949402699119E-2</v>
      </c>
      <c r="I451" s="90">
        <f t="shared" si="119"/>
        <v>-2.0252893270467198E-2</v>
      </c>
      <c r="J451" s="90">
        <f t="shared" si="119"/>
        <v>-1.8125237783999437E-2</v>
      </c>
      <c r="K451" s="90">
        <f t="shared" si="119"/>
        <v>-4.3516840117126532E-2</v>
      </c>
      <c r="L451" s="90">
        <f t="shared" si="119"/>
        <v>-2.343180441322934E-2</v>
      </c>
      <c r="M451" s="90">
        <f t="shared" si="119"/>
        <v>-8.6017079946496544E-3</v>
      </c>
      <c r="N451" s="81">
        <f t="shared" si="119"/>
        <v>-3.3742616190511665E-2</v>
      </c>
    </row>
    <row r="452" spans="2:14" hidden="1" outlineLevel="1" x14ac:dyDescent="0.3">
      <c r="B452" s="48">
        <v>45445</v>
      </c>
      <c r="C452" s="90">
        <f t="shared" ref="C452:N452" si="120">C185/C184-1</f>
        <v>-7.4769023591980677E-3</v>
      </c>
      <c r="D452" s="90">
        <f t="shared" si="120"/>
        <v>1.6513697828377083E-2</v>
      </c>
      <c r="E452" s="90">
        <f t="shared" si="120"/>
        <v>1.6153576958154003E-2</v>
      </c>
      <c r="F452" s="90">
        <f t="shared" si="120"/>
        <v>3.002216401370128E-2</v>
      </c>
      <c r="G452" s="90">
        <f t="shared" si="120"/>
        <v>3.1551049598244063E-4</v>
      </c>
      <c r="H452" s="90">
        <f t="shared" si="120"/>
        <v>1.4743455497382207E-2</v>
      </c>
      <c r="I452" s="90">
        <f t="shared" si="120"/>
        <v>4.4843049327352169E-3</v>
      </c>
      <c r="J452" s="90">
        <f t="shared" si="120"/>
        <v>-1.0998400413309461E-2</v>
      </c>
      <c r="K452" s="90">
        <f t="shared" si="120"/>
        <v>2.0528519932145883E-2</v>
      </c>
      <c r="L452" s="90">
        <f t="shared" si="120"/>
        <v>-0.11612184171512097</v>
      </c>
      <c r="M452" s="90">
        <f t="shared" si="120"/>
        <v>2.6195072337422465E-2</v>
      </c>
      <c r="N452" s="81">
        <f t="shared" si="120"/>
        <v>4.4090930936704131E-2</v>
      </c>
    </row>
    <row r="453" spans="2:14" hidden="1" outlineLevel="1" x14ac:dyDescent="0.3">
      <c r="B453" s="48">
        <v>45438</v>
      </c>
      <c r="C453" s="90">
        <f t="shared" ref="C453:N453" si="121">C186/C185-1</f>
        <v>-3.2608205614820029E-2</v>
      </c>
      <c r="D453" s="90">
        <f t="shared" si="121"/>
        <v>-7.9152912007142584E-2</v>
      </c>
      <c r="E453" s="90">
        <f t="shared" si="121"/>
        <v>-5.7268090324432253E-2</v>
      </c>
      <c r="F453" s="90">
        <f t="shared" si="121"/>
        <v>-8.2616066770996199E-2</v>
      </c>
      <c r="G453" s="90">
        <f t="shared" si="121"/>
        <v>-7.5025758563408096E-2</v>
      </c>
      <c r="H453" s="90">
        <f t="shared" si="121"/>
        <v>-9.5637099104305179E-2</v>
      </c>
      <c r="I453" s="90">
        <f t="shared" si="121"/>
        <v>-0.10826800232288025</v>
      </c>
      <c r="J453" s="90">
        <f t="shared" si="121"/>
        <v>-5.5312223740255573E-2</v>
      </c>
      <c r="K453" s="90">
        <f t="shared" si="121"/>
        <v>-0.11421336276865135</v>
      </c>
      <c r="L453" s="90">
        <f t="shared" si="121"/>
        <v>-0.11317107407539573</v>
      </c>
      <c r="M453" s="90">
        <f t="shared" si="121"/>
        <v>-7.5992637391532947E-2</v>
      </c>
      <c r="N453" s="81">
        <f t="shared" si="121"/>
        <v>-8.4715803428403014E-2</v>
      </c>
    </row>
    <row r="454" spans="2:14" hidden="1" outlineLevel="1" x14ac:dyDescent="0.3">
      <c r="B454" s="48">
        <v>45431</v>
      </c>
      <c r="C454" s="90">
        <f t="shared" ref="C454:N454" si="122">C187/C186-1</f>
        <v>1.8925288606212787E-2</v>
      </c>
      <c r="D454" s="90">
        <f t="shared" si="122"/>
        <v>4.4407940443585536E-2</v>
      </c>
      <c r="E454" s="90">
        <f t="shared" si="122"/>
        <v>4.8639074543014083E-2</v>
      </c>
      <c r="F454" s="90">
        <f t="shared" si="122"/>
        <v>3.5532020754851068E-2</v>
      </c>
      <c r="G454" s="90">
        <f t="shared" si="122"/>
        <v>1.593580213235124E-2</v>
      </c>
      <c r="H454" s="90">
        <f t="shared" si="122"/>
        <v>5.8055682336832559E-2</v>
      </c>
      <c r="I454" s="90">
        <f t="shared" si="122"/>
        <v>7.5949367088607556E-2</v>
      </c>
      <c r="J454" s="90">
        <f t="shared" si="122"/>
        <v>2.9317935302749953E-2</v>
      </c>
      <c r="K454" s="90">
        <f t="shared" si="122"/>
        <v>4.2427796510775551E-2</v>
      </c>
      <c r="L454" s="90">
        <f t="shared" si="122"/>
        <v>1.1730460968886414E-2</v>
      </c>
      <c r="M454" s="90">
        <f t="shared" si="122"/>
        <v>4.6779913313777843E-2</v>
      </c>
      <c r="N454" s="81">
        <f t="shared" si="122"/>
        <v>2.704687185676935E-2</v>
      </c>
    </row>
    <row r="455" spans="2:14" hidden="1" outlineLevel="1" x14ac:dyDescent="0.3">
      <c r="B455" s="48">
        <v>45424</v>
      </c>
      <c r="C455" s="90">
        <f t="shared" ref="C455:N455" si="123">C188/C187-1</f>
        <v>-2.1387718832082458E-2</v>
      </c>
      <c r="D455" s="90">
        <f t="shared" si="123"/>
        <v>-1.3080832419296362E-2</v>
      </c>
      <c r="E455" s="90">
        <f t="shared" si="123"/>
        <v>-4.0009500936897258E-3</v>
      </c>
      <c r="F455" s="90">
        <f t="shared" si="123"/>
        <v>-1.4194620046812045E-2</v>
      </c>
      <c r="G455" s="90">
        <f t="shared" si="123"/>
        <v>-8.9207130603415896E-3</v>
      </c>
      <c r="H455" s="90">
        <f t="shared" si="123"/>
        <v>-5.6940729876627794E-3</v>
      </c>
      <c r="I455" s="90">
        <f t="shared" si="123"/>
        <v>-1.2369964062795447E-2</v>
      </c>
      <c r="J455" s="90">
        <f t="shared" si="123"/>
        <v>-1.5589648225631469E-2</v>
      </c>
      <c r="K455" s="90">
        <f t="shared" si="123"/>
        <v>-4.2332358235822598E-3</v>
      </c>
      <c r="L455" s="90">
        <f t="shared" si="123"/>
        <v>3.2297411964361533E-2</v>
      </c>
      <c r="M455" s="90">
        <f t="shared" si="123"/>
        <v>-3.3187645078316064E-2</v>
      </c>
      <c r="N455" s="81">
        <f t="shared" si="123"/>
        <v>-7.6947183891723614E-2</v>
      </c>
    </row>
    <row r="456" spans="2:14" hidden="1" outlineLevel="1" x14ac:dyDescent="0.3">
      <c r="B456" s="48">
        <v>45417</v>
      </c>
      <c r="C456" s="90">
        <f t="shared" ref="C456:N456" si="124">C189/C188-1</f>
        <v>-1.8289778822314418E-2</v>
      </c>
      <c r="D456" s="90">
        <f t="shared" si="124"/>
        <v>-1.3381523192992462E-2</v>
      </c>
      <c r="E456" s="90">
        <f t="shared" si="124"/>
        <v>1.5596432375713398E-2</v>
      </c>
      <c r="F456" s="90">
        <f t="shared" si="124"/>
        <v>-1.343118346202854E-2</v>
      </c>
      <c r="G456" s="90">
        <f t="shared" si="124"/>
        <v>-1.2756445956319529E-2</v>
      </c>
      <c r="H456" s="90">
        <f t="shared" si="124"/>
        <v>-1.9826464208242967E-2</v>
      </c>
      <c r="I456" s="90">
        <f t="shared" si="124"/>
        <v>-3.1407997548644095E-2</v>
      </c>
      <c r="J456" s="90">
        <f t="shared" si="124"/>
        <v>-3.2879961379426281E-2</v>
      </c>
      <c r="K456" s="90">
        <f t="shared" si="124"/>
        <v>-4.8769119952544404E-2</v>
      </c>
      <c r="L456" s="90">
        <f t="shared" si="124"/>
        <v>-2.6361417929617215E-2</v>
      </c>
      <c r="M456" s="90">
        <f t="shared" si="124"/>
        <v>-3.4781103997231444E-2</v>
      </c>
      <c r="N456" s="81">
        <f t="shared" si="124"/>
        <v>-5.2476340024614876E-2</v>
      </c>
    </row>
    <row r="457" spans="2:14" hidden="1" outlineLevel="1" x14ac:dyDescent="0.3">
      <c r="B457" s="48">
        <v>45410</v>
      </c>
      <c r="C457" s="90">
        <f t="shared" ref="C457:N457" si="125">C190/C189-1</f>
        <v>1.9072599659037293E-2</v>
      </c>
      <c r="D457" s="90">
        <f t="shared" si="125"/>
        <v>-8.1220216091315578E-4</v>
      </c>
      <c r="E457" s="90">
        <f t="shared" si="125"/>
        <v>-1.2969630557294942E-2</v>
      </c>
      <c r="F457" s="90">
        <f t="shared" si="125"/>
        <v>-6.0412726194846167E-3</v>
      </c>
      <c r="G457" s="90">
        <f t="shared" si="125"/>
        <v>2.4203569168845585E-2</v>
      </c>
      <c r="H457" s="90">
        <f t="shared" si="125"/>
        <v>1.2171911654052181E-2</v>
      </c>
      <c r="I457" s="90">
        <f t="shared" si="125"/>
        <v>-1.1032900980702309E-2</v>
      </c>
      <c r="J457" s="90">
        <f t="shared" si="125"/>
        <v>9.6144455416535823E-3</v>
      </c>
      <c r="K457" s="90">
        <f t="shared" si="125"/>
        <v>-1.9302152932443306E-4</v>
      </c>
      <c r="L457" s="90">
        <f t="shared" si="125"/>
        <v>2.6376018204003593E-2</v>
      </c>
      <c r="M457" s="90">
        <f t="shared" si="125"/>
        <v>2.7205091430620332E-2</v>
      </c>
      <c r="N457" s="81">
        <f t="shared" si="125"/>
        <v>3.8631222986138525E-3</v>
      </c>
    </row>
    <row r="458" spans="2:14" hidden="1" outlineLevel="1" x14ac:dyDescent="0.3">
      <c r="B458" s="48">
        <v>45403</v>
      </c>
      <c r="C458" s="90">
        <f t="shared" ref="C458:N458" si="126">C191/C190-1</f>
        <v>-2.4871139467471659E-3</v>
      </c>
      <c r="D458" s="90">
        <f t="shared" si="126"/>
        <v>2.3029074643555969E-2</v>
      </c>
      <c r="E458" s="90">
        <f t="shared" si="126"/>
        <v>-5.7360517460595117E-3</v>
      </c>
      <c r="F458" s="90">
        <f t="shared" si="126"/>
        <v>9.848334232724687E-3</v>
      </c>
      <c r="G458" s="90">
        <f t="shared" si="126"/>
        <v>9.3320630572964136E-2</v>
      </c>
      <c r="H458" s="90">
        <f t="shared" si="126"/>
        <v>1.5829980759139328E-2</v>
      </c>
      <c r="I458" s="90">
        <f t="shared" si="126"/>
        <v>2.2631852533087971E-2</v>
      </c>
      <c r="J458" s="90">
        <f t="shared" si="126"/>
        <v>2.9256548329195331E-2</v>
      </c>
      <c r="K458" s="90">
        <f t="shared" si="126"/>
        <v>9.0886139863670667E-3</v>
      </c>
      <c r="L458" s="90">
        <f t="shared" si="126"/>
        <v>-3.7284563085583478E-2</v>
      </c>
      <c r="M458" s="90">
        <f t="shared" si="126"/>
        <v>2.7051791090360044E-3</v>
      </c>
      <c r="N458" s="81">
        <f t="shared" si="126"/>
        <v>0.17143143969392427</v>
      </c>
    </row>
    <row r="459" spans="2:14" hidden="1" outlineLevel="1" x14ac:dyDescent="0.3">
      <c r="B459" s="48">
        <v>45396</v>
      </c>
      <c r="C459" s="90">
        <f t="shared" ref="C459:N459" si="127">C192/C191-1</f>
        <v>-1.2174425009868428E-2</v>
      </c>
      <c r="D459" s="90">
        <f t="shared" si="127"/>
        <v>-8.8501095310584699E-3</v>
      </c>
      <c r="E459" s="90">
        <f t="shared" si="127"/>
        <v>1.2681482111667197E-3</v>
      </c>
      <c r="F459" s="90">
        <f t="shared" si="127"/>
        <v>-1.3281958614288936E-2</v>
      </c>
      <c r="G459" s="90">
        <f t="shared" si="127"/>
        <v>-1.7883887481959571E-2</v>
      </c>
      <c r="H459" s="90">
        <f t="shared" si="127"/>
        <v>-2.5484287559190744E-2</v>
      </c>
      <c r="I459" s="90">
        <f t="shared" si="127"/>
        <v>-6.6549364613880724E-2</v>
      </c>
      <c r="J459" s="90">
        <f t="shared" si="127"/>
        <v>-2.6628794603230976E-2</v>
      </c>
      <c r="K459" s="90">
        <f t="shared" si="127"/>
        <v>0.1434163858187758</v>
      </c>
      <c r="L459" s="90">
        <f t="shared" si="127"/>
        <v>1.4972098363281949E-2</v>
      </c>
      <c r="M459" s="90">
        <f t="shared" si="127"/>
        <v>-7.745528915190647E-3</v>
      </c>
      <c r="N459" s="81">
        <f t="shared" si="127"/>
        <v>-2.5299942868025171E-2</v>
      </c>
    </row>
    <row r="460" spans="2:14" hidden="1" outlineLevel="1" x14ac:dyDescent="0.3">
      <c r="B460" s="48">
        <v>45389</v>
      </c>
      <c r="C460" s="90">
        <f t="shared" ref="C460:N460" si="128">C193/C192-1</f>
        <v>1.6814918499119536E-2</v>
      </c>
      <c r="D460" s="90">
        <f t="shared" si="128"/>
        <v>4.9442135200174819E-2</v>
      </c>
      <c r="E460" s="90">
        <f t="shared" si="128"/>
        <v>4.5789345115449187E-2</v>
      </c>
      <c r="F460" s="90">
        <f t="shared" si="128"/>
        <v>5.2082887967278113E-2</v>
      </c>
      <c r="G460" s="90">
        <f t="shared" si="128"/>
        <v>5.1128132256611059E-2</v>
      </c>
      <c r="H460" s="90">
        <f t="shared" si="128"/>
        <v>3.9756162205141887E-2</v>
      </c>
      <c r="I460" s="90">
        <f t="shared" si="128"/>
        <v>4.0589787626188478E-2</v>
      </c>
      <c r="J460" s="90">
        <f t="shared" si="128"/>
        <v>4.8996363090193062E-2</v>
      </c>
      <c r="K460" s="90">
        <f t="shared" si="128"/>
        <v>2.4004427626328928E-2</v>
      </c>
      <c r="L460" s="90">
        <f t="shared" si="128"/>
        <v>7.9109532734865873E-2</v>
      </c>
      <c r="M460" s="90">
        <f t="shared" si="128"/>
        <v>7.2731658115160247E-2</v>
      </c>
      <c r="N460" s="81">
        <f t="shared" si="128"/>
        <v>9.7320320819045847E-2</v>
      </c>
    </row>
    <row r="461" spans="2:14" hidden="1" outlineLevel="1" x14ac:dyDescent="0.3">
      <c r="B461" s="48">
        <v>45382</v>
      </c>
      <c r="C461" s="90">
        <f t="shared" ref="C461:N461" si="129">C194/C193-1</f>
        <v>-2.5311509187642134E-4</v>
      </c>
      <c r="D461" s="90">
        <f t="shared" si="129"/>
        <v>6.5623206284750601E-3</v>
      </c>
      <c r="E461" s="90">
        <f t="shared" si="129"/>
        <v>-5.5349476084203264E-3</v>
      </c>
      <c r="F461" s="90">
        <f t="shared" si="129"/>
        <v>-3.8064791422554034E-3</v>
      </c>
      <c r="G461" s="90">
        <f t="shared" si="129"/>
        <v>1.5609234969434338E-2</v>
      </c>
      <c r="H461" s="90">
        <f t="shared" si="129"/>
        <v>3.0333928116237585E-2</v>
      </c>
      <c r="I461" s="90">
        <f t="shared" si="129"/>
        <v>1.7148377747363552E-2</v>
      </c>
      <c r="J461" s="90">
        <f t="shared" si="129"/>
        <v>7.8954366012804478E-3</v>
      </c>
      <c r="K461" s="90">
        <f t="shared" si="129"/>
        <v>4.7260523636547536E-3</v>
      </c>
      <c r="L461" s="90">
        <f t="shared" si="129"/>
        <v>6.9628970527291001E-2</v>
      </c>
      <c r="M461" s="90">
        <f t="shared" si="129"/>
        <v>2.6347525703656727E-2</v>
      </c>
      <c r="N461" s="81">
        <f t="shared" si="129"/>
        <v>2.9672824393500941E-2</v>
      </c>
    </row>
    <row r="462" spans="2:14" hidden="1" outlineLevel="1" x14ac:dyDescent="0.3">
      <c r="B462" s="48">
        <v>45375</v>
      </c>
      <c r="C462" s="90">
        <f t="shared" ref="C462:N462" si="130">C195/C194-1</f>
        <v>-8.2971701674979803E-3</v>
      </c>
      <c r="D462" s="90">
        <f t="shared" si="130"/>
        <v>-9.9225769478464843E-3</v>
      </c>
      <c r="E462" s="90">
        <f t="shared" si="130"/>
        <v>-2.5870542609930047E-2</v>
      </c>
      <c r="F462" s="90">
        <f t="shared" si="130"/>
        <v>1.2816067337045656E-2</v>
      </c>
      <c r="G462" s="90">
        <f t="shared" si="130"/>
        <v>-1.1038387616226775E-3</v>
      </c>
      <c r="H462" s="90">
        <f t="shared" si="130"/>
        <v>-1.0184727032822027E-2</v>
      </c>
      <c r="I462" s="90">
        <f t="shared" si="130"/>
        <v>-1.2110178882380973E-2</v>
      </c>
      <c r="J462" s="90">
        <f t="shared" si="130"/>
        <v>2.2120750887872909E-3</v>
      </c>
      <c r="K462" s="90">
        <f t="shared" si="130"/>
        <v>-3.0524801401138335E-3</v>
      </c>
      <c r="L462" s="90">
        <f t="shared" si="130"/>
        <v>-1.5383826470438677E-4</v>
      </c>
      <c r="M462" s="90">
        <f t="shared" si="130"/>
        <v>-4.881303274117732E-2</v>
      </c>
      <c r="N462" s="81">
        <f t="shared" si="130"/>
        <v>-4.8496429127254381E-2</v>
      </c>
    </row>
    <row r="463" spans="2:14" hidden="1" outlineLevel="1" x14ac:dyDescent="0.3">
      <c r="B463" s="48">
        <v>45368</v>
      </c>
      <c r="C463" s="90">
        <f t="shared" ref="C463:N463" si="131">C196/C195-1</f>
        <v>-1.0308193255669229E-2</v>
      </c>
      <c r="D463" s="90">
        <f t="shared" si="131"/>
        <v>8.3170597868369445E-3</v>
      </c>
      <c r="E463" s="90">
        <f t="shared" si="131"/>
        <v>8.9241720569890326E-3</v>
      </c>
      <c r="F463" s="90">
        <f t="shared" si="131"/>
        <v>7.2029859162494603E-3</v>
      </c>
      <c r="G463" s="90">
        <f t="shared" si="131"/>
        <v>9.2629909385197884E-3</v>
      </c>
      <c r="H463" s="90">
        <f t="shared" si="131"/>
        <v>1.4580295771714269E-2</v>
      </c>
      <c r="I463" s="90">
        <f t="shared" si="131"/>
        <v>1.1657719733995764E-2</v>
      </c>
      <c r="J463" s="90">
        <f t="shared" si="131"/>
        <v>1.3486149360116606E-2</v>
      </c>
      <c r="K463" s="90">
        <f t="shared" si="131"/>
        <v>2.8861477456665341E-4</v>
      </c>
      <c r="L463" s="90">
        <f t="shared" si="131"/>
        <v>-4.503595810396499E-2</v>
      </c>
      <c r="M463" s="90">
        <f t="shared" si="131"/>
        <v>5.6531479659138739E-4</v>
      </c>
      <c r="N463" s="81">
        <f t="shared" si="131"/>
        <v>6.8424065643486465E-3</v>
      </c>
    </row>
    <row r="464" spans="2:14" hidden="1" outlineLevel="1" x14ac:dyDescent="0.3">
      <c r="B464" s="48">
        <v>45361</v>
      </c>
      <c r="C464" s="90">
        <f t="shared" ref="C464:N464" si="132">C197/C196-1</f>
        <v>-3.3217554617761547E-3</v>
      </c>
      <c r="D464" s="90">
        <f t="shared" si="132"/>
        <v>6.5711995998681161E-2</v>
      </c>
      <c r="E464" s="90">
        <f t="shared" si="132"/>
        <v>7.8845988990863702E-2</v>
      </c>
      <c r="F464" s="90">
        <f t="shared" si="132"/>
        <v>8.2945100940422067E-2</v>
      </c>
      <c r="G464" s="90">
        <f t="shared" si="132"/>
        <v>5.7425143144213209E-2</v>
      </c>
      <c r="H464" s="90">
        <f t="shared" si="132"/>
        <v>6.138369944569888E-2</v>
      </c>
      <c r="I464" s="90">
        <f t="shared" si="132"/>
        <v>1.548330891379246E-2</v>
      </c>
      <c r="J464" s="90">
        <f t="shared" si="132"/>
        <v>3.7832167832167807E-2</v>
      </c>
      <c r="K464" s="90">
        <f t="shared" si="132"/>
        <v>5.783927540958933E-2</v>
      </c>
      <c r="L464" s="90">
        <f t="shared" si="132"/>
        <v>8.8734268613608336E-3</v>
      </c>
      <c r="M464" s="90">
        <f t="shared" si="132"/>
        <v>4.1202812421528234E-2</v>
      </c>
      <c r="N464" s="81">
        <f t="shared" si="132"/>
        <v>0.10402339307954733</v>
      </c>
    </row>
    <row r="465" spans="2:14" hidden="1" outlineLevel="1" x14ac:dyDescent="0.3">
      <c r="B465" s="48">
        <v>45354</v>
      </c>
      <c r="C465" s="90">
        <f t="shared" ref="C465:N465" si="133">C198/C197-1</f>
        <v>2.1350067087886337E-2</v>
      </c>
      <c r="D465" s="90">
        <f t="shared" si="133"/>
        <v>-1.0687800494390665E-2</v>
      </c>
      <c r="E465" s="90">
        <f t="shared" si="133"/>
        <v>-2.6226508228892054E-2</v>
      </c>
      <c r="F465" s="90">
        <f t="shared" si="133"/>
        <v>-1.0739518968021389E-2</v>
      </c>
      <c r="G465" s="90">
        <f t="shared" si="133"/>
        <v>-5.8594582742006462E-3</v>
      </c>
      <c r="H465" s="90">
        <f t="shared" si="133"/>
        <v>-2.9013539651837617E-3</v>
      </c>
      <c r="I465" s="90">
        <f t="shared" si="133"/>
        <v>4.6404617064421672E-3</v>
      </c>
      <c r="J465" s="90">
        <f t="shared" si="133"/>
        <v>-1.3793833684676682E-2</v>
      </c>
      <c r="K465" s="90">
        <f t="shared" si="133"/>
        <v>-7.1580535217479202E-3</v>
      </c>
      <c r="L465" s="90">
        <f t="shared" si="133"/>
        <v>-1.7921994960547916E-2</v>
      </c>
      <c r="M465" s="90">
        <f t="shared" si="133"/>
        <v>2.0097674699037782E-3</v>
      </c>
      <c r="N465" s="81">
        <f t="shared" si="133"/>
        <v>2.2447845137662625E-2</v>
      </c>
    </row>
    <row r="466" spans="2:14" hidden="1" outlineLevel="1" x14ac:dyDescent="0.3">
      <c r="B466" s="48">
        <v>45347</v>
      </c>
      <c r="C466" s="90">
        <f t="shared" ref="C466:N466" si="134">C199/C198-1</f>
        <v>-6.8819728322118134E-3</v>
      </c>
      <c r="D466" s="90">
        <f t="shared" si="134"/>
        <v>1.1217011366607466E-2</v>
      </c>
      <c r="E466" s="90">
        <f t="shared" si="134"/>
        <v>-3.4667530470088304E-3</v>
      </c>
      <c r="F466" s="90">
        <f t="shared" si="134"/>
        <v>2.3665694075488908E-2</v>
      </c>
      <c r="G466" s="90">
        <f t="shared" si="134"/>
        <v>3.9395406115783071E-3</v>
      </c>
      <c r="H466" s="90">
        <f t="shared" si="134"/>
        <v>6.9835111542193573E-3</v>
      </c>
      <c r="I466" s="90">
        <f t="shared" si="134"/>
        <v>-1.2692621200947163E-2</v>
      </c>
      <c r="J466" s="90">
        <f t="shared" si="134"/>
        <v>2.9447361742831024E-2</v>
      </c>
      <c r="K466" s="90">
        <f t="shared" si="134"/>
        <v>2.7101921859509437E-2</v>
      </c>
      <c r="L466" s="90">
        <f t="shared" si="134"/>
        <v>-7.1279722469825724E-2</v>
      </c>
      <c r="M466" s="90">
        <f t="shared" si="134"/>
        <v>4.9902721784303106E-2</v>
      </c>
      <c r="N466" s="81">
        <f t="shared" si="134"/>
        <v>4.0136239346306946E-2</v>
      </c>
    </row>
    <row r="467" spans="2:14" hidden="1" outlineLevel="1" x14ac:dyDescent="0.3">
      <c r="B467" s="48">
        <v>45340</v>
      </c>
      <c r="C467" s="90">
        <f t="shared" ref="C467:N467" si="135">C200/C199-1</f>
        <v>-5.6426612948351496E-3</v>
      </c>
      <c r="D467" s="90">
        <f t="shared" si="135"/>
        <v>1.4116624751273177E-2</v>
      </c>
      <c r="E467" s="90">
        <f t="shared" si="135"/>
        <v>-1.0319817573217649E-2</v>
      </c>
      <c r="F467" s="90">
        <f t="shared" si="135"/>
        <v>1.3382520070741366E-2</v>
      </c>
      <c r="G467" s="90">
        <f t="shared" si="135"/>
        <v>1.3163676309044359E-2</v>
      </c>
      <c r="H467" s="90">
        <f t="shared" si="135"/>
        <v>3.286457329994219E-2</v>
      </c>
      <c r="I467" s="90">
        <f t="shared" si="135"/>
        <v>3.9668186821827378E-2</v>
      </c>
      <c r="J467" s="90">
        <f t="shared" si="135"/>
        <v>5.1028244730779049E-2</v>
      </c>
      <c r="K467" s="90">
        <f t="shared" si="135"/>
        <v>6.1983951622279765E-3</v>
      </c>
      <c r="L467" s="90">
        <f t="shared" si="135"/>
        <v>2.3378577311431226E-2</v>
      </c>
      <c r="M467" s="90">
        <f t="shared" si="135"/>
        <v>4.216257522208422E-2</v>
      </c>
      <c r="N467" s="81">
        <f t="shared" si="135"/>
        <v>1.5573354651252203E-2</v>
      </c>
    </row>
    <row r="468" spans="2:14" hidden="1" outlineLevel="1" x14ac:dyDescent="0.3">
      <c r="B468" s="48">
        <v>45333</v>
      </c>
      <c r="C468" s="90">
        <f t="shared" ref="C468:N468" si="136">C201/C200-1</f>
        <v>-7.7433180117680855E-3</v>
      </c>
      <c r="D468" s="90">
        <f t="shared" si="136"/>
        <v>1.1339009847380677E-2</v>
      </c>
      <c r="E468" s="90">
        <f t="shared" si="136"/>
        <v>1.880396738639889E-2</v>
      </c>
      <c r="F468" s="90">
        <f t="shared" si="136"/>
        <v>1.4789049146900934E-2</v>
      </c>
      <c r="G468" s="90">
        <f t="shared" si="136"/>
        <v>1.0239915189407256E-3</v>
      </c>
      <c r="H468" s="90">
        <f t="shared" si="136"/>
        <v>1.2757385854968772E-2</v>
      </c>
      <c r="I468" s="90">
        <f t="shared" si="136"/>
        <v>-1.4898846662885323E-2</v>
      </c>
      <c r="J468" s="90">
        <f t="shared" si="136"/>
        <v>6.810821538433709E-3</v>
      </c>
      <c r="K468" s="90">
        <f t="shared" si="136"/>
        <v>2.5107774811321981E-2</v>
      </c>
      <c r="L468" s="90">
        <f t="shared" si="136"/>
        <v>3.447270699466376E-3</v>
      </c>
      <c r="M468" s="90">
        <f t="shared" si="136"/>
        <v>2.725839565918764E-2</v>
      </c>
      <c r="N468" s="81">
        <f t="shared" si="136"/>
        <v>8.9918256130789853E-3</v>
      </c>
    </row>
    <row r="469" spans="2:14" hidden="1" outlineLevel="1" x14ac:dyDescent="0.3">
      <c r="B469" s="48">
        <v>45326</v>
      </c>
      <c r="C469" s="90">
        <f t="shared" ref="C469:N469" si="137">C202/C201-1</f>
        <v>-1.1714691457167858E-2</v>
      </c>
      <c r="D469" s="90">
        <f t="shared" si="137"/>
        <v>-2.0214647432690525E-2</v>
      </c>
      <c r="E469" s="90">
        <f t="shared" si="137"/>
        <v>1.3092097491829158E-3</v>
      </c>
      <c r="F469" s="90">
        <f t="shared" si="137"/>
        <v>-1.8982217468131446E-2</v>
      </c>
      <c r="G469" s="90">
        <f t="shared" si="137"/>
        <v>-2.2101608429058728E-2</v>
      </c>
      <c r="H469" s="90">
        <f t="shared" si="137"/>
        <v>-9.6758747697974212E-2</v>
      </c>
      <c r="I469" s="90">
        <f t="shared" si="137"/>
        <v>6.5256612030248906E-3</v>
      </c>
      <c r="J469" s="90">
        <f t="shared" si="137"/>
        <v>-2.2776145079205667E-2</v>
      </c>
      <c r="K469" s="90">
        <f t="shared" si="137"/>
        <v>-2.6019387702180818E-2</v>
      </c>
      <c r="L469" s="90">
        <f t="shared" si="137"/>
        <v>-4.9479002210293666E-2</v>
      </c>
      <c r="M469" s="90">
        <f t="shared" si="137"/>
        <v>-7.5893574118024776E-2</v>
      </c>
      <c r="N469" s="81">
        <f t="shared" si="137"/>
        <v>-2.4702193416749063E-2</v>
      </c>
    </row>
    <row r="470" spans="2:14" hidden="1" outlineLevel="1" x14ac:dyDescent="0.3">
      <c r="B470" s="48">
        <v>45319</v>
      </c>
      <c r="C470" s="90">
        <f t="shared" ref="C470:N470" si="138">C203/C202-1</f>
        <v>3.273269826695735E-3</v>
      </c>
      <c r="D470" s="90">
        <f t="shared" si="138"/>
        <v>-9.9736732163107078E-3</v>
      </c>
      <c r="E470" s="90">
        <f t="shared" si="138"/>
        <v>-4.0498028922248186E-2</v>
      </c>
      <c r="F470" s="90">
        <f t="shared" si="138"/>
        <v>1.437960469641375E-2</v>
      </c>
      <c r="G470" s="90">
        <f t="shared" si="138"/>
        <v>-2.8729832506737885E-2</v>
      </c>
      <c r="H470" s="90">
        <f t="shared" si="138"/>
        <v>-1.4924764506789479E-2</v>
      </c>
      <c r="I470" s="90">
        <f t="shared" si="138"/>
        <v>2.0632317608024087E-2</v>
      </c>
      <c r="J470" s="90">
        <f t="shared" si="138"/>
        <v>5.9688628903600272E-3</v>
      </c>
      <c r="K470" s="90">
        <f t="shared" si="138"/>
        <v>-1.5761521329450079E-2</v>
      </c>
      <c r="L470" s="90">
        <f t="shared" si="138"/>
        <v>-0.12778128425738289</v>
      </c>
      <c r="M470" s="90">
        <f t="shared" si="138"/>
        <v>-1.1238558683814293E-2</v>
      </c>
      <c r="N470" s="81">
        <f t="shared" si="138"/>
        <v>-1.1598661692881707E-2</v>
      </c>
    </row>
    <row r="471" spans="2:14" hidden="1" outlineLevel="1" x14ac:dyDescent="0.3">
      <c r="B471" s="48">
        <v>45312</v>
      </c>
      <c r="C471" s="90">
        <f t="shared" ref="C471:N471" si="139">C204/C203-1</f>
        <v>-2.2934226541837188E-2</v>
      </c>
      <c r="D471" s="90">
        <f t="shared" si="139"/>
        <v>-2.2159109938175381E-2</v>
      </c>
      <c r="E471" s="90">
        <f t="shared" si="139"/>
        <v>-3.9330850447995114E-2</v>
      </c>
      <c r="F471" s="90">
        <f t="shared" si="139"/>
        <v>-1.4318292494625351E-2</v>
      </c>
      <c r="G471" s="90">
        <f t="shared" si="139"/>
        <v>-2.1153663403972289E-2</v>
      </c>
      <c r="H471" s="90">
        <f t="shared" si="139"/>
        <v>-2.7197085730844006E-2</v>
      </c>
      <c r="I471" s="90">
        <f t="shared" si="139"/>
        <v>-1.1994619236230464E-2</v>
      </c>
      <c r="J471" s="90">
        <f t="shared" si="139"/>
        <v>1.6041269812334669E-3</v>
      </c>
      <c r="K471" s="90">
        <f t="shared" si="139"/>
        <v>-1.4564956601510137E-2</v>
      </c>
      <c r="L471" s="90">
        <f t="shared" si="139"/>
        <v>2.1815633521731881E-2</v>
      </c>
      <c r="M471" s="90">
        <f t="shared" si="139"/>
        <v>-1.476447152566196E-2</v>
      </c>
      <c r="N471" s="81">
        <f t="shared" si="139"/>
        <v>-3.4286070019531989E-2</v>
      </c>
    </row>
    <row r="472" spans="2:14" hidden="1" outlineLevel="1" x14ac:dyDescent="0.3">
      <c r="B472" s="48">
        <v>45305</v>
      </c>
      <c r="C472" s="90">
        <f t="shared" ref="C472:N472" si="140">C205/C204-1</f>
        <v>1.2635463596939234E-2</v>
      </c>
      <c r="D472" s="90">
        <f t="shared" si="140"/>
        <v>1.5701634690735045E-2</v>
      </c>
      <c r="E472" s="90">
        <f t="shared" si="140"/>
        <v>3.4840595012411546E-2</v>
      </c>
      <c r="F472" s="90">
        <f t="shared" si="140"/>
        <v>-5.9346287091428529E-3</v>
      </c>
      <c r="G472" s="90">
        <f t="shared" si="140"/>
        <v>1.1417032348258305E-2</v>
      </c>
      <c r="H472" s="90">
        <f t="shared" si="140"/>
        <v>3.2000000000000028E-2</v>
      </c>
      <c r="I472" s="90">
        <f t="shared" si="140"/>
        <v>5.1321810824099146E-2</v>
      </c>
      <c r="J472" s="90">
        <f t="shared" si="140"/>
        <v>2.8664246130326809E-2</v>
      </c>
      <c r="K472" s="90">
        <f t="shared" si="140"/>
        <v>-6.1226243501425026E-2</v>
      </c>
      <c r="L472" s="90">
        <f t="shared" si="140"/>
        <v>2.5315700803602015E-2</v>
      </c>
      <c r="M472" s="90">
        <f t="shared" si="140"/>
        <v>1.0565334601966514E-2</v>
      </c>
      <c r="N472" s="81">
        <f t="shared" si="140"/>
        <v>3.3891749462131582E-2</v>
      </c>
    </row>
    <row r="473" spans="2:14" hidden="1" outlineLevel="1" x14ac:dyDescent="0.3">
      <c r="B473" s="48">
        <v>45298</v>
      </c>
      <c r="C473" s="90">
        <f t="shared" ref="C473:N473" si="141">C206/C205-1</f>
        <v>1.2586484386561958E-2</v>
      </c>
      <c r="D473" s="90">
        <f t="shared" si="141"/>
        <v>-1.4771002920210274E-2</v>
      </c>
      <c r="E473" s="90">
        <f t="shared" si="141"/>
        <v>-1.9821291462905566E-2</v>
      </c>
      <c r="F473" s="90">
        <f t="shared" si="141"/>
        <v>-2.7995636099157561E-2</v>
      </c>
      <c r="G473" s="90">
        <f t="shared" si="141"/>
        <v>-1.7316183528508278E-2</v>
      </c>
      <c r="H473" s="90">
        <f t="shared" si="141"/>
        <v>-4.0367804717136857E-2</v>
      </c>
      <c r="I473" s="90">
        <f t="shared" si="141"/>
        <v>-5.888912871429608E-2</v>
      </c>
      <c r="J473" s="90">
        <f t="shared" si="141"/>
        <v>0.10348274550392333</v>
      </c>
      <c r="K473" s="90">
        <f t="shared" si="141"/>
        <v>-2.6789528284615893E-2</v>
      </c>
      <c r="L473" s="90">
        <f t="shared" si="141"/>
        <v>-0.32286138052376734</v>
      </c>
      <c r="M473" s="90">
        <f t="shared" si="141"/>
        <v>5.1215158588493681E-2</v>
      </c>
      <c r="N473" s="81">
        <f t="shared" si="141"/>
        <v>2.7644633574162025E-2</v>
      </c>
    </row>
    <row r="474" spans="2:14" hidden="1" outlineLevel="1" x14ac:dyDescent="0.3">
      <c r="B474" s="48">
        <v>45291</v>
      </c>
      <c r="C474" s="90">
        <f t="shared" ref="C474:N474" si="142">C207/C206-1</f>
        <v>-8.3924995033010097E-3</v>
      </c>
      <c r="D474" s="90">
        <f t="shared" si="142"/>
        <v>-4.5724870419503905E-2</v>
      </c>
      <c r="E474" s="90">
        <f t="shared" si="142"/>
        <v>-3.7318788197410746E-2</v>
      </c>
      <c r="F474" s="90">
        <f t="shared" si="142"/>
        <v>-4.9728442174707399E-2</v>
      </c>
      <c r="G474" s="90">
        <f t="shared" si="142"/>
        <v>-7.0094553410955718E-2</v>
      </c>
      <c r="H474" s="90">
        <f t="shared" si="142"/>
        <v>-1.9034933184376657E-2</v>
      </c>
      <c r="I474" s="90">
        <f t="shared" si="142"/>
        <v>-4.5678682007568527E-2</v>
      </c>
      <c r="J474" s="90">
        <f t="shared" si="142"/>
        <v>-4.6400141092343472E-2</v>
      </c>
      <c r="K474" s="90">
        <f t="shared" si="142"/>
        <v>-3.9748975838140632E-2</v>
      </c>
      <c r="L474" s="90">
        <f t="shared" si="142"/>
        <v>-4.2755140387609414E-2</v>
      </c>
      <c r="M474" s="90">
        <f t="shared" si="142"/>
        <v>-1.5692640692640536E-2</v>
      </c>
      <c r="N474" s="81">
        <f t="shared" si="142"/>
        <v>-7.8321476784928734E-2</v>
      </c>
    </row>
    <row r="475" spans="2:14" hidden="1" outlineLevel="1" x14ac:dyDescent="0.3">
      <c r="B475" s="48">
        <v>45284</v>
      </c>
      <c r="C475" s="90">
        <f t="shared" ref="C475:N475" si="143">C208/C207-1</f>
        <v>9.4883652375776784E-4</v>
      </c>
      <c r="D475" s="90">
        <f t="shared" si="143"/>
        <v>1.903060821909941E-2</v>
      </c>
      <c r="E475" s="90">
        <f t="shared" si="143"/>
        <v>1.484867350393726E-2</v>
      </c>
      <c r="F475" s="90">
        <f t="shared" si="143"/>
        <v>6.7521457256096706E-3</v>
      </c>
      <c r="G475" s="90">
        <f t="shared" si="143"/>
        <v>2.3242296918767558E-2</v>
      </c>
      <c r="H475" s="90">
        <f t="shared" si="143"/>
        <v>3.2194480946123427E-2</v>
      </c>
      <c r="I475" s="90">
        <f t="shared" si="143"/>
        <v>1.9506528879275953E-2</v>
      </c>
      <c r="J475" s="90">
        <f t="shared" si="143"/>
        <v>5.8392810605869538E-2</v>
      </c>
      <c r="K475" s="90">
        <f t="shared" si="143"/>
        <v>5.2565993176214576E-3</v>
      </c>
      <c r="L475" s="90">
        <f t="shared" si="143"/>
        <v>-5.4928045046156448E-2</v>
      </c>
      <c r="M475" s="90">
        <f t="shared" si="143"/>
        <v>3.8748080605107038E-2</v>
      </c>
      <c r="N475" s="81">
        <f t="shared" si="143"/>
        <v>3.2593580027483693E-2</v>
      </c>
    </row>
    <row r="476" spans="2:14" hidden="1" outlineLevel="1" x14ac:dyDescent="0.3">
      <c r="B476" s="48">
        <v>45277</v>
      </c>
      <c r="C476" s="90">
        <f t="shared" ref="C476:N476" si="144">C209/C208-1</f>
        <v>-1.7578250825993735E-2</v>
      </c>
      <c r="D476" s="90">
        <f t="shared" si="144"/>
        <v>3.457693932141348E-3</v>
      </c>
      <c r="E476" s="90">
        <f t="shared" si="144"/>
        <v>8.0663821818514059E-3</v>
      </c>
      <c r="F476" s="90">
        <f t="shared" si="144"/>
        <v>1.2963988919667546E-2</v>
      </c>
      <c r="G476" s="90">
        <f t="shared" si="144"/>
        <v>-2.3200268274489178E-3</v>
      </c>
      <c r="H476" s="90">
        <f t="shared" si="144"/>
        <v>-1.8374708253766192E-2</v>
      </c>
      <c r="I476" s="90">
        <f t="shared" si="144"/>
        <v>1.964404981731116E-3</v>
      </c>
      <c r="J476" s="90">
        <f t="shared" si="144"/>
        <v>-1.0460766169707369E-2</v>
      </c>
      <c r="K476" s="90">
        <f t="shared" si="144"/>
        <v>5.6784042006117197E-3</v>
      </c>
      <c r="L476" s="90">
        <f t="shared" si="144"/>
        <v>-1.5429168249159186E-4</v>
      </c>
      <c r="M476" s="90">
        <f t="shared" si="144"/>
        <v>-4.9274568847523792E-4</v>
      </c>
      <c r="N476" s="81">
        <f t="shared" si="144"/>
        <v>2.5181690679585422E-3</v>
      </c>
    </row>
    <row r="477" spans="2:14" hidden="1" outlineLevel="1" x14ac:dyDescent="0.3">
      <c r="B477" s="48">
        <v>45270</v>
      </c>
      <c r="C477" s="90">
        <f t="shared" ref="C477:N477" si="145">C210/C209-1</f>
        <v>5.023560381087977E-3</v>
      </c>
      <c r="D477" s="90">
        <f t="shared" si="145"/>
        <v>4.0588925242297513E-3</v>
      </c>
      <c r="E477" s="90">
        <f t="shared" si="145"/>
        <v>9.675335767514337E-3</v>
      </c>
      <c r="F477" s="90">
        <f t="shared" si="145"/>
        <v>9.9218860591709923E-3</v>
      </c>
      <c r="G477" s="90">
        <f t="shared" si="145"/>
        <v>1.9556866511181159E-2</v>
      </c>
      <c r="H477" s="90">
        <f t="shared" si="145"/>
        <v>-3.4800276673007002E-2</v>
      </c>
      <c r="I477" s="90">
        <f t="shared" si="145"/>
        <v>2.4271654315178415E-2</v>
      </c>
      <c r="J477" s="90">
        <f t="shared" si="145"/>
        <v>-1.6021576150647809E-2</v>
      </c>
      <c r="K477" s="90">
        <f t="shared" si="145"/>
        <v>-2.7787645868320165E-2</v>
      </c>
      <c r="L477" s="90">
        <f t="shared" si="145"/>
        <v>3.5278895575893587E-2</v>
      </c>
      <c r="M477" s="90">
        <f t="shared" si="145"/>
        <v>-2.9031551270815026E-2</v>
      </c>
      <c r="N477" s="81">
        <f t="shared" si="145"/>
        <v>2.3790976439540978E-2</v>
      </c>
    </row>
    <row r="478" spans="2:14" hidden="1" outlineLevel="1" x14ac:dyDescent="0.3">
      <c r="B478" s="48">
        <v>45263</v>
      </c>
      <c r="C478" s="90">
        <f t="shared" ref="C478:N478" si="146">C211/C210-1</f>
        <v>-2.2708577527246754E-2</v>
      </c>
      <c r="D478" s="90">
        <f t="shared" si="146"/>
        <v>-6.6779943799264552E-2</v>
      </c>
      <c r="E478" s="90">
        <f t="shared" si="146"/>
        <v>-6.0683762943146591E-2</v>
      </c>
      <c r="F478" s="90">
        <f t="shared" si="146"/>
        <v>-5.528300925100027E-2</v>
      </c>
      <c r="G478" s="90">
        <f t="shared" si="146"/>
        <v>-8.5298490893555123E-2</v>
      </c>
      <c r="H478" s="90">
        <f t="shared" si="146"/>
        <v>-5.3612218390289734E-2</v>
      </c>
      <c r="I478" s="90">
        <f t="shared" si="146"/>
        <v>-6.1863563279993872E-2</v>
      </c>
      <c r="J478" s="90">
        <f t="shared" si="146"/>
        <v>-6.8621212862806535E-2</v>
      </c>
      <c r="K478" s="90">
        <f t="shared" si="146"/>
        <v>-0.10524217770309729</v>
      </c>
      <c r="L478" s="90">
        <f t="shared" si="146"/>
        <v>-5.2605629765521855E-2</v>
      </c>
      <c r="M478" s="90">
        <f t="shared" si="146"/>
        <v>-8.7197713340103067E-2</v>
      </c>
      <c r="N478" s="81">
        <f t="shared" si="146"/>
        <v>-0.1019977173381369</v>
      </c>
    </row>
    <row r="479" spans="2:14" hidden="1" outlineLevel="1" x14ac:dyDescent="0.3">
      <c r="B479" s="48">
        <v>45256</v>
      </c>
      <c r="C479" s="90">
        <f t="shared" ref="C479:N479" si="147">C212/C211-1</f>
        <v>-3.3453508445639879E-2</v>
      </c>
      <c r="D479" s="90">
        <f t="shared" si="147"/>
        <v>-2.3783498887488097E-2</v>
      </c>
      <c r="E479" s="90">
        <f t="shared" si="147"/>
        <v>-3.1722356212341651E-2</v>
      </c>
      <c r="F479" s="90">
        <f t="shared" si="147"/>
        <v>-2.6052239359585561E-2</v>
      </c>
      <c r="G479" s="90">
        <f t="shared" si="147"/>
        <v>-2.0087824468750237E-2</v>
      </c>
      <c r="H479" s="90">
        <f t="shared" si="147"/>
        <v>-3.5399905347846761E-2</v>
      </c>
      <c r="I479" s="90">
        <f t="shared" si="147"/>
        <v>-3.8766016485758392E-3</v>
      </c>
      <c r="J479" s="90">
        <f t="shared" si="147"/>
        <v>-2.3061292413333989E-2</v>
      </c>
      <c r="K479" s="90">
        <f t="shared" si="147"/>
        <v>-4.826359347203879E-3</v>
      </c>
      <c r="L479" s="90">
        <f t="shared" si="147"/>
        <v>-2.1312645987389134E-2</v>
      </c>
      <c r="M479" s="90">
        <f t="shared" si="147"/>
        <v>-2.1363383531447844E-2</v>
      </c>
      <c r="N479" s="81">
        <f t="shared" si="147"/>
        <v>-1.1931523430745217E-2</v>
      </c>
    </row>
    <row r="480" spans="2:14" hidden="1" outlineLevel="1" x14ac:dyDescent="0.3">
      <c r="B480" s="48">
        <v>45249</v>
      </c>
      <c r="C480" s="90">
        <f t="shared" ref="C480:N480" si="148">C213/C212-1</f>
        <v>-2.3347263406667706E-2</v>
      </c>
      <c r="D480" s="90">
        <f t="shared" si="148"/>
        <v>-1.6673977796660577E-2</v>
      </c>
      <c r="E480" s="90">
        <f t="shared" si="148"/>
        <v>-1.553503593839467E-2</v>
      </c>
      <c r="F480" s="90">
        <f t="shared" si="148"/>
        <v>-1.0262020828717189E-2</v>
      </c>
      <c r="G480" s="90">
        <f t="shared" si="148"/>
        <v>-2.0604704928615436E-2</v>
      </c>
      <c r="H480" s="90">
        <f t="shared" si="148"/>
        <v>-2.8554607006181842E-2</v>
      </c>
      <c r="I480" s="90">
        <f t="shared" si="148"/>
        <v>-1.8598172954815473E-2</v>
      </c>
      <c r="J480" s="90">
        <f t="shared" si="148"/>
        <v>-1.872853928151974E-2</v>
      </c>
      <c r="K480" s="90">
        <f t="shared" si="148"/>
        <v>-6.6746459826217963E-3</v>
      </c>
      <c r="L480" s="90">
        <f t="shared" si="148"/>
        <v>-3.0049711869017948E-3</v>
      </c>
      <c r="M480" s="90">
        <f t="shared" si="148"/>
        <v>-2.3492758504546907E-2</v>
      </c>
      <c r="N480" s="81">
        <f t="shared" si="148"/>
        <v>-1.6704585229261437E-2</v>
      </c>
    </row>
    <row r="481" spans="2:14" hidden="1" outlineLevel="1" x14ac:dyDescent="0.3">
      <c r="B481" s="48">
        <v>45242</v>
      </c>
      <c r="C481" s="90">
        <f t="shared" ref="C481:N481" si="149">C214/C213-1</f>
        <v>-3.1776182513502116E-3</v>
      </c>
      <c r="D481" s="90">
        <f t="shared" si="149"/>
        <v>4.2489272394605759E-3</v>
      </c>
      <c r="E481" s="90">
        <f t="shared" si="149"/>
        <v>1.3117183717332503E-2</v>
      </c>
      <c r="F481" s="90">
        <f t="shared" si="149"/>
        <v>1.0494354037526854E-4</v>
      </c>
      <c r="G481" s="90">
        <f t="shared" si="149"/>
        <v>0</v>
      </c>
      <c r="H481" s="90">
        <f t="shared" si="149"/>
        <v>-1.5151515151515804E-3</v>
      </c>
      <c r="I481" s="90">
        <f t="shared" si="149"/>
        <v>4.090662436866177E-3</v>
      </c>
      <c r="J481" s="90">
        <f t="shared" si="149"/>
        <v>8.3872382414207358E-3</v>
      </c>
      <c r="K481" s="90">
        <f t="shared" si="149"/>
        <v>-5.4769997308445895E-4</v>
      </c>
      <c r="L481" s="90">
        <f t="shared" si="149"/>
        <v>3.6924946975428918E-2</v>
      </c>
      <c r="M481" s="90">
        <f t="shared" si="149"/>
        <v>2.5868759161851163E-3</v>
      </c>
      <c r="N481" s="81">
        <f t="shared" si="149"/>
        <v>1.0038177109752411E-2</v>
      </c>
    </row>
    <row r="482" spans="2:14" hidden="1" outlineLevel="1" x14ac:dyDescent="0.3">
      <c r="B482" s="48">
        <v>45235</v>
      </c>
      <c r="C482" s="90">
        <f t="shared" ref="C482:N482" si="150">C215/C214-1</f>
        <v>-1.5530767593427863E-2</v>
      </c>
      <c r="D482" s="90">
        <f t="shared" si="150"/>
        <v>-4.8221028319719417E-2</v>
      </c>
      <c r="E482" s="90">
        <f t="shared" si="150"/>
        <v>-4.8251685078928408E-2</v>
      </c>
      <c r="F482" s="90">
        <f t="shared" si="150"/>
        <v>-4.7786273426186909E-2</v>
      </c>
      <c r="G482" s="90">
        <f t="shared" si="150"/>
        <v>-4.1018723606459417E-2</v>
      </c>
      <c r="H482" s="90">
        <f t="shared" si="150"/>
        <v>-4.0718259989883543E-2</v>
      </c>
      <c r="I482" s="90">
        <f t="shared" si="150"/>
        <v>-5.3710247349823215E-2</v>
      </c>
      <c r="J482" s="90">
        <f t="shared" si="150"/>
        <v>-4.6452840445773358E-2</v>
      </c>
      <c r="K482" s="90">
        <f t="shared" si="150"/>
        <v>-2.2032735961019845E-2</v>
      </c>
      <c r="L482" s="90">
        <f t="shared" si="150"/>
        <v>-3.8480861244019171E-2</v>
      </c>
      <c r="M482" s="90">
        <f t="shared" si="150"/>
        <v>-5.2980132450331285E-2</v>
      </c>
      <c r="N482" s="81">
        <f t="shared" si="150"/>
        <v>-9.444136071683451E-2</v>
      </c>
    </row>
    <row r="483" spans="2:14" hidden="1" outlineLevel="1" x14ac:dyDescent="0.3">
      <c r="B483" s="48">
        <v>45228</v>
      </c>
      <c r="C483" s="90">
        <f t="shared" ref="C483:N483" si="151">C216/C215-1</f>
        <v>-1.0025559385030358E-2</v>
      </c>
      <c r="D483" s="90">
        <f t="shared" si="151"/>
        <v>4.5987065525856519E-3</v>
      </c>
      <c r="E483" s="90">
        <f t="shared" si="151"/>
        <v>5.2357463694232553E-3</v>
      </c>
      <c r="F483" s="90">
        <f t="shared" si="151"/>
        <v>1.4759253001072503E-2</v>
      </c>
      <c r="G483" s="90">
        <f t="shared" si="151"/>
        <v>8.599400599400564E-3</v>
      </c>
      <c r="H483" s="90">
        <f t="shared" si="151"/>
        <v>1.1178486686000522E-2</v>
      </c>
      <c r="I483" s="90">
        <f t="shared" si="151"/>
        <v>-4.4370249967052855E-3</v>
      </c>
      <c r="J483" s="90">
        <f t="shared" si="151"/>
        <v>-2.4172629058464623E-2</v>
      </c>
      <c r="K483" s="90">
        <f t="shared" si="151"/>
        <v>6.4039550826591185E-3</v>
      </c>
      <c r="L483" s="90">
        <f t="shared" si="151"/>
        <v>-2.1210952564597041E-2</v>
      </c>
      <c r="M483" s="90">
        <f t="shared" si="151"/>
        <v>3.6327309054582368E-3</v>
      </c>
      <c r="N483" s="81">
        <f t="shared" si="151"/>
        <v>-1.087760264642923E-2</v>
      </c>
    </row>
    <row r="484" spans="2:14" hidden="1" outlineLevel="1" x14ac:dyDescent="0.3">
      <c r="B484" s="48">
        <v>45221</v>
      </c>
      <c r="C484" s="90">
        <f t="shared" ref="C484:N484" si="152">C217/C216-1</f>
        <v>-9.5342839016983039E-3</v>
      </c>
      <c r="D484" s="90">
        <f t="shared" si="152"/>
        <v>-5.8560848864276371E-3</v>
      </c>
      <c r="E484" s="90">
        <f t="shared" si="152"/>
        <v>1.5229462308585795E-5</v>
      </c>
      <c r="F484" s="90">
        <f t="shared" si="152"/>
        <v>-6.2695924764890609E-3</v>
      </c>
      <c r="G484" s="90">
        <f t="shared" si="152"/>
        <v>1.9334236654227066E-3</v>
      </c>
      <c r="H484" s="90">
        <f t="shared" si="152"/>
        <v>-3.0766021796944099E-3</v>
      </c>
      <c r="I484" s="90">
        <f t="shared" si="152"/>
        <v>-1.1075809725531682E-2</v>
      </c>
      <c r="J484" s="90">
        <f t="shared" si="152"/>
        <v>7.0205162659811027E-3</v>
      </c>
      <c r="K484" s="90">
        <f t="shared" si="152"/>
        <v>-3.2194637726808528E-2</v>
      </c>
      <c r="L484" s="90">
        <f t="shared" si="152"/>
        <v>-3.4317089910773646E-4</v>
      </c>
      <c r="M484" s="90">
        <f t="shared" si="152"/>
        <v>-4.3389738485204776E-2</v>
      </c>
      <c r="N484" s="81">
        <f t="shared" si="152"/>
        <v>-1.4587554838582761E-2</v>
      </c>
    </row>
    <row r="485" spans="2:14" hidden="1" outlineLevel="1" x14ac:dyDescent="0.3">
      <c r="B485" s="48">
        <v>45214</v>
      </c>
      <c r="C485" s="90">
        <f t="shared" ref="C485:N485" si="153">C218/C217-1</f>
        <v>2.6009003924451157E-2</v>
      </c>
      <c r="D485" s="90">
        <f t="shared" si="153"/>
        <v>2.8420213270064609E-2</v>
      </c>
      <c r="E485" s="90">
        <f t="shared" si="153"/>
        <v>4.2852008430901867E-2</v>
      </c>
      <c r="F485" s="90">
        <f t="shared" si="153"/>
        <v>3.3979061787397846E-2</v>
      </c>
      <c r="G485" s="90">
        <f t="shared" si="153"/>
        <v>-7.9560283127050324E-3</v>
      </c>
      <c r="H485" s="90">
        <f t="shared" si="153"/>
        <v>2.4845695156397118E-2</v>
      </c>
      <c r="I485" s="90">
        <f t="shared" si="153"/>
        <v>4.4754807906831617E-2</v>
      </c>
      <c r="J485" s="90">
        <f t="shared" si="153"/>
        <v>4.7418294333784639E-2</v>
      </c>
      <c r="K485" s="90">
        <f t="shared" si="153"/>
        <v>-2.9005088958144354E-2</v>
      </c>
      <c r="L485" s="90">
        <f t="shared" si="153"/>
        <v>-1.462155598784487E-3</v>
      </c>
      <c r="M485" s="90">
        <f t="shared" si="153"/>
        <v>2.6226174147471859E-2</v>
      </c>
      <c r="N485" s="81">
        <f t="shared" si="153"/>
        <v>-1.7668373611235966E-3</v>
      </c>
    </row>
    <row r="486" spans="2:14" hidden="1" outlineLevel="1" x14ac:dyDescent="0.3">
      <c r="B486" s="48">
        <v>45207</v>
      </c>
      <c r="C486" s="90">
        <f t="shared" ref="C486:N486" si="154">C219/C218-1</f>
        <v>1.0663855720692839E-2</v>
      </c>
      <c r="D486" s="90">
        <f t="shared" si="154"/>
        <v>1.0759675684435921E-2</v>
      </c>
      <c r="E486" s="90">
        <f t="shared" si="154"/>
        <v>2.183506870920171E-2</v>
      </c>
      <c r="F486" s="90">
        <f t="shared" si="154"/>
        <v>2.7338382948740581E-3</v>
      </c>
      <c r="G486" s="90">
        <f t="shared" si="154"/>
        <v>-2.1524406285127196E-3</v>
      </c>
      <c r="H486" s="90">
        <f t="shared" si="154"/>
        <v>4.8946052161486175E-2</v>
      </c>
      <c r="I486" s="90">
        <f t="shared" si="154"/>
        <v>1.99880413427862E-2</v>
      </c>
      <c r="J486" s="90">
        <f t="shared" si="154"/>
        <v>-5.9275876075477352E-2</v>
      </c>
      <c r="K486" s="90">
        <f t="shared" si="154"/>
        <v>-2.4010969478441946E-2</v>
      </c>
      <c r="L486" s="90">
        <f t="shared" si="154"/>
        <v>4.4145360089640207E-2</v>
      </c>
      <c r="M486" s="90">
        <f t="shared" si="154"/>
        <v>9.5149210738564305E-2</v>
      </c>
      <c r="N486" s="81">
        <f t="shared" si="154"/>
        <v>1.3099738005240003E-3</v>
      </c>
    </row>
    <row r="487" spans="2:14" hidden="1" outlineLevel="1" x14ac:dyDescent="0.3">
      <c r="B487" s="48">
        <v>45200</v>
      </c>
      <c r="C487" s="90">
        <f t="shared" ref="C487:N487" si="155">C220/C219-1</f>
        <v>-4.9389779277556611E-3</v>
      </c>
      <c r="D487" s="90">
        <f t="shared" si="155"/>
        <v>1.6780396095944505E-2</v>
      </c>
      <c r="E487" s="90">
        <f t="shared" si="155"/>
        <v>1.4157050943088834E-2</v>
      </c>
      <c r="F487" s="90">
        <f t="shared" si="155"/>
        <v>3.3222544672658172E-2</v>
      </c>
      <c r="G487" s="90">
        <f t="shared" si="155"/>
        <v>-1.4484417068123978E-2</v>
      </c>
      <c r="H487" s="90">
        <f t="shared" si="155"/>
        <v>-7.7364733359284177E-3</v>
      </c>
      <c r="I487" s="90">
        <f t="shared" si="155"/>
        <v>1.9093878234653916E-2</v>
      </c>
      <c r="J487" s="90">
        <f t="shared" si="155"/>
        <v>2.8271984141782003E-2</v>
      </c>
      <c r="K487" s="90">
        <f t="shared" si="155"/>
        <v>-3.0214414808185097E-3</v>
      </c>
      <c r="L487" s="90">
        <f t="shared" si="155"/>
        <v>4.999817079862634E-4</v>
      </c>
      <c r="M487" s="90">
        <f t="shared" si="155"/>
        <v>4.8312431613500628E-2</v>
      </c>
      <c r="N487" s="81">
        <f t="shared" si="155"/>
        <v>3.5732475807176423E-2</v>
      </c>
    </row>
    <row r="488" spans="2:14" hidden="1" outlineLevel="1" x14ac:dyDescent="0.3">
      <c r="B488" s="48">
        <v>45193</v>
      </c>
      <c r="C488" s="90">
        <f t="shared" ref="C488:N488" si="156">C221/C220-1</f>
        <v>-7.7339914010232658E-4</v>
      </c>
      <c r="D488" s="90">
        <f t="shared" si="156"/>
        <v>-1.7231623569571197E-2</v>
      </c>
      <c r="E488" s="90">
        <f t="shared" si="156"/>
        <v>-2.5627511879463549E-2</v>
      </c>
      <c r="F488" s="90">
        <f t="shared" si="156"/>
        <v>-2.9243544317571257E-2</v>
      </c>
      <c r="G488" s="90">
        <f t="shared" si="156"/>
        <v>-2.3428126722655485E-3</v>
      </c>
      <c r="H488" s="90">
        <f t="shared" si="156"/>
        <v>-4.4623155004167581E-3</v>
      </c>
      <c r="I488" s="90">
        <f t="shared" si="156"/>
        <v>4.8483852411864703E-3</v>
      </c>
      <c r="J488" s="90">
        <f t="shared" si="156"/>
        <v>-5.6020003053900425E-3</v>
      </c>
      <c r="K488" s="90">
        <f t="shared" si="156"/>
        <v>8.4654943250219716E-3</v>
      </c>
      <c r="L488" s="90">
        <f t="shared" si="156"/>
        <v>2.1086246404369291E-3</v>
      </c>
      <c r="M488" s="90">
        <f t="shared" si="156"/>
        <v>-4.5925331192292251E-2</v>
      </c>
      <c r="N488" s="81">
        <f t="shared" si="156"/>
        <v>-1.5639613927162954E-2</v>
      </c>
    </row>
    <row r="489" spans="2:14" hidden="1" outlineLevel="1" x14ac:dyDescent="0.3">
      <c r="B489" s="48">
        <v>45186</v>
      </c>
      <c r="C489" s="90">
        <f t="shared" ref="C489:N489" si="157">C222/C221-1</f>
        <v>1.8306065188942178E-3</v>
      </c>
      <c r="D489" s="90">
        <f t="shared" si="157"/>
        <v>3.5297189816387853E-2</v>
      </c>
      <c r="E489" s="90">
        <f t="shared" si="157"/>
        <v>2.1271487702511527E-2</v>
      </c>
      <c r="F489" s="90">
        <f t="shared" si="157"/>
        <v>4.2286378825985516E-2</v>
      </c>
      <c r="G489" s="90">
        <f t="shared" si="157"/>
        <v>3.1503164942673578E-2</v>
      </c>
      <c r="H489" s="90">
        <f t="shared" si="157"/>
        <v>3.0686631858930058E-2</v>
      </c>
      <c r="I489" s="90">
        <f t="shared" si="157"/>
        <v>6.7508995747464828E-2</v>
      </c>
      <c r="J489" s="90">
        <f t="shared" si="157"/>
        <v>4.1776634643991617E-2</v>
      </c>
      <c r="K489" s="90">
        <f t="shared" si="157"/>
        <v>9.0844791001776226E-3</v>
      </c>
      <c r="L489" s="90">
        <f t="shared" si="157"/>
        <v>2.0543196662490715E-2</v>
      </c>
      <c r="M489" s="90">
        <f t="shared" si="157"/>
        <v>4.6032146764285242E-2</v>
      </c>
      <c r="N489" s="81">
        <f t="shared" si="157"/>
        <v>3.7026516079107452E-2</v>
      </c>
    </row>
    <row r="490" spans="2:14" hidden="1" outlineLevel="1" x14ac:dyDescent="0.3">
      <c r="B490" s="48">
        <v>45179</v>
      </c>
      <c r="C490" s="90">
        <f t="shared" ref="C490:N490" si="158">C223/C222-1</f>
        <v>2.6333913618054039E-2</v>
      </c>
      <c r="D490" s="90">
        <f t="shared" si="158"/>
        <v>1.3637206249259348E-2</v>
      </c>
      <c r="E490" s="90">
        <f t="shared" si="158"/>
        <v>-1.4869362033562705E-3</v>
      </c>
      <c r="F490" s="90">
        <f t="shared" si="158"/>
        <v>1.0324176452005451E-2</v>
      </c>
      <c r="G490" s="90">
        <f t="shared" si="158"/>
        <v>2.4254789513486141E-2</v>
      </c>
      <c r="H490" s="90">
        <f t="shared" si="158"/>
        <v>5.3859020310633277E-2</v>
      </c>
      <c r="I490" s="90">
        <f t="shared" si="158"/>
        <v>-4.0602137357796941E-3</v>
      </c>
      <c r="J490" s="90">
        <f t="shared" si="158"/>
        <v>1.9401197604790532E-2</v>
      </c>
      <c r="K490" s="90">
        <f t="shared" si="158"/>
        <v>1.9879097884213159E-2</v>
      </c>
      <c r="L490" s="90">
        <f t="shared" si="158"/>
        <v>2.4706218863966622E-2</v>
      </c>
      <c r="M490" s="90">
        <f t="shared" si="158"/>
        <v>2.8761061946902533E-3</v>
      </c>
      <c r="N490" s="81">
        <f t="shared" si="158"/>
        <v>6.1481642407125614E-2</v>
      </c>
    </row>
    <row r="491" spans="2:14" hidden="1" outlineLevel="1" x14ac:dyDescent="0.3">
      <c r="B491" s="48">
        <v>45172</v>
      </c>
      <c r="C491" s="90">
        <f t="shared" ref="C491:N491" si="159">C224/C223-1</f>
        <v>-1.8442628024969765E-2</v>
      </c>
      <c r="D491" s="90">
        <f t="shared" si="159"/>
        <v>-2.8163651381125199E-2</v>
      </c>
      <c r="E491" s="90">
        <f t="shared" si="159"/>
        <v>-4.346333853354134E-2</v>
      </c>
      <c r="F491" s="90">
        <f t="shared" si="159"/>
        <v>-2.7788680952412714E-2</v>
      </c>
      <c r="G491" s="90">
        <f t="shared" si="159"/>
        <v>-3.2617306168908677E-2</v>
      </c>
      <c r="H491" s="90">
        <f t="shared" si="159"/>
        <v>-2.5031743152548525E-2</v>
      </c>
      <c r="I491" s="90">
        <f t="shared" si="159"/>
        <v>-2.8537363947540362E-2</v>
      </c>
      <c r="J491" s="90">
        <f t="shared" si="159"/>
        <v>-9.8141989589358714E-3</v>
      </c>
      <c r="K491" s="90">
        <f t="shared" si="159"/>
        <v>9.0518368523739845E-4</v>
      </c>
      <c r="L491" s="90">
        <f t="shared" si="159"/>
        <v>1.1351609113853467E-2</v>
      </c>
      <c r="M491" s="90">
        <f t="shared" si="159"/>
        <v>-1.0829673304855292E-2</v>
      </c>
      <c r="N491" s="81">
        <f t="shared" si="159"/>
        <v>-1.2155404082649701E-2</v>
      </c>
    </row>
    <row r="492" spans="2:14" hidden="1" outlineLevel="1" x14ac:dyDescent="0.3">
      <c r="B492" s="48">
        <v>45165</v>
      </c>
      <c r="C492" s="90">
        <f t="shared" ref="C492:N492" si="160">C225/C224-1</f>
        <v>-1.940721343898455E-2</v>
      </c>
      <c r="D492" s="90">
        <f t="shared" si="160"/>
        <v>-2.7804470988550323E-2</v>
      </c>
      <c r="E492" s="90">
        <f t="shared" si="160"/>
        <v>-1.8216216376505945E-2</v>
      </c>
      <c r="F492" s="90">
        <f t="shared" si="160"/>
        <v>-1.7517928504954261E-2</v>
      </c>
      <c r="G492" s="90">
        <f t="shared" si="160"/>
        <v>-6.041404970504527E-2</v>
      </c>
      <c r="H492" s="90">
        <f t="shared" si="160"/>
        <v>-3.1720930232558064E-2</v>
      </c>
      <c r="I492" s="90">
        <f t="shared" si="160"/>
        <v>-2.7633714715546986E-2</v>
      </c>
      <c r="J492" s="90">
        <f t="shared" si="160"/>
        <v>-3.1970429862188454E-2</v>
      </c>
      <c r="K492" s="90">
        <f t="shared" si="160"/>
        <v>-7.1635761944317866E-2</v>
      </c>
      <c r="L492" s="90">
        <f t="shared" si="160"/>
        <v>-4.8645851302397847E-2</v>
      </c>
      <c r="M492" s="90">
        <f t="shared" si="160"/>
        <v>-1.3360906676398554E-2</v>
      </c>
      <c r="N492" s="81">
        <f t="shared" si="160"/>
        <v>-1.7781861420386735E-2</v>
      </c>
    </row>
    <row r="493" spans="2:14" hidden="1" outlineLevel="1" x14ac:dyDescent="0.3">
      <c r="B493" s="48">
        <v>45158</v>
      </c>
      <c r="C493" s="90">
        <f t="shared" ref="C493:N493" si="161">C226/C225-1</f>
        <v>-8.7212443337638668E-3</v>
      </c>
      <c r="D493" s="90">
        <f t="shared" si="161"/>
        <v>-1.9032599434860575E-2</v>
      </c>
      <c r="E493" s="90">
        <f t="shared" si="161"/>
        <v>6.1917821459189781E-4</v>
      </c>
      <c r="F493" s="90">
        <f t="shared" si="161"/>
        <v>-1.6451217473672397E-2</v>
      </c>
      <c r="G493" s="90">
        <f t="shared" si="161"/>
        <v>-2.6856654510377997E-2</v>
      </c>
      <c r="H493" s="90">
        <f t="shared" si="161"/>
        <v>-1.5995772888846238E-2</v>
      </c>
      <c r="I493" s="90">
        <f t="shared" si="161"/>
        <v>-3.1391229998778525E-2</v>
      </c>
      <c r="J493" s="90">
        <f t="shared" si="161"/>
        <v>-3.3177142749394428E-2</v>
      </c>
      <c r="K493" s="90">
        <f t="shared" si="161"/>
        <v>-7.3133332130680406E-2</v>
      </c>
      <c r="L493" s="90">
        <f t="shared" si="161"/>
        <v>-4.1619824720459331E-2</v>
      </c>
      <c r="M493" s="90">
        <f t="shared" si="161"/>
        <v>-1.6891336511589694E-2</v>
      </c>
      <c r="N493" s="81">
        <f t="shared" si="161"/>
        <v>-3.5895742768576211E-2</v>
      </c>
    </row>
    <row r="494" spans="2:14" hidden="1" outlineLevel="1" x14ac:dyDescent="0.3">
      <c r="B494" s="48">
        <v>45151</v>
      </c>
      <c r="C494" s="90">
        <f t="shared" ref="C494:N494" si="162">C227/C226-1</f>
        <v>2.3020066646597392E-3</v>
      </c>
      <c r="D494" s="90">
        <f t="shared" si="162"/>
        <v>-1.0043814320441324E-2</v>
      </c>
      <c r="E494" s="90">
        <f t="shared" si="162"/>
        <v>-4.1987509395119416E-3</v>
      </c>
      <c r="F494" s="90">
        <f t="shared" si="162"/>
        <v>-2.203747503788589E-2</v>
      </c>
      <c r="G494" s="90">
        <f t="shared" si="162"/>
        <v>1.711170430140263E-2</v>
      </c>
      <c r="H494" s="90">
        <f t="shared" si="162"/>
        <v>4.8816206980717425E-3</v>
      </c>
      <c r="I494" s="90">
        <f t="shared" si="162"/>
        <v>1.7906683480453989E-2</v>
      </c>
      <c r="J494" s="90">
        <f t="shared" si="162"/>
        <v>-8.2400436868588223E-3</v>
      </c>
      <c r="K494" s="90">
        <f t="shared" si="162"/>
        <v>-5.5703692169952634E-2</v>
      </c>
      <c r="L494" s="90">
        <f t="shared" si="162"/>
        <v>8.3121011074394069E-3</v>
      </c>
      <c r="M494" s="90">
        <f t="shared" si="162"/>
        <v>-4.2243217256803578E-2</v>
      </c>
      <c r="N494" s="81">
        <f t="shared" si="162"/>
        <v>-6.3934020775465172E-2</v>
      </c>
    </row>
    <row r="495" spans="2:14" hidden="1" outlineLevel="1" x14ac:dyDescent="0.3">
      <c r="B495" s="48">
        <v>45144</v>
      </c>
      <c r="C495" s="90">
        <f t="shared" ref="C495:N495" si="163">C228/C227-1</f>
        <v>6.1185438745943177E-3</v>
      </c>
      <c r="D495" s="90">
        <f t="shared" si="163"/>
        <v>7.0284815245040821E-3</v>
      </c>
      <c r="E495" s="90">
        <f t="shared" si="163"/>
        <v>2.426507587193627E-2</v>
      </c>
      <c r="F495" s="90">
        <f t="shared" si="163"/>
        <v>-1.2208367728200775E-2</v>
      </c>
      <c r="G495" s="90">
        <f t="shared" si="163"/>
        <v>-1.9149063491114005E-3</v>
      </c>
      <c r="H495" s="90">
        <f t="shared" si="163"/>
        <v>3.2547971824143929E-3</v>
      </c>
      <c r="I495" s="90">
        <f t="shared" si="163"/>
        <v>7.9699372315824579E-3</v>
      </c>
      <c r="J495" s="90">
        <f t="shared" si="163"/>
        <v>4.365652930592212E-3</v>
      </c>
      <c r="K495" s="90">
        <f t="shared" si="163"/>
        <v>8.4176680338849952E-3</v>
      </c>
      <c r="L495" s="90">
        <f t="shared" si="163"/>
        <v>-9.6696313531229316E-3</v>
      </c>
      <c r="M495" s="90">
        <f t="shared" si="163"/>
        <v>1.6848170053032518E-2</v>
      </c>
      <c r="N495" s="81">
        <f t="shared" si="163"/>
        <v>7.0678739469325125E-2</v>
      </c>
    </row>
    <row r="496" spans="2:14" hidden="1" outlineLevel="1" x14ac:dyDescent="0.3">
      <c r="B496" s="48">
        <v>45137</v>
      </c>
      <c r="C496" s="90">
        <f t="shared" ref="C496:N496" si="164">C229/C228-1</f>
        <v>4.5655049592605579E-3</v>
      </c>
      <c r="D496" s="90">
        <f t="shared" si="164"/>
        <v>-1.2428960565103231E-2</v>
      </c>
      <c r="E496" s="90">
        <f t="shared" si="164"/>
        <v>-1.5211466012436947E-3</v>
      </c>
      <c r="F496" s="90">
        <f t="shared" si="164"/>
        <v>4.7428454140276965E-3</v>
      </c>
      <c r="G496" s="90">
        <f t="shared" si="164"/>
        <v>-2.3134309182633372E-2</v>
      </c>
      <c r="H496" s="90">
        <f t="shared" si="164"/>
        <v>-1.0120085221770325E-2</v>
      </c>
      <c r="I496" s="90">
        <f t="shared" si="164"/>
        <v>-3.7076488180589173E-2</v>
      </c>
      <c r="J496" s="90">
        <f t="shared" si="164"/>
        <v>-3.2590286547818481E-2</v>
      </c>
      <c r="K496" s="90">
        <f t="shared" si="164"/>
        <v>-2.1825064281538742E-2</v>
      </c>
      <c r="L496" s="90">
        <f t="shared" si="164"/>
        <v>-1.8972312045270834E-2</v>
      </c>
      <c r="M496" s="90">
        <f t="shared" si="164"/>
        <v>-2.8330435902388817E-2</v>
      </c>
      <c r="N496" s="81">
        <f t="shared" si="164"/>
        <v>-7.2087549118244443E-2</v>
      </c>
    </row>
    <row r="497" spans="2:14" hidden="1" outlineLevel="1" x14ac:dyDescent="0.3">
      <c r="B497" s="48">
        <v>45130</v>
      </c>
      <c r="C497" s="90">
        <f t="shared" ref="C497:N497" si="165">C230/C229-1</f>
        <v>6.6121842496285055E-3</v>
      </c>
      <c r="D497" s="90">
        <f t="shared" si="165"/>
        <v>-3.1076583399318514E-2</v>
      </c>
      <c r="E497" s="90">
        <f t="shared" si="165"/>
        <v>-2.5599530512257385E-2</v>
      </c>
      <c r="F497" s="90">
        <f t="shared" si="165"/>
        <v>-2.7461824124672685E-2</v>
      </c>
      <c r="G497" s="90">
        <f t="shared" si="165"/>
        <v>-3.5659173008803058E-2</v>
      </c>
      <c r="H497" s="90">
        <f t="shared" si="165"/>
        <v>-2.4702832265323105E-2</v>
      </c>
      <c r="I497" s="90">
        <f t="shared" si="165"/>
        <v>-7.1604833219877539E-2</v>
      </c>
      <c r="J497" s="90">
        <f t="shared" si="165"/>
        <v>-1.960169199943318E-2</v>
      </c>
      <c r="K497" s="90">
        <f t="shared" si="165"/>
        <v>-1.8588479154825976E-2</v>
      </c>
      <c r="L497" s="90">
        <f t="shared" si="165"/>
        <v>-1.6596708984626507E-2</v>
      </c>
      <c r="M497" s="90">
        <f t="shared" si="165"/>
        <v>-5.8754666136550115E-3</v>
      </c>
      <c r="N497" s="81">
        <f t="shared" si="165"/>
        <v>-4.4157810214498272E-2</v>
      </c>
    </row>
    <row r="498" spans="2:14" hidden="1" outlineLevel="1" x14ac:dyDescent="0.3">
      <c r="B498" s="48">
        <v>45123</v>
      </c>
      <c r="C498" s="90">
        <f t="shared" ref="C498:N498" si="166">C231/C230-1</f>
        <v>5.0366358631888097E-3</v>
      </c>
      <c r="D498" s="90">
        <f t="shared" si="166"/>
        <v>1.2912742347046979E-2</v>
      </c>
      <c r="E498" s="90">
        <f t="shared" si="166"/>
        <v>3.8448435294688998E-3</v>
      </c>
      <c r="F498" s="90">
        <f t="shared" si="166"/>
        <v>-6.6392095964710185E-3</v>
      </c>
      <c r="G498" s="90">
        <f t="shared" si="166"/>
        <v>1.0783288630267895E-2</v>
      </c>
      <c r="H498" s="90">
        <f t="shared" si="166"/>
        <v>1.4896178152272066E-2</v>
      </c>
      <c r="I498" s="90">
        <f t="shared" si="166"/>
        <v>9.5366848448741992E-2</v>
      </c>
      <c r="J498" s="90">
        <f t="shared" si="166"/>
        <v>1.6246735686047842E-2</v>
      </c>
      <c r="K498" s="90">
        <f t="shared" si="166"/>
        <v>1.1241696474195262E-2</v>
      </c>
      <c r="L498" s="90">
        <f t="shared" si="166"/>
        <v>9.8720819094755274E-3</v>
      </c>
      <c r="M498" s="90">
        <f t="shared" si="166"/>
        <v>3.5772213211278325E-2</v>
      </c>
      <c r="N498" s="81">
        <f t="shared" si="166"/>
        <v>-6.8488752862616575E-3</v>
      </c>
    </row>
    <row r="499" spans="2:14" hidden="1" outlineLevel="1" x14ac:dyDescent="0.3">
      <c r="B499" s="48">
        <v>45116</v>
      </c>
      <c r="C499" s="90">
        <f t="shared" ref="C499:N499" si="167">C232/C231-1</f>
        <v>-9.1415548240060263E-3</v>
      </c>
      <c r="D499" s="90">
        <f t="shared" si="167"/>
        <v>3.5969609370946065E-2</v>
      </c>
      <c r="E499" s="90">
        <f t="shared" si="167"/>
        <v>4.3449408513526633E-2</v>
      </c>
      <c r="F499" s="90">
        <f t="shared" si="167"/>
        <v>7.0853535124684619E-2</v>
      </c>
      <c r="G499" s="90">
        <f t="shared" si="167"/>
        <v>3.1833841559399279E-2</v>
      </c>
      <c r="H499" s="90">
        <f t="shared" si="167"/>
        <v>8.4012849023973324E-4</v>
      </c>
      <c r="I499" s="90">
        <f t="shared" si="167"/>
        <v>2.8072964605472484E-2</v>
      </c>
      <c r="J499" s="90">
        <f t="shared" si="167"/>
        <v>3.460464171448896E-2</v>
      </c>
      <c r="K499" s="90">
        <f t="shared" si="167"/>
        <v>3.6718881590028563E-2</v>
      </c>
      <c r="L499" s="90">
        <f t="shared" si="167"/>
        <v>4.2771388935706645E-2</v>
      </c>
      <c r="M499" s="90">
        <f t="shared" si="167"/>
        <v>-0.11210502606345318</v>
      </c>
      <c r="N499" s="81">
        <f t="shared" si="167"/>
        <v>6.1526194427084402E-2</v>
      </c>
    </row>
    <row r="500" spans="2:14" hidden="1" outlineLevel="1" x14ac:dyDescent="0.3">
      <c r="B500" s="48">
        <v>45109</v>
      </c>
      <c r="C500" s="90">
        <f t="shared" ref="C500:N500" si="168">C233/C232-1</f>
        <v>-1.1893991668583404E-2</v>
      </c>
      <c r="D500" s="90">
        <f t="shared" si="168"/>
        <v>-4.4757719216041103E-2</v>
      </c>
      <c r="E500" s="90">
        <f t="shared" si="168"/>
        <v>-5.2750794964498859E-2</v>
      </c>
      <c r="F500" s="90">
        <f t="shared" si="168"/>
        <v>-6.7145758695590918E-2</v>
      </c>
      <c r="G500" s="90">
        <f t="shared" si="168"/>
        <v>5.7710748844914672E-3</v>
      </c>
      <c r="H500" s="90">
        <f t="shared" si="168"/>
        <v>-2.2664428204621778E-2</v>
      </c>
      <c r="I500" s="90">
        <f t="shared" si="168"/>
        <v>-5.9129939364343076E-2</v>
      </c>
      <c r="J500" s="90">
        <f t="shared" si="168"/>
        <v>4.2115803734463775E-3</v>
      </c>
      <c r="K500" s="90">
        <f t="shared" si="168"/>
        <v>-2.1246953696181903E-2</v>
      </c>
      <c r="L500" s="90">
        <f t="shared" si="168"/>
        <v>-5.3487504662439345E-2</v>
      </c>
      <c r="M500" s="90">
        <f t="shared" si="168"/>
        <v>-9.279795124543988E-2</v>
      </c>
      <c r="N500" s="81">
        <f t="shared" si="168"/>
        <v>-4.7535425717649904E-2</v>
      </c>
    </row>
    <row r="501" spans="2:14" hidden="1" outlineLevel="1" x14ac:dyDescent="0.3">
      <c r="B501" s="48">
        <v>45102</v>
      </c>
      <c r="C501" s="90">
        <f t="shared" ref="C501:N501" si="169">C234/C233-1</f>
        <v>-7.3842063336058139E-3</v>
      </c>
      <c r="D501" s="90">
        <f t="shared" si="169"/>
        <v>8.6263910055395243E-5</v>
      </c>
      <c r="E501" s="90">
        <f t="shared" si="169"/>
        <v>-8.1118366596155678E-3</v>
      </c>
      <c r="F501" s="90">
        <f t="shared" si="169"/>
        <v>3.9841239841240661E-3</v>
      </c>
      <c r="G501" s="90">
        <f t="shared" si="169"/>
        <v>2.6219533335644751E-2</v>
      </c>
      <c r="H501" s="90">
        <f t="shared" si="169"/>
        <v>-1.6975698479260393E-2</v>
      </c>
      <c r="I501" s="90">
        <f t="shared" si="169"/>
        <v>-2.1756055363321924E-2</v>
      </c>
      <c r="J501" s="90">
        <f t="shared" si="169"/>
        <v>1.6159779452737721E-2</v>
      </c>
      <c r="K501" s="90">
        <f t="shared" si="169"/>
        <v>3.7581597632890595E-2</v>
      </c>
      <c r="L501" s="90">
        <f t="shared" si="169"/>
        <v>1.3726881042454897E-2</v>
      </c>
      <c r="M501" s="90">
        <f t="shared" si="169"/>
        <v>9.3475366178428221E-3</v>
      </c>
      <c r="N501" s="81">
        <f t="shared" si="169"/>
        <v>4.1882919655131801E-3</v>
      </c>
    </row>
    <row r="502" spans="2:14" hidden="1" outlineLevel="1" x14ac:dyDescent="0.3">
      <c r="B502" s="48">
        <v>45095</v>
      </c>
      <c r="C502" s="90">
        <f t="shared" ref="C502:N502" si="170">C235/C234-1</f>
        <v>-2.7283789452838936E-2</v>
      </c>
      <c r="D502" s="90">
        <f t="shared" si="170"/>
        <v>-3.4120353144132864E-2</v>
      </c>
      <c r="E502" s="90">
        <f t="shared" si="170"/>
        <v>-2.6011918008060686E-2</v>
      </c>
      <c r="F502" s="90">
        <f t="shared" si="170"/>
        <v>-5.2792879625306766E-2</v>
      </c>
      <c r="G502" s="90">
        <f t="shared" si="170"/>
        <v>-1.9189675414073015E-2</v>
      </c>
      <c r="H502" s="90">
        <f t="shared" si="170"/>
        <v>-2.3590481574754629E-2</v>
      </c>
      <c r="I502" s="90">
        <f t="shared" si="170"/>
        <v>-1.3573860370517665E-2</v>
      </c>
      <c r="J502" s="90">
        <f t="shared" si="170"/>
        <v>-4.6284537828061301E-2</v>
      </c>
      <c r="K502" s="90">
        <f t="shared" si="170"/>
        <v>-4.1151884811518769E-2</v>
      </c>
      <c r="L502" s="90">
        <f t="shared" si="170"/>
        <v>-1.1765773003511559E-2</v>
      </c>
      <c r="M502" s="90">
        <f t="shared" si="170"/>
        <v>-3.3772195984274833E-2</v>
      </c>
      <c r="N502" s="81">
        <f t="shared" si="170"/>
        <v>-4.4966357480950014E-2</v>
      </c>
    </row>
    <row r="503" spans="2:14" hidden="1" outlineLevel="1" x14ac:dyDescent="0.3">
      <c r="B503" s="48">
        <v>45088</v>
      </c>
      <c r="C503" s="90">
        <f t="shared" ref="C503:N503" si="171">C236/C235-1</f>
        <v>8.598751707695973E-3</v>
      </c>
      <c r="D503" s="90">
        <f t="shared" si="171"/>
        <v>1.2082243304860629E-3</v>
      </c>
      <c r="E503" s="90">
        <f t="shared" si="171"/>
        <v>-1.2886826940164076E-2</v>
      </c>
      <c r="F503" s="90">
        <f t="shared" si="171"/>
        <v>2.1066689985770104E-2</v>
      </c>
      <c r="G503" s="90">
        <f t="shared" si="171"/>
        <v>-1.4544671689989297E-2</v>
      </c>
      <c r="H503" s="90">
        <f t="shared" si="171"/>
        <v>3.526687019686392E-3</v>
      </c>
      <c r="I503" s="90">
        <f t="shared" si="171"/>
        <v>-3.4334379202151433E-2</v>
      </c>
      <c r="J503" s="90">
        <f t="shared" si="171"/>
        <v>1.0884367465929801E-2</v>
      </c>
      <c r="K503" s="90">
        <f t="shared" si="171"/>
        <v>3.203106750759166E-2</v>
      </c>
      <c r="L503" s="90">
        <f t="shared" si="171"/>
        <v>1.4856093883170551E-2</v>
      </c>
      <c r="M503" s="90">
        <f t="shared" si="171"/>
        <v>1.583790721170919E-2</v>
      </c>
      <c r="N503" s="81">
        <f t="shared" si="171"/>
        <v>2.1069241796219496E-2</v>
      </c>
    </row>
    <row r="504" spans="2:14" hidden="1" outlineLevel="1" x14ac:dyDescent="0.3">
      <c r="B504" s="48">
        <v>45081</v>
      </c>
      <c r="C504" s="90">
        <f t="shared" ref="C504:N504" si="172">C237/C236-1</f>
        <v>-1.3948794220758454E-2</v>
      </c>
      <c r="D504" s="90">
        <f t="shared" si="172"/>
        <v>-8.1657852025968092E-3</v>
      </c>
      <c r="E504" s="90">
        <f t="shared" si="172"/>
        <v>1.0833678918046541E-2</v>
      </c>
      <c r="F504" s="90">
        <f t="shared" si="172"/>
        <v>-1.9892401958876205E-2</v>
      </c>
      <c r="G504" s="90">
        <f t="shared" si="172"/>
        <v>-3.3485965954769381E-2</v>
      </c>
      <c r="H504" s="90">
        <f t="shared" si="172"/>
        <v>4.196170993968007E-2</v>
      </c>
      <c r="I504" s="90">
        <f t="shared" si="172"/>
        <v>-1.3135907909394784E-2</v>
      </c>
      <c r="J504" s="90">
        <f t="shared" si="172"/>
        <v>-3.7430647028300013E-2</v>
      </c>
      <c r="K504" s="90">
        <f t="shared" si="172"/>
        <v>-1.4518117333225611E-2</v>
      </c>
      <c r="L504" s="90">
        <f t="shared" si="172"/>
        <v>-8.5002196439184496E-2</v>
      </c>
      <c r="M504" s="90">
        <f t="shared" si="172"/>
        <v>-3.6558157038788508E-3</v>
      </c>
      <c r="N504" s="81">
        <f t="shared" si="172"/>
        <v>-4.0539805191271649E-2</v>
      </c>
    </row>
    <row r="505" spans="2:14" hidden="1" outlineLevel="1" x14ac:dyDescent="0.3">
      <c r="B505" s="48">
        <v>45074</v>
      </c>
      <c r="C505" s="90">
        <f t="shared" ref="C505:N505" si="173">C238/C237-1</f>
        <v>-1.5783746511954799E-3</v>
      </c>
      <c r="D505" s="90">
        <f t="shared" si="173"/>
        <v>3.4307458733537244E-2</v>
      </c>
      <c r="E505" s="90">
        <f t="shared" si="173"/>
        <v>3.0009191030317739E-2</v>
      </c>
      <c r="F505" s="90">
        <f t="shared" si="173"/>
        <v>2.6102982063136659E-2</v>
      </c>
      <c r="G505" s="90">
        <f t="shared" si="173"/>
        <v>2.4592238978698777E-2</v>
      </c>
      <c r="H505" s="90">
        <f t="shared" si="173"/>
        <v>1.9280140951422053E-2</v>
      </c>
      <c r="I505" s="90">
        <f t="shared" si="173"/>
        <v>5.6488406001599101E-2</v>
      </c>
      <c r="J505" s="90">
        <f t="shared" si="173"/>
        <v>3.5475477135837208E-2</v>
      </c>
      <c r="K505" s="90">
        <f t="shared" si="173"/>
        <v>6.9525844567575712E-2</v>
      </c>
      <c r="L505" s="90">
        <f t="shared" si="173"/>
        <v>2.0502972366172934E-2</v>
      </c>
      <c r="M505" s="90">
        <f t="shared" si="173"/>
        <v>8.870902468636177E-2</v>
      </c>
      <c r="N505" s="81">
        <f t="shared" si="173"/>
        <v>4.1470054446461013E-2</v>
      </c>
    </row>
    <row r="506" spans="2:14" hidden="1" outlineLevel="1" x14ac:dyDescent="0.3">
      <c r="B506" s="48">
        <v>45067</v>
      </c>
      <c r="C506" s="90">
        <f t="shared" ref="C506:N506" si="174">C239/C238-1</f>
        <v>-1.874922440258775E-3</v>
      </c>
      <c r="D506" s="90">
        <f t="shared" si="174"/>
        <v>9.4618992333295182E-4</v>
      </c>
      <c r="E506" s="90">
        <f t="shared" si="174"/>
        <v>7.0459717234843122E-3</v>
      </c>
      <c r="F506" s="90">
        <f t="shared" si="174"/>
        <v>1.4205865048152688E-2</v>
      </c>
      <c r="G506" s="90">
        <f t="shared" si="174"/>
        <v>1.8972150647700303E-3</v>
      </c>
      <c r="H506" s="90">
        <f t="shared" si="174"/>
        <v>-8.0501777953377873E-3</v>
      </c>
      <c r="I506" s="90">
        <f t="shared" si="174"/>
        <v>-7.4347787374231533E-3</v>
      </c>
      <c r="J506" s="90">
        <f t="shared" si="174"/>
        <v>1.3916282049999396E-3</v>
      </c>
      <c r="K506" s="90">
        <f t="shared" si="174"/>
        <v>-2.6317706835394583E-2</v>
      </c>
      <c r="L506" s="90">
        <f t="shared" si="174"/>
        <v>-4.6353309072795223E-3</v>
      </c>
      <c r="M506" s="90">
        <f t="shared" si="174"/>
        <v>-2.1287140980844055E-2</v>
      </c>
      <c r="N506" s="81">
        <f t="shared" si="174"/>
        <v>-2.8502657488890804E-2</v>
      </c>
    </row>
    <row r="507" spans="2:14" hidden="1" outlineLevel="1" x14ac:dyDescent="0.3">
      <c r="B507" s="48">
        <v>45060</v>
      </c>
      <c r="C507" s="90">
        <f t="shared" ref="C507:N507" si="175">C240/C239-1</f>
        <v>-1.599785938424847E-2</v>
      </c>
      <c r="D507" s="90">
        <f t="shared" si="175"/>
        <v>-3.5844583201332658E-2</v>
      </c>
      <c r="E507" s="90">
        <f t="shared" si="175"/>
        <v>-3.185601937728999E-2</v>
      </c>
      <c r="F507" s="90">
        <f t="shared" si="175"/>
        <v>-3.6852992588182309E-2</v>
      </c>
      <c r="G507" s="90">
        <f t="shared" si="175"/>
        <v>-3.8497784902104204E-2</v>
      </c>
      <c r="H507" s="90">
        <f t="shared" si="175"/>
        <v>-3.8586009459795845E-2</v>
      </c>
      <c r="I507" s="90">
        <f t="shared" si="175"/>
        <v>-3.8214846378111567E-2</v>
      </c>
      <c r="J507" s="90">
        <f t="shared" si="175"/>
        <v>-3.961128551718629E-2</v>
      </c>
      <c r="K507" s="90">
        <f t="shared" si="175"/>
        <v>-3.9450675824695192E-2</v>
      </c>
      <c r="L507" s="90">
        <f t="shared" si="175"/>
        <v>-1.2983763345195798E-2</v>
      </c>
      <c r="M507" s="90">
        <f t="shared" si="175"/>
        <v>-3.4536891679748827E-2</v>
      </c>
      <c r="N507" s="81">
        <f t="shared" si="175"/>
        <v>-4.0762788820502438E-2</v>
      </c>
    </row>
    <row r="508" spans="2:14" hidden="1" outlineLevel="1" x14ac:dyDescent="0.3">
      <c r="B508" s="48">
        <v>45053</v>
      </c>
      <c r="C508" s="90">
        <f t="shared" ref="C508:N508" si="176">C241/C240-1</f>
        <v>6.1197358735181062E-3</v>
      </c>
      <c r="D508" s="90">
        <f t="shared" si="176"/>
        <v>-9.7248941390951638E-3</v>
      </c>
      <c r="E508" s="90">
        <f t="shared" si="176"/>
        <v>1.5964403907969382E-2</v>
      </c>
      <c r="F508" s="90">
        <f t="shared" si="176"/>
        <v>-1.8679812013092434E-2</v>
      </c>
      <c r="G508" s="90">
        <f t="shared" si="176"/>
        <v>1.3740290194919069E-4</v>
      </c>
      <c r="H508" s="90">
        <f t="shared" si="176"/>
        <v>-7.6126359399274479E-3</v>
      </c>
      <c r="I508" s="90">
        <f t="shared" si="176"/>
        <v>-2.4063797043324286E-2</v>
      </c>
      <c r="J508" s="90">
        <f t="shared" si="176"/>
        <v>-2.4109931292941922E-2</v>
      </c>
      <c r="K508" s="90">
        <f t="shared" si="176"/>
        <v>-4.8340474384468535E-2</v>
      </c>
      <c r="L508" s="90">
        <f t="shared" si="176"/>
        <v>3.8027097828230438E-4</v>
      </c>
      <c r="M508" s="90">
        <f t="shared" si="176"/>
        <v>-2.8402832415420964E-2</v>
      </c>
      <c r="N508" s="81">
        <f t="shared" si="176"/>
        <v>-4.499608475626149E-2</v>
      </c>
    </row>
    <row r="509" spans="2:14" hidden="1" outlineLevel="1" x14ac:dyDescent="0.3">
      <c r="B509" s="48">
        <v>45046</v>
      </c>
      <c r="C509" s="90">
        <f t="shared" ref="C509:N509" si="177">C242/C241-1</f>
        <v>-1.3420839976412524E-2</v>
      </c>
      <c r="D509" s="90">
        <f t="shared" si="177"/>
        <v>-1.1004909306275068E-2</v>
      </c>
      <c r="E509" s="90">
        <f t="shared" si="177"/>
        <v>-1.3316459168469352E-2</v>
      </c>
      <c r="F509" s="90">
        <f t="shared" si="177"/>
        <v>1.1161182988483453E-2</v>
      </c>
      <c r="G509" s="90">
        <f t="shared" si="177"/>
        <v>-3.6461720231171446E-2</v>
      </c>
      <c r="H509" s="90">
        <f t="shared" si="177"/>
        <v>-1.0071491937588051E-2</v>
      </c>
      <c r="I509" s="90">
        <f t="shared" si="177"/>
        <v>-9.5092464280592814E-3</v>
      </c>
      <c r="J509" s="90">
        <f t="shared" si="177"/>
        <v>-4.2530721966205776E-2</v>
      </c>
      <c r="K509" s="90">
        <f t="shared" si="177"/>
        <v>-2.6108873139313316E-3</v>
      </c>
      <c r="L509" s="90">
        <f t="shared" si="177"/>
        <v>3.2226273775500136E-2</v>
      </c>
      <c r="M509" s="90">
        <f t="shared" si="177"/>
        <v>-1.7464302102734308E-2</v>
      </c>
      <c r="N509" s="81">
        <f t="shared" si="177"/>
        <v>7.8200531127237127E-3</v>
      </c>
    </row>
    <row r="510" spans="2:14" hidden="1" outlineLevel="1" x14ac:dyDescent="0.3">
      <c r="B510" s="48">
        <v>45039</v>
      </c>
      <c r="C510" s="90">
        <f t="shared" ref="C510:N510" si="178">C243/C242-1</f>
        <v>-2.2137362333274346E-4</v>
      </c>
      <c r="D510" s="90">
        <f t="shared" si="178"/>
        <v>-4.2388243846036566E-4</v>
      </c>
      <c r="E510" s="90">
        <f t="shared" si="178"/>
        <v>-3.5446429135574942E-3</v>
      </c>
      <c r="F510" s="90">
        <f t="shared" si="178"/>
        <v>-5.039775087057885E-3</v>
      </c>
      <c r="G510" s="90">
        <f t="shared" si="178"/>
        <v>8.0987053478069893E-3</v>
      </c>
      <c r="H510" s="90">
        <f t="shared" si="178"/>
        <v>1.4760147601476037E-2</v>
      </c>
      <c r="I510" s="90">
        <f t="shared" si="178"/>
        <v>-1.2253956001543886E-2</v>
      </c>
      <c r="J510" s="90">
        <f t="shared" si="178"/>
        <v>-1.5241151107991735E-2</v>
      </c>
      <c r="K510" s="90">
        <f t="shared" si="178"/>
        <v>2.1015209568939763E-2</v>
      </c>
      <c r="L510" s="90">
        <f t="shared" si="178"/>
        <v>-2.8383207397910559E-2</v>
      </c>
      <c r="M510" s="90">
        <f t="shared" si="178"/>
        <v>-3.0494505494504942E-3</v>
      </c>
      <c r="N510" s="81">
        <f t="shared" si="178"/>
        <v>1.6247328540897499E-2</v>
      </c>
    </row>
    <row r="511" spans="2:14" hidden="1" outlineLevel="1" x14ac:dyDescent="0.3">
      <c r="B511" s="48">
        <v>45032</v>
      </c>
      <c r="C511" s="90">
        <f t="shared" ref="C511:N511" si="179">C244/C243-1</f>
        <v>-2.4409078328259115E-2</v>
      </c>
      <c r="D511" s="90">
        <f t="shared" si="179"/>
        <v>-3.197970275947204E-2</v>
      </c>
      <c r="E511" s="90">
        <f t="shared" si="179"/>
        <v>-1.8141351628980451E-2</v>
      </c>
      <c r="F511" s="90">
        <f t="shared" si="179"/>
        <v>-2.0277267144565791E-2</v>
      </c>
      <c r="G511" s="90">
        <f t="shared" si="179"/>
        <v>-1.4238029682991593E-2</v>
      </c>
      <c r="H511" s="90">
        <f t="shared" si="179"/>
        <v>-4.4051948051948009E-2</v>
      </c>
      <c r="I511" s="90">
        <f t="shared" si="179"/>
        <v>-2.4372374719156098E-2</v>
      </c>
      <c r="J511" s="90">
        <f t="shared" si="179"/>
        <v>-5.6251343492968453E-2</v>
      </c>
      <c r="K511" s="90">
        <f t="shared" si="179"/>
        <v>-9.2014858438679292E-2</v>
      </c>
      <c r="L511" s="90">
        <f t="shared" si="179"/>
        <v>-7.0932240268399838E-2</v>
      </c>
      <c r="M511" s="90">
        <f t="shared" si="179"/>
        <v>-3.0036650224586015E-2</v>
      </c>
      <c r="N511" s="81">
        <f t="shared" si="179"/>
        <v>-8.4538176604134319E-2</v>
      </c>
    </row>
    <row r="512" spans="2:14" hidden="1" outlineLevel="1" x14ac:dyDescent="0.3">
      <c r="B512" s="48">
        <v>45025</v>
      </c>
      <c r="C512" s="90">
        <f t="shared" ref="C512:N512" si="180">C245/C244-1</f>
        <v>1.15722549584234E-2</v>
      </c>
      <c r="D512" s="90">
        <f t="shared" si="180"/>
        <v>5.6695784446407993E-2</v>
      </c>
      <c r="E512" s="90">
        <f t="shared" si="180"/>
        <v>8.8604733766024513E-3</v>
      </c>
      <c r="F512" s="90">
        <f t="shared" si="180"/>
        <v>0.13187542504117267</v>
      </c>
      <c r="G512" s="90">
        <f t="shared" si="180"/>
        <v>2.1828129782675232E-2</v>
      </c>
      <c r="H512" s="90">
        <f t="shared" si="180"/>
        <v>7.0644495163563192E-4</v>
      </c>
      <c r="I512" s="90">
        <f t="shared" si="180"/>
        <v>8.8210262828535502E-2</v>
      </c>
      <c r="J512" s="90">
        <f t="shared" si="180"/>
        <v>0.11401752640349061</v>
      </c>
      <c r="K512" s="90">
        <f t="shared" si="180"/>
        <v>2.1014374577732253E-2</v>
      </c>
      <c r="L512" s="90">
        <f t="shared" si="180"/>
        <v>-2.2512994077117376E-3</v>
      </c>
      <c r="M512" s="90">
        <f t="shared" si="180"/>
        <v>6.3069973578795402E-3</v>
      </c>
      <c r="N512" s="81">
        <f t="shared" si="180"/>
        <v>5.167395418651699E-2</v>
      </c>
    </row>
    <row r="513" spans="2:14" hidden="1" outlineLevel="1" x14ac:dyDescent="0.3">
      <c r="B513" s="48">
        <v>45018</v>
      </c>
      <c r="C513" s="90">
        <f t="shared" ref="C513:N513" si="181">C246/C245-1</f>
        <v>-1.2836549248373297E-2</v>
      </c>
      <c r="D513" s="90">
        <f t="shared" si="181"/>
        <v>1.4880322339359653E-2</v>
      </c>
      <c r="E513" s="90">
        <f t="shared" si="181"/>
        <v>9.9861090662347607E-3</v>
      </c>
      <c r="F513" s="90">
        <f t="shared" si="181"/>
        <v>2.3533755121541544E-2</v>
      </c>
      <c r="G513" s="90">
        <f t="shared" si="181"/>
        <v>1.8656506842903431E-2</v>
      </c>
      <c r="H513" s="90">
        <f t="shared" si="181"/>
        <v>-4.5071952212870636E-3</v>
      </c>
      <c r="I513" s="90">
        <f t="shared" si="181"/>
        <v>5.4285319961357992E-3</v>
      </c>
      <c r="J513" s="90">
        <f t="shared" si="181"/>
        <v>2.7300705922865154E-2</v>
      </c>
      <c r="K513" s="90">
        <f t="shared" si="181"/>
        <v>3.5418140330861547E-2</v>
      </c>
      <c r="L513" s="90">
        <f t="shared" si="181"/>
        <v>-1.4295449382902947E-2</v>
      </c>
      <c r="M513" s="90">
        <f t="shared" si="181"/>
        <v>1.3014878179610889E-2</v>
      </c>
      <c r="N513" s="81">
        <f t="shared" si="181"/>
        <v>-7.0990642142626514E-3</v>
      </c>
    </row>
    <row r="514" spans="2:14" hidden="1" outlineLevel="1" x14ac:dyDescent="0.3">
      <c r="B514" s="48">
        <v>45011</v>
      </c>
      <c r="C514" s="90">
        <f t="shared" ref="C514:N514" si="182">C247/C246-1</f>
        <v>-1.3602929686945209E-2</v>
      </c>
      <c r="D514" s="90">
        <f t="shared" si="182"/>
        <v>-2.2927527112366342E-3</v>
      </c>
      <c r="E514" s="90">
        <f t="shared" si="182"/>
        <v>-4.5950930744025342E-3</v>
      </c>
      <c r="F514" s="90">
        <f t="shared" si="182"/>
        <v>4.2576365166593355E-3</v>
      </c>
      <c r="G514" s="90">
        <f t="shared" si="182"/>
        <v>-6.0375485898603864E-3</v>
      </c>
      <c r="H514" s="90">
        <f t="shared" si="182"/>
        <v>-3.7639101025529476E-3</v>
      </c>
      <c r="I514" s="90">
        <f t="shared" si="182"/>
        <v>8.327613818348123E-3</v>
      </c>
      <c r="J514" s="90">
        <f t="shared" si="182"/>
        <v>-2.8492117529985705E-3</v>
      </c>
      <c r="K514" s="90">
        <f t="shared" si="182"/>
        <v>1.3680879384360356E-2</v>
      </c>
      <c r="L514" s="90">
        <f t="shared" si="182"/>
        <v>2.8268116943970245E-3</v>
      </c>
      <c r="M514" s="90">
        <f t="shared" si="182"/>
        <v>9.1968117719187781E-4</v>
      </c>
      <c r="N514" s="81">
        <f t="shared" si="182"/>
        <v>-4.6498837529061698E-2</v>
      </c>
    </row>
    <row r="515" spans="2:14" hidden="1" outlineLevel="1" x14ac:dyDescent="0.3">
      <c r="B515" s="48">
        <v>45004</v>
      </c>
      <c r="C515" s="90">
        <f t="shared" ref="C515:N515" si="183">C248/C247-1</f>
        <v>-2.388859286568068E-2</v>
      </c>
      <c r="D515" s="90">
        <f t="shared" si="183"/>
        <v>-2.6584920518770816E-2</v>
      </c>
      <c r="E515" s="90">
        <f t="shared" si="183"/>
        <v>-2.6637674146142709E-2</v>
      </c>
      <c r="F515" s="90">
        <f t="shared" si="183"/>
        <v>-3.3127927039684479E-2</v>
      </c>
      <c r="G515" s="90">
        <f t="shared" si="183"/>
        <v>-3.0870361124979095E-2</v>
      </c>
      <c r="H515" s="90">
        <f t="shared" si="183"/>
        <v>-9.5822154082023658E-3</v>
      </c>
      <c r="I515" s="90">
        <f t="shared" si="183"/>
        <v>9.0756455052964924E-5</v>
      </c>
      <c r="J515" s="90">
        <f t="shared" si="183"/>
        <v>-3.3237738068975675E-2</v>
      </c>
      <c r="K515" s="90">
        <f t="shared" si="183"/>
        <v>-6.1763554937171228E-2</v>
      </c>
      <c r="L515" s="90">
        <f t="shared" si="183"/>
        <v>-1.9180390654921498E-2</v>
      </c>
      <c r="M515" s="90">
        <f t="shared" si="183"/>
        <v>-3.2493387164137522E-2</v>
      </c>
      <c r="N515" s="81">
        <f t="shared" si="183"/>
        <v>-2.9784221703678448E-2</v>
      </c>
    </row>
    <row r="516" spans="2:14" hidden="1" outlineLevel="1" x14ac:dyDescent="0.3">
      <c r="B516" s="48">
        <v>44997</v>
      </c>
      <c r="C516" s="90">
        <f t="shared" ref="C516:N516" si="184">C249/C248-1</f>
        <v>9.1472140831687643E-3</v>
      </c>
      <c r="D516" s="90">
        <f t="shared" si="184"/>
        <v>3.2889873691859695E-2</v>
      </c>
      <c r="E516" s="90">
        <f t="shared" si="184"/>
        <v>1.8842992506631573E-2</v>
      </c>
      <c r="F516" s="90">
        <f t="shared" si="184"/>
        <v>2.9011370009687454E-2</v>
      </c>
      <c r="G516" s="90">
        <f t="shared" si="184"/>
        <v>5.3909924348663818E-2</v>
      </c>
      <c r="H516" s="90">
        <f t="shared" si="184"/>
        <v>4.0745245466607738E-2</v>
      </c>
      <c r="I516" s="90">
        <f t="shared" si="184"/>
        <v>2.2868551204682674E-2</v>
      </c>
      <c r="J516" s="90">
        <f t="shared" si="184"/>
        <v>1.5755903030566509E-2</v>
      </c>
      <c r="K516" s="90">
        <f t="shared" si="184"/>
        <v>7.5644738976295756E-2</v>
      </c>
      <c r="L516" s="90">
        <f t="shared" si="184"/>
        <v>1.1449010511847435E-2</v>
      </c>
      <c r="M516" s="90">
        <f t="shared" si="184"/>
        <v>8.576033152987228E-2</v>
      </c>
      <c r="N516" s="81">
        <f t="shared" si="184"/>
        <v>5.4181867315227672E-2</v>
      </c>
    </row>
    <row r="517" spans="2:14" hidden="1" outlineLevel="1" x14ac:dyDescent="0.3">
      <c r="B517" s="48">
        <v>44990</v>
      </c>
      <c r="C517" s="90">
        <f t="shared" ref="C517:N517" si="185">C250/C249-1</f>
        <v>1.829526814249105E-2</v>
      </c>
      <c r="D517" s="90">
        <f t="shared" si="185"/>
        <v>2.3949512120314154E-2</v>
      </c>
      <c r="E517" s="90">
        <f t="shared" si="185"/>
        <v>4.7714592068006878E-2</v>
      </c>
      <c r="F517" s="90">
        <f t="shared" si="185"/>
        <v>3.5788609369027613E-2</v>
      </c>
      <c r="G517" s="90">
        <f t="shared" si="185"/>
        <v>7.0785886271882426E-3</v>
      </c>
      <c r="H517" s="90">
        <f t="shared" si="185"/>
        <v>3.3466135458167345E-2</v>
      </c>
      <c r="I517" s="90">
        <f t="shared" si="185"/>
        <v>-5.8466042674000906E-2</v>
      </c>
      <c r="J517" s="90">
        <f t="shared" si="185"/>
        <v>-7.242268316948075E-3</v>
      </c>
      <c r="K517" s="90">
        <f t="shared" si="185"/>
        <v>2.0947145294431868E-2</v>
      </c>
      <c r="L517" s="90">
        <f t="shared" si="185"/>
        <v>1.3589474334423368E-3</v>
      </c>
      <c r="M517" s="90">
        <f t="shared" si="185"/>
        <v>8.086832061068705E-2</v>
      </c>
      <c r="N517" s="81">
        <f t="shared" si="185"/>
        <v>6.0330684439887206E-2</v>
      </c>
    </row>
    <row r="518" spans="2:14" hidden="1" outlineLevel="1" x14ac:dyDescent="0.3">
      <c r="B518" s="48">
        <v>44983</v>
      </c>
      <c r="C518" s="90">
        <f t="shared" ref="C518:N518" si="186">C251/C250-1</f>
        <v>1.0420435424311592E-2</v>
      </c>
      <c r="D518" s="90">
        <f t="shared" si="186"/>
        <v>9.1909089370632024E-3</v>
      </c>
      <c r="E518" s="90">
        <f t="shared" si="186"/>
        <v>3.3490521232621973E-3</v>
      </c>
      <c r="F518" s="90">
        <f t="shared" si="186"/>
        <v>5.2689127314973216E-3</v>
      </c>
      <c r="G518" s="90">
        <f t="shared" si="186"/>
        <v>2.4178471273459401E-3</v>
      </c>
      <c r="H518" s="90">
        <f t="shared" si="186"/>
        <v>3.4952454381906861E-3</v>
      </c>
      <c r="I518" s="90">
        <f t="shared" si="186"/>
        <v>2.2520612485276814E-2</v>
      </c>
      <c r="J518" s="90">
        <f t="shared" si="186"/>
        <v>1.5139759918967322E-2</v>
      </c>
      <c r="K518" s="90">
        <f t="shared" si="186"/>
        <v>2.4581170612313796E-2</v>
      </c>
      <c r="L518" s="90">
        <f t="shared" si="186"/>
        <v>-2.7450496576398753E-2</v>
      </c>
      <c r="M518" s="90">
        <f t="shared" si="186"/>
        <v>1.9740552735476591E-2</v>
      </c>
      <c r="N518" s="81">
        <f t="shared" si="186"/>
        <v>2.9506690681397885E-2</v>
      </c>
    </row>
    <row r="519" spans="2:14" hidden="1" outlineLevel="1" x14ac:dyDescent="0.3">
      <c r="B519" s="48">
        <v>44976</v>
      </c>
      <c r="C519" s="90">
        <f t="shared" ref="C519:N519" si="187">C252/C251-1</f>
        <v>-7.3063227683887177E-3</v>
      </c>
      <c r="D519" s="90">
        <f t="shared" si="187"/>
        <v>2.3404394465582623E-2</v>
      </c>
      <c r="E519" s="90">
        <f t="shared" si="187"/>
        <v>1.7443671477520573E-2</v>
      </c>
      <c r="F519" s="90">
        <f t="shared" si="187"/>
        <v>4.8232167014500282E-2</v>
      </c>
      <c r="G519" s="90">
        <f t="shared" si="187"/>
        <v>-2.1582604797130589E-2</v>
      </c>
      <c r="H519" s="90">
        <f t="shared" si="187"/>
        <v>7.2734723147058755E-3</v>
      </c>
      <c r="I519" s="90">
        <f t="shared" si="187"/>
        <v>3.1193844169008722E-2</v>
      </c>
      <c r="J519" s="90">
        <f t="shared" si="187"/>
        <v>3.0401137919687349E-2</v>
      </c>
      <c r="K519" s="90">
        <f t="shared" si="187"/>
        <v>5.9309293848719413E-3</v>
      </c>
      <c r="L519" s="90">
        <f t="shared" si="187"/>
        <v>-1.6808321704934182E-3</v>
      </c>
      <c r="M519" s="90">
        <f t="shared" si="187"/>
        <v>5.7113312812620221E-2</v>
      </c>
      <c r="N519" s="81">
        <f t="shared" si="187"/>
        <v>2.796825098628597E-2</v>
      </c>
    </row>
    <row r="520" spans="2:14" hidden="1" outlineLevel="1" x14ac:dyDescent="0.3">
      <c r="B520" s="48">
        <v>44969</v>
      </c>
      <c r="C520" s="90">
        <f t="shared" ref="C520:N520" si="188">C253/C252-1</f>
        <v>2.7390672056247123E-2</v>
      </c>
      <c r="D520" s="90">
        <f t="shared" si="188"/>
        <v>1.7694634424494149E-2</v>
      </c>
      <c r="E520" s="90">
        <f t="shared" si="188"/>
        <v>2.9612865658560583E-2</v>
      </c>
      <c r="F520" s="90">
        <f t="shared" si="188"/>
        <v>2.1375392357778411E-2</v>
      </c>
      <c r="G520" s="90">
        <f t="shared" si="188"/>
        <v>1.3425832584907926E-2</v>
      </c>
      <c r="H520" s="90">
        <f t="shared" si="188"/>
        <v>3.3053648614289388E-2</v>
      </c>
      <c r="I520" s="90">
        <f t="shared" si="188"/>
        <v>9.1152815013404442E-3</v>
      </c>
      <c r="J520" s="90">
        <f t="shared" si="188"/>
        <v>9.7866510080257818E-4</v>
      </c>
      <c r="K520" s="90">
        <f t="shared" si="188"/>
        <v>3.1322292054782874E-3</v>
      </c>
      <c r="L520" s="90">
        <f t="shared" si="188"/>
        <v>2.6605038279488014E-2</v>
      </c>
      <c r="M520" s="90">
        <f t="shared" si="188"/>
        <v>1.7561818967674503E-2</v>
      </c>
      <c r="N520" s="81">
        <f t="shared" si="188"/>
        <v>-3.96116504854368E-2</v>
      </c>
    </row>
    <row r="521" spans="2:14" hidden="1" outlineLevel="1" x14ac:dyDescent="0.3">
      <c r="B521" s="48">
        <v>44962</v>
      </c>
      <c r="C521" s="90">
        <f t="shared" ref="C521:N521" si="189">C254/C253-1</f>
        <v>-4.8873730787664105E-3</v>
      </c>
      <c r="D521" s="90">
        <f t="shared" si="189"/>
        <v>-5.9459311508507362E-3</v>
      </c>
      <c r="E521" s="90">
        <f t="shared" si="189"/>
        <v>1.0395531612211073E-2</v>
      </c>
      <c r="F521" s="90">
        <f t="shared" si="189"/>
        <v>1.5632540065527056E-2</v>
      </c>
      <c r="G521" s="90">
        <f t="shared" si="189"/>
        <v>5.5071756056537247E-3</v>
      </c>
      <c r="H521" s="90">
        <f t="shared" si="189"/>
        <v>-1.2306177701205678E-3</v>
      </c>
      <c r="I521" s="90">
        <f t="shared" si="189"/>
        <v>-9.9052426496634816E-2</v>
      </c>
      <c r="J521" s="90">
        <f t="shared" si="189"/>
        <v>-3.4312413807298769E-2</v>
      </c>
      <c r="K521" s="90">
        <f t="shared" si="189"/>
        <v>-4.0000000000001146E-3</v>
      </c>
      <c r="L521" s="90">
        <f t="shared" si="189"/>
        <v>-1.7034641746476287E-2</v>
      </c>
      <c r="M521" s="90">
        <f t="shared" si="189"/>
        <v>-3.7200152019852162E-2</v>
      </c>
      <c r="N521" s="81">
        <f t="shared" si="189"/>
        <v>3.0969767607811338E-2</v>
      </c>
    </row>
    <row r="522" spans="2:14" hidden="1" outlineLevel="1" x14ac:dyDescent="0.3">
      <c r="B522" s="48">
        <v>44955</v>
      </c>
      <c r="C522" s="90">
        <f t="shared" ref="C522:N522" si="190">C255/C254-1</f>
        <v>-1.3720493937785516E-4</v>
      </c>
      <c r="D522" s="90">
        <f t="shared" si="190"/>
        <v>-8.8289029549533105E-3</v>
      </c>
      <c r="E522" s="90">
        <f t="shared" si="190"/>
        <v>-1.561751654654675E-2</v>
      </c>
      <c r="F522" s="90">
        <f t="shared" si="190"/>
        <v>-5.6891356264925363E-3</v>
      </c>
      <c r="G522" s="90">
        <f t="shared" si="190"/>
        <v>2.7331102957047104E-2</v>
      </c>
      <c r="H522" s="90">
        <f t="shared" si="190"/>
        <v>5.1749630359783083E-3</v>
      </c>
      <c r="I522" s="90">
        <f t="shared" si="190"/>
        <v>-5.9468226274144165E-3</v>
      </c>
      <c r="J522" s="90">
        <f t="shared" si="190"/>
        <v>-4.0370023019865364E-2</v>
      </c>
      <c r="K522" s="90">
        <f t="shared" si="190"/>
        <v>-8.1181870338496998E-3</v>
      </c>
      <c r="L522" s="90">
        <f t="shared" si="190"/>
        <v>-1.6653025247119646E-2</v>
      </c>
      <c r="M522" s="90">
        <f t="shared" si="190"/>
        <v>-3.0673137204820233E-2</v>
      </c>
      <c r="N522" s="81">
        <f t="shared" si="190"/>
        <v>-5.9294465080866887E-3</v>
      </c>
    </row>
    <row r="523" spans="2:14" hidden="1" outlineLevel="1" x14ac:dyDescent="0.3">
      <c r="B523" s="48">
        <v>44948</v>
      </c>
      <c r="C523" s="90">
        <f t="shared" ref="C523:N523" si="191">C256/C255-1</f>
        <v>-1.3985622309784063E-2</v>
      </c>
      <c r="D523" s="90">
        <f t="shared" si="191"/>
        <v>-2.7165484931032324E-2</v>
      </c>
      <c r="E523" s="90">
        <f t="shared" si="191"/>
        <v>-2.0461040198132996E-2</v>
      </c>
      <c r="F523" s="90">
        <f t="shared" si="191"/>
        <v>-5.0174794396519173E-2</v>
      </c>
      <c r="G523" s="90">
        <f t="shared" si="191"/>
        <v>-2.6656511805026706E-2</v>
      </c>
      <c r="H523" s="90">
        <f t="shared" si="191"/>
        <v>-2.4172591321402148E-2</v>
      </c>
      <c r="I523" s="90">
        <f t="shared" si="191"/>
        <v>1.8589933748640375E-2</v>
      </c>
      <c r="J523" s="90">
        <f t="shared" si="191"/>
        <v>-2.2911021278485988E-2</v>
      </c>
      <c r="K523" s="90">
        <f t="shared" si="191"/>
        <v>-5.649089609525737E-2</v>
      </c>
      <c r="L523" s="90">
        <f t="shared" si="191"/>
        <v>-2.309760860517962E-2</v>
      </c>
      <c r="M523" s="90">
        <f t="shared" si="191"/>
        <v>-7.1384084702726947E-3</v>
      </c>
      <c r="N523" s="81">
        <f t="shared" si="191"/>
        <v>-3.3653622986584697E-3</v>
      </c>
    </row>
    <row r="524" spans="2:14" hidden="1" outlineLevel="1" x14ac:dyDescent="0.3">
      <c r="B524" s="48">
        <v>44941</v>
      </c>
      <c r="C524" s="90">
        <f t="shared" ref="C524:N524" si="192">C257/C256-1</f>
        <v>2.4045193375501039E-2</v>
      </c>
      <c r="D524" s="90">
        <f t="shared" si="192"/>
        <v>-7.9552650719182383E-3</v>
      </c>
      <c r="E524" s="90">
        <f t="shared" si="192"/>
        <v>-1.4057282378427516E-2</v>
      </c>
      <c r="F524" s="90">
        <f t="shared" si="192"/>
        <v>4.2101361012549798E-3</v>
      </c>
      <c r="G524" s="90">
        <f t="shared" si="192"/>
        <v>-6.9882898926123538E-3</v>
      </c>
      <c r="H524" s="90">
        <f t="shared" si="192"/>
        <v>1.2812782634910924E-2</v>
      </c>
      <c r="I524" s="90">
        <f t="shared" si="192"/>
        <v>1.5920784389865217E-2</v>
      </c>
      <c r="J524" s="90">
        <f t="shared" si="192"/>
        <v>-2.9779156863413703E-2</v>
      </c>
      <c r="K524" s="90">
        <f t="shared" si="192"/>
        <v>-5.5376019197253545E-2</v>
      </c>
      <c r="L524" s="90">
        <f t="shared" si="192"/>
        <v>-2.9165506054300572E-3</v>
      </c>
      <c r="M524" s="90">
        <f t="shared" si="192"/>
        <v>-2.3040918741555672E-2</v>
      </c>
      <c r="N524" s="81">
        <f t="shared" si="192"/>
        <v>-4.4735800284110838E-2</v>
      </c>
    </row>
    <row r="525" spans="2:14" hidden="1" outlineLevel="1" x14ac:dyDescent="0.3">
      <c r="B525" s="48">
        <v>44934</v>
      </c>
      <c r="C525" s="90">
        <f t="shared" ref="C525:N525" si="193">C258/C257-1</f>
        <v>-3.9411681500363116E-3</v>
      </c>
      <c r="D525" s="90">
        <f t="shared" si="193"/>
        <v>-2.0179717673592501E-2</v>
      </c>
      <c r="E525" s="90">
        <f t="shared" si="193"/>
        <v>-1.6515632492276389E-2</v>
      </c>
      <c r="F525" s="90">
        <f t="shared" si="193"/>
        <v>-1.4357284113381663E-2</v>
      </c>
      <c r="G525" s="90">
        <f t="shared" si="193"/>
        <v>-2.7081125632874015E-2</v>
      </c>
      <c r="H525" s="90">
        <f t="shared" si="193"/>
        <v>-2.2920077392469151E-2</v>
      </c>
      <c r="I525" s="90">
        <f t="shared" si="193"/>
        <v>-4.1423793597706648E-2</v>
      </c>
      <c r="J525" s="90">
        <f t="shared" si="193"/>
        <v>4.5454012956736012E-3</v>
      </c>
      <c r="K525" s="90">
        <f t="shared" si="193"/>
        <v>-7.3460967921379461E-2</v>
      </c>
      <c r="L525" s="90">
        <f t="shared" si="193"/>
        <v>1.3458662678914601E-2</v>
      </c>
      <c r="M525" s="90">
        <f t="shared" si="193"/>
        <v>5.235472797767482E-3</v>
      </c>
      <c r="N525" s="81">
        <f t="shared" si="193"/>
        <v>-5.3035104826913648E-2</v>
      </c>
    </row>
    <row r="526" spans="2:14" hidden="1" outlineLevel="1" x14ac:dyDescent="0.3">
      <c r="B526" s="48">
        <v>44927</v>
      </c>
      <c r="C526" s="90">
        <f t="shared" ref="C526:N526" si="194">C259/C258-1</f>
        <v>-5.4102669770444978E-3</v>
      </c>
      <c r="D526" s="90">
        <f t="shared" si="194"/>
        <v>-3.3777163347301964E-2</v>
      </c>
      <c r="E526" s="90">
        <f t="shared" si="194"/>
        <v>-4.8302187222276971E-2</v>
      </c>
      <c r="F526" s="90">
        <f t="shared" si="194"/>
        <v>-3.6676876981313722E-2</v>
      </c>
      <c r="G526" s="90">
        <f t="shared" si="194"/>
        <v>-4.1752390173060761E-2</v>
      </c>
      <c r="H526" s="90">
        <f t="shared" si="194"/>
        <v>-3.0210713379030141E-2</v>
      </c>
      <c r="I526" s="90">
        <f t="shared" si="194"/>
        <v>-1.6946618152818615E-2</v>
      </c>
      <c r="J526" s="90">
        <f t="shared" si="194"/>
        <v>-2.0956512612391842E-2</v>
      </c>
      <c r="K526" s="90">
        <f t="shared" si="194"/>
        <v>-3.8444412201748102E-2</v>
      </c>
      <c r="L526" s="90">
        <f t="shared" si="194"/>
        <v>-2.8311064988973844E-2</v>
      </c>
      <c r="M526" s="90">
        <f t="shared" si="194"/>
        <v>-2.827662449330548E-2</v>
      </c>
      <c r="N526" s="81">
        <f t="shared" si="194"/>
        <v>4.260577430524437E-3</v>
      </c>
    </row>
    <row r="527" spans="2:14" hidden="1" outlineLevel="1" x14ac:dyDescent="0.3">
      <c r="B527" s="48">
        <v>44920</v>
      </c>
      <c r="C527" s="90">
        <f t="shared" ref="C527:N527" si="195">C260/C259-1</f>
        <v>1.3765821455867799E-2</v>
      </c>
      <c r="D527" s="90">
        <f t="shared" si="195"/>
        <v>2.3795939756299456E-2</v>
      </c>
      <c r="E527" s="90">
        <f t="shared" si="195"/>
        <v>1.4055918887458496E-2</v>
      </c>
      <c r="F527" s="90">
        <f t="shared" si="195"/>
        <v>4.1218289618017323E-2</v>
      </c>
      <c r="G527" s="90">
        <f t="shared" si="195"/>
        <v>6.2952960149222914E-3</v>
      </c>
      <c r="H527" s="90">
        <f t="shared" si="195"/>
        <v>2.8167539267015762E-2</v>
      </c>
      <c r="I527" s="90">
        <f t="shared" si="195"/>
        <v>3.0674846625766916E-2</v>
      </c>
      <c r="J527" s="90">
        <f t="shared" si="195"/>
        <v>3.997522393748798E-2</v>
      </c>
      <c r="K527" s="90">
        <f t="shared" si="195"/>
        <v>4.9326444281410087E-3</v>
      </c>
      <c r="L527" s="90">
        <f t="shared" si="195"/>
        <v>9.0278009545103899E-3</v>
      </c>
      <c r="M527" s="90">
        <f t="shared" si="195"/>
        <v>-2.4776255245992918E-3</v>
      </c>
      <c r="N527" s="81">
        <f t="shared" si="195"/>
        <v>-4.3322225070494547E-3</v>
      </c>
    </row>
    <row r="528" spans="2:14" hidden="1" outlineLevel="1" x14ac:dyDescent="0.3">
      <c r="B528" s="48">
        <v>44913</v>
      </c>
      <c r="C528" s="90">
        <f t="shared" ref="C528:N528" si="196">C261/C260-1</f>
        <v>-1.6486885055757128E-2</v>
      </c>
      <c r="D528" s="90">
        <f t="shared" si="196"/>
        <v>-1.3439103896693783E-2</v>
      </c>
      <c r="E528" s="90">
        <f t="shared" si="196"/>
        <v>-8.7035485665685197E-3</v>
      </c>
      <c r="F528" s="90">
        <f t="shared" si="196"/>
        <v>-7.3612268711451545E-3</v>
      </c>
      <c r="G528" s="90">
        <f t="shared" si="196"/>
        <v>-8.3701801471296466E-3</v>
      </c>
      <c r="H528" s="90">
        <f t="shared" si="196"/>
        <v>-3.8496791934005459E-2</v>
      </c>
      <c r="I528" s="90">
        <f t="shared" si="196"/>
        <v>-2.031680440771344E-2</v>
      </c>
      <c r="J528" s="90">
        <f t="shared" si="196"/>
        <v>-2.2643973060887723E-2</v>
      </c>
      <c r="K528" s="90">
        <f t="shared" si="196"/>
        <v>-9.4388957061566359E-3</v>
      </c>
      <c r="L528" s="90">
        <f t="shared" si="196"/>
        <v>-1.2072700812013171E-2</v>
      </c>
      <c r="M528" s="90">
        <f t="shared" si="196"/>
        <v>-2.7042781832927743E-2</v>
      </c>
      <c r="N528" s="81">
        <f t="shared" si="196"/>
        <v>-3.8271414227234124E-2</v>
      </c>
    </row>
    <row r="529" spans="2:14" hidden="1" outlineLevel="1" x14ac:dyDescent="0.3">
      <c r="B529" s="48">
        <v>44906</v>
      </c>
      <c r="C529" s="90">
        <f t="shared" ref="C529:N529" si="197">C262/C261-1</f>
        <v>2.5956376215827692E-2</v>
      </c>
      <c r="D529" s="90">
        <f t="shared" si="197"/>
        <v>1.6473038082944313E-2</v>
      </c>
      <c r="E529" s="90">
        <f t="shared" si="197"/>
        <v>3.686811343637908E-3</v>
      </c>
      <c r="F529" s="90">
        <f t="shared" si="197"/>
        <v>1.6766193550120656E-2</v>
      </c>
      <c r="G529" s="90">
        <f t="shared" si="197"/>
        <v>-9.2488925668110511E-4</v>
      </c>
      <c r="H529" s="90">
        <f t="shared" si="197"/>
        <v>3.2094057832856793E-2</v>
      </c>
      <c r="I529" s="90">
        <f t="shared" si="197"/>
        <v>2.5156916896811321E-2</v>
      </c>
      <c r="J529" s="90">
        <f t="shared" si="197"/>
        <v>1.6359822338892105E-2</v>
      </c>
      <c r="K529" s="90">
        <f t="shared" si="197"/>
        <v>3.4947782180080766E-2</v>
      </c>
      <c r="L529" s="90">
        <f t="shared" si="197"/>
        <v>1.071362806970555E-2</v>
      </c>
      <c r="M529" s="90">
        <f t="shared" si="197"/>
        <v>-3.2821902107373901E-3</v>
      </c>
      <c r="N529" s="81">
        <f t="shared" si="197"/>
        <v>5.8132219679021269E-2</v>
      </c>
    </row>
    <row r="530" spans="2:14" hidden="1" outlineLevel="1" x14ac:dyDescent="0.3">
      <c r="B530" s="48">
        <v>44899</v>
      </c>
      <c r="C530" s="90">
        <f t="shared" ref="C530:N530" si="198">C263/C262-1</f>
        <v>1.2458262630685724E-2</v>
      </c>
      <c r="D530" s="90">
        <f t="shared" si="198"/>
        <v>1.6244399384019337E-2</v>
      </c>
      <c r="E530" s="90">
        <f t="shared" si="198"/>
        <v>1.620030401681416E-2</v>
      </c>
      <c r="F530" s="90">
        <f t="shared" si="198"/>
        <v>3.0944657686285515E-2</v>
      </c>
      <c r="G530" s="90">
        <f t="shared" si="198"/>
        <v>-2.0853634769051332E-3</v>
      </c>
      <c r="H530" s="90">
        <f t="shared" si="198"/>
        <v>1.098111658456502E-2</v>
      </c>
      <c r="I530" s="90">
        <f t="shared" si="198"/>
        <v>1.4204545454545414E-2</v>
      </c>
      <c r="J530" s="90">
        <f t="shared" si="198"/>
        <v>1.5081808433359711E-2</v>
      </c>
      <c r="K530" s="90">
        <f t="shared" si="198"/>
        <v>-3.2121212121211107E-3</v>
      </c>
      <c r="L530" s="90">
        <f t="shared" si="198"/>
        <v>9.3081802673202763E-3</v>
      </c>
      <c r="M530" s="90">
        <f t="shared" si="198"/>
        <v>4.3985050832396677E-2</v>
      </c>
      <c r="N530" s="81">
        <f t="shared" si="198"/>
        <v>-1.9076051206800448E-2</v>
      </c>
    </row>
    <row r="531" spans="2:14" hidden="1" outlineLevel="1" x14ac:dyDescent="0.3">
      <c r="B531" s="48">
        <v>44892</v>
      </c>
      <c r="C531" s="90">
        <f t="shared" ref="C531:N531" si="199">C264/C263-1</f>
        <v>1.0785766032676225E-2</v>
      </c>
      <c r="D531" s="90">
        <f t="shared" si="199"/>
        <v>6.457833721023909E-2</v>
      </c>
      <c r="E531" s="90">
        <f t="shared" si="199"/>
        <v>4.4461240702322602E-2</v>
      </c>
      <c r="F531" s="90">
        <f t="shared" si="199"/>
        <v>4.3710069144061947E-2</v>
      </c>
      <c r="G531" s="90">
        <f t="shared" si="199"/>
        <v>0.10515985391480975</v>
      </c>
      <c r="H531" s="90">
        <f t="shared" si="199"/>
        <v>4.65942543904172E-2</v>
      </c>
      <c r="I531" s="90">
        <f t="shared" si="199"/>
        <v>7.6741041244083874E-2</v>
      </c>
      <c r="J531" s="90">
        <f t="shared" si="199"/>
        <v>0.15084909411029712</v>
      </c>
      <c r="K531" s="90">
        <f t="shared" si="199"/>
        <v>9.8503273139985081E-2</v>
      </c>
      <c r="L531" s="90">
        <f t="shared" si="199"/>
        <v>5.6400662958040026E-2</v>
      </c>
      <c r="M531" s="90">
        <f t="shared" si="199"/>
        <v>8.0133179792720055E-2</v>
      </c>
      <c r="N531" s="81">
        <f t="shared" si="199"/>
        <v>9.2927886103373547E-2</v>
      </c>
    </row>
    <row r="532" spans="2:14" hidden="1" outlineLevel="1" x14ac:dyDescent="0.3">
      <c r="B532" s="48">
        <v>44885</v>
      </c>
      <c r="C532" s="90">
        <f t="shared" ref="C532:N532" si="200">C265/C264-1</f>
        <v>-9.8068581147938705E-3</v>
      </c>
      <c r="D532" s="90">
        <f t="shared" si="200"/>
        <v>-2.3106327752390299E-2</v>
      </c>
      <c r="E532" s="90">
        <f t="shared" si="200"/>
        <v>-1.4391386363154735E-2</v>
      </c>
      <c r="F532" s="90">
        <f t="shared" si="200"/>
        <v>-1.3753131293285925E-3</v>
      </c>
      <c r="G532" s="90">
        <f t="shared" si="200"/>
        <v>-6.4766953832559038E-3</v>
      </c>
      <c r="H532" s="90">
        <f t="shared" si="200"/>
        <v>-2.3278370514063895E-2</v>
      </c>
      <c r="I532" s="90">
        <f t="shared" si="200"/>
        <v>-3.1038349405696275E-2</v>
      </c>
      <c r="J532" s="90">
        <f t="shared" si="200"/>
        <v>-2.5159157084340911E-2</v>
      </c>
      <c r="K532" s="90">
        <f t="shared" si="200"/>
        <v>-8.6174211849357807E-2</v>
      </c>
      <c r="L532" s="90">
        <f t="shared" si="200"/>
        <v>-5.2643842425748821E-2</v>
      </c>
      <c r="M532" s="90">
        <f t="shared" si="200"/>
        <v>-7.7780610471179901E-2</v>
      </c>
      <c r="N532" s="81">
        <f t="shared" si="200"/>
        <v>-6.907374631268437E-2</v>
      </c>
    </row>
    <row r="533" spans="2:14" hidden="1" outlineLevel="1" x14ac:dyDescent="0.3">
      <c r="B533" s="48">
        <v>44878</v>
      </c>
      <c r="C533" s="90">
        <f t="shared" ref="C533:N533" si="201">C266/C265-1</f>
        <v>-1.1078851062105821E-2</v>
      </c>
      <c r="D533" s="90">
        <f t="shared" si="201"/>
        <v>-2.1933699471890167E-2</v>
      </c>
      <c r="E533" s="90">
        <f t="shared" si="201"/>
        <v>-1.3630750136706782E-2</v>
      </c>
      <c r="F533" s="90">
        <f t="shared" si="201"/>
        <v>-2.5828783630908458E-2</v>
      </c>
      <c r="G533" s="90">
        <f t="shared" si="201"/>
        <v>-2.2198111026129008E-2</v>
      </c>
      <c r="H533" s="90">
        <f t="shared" si="201"/>
        <v>-2.219463753723927E-2</v>
      </c>
      <c r="I533" s="90">
        <f t="shared" si="201"/>
        <v>-1.7867888719159564E-2</v>
      </c>
      <c r="J533" s="90">
        <f t="shared" si="201"/>
        <v>-8.5859506307839339E-3</v>
      </c>
      <c r="K533" s="90">
        <f t="shared" si="201"/>
        <v>-5.9498692724684887E-2</v>
      </c>
      <c r="L533" s="90">
        <f t="shared" si="201"/>
        <v>8.4444225818616214E-3</v>
      </c>
      <c r="M533" s="90">
        <f t="shared" si="201"/>
        <v>-2.0582543791309638E-2</v>
      </c>
      <c r="N533" s="81">
        <f t="shared" si="201"/>
        <v>-3.4488440478604776E-2</v>
      </c>
    </row>
    <row r="534" spans="2:14" hidden="1" outlineLevel="1" x14ac:dyDescent="0.3">
      <c r="B534" s="48">
        <v>44871</v>
      </c>
      <c r="C534" s="90">
        <f t="shared" ref="C534:N534" si="202">C267/C266-1</f>
        <v>2.296854047351804E-3</v>
      </c>
      <c r="D534" s="90">
        <f t="shared" si="202"/>
        <v>-2.6053911035835986E-3</v>
      </c>
      <c r="E534" s="90">
        <f t="shared" si="202"/>
        <v>-8.2254412492952511E-3</v>
      </c>
      <c r="F534" s="90">
        <f t="shared" si="202"/>
        <v>-1.4623186302044289E-2</v>
      </c>
      <c r="G534" s="90">
        <f t="shared" si="202"/>
        <v>-1.1332836119549605E-2</v>
      </c>
      <c r="H534" s="90">
        <f t="shared" si="202"/>
        <v>1.4827603717056714E-2</v>
      </c>
      <c r="I534" s="90">
        <f t="shared" si="202"/>
        <v>-2.0266767214968118E-3</v>
      </c>
      <c r="J534" s="90">
        <f t="shared" si="202"/>
        <v>3.3109336383504662E-2</v>
      </c>
      <c r="K534" s="90">
        <f t="shared" si="202"/>
        <v>3.5742269258429715E-3</v>
      </c>
      <c r="L534" s="90">
        <f t="shared" si="202"/>
        <v>1.4796266788072998E-3</v>
      </c>
      <c r="M534" s="90">
        <f t="shared" si="202"/>
        <v>4.0054398029354399E-2</v>
      </c>
      <c r="N534" s="81">
        <f t="shared" si="202"/>
        <v>2.3340991138824929E-2</v>
      </c>
    </row>
    <row r="535" spans="2:14" hidden="1" outlineLevel="1" x14ac:dyDescent="0.3">
      <c r="B535" s="48">
        <v>44864</v>
      </c>
      <c r="C535" s="90">
        <f t="shared" ref="C535:N535" si="203">C268/C267-1</f>
        <v>-1.2673231714959932E-2</v>
      </c>
      <c r="D535" s="90">
        <f t="shared" si="203"/>
        <v>-3.0376504420965844E-2</v>
      </c>
      <c r="E535" s="90">
        <f t="shared" si="203"/>
        <v>-2.9720257759801139E-2</v>
      </c>
      <c r="F535" s="90">
        <f t="shared" si="203"/>
        <v>-3.5726638058028559E-2</v>
      </c>
      <c r="G535" s="90">
        <f t="shared" si="203"/>
        <v>-4.1536338546458218E-2</v>
      </c>
      <c r="H535" s="90">
        <f t="shared" si="203"/>
        <v>-2.2917187890918123E-2</v>
      </c>
      <c r="I535" s="90">
        <f t="shared" si="203"/>
        <v>-2.1771984509303843E-2</v>
      </c>
      <c r="J535" s="90">
        <f t="shared" si="203"/>
        <v>-4.9644128113879082E-2</v>
      </c>
      <c r="K535" s="90">
        <f t="shared" si="203"/>
        <v>-1.3326203208556153E-2</v>
      </c>
      <c r="L535" s="90">
        <f t="shared" si="203"/>
        <v>-2.3557871836085376E-2</v>
      </c>
      <c r="M535" s="90">
        <f t="shared" si="203"/>
        <v>-2.8051217526460004E-2</v>
      </c>
      <c r="N535" s="81">
        <f t="shared" si="203"/>
        <v>-4.093492232499063E-2</v>
      </c>
    </row>
    <row r="536" spans="2:14" hidden="1" outlineLevel="1" x14ac:dyDescent="0.3">
      <c r="B536" s="48">
        <v>44857</v>
      </c>
      <c r="C536" s="90">
        <f t="shared" ref="C536:N536" si="204">C269/C268-1</f>
        <v>-1.8234104149935426E-2</v>
      </c>
      <c r="D536" s="90">
        <f t="shared" si="204"/>
        <v>-1.305891147856364E-2</v>
      </c>
      <c r="E536" s="90">
        <f t="shared" si="204"/>
        <v>-1.6830004013308697E-2</v>
      </c>
      <c r="F536" s="90">
        <f t="shared" si="204"/>
        <v>-4.981667463733741E-4</v>
      </c>
      <c r="G536" s="90">
        <f t="shared" si="204"/>
        <v>-1.4685415366895382E-2</v>
      </c>
      <c r="H536" s="90">
        <f t="shared" si="204"/>
        <v>-1.8640856250320192E-2</v>
      </c>
      <c r="I536" s="90">
        <f t="shared" si="204"/>
        <v>-4.460966542751077E-3</v>
      </c>
      <c r="J536" s="90">
        <f t="shared" si="204"/>
        <v>-4.6339636772140036E-2</v>
      </c>
      <c r="K536" s="90">
        <f t="shared" si="204"/>
        <v>-2.0671190409087936E-2</v>
      </c>
      <c r="L536" s="90">
        <f t="shared" si="204"/>
        <v>-3.7976788267766182E-2</v>
      </c>
      <c r="M536" s="90">
        <f t="shared" si="204"/>
        <v>-1.1143263275459447E-2</v>
      </c>
      <c r="N536" s="81">
        <f t="shared" si="204"/>
        <v>-4.280249324524199E-4</v>
      </c>
    </row>
    <row r="537" spans="2:14" hidden="1" outlineLevel="1" x14ac:dyDescent="0.3">
      <c r="B537" s="48">
        <v>44850</v>
      </c>
      <c r="C537" s="90">
        <f t="shared" ref="C537:N537" si="205">C270/C269-1</f>
        <v>-1.1834618930892549E-2</v>
      </c>
      <c r="D537" s="90">
        <f t="shared" si="205"/>
        <v>6.5681792901073344E-4</v>
      </c>
      <c r="E537" s="90">
        <f t="shared" si="205"/>
        <v>-8.1706016354370359E-3</v>
      </c>
      <c r="F537" s="90">
        <f t="shared" si="205"/>
        <v>-8.4265369458456085E-3</v>
      </c>
      <c r="G537" s="90">
        <f t="shared" si="205"/>
        <v>-2.7178413131362378E-3</v>
      </c>
      <c r="H537" s="90">
        <f t="shared" si="205"/>
        <v>-1.8786202577883993E-3</v>
      </c>
      <c r="I537" s="90">
        <f t="shared" si="205"/>
        <v>-7.439162778968611E-3</v>
      </c>
      <c r="J537" s="90">
        <f t="shared" si="205"/>
        <v>3.9505688077397183E-2</v>
      </c>
      <c r="K537" s="90">
        <f t="shared" si="205"/>
        <v>1.2202950845075167E-2</v>
      </c>
      <c r="L537" s="90">
        <f t="shared" si="205"/>
        <v>8.261606000898869E-3</v>
      </c>
      <c r="M537" s="90">
        <f t="shared" si="205"/>
        <v>4.882306132402392E-2</v>
      </c>
      <c r="N537" s="81">
        <f t="shared" si="205"/>
        <v>3.3614344975244181E-2</v>
      </c>
    </row>
    <row r="538" spans="2:14" hidden="1" outlineLevel="1" x14ac:dyDescent="0.3">
      <c r="B538" s="48">
        <v>44843</v>
      </c>
      <c r="C538" s="90">
        <f t="shared" ref="C538:N538" si="206">C271/C270-1</f>
        <v>-2.2223107252379526E-2</v>
      </c>
      <c r="D538" s="90">
        <f t="shared" si="206"/>
        <v>-1.3512392829856501E-2</v>
      </c>
      <c r="E538" s="90">
        <f t="shared" si="206"/>
        <v>-1.21909124099705E-2</v>
      </c>
      <c r="F538" s="90">
        <f t="shared" si="206"/>
        <v>-1.749224242505476E-2</v>
      </c>
      <c r="G538" s="90">
        <f t="shared" si="206"/>
        <v>-2.3999765570055454E-2</v>
      </c>
      <c r="H538" s="90">
        <f t="shared" si="206"/>
        <v>-1.369791394363995E-2</v>
      </c>
      <c r="I538" s="90">
        <f t="shared" si="206"/>
        <v>-2.0462007504690516E-2</v>
      </c>
      <c r="J538" s="90">
        <f t="shared" si="206"/>
        <v>-2.0292744347096159E-2</v>
      </c>
      <c r="K538" s="90">
        <f t="shared" si="206"/>
        <v>-4.9918260898091926E-3</v>
      </c>
      <c r="L538" s="90">
        <f t="shared" si="206"/>
        <v>1.0456664838178753E-2</v>
      </c>
      <c r="M538" s="90">
        <f t="shared" si="206"/>
        <v>3.0715387062825616E-2</v>
      </c>
      <c r="N538" s="81">
        <f t="shared" si="206"/>
        <v>-3.1097071541389409E-2</v>
      </c>
    </row>
    <row r="539" spans="2:14" hidden="1" outlineLevel="1" x14ac:dyDescent="0.3">
      <c r="B539" s="48">
        <v>44836</v>
      </c>
      <c r="C539" s="90">
        <f t="shared" ref="C539:N539" si="207">C272/C271-1</f>
        <v>7.5033312579644296E-3</v>
      </c>
      <c r="D539" s="90">
        <f t="shared" si="207"/>
        <v>-7.8861560310581336E-3</v>
      </c>
      <c r="E539" s="90">
        <f t="shared" si="207"/>
        <v>-1.1051116031678299E-2</v>
      </c>
      <c r="F539" s="90">
        <f t="shared" si="207"/>
        <v>-1.5634485910545171E-2</v>
      </c>
      <c r="G539" s="90">
        <f t="shared" si="207"/>
        <v>-4.4736236351444747E-2</v>
      </c>
      <c r="H539" s="90">
        <f t="shared" si="207"/>
        <v>8.163265306122458E-2</v>
      </c>
      <c r="I539" s="90">
        <f t="shared" si="207"/>
        <v>3.9304882185111634E-3</v>
      </c>
      <c r="J539" s="90">
        <f t="shared" si="207"/>
        <v>-4.9908429812254296E-3</v>
      </c>
      <c r="K539" s="90">
        <f t="shared" si="207"/>
        <v>-4.3360478278548831E-2</v>
      </c>
      <c r="L539" s="90">
        <f t="shared" si="207"/>
        <v>7.0233773284023027E-3</v>
      </c>
      <c r="M539" s="90">
        <f t="shared" si="207"/>
        <v>6.0549935888303263E-3</v>
      </c>
      <c r="N539" s="81">
        <f t="shared" si="207"/>
        <v>-3.727952966328163E-2</v>
      </c>
    </row>
    <row r="540" spans="2:14" hidden="1" outlineLevel="1" x14ac:dyDescent="0.3">
      <c r="B540" s="48">
        <v>44829</v>
      </c>
      <c r="C540" s="90">
        <f t="shared" ref="C540:N540" si="208">C273/C272-1</f>
        <v>-1.2723329665918937E-2</v>
      </c>
      <c r="D540" s="90">
        <f t="shared" si="208"/>
        <v>-2.7131349698560459E-2</v>
      </c>
      <c r="E540" s="90">
        <f t="shared" si="208"/>
        <v>-1.9692316055557102E-2</v>
      </c>
      <c r="F540" s="90">
        <f t="shared" si="208"/>
        <v>-2.6013984075616503E-2</v>
      </c>
      <c r="G540" s="90">
        <f t="shared" si="208"/>
        <v>-2.6464394598162411E-2</v>
      </c>
      <c r="H540" s="90">
        <f t="shared" si="208"/>
        <v>-3.3913256554766069E-2</v>
      </c>
      <c r="I540" s="90">
        <f t="shared" si="208"/>
        <v>-1.4895266107555982E-2</v>
      </c>
      <c r="J540" s="90">
        <f t="shared" si="208"/>
        <v>-4.03422851299714E-2</v>
      </c>
      <c r="K540" s="90">
        <f t="shared" si="208"/>
        <v>-7.108762457279072E-2</v>
      </c>
      <c r="L540" s="90">
        <f t="shared" si="208"/>
        <v>4.8854447439352633E-3</v>
      </c>
      <c r="M540" s="90">
        <f t="shared" si="208"/>
        <v>-1.4538931766149621E-2</v>
      </c>
      <c r="N540" s="81">
        <f t="shared" si="208"/>
        <v>-6.6773074253990261E-2</v>
      </c>
    </row>
    <row r="541" spans="2:14" hidden="1" outlineLevel="1" x14ac:dyDescent="0.3">
      <c r="B541" s="48">
        <v>44822</v>
      </c>
      <c r="C541" s="90">
        <f t="shared" ref="C541:N541" si="209">C274/C273-1</f>
        <v>1.3630234551182063E-2</v>
      </c>
      <c r="D541" s="90">
        <f t="shared" si="209"/>
        <v>-1.4410060356953025E-2</v>
      </c>
      <c r="E541" s="90">
        <f t="shared" si="209"/>
        <v>-7.4896371979538134E-3</v>
      </c>
      <c r="F541" s="90">
        <f t="shared" si="209"/>
        <v>-3.3958720198074777E-2</v>
      </c>
      <c r="G541" s="90">
        <f t="shared" si="209"/>
        <v>-3.9150694661171048E-2</v>
      </c>
      <c r="H541" s="90">
        <f t="shared" si="209"/>
        <v>2.5363973012737517E-4</v>
      </c>
      <c r="I541" s="90">
        <f t="shared" si="209"/>
        <v>2.6266681461008412E-2</v>
      </c>
      <c r="J541" s="90">
        <f t="shared" si="209"/>
        <v>-8.9617192144196833E-3</v>
      </c>
      <c r="K541" s="90">
        <f t="shared" si="209"/>
        <v>-2.8753578738428986E-2</v>
      </c>
      <c r="L541" s="90">
        <f t="shared" si="209"/>
        <v>3.7552388935455649E-3</v>
      </c>
      <c r="M541" s="90">
        <f t="shared" si="209"/>
        <v>-3.2668311259071214E-2</v>
      </c>
      <c r="N541" s="81">
        <f t="shared" si="209"/>
        <v>-7.5551391305641591E-3</v>
      </c>
    </row>
    <row r="542" spans="2:14" hidden="1" outlineLevel="1" x14ac:dyDescent="0.3">
      <c r="B542" s="48">
        <v>44815</v>
      </c>
      <c r="C542" s="90">
        <f t="shared" ref="C542:N542" si="210">C275/C274-1</f>
        <v>1.1744438705283855E-2</v>
      </c>
      <c r="D542" s="90">
        <f t="shared" si="210"/>
        <v>4.2907076659266519E-3</v>
      </c>
      <c r="E542" s="90">
        <f t="shared" si="210"/>
        <v>8.9394526680424136E-3</v>
      </c>
      <c r="F542" s="90">
        <f t="shared" si="210"/>
        <v>8.4916777139489863E-3</v>
      </c>
      <c r="G542" s="90">
        <f t="shared" si="210"/>
        <v>1.1760094080752737E-3</v>
      </c>
      <c r="H542" s="90">
        <f t="shared" si="210"/>
        <v>1.8460290090272835E-2</v>
      </c>
      <c r="I542" s="90">
        <f t="shared" si="210"/>
        <v>-1.8281715336000426E-3</v>
      </c>
      <c r="J542" s="90">
        <f t="shared" si="210"/>
        <v>-8.691912447090111E-3</v>
      </c>
      <c r="K542" s="90">
        <f t="shared" si="210"/>
        <v>4.1574085274624917E-3</v>
      </c>
      <c r="L542" s="90">
        <f t="shared" si="210"/>
        <v>1.4296689715068478E-2</v>
      </c>
      <c r="M542" s="90">
        <f t="shared" si="210"/>
        <v>-1.5350714303400403E-3</v>
      </c>
      <c r="N542" s="81">
        <f t="shared" si="210"/>
        <v>-1.6559020545173886E-2</v>
      </c>
    </row>
    <row r="543" spans="2:14" hidden="1" outlineLevel="1" x14ac:dyDescent="0.3">
      <c r="B543" s="48">
        <v>44808</v>
      </c>
      <c r="C543" s="90">
        <f t="shared" ref="C543:N543" si="211">C276/C275-1</f>
        <v>1.7255295664500014E-2</v>
      </c>
      <c r="D543" s="90">
        <f t="shared" si="211"/>
        <v>7.5547292882431005E-2</v>
      </c>
      <c r="E543" s="90">
        <f t="shared" si="211"/>
        <v>6.9445646192343613E-2</v>
      </c>
      <c r="F543" s="90">
        <f t="shared" si="211"/>
        <v>9.7748533954561845E-2</v>
      </c>
      <c r="G543" s="90">
        <f t="shared" si="211"/>
        <v>5.7523212887347741E-2</v>
      </c>
      <c r="H543" s="90">
        <f t="shared" si="211"/>
        <v>3.8591773727716383E-2</v>
      </c>
      <c r="I543" s="90">
        <f t="shared" si="211"/>
        <v>9.0443601989070199E-2</v>
      </c>
      <c r="J543" s="90">
        <f t="shared" si="211"/>
        <v>6.7153784678616324E-2</v>
      </c>
      <c r="K543" s="90">
        <f t="shared" si="211"/>
        <v>7.3439342640849059E-2</v>
      </c>
      <c r="L543" s="90">
        <f t="shared" si="211"/>
        <v>4.4607278116252314E-2</v>
      </c>
      <c r="M543" s="90">
        <f t="shared" si="211"/>
        <v>6.3729015299923031E-2</v>
      </c>
      <c r="N543" s="81">
        <f t="shared" si="211"/>
        <v>8.7358668820284757E-2</v>
      </c>
    </row>
    <row r="544" spans="2:14" hidden="1" outlineLevel="1" x14ac:dyDescent="0.3">
      <c r="B544" s="48">
        <v>44801</v>
      </c>
      <c r="C544" s="90">
        <f t="shared" ref="C544:N544" si="212">C277/C276-1</f>
        <v>-1.6480358429571407E-2</v>
      </c>
      <c r="D544" s="90">
        <f t="shared" si="212"/>
        <v>-3.4056826944668273E-2</v>
      </c>
      <c r="E544" s="90">
        <f t="shared" si="212"/>
        <v>-2.7113619593781224E-2</v>
      </c>
      <c r="F544" s="90">
        <f t="shared" si="212"/>
        <v>-3.8797748772602225E-2</v>
      </c>
      <c r="G544" s="90">
        <f t="shared" si="212"/>
        <v>-2.5356493039394135E-2</v>
      </c>
      <c r="H544" s="90">
        <f t="shared" si="212"/>
        <v>-2.2630291988301243E-2</v>
      </c>
      <c r="I544" s="90">
        <f t="shared" si="212"/>
        <v>-6.2353259888026202E-2</v>
      </c>
      <c r="J544" s="90">
        <f t="shared" si="212"/>
        <v>-3.2437521396782021E-2</v>
      </c>
      <c r="K544" s="90">
        <f t="shared" si="212"/>
        <v>6.2490771093588471E-3</v>
      </c>
      <c r="L544" s="90">
        <f t="shared" si="212"/>
        <v>-7.6451394252746718E-3</v>
      </c>
      <c r="M544" s="90">
        <f t="shared" si="212"/>
        <v>-3.3568781033638695E-2</v>
      </c>
      <c r="N544" s="81">
        <f t="shared" si="212"/>
        <v>-2.8125394133886483E-2</v>
      </c>
    </row>
    <row r="545" spans="2:14" hidden="1" outlineLevel="1" x14ac:dyDescent="0.3">
      <c r="B545" s="48">
        <v>44794</v>
      </c>
      <c r="C545" s="90">
        <f t="shared" ref="C545:N545" si="213">C278/C277-1</f>
        <v>1.1089287292360694E-3</v>
      </c>
      <c r="D545" s="90">
        <f t="shared" si="213"/>
        <v>3.4088042154127862E-2</v>
      </c>
      <c r="E545" s="90">
        <f t="shared" si="213"/>
        <v>2.9322928101444434E-2</v>
      </c>
      <c r="F545" s="90">
        <f t="shared" si="213"/>
        <v>4.7174120676051645E-2</v>
      </c>
      <c r="G545" s="90">
        <f t="shared" si="213"/>
        <v>2.2933738535844128E-2</v>
      </c>
      <c r="H545" s="90">
        <f t="shared" si="213"/>
        <v>2.3448614177091098E-2</v>
      </c>
      <c r="I545" s="90">
        <f t="shared" si="213"/>
        <v>2.759185245822704E-2</v>
      </c>
      <c r="J545" s="90">
        <f t="shared" si="213"/>
        <v>3.0285272003538255E-2</v>
      </c>
      <c r="K545" s="90">
        <f t="shared" si="213"/>
        <v>3.2536407553283242E-2</v>
      </c>
      <c r="L545" s="90">
        <f t="shared" si="213"/>
        <v>2.5907805699399544E-2</v>
      </c>
      <c r="M545" s="90">
        <f t="shared" si="213"/>
        <v>4.4962250042212437E-2</v>
      </c>
      <c r="N545" s="81">
        <f t="shared" si="213"/>
        <v>5.6018571922943794E-2</v>
      </c>
    </row>
    <row r="546" spans="2:14" hidden="1" outlineLevel="1" x14ac:dyDescent="0.3">
      <c r="B546" s="48">
        <v>44787</v>
      </c>
      <c r="C546" s="90">
        <f t="shared" ref="C546:N546" si="214">C279/C278-1</f>
        <v>1.1364607122313908E-2</v>
      </c>
      <c r="D546" s="90">
        <f t="shared" si="214"/>
        <v>4.6860405135997985E-2</v>
      </c>
      <c r="E546" s="90">
        <f t="shared" si="214"/>
        <v>5.0757352964938995E-2</v>
      </c>
      <c r="F546" s="90">
        <f t="shared" si="214"/>
        <v>4.9655655576264834E-2</v>
      </c>
      <c r="G546" s="90">
        <f t="shared" si="214"/>
        <v>2.5804261098378634E-2</v>
      </c>
      <c r="H546" s="90">
        <f t="shared" si="214"/>
        <v>3.6428126348080347E-2</v>
      </c>
      <c r="I546" s="90">
        <f t="shared" si="214"/>
        <v>1.7132146204311027E-2</v>
      </c>
      <c r="J546" s="90">
        <f t="shared" si="214"/>
        <v>5.0172249111924305E-2</v>
      </c>
      <c r="K546" s="90">
        <f t="shared" si="214"/>
        <v>6.7553124964469857E-2</v>
      </c>
      <c r="L546" s="90">
        <f t="shared" si="214"/>
        <v>3.3707517225361805E-2</v>
      </c>
      <c r="M546" s="90">
        <f t="shared" si="214"/>
        <v>0.1053068950393572</v>
      </c>
      <c r="N546" s="81">
        <f t="shared" si="214"/>
        <v>7.1507571309583851E-2</v>
      </c>
    </row>
    <row r="547" spans="2:14" hidden="1" outlineLevel="1" x14ac:dyDescent="0.3">
      <c r="B547" s="48">
        <v>44780</v>
      </c>
      <c r="C547" s="90">
        <f t="shared" ref="C547:N547" si="215">C280/C279-1</f>
        <v>-3.3955666175820021E-3</v>
      </c>
      <c r="D547" s="90">
        <f t="shared" si="215"/>
        <v>-5.0006492187733009E-3</v>
      </c>
      <c r="E547" s="90">
        <f t="shared" si="215"/>
        <v>4.6687724327134639E-3</v>
      </c>
      <c r="F547" s="90">
        <f t="shared" si="215"/>
        <v>-1.8763970657683648E-3</v>
      </c>
      <c r="G547" s="90">
        <f t="shared" si="215"/>
        <v>-1.4067025237898156E-2</v>
      </c>
      <c r="H547" s="90">
        <f t="shared" si="215"/>
        <v>8.416963418582224E-3</v>
      </c>
      <c r="I547" s="90">
        <f t="shared" si="215"/>
        <v>-3.4636222910216619E-2</v>
      </c>
      <c r="J547" s="90">
        <f t="shared" si="215"/>
        <v>3.8220205612442548E-3</v>
      </c>
      <c r="K547" s="90">
        <f t="shared" si="215"/>
        <v>-1.0708827460607417E-2</v>
      </c>
      <c r="L547" s="90">
        <f t="shared" si="215"/>
        <v>1.1863035858721949E-2</v>
      </c>
      <c r="M547" s="90">
        <f t="shared" si="215"/>
        <v>-8.4372324206921645E-3</v>
      </c>
      <c r="N547" s="81">
        <f t="shared" si="215"/>
        <v>-3.3437826541274807E-2</v>
      </c>
    </row>
    <row r="548" spans="2:14" hidden="1" outlineLevel="1" x14ac:dyDescent="0.3">
      <c r="B548" s="48">
        <v>44773</v>
      </c>
      <c r="C548" s="90">
        <f t="shared" ref="C548:N548" si="216">C281/C280-1</f>
        <v>-1.6987651251684555E-2</v>
      </c>
      <c r="D548" s="90">
        <f t="shared" si="216"/>
        <v>2.9328211631571843E-3</v>
      </c>
      <c r="E548" s="90">
        <f t="shared" si="216"/>
        <v>-1.0732970669540154E-2</v>
      </c>
      <c r="F548" s="90">
        <f t="shared" si="216"/>
        <v>1.4143593431619195E-2</v>
      </c>
      <c r="G548" s="90">
        <f t="shared" si="216"/>
        <v>1.4057910197229351E-3</v>
      </c>
      <c r="H548" s="90">
        <f t="shared" si="216"/>
        <v>8.9429030038981061E-3</v>
      </c>
      <c r="I548" s="90">
        <f t="shared" si="216"/>
        <v>-7.2254197329364445E-3</v>
      </c>
      <c r="J548" s="90">
        <f t="shared" si="216"/>
        <v>2.840330659282575E-3</v>
      </c>
      <c r="K548" s="90">
        <f t="shared" si="216"/>
        <v>1.8543638105696036E-2</v>
      </c>
      <c r="L548" s="90">
        <f t="shared" si="216"/>
        <v>-3.5083044675370267E-3</v>
      </c>
      <c r="M548" s="90">
        <f t="shared" si="216"/>
        <v>8.8038922470987657E-3</v>
      </c>
      <c r="N548" s="81">
        <f t="shared" si="216"/>
        <v>3.7442320369149629E-2</v>
      </c>
    </row>
    <row r="549" spans="2:14" hidden="1" outlineLevel="1" x14ac:dyDescent="0.3">
      <c r="B549" s="48">
        <v>44766</v>
      </c>
      <c r="C549" s="90">
        <f t="shared" ref="C549:N549" si="217">C282/C281-1</f>
        <v>-1.3751975858600329E-2</v>
      </c>
      <c r="D549" s="90">
        <f t="shared" si="217"/>
        <v>-2.739915692335404E-2</v>
      </c>
      <c r="E549" s="90">
        <f t="shared" si="217"/>
        <v>-1.876522121237445E-2</v>
      </c>
      <c r="F549" s="90">
        <f t="shared" si="217"/>
        <v>-4.1409812203360263E-2</v>
      </c>
      <c r="G549" s="90">
        <f t="shared" si="217"/>
        <v>-9.7638653173255374E-3</v>
      </c>
      <c r="H549" s="90">
        <f t="shared" si="217"/>
        <v>-3.7045454545454604E-2</v>
      </c>
      <c r="I549" s="90">
        <f t="shared" si="217"/>
        <v>-9.027804484097901E-3</v>
      </c>
      <c r="J549" s="90">
        <f t="shared" si="217"/>
        <v>-3.9509882546418074E-2</v>
      </c>
      <c r="K549" s="90">
        <f t="shared" si="217"/>
        <v>-4.2082622091394906E-2</v>
      </c>
      <c r="L549" s="90">
        <f t="shared" si="217"/>
        <v>-6.5897173076637339E-2</v>
      </c>
      <c r="M549" s="90">
        <f t="shared" si="217"/>
        <v>-3.9689333361170753E-2</v>
      </c>
      <c r="N549" s="81">
        <f t="shared" si="217"/>
        <v>5.0324056423942665E-3</v>
      </c>
    </row>
    <row r="550" spans="2:14" hidden="1" outlineLevel="1" x14ac:dyDescent="0.3">
      <c r="B550" s="48">
        <v>44759</v>
      </c>
      <c r="C550" s="90">
        <f t="shared" ref="C550:N550" si="218">C283/C282-1</f>
        <v>-2.5573703611965093E-2</v>
      </c>
      <c r="D550" s="90">
        <f t="shared" si="218"/>
        <v>-3.3758914390974226E-2</v>
      </c>
      <c r="E550" s="90">
        <f t="shared" si="218"/>
        <v>-3.964211714765975E-2</v>
      </c>
      <c r="F550" s="90">
        <f t="shared" si="218"/>
        <v>-2.8007423654462738E-2</v>
      </c>
      <c r="G550" s="90">
        <f t="shared" si="218"/>
        <v>-2.9675631070015474E-2</v>
      </c>
      <c r="H550" s="90">
        <f t="shared" si="218"/>
        <v>-3.0304460703327818E-2</v>
      </c>
      <c r="I550" s="90">
        <f t="shared" si="218"/>
        <v>-1.9025350964850141E-2</v>
      </c>
      <c r="J550" s="90">
        <f t="shared" si="218"/>
        <v>-4.7761982772287603E-2</v>
      </c>
      <c r="K550" s="90">
        <f t="shared" si="218"/>
        <v>-2.7584684982873142E-5</v>
      </c>
      <c r="L550" s="90">
        <f t="shared" si="218"/>
        <v>2.8418759243650671E-2</v>
      </c>
      <c r="M550" s="90">
        <f t="shared" si="218"/>
        <v>-1.0153056787546855E-2</v>
      </c>
      <c r="N550" s="81">
        <f t="shared" si="218"/>
        <v>-5.762081784386619E-2</v>
      </c>
    </row>
    <row r="551" spans="2:14" hidden="1" outlineLevel="1" x14ac:dyDescent="0.3">
      <c r="B551" s="48">
        <v>44752</v>
      </c>
      <c r="C551" s="90">
        <f t="shared" ref="C551:N551" si="219">C284/C283-1</f>
        <v>-4.0088041173603206E-2</v>
      </c>
      <c r="D551" s="90">
        <f t="shared" si="219"/>
        <v>-5.9762533215706459E-2</v>
      </c>
      <c r="E551" s="90">
        <f t="shared" si="219"/>
        <v>-5.5632362068455898E-2</v>
      </c>
      <c r="F551" s="90">
        <f t="shared" si="219"/>
        <v>-5.042527339003644E-2</v>
      </c>
      <c r="G551" s="90">
        <f t="shared" si="219"/>
        <v>-4.0319679012614795E-2</v>
      </c>
      <c r="H551" s="90">
        <f t="shared" si="219"/>
        <v>-4.1376624640996895E-2</v>
      </c>
      <c r="I551" s="90">
        <f t="shared" si="219"/>
        <v>-6.6935675290766605E-2</v>
      </c>
      <c r="J551" s="90">
        <f t="shared" si="219"/>
        <v>-0.11770777836973889</v>
      </c>
      <c r="K551" s="90">
        <f t="shared" si="219"/>
        <v>-0.13513006537750683</v>
      </c>
      <c r="L551" s="90">
        <f t="shared" si="219"/>
        <v>-3.5365250201026766E-2</v>
      </c>
      <c r="M551" s="90">
        <f t="shared" si="219"/>
        <v>-5.9258933866326746E-2</v>
      </c>
      <c r="N551" s="81">
        <f t="shared" si="219"/>
        <v>-9.3332796629499892E-2</v>
      </c>
    </row>
    <row r="552" spans="2:14" hidden="1" outlineLevel="1" x14ac:dyDescent="0.3">
      <c r="B552" s="48">
        <v>44745</v>
      </c>
      <c r="C552" s="90">
        <f t="shared" ref="C552:N552" si="220">C285/C284-1</f>
        <v>1.0679660045360473E-2</v>
      </c>
      <c r="D552" s="90">
        <f t="shared" si="220"/>
        <v>6.6662890908919303E-2</v>
      </c>
      <c r="E552" s="90">
        <f t="shared" si="220"/>
        <v>9.0449133446462771E-2</v>
      </c>
      <c r="F552" s="90">
        <f t="shared" si="220"/>
        <v>5.8797887972552143E-2</v>
      </c>
      <c r="G552" s="90">
        <f t="shared" si="220"/>
        <v>0.11369136209227548</v>
      </c>
      <c r="H552" s="90">
        <f t="shared" si="220"/>
        <v>6.4083684557964871E-2</v>
      </c>
      <c r="I552" s="90">
        <f t="shared" si="220"/>
        <v>5.4121088781480475E-2</v>
      </c>
      <c r="J552" s="90">
        <f t="shared" si="220"/>
        <v>2.3474355587424833E-2</v>
      </c>
      <c r="K552" s="90">
        <f t="shared" si="220"/>
        <v>8.1461068371161405E-2</v>
      </c>
      <c r="L552" s="90">
        <f t="shared" si="220"/>
        <v>2.7251887593978896E-2</v>
      </c>
      <c r="M552" s="90">
        <f t="shared" si="220"/>
        <v>4.2609325021596423E-2</v>
      </c>
      <c r="N552" s="81">
        <f t="shared" si="220"/>
        <v>6.7482574401018125E-2</v>
      </c>
    </row>
    <row r="553" spans="2:14" hidden="1" outlineLevel="1" x14ac:dyDescent="0.3">
      <c r="B553" s="48">
        <v>44738</v>
      </c>
      <c r="C553" s="90">
        <f t="shared" ref="C553:N553" si="221">C286/C285-1</f>
        <v>-2.8886107788861137E-2</v>
      </c>
      <c r="D553" s="90">
        <f t="shared" si="221"/>
        <v>-6.5857707705758717E-3</v>
      </c>
      <c r="E553" s="90">
        <f t="shared" si="221"/>
        <v>1.5204711930022707E-2</v>
      </c>
      <c r="F553" s="90">
        <f t="shared" si="221"/>
        <v>-2.3141384897341299E-2</v>
      </c>
      <c r="G553" s="90">
        <f t="shared" si="221"/>
        <v>-8.3345234937669543E-3</v>
      </c>
      <c r="H553" s="90">
        <f t="shared" si="221"/>
        <v>6.9195895967548715E-3</v>
      </c>
      <c r="I553" s="90">
        <f t="shared" si="221"/>
        <v>-1.5394670688788303E-2</v>
      </c>
      <c r="J553" s="90">
        <f t="shared" si="221"/>
        <v>-1.6482908661823781E-2</v>
      </c>
      <c r="K553" s="90">
        <f t="shared" si="221"/>
        <v>-2.4662010711841931E-2</v>
      </c>
      <c r="L553" s="90">
        <f t="shared" si="221"/>
        <v>-4.5224013358093673E-2</v>
      </c>
      <c r="M553" s="90">
        <f t="shared" si="221"/>
        <v>3.7396990326048485E-3</v>
      </c>
      <c r="N553" s="81">
        <f t="shared" si="221"/>
        <v>-3.2883700941316762E-2</v>
      </c>
    </row>
    <row r="554" spans="2:14" hidden="1" outlineLevel="1" x14ac:dyDescent="0.3">
      <c r="B554" s="48">
        <v>44731</v>
      </c>
      <c r="C554" s="90">
        <f t="shared" ref="C554:N554" si="222">C287/C286-1</f>
        <v>-3.3519446675194242E-3</v>
      </c>
      <c r="D554" s="90">
        <f t="shared" si="222"/>
        <v>-1.0206935870368916E-2</v>
      </c>
      <c r="E554" s="90">
        <f t="shared" si="222"/>
        <v>-6.6372445854471218E-3</v>
      </c>
      <c r="F554" s="90">
        <f t="shared" si="222"/>
        <v>-2.5892013513605372E-2</v>
      </c>
      <c r="G554" s="90">
        <f t="shared" si="222"/>
        <v>-8.8777788064891006E-3</v>
      </c>
      <c r="H554" s="90">
        <f t="shared" si="222"/>
        <v>-7.6777251184834139E-3</v>
      </c>
      <c r="I554" s="90">
        <f t="shared" si="222"/>
        <v>-2.9187389577099432E-2</v>
      </c>
      <c r="J554" s="90">
        <f t="shared" si="222"/>
        <v>8.235852829434176E-3</v>
      </c>
      <c r="K554" s="90">
        <f t="shared" si="222"/>
        <v>-1.5978131369027149E-2</v>
      </c>
      <c r="L554" s="90">
        <f t="shared" si="222"/>
        <v>2.033244528708944E-2</v>
      </c>
      <c r="M554" s="90">
        <f t="shared" si="222"/>
        <v>8.7008901679941353E-3</v>
      </c>
      <c r="N554" s="81">
        <f t="shared" si="222"/>
        <v>4.5670216883358927E-2</v>
      </c>
    </row>
    <row r="555" spans="2:14" hidden="1" outlineLevel="1" x14ac:dyDescent="0.3">
      <c r="B555" s="48">
        <v>44724</v>
      </c>
      <c r="C555" s="90">
        <f t="shared" ref="C555:N555" si="223">C288/C287-1</f>
        <v>-2.5845183687118856E-2</v>
      </c>
      <c r="D555" s="90">
        <f t="shared" si="223"/>
        <v>-3.7632569893944035E-2</v>
      </c>
      <c r="E555" s="90">
        <f t="shared" si="223"/>
        <v>-6.2009473757438927E-2</v>
      </c>
      <c r="F555" s="90">
        <f t="shared" si="223"/>
        <v>-3.7326764455485661E-2</v>
      </c>
      <c r="G555" s="90">
        <f t="shared" si="223"/>
        <v>-8.2203724077803964E-3</v>
      </c>
      <c r="H555" s="90">
        <f t="shared" si="223"/>
        <v>-3.2381316267074189E-2</v>
      </c>
      <c r="I555" s="90">
        <f t="shared" si="223"/>
        <v>-1.6463113158919018E-2</v>
      </c>
      <c r="J555" s="90">
        <f t="shared" si="223"/>
        <v>-7.5488069414316739E-3</v>
      </c>
      <c r="K555" s="90">
        <f t="shared" si="223"/>
        <v>-2.2617064821245259E-2</v>
      </c>
      <c r="L555" s="90">
        <f t="shared" si="223"/>
        <v>-4.1552533358963251E-2</v>
      </c>
      <c r="M555" s="90">
        <f t="shared" si="223"/>
        <v>-2.9858668966890045E-2</v>
      </c>
      <c r="N555" s="81">
        <f t="shared" si="223"/>
        <v>-7.4451313967675237E-2</v>
      </c>
    </row>
    <row r="556" spans="2:14" hidden="1" outlineLevel="1" x14ac:dyDescent="0.3">
      <c r="B556" s="48">
        <v>44717</v>
      </c>
      <c r="C556" s="90">
        <f t="shared" ref="C556:N556" si="224">C289/C288-1</f>
        <v>5.9391244646418428E-2</v>
      </c>
      <c r="D556" s="90">
        <f t="shared" si="224"/>
        <v>8.9099577479804459E-2</v>
      </c>
      <c r="E556" s="90">
        <f t="shared" si="224"/>
        <v>8.7734971277542595E-2</v>
      </c>
      <c r="F556" s="90">
        <f t="shared" si="224"/>
        <v>6.4507477184258422E-2</v>
      </c>
      <c r="G556" s="90">
        <f t="shared" si="224"/>
        <v>5.9034681959938995E-2</v>
      </c>
      <c r="H556" s="90">
        <f t="shared" si="224"/>
        <v>0.13761105626850934</v>
      </c>
      <c r="I556" s="90">
        <f t="shared" si="224"/>
        <v>0.15004919996577382</v>
      </c>
      <c r="J556" s="90">
        <f t="shared" si="224"/>
        <v>8.1969874853246028E-2</v>
      </c>
      <c r="K556" s="90">
        <f t="shared" si="224"/>
        <v>9.6479258500022036E-2</v>
      </c>
      <c r="L556" s="90">
        <f t="shared" si="224"/>
        <v>6.1805358247121189E-2</v>
      </c>
      <c r="M556" s="90">
        <f t="shared" si="224"/>
        <v>0.14349223719307846</v>
      </c>
      <c r="N556" s="81">
        <f t="shared" si="224"/>
        <v>3.1814680964512121E-2</v>
      </c>
    </row>
    <row r="557" spans="2:14" hidden="1" outlineLevel="1" x14ac:dyDescent="0.3">
      <c r="B557" s="48">
        <v>44710</v>
      </c>
      <c r="C557" s="90">
        <f t="shared" ref="C557:N557" si="225">C290/C289-1</f>
        <v>2.3608487945783851E-2</v>
      </c>
      <c r="D557" s="90">
        <f t="shared" si="225"/>
        <v>2.7117258529313792E-2</v>
      </c>
      <c r="E557" s="90">
        <f t="shared" si="225"/>
        <v>2.3886046172870712E-2</v>
      </c>
      <c r="F557" s="90">
        <f t="shared" si="225"/>
        <v>3.0404761256230817E-2</v>
      </c>
      <c r="G557" s="90">
        <f t="shared" si="225"/>
        <v>2.7234547161421041E-2</v>
      </c>
      <c r="H557" s="90">
        <f t="shared" si="225"/>
        <v>3.1542867060048607E-2</v>
      </c>
      <c r="I557" s="90">
        <f t="shared" si="225"/>
        <v>3.4280399906998271E-2</v>
      </c>
      <c r="J557" s="90">
        <f t="shared" si="225"/>
        <v>8.3113045285077014E-4</v>
      </c>
      <c r="K557" s="90">
        <f t="shared" si="225"/>
        <v>8.7600073406280732E-2</v>
      </c>
      <c r="L557" s="90">
        <f t="shared" si="225"/>
        <v>3.3731564118304247E-2</v>
      </c>
      <c r="M557" s="90">
        <f t="shared" si="225"/>
        <v>2.4004625476005348E-2</v>
      </c>
      <c r="N557" s="81">
        <f t="shared" si="225"/>
        <v>7.9495865870463867E-2</v>
      </c>
    </row>
    <row r="558" spans="2:14" hidden="1" outlineLevel="1" x14ac:dyDescent="0.3">
      <c r="B558" s="48">
        <v>44703</v>
      </c>
      <c r="C558" s="90">
        <f t="shared" ref="C558:N558" si="226">C291/C290-1</f>
        <v>-1.3980089602817047E-2</v>
      </c>
      <c r="D558" s="90">
        <f t="shared" si="226"/>
        <v>-4.2208682508577566E-2</v>
      </c>
      <c r="E558" s="90">
        <f t="shared" si="226"/>
        <v>-5.199113704883096E-2</v>
      </c>
      <c r="F558" s="90">
        <f t="shared" si="226"/>
        <v>-3.9658465340972948E-2</v>
      </c>
      <c r="G558" s="90">
        <f t="shared" si="226"/>
        <v>-3.748881684639882E-2</v>
      </c>
      <c r="H558" s="90">
        <f t="shared" si="226"/>
        <v>-1.7960042060988446E-2</v>
      </c>
      <c r="I558" s="90">
        <f t="shared" si="226"/>
        <v>-2.1472696046254347E-2</v>
      </c>
      <c r="J558" s="90">
        <f t="shared" si="226"/>
        <v>-7.7749968281796145E-2</v>
      </c>
      <c r="K558" s="90">
        <f t="shared" si="226"/>
        <v>-6.7019251556839854E-2</v>
      </c>
      <c r="L558" s="90">
        <f t="shared" si="226"/>
        <v>-3.4214453208271101E-2</v>
      </c>
      <c r="M558" s="90">
        <f t="shared" si="226"/>
        <v>-3.2670703452035599E-2</v>
      </c>
      <c r="N558" s="81">
        <f t="shared" si="226"/>
        <v>-2.3576500624983399E-2</v>
      </c>
    </row>
    <row r="559" spans="2:14" hidden="1" outlineLevel="1" x14ac:dyDescent="0.3">
      <c r="B559" s="48">
        <v>44696</v>
      </c>
      <c r="C559" s="90">
        <f t="shared" ref="C559:N559" si="227">C292/C291-1</f>
        <v>-5.2774966442338256E-3</v>
      </c>
      <c r="D559" s="90">
        <f t="shared" si="227"/>
        <v>5.1603262387576176E-3</v>
      </c>
      <c r="E559" s="90">
        <f t="shared" si="227"/>
        <v>9.7194017650741316E-3</v>
      </c>
      <c r="F559" s="90">
        <f t="shared" si="227"/>
        <v>-4.2459192380742694E-3</v>
      </c>
      <c r="G559" s="90">
        <f t="shared" si="227"/>
        <v>2.4856577448178152E-2</v>
      </c>
      <c r="H559" s="90">
        <f t="shared" si="227"/>
        <v>-1.5761521329449968E-2</v>
      </c>
      <c r="I559" s="90">
        <f t="shared" si="227"/>
        <v>6.809222315135699E-3</v>
      </c>
      <c r="J559" s="90">
        <f t="shared" si="227"/>
        <v>1.1380690345172528E-2</v>
      </c>
      <c r="K559" s="90">
        <f t="shared" si="227"/>
        <v>4.3043569179990637E-2</v>
      </c>
      <c r="L559" s="90">
        <f t="shared" si="227"/>
        <v>1.4536396171977106E-2</v>
      </c>
      <c r="M559" s="90">
        <f t="shared" si="227"/>
        <v>-1.010405973874362E-2</v>
      </c>
      <c r="N559" s="81">
        <f t="shared" si="227"/>
        <v>3.14589603562625E-2</v>
      </c>
    </row>
    <row r="560" spans="2:14" hidden="1" outlineLevel="1" x14ac:dyDescent="0.3">
      <c r="B560" s="48">
        <v>44689</v>
      </c>
      <c r="C560" s="90">
        <f t="shared" ref="C560:N560" si="228">C293/C292-1</f>
        <v>-2.975504344912594E-2</v>
      </c>
      <c r="D560" s="90">
        <f t="shared" si="228"/>
        <v>2.9019361292697887E-2</v>
      </c>
      <c r="E560" s="90">
        <f t="shared" si="228"/>
        <v>3.7020288901818743E-2</v>
      </c>
      <c r="F560" s="90">
        <f t="shared" si="228"/>
        <v>3.3849577398599839E-2</v>
      </c>
      <c r="G560" s="90">
        <f t="shared" si="228"/>
        <v>2.2644600696306805E-2</v>
      </c>
      <c r="H560" s="90">
        <f t="shared" si="228"/>
        <v>1.966927763272408E-2</v>
      </c>
      <c r="I560" s="90">
        <f t="shared" si="228"/>
        <v>6.3624913292687157E-2</v>
      </c>
      <c r="J560" s="90">
        <f t="shared" si="228"/>
        <v>1.661926548781989E-2</v>
      </c>
      <c r="K560" s="90">
        <f t="shared" si="228"/>
        <v>-2.8279139325830593E-2</v>
      </c>
      <c r="L560" s="90">
        <f t="shared" si="228"/>
        <v>4.1181681145006088E-3</v>
      </c>
      <c r="M560" s="90">
        <f t="shared" si="228"/>
        <v>-6.2422480226105304E-3</v>
      </c>
      <c r="N560" s="81">
        <f t="shared" si="228"/>
        <v>-1.153962951715759E-2</v>
      </c>
    </row>
    <row r="561" spans="2:14" hidden="1" outlineLevel="1" x14ac:dyDescent="0.3">
      <c r="B561" s="48">
        <v>44682</v>
      </c>
      <c r="C561" s="90">
        <f t="shared" ref="C561:N561" si="229">C294/C293-1</f>
        <v>3.9861489087354984E-2</v>
      </c>
      <c r="D561" s="90">
        <f t="shared" si="229"/>
        <v>3.6948710288828623E-2</v>
      </c>
      <c r="E561" s="90">
        <f t="shared" si="229"/>
        <v>5.1808415589484902E-3</v>
      </c>
      <c r="F561" s="90">
        <f t="shared" si="229"/>
        <v>2.5555325307325738E-2</v>
      </c>
      <c r="G561" s="90">
        <f t="shared" si="229"/>
        <v>-1.8595691521319235E-3</v>
      </c>
      <c r="H561" s="90">
        <f t="shared" si="229"/>
        <v>3.512290884260838E-2</v>
      </c>
      <c r="I561" s="90">
        <f t="shared" si="229"/>
        <v>7.307675805551983E-2</v>
      </c>
      <c r="J561" s="90">
        <f t="shared" si="229"/>
        <v>0.11732794901111743</v>
      </c>
      <c r="K561" s="90">
        <f t="shared" si="229"/>
        <v>0.12985825331504341</v>
      </c>
      <c r="L561" s="90">
        <f t="shared" si="229"/>
        <v>8.8649518680162132E-2</v>
      </c>
      <c r="M561" s="90">
        <f t="shared" si="229"/>
        <v>0.10244710889225361</v>
      </c>
      <c r="N561" s="81">
        <f t="shared" si="229"/>
        <v>4.3317972350230605E-2</v>
      </c>
    </row>
    <row r="562" spans="2:14" hidden="1" outlineLevel="1" x14ac:dyDescent="0.3">
      <c r="B562" s="48">
        <v>44675</v>
      </c>
      <c r="C562" s="90">
        <f t="shared" ref="C562:N562" si="230">C295/C294-1</f>
        <v>4.2123543301089139E-2</v>
      </c>
      <c r="D562" s="90">
        <f t="shared" si="230"/>
        <v>2.9393429895391954E-2</v>
      </c>
      <c r="E562" s="90">
        <f t="shared" si="230"/>
        <v>3.3242526650446802E-2</v>
      </c>
      <c r="F562" s="90">
        <f t="shared" si="230"/>
        <v>1.6014861165428274E-2</v>
      </c>
      <c r="G562" s="90">
        <f t="shared" si="230"/>
        <v>2.7668437344747332E-2</v>
      </c>
      <c r="H562" s="90">
        <f t="shared" si="230"/>
        <v>4.8855905998763216E-2</v>
      </c>
      <c r="I562" s="90">
        <f t="shared" si="230"/>
        <v>-2.459796403067549E-2</v>
      </c>
      <c r="J562" s="90">
        <f t="shared" si="230"/>
        <v>5.3570650990637958E-2</v>
      </c>
      <c r="K562" s="90">
        <f t="shared" si="230"/>
        <v>6.3936788700141189E-2</v>
      </c>
      <c r="L562" s="90">
        <f t="shared" si="230"/>
        <v>1.2552955559978374E-2</v>
      </c>
      <c r="M562" s="90">
        <f t="shared" si="230"/>
        <v>5.5362743824353577E-2</v>
      </c>
      <c r="N562" s="81">
        <f t="shared" si="230"/>
        <v>7.5485225585087301E-2</v>
      </c>
    </row>
    <row r="563" spans="2:14" hidden="1" outlineLevel="1" x14ac:dyDescent="0.3">
      <c r="B563" s="48">
        <v>44668</v>
      </c>
      <c r="C563" s="90">
        <f t="shared" ref="C563:N563" si="231">C296/C295-1</f>
        <v>4.0578744105412845E-3</v>
      </c>
      <c r="D563" s="90">
        <f t="shared" si="231"/>
        <v>2.543450212507592E-2</v>
      </c>
      <c r="E563" s="90">
        <f t="shared" si="231"/>
        <v>1.8564516318453572E-2</v>
      </c>
      <c r="F563" s="90">
        <f t="shared" si="231"/>
        <v>1.141284474297044E-2</v>
      </c>
      <c r="G563" s="90">
        <f t="shared" si="231"/>
        <v>2.1122308579078375E-2</v>
      </c>
      <c r="H563" s="90">
        <f t="shared" si="231"/>
        <v>5.6800314465408785E-2</v>
      </c>
      <c r="I563" s="90">
        <f t="shared" si="231"/>
        <v>3.7729042836646798E-2</v>
      </c>
      <c r="J563" s="90">
        <f t="shared" si="231"/>
        <v>5.2654963267583454E-2</v>
      </c>
      <c r="K563" s="90">
        <f t="shared" si="231"/>
        <v>-6.7869021277780051E-2</v>
      </c>
      <c r="L563" s="90">
        <f t="shared" si="231"/>
        <v>-2.1228501228501173E-2</v>
      </c>
      <c r="M563" s="90">
        <f t="shared" si="231"/>
        <v>1.8517867191896409E-2</v>
      </c>
      <c r="N563" s="81">
        <f t="shared" si="231"/>
        <v>-1.6892052759392318E-2</v>
      </c>
    </row>
    <row r="564" spans="2:14" hidden="1" outlineLevel="1" x14ac:dyDescent="0.3">
      <c r="B564" s="48">
        <v>44661</v>
      </c>
      <c r="C564" s="90">
        <f t="shared" ref="C564:N564" si="232">C297/C296-1</f>
        <v>1.7685819024630289E-2</v>
      </c>
      <c r="D564" s="90">
        <f t="shared" si="232"/>
        <v>5.9460259600884413E-2</v>
      </c>
      <c r="E564" s="90">
        <f t="shared" si="232"/>
        <v>1.3674661808664279E-2</v>
      </c>
      <c r="F564" s="90">
        <f t="shared" si="232"/>
        <v>0.10287588166641304</v>
      </c>
      <c r="G564" s="90">
        <f t="shared" si="232"/>
        <v>2.0912997559998647E-2</v>
      </c>
      <c r="H564" s="90">
        <f t="shared" si="232"/>
        <v>3.998512181513858E-2</v>
      </c>
      <c r="I564" s="90">
        <f t="shared" si="232"/>
        <v>7.9564217827883477E-2</v>
      </c>
      <c r="J564" s="90">
        <f t="shared" si="232"/>
        <v>0.18550801456658506</v>
      </c>
      <c r="K564" s="90">
        <f t="shared" si="232"/>
        <v>7.5124660356513662E-2</v>
      </c>
      <c r="L564" s="90">
        <f t="shared" si="232"/>
        <v>2.3668469295540229E-2</v>
      </c>
      <c r="M564" s="90">
        <f t="shared" si="232"/>
        <v>5.3507605711621942E-2</v>
      </c>
      <c r="N564" s="81">
        <f t="shared" si="232"/>
        <v>7.6406127020645087E-3</v>
      </c>
    </row>
    <row r="565" spans="2:14" hidden="1" outlineLevel="1" x14ac:dyDescent="0.3">
      <c r="B565" s="48">
        <v>44654</v>
      </c>
      <c r="C565" s="90">
        <f t="shared" ref="C565:N565" si="233">C298/C297-1</f>
        <v>1.7664578999922576E-2</v>
      </c>
      <c r="D565" s="90">
        <f t="shared" si="233"/>
        <v>3.0262146774249654E-2</v>
      </c>
      <c r="E565" s="90">
        <f t="shared" si="233"/>
        <v>6.472105396359451E-3</v>
      </c>
      <c r="F565" s="90">
        <f t="shared" si="233"/>
        <v>3.7774263120057494E-2</v>
      </c>
      <c r="G565" s="90">
        <f t="shared" si="233"/>
        <v>3.5778941078897564E-2</v>
      </c>
      <c r="H565" s="90">
        <f t="shared" si="233"/>
        <v>4.3741058655221599E-2</v>
      </c>
      <c r="I565" s="90">
        <f t="shared" si="233"/>
        <v>2.7150049762894479E-2</v>
      </c>
      <c r="J565" s="90">
        <f t="shared" si="233"/>
        <v>1.8944161091607459E-2</v>
      </c>
      <c r="K565" s="90">
        <f t="shared" si="233"/>
        <v>8.797826348580351E-2</v>
      </c>
      <c r="L565" s="90">
        <f t="shared" si="233"/>
        <v>3.7007973319507226E-2</v>
      </c>
      <c r="M565" s="90">
        <f t="shared" si="233"/>
        <v>3.6170840435295615E-2</v>
      </c>
      <c r="N565" s="81">
        <f t="shared" si="233"/>
        <v>5.103585848875225E-2</v>
      </c>
    </row>
    <row r="566" spans="2:14" hidden="1" outlineLevel="1" x14ac:dyDescent="0.3">
      <c r="B566" s="48">
        <v>44647</v>
      </c>
      <c r="C566" s="90">
        <f t="shared" ref="C566:N566" si="234">C299/C298-1</f>
        <v>-6.4045073336949088E-3</v>
      </c>
      <c r="D566" s="90">
        <f t="shared" si="234"/>
        <v>2.6810700547684752E-2</v>
      </c>
      <c r="E566" s="90">
        <f t="shared" si="234"/>
        <v>1.9833926185020667E-2</v>
      </c>
      <c r="F566" s="90">
        <f t="shared" si="234"/>
        <v>4.9018249530322633E-2</v>
      </c>
      <c r="G566" s="90">
        <f t="shared" si="234"/>
        <v>3.6850488613371368E-3</v>
      </c>
      <c r="H566" s="90">
        <f t="shared" si="234"/>
        <v>3.1079738203748652E-2</v>
      </c>
      <c r="I566" s="90">
        <f t="shared" si="234"/>
        <v>2.6475156385813436E-2</v>
      </c>
      <c r="J566" s="90">
        <f t="shared" si="234"/>
        <v>3.2990964051224925E-3</v>
      </c>
      <c r="K566" s="90">
        <f t="shared" si="234"/>
        <v>2.5143693442644111E-3</v>
      </c>
      <c r="L566" s="90">
        <f t="shared" si="234"/>
        <v>-3.044430030809131E-2</v>
      </c>
      <c r="M566" s="90">
        <f t="shared" si="234"/>
        <v>5.7858690666371393E-2</v>
      </c>
      <c r="N566" s="81">
        <f t="shared" si="234"/>
        <v>9.53546070909983E-3</v>
      </c>
    </row>
    <row r="567" spans="2:14" hidden="1" outlineLevel="1" x14ac:dyDescent="0.3">
      <c r="B567" s="48">
        <v>44640</v>
      </c>
      <c r="C567" s="90">
        <f t="shared" ref="C567:N567" si="235">C300/C299-1</f>
        <v>-2.928335158414197E-2</v>
      </c>
      <c r="D567" s="90">
        <f t="shared" si="235"/>
        <v>-5.2581761750413181E-3</v>
      </c>
      <c r="E567" s="90">
        <f t="shared" si="235"/>
        <v>-1.3646979296817685E-2</v>
      </c>
      <c r="F567" s="90">
        <f t="shared" si="235"/>
        <v>-1.4184734373018926E-2</v>
      </c>
      <c r="G567" s="90">
        <f t="shared" si="235"/>
        <v>8.2952313142838907E-3</v>
      </c>
      <c r="H567" s="90">
        <f t="shared" si="235"/>
        <v>2.5589896975741766E-3</v>
      </c>
      <c r="I567" s="90">
        <f t="shared" si="235"/>
        <v>2.9214153837611168E-2</v>
      </c>
      <c r="J567" s="90">
        <f t="shared" si="235"/>
        <v>1.5793310115816972E-3</v>
      </c>
      <c r="K567" s="90">
        <f t="shared" si="235"/>
        <v>-9.9091835002546036E-3</v>
      </c>
      <c r="L567" s="90">
        <f t="shared" si="235"/>
        <v>-1.8536327019832433E-3</v>
      </c>
      <c r="M567" s="90">
        <f t="shared" si="235"/>
        <v>-1.9407604551367363E-2</v>
      </c>
      <c r="N567" s="81">
        <f t="shared" si="235"/>
        <v>1.8573677474886807E-3</v>
      </c>
    </row>
    <row r="568" spans="2:14" hidden="1" outlineLevel="1" x14ac:dyDescent="0.3">
      <c r="B568" s="48">
        <v>44633</v>
      </c>
      <c r="C568" s="90">
        <f t="shared" ref="C568:N568" si="236">C301/C300-1</f>
        <v>7.8149594823062607E-3</v>
      </c>
      <c r="D568" s="90">
        <f t="shared" si="236"/>
        <v>-1.4071027292869465E-2</v>
      </c>
      <c r="E568" s="90">
        <f t="shared" si="236"/>
        <v>-9.3614917718300994E-3</v>
      </c>
      <c r="F568" s="90">
        <f t="shared" si="236"/>
        <v>-1.1693273955938555E-2</v>
      </c>
      <c r="G568" s="90">
        <f t="shared" si="236"/>
        <v>1.4880040837161879E-2</v>
      </c>
      <c r="H568" s="90">
        <f t="shared" si="236"/>
        <v>-3.5469221334570866E-3</v>
      </c>
      <c r="I568" s="90">
        <f t="shared" si="236"/>
        <v>-2.4203718565176002E-2</v>
      </c>
      <c r="J568" s="90">
        <f t="shared" si="236"/>
        <v>-1.1223870941656888E-2</v>
      </c>
      <c r="K568" s="90">
        <f t="shared" si="236"/>
        <v>-4.0847817234950012E-2</v>
      </c>
      <c r="L568" s="90">
        <f t="shared" si="236"/>
        <v>-7.6377447010528288E-3</v>
      </c>
      <c r="M568" s="90">
        <f t="shared" si="236"/>
        <v>-5.2528856563438642E-2</v>
      </c>
      <c r="N568" s="81">
        <f t="shared" si="236"/>
        <v>-2.7130599925390131E-3</v>
      </c>
    </row>
    <row r="569" spans="2:14" hidden="1" outlineLevel="1" x14ac:dyDescent="0.3">
      <c r="B569" s="48">
        <v>44626</v>
      </c>
      <c r="C569" s="90">
        <f t="shared" ref="C569:N569" si="237">C302/C301-1</f>
        <v>-3.7982188979611808E-2</v>
      </c>
      <c r="D569" s="90">
        <f t="shared" si="237"/>
        <v>-8.2735750597583424E-3</v>
      </c>
      <c r="E569" s="90">
        <f t="shared" si="237"/>
        <v>-2.0039693790756985E-2</v>
      </c>
      <c r="F569" s="90">
        <f t="shared" si="237"/>
        <v>-1.7579342916479224E-2</v>
      </c>
      <c r="G569" s="90">
        <f t="shared" si="237"/>
        <v>-2.8837529026146669E-3</v>
      </c>
      <c r="H569" s="90">
        <f t="shared" si="237"/>
        <v>-2.4950099800399195E-2</v>
      </c>
      <c r="I569" s="90">
        <f t="shared" si="237"/>
        <v>-4.4853276569865042E-3</v>
      </c>
      <c r="J569" s="90">
        <f t="shared" si="237"/>
        <v>1.8049183411434688E-2</v>
      </c>
      <c r="K569" s="90">
        <f t="shared" si="237"/>
        <v>-2.8157747737683092E-2</v>
      </c>
      <c r="L569" s="90">
        <f t="shared" si="237"/>
        <v>-2.391974222960136E-2</v>
      </c>
      <c r="M569" s="90">
        <f t="shared" si="237"/>
        <v>5.7613698541955083E-2</v>
      </c>
      <c r="N569" s="81">
        <f t="shared" si="237"/>
        <v>-2.5560807517484574E-2</v>
      </c>
    </row>
    <row r="570" spans="2:14" hidden="1" outlineLevel="1" x14ac:dyDescent="0.3">
      <c r="B570" s="48">
        <v>44619</v>
      </c>
      <c r="C570" s="90">
        <f t="shared" ref="C570:N570" si="238">C303/C302-1</f>
        <v>-2.3156318680492727E-2</v>
      </c>
      <c r="D570" s="90">
        <f t="shared" si="238"/>
        <v>-3.3127102269673303E-2</v>
      </c>
      <c r="E570" s="90">
        <f t="shared" si="238"/>
        <v>-2.078221923895951E-2</v>
      </c>
      <c r="F570" s="90">
        <f t="shared" si="238"/>
        <v>-5.4172944988105654E-2</v>
      </c>
      <c r="G570" s="90">
        <f t="shared" si="238"/>
        <v>-4.6080121064357438E-2</v>
      </c>
      <c r="H570" s="90">
        <f t="shared" si="238"/>
        <v>-1.8594336403957801E-2</v>
      </c>
      <c r="I570" s="90">
        <f t="shared" si="238"/>
        <v>-2.2333298621958431E-2</v>
      </c>
      <c r="J570" s="90">
        <f t="shared" si="238"/>
        <v>-1.8564634812506031E-2</v>
      </c>
      <c r="K570" s="90">
        <f t="shared" si="238"/>
        <v>-6.572279904724232E-2</v>
      </c>
      <c r="L570" s="90">
        <f t="shared" si="238"/>
        <v>-3.53029363855214E-2</v>
      </c>
      <c r="M570" s="90">
        <f t="shared" si="238"/>
        <v>-3.005264919808881E-2</v>
      </c>
      <c r="N570" s="81">
        <f t="shared" si="238"/>
        <v>8.4719540283367811E-2</v>
      </c>
    </row>
    <row r="571" spans="2:14" hidden="1" outlineLevel="1" x14ac:dyDescent="0.3">
      <c r="B571" s="48">
        <v>44612</v>
      </c>
      <c r="C571" s="90">
        <f t="shared" ref="C571:N571" si="239">C304/C303-1</f>
        <v>2.5425737210955868E-2</v>
      </c>
      <c r="D571" s="90">
        <f t="shared" si="239"/>
        <v>-2.0503135085157886E-2</v>
      </c>
      <c r="E571" s="90">
        <f t="shared" si="239"/>
        <v>-1.0193559443224531E-3</v>
      </c>
      <c r="F571" s="90">
        <f t="shared" si="239"/>
        <v>-1.6654606568474284E-2</v>
      </c>
      <c r="G571" s="90">
        <f t="shared" si="239"/>
        <v>-7.6852569978143048E-3</v>
      </c>
      <c r="H571" s="90">
        <f t="shared" si="239"/>
        <v>-3.483399965235523E-2</v>
      </c>
      <c r="I571" s="90">
        <f t="shared" si="239"/>
        <v>-4.3961428125088853E-2</v>
      </c>
      <c r="J571" s="90">
        <f t="shared" si="239"/>
        <v>-6.4392296170184826E-2</v>
      </c>
      <c r="K571" s="90">
        <f t="shared" si="239"/>
        <v>-4.8754558743189569E-2</v>
      </c>
      <c r="L571" s="90">
        <f t="shared" si="239"/>
        <v>1.888766026119959E-2</v>
      </c>
      <c r="M571" s="90">
        <f t="shared" si="239"/>
        <v>-4.2906672105172294E-2</v>
      </c>
      <c r="N571" s="81">
        <f t="shared" si="239"/>
        <v>-3.4434685626655526E-2</v>
      </c>
    </row>
    <row r="572" spans="2:14" hidden="1" outlineLevel="1" x14ac:dyDescent="0.3">
      <c r="B572" s="48">
        <v>44605</v>
      </c>
      <c r="C572" s="90">
        <f t="shared" ref="C572:N572" si="240">C305/C304-1</f>
        <v>3.7092397829323165E-2</v>
      </c>
      <c r="D572" s="90">
        <f t="shared" si="240"/>
        <v>3.0055007998040395E-2</v>
      </c>
      <c r="E572" s="90">
        <f t="shared" si="240"/>
        <v>7.7582637295033452E-2</v>
      </c>
      <c r="F572" s="90">
        <f t="shared" si="240"/>
        <v>7.2874013411667882E-3</v>
      </c>
      <c r="G572" s="90">
        <f t="shared" si="240"/>
        <v>3.1245559187153438E-2</v>
      </c>
      <c r="H572" s="90">
        <f t="shared" si="240"/>
        <v>1.2966898389943582E-2</v>
      </c>
      <c r="I572" s="90">
        <f t="shared" si="240"/>
        <v>3.4722995907514376E-2</v>
      </c>
      <c r="J572" s="90">
        <f t="shared" si="240"/>
        <v>2.5431735866883631E-2</v>
      </c>
      <c r="K572" s="90">
        <f t="shared" si="240"/>
        <v>-3.9373949036346501E-3</v>
      </c>
      <c r="L572" s="90">
        <f t="shared" si="240"/>
        <v>5.6653858563341375E-2</v>
      </c>
      <c r="M572" s="90">
        <f t="shared" si="240"/>
        <v>-9.326645685811763E-3</v>
      </c>
      <c r="N572" s="81">
        <f t="shared" si="240"/>
        <v>-4.0305204469224032E-2</v>
      </c>
    </row>
    <row r="573" spans="2:14" hidden="1" outlineLevel="1" x14ac:dyDescent="0.3">
      <c r="B573" s="48">
        <v>44598</v>
      </c>
      <c r="C573" s="90">
        <f t="shared" ref="C573:N573" si="241">C306/C305-1</f>
        <v>5.6985581403425911E-3</v>
      </c>
      <c r="D573" s="90">
        <f t="shared" si="241"/>
        <v>-3.0174201275405821E-3</v>
      </c>
      <c r="E573" s="90">
        <f t="shared" si="241"/>
        <v>-2.6083137771556353E-2</v>
      </c>
      <c r="F573" s="90">
        <f t="shared" si="241"/>
        <v>8.436531595753527E-3</v>
      </c>
      <c r="G573" s="90">
        <f t="shared" si="241"/>
        <v>-1.1196279390233155E-3</v>
      </c>
      <c r="H573" s="90">
        <f t="shared" si="241"/>
        <v>-1.7779042065213524E-3</v>
      </c>
      <c r="I573" s="90">
        <f t="shared" si="241"/>
        <v>-9.0731595268174203E-3</v>
      </c>
      <c r="J573" s="90">
        <f t="shared" si="241"/>
        <v>2.3751631644954196E-2</v>
      </c>
      <c r="K573" s="90">
        <f t="shared" si="241"/>
        <v>8.7562462989704715E-2</v>
      </c>
      <c r="L573" s="90">
        <f t="shared" si="241"/>
        <v>1.9264667101555943E-2</v>
      </c>
      <c r="M573" s="90">
        <f t="shared" si="241"/>
        <v>-6.7506080510927324E-3</v>
      </c>
      <c r="N573" s="81">
        <f t="shared" si="241"/>
        <v>5.1186797671538775E-2</v>
      </c>
    </row>
    <row r="574" spans="2:14" hidden="1" outlineLevel="1" x14ac:dyDescent="0.3">
      <c r="B574" s="48">
        <v>44591</v>
      </c>
      <c r="C574" s="90">
        <f t="shared" ref="C574:N574" si="242">C307/C306-1</f>
        <v>8.1468798112203089E-3</v>
      </c>
      <c r="D574" s="90">
        <f t="shared" si="242"/>
        <v>2.0391779295821033E-2</v>
      </c>
      <c r="E574" s="90">
        <f t="shared" si="242"/>
        <v>3.2463250214185946E-2</v>
      </c>
      <c r="F574" s="90">
        <f t="shared" si="242"/>
        <v>1.1473973242974722E-2</v>
      </c>
      <c r="G574" s="90">
        <f t="shared" si="242"/>
        <v>8.6221762372939992E-5</v>
      </c>
      <c r="H574" s="90">
        <f t="shared" si="242"/>
        <v>1.8345029031453519E-2</v>
      </c>
      <c r="I574" s="90">
        <f t="shared" si="242"/>
        <v>1.6349385720908716E-2</v>
      </c>
      <c r="J574" s="90">
        <f t="shared" si="242"/>
        <v>4.7026175654391267E-2</v>
      </c>
      <c r="K574" s="90">
        <f t="shared" si="242"/>
        <v>2.3828514932822564E-2</v>
      </c>
      <c r="L574" s="90">
        <f t="shared" si="242"/>
        <v>-1.2691150237618576E-2</v>
      </c>
      <c r="M574" s="90">
        <f t="shared" si="242"/>
        <v>1.6758008362345977E-2</v>
      </c>
      <c r="N574" s="81">
        <f t="shared" si="242"/>
        <v>3.3798661264752505E-2</v>
      </c>
    </row>
    <row r="575" spans="2:14" hidden="1" outlineLevel="1" x14ac:dyDescent="0.3">
      <c r="B575" s="48">
        <v>44584</v>
      </c>
      <c r="C575" s="90">
        <f t="shared" ref="C575:N575" si="243">C308/C307-1</f>
        <v>-2.3655109812003583E-2</v>
      </c>
      <c r="D575" s="90">
        <f t="shared" si="243"/>
        <v>-3.5009877394876376E-2</v>
      </c>
      <c r="E575" s="90">
        <f t="shared" si="243"/>
        <v>-3.2725446361549504E-2</v>
      </c>
      <c r="F575" s="90">
        <f t="shared" si="243"/>
        <v>-3.1530490833689417E-2</v>
      </c>
      <c r="G575" s="90">
        <f t="shared" si="243"/>
        <v>-7.1618242951978717E-2</v>
      </c>
      <c r="H575" s="90">
        <f t="shared" si="243"/>
        <v>-3.4280117531831578E-2</v>
      </c>
      <c r="I575" s="90">
        <f t="shared" si="243"/>
        <v>-2.5929225615623053E-2</v>
      </c>
      <c r="J575" s="90">
        <f t="shared" si="243"/>
        <v>-5.8970073225087516E-2</v>
      </c>
      <c r="K575" s="90">
        <f t="shared" si="243"/>
        <v>-2.1505877962306741E-3</v>
      </c>
      <c r="L575" s="90">
        <f t="shared" si="243"/>
        <v>-5.8216674712088912E-2</v>
      </c>
      <c r="M575" s="90">
        <f t="shared" si="243"/>
        <v>-4.1122597768565861E-3</v>
      </c>
      <c r="N575" s="81">
        <f t="shared" si="243"/>
        <v>3.8657323592681259E-3</v>
      </c>
    </row>
    <row r="576" spans="2:14" hidden="1" outlineLevel="1" x14ac:dyDescent="0.3">
      <c r="B576" s="48">
        <v>44577</v>
      </c>
      <c r="C576" s="90">
        <f t="shared" ref="C576:N576" si="244">C309/C308-1</f>
        <v>3.0125219638696299E-2</v>
      </c>
      <c r="D576" s="90">
        <f t="shared" si="244"/>
        <v>6.5067152704644915E-2</v>
      </c>
      <c r="E576" s="90">
        <f t="shared" si="244"/>
        <v>3.8875500194716306E-2</v>
      </c>
      <c r="F576" s="90">
        <f t="shared" si="244"/>
        <v>5.9007007603995909E-2</v>
      </c>
      <c r="G576" s="90">
        <f t="shared" si="244"/>
        <v>8.0987713938133199E-2</v>
      </c>
      <c r="H576" s="90">
        <f t="shared" si="244"/>
        <v>9.5769342219646392E-2</v>
      </c>
      <c r="I576" s="90">
        <f t="shared" si="244"/>
        <v>0.12965822034580388</v>
      </c>
      <c r="J576" s="90">
        <f t="shared" si="244"/>
        <v>8.1577589633852421E-2</v>
      </c>
      <c r="K576" s="90">
        <f t="shared" si="244"/>
        <v>3.4034754720686511E-3</v>
      </c>
      <c r="L576" s="90">
        <f t="shared" si="244"/>
        <v>7.6137894675180284E-2</v>
      </c>
      <c r="M576" s="90">
        <f t="shared" si="244"/>
        <v>-4.8366400157932032E-3</v>
      </c>
      <c r="N576" s="81">
        <f t="shared" si="244"/>
        <v>0.10334694743542139</v>
      </c>
    </row>
    <row r="577" spans="2:14" hidden="1" outlineLevel="1" x14ac:dyDescent="0.3">
      <c r="B577" s="48">
        <v>44570</v>
      </c>
      <c r="C577" s="90">
        <f t="shared" ref="C577:N577" si="245">C310/C309-1</f>
        <v>3.6248768955250865E-2</v>
      </c>
      <c r="D577" s="90">
        <f t="shared" si="245"/>
        <v>7.689032744781521E-2</v>
      </c>
      <c r="E577" s="90">
        <f t="shared" si="245"/>
        <v>3.5122698553259779E-2</v>
      </c>
      <c r="F577" s="90">
        <f t="shared" si="245"/>
        <v>8.0447600651014417E-2</v>
      </c>
      <c r="G577" s="90">
        <f t="shared" si="245"/>
        <v>0.14490910965258941</v>
      </c>
      <c r="H577" s="90">
        <f t="shared" si="245"/>
        <v>5.7450747058045648E-2</v>
      </c>
      <c r="I577" s="90">
        <f t="shared" si="245"/>
        <v>9.0486893326510609E-2</v>
      </c>
      <c r="J577" s="90">
        <f t="shared" si="245"/>
        <v>0.10706465638587392</v>
      </c>
      <c r="K577" s="90">
        <f t="shared" si="245"/>
        <v>3.3462705065066434E-2</v>
      </c>
      <c r="L577" s="90">
        <f t="shared" si="245"/>
        <v>0.11536001524162054</v>
      </c>
      <c r="M577" s="90">
        <f t="shared" si="245"/>
        <v>7.9051775441380645E-2</v>
      </c>
      <c r="N577" s="81">
        <f t="shared" si="245"/>
        <v>9.3878296653109983E-2</v>
      </c>
    </row>
    <row r="578" spans="2:14" hidden="1" outlineLevel="1" x14ac:dyDescent="0.3">
      <c r="B578" s="48">
        <v>44563</v>
      </c>
      <c r="C578" s="90">
        <f t="shared" ref="C578:N578" si="246">C311/C310-1</f>
        <v>-2.4269065910740406E-2</v>
      </c>
      <c r="D578" s="90">
        <f t="shared" si="246"/>
        <v>-1.7693941177303829E-2</v>
      </c>
      <c r="E578" s="90">
        <f t="shared" si="246"/>
        <v>-2.88924811319764E-2</v>
      </c>
      <c r="F578" s="90">
        <f t="shared" si="246"/>
        <v>-5.9633888269204682E-2</v>
      </c>
      <c r="G578" s="90">
        <f t="shared" si="246"/>
        <v>-3.4883546431358381E-2</v>
      </c>
      <c r="H578" s="90">
        <f t="shared" si="246"/>
        <v>0.11206627070959674</v>
      </c>
      <c r="I578" s="90">
        <f t="shared" si="246"/>
        <v>-1.9506168439684668E-2</v>
      </c>
      <c r="J578" s="90">
        <f t="shared" si="246"/>
        <v>1.7956162099924233E-2</v>
      </c>
      <c r="K578" s="90">
        <f t="shared" si="246"/>
        <v>2.2393140043911686E-2</v>
      </c>
      <c r="L578" s="90">
        <f t="shared" si="246"/>
        <v>-2.3840897999023891E-2</v>
      </c>
      <c r="M578" s="90">
        <f t="shared" si="246"/>
        <v>-7.2004167049667389E-3</v>
      </c>
      <c r="N578" s="81">
        <f t="shared" si="246"/>
        <v>1.1892309991122563E-2</v>
      </c>
    </row>
    <row r="579" spans="2:14" hidden="1" outlineLevel="1" x14ac:dyDescent="0.3">
      <c r="B579" s="48">
        <v>44556</v>
      </c>
      <c r="C579" s="90">
        <f t="shared" ref="C579:N579" si="247">C312/C311-1</f>
        <v>-2.5748482824052621E-2</v>
      </c>
      <c r="D579" s="90">
        <f t="shared" si="247"/>
        <v>1.4714268671743636E-2</v>
      </c>
      <c r="E579" s="90">
        <f t="shared" si="247"/>
        <v>-2.9881802312069938E-2</v>
      </c>
      <c r="F579" s="90">
        <f t="shared" si="247"/>
        <v>4.0484887452677976E-2</v>
      </c>
      <c r="G579" s="90">
        <f t="shared" si="247"/>
        <v>2.2118905638960351E-2</v>
      </c>
      <c r="H579" s="90">
        <f t="shared" si="247"/>
        <v>5.3970484891074921E-3</v>
      </c>
      <c r="I579" s="90">
        <f t="shared" si="247"/>
        <v>5.0886577453611359E-2</v>
      </c>
      <c r="J579" s="90">
        <f t="shared" si="247"/>
        <v>1.7563094602002671E-2</v>
      </c>
      <c r="K579" s="90">
        <f t="shared" si="247"/>
        <v>7.9042755847179569E-2</v>
      </c>
      <c r="L579" s="90">
        <f t="shared" si="247"/>
        <v>-9.7742669299802909E-3</v>
      </c>
      <c r="M579" s="90">
        <f t="shared" si="247"/>
        <v>4.8299487685945275E-2</v>
      </c>
      <c r="N579" s="81">
        <f t="shared" si="247"/>
        <v>2.33053055835446E-2</v>
      </c>
    </row>
    <row r="580" spans="2:14" hidden="1" outlineLevel="1" x14ac:dyDescent="0.3">
      <c r="B580" s="48">
        <v>44549</v>
      </c>
      <c r="C580" s="90">
        <f t="shared" ref="C580:N580" si="248">C313/C312-1</f>
        <v>-2.0185489842428628E-2</v>
      </c>
      <c r="D580" s="90">
        <f t="shared" si="248"/>
        <v>-2.5147896504099987E-2</v>
      </c>
      <c r="E580" s="90">
        <f t="shared" si="248"/>
        <v>-1.8041782729805056E-2</v>
      </c>
      <c r="F580" s="90">
        <f t="shared" si="248"/>
        <v>-1.2843802106362268E-2</v>
      </c>
      <c r="G580" s="90">
        <f t="shared" si="248"/>
        <v>-4.0861654547114101E-2</v>
      </c>
      <c r="H580" s="90">
        <f t="shared" si="248"/>
        <v>-2.3597170576229454E-2</v>
      </c>
      <c r="I580" s="90">
        <f t="shared" si="248"/>
        <v>-3.727957664881576E-2</v>
      </c>
      <c r="J580" s="90">
        <f t="shared" si="248"/>
        <v>-2.2565466448445148E-2</v>
      </c>
      <c r="K580" s="90">
        <f t="shared" si="248"/>
        <v>-5.8377366663806218E-2</v>
      </c>
      <c r="L580" s="90">
        <f t="shared" si="248"/>
        <v>-1.4023528223770509E-2</v>
      </c>
      <c r="M580" s="90">
        <f t="shared" si="248"/>
        <v>-5.2609886065887457E-2</v>
      </c>
      <c r="N580" s="81">
        <f t="shared" si="248"/>
        <v>-4.1551011400001725E-2</v>
      </c>
    </row>
    <row r="581" spans="2:14" hidden="1" outlineLevel="1" x14ac:dyDescent="0.3">
      <c r="B581" s="48">
        <v>44542</v>
      </c>
      <c r="C581" s="90">
        <f t="shared" ref="C581:N581" si="249">C314/C313-1</f>
        <v>-1.0909358229801436E-3</v>
      </c>
      <c r="D581" s="90">
        <f t="shared" si="249"/>
        <v>-2.8623455383033236E-2</v>
      </c>
      <c r="E581" s="90">
        <f t="shared" si="249"/>
        <v>-2.3578603381906982E-2</v>
      </c>
      <c r="F581" s="90">
        <f t="shared" si="249"/>
        <v>-2.2886468867710619E-2</v>
      </c>
      <c r="G581" s="90">
        <f t="shared" si="249"/>
        <v>-7.413399314807767E-2</v>
      </c>
      <c r="H581" s="90">
        <f t="shared" si="249"/>
        <v>-3.9601408813675909E-2</v>
      </c>
      <c r="I581" s="90">
        <f t="shared" si="249"/>
        <v>-4.6962384584984918E-2</v>
      </c>
      <c r="J581" s="90">
        <f t="shared" si="249"/>
        <v>-2.6267869476944927E-2</v>
      </c>
      <c r="K581" s="90">
        <f t="shared" si="249"/>
        <v>4.7869939587530386E-3</v>
      </c>
      <c r="L581" s="90">
        <f t="shared" si="249"/>
        <v>5.7890491979567971E-2</v>
      </c>
      <c r="M581" s="90">
        <f t="shared" si="249"/>
        <v>1.4030453697948975E-2</v>
      </c>
      <c r="N581" s="81">
        <f t="shared" si="249"/>
        <v>-4.4751665013461839E-2</v>
      </c>
    </row>
    <row r="582" spans="2:14" hidden="1" outlineLevel="1" x14ac:dyDescent="0.3">
      <c r="B582" s="48">
        <v>44535</v>
      </c>
      <c r="C582" s="90">
        <f t="shared" ref="C582:N582" si="250">C315/C314-1</f>
        <v>3.0974024444810677E-2</v>
      </c>
      <c r="D582" s="90">
        <f t="shared" si="250"/>
        <v>-1.9327164721580359E-2</v>
      </c>
      <c r="E582" s="90">
        <f t="shared" si="250"/>
        <v>1.4633466100734793E-2</v>
      </c>
      <c r="F582" s="90">
        <f t="shared" si="250"/>
        <v>-3.3833153839781249E-2</v>
      </c>
      <c r="G582" s="90">
        <f t="shared" si="250"/>
        <v>-7.8545242745058363E-3</v>
      </c>
      <c r="H582" s="90">
        <f t="shared" si="250"/>
        <v>-4.8509242695289112E-2</v>
      </c>
      <c r="I582" s="90">
        <f t="shared" si="250"/>
        <v>-2.4471767936015354E-2</v>
      </c>
      <c r="J582" s="90">
        <f t="shared" si="250"/>
        <v>-5.2319332788788198E-2</v>
      </c>
      <c r="K582" s="90">
        <f t="shared" si="250"/>
        <v>-6.520415171109073E-2</v>
      </c>
      <c r="L582" s="90">
        <f t="shared" si="250"/>
        <v>4.2512252677436857E-2</v>
      </c>
      <c r="M582" s="90">
        <f t="shared" si="250"/>
        <v>-3.9608966795887435E-2</v>
      </c>
      <c r="N582" s="81">
        <f t="shared" si="250"/>
        <v>-1.4389156213204246E-2</v>
      </c>
    </row>
    <row r="583" spans="2:14" hidden="1" outlineLevel="1" x14ac:dyDescent="0.3">
      <c r="B583" s="48">
        <v>44528</v>
      </c>
      <c r="C583" s="90">
        <f t="shared" ref="C583:N583" si="251">C316/C315-1</f>
        <v>-1.7965542249861466E-2</v>
      </c>
      <c r="D583" s="90">
        <f t="shared" si="251"/>
        <v>-2.5473294082292153E-3</v>
      </c>
      <c r="E583" s="90">
        <f t="shared" si="251"/>
        <v>1.0050164925783367E-3</v>
      </c>
      <c r="F583" s="90">
        <f t="shared" si="251"/>
        <v>-1.3473267824784751E-2</v>
      </c>
      <c r="G583" s="90">
        <f t="shared" si="251"/>
        <v>7.9167062358092011E-3</v>
      </c>
      <c r="H583" s="90">
        <f t="shared" si="251"/>
        <v>3.9168990693447814E-3</v>
      </c>
      <c r="I583" s="90">
        <f t="shared" si="251"/>
        <v>-5.8286317850425595E-3</v>
      </c>
      <c r="J583" s="90">
        <f t="shared" si="251"/>
        <v>3.5633278896751941E-2</v>
      </c>
      <c r="K583" s="90">
        <f t="shared" si="251"/>
        <v>-3.0957892645422369E-4</v>
      </c>
      <c r="L583" s="90">
        <f t="shared" si="251"/>
        <v>-3.4672888517434997E-2</v>
      </c>
      <c r="M583" s="90">
        <f t="shared" si="251"/>
        <v>-1.5013242285969564E-2</v>
      </c>
      <c r="N583" s="81">
        <f t="shared" si="251"/>
        <v>6.547075921623291E-3</v>
      </c>
    </row>
    <row r="584" spans="2:14" hidden="1" outlineLevel="1" x14ac:dyDescent="0.3">
      <c r="B584" s="48">
        <v>44521</v>
      </c>
      <c r="C584" s="90">
        <f t="shared" ref="C584:N584" si="252">C317/C316-1</f>
        <v>-9.900155262346888E-3</v>
      </c>
      <c r="D584" s="90">
        <f t="shared" si="252"/>
        <v>-3.4643446435719705E-2</v>
      </c>
      <c r="E584" s="90">
        <f t="shared" si="252"/>
        <v>-5.3180930151401906E-2</v>
      </c>
      <c r="F584" s="90">
        <f t="shared" si="252"/>
        <v>-2.5292324807917321E-2</v>
      </c>
      <c r="G584" s="90">
        <f t="shared" si="252"/>
        <v>-5.237777092541207E-2</v>
      </c>
      <c r="H584" s="90">
        <f t="shared" si="252"/>
        <v>-3.0120481927710774E-2</v>
      </c>
      <c r="I584" s="90">
        <f t="shared" si="252"/>
        <v>-4.1363539190090948E-2</v>
      </c>
      <c r="J584" s="90">
        <f t="shared" si="252"/>
        <v>-2.9282288267373335E-2</v>
      </c>
      <c r="K584" s="90">
        <f t="shared" si="252"/>
        <v>-9.8508938970955251E-2</v>
      </c>
      <c r="L584" s="90">
        <f t="shared" si="252"/>
        <v>5.7118120272723338E-3</v>
      </c>
      <c r="M584" s="90">
        <f t="shared" si="252"/>
        <v>-8.957351345222464E-3</v>
      </c>
      <c r="N584" s="81">
        <f t="shared" si="252"/>
        <v>-1.5420128407614753E-2</v>
      </c>
    </row>
    <row r="585" spans="2:14" hidden="1" outlineLevel="1" x14ac:dyDescent="0.3">
      <c r="B585" s="48">
        <v>44514</v>
      </c>
      <c r="C585" s="90">
        <f t="shared" ref="C585:N585" si="253">C318/C317-1</f>
        <v>4.3364882286090145E-2</v>
      </c>
      <c r="D585" s="90">
        <f t="shared" si="253"/>
        <v>4.0479799110851644E-2</v>
      </c>
      <c r="E585" s="90">
        <f t="shared" si="253"/>
        <v>8.3684030851309821E-3</v>
      </c>
      <c r="F585" s="90">
        <f t="shared" si="253"/>
        <v>5.1873472954576449E-2</v>
      </c>
      <c r="G585" s="90">
        <f t="shared" si="253"/>
        <v>9.1473610947909734E-3</v>
      </c>
      <c r="H585" s="90">
        <f t="shared" si="253"/>
        <v>4.8273420654587618E-2</v>
      </c>
      <c r="I585" s="90">
        <f t="shared" si="253"/>
        <v>2.6416088878076449E-2</v>
      </c>
      <c r="J585" s="90">
        <f t="shared" si="253"/>
        <v>7.5109426469924578E-2</v>
      </c>
      <c r="K585" s="90">
        <f t="shared" si="253"/>
        <v>6.4554995565080597E-2</v>
      </c>
      <c r="L585" s="90">
        <f t="shared" si="253"/>
        <v>4.6367592902577748E-2</v>
      </c>
      <c r="M585" s="90">
        <f t="shared" si="253"/>
        <v>9.1510852510460428E-2</v>
      </c>
      <c r="N585" s="81">
        <f t="shared" si="253"/>
        <v>5.7796170968078764E-2</v>
      </c>
    </row>
    <row r="586" spans="2:14" hidden="1" outlineLevel="1" x14ac:dyDescent="0.3">
      <c r="B586" s="48">
        <v>44507</v>
      </c>
      <c r="C586" s="90">
        <f t="shared" ref="C586:N586" si="254">C319/C318-1</f>
        <v>1.9023574709537971E-2</v>
      </c>
      <c r="D586" s="90">
        <f t="shared" si="254"/>
        <v>9.0343544310829138E-3</v>
      </c>
      <c r="E586" s="90">
        <f t="shared" si="254"/>
        <v>1.4488715519643369E-2</v>
      </c>
      <c r="F586" s="90">
        <f t="shared" si="254"/>
        <v>4.4647146256138193E-4</v>
      </c>
      <c r="G586" s="90">
        <f t="shared" si="254"/>
        <v>4.655828742890411E-2</v>
      </c>
      <c r="H586" s="90">
        <f t="shared" si="254"/>
        <v>1.3170417216713082E-2</v>
      </c>
      <c r="I586" s="90">
        <f t="shared" si="254"/>
        <v>1.1001599873590173E-2</v>
      </c>
      <c r="J586" s="90">
        <f t="shared" si="254"/>
        <v>1.3375025357984738E-2</v>
      </c>
      <c r="K586" s="90">
        <f t="shared" si="254"/>
        <v>-3.4820886752651159E-3</v>
      </c>
      <c r="L586" s="90">
        <f t="shared" si="254"/>
        <v>1.7048700779303871E-2</v>
      </c>
      <c r="M586" s="90">
        <f t="shared" si="254"/>
        <v>4.267553119805978E-3</v>
      </c>
      <c r="N586" s="81">
        <f t="shared" si="254"/>
        <v>-2.7655641499614303E-2</v>
      </c>
    </row>
    <row r="587" spans="2:14" hidden="1" outlineLevel="1" x14ac:dyDescent="0.3">
      <c r="B587" s="48">
        <v>44500</v>
      </c>
      <c r="C587" s="90">
        <f t="shared" ref="C587:N587" si="255">C320/C319-1</f>
        <v>-1.0271920012152935E-2</v>
      </c>
      <c r="D587" s="90">
        <f t="shared" si="255"/>
        <v>-2.7470047313272294E-2</v>
      </c>
      <c r="E587" s="90">
        <f t="shared" si="255"/>
        <v>-4.9348371149365855E-3</v>
      </c>
      <c r="F587" s="90">
        <f t="shared" si="255"/>
        <v>-4.0164499327767222E-2</v>
      </c>
      <c r="G587" s="90">
        <f t="shared" si="255"/>
        <v>9.1661460250078708E-3</v>
      </c>
      <c r="H587" s="90">
        <f t="shared" si="255"/>
        <v>-9.6054784558510242E-3</v>
      </c>
      <c r="I587" s="90">
        <f t="shared" si="255"/>
        <v>-4.9935529246278199E-2</v>
      </c>
      <c r="J587" s="90">
        <f t="shared" si="255"/>
        <v>-6.6026990646464001E-2</v>
      </c>
      <c r="K587" s="90">
        <f t="shared" si="255"/>
        <v>-2.3536689687836843E-2</v>
      </c>
      <c r="L587" s="90">
        <f t="shared" si="255"/>
        <v>-5.2243668966137635E-3</v>
      </c>
      <c r="M587" s="90">
        <f t="shared" si="255"/>
        <v>-1.0973936899862924E-2</v>
      </c>
      <c r="N587" s="81">
        <f t="shared" si="255"/>
        <v>-6.2126245847176076E-2</v>
      </c>
    </row>
    <row r="588" spans="2:14" hidden="1" outlineLevel="1" x14ac:dyDescent="0.3">
      <c r="B588" s="48">
        <v>44493</v>
      </c>
      <c r="C588" s="90">
        <f t="shared" ref="C588:N588" si="256">C321/C320-1</f>
        <v>-1.3682688873012938E-2</v>
      </c>
      <c r="D588" s="90">
        <f t="shared" si="256"/>
        <v>-2.6192716698387519E-2</v>
      </c>
      <c r="E588" s="90">
        <f t="shared" si="256"/>
        <v>-3.16078138077176E-2</v>
      </c>
      <c r="F588" s="90">
        <f t="shared" si="256"/>
        <v>-2.3965346767738427E-2</v>
      </c>
      <c r="G588" s="90">
        <f t="shared" si="256"/>
        <v>-3.3261529589361793E-2</v>
      </c>
      <c r="H588" s="90">
        <f t="shared" si="256"/>
        <v>-1.0616490744990159E-2</v>
      </c>
      <c r="I588" s="90">
        <f t="shared" si="256"/>
        <v>-2.826101857563923E-2</v>
      </c>
      <c r="J588" s="90">
        <f t="shared" si="256"/>
        <v>-1.2224685883222453E-2</v>
      </c>
      <c r="K588" s="90">
        <f t="shared" si="256"/>
        <v>-3.1028355630787874E-2</v>
      </c>
      <c r="L588" s="90">
        <f t="shared" si="256"/>
        <v>-5.7600433697391207E-4</v>
      </c>
      <c r="M588" s="90">
        <f t="shared" si="256"/>
        <v>-2.4362298739673105E-2</v>
      </c>
      <c r="N588" s="81">
        <f t="shared" si="256"/>
        <v>-4.1514149643798848E-2</v>
      </c>
    </row>
    <row r="589" spans="2:14" hidden="1" outlineLevel="1" x14ac:dyDescent="0.3">
      <c r="B589" s="48">
        <v>44486</v>
      </c>
      <c r="C589" s="90">
        <f t="shared" ref="C589:N589" si="257">C322/C321-1</f>
        <v>2.5082547470100414E-2</v>
      </c>
      <c r="D589" s="90">
        <f t="shared" si="257"/>
        <v>2.8652595633378075E-2</v>
      </c>
      <c r="E589" s="90">
        <f t="shared" si="257"/>
        <v>2.9752491633260991E-2</v>
      </c>
      <c r="F589" s="90">
        <f t="shared" si="257"/>
        <v>3.1210805595754954E-2</v>
      </c>
      <c r="G589" s="90">
        <f t="shared" si="257"/>
        <v>4.3932907572461266E-2</v>
      </c>
      <c r="H589" s="90">
        <f t="shared" si="257"/>
        <v>5.5105448698125947E-2</v>
      </c>
      <c r="I589" s="90">
        <f t="shared" si="257"/>
        <v>2.6790437831089031E-2</v>
      </c>
      <c r="J589" s="90">
        <f t="shared" si="257"/>
        <v>-2.0771291321850294E-2</v>
      </c>
      <c r="K589" s="90">
        <f t="shared" si="257"/>
        <v>-1.3204135422838936E-2</v>
      </c>
      <c r="L589" s="90">
        <f t="shared" si="257"/>
        <v>2.8093569894903414E-2</v>
      </c>
      <c r="M589" s="90">
        <f t="shared" si="257"/>
        <v>5.8409048766918659E-3</v>
      </c>
      <c r="N589" s="81">
        <f t="shared" si="257"/>
        <v>0.10821382007822677</v>
      </c>
    </row>
    <row r="590" spans="2:14" hidden="1" outlineLevel="1" x14ac:dyDescent="0.3">
      <c r="B590" s="48">
        <v>44479</v>
      </c>
      <c r="C590" s="90">
        <f t="shared" ref="C590:N590" si="258">C323/C322-1</f>
        <v>1.2346190152857428E-2</v>
      </c>
      <c r="D590" s="90">
        <f t="shared" si="258"/>
        <v>9.8941506696632597E-3</v>
      </c>
      <c r="E590" s="90">
        <f t="shared" si="258"/>
        <v>3.2184523809523746E-2</v>
      </c>
      <c r="F590" s="90">
        <f t="shared" si="258"/>
        <v>-2.350657248444632E-3</v>
      </c>
      <c r="G590" s="90">
        <f t="shared" si="258"/>
        <v>4.7865546218487376E-2</v>
      </c>
      <c r="H590" s="90">
        <f t="shared" si="258"/>
        <v>3.7895662368112593E-2</v>
      </c>
      <c r="I590" s="90">
        <f t="shared" si="258"/>
        <v>-5.7101638443307179E-2</v>
      </c>
      <c r="J590" s="90">
        <f t="shared" si="258"/>
        <v>-6.7945289218308336E-2</v>
      </c>
      <c r="K590" s="90">
        <f t="shared" si="258"/>
        <v>8.7837173308763061E-2</v>
      </c>
      <c r="L590" s="90">
        <f t="shared" si="258"/>
        <v>5.0320963770664751E-2</v>
      </c>
      <c r="M590" s="90">
        <f t="shared" si="258"/>
        <v>3.6562509601498761E-3</v>
      </c>
      <c r="N590" s="81">
        <f t="shared" si="258"/>
        <v>3.827698008337177E-2</v>
      </c>
    </row>
    <row r="591" spans="2:14" hidden="1" outlineLevel="1" x14ac:dyDescent="0.3">
      <c r="B591" s="48">
        <v>44472</v>
      </c>
      <c r="C591" s="90">
        <f t="shared" ref="C591:N591" si="259">C324/C323-1</f>
        <v>-2.4175848145027712E-2</v>
      </c>
      <c r="D591" s="90">
        <f t="shared" si="259"/>
        <v>1.8384466573506453E-2</v>
      </c>
      <c r="E591" s="90">
        <f t="shared" si="259"/>
        <v>8.9768579123103542E-2</v>
      </c>
      <c r="F591" s="90">
        <f t="shared" si="259"/>
        <v>4.7182528983553684E-3</v>
      </c>
      <c r="G591" s="90">
        <f t="shared" si="259"/>
        <v>5.6746006287290651E-2</v>
      </c>
      <c r="H591" s="90">
        <f t="shared" si="259"/>
        <v>-6.6501002456724967E-2</v>
      </c>
      <c r="I591" s="90">
        <f t="shared" si="259"/>
        <v>6.39694578624872E-3</v>
      </c>
      <c r="J591" s="90">
        <f t="shared" si="259"/>
        <v>-1.8913246651035331E-2</v>
      </c>
      <c r="K591" s="90">
        <f t="shared" si="259"/>
        <v>-4.7360056339100454E-2</v>
      </c>
      <c r="L591" s="90">
        <f t="shared" si="259"/>
        <v>2.5012035079641226E-3</v>
      </c>
      <c r="M591" s="90">
        <f t="shared" si="259"/>
        <v>-5.8011387987509933E-3</v>
      </c>
      <c r="N591" s="81">
        <f t="shared" si="259"/>
        <v>7.4499027497725301E-3</v>
      </c>
    </row>
    <row r="592" spans="2:14" hidden="1" outlineLevel="1" x14ac:dyDescent="0.3">
      <c r="B592" s="48">
        <v>44465</v>
      </c>
      <c r="C592" s="90">
        <f t="shared" ref="C592:N592" si="260">C325/C324-1</f>
        <v>-2.0293151236085771E-2</v>
      </c>
      <c r="D592" s="90">
        <f t="shared" si="260"/>
        <v>-4.4541508708312749E-2</v>
      </c>
      <c r="E592" s="90">
        <f t="shared" si="260"/>
        <v>-5.2200440802546377E-2</v>
      </c>
      <c r="F592" s="90">
        <f t="shared" si="260"/>
        <v>-3.4051067851288419E-2</v>
      </c>
      <c r="G592" s="90">
        <f t="shared" si="260"/>
        <v>-3.660868773335757E-2</v>
      </c>
      <c r="H592" s="90">
        <f t="shared" si="260"/>
        <v>-3.7661080525137614E-2</v>
      </c>
      <c r="I592" s="90">
        <f t="shared" si="260"/>
        <v>-4.7708334841563338E-2</v>
      </c>
      <c r="J592" s="90">
        <f t="shared" si="260"/>
        <v>-3.8898312874464103E-2</v>
      </c>
      <c r="K592" s="90">
        <f t="shared" si="260"/>
        <v>-9.2026593008096791E-2</v>
      </c>
      <c r="L592" s="90">
        <f t="shared" si="260"/>
        <v>-5.7916549225935032E-2</v>
      </c>
      <c r="M592" s="90">
        <f t="shared" si="260"/>
        <v>-6.8172370791187542E-2</v>
      </c>
      <c r="N592" s="81">
        <f t="shared" si="260"/>
        <v>-6.4888369333227058E-2</v>
      </c>
    </row>
    <row r="593" spans="2:14" hidden="1" outlineLevel="1" x14ac:dyDescent="0.3">
      <c r="B593" s="48">
        <v>44458</v>
      </c>
      <c r="C593" s="90">
        <f t="shared" ref="C593:N593" si="261">C326/C325-1</f>
        <v>1.8317880681380849E-2</v>
      </c>
      <c r="D593" s="90">
        <f t="shared" si="261"/>
        <v>6.6780044047543896E-2</v>
      </c>
      <c r="E593" s="90">
        <f t="shared" si="261"/>
        <v>3.7826128223595656E-2</v>
      </c>
      <c r="F593" s="90">
        <f t="shared" si="261"/>
        <v>5.926972738582692E-2</v>
      </c>
      <c r="G593" s="90">
        <f t="shared" si="261"/>
        <v>6.6302738128997785E-2</v>
      </c>
      <c r="H593" s="90">
        <f t="shared" si="261"/>
        <v>6.3244585546789134E-2</v>
      </c>
      <c r="I593" s="90">
        <f t="shared" si="261"/>
        <v>0.10464417938133352</v>
      </c>
      <c r="J593" s="90">
        <f t="shared" si="261"/>
        <v>8.3562286986158529E-2</v>
      </c>
      <c r="K593" s="90">
        <f t="shared" si="261"/>
        <v>3.0509574813372353E-2</v>
      </c>
      <c r="L593" s="90">
        <f t="shared" si="261"/>
        <v>4.3913790237686268E-2</v>
      </c>
      <c r="M593" s="90">
        <f t="shared" si="261"/>
        <v>0.10445270549359775</v>
      </c>
      <c r="N593" s="81">
        <f t="shared" si="261"/>
        <v>6.9987688228051681E-2</v>
      </c>
    </row>
    <row r="594" spans="2:14" hidden="1" outlineLevel="1" x14ac:dyDescent="0.3">
      <c r="B594" s="48">
        <v>44451</v>
      </c>
      <c r="C594" s="90">
        <f t="shared" ref="C594:N594" si="262">C327/C326-1</f>
        <v>-1.5014115116617655E-2</v>
      </c>
      <c r="D594" s="90">
        <f t="shared" si="262"/>
        <v>-3.9262059253569404E-2</v>
      </c>
      <c r="E594" s="90">
        <f t="shared" si="262"/>
        <v>-1.1224742312409886E-2</v>
      </c>
      <c r="F594" s="90">
        <f t="shared" si="262"/>
        <v>-4.1129786312116612E-2</v>
      </c>
      <c r="G594" s="90">
        <f t="shared" si="262"/>
        <v>-6.9870350533742243E-2</v>
      </c>
      <c r="H594" s="90">
        <f t="shared" si="262"/>
        <v>-1.6614929785661481E-2</v>
      </c>
      <c r="I594" s="90">
        <f t="shared" si="262"/>
        <v>-4.1718855381057796E-2</v>
      </c>
      <c r="J594" s="90">
        <f t="shared" si="262"/>
        <v>-8.2823144262479276E-2</v>
      </c>
      <c r="K594" s="90">
        <f t="shared" si="262"/>
        <v>-5.764313359135198E-2</v>
      </c>
      <c r="L594" s="90">
        <f t="shared" si="262"/>
        <v>1.7068614130434812E-2</v>
      </c>
      <c r="M594" s="90">
        <f t="shared" si="262"/>
        <v>-4.4355019671787788E-2</v>
      </c>
      <c r="N594" s="81">
        <f t="shared" si="262"/>
        <v>-3.6165693043016423E-2</v>
      </c>
    </row>
    <row r="595" spans="2:14" hidden="1" outlineLevel="1" x14ac:dyDescent="0.3">
      <c r="B595" s="48">
        <v>44444</v>
      </c>
      <c r="C595" s="90">
        <f t="shared" ref="C595:N595" si="263">C328/C327-1</f>
        <v>-1.2277404514604684E-2</v>
      </c>
      <c r="D595" s="90">
        <f t="shared" si="263"/>
        <v>-2.3682549478910908E-2</v>
      </c>
      <c r="E595" s="90">
        <f t="shared" si="263"/>
        <v>-9.521348222908399E-3</v>
      </c>
      <c r="F595" s="90">
        <f t="shared" si="263"/>
        <v>1.7837818553712026E-4</v>
      </c>
      <c r="G595" s="90">
        <f t="shared" si="263"/>
        <v>-5.1252114656055614E-2</v>
      </c>
      <c r="H595" s="90">
        <f t="shared" si="263"/>
        <v>-4.3892613414303616E-3</v>
      </c>
      <c r="I595" s="90">
        <f t="shared" si="263"/>
        <v>-1.2610956306914445E-2</v>
      </c>
      <c r="J595" s="90">
        <f t="shared" si="263"/>
        <v>-4.9114211976728939E-2</v>
      </c>
      <c r="K595" s="90">
        <f t="shared" si="263"/>
        <v>-1.2009494298322654E-2</v>
      </c>
      <c r="L595" s="90">
        <f t="shared" si="263"/>
        <v>-4.8530516823912517E-3</v>
      </c>
      <c r="M595" s="90">
        <f t="shared" si="263"/>
        <v>-7.1240725086878842E-2</v>
      </c>
      <c r="N595" s="81">
        <f t="shared" si="263"/>
        <v>-6.0563483754844216E-2</v>
      </c>
    </row>
    <row r="596" spans="2:14" hidden="1" outlineLevel="1" x14ac:dyDescent="0.3">
      <c r="B596" s="48">
        <v>44437</v>
      </c>
      <c r="C596" s="90">
        <f t="shared" ref="C596:N596" si="264">C329/C328-1</f>
        <v>-2.6282078961383792E-3</v>
      </c>
      <c r="D596" s="90">
        <f t="shared" si="264"/>
        <v>2.5544288739536292E-3</v>
      </c>
      <c r="E596" s="90">
        <f t="shared" si="264"/>
        <v>1.3359150771089956E-2</v>
      </c>
      <c r="F596" s="90">
        <f t="shared" si="264"/>
        <v>5.3503911730434783E-3</v>
      </c>
      <c r="G596" s="90">
        <f t="shared" si="264"/>
        <v>-1.9857016089875668E-2</v>
      </c>
      <c r="H596" s="90">
        <f t="shared" si="264"/>
        <v>-1.0930941812362205E-2</v>
      </c>
      <c r="I596" s="90">
        <f t="shared" si="264"/>
        <v>6.0732573024553371E-3</v>
      </c>
      <c r="J596" s="90">
        <f t="shared" si="264"/>
        <v>4.9130102768397688E-3</v>
      </c>
      <c r="K596" s="90">
        <f t="shared" si="264"/>
        <v>-1.5492497434162589E-2</v>
      </c>
      <c r="L596" s="90">
        <f t="shared" si="264"/>
        <v>-3.8908873530429933E-3</v>
      </c>
      <c r="M596" s="90">
        <f t="shared" si="264"/>
        <v>-1.3797171798891061E-2</v>
      </c>
      <c r="N596" s="81">
        <f t="shared" si="264"/>
        <v>2.5083334147939063E-2</v>
      </c>
    </row>
    <row r="597" spans="2:14" hidden="1" outlineLevel="1" x14ac:dyDescent="0.3">
      <c r="B597" s="48">
        <v>44430</v>
      </c>
      <c r="C597" s="90">
        <f t="shared" ref="C597:N597" si="265">C330/C329-1</f>
        <v>-3.5696968297582399E-2</v>
      </c>
      <c r="D597" s="90">
        <f t="shared" si="265"/>
        <v>-1.6663227404044356E-2</v>
      </c>
      <c r="E597" s="90">
        <f t="shared" si="265"/>
        <v>-3.1729812797627988E-2</v>
      </c>
      <c r="F597" s="90">
        <f t="shared" si="265"/>
        <v>4.7897251525617079E-3</v>
      </c>
      <c r="G597" s="90">
        <f t="shared" si="265"/>
        <v>-1.0044242496711653E-2</v>
      </c>
      <c r="H597" s="90">
        <f t="shared" si="265"/>
        <v>-3.0743397954510754E-2</v>
      </c>
      <c r="I597" s="90">
        <f t="shared" si="265"/>
        <v>2.3929498348069789E-3</v>
      </c>
      <c r="J597" s="90">
        <f t="shared" si="265"/>
        <v>-4.168459601739527E-2</v>
      </c>
      <c r="K597" s="90">
        <f t="shared" si="265"/>
        <v>-5.4587810488919919E-2</v>
      </c>
      <c r="L597" s="90">
        <f t="shared" si="265"/>
        <v>3.063802905874935E-3</v>
      </c>
      <c r="M597" s="90">
        <f t="shared" si="265"/>
        <v>-1.9459123194399797E-2</v>
      </c>
      <c r="N597" s="81">
        <f t="shared" si="265"/>
        <v>-3.170743336670967E-2</v>
      </c>
    </row>
    <row r="598" spans="2:14" hidden="1" outlineLevel="1" x14ac:dyDescent="0.3">
      <c r="B598" s="48">
        <v>44423</v>
      </c>
      <c r="C598" s="90">
        <f t="shared" ref="C598:N598" si="266">C331/C330-1</f>
        <v>-1.5246749515121061E-2</v>
      </c>
      <c r="D598" s="90">
        <f t="shared" si="266"/>
        <v>-2.7935167211700529E-2</v>
      </c>
      <c r="E598" s="90">
        <f t="shared" si="266"/>
        <v>-4.3182403457503349E-2</v>
      </c>
      <c r="F598" s="90">
        <f t="shared" si="266"/>
        <v>1.4135897647155726E-2</v>
      </c>
      <c r="G598" s="90">
        <f t="shared" si="266"/>
        <v>-3.9212810380825913E-2</v>
      </c>
      <c r="H598" s="90">
        <f t="shared" si="266"/>
        <v>-2.3497543152324663E-2</v>
      </c>
      <c r="I598" s="90">
        <f t="shared" si="266"/>
        <v>-3.1964458291863118E-2</v>
      </c>
      <c r="J598" s="90">
        <f t="shared" si="266"/>
        <v>-6.025489147049834E-2</v>
      </c>
      <c r="K598" s="90">
        <f t="shared" si="266"/>
        <v>-2.2065889658231197E-2</v>
      </c>
      <c r="L598" s="90">
        <f t="shared" si="266"/>
        <v>-6.8142456781182137E-2</v>
      </c>
      <c r="M598" s="90">
        <f t="shared" si="266"/>
        <v>-1.6167658408541952E-2</v>
      </c>
      <c r="N598" s="81">
        <f t="shared" si="266"/>
        <v>-3.3543431160133919E-2</v>
      </c>
    </row>
    <row r="599" spans="2:14" hidden="1" outlineLevel="1" x14ac:dyDescent="0.3">
      <c r="B599" s="48">
        <v>44416</v>
      </c>
      <c r="C599" s="90">
        <f t="shared" ref="C599:N599" si="267">C332/C331-1</f>
        <v>4.7779702744596975E-3</v>
      </c>
      <c r="D599" s="90">
        <f t="shared" si="267"/>
        <v>-2.0165600492933589E-2</v>
      </c>
      <c r="E599" s="90">
        <f t="shared" si="267"/>
        <v>-2.69991954947707E-2</v>
      </c>
      <c r="F599" s="90">
        <f t="shared" si="267"/>
        <v>-1.1977437849632122E-2</v>
      </c>
      <c r="G599" s="90">
        <f t="shared" si="267"/>
        <v>1.876779123750838E-3</v>
      </c>
      <c r="H599" s="90">
        <f t="shared" si="267"/>
        <v>-7.3221082510804836E-3</v>
      </c>
      <c r="I599" s="90">
        <f t="shared" si="267"/>
        <v>-1.1473528929683674E-2</v>
      </c>
      <c r="J599" s="90">
        <f t="shared" si="267"/>
        <v>-1.1335332689472843E-2</v>
      </c>
      <c r="K599" s="90">
        <f t="shared" si="267"/>
        <v>-1.7990551181102377E-2</v>
      </c>
      <c r="L599" s="90">
        <f t="shared" si="267"/>
        <v>4.043749084806092E-2</v>
      </c>
      <c r="M599" s="90">
        <f t="shared" si="267"/>
        <v>-3.3058026935382623E-2</v>
      </c>
      <c r="N599" s="81">
        <f t="shared" si="267"/>
        <v>-1.941223225385702E-2</v>
      </c>
    </row>
    <row r="600" spans="2:14" hidden="1" outlineLevel="1" x14ac:dyDescent="0.3">
      <c r="B600" s="48">
        <v>44409</v>
      </c>
      <c r="C600" s="90">
        <f t="shared" ref="C600:N600" si="268">C333/C332-1</f>
        <v>-1.7599264327761266E-2</v>
      </c>
      <c r="D600" s="90">
        <f t="shared" si="268"/>
        <v>-4.209150886813473E-2</v>
      </c>
      <c r="E600" s="90">
        <f t="shared" si="268"/>
        <v>-4.4348097992759961E-2</v>
      </c>
      <c r="F600" s="90">
        <f t="shared" si="268"/>
        <v>-3.6209326911781914E-2</v>
      </c>
      <c r="G600" s="90">
        <f t="shared" si="268"/>
        <v>-6.2077619431746833E-2</v>
      </c>
      <c r="H600" s="90">
        <f t="shared" si="268"/>
        <v>-2.8432168968318461E-2</v>
      </c>
      <c r="I600" s="90">
        <f t="shared" si="268"/>
        <v>-8.5708686935680789E-2</v>
      </c>
      <c r="J600" s="90">
        <f t="shared" si="268"/>
        <v>-2.0555269922879149E-2</v>
      </c>
      <c r="K600" s="90">
        <f t="shared" si="268"/>
        <v>-1.9372137478029794E-3</v>
      </c>
      <c r="L600" s="90">
        <f t="shared" si="268"/>
        <v>-4.3012266019984979E-2</v>
      </c>
      <c r="M600" s="90">
        <f t="shared" si="268"/>
        <v>-2.1494974367994413E-2</v>
      </c>
      <c r="N600" s="81">
        <f t="shared" si="268"/>
        <v>-4.53085868085501E-3</v>
      </c>
    </row>
    <row r="601" spans="2:14" hidden="1" outlineLevel="1" x14ac:dyDescent="0.3">
      <c r="B601" s="48">
        <v>44402</v>
      </c>
      <c r="C601" s="90">
        <f t="shared" ref="C601:N601" si="269">C334/C333-1</f>
        <v>-2.9261248167900433E-2</v>
      </c>
      <c r="D601" s="90">
        <f t="shared" si="269"/>
        <v>-2.6299144179687151E-2</v>
      </c>
      <c r="E601" s="90">
        <f t="shared" si="269"/>
        <v>-4.3008249277952104E-2</v>
      </c>
      <c r="F601" s="90">
        <f t="shared" si="269"/>
        <v>-2.4059233980316286E-2</v>
      </c>
      <c r="G601" s="90">
        <f t="shared" si="269"/>
        <v>-2.3814074385535844E-2</v>
      </c>
      <c r="H601" s="90">
        <f t="shared" si="269"/>
        <v>-1.8127090301003346E-2</v>
      </c>
      <c r="I601" s="90">
        <f t="shared" si="269"/>
        <v>-4.3533097024152978E-2</v>
      </c>
      <c r="J601" s="90">
        <f t="shared" si="269"/>
        <v>-1.6419775120471103E-2</v>
      </c>
      <c r="K601" s="90">
        <f t="shared" si="269"/>
        <v>7.950280220062611E-3</v>
      </c>
      <c r="L601" s="90">
        <f t="shared" si="269"/>
        <v>-2.3609665595728413E-2</v>
      </c>
      <c r="M601" s="90">
        <f t="shared" si="269"/>
        <v>-3.5220102233789463E-2</v>
      </c>
      <c r="N601" s="81">
        <f t="shared" si="269"/>
        <v>6.1434551585188846E-2</v>
      </c>
    </row>
    <row r="602" spans="2:14" hidden="1" outlineLevel="1" x14ac:dyDescent="0.3">
      <c r="B602" s="48">
        <v>44395</v>
      </c>
      <c r="C602" s="90">
        <f t="shared" ref="C602:N602" si="270">C335/C334-1</f>
        <v>5.899873438198755E-3</v>
      </c>
      <c r="D602" s="90">
        <f t="shared" si="270"/>
        <v>-1.9217488160288454E-2</v>
      </c>
      <c r="E602" s="90">
        <f t="shared" si="270"/>
        <v>1.4330519173110234E-2</v>
      </c>
      <c r="F602" s="90">
        <f t="shared" si="270"/>
        <v>-1.2444816325001495E-2</v>
      </c>
      <c r="G602" s="90">
        <f t="shared" si="270"/>
        <v>-3.0200093977602038E-2</v>
      </c>
      <c r="H602" s="90">
        <f t="shared" si="270"/>
        <v>2.0437359493153506E-2</v>
      </c>
      <c r="I602" s="90">
        <f t="shared" si="270"/>
        <v>-6.4940661386377441E-2</v>
      </c>
      <c r="J602" s="90">
        <f t="shared" si="270"/>
        <v>-7.0991706426718815E-2</v>
      </c>
      <c r="K602" s="90">
        <f t="shared" si="270"/>
        <v>-3.3099745582768403E-2</v>
      </c>
      <c r="L602" s="90">
        <f t="shared" si="270"/>
        <v>-7.0293943852900553E-2</v>
      </c>
      <c r="M602" s="90">
        <f t="shared" si="270"/>
        <v>-2.6770950588052678E-2</v>
      </c>
      <c r="N602" s="81">
        <f t="shared" si="270"/>
        <v>-7.7784771533665031E-2</v>
      </c>
    </row>
    <row r="603" spans="2:14" hidden="1" outlineLevel="1" x14ac:dyDescent="0.3">
      <c r="B603" s="48">
        <v>44388</v>
      </c>
      <c r="C603" s="90">
        <f t="shared" ref="C603:N603" si="271">C336/C335-1</f>
        <v>4.2475900366105712E-3</v>
      </c>
      <c r="D603" s="90">
        <f t="shared" si="271"/>
        <v>-1.6526561919830818E-2</v>
      </c>
      <c r="E603" s="90">
        <f t="shared" si="271"/>
        <v>-5.6168668060349036E-3</v>
      </c>
      <c r="F603" s="90">
        <f t="shared" si="271"/>
        <v>-2.2010192597088918E-2</v>
      </c>
      <c r="G603" s="90">
        <f t="shared" si="271"/>
        <v>1.1073314019804714E-2</v>
      </c>
      <c r="H603" s="90">
        <f t="shared" si="271"/>
        <v>-3.5716670004673157E-2</v>
      </c>
      <c r="I603" s="90">
        <f t="shared" si="271"/>
        <v>-3.7356904529282753E-2</v>
      </c>
      <c r="J603" s="90">
        <f t="shared" si="271"/>
        <v>-1.6645985569189836E-2</v>
      </c>
      <c r="K603" s="90">
        <f t="shared" si="271"/>
        <v>-6.4970521900842959E-2</v>
      </c>
      <c r="L603" s="90">
        <f t="shared" si="271"/>
        <v>1.8194960245259129E-3</v>
      </c>
      <c r="M603" s="90">
        <f t="shared" si="271"/>
        <v>-5.5313819880111526E-2</v>
      </c>
      <c r="N603" s="81">
        <f t="shared" si="271"/>
        <v>-3.0009917989954116E-2</v>
      </c>
    </row>
    <row r="604" spans="2:14" hidden="1" outlineLevel="1" x14ac:dyDescent="0.3">
      <c r="B604" s="48">
        <v>44381</v>
      </c>
      <c r="C604" s="90">
        <f t="shared" ref="C604:N604" si="272">C337/C336-1</f>
        <v>-1.4670233744049632E-2</v>
      </c>
      <c r="D604" s="90">
        <f t="shared" si="272"/>
        <v>-2.5103528031224176E-2</v>
      </c>
      <c r="E604" s="90">
        <f t="shared" si="272"/>
        <v>4.1785907523419485E-3</v>
      </c>
      <c r="F604" s="90">
        <f t="shared" si="272"/>
        <v>4.7907521028234257E-3</v>
      </c>
      <c r="G604" s="90">
        <f t="shared" si="272"/>
        <v>-2.8014056946607524E-2</v>
      </c>
      <c r="H604" s="90">
        <f t="shared" si="272"/>
        <v>-8.9933536416505144E-2</v>
      </c>
      <c r="I604" s="90">
        <f t="shared" si="272"/>
        <v>-4.660047299432224E-2</v>
      </c>
      <c r="J604" s="90">
        <f t="shared" si="272"/>
        <v>-5.4681073805428748E-2</v>
      </c>
      <c r="K604" s="90">
        <f t="shared" si="272"/>
        <v>-2.3436728590975009E-2</v>
      </c>
      <c r="L604" s="90">
        <f t="shared" si="272"/>
        <v>-1.877145842663086E-2</v>
      </c>
      <c r="M604" s="90">
        <f t="shared" si="272"/>
        <v>-6.7317110240475486E-2</v>
      </c>
      <c r="N604" s="81">
        <f t="shared" si="272"/>
        <v>-4.2042768401956976E-2</v>
      </c>
    </row>
    <row r="605" spans="2:14" hidden="1" outlineLevel="1" x14ac:dyDescent="0.3">
      <c r="B605" s="48">
        <v>44374</v>
      </c>
      <c r="C605" s="90">
        <f t="shared" ref="C605:N605" si="273">C338/C337-1</f>
        <v>2.0650358831852955E-3</v>
      </c>
      <c r="D605" s="90">
        <f t="shared" si="273"/>
        <v>1.2062926083831638E-2</v>
      </c>
      <c r="E605" s="90">
        <f t="shared" si="273"/>
        <v>3.6564703132911713E-2</v>
      </c>
      <c r="F605" s="90">
        <f t="shared" si="273"/>
        <v>3.1335658306201886E-3</v>
      </c>
      <c r="G605" s="90">
        <f t="shared" si="273"/>
        <v>7.9808541670947086E-3</v>
      </c>
      <c r="H605" s="90">
        <f t="shared" si="273"/>
        <v>2.4343856979840428E-2</v>
      </c>
      <c r="I605" s="90">
        <f t="shared" si="273"/>
        <v>3.5802518729789012E-2</v>
      </c>
      <c r="J605" s="90">
        <f t="shared" si="273"/>
        <v>-2.7735479660648821E-3</v>
      </c>
      <c r="K605" s="90">
        <f t="shared" si="273"/>
        <v>5.5639412695088097E-2</v>
      </c>
      <c r="L605" s="90">
        <f t="shared" si="273"/>
        <v>-8.1048187730574539E-2</v>
      </c>
      <c r="M605" s="90">
        <f t="shared" si="273"/>
        <v>-3.3351590401911935E-2</v>
      </c>
      <c r="N605" s="81">
        <f t="shared" si="273"/>
        <v>-3.663449289001619E-2</v>
      </c>
    </row>
    <row r="606" spans="2:14" hidden="1" outlineLevel="1" x14ac:dyDescent="0.3">
      <c r="B606" s="48">
        <v>44367</v>
      </c>
      <c r="C606" s="90">
        <f t="shared" ref="C606:N606" si="274">C339/C338-1</f>
        <v>8.7869382147536257E-3</v>
      </c>
      <c r="D606" s="90">
        <f t="shared" si="274"/>
        <v>6.9842922371281535E-3</v>
      </c>
      <c r="E606" s="90">
        <f t="shared" si="274"/>
        <v>1.6643233578310879E-2</v>
      </c>
      <c r="F606" s="90">
        <f t="shared" si="274"/>
        <v>4.0859263250396793E-3</v>
      </c>
      <c r="G606" s="90">
        <f t="shared" si="274"/>
        <v>1.1178478626381994E-2</v>
      </c>
      <c r="H606" s="90">
        <f t="shared" si="274"/>
        <v>1.6524322317118312E-2</v>
      </c>
      <c r="I606" s="90">
        <f t="shared" si="274"/>
        <v>8.7260880947015451E-5</v>
      </c>
      <c r="J606" s="90">
        <f t="shared" si="274"/>
        <v>4.269311426970801E-2</v>
      </c>
      <c r="K606" s="90">
        <f t="shared" si="274"/>
        <v>-0.10529052385285331</v>
      </c>
      <c r="L606" s="90">
        <f t="shared" si="274"/>
        <v>2.4142593052451922E-3</v>
      </c>
      <c r="M606" s="90">
        <f t="shared" si="274"/>
        <v>-4.0739682792400922E-2</v>
      </c>
      <c r="N606" s="81">
        <f t="shared" si="274"/>
        <v>-2.3648125424415412E-2</v>
      </c>
    </row>
    <row r="607" spans="2:14" hidden="1" outlineLevel="1" x14ac:dyDescent="0.3">
      <c r="B607" s="48">
        <v>44360</v>
      </c>
      <c r="C607" s="90">
        <f t="shared" ref="C607:N607" si="275">C340/C339-1</f>
        <v>-1.1159905046231655E-2</v>
      </c>
      <c r="D607" s="90">
        <f t="shared" si="275"/>
        <v>-2.6187456244404883E-2</v>
      </c>
      <c r="E607" s="90">
        <f t="shared" si="275"/>
        <v>-2.4699381514427188E-2</v>
      </c>
      <c r="F607" s="90">
        <f t="shared" si="275"/>
        <v>-4.5036987824042751E-2</v>
      </c>
      <c r="G607" s="90">
        <f t="shared" si="275"/>
        <v>-2.0497420187036486E-2</v>
      </c>
      <c r="H607" s="90">
        <f t="shared" si="275"/>
        <v>4.2009132420091078E-3</v>
      </c>
      <c r="I607" s="90">
        <f t="shared" si="275"/>
        <v>-1.725675728080045E-2</v>
      </c>
      <c r="J607" s="90">
        <f t="shared" si="275"/>
        <v>-3.3912851223263818E-2</v>
      </c>
      <c r="K607" s="90">
        <f t="shared" si="275"/>
        <v>-3.0930515304678941E-2</v>
      </c>
      <c r="L607" s="90">
        <f t="shared" si="275"/>
        <v>-2.6602991976438561E-2</v>
      </c>
      <c r="M607" s="90">
        <f t="shared" si="275"/>
        <v>-1.6592547754221476E-2</v>
      </c>
      <c r="N607" s="81">
        <f t="shared" si="275"/>
        <v>-3.0907582302267089E-2</v>
      </c>
    </row>
    <row r="608" spans="2:14" hidden="1" outlineLevel="1" x14ac:dyDescent="0.3">
      <c r="B608" s="48">
        <v>44353</v>
      </c>
      <c r="C608" s="90">
        <f t="shared" ref="C608:N608" si="276">C341/C340-1</f>
        <v>7.3963789624027498E-3</v>
      </c>
      <c r="D608" s="90">
        <f t="shared" si="276"/>
        <v>-8.0188148606462617E-3</v>
      </c>
      <c r="E608" s="90">
        <f t="shared" si="276"/>
        <v>-7.124698005652963E-3</v>
      </c>
      <c r="F608" s="90">
        <f t="shared" si="276"/>
        <v>-3.7521406400513824E-2</v>
      </c>
      <c r="G608" s="90">
        <f t="shared" si="276"/>
        <v>8.3129282495524315E-3</v>
      </c>
      <c r="H608" s="90">
        <f t="shared" si="276"/>
        <v>8.1847944707165166E-3</v>
      </c>
      <c r="I608" s="90">
        <f t="shared" si="276"/>
        <v>2.1505800647148021E-3</v>
      </c>
      <c r="J608" s="90">
        <f t="shared" si="276"/>
        <v>2.48860649847924E-2</v>
      </c>
      <c r="K608" s="90">
        <f t="shared" si="276"/>
        <v>-7.7723069153804447E-3</v>
      </c>
      <c r="L608" s="90">
        <f t="shared" si="276"/>
        <v>4.3250197941409274E-2</v>
      </c>
      <c r="M608" s="90">
        <f t="shared" si="276"/>
        <v>-1.1367472152175262E-2</v>
      </c>
      <c r="N608" s="81">
        <f t="shared" si="276"/>
        <v>1.9893982699787927E-3</v>
      </c>
    </row>
    <row r="609" spans="2:14" hidden="1" outlineLevel="1" x14ac:dyDescent="0.3">
      <c r="B609" s="48">
        <v>44346</v>
      </c>
      <c r="C609" s="90">
        <f t="shared" ref="C609:N609" si="277">C342/C341-1</f>
        <v>-8.1712222338260476E-3</v>
      </c>
      <c r="D609" s="90">
        <f t="shared" si="277"/>
        <v>-4.3262160007087824E-2</v>
      </c>
      <c r="E609" s="90">
        <f t="shared" si="277"/>
        <v>-3.9724672300875619E-2</v>
      </c>
      <c r="F609" s="90">
        <f t="shared" si="277"/>
        <v>-4.2327233300203604E-2</v>
      </c>
      <c r="G609" s="90">
        <f t="shared" si="277"/>
        <v>-4.7599126584086715E-2</v>
      </c>
      <c r="H609" s="90">
        <f t="shared" si="277"/>
        <v>-2.3633411510012414E-2</v>
      </c>
      <c r="I609" s="90">
        <f t="shared" si="277"/>
        <v>-5.013486110290799E-2</v>
      </c>
      <c r="J609" s="90">
        <f t="shared" si="277"/>
        <v>-7.6007539287129333E-2</v>
      </c>
      <c r="K609" s="90">
        <f t="shared" si="277"/>
        <v>-2.2990608125840084E-2</v>
      </c>
      <c r="L609" s="90">
        <f t="shared" si="277"/>
        <v>-4.7271199533793218E-2</v>
      </c>
      <c r="M609" s="90">
        <f t="shared" si="277"/>
        <v>-4.9904098171337896E-2</v>
      </c>
      <c r="N609" s="81">
        <f t="shared" si="277"/>
        <v>-7.1589238366905783E-2</v>
      </c>
    </row>
    <row r="610" spans="2:14" hidden="1" outlineLevel="1" x14ac:dyDescent="0.3">
      <c r="B610" s="48">
        <v>44339</v>
      </c>
      <c r="C610" s="90">
        <f t="shared" ref="C610:N610" si="278">C343/C342-1</f>
        <v>-1.4971043856990218E-2</v>
      </c>
      <c r="D610" s="90">
        <f t="shared" si="278"/>
        <v>4.669080537472059E-3</v>
      </c>
      <c r="E610" s="90">
        <f t="shared" si="278"/>
        <v>-4.9685326267034924E-5</v>
      </c>
      <c r="F610" s="90">
        <f t="shared" si="278"/>
        <v>1.3999666156224277E-2</v>
      </c>
      <c r="G610" s="90">
        <f t="shared" si="278"/>
        <v>6.4066165993508228E-3</v>
      </c>
      <c r="H610" s="90">
        <f t="shared" si="278"/>
        <v>-4.619364375461954E-3</v>
      </c>
      <c r="I610" s="90">
        <f t="shared" si="278"/>
        <v>6.9124185174054276E-3</v>
      </c>
      <c r="J610" s="90">
        <f t="shared" si="278"/>
        <v>1.9148764776043325E-2</v>
      </c>
      <c r="K610" s="90">
        <f t="shared" si="278"/>
        <v>8.1233313798267925E-3</v>
      </c>
      <c r="L610" s="90">
        <f t="shared" si="278"/>
        <v>2.944565356548523E-3</v>
      </c>
      <c r="M610" s="90">
        <f t="shared" si="278"/>
        <v>1.3957077099506998E-2</v>
      </c>
      <c r="N610" s="81">
        <f t="shared" si="278"/>
        <v>-4.088952654232425E-2</v>
      </c>
    </row>
    <row r="611" spans="2:14" hidden="1" outlineLevel="1" x14ac:dyDescent="0.3">
      <c r="B611" s="48">
        <v>44332</v>
      </c>
      <c r="C611" s="90">
        <f t="shared" ref="C611:N611" si="279">C344/C343-1</f>
        <v>-1.6866798612303335E-2</v>
      </c>
      <c r="D611" s="90">
        <f t="shared" si="279"/>
        <v>-3.751456339315995E-2</v>
      </c>
      <c r="E611" s="90">
        <f t="shared" si="279"/>
        <v>-2.0070556668930095E-2</v>
      </c>
      <c r="F611" s="90">
        <f t="shared" si="279"/>
        <v>-3.5979616083825938E-2</v>
      </c>
      <c r="G611" s="90">
        <f t="shared" si="279"/>
        <v>-1.2625214234769366E-2</v>
      </c>
      <c r="H611" s="90">
        <f t="shared" si="279"/>
        <v>-4.8264340077965429E-2</v>
      </c>
      <c r="I611" s="90">
        <f t="shared" si="279"/>
        <v>-4.4575957184026405E-2</v>
      </c>
      <c r="J611" s="90">
        <f t="shared" si="279"/>
        <v>-6.9916215788963787E-2</v>
      </c>
      <c r="K611" s="90">
        <f t="shared" si="279"/>
        <v>-3.7511909183393422E-2</v>
      </c>
      <c r="L611" s="90">
        <f t="shared" si="279"/>
        <v>3.8124414943409013E-2</v>
      </c>
      <c r="M611" s="90">
        <f t="shared" si="279"/>
        <v>-7.7502814493599637E-2</v>
      </c>
      <c r="N611" s="81">
        <f t="shared" si="279"/>
        <v>-6.0075358801033096E-2</v>
      </c>
    </row>
    <row r="612" spans="2:14" hidden="1" outlineLevel="1" x14ac:dyDescent="0.3">
      <c r="B612" s="48">
        <v>44325</v>
      </c>
      <c r="C612" s="90">
        <f t="shared" ref="C612:N612" si="280">C345/C344-1</f>
        <v>-3.2783536404552116E-2</v>
      </c>
      <c r="D612" s="90">
        <f t="shared" si="280"/>
        <v>-1.9808238173857351E-2</v>
      </c>
      <c r="E612" s="90">
        <f t="shared" si="280"/>
        <v>-9.41431787604885E-3</v>
      </c>
      <c r="F612" s="90">
        <f t="shared" si="280"/>
        <v>-2.8131055527095383E-2</v>
      </c>
      <c r="G612" s="90">
        <f t="shared" si="280"/>
        <v>-2.1810615290071556E-2</v>
      </c>
      <c r="H612" s="90">
        <f t="shared" si="280"/>
        <v>-2.7774527013848416E-2</v>
      </c>
      <c r="I612" s="90">
        <f t="shared" si="280"/>
        <v>-2.8870288379708842E-2</v>
      </c>
      <c r="J612" s="90">
        <f t="shared" si="280"/>
        <v>-1.567258900643409E-2</v>
      </c>
      <c r="K612" s="90">
        <f t="shared" si="280"/>
        <v>-4.6347560566404988E-2</v>
      </c>
      <c r="L612" s="90">
        <f t="shared" si="280"/>
        <v>9.4816515014892744E-3</v>
      </c>
      <c r="M612" s="90">
        <f t="shared" si="280"/>
        <v>1.5706747121371212E-3</v>
      </c>
      <c r="N612" s="81">
        <f t="shared" si="280"/>
        <v>5.8104618341241476E-3</v>
      </c>
    </row>
    <row r="613" spans="2:14" hidden="1" outlineLevel="1" x14ac:dyDescent="0.3">
      <c r="B613" s="48">
        <v>44318</v>
      </c>
      <c r="C613" s="90">
        <f t="shared" ref="C613:N613" si="281">C346/C345-1</f>
        <v>9.9027102154274349E-3</v>
      </c>
      <c r="D613" s="90">
        <f t="shared" si="281"/>
        <v>2.6623599940597709E-2</v>
      </c>
      <c r="E613" s="90">
        <f t="shared" si="281"/>
        <v>2.6675448145481395E-2</v>
      </c>
      <c r="F613" s="90">
        <f t="shared" si="281"/>
        <v>2.7463293150601142E-2</v>
      </c>
      <c r="G613" s="90">
        <f t="shared" si="281"/>
        <v>6.6460928028215793E-3</v>
      </c>
      <c r="H613" s="90">
        <f t="shared" si="281"/>
        <v>3.3703807727801571E-2</v>
      </c>
      <c r="I613" s="90">
        <f t="shared" si="281"/>
        <v>3.0194455845322876E-2</v>
      </c>
      <c r="J613" s="90">
        <f t="shared" si="281"/>
        <v>4.7312426892441417E-2</v>
      </c>
      <c r="K613" s="90">
        <f t="shared" si="281"/>
        <v>-8.6732405020978343E-3</v>
      </c>
      <c r="L613" s="90">
        <f t="shared" si="281"/>
        <v>-3.4998917280207875E-2</v>
      </c>
      <c r="M613" s="90">
        <f t="shared" si="281"/>
        <v>3.2058080238277942E-2</v>
      </c>
      <c r="N613" s="81">
        <f t="shared" si="281"/>
        <v>9.3146840620381699E-3</v>
      </c>
    </row>
    <row r="614" spans="2:14" hidden="1" outlineLevel="1" x14ac:dyDescent="0.3">
      <c r="B614" s="48">
        <v>44311</v>
      </c>
      <c r="C614" s="90">
        <f t="shared" ref="C614:N614" si="282">C347/C346-1</f>
        <v>-1.2956085582349175E-2</v>
      </c>
      <c r="D614" s="90">
        <f t="shared" si="282"/>
        <v>-2.303055450342506E-2</v>
      </c>
      <c r="E614" s="90">
        <f t="shared" si="282"/>
        <v>-3.1041222104780331E-2</v>
      </c>
      <c r="F614" s="90">
        <f t="shared" si="282"/>
        <v>1.330884703748092E-3</v>
      </c>
      <c r="G614" s="90">
        <f t="shared" si="282"/>
        <v>-1.9040215475238931E-2</v>
      </c>
      <c r="H614" s="90">
        <f t="shared" si="282"/>
        <v>-4.3667274773900533E-2</v>
      </c>
      <c r="I614" s="90">
        <f t="shared" si="282"/>
        <v>-2.0943028501900551E-2</v>
      </c>
      <c r="J614" s="90">
        <f t="shared" si="282"/>
        <v>3.2280453559120126E-2</v>
      </c>
      <c r="K614" s="90">
        <f t="shared" si="282"/>
        <v>-9.7580237273396819E-2</v>
      </c>
      <c r="L614" s="90">
        <f t="shared" si="282"/>
        <v>-2.4277018877450818E-2</v>
      </c>
      <c r="M614" s="90">
        <f t="shared" si="282"/>
        <v>-4.4092809707305003E-2</v>
      </c>
      <c r="N614" s="81">
        <f t="shared" si="282"/>
        <v>-0.15135694742290917</v>
      </c>
    </row>
    <row r="615" spans="2:14" hidden="1" outlineLevel="1" x14ac:dyDescent="0.3">
      <c r="B615" s="48">
        <v>44304</v>
      </c>
      <c r="C615" s="90">
        <f t="shared" ref="C615:N615" si="283">C348/C347-1</f>
        <v>-1.980370580475832E-2</v>
      </c>
      <c r="D615" s="90">
        <f t="shared" si="283"/>
        <v>-2.1566797652006198E-3</v>
      </c>
      <c r="E615" s="90">
        <f t="shared" si="283"/>
        <v>2.4327745361365727E-2</v>
      </c>
      <c r="F615" s="90">
        <f t="shared" si="283"/>
        <v>-1.5177165938994319E-2</v>
      </c>
      <c r="G615" s="90">
        <f t="shared" si="283"/>
        <v>5.156595307721501E-2</v>
      </c>
      <c r="H615" s="90">
        <f t="shared" si="283"/>
        <v>-3.4621316665313762E-2</v>
      </c>
      <c r="I615" s="90">
        <f t="shared" si="283"/>
        <v>-1.0624023931548709E-2</v>
      </c>
      <c r="J615" s="90">
        <f t="shared" si="283"/>
        <v>2.7744360321184658E-3</v>
      </c>
      <c r="K615" s="90">
        <f t="shared" si="283"/>
        <v>-8.0108161258603761E-2</v>
      </c>
      <c r="L615" s="90">
        <f t="shared" si="283"/>
        <v>-6.0829943510945728E-2</v>
      </c>
      <c r="M615" s="90">
        <f t="shared" si="283"/>
        <v>-3.8699053108275039E-2</v>
      </c>
      <c r="N615" s="81">
        <f t="shared" si="283"/>
        <v>-6.2912810860735746E-3</v>
      </c>
    </row>
    <row r="616" spans="2:14" hidden="1" outlineLevel="1" x14ac:dyDescent="0.3">
      <c r="B616" s="48">
        <v>44297</v>
      </c>
      <c r="C616" s="90">
        <f t="shared" ref="C616:N616" si="284">C349/C348-1</f>
        <v>1.927991437347254E-2</v>
      </c>
      <c r="D616" s="90">
        <f t="shared" si="284"/>
        <v>2.7951001792331676E-2</v>
      </c>
      <c r="E616" s="90">
        <f t="shared" si="284"/>
        <v>2.7544196295514967E-2</v>
      </c>
      <c r="F616" s="90">
        <f t="shared" si="284"/>
        <v>1.4958682670848766E-2</v>
      </c>
      <c r="G616" s="90">
        <f t="shared" si="284"/>
        <v>5.9746959050671844E-2</v>
      </c>
      <c r="H616" s="90">
        <f t="shared" si="284"/>
        <v>-1.3664073996216053E-2</v>
      </c>
      <c r="I616" s="90">
        <f t="shared" si="284"/>
        <v>6.3250333481547294E-2</v>
      </c>
      <c r="J616" s="90">
        <f t="shared" si="284"/>
        <v>4.8411874717415593E-2</v>
      </c>
      <c r="K616" s="90">
        <f t="shared" si="284"/>
        <v>4.623047897982957E-2</v>
      </c>
      <c r="L616" s="90">
        <f t="shared" si="284"/>
        <v>3.0395322854650519E-2</v>
      </c>
      <c r="M616" s="90">
        <f t="shared" si="284"/>
        <v>6.9533666428742702E-3</v>
      </c>
      <c r="N616" s="81">
        <f t="shared" si="284"/>
        <v>0.11257453525078898</v>
      </c>
    </row>
    <row r="617" spans="2:14" hidden="1" outlineLevel="1" x14ac:dyDescent="0.3">
      <c r="B617" s="48">
        <v>44290</v>
      </c>
      <c r="C617" s="90">
        <f t="shared" ref="C617:N617" si="285">C350/C349-1</f>
        <v>1.4844864326833296E-2</v>
      </c>
      <c r="D617" s="90">
        <f t="shared" si="285"/>
        <v>3.9587994636256951E-2</v>
      </c>
      <c r="E617" s="90">
        <f t="shared" si="285"/>
        <v>3.9776949249761939E-2</v>
      </c>
      <c r="F617" s="90">
        <f t="shared" si="285"/>
        <v>6.4487133773102778E-2</v>
      </c>
      <c r="G617" s="90">
        <f t="shared" si="285"/>
        <v>3.2240617769898616E-2</v>
      </c>
      <c r="H617" s="90">
        <f t="shared" si="285"/>
        <v>-4.0707587382779131E-2</v>
      </c>
      <c r="I617" s="90">
        <f t="shared" si="285"/>
        <v>4.2268687924725601E-2</v>
      </c>
      <c r="J617" s="90">
        <f t="shared" si="285"/>
        <v>7.0586534479758933E-2</v>
      </c>
      <c r="K617" s="90">
        <f t="shared" si="285"/>
        <v>5.8777253315351663E-2</v>
      </c>
      <c r="L617" s="90">
        <f t="shared" si="285"/>
        <v>4.3356851095432525E-2</v>
      </c>
      <c r="M617" s="90">
        <f t="shared" si="285"/>
        <v>5.5112854349662399E-2</v>
      </c>
      <c r="N617" s="81">
        <f t="shared" si="285"/>
        <v>-1.2925802739638392E-3</v>
      </c>
    </row>
    <row r="618" spans="2:14" hidden="1" outlineLevel="1" x14ac:dyDescent="0.3">
      <c r="B618" s="48">
        <v>44283</v>
      </c>
      <c r="C618" s="90">
        <f t="shared" ref="C618:N618" si="286">C351/C350-1</f>
        <v>2.1907872341142554E-3</v>
      </c>
      <c r="D618" s="90">
        <f t="shared" si="286"/>
        <v>-5.0668595994087684E-2</v>
      </c>
      <c r="E618" s="90">
        <f t="shared" si="286"/>
        <v>-4.7332474509545697E-2</v>
      </c>
      <c r="F618" s="90">
        <f t="shared" si="286"/>
        <v>-3.8751683566299322E-2</v>
      </c>
      <c r="G618" s="90">
        <f t="shared" si="286"/>
        <v>-4.0936523645960676E-2</v>
      </c>
      <c r="H618" s="90">
        <f t="shared" si="286"/>
        <v>-7.4872250610975466E-2</v>
      </c>
      <c r="I618" s="90">
        <f t="shared" si="286"/>
        <v>-5.7787407340535335E-2</v>
      </c>
      <c r="J618" s="90">
        <f t="shared" si="286"/>
        <v>-6.0702743776835932E-2</v>
      </c>
      <c r="K618" s="90">
        <f t="shared" si="286"/>
        <v>-5.9576767569549549E-2</v>
      </c>
      <c r="L618" s="90">
        <f t="shared" si="286"/>
        <v>-8.6299185695575376E-2</v>
      </c>
      <c r="M618" s="90">
        <f t="shared" si="286"/>
        <v>-3.0315923837889613E-2</v>
      </c>
      <c r="N618" s="81">
        <f t="shared" si="286"/>
        <v>-7.3993402465394542E-2</v>
      </c>
    </row>
    <row r="619" spans="2:14" collapsed="1" x14ac:dyDescent="0.3">
      <c r="B619" s="48">
        <v>44276</v>
      </c>
      <c r="C619" s="90">
        <f t="shared" ref="C619:N619" si="287">C352/C351-1</f>
        <v>-2.4217496729410537E-2</v>
      </c>
      <c r="D619" s="90">
        <f t="shared" si="287"/>
        <v>-2.2913427045003321E-2</v>
      </c>
      <c r="E619" s="90">
        <f t="shared" si="287"/>
        <v>-3.1025860367177804E-2</v>
      </c>
      <c r="F619" s="90">
        <f t="shared" si="287"/>
        <v>-3.5377221512370771E-2</v>
      </c>
      <c r="G619" s="90">
        <f t="shared" si="287"/>
        <v>-4.3938366905091897E-2</v>
      </c>
      <c r="H619" s="90">
        <f t="shared" si="287"/>
        <v>-3.0019212295869346E-2</v>
      </c>
      <c r="I619" s="90">
        <f t="shared" si="287"/>
        <v>-1.1604139164502758E-3</v>
      </c>
      <c r="J619" s="90">
        <f t="shared" si="287"/>
        <v>-4.0253999814812036E-2</v>
      </c>
      <c r="K619" s="90">
        <f t="shared" si="287"/>
        <v>-6.737330309777656E-2</v>
      </c>
      <c r="L619" s="90">
        <f t="shared" si="287"/>
        <v>-2.647159639774388E-2</v>
      </c>
      <c r="M619" s="90">
        <f t="shared" si="287"/>
        <v>-6.4398050853328948E-2</v>
      </c>
      <c r="N619" s="81">
        <f t="shared" si="287"/>
        <v>-4.6839046174299903E-2</v>
      </c>
    </row>
    <row r="620" spans="2:14" x14ac:dyDescent="0.3">
      <c r="B620" s="49">
        <v>44269</v>
      </c>
      <c r="C620" s="91">
        <f t="shared" ref="C620:N620" si="288">C353/C352-1</f>
        <v>1.6315923707374891E-2</v>
      </c>
      <c r="D620" s="91">
        <f t="shared" si="288"/>
        <v>6.998199731338417E-3</v>
      </c>
      <c r="E620" s="91">
        <f t="shared" si="288"/>
        <v>-5.4123798852331317E-3</v>
      </c>
      <c r="F620" s="91">
        <f t="shared" si="288"/>
        <v>6.178925423907522E-3</v>
      </c>
      <c r="G620" s="91">
        <f t="shared" si="288"/>
        <v>1.9788359788359688E-3</v>
      </c>
      <c r="H620" s="91">
        <f t="shared" si="288"/>
        <v>1.634067838573916E-2</v>
      </c>
      <c r="I620" s="91">
        <f t="shared" si="288"/>
        <v>-1.5667800006394783E-3</v>
      </c>
      <c r="J620" s="91">
        <f t="shared" si="288"/>
        <v>3.2391069225183866E-2</v>
      </c>
      <c r="K620" s="91">
        <f t="shared" si="288"/>
        <v>6.616716726628602E-2</v>
      </c>
      <c r="L620" s="91">
        <f t="shared" si="288"/>
        <v>2.5927052158187136E-2</v>
      </c>
      <c r="M620" s="91">
        <f t="shared" si="288"/>
        <v>1.8987966676951462E-2</v>
      </c>
      <c r="N620" s="87">
        <f t="shared" si="288"/>
        <v>6.1050410400386168E-2</v>
      </c>
    </row>
    <row r="622" spans="2:14" x14ac:dyDescent="0.3">
      <c r="B622" s="5" t="s">
        <v>86</v>
      </c>
    </row>
    <row r="624" spans="2:14" x14ac:dyDescent="0.3">
      <c r="C624" s="104" t="s">
        <v>65</v>
      </c>
      <c r="D624" s="100" t="s">
        <v>64</v>
      </c>
      <c r="E624" s="100" t="s">
        <v>16</v>
      </c>
      <c r="F624" s="100" t="s">
        <v>17</v>
      </c>
      <c r="G624" s="100" t="s">
        <v>18</v>
      </c>
      <c r="H624" s="100" t="s">
        <v>19</v>
      </c>
      <c r="I624" s="100" t="s">
        <v>20</v>
      </c>
      <c r="J624" s="100" t="s">
        <v>21</v>
      </c>
      <c r="K624" s="100" t="s">
        <v>22</v>
      </c>
      <c r="L624" s="100" t="s">
        <v>23</v>
      </c>
      <c r="M624" s="100" t="s">
        <v>24</v>
      </c>
      <c r="N624" s="102" t="s">
        <v>25</v>
      </c>
    </row>
    <row r="625" spans="2:14" x14ac:dyDescent="0.3">
      <c r="C625" s="105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7"/>
    </row>
    <row r="626" spans="2:14" x14ac:dyDescent="0.3">
      <c r="B626" s="56" t="s">
        <v>68</v>
      </c>
      <c r="C626" s="65">
        <f>MAX(C361:C620)</f>
        <v>5.9391244646418428E-2</v>
      </c>
      <c r="D626" s="57">
        <f t="shared" ref="D626:N626" si="289">MAX(D361:D620)</f>
        <v>0.10070289408545441</v>
      </c>
      <c r="E626" s="57">
        <f t="shared" si="289"/>
        <v>9.3166844882894617E-2</v>
      </c>
      <c r="F626" s="57">
        <f t="shared" si="289"/>
        <v>0.13187542504117267</v>
      </c>
      <c r="G626" s="57">
        <f t="shared" si="289"/>
        <v>0.14490910965258941</v>
      </c>
      <c r="H626" s="57">
        <f t="shared" si="289"/>
        <v>0.13761105626850934</v>
      </c>
      <c r="I626" s="57">
        <f t="shared" si="289"/>
        <v>0.15004919996577382</v>
      </c>
      <c r="J626" s="57">
        <f t="shared" si="289"/>
        <v>0.18550801456658506</v>
      </c>
      <c r="K626" s="57">
        <f t="shared" si="289"/>
        <v>0.19605418713868916</v>
      </c>
      <c r="L626" s="57">
        <f t="shared" si="289"/>
        <v>0.14203437666734819</v>
      </c>
      <c r="M626" s="57">
        <f t="shared" si="289"/>
        <v>0.14349223719307846</v>
      </c>
      <c r="N626" s="58">
        <f t="shared" si="289"/>
        <v>0.22719774814994165</v>
      </c>
    </row>
    <row r="627" spans="2:14" x14ac:dyDescent="0.3">
      <c r="B627" s="59" t="s">
        <v>49</v>
      </c>
      <c r="C627" s="66">
        <f>MEDIAN(C361:C620)</f>
        <v>-3.5247153146210075E-3</v>
      </c>
      <c r="D627" s="60">
        <f t="shared" ref="D627:N627" si="290">MEDIAN(D361:D620)</f>
        <v>-2.8114056155620903E-3</v>
      </c>
      <c r="E627" s="60">
        <f t="shared" si="290"/>
        <v>1.3994010454465577E-4</v>
      </c>
      <c r="F627" s="60">
        <f t="shared" si="290"/>
        <v>-1.53347580101032E-3</v>
      </c>
      <c r="G627" s="60">
        <f t="shared" si="290"/>
        <v>-1.3130441682485672E-3</v>
      </c>
      <c r="H627" s="60">
        <f t="shared" si="290"/>
        <v>-2.9889780724390858E-3</v>
      </c>
      <c r="I627" s="60">
        <f t="shared" si="290"/>
        <v>-4.3372990726446847E-3</v>
      </c>
      <c r="J627" s="60">
        <f t="shared" si="290"/>
        <v>-4.4985388598180465E-3</v>
      </c>
      <c r="K627" s="60">
        <f t="shared" si="290"/>
        <v>-6.6608793782599873E-3</v>
      </c>
      <c r="L627" s="60">
        <f t="shared" si="290"/>
        <v>4.1009526792445961E-4</v>
      </c>
      <c r="M627" s="60">
        <f t="shared" si="290"/>
        <v>-5.8383027062030024E-3</v>
      </c>
      <c r="N627" s="61">
        <f t="shared" si="290"/>
        <v>-8.0442686796708962E-3</v>
      </c>
    </row>
    <row r="628" spans="2:14" x14ac:dyDescent="0.3">
      <c r="B628" s="59" t="s">
        <v>69</v>
      </c>
      <c r="C628" s="66">
        <f>MIN(C361:C620)</f>
        <v>-4.2894307102443685E-2</v>
      </c>
      <c r="D628" s="60">
        <f t="shared" ref="D628:N628" si="291">MIN(D361:D620)</f>
        <v>-7.9152912007142584E-2</v>
      </c>
      <c r="E628" s="60">
        <f t="shared" si="291"/>
        <v>-6.2009473757438927E-2</v>
      </c>
      <c r="F628" s="60">
        <f t="shared" si="291"/>
        <v>-8.2616066770996199E-2</v>
      </c>
      <c r="G628" s="60">
        <f t="shared" si="291"/>
        <v>-8.8835382080851621E-2</v>
      </c>
      <c r="H628" s="60">
        <f t="shared" si="291"/>
        <v>-0.11918150577944397</v>
      </c>
      <c r="I628" s="60">
        <f t="shared" si="291"/>
        <v>-0.10826800232288025</v>
      </c>
      <c r="J628" s="60">
        <f t="shared" si="291"/>
        <v>-0.11770777836973889</v>
      </c>
      <c r="K628" s="60">
        <f t="shared" si="291"/>
        <v>-0.13513006537750683</v>
      </c>
      <c r="L628" s="60">
        <f t="shared" si="291"/>
        <v>-0.32286138052376734</v>
      </c>
      <c r="M628" s="60">
        <f t="shared" si="291"/>
        <v>-0.11210502606345318</v>
      </c>
      <c r="N628" s="61">
        <f t="shared" si="291"/>
        <v>-0.15135694742290917</v>
      </c>
    </row>
    <row r="629" spans="2:14" x14ac:dyDescent="0.3">
      <c r="B629" s="59" t="s">
        <v>48</v>
      </c>
      <c r="C629" s="66">
        <f>AVERAGE(C361:C620)</f>
        <v>-1.6920875270250264E-3</v>
      </c>
      <c r="D629" s="60">
        <f t="shared" ref="D629:N629" si="292">AVERAGE(D361:D620)</f>
        <v>-1.0463993582386922E-4</v>
      </c>
      <c r="E629" s="60">
        <f t="shared" si="292"/>
        <v>1.1304279088531826E-3</v>
      </c>
      <c r="F629" s="60">
        <f t="shared" si="292"/>
        <v>7.6289180852359651E-4</v>
      </c>
      <c r="G629" s="60">
        <f t="shared" si="292"/>
        <v>-7.5039000107188399E-4</v>
      </c>
      <c r="H629" s="60">
        <f t="shared" si="292"/>
        <v>7.2161874165389546E-4</v>
      </c>
      <c r="I629" s="60">
        <f t="shared" si="292"/>
        <v>-5.9098733913822191E-4</v>
      </c>
      <c r="J629" s="60">
        <f t="shared" si="292"/>
        <v>7.6205166020019228E-4</v>
      </c>
      <c r="K629" s="60">
        <f t="shared" si="292"/>
        <v>-4.9578057965392365E-3</v>
      </c>
      <c r="L629" s="60">
        <f t="shared" si="292"/>
        <v>-1.7797615603848973E-3</v>
      </c>
      <c r="M629" s="60">
        <f t="shared" si="292"/>
        <v>-6.9257917836266304E-5</v>
      </c>
      <c r="N629" s="61">
        <f t="shared" si="292"/>
        <v>-1.05400989158445E-3</v>
      </c>
    </row>
    <row r="630" spans="2:14" x14ac:dyDescent="0.3">
      <c r="B630" s="62" t="s">
        <v>70</v>
      </c>
      <c r="C630" s="67">
        <f>_xlfn.VAR.S(C361:C620)</f>
        <v>3.1963547616023708E-4</v>
      </c>
      <c r="D630" s="63">
        <f t="shared" ref="D630:N630" si="293">_xlfn.VAR.S(D361:D620)</f>
        <v>9.4631416515611976E-4</v>
      </c>
      <c r="E630" s="63">
        <f t="shared" si="293"/>
        <v>9.3606746274567864E-4</v>
      </c>
      <c r="F630" s="63">
        <f t="shared" si="293"/>
        <v>1.1879146217149866E-3</v>
      </c>
      <c r="G630" s="63">
        <f t="shared" si="293"/>
        <v>1.2524070992713824E-3</v>
      </c>
      <c r="H630" s="63">
        <f t="shared" si="293"/>
        <v>1.3307337895275982E-3</v>
      </c>
      <c r="I630" s="63">
        <f t="shared" si="293"/>
        <v>1.5611657583100766E-3</v>
      </c>
      <c r="J630" s="63">
        <f t="shared" si="293"/>
        <v>1.9571624955512755E-3</v>
      </c>
      <c r="K630" s="63">
        <f t="shared" si="293"/>
        <v>2.2989368885893767E-3</v>
      </c>
      <c r="L630" s="63">
        <f t="shared" si="293"/>
        <v>2.0747400941543643E-3</v>
      </c>
      <c r="M630" s="63">
        <f t="shared" si="293"/>
        <v>2.0253049299227967E-3</v>
      </c>
      <c r="N630" s="64">
        <f t="shared" si="293"/>
        <v>2.7804072111991549E-3</v>
      </c>
    </row>
    <row r="632" spans="2:14" x14ac:dyDescent="0.3">
      <c r="B632" s="5" t="s">
        <v>87</v>
      </c>
      <c r="D632" s="88">
        <f>YEARFRAC(B620,B360,1)</f>
        <v>4.9840255591054312</v>
      </c>
    </row>
    <row r="633" spans="2:14" x14ac:dyDescent="0.3">
      <c r="B633" s="5" t="s">
        <v>71</v>
      </c>
      <c r="C633" s="68">
        <f t="shared" ref="C633:N633" si="294">_xlfn.RRI($D$632,C353,C93)</f>
        <v>0.10146333691277798</v>
      </c>
      <c r="D633" s="68">
        <f t="shared" si="294"/>
        <v>3.0219376648390028E-2</v>
      </c>
      <c r="E633" s="68">
        <f t="shared" si="294"/>
        <v>-3.4337821375831079E-2</v>
      </c>
      <c r="F633" s="68">
        <f t="shared" si="294"/>
        <v>-9.3450633620535406E-3</v>
      </c>
      <c r="G633" s="68">
        <f t="shared" si="294"/>
        <v>7.3856245163801182E-2</v>
      </c>
      <c r="H633" s="68">
        <f t="shared" si="294"/>
        <v>-3.3954170086920588E-3</v>
      </c>
      <c r="I633" s="68">
        <f t="shared" si="294"/>
        <v>7.3536899297620195E-2</v>
      </c>
      <c r="J633" s="68">
        <f t="shared" si="294"/>
        <v>1.004438888341852E-2</v>
      </c>
      <c r="K633" s="68">
        <f t="shared" si="294"/>
        <v>0.37554081970731845</v>
      </c>
      <c r="L633" s="68">
        <f t="shared" si="294"/>
        <v>0.16188371342871566</v>
      </c>
      <c r="M633" s="68">
        <f t="shared" si="294"/>
        <v>5.7121811583288551E-2</v>
      </c>
      <c r="N633" s="68">
        <f t="shared" si="294"/>
        <v>0.13411015663894399</v>
      </c>
    </row>
  </sheetData>
  <mergeCells count="80">
    <mergeCell ref="G67:G68"/>
    <mergeCell ref="H67:H68"/>
    <mergeCell ref="I67:I68"/>
    <mergeCell ref="J67:J68"/>
    <mergeCell ref="I23:I24"/>
    <mergeCell ref="G45:G46"/>
    <mergeCell ref="I45:I46"/>
    <mergeCell ref="H45:H46"/>
    <mergeCell ref="B67:B68"/>
    <mergeCell ref="C67:C68"/>
    <mergeCell ref="D67:D68"/>
    <mergeCell ref="E67:E68"/>
    <mergeCell ref="F67:F68"/>
    <mergeCell ref="H8:H9"/>
    <mergeCell ref="B8:B9"/>
    <mergeCell ref="C8:C9"/>
    <mergeCell ref="E8:E9"/>
    <mergeCell ref="F8:F9"/>
    <mergeCell ref="G8:G9"/>
    <mergeCell ref="D8:D9"/>
    <mergeCell ref="O8:O9"/>
    <mergeCell ref="B23:B24"/>
    <mergeCell ref="C23:C24"/>
    <mergeCell ref="D23:D24"/>
    <mergeCell ref="E23:E24"/>
    <mergeCell ref="F23:F24"/>
    <mergeCell ref="G23:G24"/>
    <mergeCell ref="H23:H24"/>
    <mergeCell ref="J23:J24"/>
    <mergeCell ref="I8:I9"/>
    <mergeCell ref="J8:J9"/>
    <mergeCell ref="K8:K9"/>
    <mergeCell ref="L8:L9"/>
    <mergeCell ref="K23:K24"/>
    <mergeCell ref="M8:M9"/>
    <mergeCell ref="N8:N9"/>
    <mergeCell ref="B45:B46"/>
    <mergeCell ref="C45:C46"/>
    <mergeCell ref="D45:D46"/>
    <mergeCell ref="E45:E46"/>
    <mergeCell ref="F45:F46"/>
    <mergeCell ref="M91:M92"/>
    <mergeCell ref="N91:N92"/>
    <mergeCell ref="K91:K92"/>
    <mergeCell ref="L91:L92"/>
    <mergeCell ref="J45:J46"/>
    <mergeCell ref="B91:B92"/>
    <mergeCell ref="G91:G92"/>
    <mergeCell ref="H91:H92"/>
    <mergeCell ref="I91:I92"/>
    <mergeCell ref="J91:J92"/>
    <mergeCell ref="C91:C92"/>
    <mergeCell ref="D91:D92"/>
    <mergeCell ref="E91:E92"/>
    <mergeCell ref="F91:F92"/>
    <mergeCell ref="H358:H359"/>
    <mergeCell ref="I358:I359"/>
    <mergeCell ref="J358:J359"/>
    <mergeCell ref="K358:K359"/>
    <mergeCell ref="B358:B359"/>
    <mergeCell ref="C358:C359"/>
    <mergeCell ref="D358:D359"/>
    <mergeCell ref="E358:E359"/>
    <mergeCell ref="F358:F359"/>
    <mergeCell ref="L358:L359"/>
    <mergeCell ref="M358:M359"/>
    <mergeCell ref="N358:N359"/>
    <mergeCell ref="C624:C625"/>
    <mergeCell ref="D624:D625"/>
    <mergeCell ref="E624:E625"/>
    <mergeCell ref="F624:F625"/>
    <mergeCell ref="G624:G625"/>
    <mergeCell ref="H624:H625"/>
    <mergeCell ref="I624:I625"/>
    <mergeCell ref="J624:J625"/>
    <mergeCell ref="K624:K625"/>
    <mergeCell ref="L624:L625"/>
    <mergeCell ref="M624:M625"/>
    <mergeCell ref="N624:N625"/>
    <mergeCell ref="G358:G35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AD73-1B2C-49F7-AB72-E06106C4C85C}">
  <dimension ref="A2:N6"/>
  <sheetViews>
    <sheetView showGridLines="0" tabSelected="1" workbookViewId="0">
      <selection activeCell="B8" sqref="B8"/>
    </sheetView>
  </sheetViews>
  <sheetFormatPr defaultRowHeight="14.4" x14ac:dyDescent="0.3"/>
  <cols>
    <col min="1" max="1" width="1.88671875" style="95" customWidth="1"/>
  </cols>
  <sheetData>
    <row r="2" spans="2:14" x14ac:dyDescent="0.3">
      <c r="B2" s="92" t="s">
        <v>90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x14ac:dyDescent="0.3">
      <c r="B3" s="4" t="s">
        <v>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6" spans="2:14" x14ac:dyDescent="0.3">
      <c r="B6" s="3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379F-AD1E-4901-A73A-69B867A617E1}">
  <dimension ref="A1:Q37"/>
  <sheetViews>
    <sheetView zoomScale="85" zoomScaleNormal="85" workbookViewId="0">
      <selection activeCell="O27" sqref="O27:O37"/>
    </sheetView>
  </sheetViews>
  <sheetFormatPr defaultRowHeight="14.4" x14ac:dyDescent="0.3"/>
  <cols>
    <col min="1" max="16" width="13.77734375" customWidth="1"/>
    <col min="17" max="17" width="14.21875" customWidth="1"/>
  </cols>
  <sheetData>
    <row r="1" spans="1:17" x14ac:dyDescent="0.3">
      <c r="A1" s="3" t="s">
        <v>0</v>
      </c>
    </row>
    <row r="3" spans="1:17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28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/>
    </row>
    <row r="4" spans="1:17" x14ac:dyDescent="0.3">
      <c r="A4">
        <v>1</v>
      </c>
      <c r="B4" t="s">
        <v>16</v>
      </c>
      <c r="C4">
        <v>2488.4</v>
      </c>
      <c r="D4">
        <v>361.81</v>
      </c>
      <c r="E4">
        <v>10932</v>
      </c>
      <c r="F4">
        <v>15463</v>
      </c>
      <c r="G4">
        <v>896803.87</v>
      </c>
      <c r="H4">
        <v>260802</v>
      </c>
      <c r="I4">
        <v>69242</v>
      </c>
      <c r="J4">
        <v>5533</v>
      </c>
      <c r="K4">
        <v>47963</v>
      </c>
      <c r="L4">
        <v>17.600000000000001</v>
      </c>
      <c r="M4">
        <v>26.88</v>
      </c>
      <c r="N4">
        <v>294.12</v>
      </c>
      <c r="O4">
        <v>44994</v>
      </c>
      <c r="P4">
        <v>2.4</v>
      </c>
    </row>
    <row r="5" spans="1:17" x14ac:dyDescent="0.3">
      <c r="A5">
        <v>2</v>
      </c>
      <c r="B5" t="s">
        <v>17</v>
      </c>
      <c r="C5">
        <v>1284.7</v>
      </c>
      <c r="D5">
        <v>405.54</v>
      </c>
      <c r="E5">
        <v>8796</v>
      </c>
      <c r="F5">
        <v>24455</v>
      </c>
      <c r="G5">
        <v>509877.1</v>
      </c>
      <c r="H5">
        <v>173173</v>
      </c>
      <c r="I5">
        <v>40563</v>
      </c>
      <c r="J5">
        <v>4776</v>
      </c>
      <c r="K5">
        <v>28003</v>
      </c>
      <c r="L5">
        <v>18.02</v>
      </c>
      <c r="M5">
        <v>23.67</v>
      </c>
      <c r="N5">
        <v>204.77</v>
      </c>
      <c r="O5">
        <v>33457</v>
      </c>
      <c r="P5">
        <v>3.34</v>
      </c>
    </row>
    <row r="6" spans="1:17" x14ac:dyDescent="0.3">
      <c r="A6">
        <v>3</v>
      </c>
      <c r="B6" t="s">
        <v>18</v>
      </c>
      <c r="C6">
        <v>1359.45</v>
      </c>
      <c r="D6">
        <v>271.37</v>
      </c>
      <c r="E6">
        <v>6780</v>
      </c>
      <c r="F6">
        <v>21289</v>
      </c>
      <c r="G6">
        <v>351941.21</v>
      </c>
      <c r="H6">
        <v>126409</v>
      </c>
      <c r="I6">
        <v>23876</v>
      </c>
      <c r="J6">
        <v>4303</v>
      </c>
      <c r="K6">
        <v>16471</v>
      </c>
      <c r="L6">
        <v>21.48</v>
      </c>
      <c r="M6">
        <v>20.94</v>
      </c>
      <c r="N6">
        <v>262.56</v>
      </c>
      <c r="O6">
        <v>21178</v>
      </c>
      <c r="P6">
        <v>3.95</v>
      </c>
    </row>
    <row r="7" spans="1:17" x14ac:dyDescent="0.3">
      <c r="A7">
        <v>4</v>
      </c>
      <c r="B7" t="s">
        <v>19</v>
      </c>
      <c r="C7">
        <v>203.35</v>
      </c>
      <c r="D7">
        <v>1048.8</v>
      </c>
      <c r="E7">
        <v>16163.7</v>
      </c>
      <c r="F7">
        <v>12197.4</v>
      </c>
      <c r="G7">
        <v>216354.45</v>
      </c>
      <c r="H7">
        <v>90891.9</v>
      </c>
      <c r="I7">
        <v>18881.900000000001</v>
      </c>
      <c r="J7">
        <v>2903.9</v>
      </c>
      <c r="K7">
        <v>13332</v>
      </c>
      <c r="L7">
        <v>16.07</v>
      </c>
      <c r="M7">
        <v>19.28</v>
      </c>
      <c r="N7">
        <v>81.61</v>
      </c>
      <c r="O7">
        <v>15651.1</v>
      </c>
      <c r="P7">
        <v>5.41</v>
      </c>
    </row>
    <row r="8" spans="1:17" x14ac:dyDescent="0.3">
      <c r="A8">
        <v>5</v>
      </c>
      <c r="B8" t="s">
        <v>20</v>
      </c>
      <c r="C8">
        <v>1346.2</v>
      </c>
      <c r="D8">
        <v>97.98</v>
      </c>
      <c r="E8">
        <v>1954.4</v>
      </c>
      <c r="F8">
        <v>4542.2</v>
      </c>
      <c r="G8">
        <v>129565.74</v>
      </c>
      <c r="H8">
        <v>55123.3</v>
      </c>
      <c r="I8">
        <v>6853</v>
      </c>
      <c r="J8">
        <v>1862.6</v>
      </c>
      <c r="K8">
        <v>4591</v>
      </c>
      <c r="L8">
        <v>27.4</v>
      </c>
      <c r="M8">
        <v>15.07</v>
      </c>
      <c r="N8">
        <v>280.73</v>
      </c>
      <c r="O8">
        <v>5302.8</v>
      </c>
      <c r="P8">
        <v>3.37</v>
      </c>
    </row>
    <row r="9" spans="1:17" x14ac:dyDescent="0.3">
      <c r="A9">
        <v>6</v>
      </c>
      <c r="B9" t="s">
        <v>21</v>
      </c>
      <c r="C9">
        <v>4303.6000000000004</v>
      </c>
      <c r="D9">
        <v>29.65</v>
      </c>
      <c r="E9">
        <v>2382.6</v>
      </c>
      <c r="F9">
        <v>3588.2</v>
      </c>
      <c r="G9">
        <v>126996.05</v>
      </c>
      <c r="H9">
        <v>40787.599999999999</v>
      </c>
      <c r="I9">
        <v>7308</v>
      </c>
      <c r="J9">
        <v>1041.3</v>
      </c>
      <c r="K9">
        <v>4724</v>
      </c>
      <c r="L9">
        <v>24.61</v>
      </c>
      <c r="M9">
        <v>17.600000000000001</v>
      </c>
      <c r="N9">
        <v>789.34</v>
      </c>
      <c r="O9">
        <v>3612.2</v>
      </c>
      <c r="P9">
        <v>1.5</v>
      </c>
    </row>
    <row r="10" spans="1:17" x14ac:dyDescent="0.3">
      <c r="A10">
        <v>7</v>
      </c>
      <c r="B10" t="s">
        <v>22</v>
      </c>
      <c r="C10">
        <v>4789.3</v>
      </c>
      <c r="D10">
        <v>15.78</v>
      </c>
      <c r="E10">
        <v>403.94</v>
      </c>
      <c r="F10">
        <v>1025.47</v>
      </c>
      <c r="G10">
        <v>74751.83</v>
      </c>
      <c r="H10">
        <v>13934.63</v>
      </c>
      <c r="I10">
        <v>2403.9299999999998</v>
      </c>
      <c r="J10">
        <v>373.51</v>
      </c>
      <c r="K10">
        <v>1731.62</v>
      </c>
      <c r="L10">
        <v>42.04</v>
      </c>
      <c r="M10">
        <v>18.75</v>
      </c>
      <c r="N10">
        <v>453.09</v>
      </c>
      <c r="O10">
        <v>963.84</v>
      </c>
      <c r="P10">
        <v>0.71</v>
      </c>
    </row>
    <row r="11" spans="1:17" x14ac:dyDescent="0.3">
      <c r="A11">
        <v>8</v>
      </c>
      <c r="B11" t="s">
        <v>23</v>
      </c>
      <c r="C11">
        <v>6764.5</v>
      </c>
      <c r="D11">
        <v>8.6999999999999993</v>
      </c>
      <c r="E11">
        <v>34</v>
      </c>
      <c r="F11">
        <v>5951.4</v>
      </c>
      <c r="G11">
        <v>54061.87</v>
      </c>
      <c r="H11">
        <v>7323.2</v>
      </c>
      <c r="I11">
        <v>3400.1</v>
      </c>
      <c r="J11">
        <v>66.900000000000006</v>
      </c>
      <c r="K11">
        <v>2441.5</v>
      </c>
      <c r="L11">
        <v>24.11</v>
      </c>
      <c r="M11">
        <v>43.5</v>
      </c>
      <c r="N11">
        <v>846.77</v>
      </c>
      <c r="O11">
        <v>2164.3000000000002</v>
      </c>
      <c r="P11">
        <v>3.89</v>
      </c>
    </row>
    <row r="12" spans="1:17" x14ac:dyDescent="0.3">
      <c r="A12">
        <v>9</v>
      </c>
      <c r="B12" t="s">
        <v>24</v>
      </c>
      <c r="C12">
        <v>2199.35</v>
      </c>
      <c r="D12">
        <v>19.07</v>
      </c>
      <c r="E12">
        <v>1979.03</v>
      </c>
      <c r="F12">
        <v>1612.58</v>
      </c>
      <c r="G12">
        <v>42297.760000000002</v>
      </c>
      <c r="H12">
        <v>15347.02</v>
      </c>
      <c r="I12">
        <v>2617.33</v>
      </c>
      <c r="J12">
        <v>537.82000000000005</v>
      </c>
      <c r="K12">
        <v>1799.45</v>
      </c>
      <c r="L12">
        <v>22.99</v>
      </c>
      <c r="M12">
        <v>18.75</v>
      </c>
      <c r="N12">
        <v>504.96</v>
      </c>
      <c r="O12">
        <v>1845.33</v>
      </c>
      <c r="P12">
        <v>2.5499999999999998</v>
      </c>
    </row>
    <row r="13" spans="1:17" x14ac:dyDescent="0.3">
      <c r="A13">
        <v>10</v>
      </c>
      <c r="B13" t="s">
        <v>25</v>
      </c>
      <c r="C13">
        <v>1123.3499999999999</v>
      </c>
      <c r="D13">
        <v>33.58</v>
      </c>
      <c r="E13">
        <v>971.5</v>
      </c>
      <c r="F13">
        <v>883.2</v>
      </c>
      <c r="G13">
        <v>38161.22</v>
      </c>
      <c r="H13">
        <v>15272.3</v>
      </c>
      <c r="I13">
        <v>2041.8</v>
      </c>
      <c r="J13">
        <v>627.29999999999995</v>
      </c>
      <c r="K13">
        <v>1385.8</v>
      </c>
      <c r="L13">
        <v>30.02</v>
      </c>
      <c r="M13">
        <v>16.809999999999999</v>
      </c>
      <c r="N13">
        <v>205.79</v>
      </c>
      <c r="O13">
        <v>679.9</v>
      </c>
      <c r="P13">
        <v>1.35</v>
      </c>
    </row>
    <row r="15" spans="1:17" x14ac:dyDescent="0.3">
      <c r="A15" s="3" t="s">
        <v>1</v>
      </c>
      <c r="B15" s="3" t="s">
        <v>2</v>
      </c>
      <c r="C15" s="3" t="s">
        <v>3</v>
      </c>
      <c r="D15" s="3" t="s">
        <v>4</v>
      </c>
      <c r="E15" s="3" t="s">
        <v>8</v>
      </c>
      <c r="F15" s="3" t="s">
        <v>10</v>
      </c>
      <c r="G15" s="3" t="s">
        <v>52</v>
      </c>
      <c r="H15" s="3" t="s">
        <v>53</v>
      </c>
      <c r="I15" s="3" t="s">
        <v>54</v>
      </c>
      <c r="J15" s="3" t="s">
        <v>55</v>
      </c>
      <c r="K15" s="3" t="s">
        <v>56</v>
      </c>
      <c r="L15" s="3" t="s">
        <v>57</v>
      </c>
      <c r="M15" s="3" t="s">
        <v>58</v>
      </c>
      <c r="N15" s="3"/>
    </row>
    <row r="16" spans="1:17" x14ac:dyDescent="0.3">
      <c r="A16">
        <v>1</v>
      </c>
      <c r="B16" t="s">
        <v>16</v>
      </c>
      <c r="C16">
        <v>2483.9499999999998</v>
      </c>
      <c r="D16">
        <v>361.81</v>
      </c>
      <c r="E16">
        <v>260802</v>
      </c>
      <c r="F16">
        <v>47963</v>
      </c>
      <c r="G16">
        <v>10.01</v>
      </c>
      <c r="H16">
        <v>8.19</v>
      </c>
      <c r="I16">
        <v>-8.9600000000000009</v>
      </c>
      <c r="J16">
        <v>50.3</v>
      </c>
      <c r="K16">
        <v>0.1</v>
      </c>
      <c r="L16">
        <v>62.52</v>
      </c>
      <c r="M16">
        <v>58.24</v>
      </c>
    </row>
    <row r="17" spans="1:13" x14ac:dyDescent="0.3">
      <c r="A17">
        <v>2</v>
      </c>
      <c r="B17" t="s">
        <v>17</v>
      </c>
      <c r="C17">
        <v>1283.7</v>
      </c>
      <c r="D17">
        <v>405.54</v>
      </c>
      <c r="E17">
        <v>173173</v>
      </c>
      <c r="F17">
        <v>28003</v>
      </c>
      <c r="G17">
        <v>10.25</v>
      </c>
      <c r="H17">
        <v>6.45</v>
      </c>
      <c r="I17">
        <v>-4.16</v>
      </c>
      <c r="J17">
        <v>30.72</v>
      </c>
      <c r="K17">
        <v>0.11</v>
      </c>
      <c r="L17">
        <v>39.32</v>
      </c>
      <c r="M17">
        <v>98.22</v>
      </c>
    </row>
    <row r="18" spans="1:13" x14ac:dyDescent="0.3">
      <c r="A18">
        <v>3</v>
      </c>
      <c r="B18" t="s">
        <v>18</v>
      </c>
      <c r="C18">
        <v>1361</v>
      </c>
      <c r="D18">
        <v>271.37</v>
      </c>
      <c r="E18">
        <v>126409</v>
      </c>
      <c r="F18">
        <v>16471</v>
      </c>
      <c r="G18">
        <v>10.97</v>
      </c>
      <c r="H18">
        <v>8.75</v>
      </c>
      <c r="I18">
        <v>6.84</v>
      </c>
      <c r="J18">
        <v>23.8</v>
      </c>
      <c r="K18">
        <v>0.1</v>
      </c>
      <c r="L18">
        <v>29.82</v>
      </c>
      <c r="M18">
        <v>30.42</v>
      </c>
    </row>
    <row r="19" spans="1:13" x14ac:dyDescent="0.3">
      <c r="A19">
        <v>4</v>
      </c>
      <c r="B19" t="s">
        <v>19</v>
      </c>
      <c r="C19">
        <v>203.3</v>
      </c>
      <c r="D19">
        <v>1048.8</v>
      </c>
      <c r="E19">
        <v>90891.9</v>
      </c>
      <c r="F19">
        <v>13332</v>
      </c>
      <c r="G19">
        <v>3.95</v>
      </c>
      <c r="H19">
        <v>2.29</v>
      </c>
      <c r="I19">
        <v>1.08</v>
      </c>
      <c r="J19">
        <v>15.58</v>
      </c>
      <c r="K19">
        <v>0.19</v>
      </c>
      <c r="L19">
        <v>18.03</v>
      </c>
      <c r="M19">
        <v>12.89</v>
      </c>
    </row>
    <row r="20" spans="1:13" x14ac:dyDescent="0.3">
      <c r="A20">
        <v>5</v>
      </c>
      <c r="B20" t="s">
        <v>20</v>
      </c>
      <c r="C20">
        <v>1346.9</v>
      </c>
      <c r="D20">
        <v>97.98</v>
      </c>
      <c r="E20">
        <v>55123.3</v>
      </c>
      <c r="F20">
        <v>4591</v>
      </c>
      <c r="G20">
        <v>5.88</v>
      </c>
      <c r="H20">
        <v>-10.77</v>
      </c>
      <c r="I20">
        <v>7.99</v>
      </c>
      <c r="J20">
        <v>13.63</v>
      </c>
      <c r="K20">
        <v>7.0000000000000007E-2</v>
      </c>
      <c r="L20">
        <v>17.53</v>
      </c>
      <c r="M20">
        <v>20.52</v>
      </c>
    </row>
    <row r="21" spans="1:13" x14ac:dyDescent="0.3">
      <c r="A21">
        <v>6</v>
      </c>
      <c r="B21" t="s">
        <v>21</v>
      </c>
      <c r="C21">
        <v>4303.7</v>
      </c>
      <c r="D21">
        <v>29.65</v>
      </c>
      <c r="E21">
        <v>40787.599999999999</v>
      </c>
      <c r="F21">
        <v>4724</v>
      </c>
      <c r="G21">
        <v>13.33</v>
      </c>
      <c r="H21">
        <v>5.21</v>
      </c>
      <c r="I21">
        <v>-2.33</v>
      </c>
      <c r="J21">
        <v>24.66</v>
      </c>
      <c r="K21">
        <v>0.1</v>
      </c>
      <c r="L21">
        <v>32.49</v>
      </c>
      <c r="M21">
        <v>26.26</v>
      </c>
    </row>
    <row r="22" spans="1:13" x14ac:dyDescent="0.3">
      <c r="A22">
        <v>7</v>
      </c>
      <c r="B22" t="s">
        <v>22</v>
      </c>
      <c r="C22">
        <v>4774.3999999999996</v>
      </c>
      <c r="D22">
        <v>15.78</v>
      </c>
      <c r="E22">
        <v>13934.63</v>
      </c>
      <c r="F22">
        <v>1731.62</v>
      </c>
      <c r="G22">
        <v>27.87</v>
      </c>
      <c r="H22">
        <v>27</v>
      </c>
      <c r="I22">
        <v>26.68</v>
      </c>
      <c r="J22">
        <v>24.38</v>
      </c>
      <c r="K22">
        <v>0.06</v>
      </c>
      <c r="L22">
        <v>29.97</v>
      </c>
      <c r="M22">
        <v>33.18</v>
      </c>
    </row>
    <row r="23" spans="1:13" x14ac:dyDescent="0.3">
      <c r="A23">
        <v>8</v>
      </c>
      <c r="B23" t="s">
        <v>23</v>
      </c>
      <c r="C23">
        <v>6769.95</v>
      </c>
      <c r="D23">
        <v>8.6999999999999993</v>
      </c>
      <c r="E23">
        <v>7323.2</v>
      </c>
      <c r="F23">
        <v>2441.5</v>
      </c>
      <c r="G23">
        <v>9.4499999999999993</v>
      </c>
      <c r="H23">
        <v>8</v>
      </c>
      <c r="I23">
        <v>28.15</v>
      </c>
      <c r="J23">
        <v>27.79</v>
      </c>
      <c r="K23">
        <v>0</v>
      </c>
      <c r="L23">
        <v>38.42</v>
      </c>
      <c r="M23">
        <v>30.91</v>
      </c>
    </row>
    <row r="24" spans="1:13" x14ac:dyDescent="0.3">
      <c r="A24">
        <v>9</v>
      </c>
      <c r="B24" t="s">
        <v>24</v>
      </c>
      <c r="C24">
        <v>2184.6</v>
      </c>
      <c r="D24">
        <v>19.07</v>
      </c>
      <c r="E24">
        <v>15347.02</v>
      </c>
      <c r="F24">
        <v>1799.45</v>
      </c>
      <c r="G24">
        <v>5.96</v>
      </c>
      <c r="H24">
        <v>5.66</v>
      </c>
      <c r="I24">
        <v>2.6</v>
      </c>
      <c r="J24">
        <v>19.38</v>
      </c>
      <c r="K24">
        <v>0.21</v>
      </c>
      <c r="L24">
        <v>25.19</v>
      </c>
      <c r="M24">
        <v>16.079999999999998</v>
      </c>
    </row>
    <row r="25" spans="1:13" x14ac:dyDescent="0.3">
      <c r="A25">
        <v>10</v>
      </c>
      <c r="B25" t="s">
        <v>25</v>
      </c>
      <c r="C25">
        <v>1120</v>
      </c>
      <c r="D25">
        <v>33.58</v>
      </c>
      <c r="E25">
        <v>15272.3</v>
      </c>
      <c r="F25">
        <v>1385.8</v>
      </c>
      <c r="G25">
        <v>23.28</v>
      </c>
      <c r="H25">
        <v>6.53</v>
      </c>
      <c r="I25">
        <v>11.25</v>
      </c>
      <c r="J25">
        <v>20.87</v>
      </c>
      <c r="K25">
        <v>0.14000000000000001</v>
      </c>
      <c r="L25">
        <v>26.78</v>
      </c>
      <c r="M25">
        <v>12.13</v>
      </c>
    </row>
    <row r="27" spans="1:13" x14ac:dyDescent="0.3">
      <c r="A27" s="3" t="s">
        <v>1</v>
      </c>
      <c r="B27" s="3" t="s">
        <v>2</v>
      </c>
      <c r="C27" s="3" t="s">
        <v>3</v>
      </c>
      <c r="D27" s="3" t="s">
        <v>72</v>
      </c>
      <c r="E27" s="3" t="s">
        <v>73</v>
      </c>
      <c r="F27" s="3" t="s">
        <v>74</v>
      </c>
      <c r="G27" s="3" t="s">
        <v>88</v>
      </c>
    </row>
    <row r="28" spans="1:13" x14ac:dyDescent="0.3">
      <c r="A28">
        <v>1</v>
      </c>
      <c r="B28" t="s">
        <v>16</v>
      </c>
      <c r="C28">
        <v>2465.15</v>
      </c>
      <c r="D28">
        <v>57099</v>
      </c>
      <c r="E28">
        <v>10.220000000000001</v>
      </c>
      <c r="F28">
        <v>26.96</v>
      </c>
      <c r="G28">
        <v>52.38</v>
      </c>
    </row>
    <row r="29" spans="1:13" x14ac:dyDescent="0.3">
      <c r="A29">
        <v>2</v>
      </c>
      <c r="B29" t="s">
        <v>17</v>
      </c>
      <c r="C29">
        <v>1276.3499999999999</v>
      </c>
      <c r="D29">
        <v>32849.199999999997</v>
      </c>
      <c r="E29">
        <v>12.41</v>
      </c>
      <c r="F29">
        <v>24.82</v>
      </c>
      <c r="G29">
        <v>28.83</v>
      </c>
    </row>
    <row r="30" spans="1:13" x14ac:dyDescent="0.3">
      <c r="A30">
        <v>3</v>
      </c>
      <c r="B30" t="s">
        <v>18</v>
      </c>
      <c r="C30">
        <v>1352</v>
      </c>
      <c r="D30">
        <v>19585.599999999999</v>
      </c>
      <c r="E30">
        <v>10.62</v>
      </c>
      <c r="F30">
        <v>23.07</v>
      </c>
      <c r="G30">
        <v>25</v>
      </c>
    </row>
    <row r="31" spans="1:13" x14ac:dyDescent="0.3">
      <c r="A31">
        <v>4</v>
      </c>
      <c r="B31" t="s">
        <v>19</v>
      </c>
      <c r="C31">
        <v>202.1</v>
      </c>
      <c r="D31">
        <v>16106.12</v>
      </c>
      <c r="E31">
        <v>7.82</v>
      </c>
      <c r="F31">
        <v>20.23</v>
      </c>
      <c r="G31">
        <v>16.59</v>
      </c>
    </row>
    <row r="32" spans="1:13" x14ac:dyDescent="0.3">
      <c r="A32">
        <v>5</v>
      </c>
      <c r="B32" t="s">
        <v>20</v>
      </c>
      <c r="C32">
        <v>1333.95</v>
      </c>
      <c r="D32">
        <v>5927.24</v>
      </c>
      <c r="E32">
        <v>7.52</v>
      </c>
      <c r="F32">
        <v>14.14</v>
      </c>
      <c r="G32">
        <v>14.62</v>
      </c>
    </row>
    <row r="33" spans="1:7" x14ac:dyDescent="0.3">
      <c r="A33">
        <v>6</v>
      </c>
      <c r="B33" t="s">
        <v>21</v>
      </c>
      <c r="C33">
        <v>4265</v>
      </c>
      <c r="D33">
        <v>5357.94</v>
      </c>
      <c r="E33">
        <v>28.43</v>
      </c>
      <c r="F33">
        <v>18.57</v>
      </c>
      <c r="G33">
        <v>21.53</v>
      </c>
    </row>
    <row r="34" spans="1:7" x14ac:dyDescent="0.3">
      <c r="A34">
        <v>7</v>
      </c>
      <c r="B34" t="s">
        <v>22</v>
      </c>
      <c r="C34">
        <v>4736.8500000000004</v>
      </c>
      <c r="D34">
        <v>1214.7</v>
      </c>
      <c r="E34">
        <v>27.34</v>
      </c>
      <c r="F34">
        <v>17.23</v>
      </c>
      <c r="G34">
        <v>24.08</v>
      </c>
    </row>
    <row r="35" spans="1:7" x14ac:dyDescent="0.3">
      <c r="A35">
        <v>8</v>
      </c>
      <c r="B35" t="s">
        <v>23</v>
      </c>
      <c r="C35">
        <v>6777.15</v>
      </c>
      <c r="D35">
        <v>2796.25</v>
      </c>
      <c r="E35">
        <v>7.09</v>
      </c>
      <c r="F35">
        <v>45.66</v>
      </c>
      <c r="G35">
        <v>29.34</v>
      </c>
    </row>
    <row r="36" spans="1:7" x14ac:dyDescent="0.3">
      <c r="A36">
        <v>9</v>
      </c>
      <c r="B36" t="s">
        <v>24</v>
      </c>
      <c r="C36">
        <v>2184.35</v>
      </c>
      <c r="D36">
        <v>2106.16</v>
      </c>
      <c r="E36">
        <v>9.98</v>
      </c>
      <c r="F36">
        <v>18.13</v>
      </c>
      <c r="G36">
        <v>18.22</v>
      </c>
    </row>
    <row r="37" spans="1:7" x14ac:dyDescent="0.3">
      <c r="A37">
        <v>10</v>
      </c>
      <c r="B37" t="s">
        <v>25</v>
      </c>
      <c r="C37">
        <v>1108.8</v>
      </c>
      <c r="D37">
        <v>1049.0999999999999</v>
      </c>
      <c r="E37">
        <v>23.56</v>
      </c>
      <c r="F37">
        <v>15.7</v>
      </c>
      <c r="G37">
        <v>15.98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IT_Comps</vt:lpstr>
      <vt:lpstr>Charts</vt:lpstr>
      <vt:lpstr>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Eldric Sequeira</dc:creator>
  <cp:lastModifiedBy>Eldric Sequeira</cp:lastModifiedBy>
  <dcterms:created xsi:type="dcterms:W3CDTF">2026-03-11T05:54:18Z</dcterms:created>
  <dcterms:modified xsi:type="dcterms:W3CDTF">2026-03-13T18:15:45Z</dcterms:modified>
</cp:coreProperties>
</file>