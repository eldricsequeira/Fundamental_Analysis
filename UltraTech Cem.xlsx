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tmp" ContentType="image/p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Resume projects\"/>
    </mc:Choice>
  </mc:AlternateContent>
  <xr:revisionPtr revIDLastSave="0" documentId="13_ncr:1_{0D9722FC-7D2E-49DC-B84A-E3BEAC749324}" xr6:coauthVersionLast="47" xr6:coauthVersionMax="47" xr10:uidLastSave="{00000000-0000-0000-0000-000000000000}"/>
  <bookViews>
    <workbookView xWindow="-108" yWindow="-108" windowWidth="23256" windowHeight="13176" tabRatio="954" xr2:uid="{958AB19F-9F39-47B5-BACC-BDC86924EB87}"/>
  </bookViews>
  <sheets>
    <sheet name="Research_Paper" sheetId="20" r:id="rId1"/>
    <sheet name="Data Sheet-&gt;" sheetId="1" r:id="rId2"/>
    <sheet name="Historical FS" sheetId="2" r:id="rId3"/>
    <sheet name="Data Sheet" sheetId="3" r:id="rId4"/>
    <sheet name="CF Data" sheetId="4" r:id="rId5"/>
    <sheet name="StockData" sheetId="21" r:id="rId6"/>
    <sheet name="Historical-&gt;" sheetId="5" r:id="rId7"/>
    <sheet name="Inc_Stat" sheetId="6" r:id="rId8"/>
    <sheet name="Bal_Sht" sheetId="7" r:id="rId9"/>
    <sheet name="Cash_Flow" sheetId="8" r:id="rId10"/>
    <sheet name="Com_Size" sheetId="9" r:id="rId11"/>
    <sheet name="Ratio" sheetId="19" r:id="rId12"/>
    <sheet name="Valuation-&gt;" sheetId="11" r:id="rId13"/>
    <sheet name="NWC" sheetId="16" r:id="rId14"/>
    <sheet name="Comps" sheetId="17" r:id="rId15"/>
    <sheet name="WACC" sheetId="10" r:id="rId16"/>
    <sheet name="DCF" sheetId="14" r:id="rId17"/>
    <sheet name="ValGraph" sheetId="18" r:id="rId18"/>
  </sheets>
  <definedNames>
    <definedName name="_xlnm.Print_Area" localSheetId="8">Bal_Sht!$C$2:$P$29</definedName>
    <definedName name="_xlnm.Print_Area" localSheetId="9">Cash_Flow!$C$2:$P$47</definedName>
    <definedName name="_xlnm.Print_Area" localSheetId="10">Com_Size!$C$2:$P$45</definedName>
    <definedName name="_xlnm.Print_Area" localSheetId="14">Comps!$C$2:$R$35</definedName>
    <definedName name="_xlnm.Print_Area" localSheetId="16">DCF!$D$55:$R$85</definedName>
    <definedName name="_xlnm.Print_Area" localSheetId="7">Inc_Stat!$C$2:$Q$46</definedName>
    <definedName name="_xlnm.Print_Area" localSheetId="13">NWC!$C$2:$N$37</definedName>
    <definedName name="_xlnm.Print_Area" localSheetId="11">Ratio!$C$2:$Q$49</definedName>
    <definedName name="_xlnm.Print_Area" localSheetId="0">Research_Paper!$C$1:$R$266</definedName>
    <definedName name="_xlnm.Print_Area" localSheetId="17">ValGraph!$C$2:$R$39</definedName>
    <definedName name="_xlnm.Print_Area" localSheetId="15">WACC!$C$2:$O$40</definedName>
    <definedName name="UPDATE">'Data Sheet'!$E$1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3" i="20" l="1"/>
  <c r="I64" i="20"/>
  <c r="I122" i="20"/>
  <c r="I121" i="20"/>
  <c r="I120" i="20"/>
  <c r="I119" i="20"/>
  <c r="F119" i="20"/>
  <c r="G116" i="20"/>
  <c r="I116" i="20"/>
  <c r="G117" i="20"/>
  <c r="I117" i="20"/>
  <c r="G118" i="20"/>
  <c r="I118" i="20"/>
  <c r="G119" i="20"/>
  <c r="G120" i="20"/>
  <c r="G121" i="20"/>
  <c r="G122" i="20"/>
  <c r="F122" i="20"/>
  <c r="F121" i="20"/>
  <c r="F120" i="20"/>
  <c r="F117" i="20"/>
  <c r="F118" i="20"/>
  <c r="F116" i="20"/>
  <c r="F106" i="20"/>
  <c r="L99" i="20"/>
  <c r="K99" i="20"/>
  <c r="K100" i="20" s="1"/>
  <c r="J99" i="20"/>
  <c r="J100" i="20" s="1"/>
  <c r="I99" i="20"/>
  <c r="I100" i="20" s="1"/>
  <c r="G99" i="20"/>
  <c r="F99" i="20"/>
  <c r="F100" i="20" s="1"/>
  <c r="L100" i="20"/>
  <c r="G100" i="20"/>
  <c r="K66" i="20"/>
  <c r="K65" i="20"/>
  <c r="I66" i="20"/>
  <c r="I65" i="20"/>
  <c r="K64" i="20"/>
  <c r="K63" i="20"/>
  <c r="Q44" i="20"/>
  <c r="P44" i="20"/>
  <c r="E55" i="21"/>
  <c r="F55" i="21"/>
  <c r="E56" i="21"/>
  <c r="F56" i="21"/>
  <c r="E57" i="21"/>
  <c r="F57" i="21"/>
  <c r="E58" i="21"/>
  <c r="F58" i="21"/>
  <c r="E59" i="21"/>
  <c r="F59" i="21"/>
  <c r="E60" i="21"/>
  <c r="F60" i="21"/>
  <c r="E61" i="21"/>
  <c r="F61" i="21"/>
  <c r="E62" i="21"/>
  <c r="F62" i="21"/>
  <c r="E63" i="21"/>
  <c r="F63" i="21"/>
  <c r="E64" i="21"/>
  <c r="F64" i="21"/>
  <c r="E65" i="21"/>
  <c r="F65" i="21"/>
  <c r="E66" i="21"/>
  <c r="F66" i="21"/>
  <c r="E67" i="21"/>
  <c r="F67" i="21"/>
  <c r="E68" i="21"/>
  <c r="F68" i="21"/>
  <c r="E69" i="21"/>
  <c r="F69" i="21"/>
  <c r="E70" i="21"/>
  <c r="F70" i="21"/>
  <c r="E71" i="21"/>
  <c r="F71" i="21"/>
  <c r="E72" i="21"/>
  <c r="F72" i="21"/>
  <c r="E73" i="21"/>
  <c r="F73" i="21"/>
  <c r="E74" i="21"/>
  <c r="F74" i="21"/>
  <c r="E75" i="21"/>
  <c r="F75" i="21"/>
  <c r="E76" i="21"/>
  <c r="F76" i="21"/>
  <c r="E77" i="21"/>
  <c r="F77" i="21"/>
  <c r="E78" i="21"/>
  <c r="F78" i="21"/>
  <c r="E79" i="21"/>
  <c r="F79" i="21"/>
  <c r="E80" i="21"/>
  <c r="F80" i="21"/>
  <c r="E81" i="21"/>
  <c r="F81" i="21"/>
  <c r="E82" i="21"/>
  <c r="F82" i="21"/>
  <c r="E83" i="21"/>
  <c r="F83" i="21"/>
  <c r="E84" i="21"/>
  <c r="F84" i="21"/>
  <c r="E85" i="21"/>
  <c r="F85" i="21"/>
  <c r="E86" i="21"/>
  <c r="F86" i="21"/>
  <c r="E87" i="21"/>
  <c r="F87" i="21"/>
  <c r="E88" i="21"/>
  <c r="F88" i="21"/>
  <c r="E89" i="21"/>
  <c r="F89" i="21"/>
  <c r="E90" i="21"/>
  <c r="F90" i="21"/>
  <c r="E91" i="21"/>
  <c r="F91" i="21"/>
  <c r="E92" i="21"/>
  <c r="F92" i="21"/>
  <c r="E93" i="21"/>
  <c r="F93" i="21"/>
  <c r="E94" i="21"/>
  <c r="F94" i="21"/>
  <c r="E95" i="21"/>
  <c r="F95" i="21"/>
  <c r="E96" i="21"/>
  <c r="F96" i="21"/>
  <c r="E97" i="21"/>
  <c r="F97" i="21"/>
  <c r="E98" i="21"/>
  <c r="F98" i="21"/>
  <c r="E99" i="21"/>
  <c r="F99" i="21"/>
  <c r="E100" i="21"/>
  <c r="F100" i="21"/>
  <c r="E101" i="21"/>
  <c r="F101" i="21"/>
  <c r="E102" i="21"/>
  <c r="F102" i="21"/>
  <c r="E103" i="21"/>
  <c r="F103" i="21"/>
  <c r="E104" i="21"/>
  <c r="F104" i="21"/>
  <c r="E105" i="21"/>
  <c r="F105" i="21"/>
  <c r="E106" i="21"/>
  <c r="F106" i="21"/>
  <c r="E107" i="21"/>
  <c r="F107" i="21"/>
  <c r="E108" i="21"/>
  <c r="F108" i="21"/>
  <c r="E109" i="21"/>
  <c r="F109" i="21"/>
  <c r="E110" i="21"/>
  <c r="F110" i="21"/>
  <c r="E111" i="21"/>
  <c r="F111" i="21"/>
  <c r="E112" i="21"/>
  <c r="F112" i="21"/>
  <c r="E113" i="21"/>
  <c r="F113" i="21"/>
  <c r="E114" i="21"/>
  <c r="F114" i="21"/>
  <c r="E115" i="21"/>
  <c r="F115" i="21"/>
  <c r="E116" i="21"/>
  <c r="F116" i="21"/>
  <c r="E117" i="21"/>
  <c r="F117" i="21"/>
  <c r="E118" i="21"/>
  <c r="F118" i="21"/>
  <c r="E119" i="21"/>
  <c r="F119" i="21"/>
  <c r="E120" i="21"/>
  <c r="F120" i="21"/>
  <c r="E121" i="21"/>
  <c r="F121" i="21"/>
  <c r="E122" i="21"/>
  <c r="F122" i="21"/>
  <c r="E123" i="21"/>
  <c r="F123" i="21"/>
  <c r="E124" i="21"/>
  <c r="F124" i="21"/>
  <c r="E125" i="21"/>
  <c r="F125" i="21"/>
  <c r="E126" i="21"/>
  <c r="F126" i="21"/>
  <c r="E127" i="21"/>
  <c r="F127" i="21"/>
  <c r="E128" i="21"/>
  <c r="F128" i="21"/>
  <c r="E129" i="21"/>
  <c r="F129" i="21"/>
  <c r="E130" i="21"/>
  <c r="F130" i="21"/>
  <c r="E131" i="21"/>
  <c r="F131" i="21"/>
  <c r="E132" i="21"/>
  <c r="F132" i="21"/>
  <c r="E133" i="21"/>
  <c r="F133" i="21"/>
  <c r="E134" i="21"/>
  <c r="F134" i="21"/>
  <c r="E135" i="21"/>
  <c r="F135" i="21"/>
  <c r="E136" i="21"/>
  <c r="F136" i="21"/>
  <c r="E137" i="21"/>
  <c r="F137" i="21"/>
  <c r="E138" i="21"/>
  <c r="F138" i="21"/>
  <c r="E139" i="21"/>
  <c r="F139" i="21"/>
  <c r="E140" i="21"/>
  <c r="F140" i="21"/>
  <c r="E141" i="21"/>
  <c r="F141" i="21"/>
  <c r="E142" i="21"/>
  <c r="F142" i="21"/>
  <c r="E143" i="21"/>
  <c r="F143" i="21"/>
  <c r="E144" i="21"/>
  <c r="F144" i="21"/>
  <c r="E145" i="21"/>
  <c r="F145" i="21"/>
  <c r="E146" i="21"/>
  <c r="F146" i="21"/>
  <c r="E147" i="21"/>
  <c r="F147" i="21"/>
  <c r="E148" i="21"/>
  <c r="F148" i="21"/>
  <c r="E149" i="21"/>
  <c r="F149" i="21"/>
  <c r="E150" i="21"/>
  <c r="F150" i="21"/>
  <c r="E151" i="21"/>
  <c r="F151" i="21"/>
  <c r="E152" i="21"/>
  <c r="F152" i="21"/>
  <c r="E153" i="21"/>
  <c r="F153" i="21"/>
  <c r="E154" i="21"/>
  <c r="F154" i="21"/>
  <c r="E155" i="21"/>
  <c r="F155" i="21"/>
  <c r="E156" i="21"/>
  <c r="F156" i="21"/>
  <c r="E157" i="21"/>
  <c r="F157" i="21"/>
  <c r="E158" i="21"/>
  <c r="F158" i="21"/>
  <c r="E159" i="21"/>
  <c r="F159" i="21"/>
  <c r="E160" i="21"/>
  <c r="F160" i="21"/>
  <c r="E161" i="21"/>
  <c r="F161" i="21"/>
  <c r="E162" i="21"/>
  <c r="F162" i="21"/>
  <c r="E163" i="21"/>
  <c r="F163" i="21"/>
  <c r="E164" i="21"/>
  <c r="F164" i="21"/>
  <c r="E165" i="21"/>
  <c r="F165" i="21"/>
  <c r="E166" i="21"/>
  <c r="F166" i="21"/>
  <c r="E167" i="21"/>
  <c r="F167" i="21"/>
  <c r="E168" i="21"/>
  <c r="F168" i="21"/>
  <c r="E169" i="21"/>
  <c r="F169" i="21"/>
  <c r="E170" i="21"/>
  <c r="F170" i="21"/>
  <c r="E171" i="21"/>
  <c r="F171" i="21"/>
  <c r="E172" i="21"/>
  <c r="F172" i="21"/>
  <c r="E173" i="21"/>
  <c r="F173" i="21"/>
  <c r="E174" i="21"/>
  <c r="F174" i="21"/>
  <c r="E175" i="21"/>
  <c r="F175" i="21"/>
  <c r="E176" i="21"/>
  <c r="F176" i="21"/>
  <c r="E177" i="21"/>
  <c r="F177" i="21"/>
  <c r="E178" i="21"/>
  <c r="F178" i="21"/>
  <c r="E179" i="21"/>
  <c r="F179" i="21"/>
  <c r="E180" i="21"/>
  <c r="F180" i="21"/>
  <c r="E181" i="21"/>
  <c r="F181" i="21"/>
  <c r="E182" i="21"/>
  <c r="F182" i="21"/>
  <c r="E183" i="21"/>
  <c r="F183" i="21"/>
  <c r="E184" i="21"/>
  <c r="F184" i="21"/>
  <c r="E185" i="21"/>
  <c r="F185" i="21"/>
  <c r="E186" i="21"/>
  <c r="F186" i="21"/>
  <c r="E187" i="21"/>
  <c r="F187" i="21"/>
  <c r="E188" i="21"/>
  <c r="F188" i="21"/>
  <c r="E189" i="21"/>
  <c r="F189" i="21"/>
  <c r="E190" i="21"/>
  <c r="F190" i="21"/>
  <c r="E191" i="21"/>
  <c r="F191" i="21"/>
  <c r="E192" i="21"/>
  <c r="F192" i="21"/>
  <c r="E193" i="21"/>
  <c r="F193" i="21"/>
  <c r="E194" i="21"/>
  <c r="F194" i="21"/>
  <c r="E195" i="21"/>
  <c r="F195" i="21"/>
  <c r="E196" i="21"/>
  <c r="F196" i="21"/>
  <c r="E197" i="21"/>
  <c r="F197" i="21"/>
  <c r="E198" i="21"/>
  <c r="F198" i="21"/>
  <c r="E199" i="21"/>
  <c r="F199" i="21"/>
  <c r="E200" i="21"/>
  <c r="F200" i="21"/>
  <c r="E201" i="21"/>
  <c r="F201" i="21"/>
  <c r="E202" i="21"/>
  <c r="F202" i="21"/>
  <c r="E203" i="21"/>
  <c r="F203" i="21"/>
  <c r="E204" i="21"/>
  <c r="F204" i="21"/>
  <c r="E205" i="21"/>
  <c r="F205" i="21"/>
  <c r="E206" i="21"/>
  <c r="F206" i="21"/>
  <c r="E207" i="21"/>
  <c r="F207" i="21"/>
  <c r="E208" i="21"/>
  <c r="F208" i="21"/>
  <c r="E209" i="21"/>
  <c r="F209" i="21"/>
  <c r="E210" i="21"/>
  <c r="F210" i="21"/>
  <c r="E211" i="21"/>
  <c r="F211" i="21"/>
  <c r="E212" i="21"/>
  <c r="F212" i="21"/>
  <c r="E213" i="21"/>
  <c r="F213" i="21"/>
  <c r="E214" i="21"/>
  <c r="F214" i="21"/>
  <c r="E215" i="21"/>
  <c r="F215" i="21"/>
  <c r="E216" i="21"/>
  <c r="F216" i="21"/>
  <c r="E217" i="21"/>
  <c r="F217" i="21"/>
  <c r="E218" i="21"/>
  <c r="F218" i="21"/>
  <c r="E219" i="21"/>
  <c r="F219" i="21"/>
  <c r="E220" i="21"/>
  <c r="F220" i="21"/>
  <c r="E221" i="21"/>
  <c r="F221" i="21"/>
  <c r="E222" i="21"/>
  <c r="F222" i="21"/>
  <c r="E223" i="21"/>
  <c r="F223" i="21"/>
  <c r="E224" i="21"/>
  <c r="F224" i="21"/>
  <c r="E225" i="21"/>
  <c r="F225" i="21"/>
  <c r="E226" i="21"/>
  <c r="F226" i="21"/>
  <c r="E227" i="21"/>
  <c r="F227" i="21"/>
  <c r="E228" i="21"/>
  <c r="F228" i="21"/>
  <c r="E229" i="21"/>
  <c r="F229" i="21"/>
  <c r="E230" i="21"/>
  <c r="F230" i="21"/>
  <c r="E231" i="21"/>
  <c r="F231" i="21"/>
  <c r="E232" i="21"/>
  <c r="F232" i="21"/>
  <c r="E233" i="21"/>
  <c r="F233" i="21"/>
  <c r="E234" i="21"/>
  <c r="F234" i="21"/>
  <c r="E235" i="21"/>
  <c r="F235" i="21"/>
  <c r="E236" i="21"/>
  <c r="F236" i="21"/>
  <c r="E237" i="21"/>
  <c r="F237" i="21"/>
  <c r="E238" i="21"/>
  <c r="F238" i="21"/>
  <c r="E239" i="21"/>
  <c r="F239" i="21"/>
  <c r="E240" i="21"/>
  <c r="F240" i="21"/>
  <c r="E241" i="21"/>
  <c r="F241" i="21"/>
  <c r="E242" i="21"/>
  <c r="F242" i="21"/>
  <c r="E243" i="21"/>
  <c r="F243" i="21"/>
  <c r="E244" i="21"/>
  <c r="F244" i="21"/>
  <c r="E245" i="21"/>
  <c r="F245" i="21"/>
  <c r="E246" i="21"/>
  <c r="F246" i="21"/>
  <c r="E247" i="21"/>
  <c r="F247" i="21"/>
  <c r="E248" i="21"/>
  <c r="F248" i="21"/>
  <c r="E249" i="21"/>
  <c r="F249" i="21"/>
  <c r="E250" i="21"/>
  <c r="F250" i="21"/>
  <c r="E251" i="21"/>
  <c r="F251" i="21"/>
  <c r="E252" i="21"/>
  <c r="F252" i="21"/>
  <c r="E253" i="21"/>
  <c r="F253" i="21"/>
  <c r="E254" i="21"/>
  <c r="F254" i="21"/>
  <c r="E255" i="21"/>
  <c r="F255" i="21"/>
  <c r="E256" i="21"/>
  <c r="F256" i="21"/>
  <c r="E257" i="21"/>
  <c r="F257" i="21"/>
  <c r="E258" i="21"/>
  <c r="F258" i="21"/>
  <c r="E259" i="21"/>
  <c r="F259" i="21"/>
  <c r="E260" i="21"/>
  <c r="F260" i="21"/>
  <c r="E261" i="21"/>
  <c r="F261" i="21"/>
  <c r="E262" i="21"/>
  <c r="F262" i="21"/>
  <c r="E263" i="21"/>
  <c r="F263" i="21"/>
  <c r="E264" i="21"/>
  <c r="F264" i="21"/>
  <c r="E265" i="21"/>
  <c r="F265" i="21"/>
  <c r="E266" i="21"/>
  <c r="F266" i="21"/>
  <c r="E267" i="21"/>
  <c r="F267" i="21"/>
  <c r="E268" i="21"/>
  <c r="F268" i="21"/>
  <c r="F54" i="21"/>
  <c r="F53" i="21"/>
  <c r="F52" i="21"/>
  <c r="F51" i="21"/>
  <c r="F50" i="21"/>
  <c r="F49" i="21"/>
  <c r="F48" i="21"/>
  <c r="F47" i="21"/>
  <c r="F46" i="21"/>
  <c r="F45" i="21"/>
  <c r="F44" i="21"/>
  <c r="F43" i="21"/>
  <c r="F42" i="21"/>
  <c r="F41" i="21"/>
  <c r="F40" i="21"/>
  <c r="F39" i="21"/>
  <c r="F38" i="21"/>
  <c r="F37" i="21"/>
  <c r="F36" i="21"/>
  <c r="F35" i="21"/>
  <c r="F34" i="21"/>
  <c r="F33" i="21"/>
  <c r="F32" i="21"/>
  <c r="F31" i="21"/>
  <c r="F30" i="21"/>
  <c r="F29" i="21"/>
  <c r="F28" i="21"/>
  <c r="F27" i="21"/>
  <c r="F26" i="21"/>
  <c r="F25" i="21"/>
  <c r="F24" i="21"/>
  <c r="F23" i="21"/>
  <c r="F22" i="21"/>
  <c r="F21" i="21"/>
  <c r="F20" i="21"/>
  <c r="F19" i="21"/>
  <c r="F18" i="21"/>
  <c r="F17" i="21"/>
  <c r="F16" i="21"/>
  <c r="F15" i="21"/>
  <c r="F14" i="21"/>
  <c r="F13" i="21"/>
  <c r="F12" i="21"/>
  <c r="F11" i="21"/>
  <c r="F10" i="21"/>
  <c r="F9" i="21"/>
  <c r="F8" i="21"/>
  <c r="F7" i="21"/>
  <c r="F6" i="21"/>
  <c r="F5" i="21"/>
  <c r="F4" i="21"/>
  <c r="E5" i="21"/>
  <c r="E6" i="21"/>
  <c r="E7" i="21"/>
  <c r="E8" i="21"/>
  <c r="E9" i="21"/>
  <c r="E10" i="21"/>
  <c r="E11" i="21"/>
  <c r="E12" i="21"/>
  <c r="E13" i="21"/>
  <c r="E14" i="21"/>
  <c r="E15" i="21"/>
  <c r="E16" i="21"/>
  <c r="E17" i="21"/>
  <c r="E18" i="21"/>
  <c r="E19" i="21"/>
  <c r="E20" i="21"/>
  <c r="E21" i="21"/>
  <c r="E22" i="21"/>
  <c r="E23" i="21"/>
  <c r="E24" i="21"/>
  <c r="E25" i="21"/>
  <c r="E26" i="21"/>
  <c r="E27" i="21"/>
  <c r="E28" i="21"/>
  <c r="E29" i="21"/>
  <c r="E30" i="21"/>
  <c r="E31" i="21"/>
  <c r="E32" i="21"/>
  <c r="E33" i="21"/>
  <c r="E34" i="21"/>
  <c r="E35" i="21"/>
  <c r="E36" i="21"/>
  <c r="E37" i="21"/>
  <c r="E38" i="21"/>
  <c r="E39" i="21"/>
  <c r="E40" i="21"/>
  <c r="E41" i="21"/>
  <c r="E42" i="21"/>
  <c r="E43" i="21"/>
  <c r="E44" i="21"/>
  <c r="E45" i="21"/>
  <c r="E46" i="21"/>
  <c r="E47" i="21"/>
  <c r="E48" i="21"/>
  <c r="E49" i="21"/>
  <c r="E50" i="21"/>
  <c r="E51" i="21"/>
  <c r="E52" i="21"/>
  <c r="E53" i="21"/>
  <c r="E54" i="21"/>
  <c r="E4" i="21"/>
  <c r="L105" i="20"/>
  <c r="K105" i="20"/>
  <c r="J105" i="20"/>
  <c r="I105" i="20"/>
  <c r="G105" i="20"/>
  <c r="F105" i="20"/>
  <c r="Q27" i="20"/>
  <c r="Q49" i="20"/>
  <c r="Q48" i="20"/>
  <c r="Q21" i="20"/>
  <c r="Q20" i="20"/>
  <c r="O37" i="18"/>
  <c r="O38" i="19"/>
  <c r="O46" i="19" s="1"/>
  <c r="N38" i="19"/>
  <c r="N46" i="19" s="1"/>
  <c r="M38" i="19"/>
  <c r="M46" i="19" s="1"/>
  <c r="L38" i="19"/>
  <c r="L46" i="19" s="1"/>
  <c r="K38" i="19"/>
  <c r="K46" i="19" s="1"/>
  <c r="J38" i="19"/>
  <c r="J46" i="19" s="1"/>
  <c r="I38" i="19"/>
  <c r="I46" i="19" s="1"/>
  <c r="H38" i="19"/>
  <c r="H46" i="19" s="1"/>
  <c r="G38" i="19"/>
  <c r="G46" i="19" s="1"/>
  <c r="O36" i="19"/>
  <c r="N36" i="19"/>
  <c r="M36" i="19"/>
  <c r="L36" i="19"/>
  <c r="K36" i="19"/>
  <c r="J36" i="19"/>
  <c r="I36" i="19"/>
  <c r="H36" i="19"/>
  <c r="G36" i="19"/>
  <c r="O35" i="19"/>
  <c r="N35" i="19"/>
  <c r="M35" i="19"/>
  <c r="L35" i="19"/>
  <c r="K35" i="19"/>
  <c r="J35" i="19"/>
  <c r="I35" i="19"/>
  <c r="H35" i="19"/>
  <c r="G35" i="19"/>
  <c r="F38" i="19"/>
  <c r="F46" i="19" s="1"/>
  <c r="F36" i="19"/>
  <c r="F35" i="19"/>
  <c r="G43" i="19"/>
  <c r="H43" i="19" s="1"/>
  <c r="I43" i="19" s="1"/>
  <c r="J43" i="19" s="1"/>
  <c r="K43" i="19" s="1"/>
  <c r="L43" i="19" s="1"/>
  <c r="M43" i="19" s="1"/>
  <c r="N43" i="19" s="1"/>
  <c r="O43" i="19" s="1"/>
  <c r="G34" i="19"/>
  <c r="H34" i="19" s="1"/>
  <c r="I34" i="19" s="1"/>
  <c r="J34" i="19" s="1"/>
  <c r="K34" i="19" s="1"/>
  <c r="L34" i="19" s="1"/>
  <c r="M34" i="19" s="1"/>
  <c r="N34" i="19" s="1"/>
  <c r="O34" i="19" s="1"/>
  <c r="G27" i="19"/>
  <c r="G45" i="19" s="1"/>
  <c r="H27" i="19"/>
  <c r="H45" i="19" s="1"/>
  <c r="I27" i="19"/>
  <c r="I45" i="19" s="1"/>
  <c r="J27" i="19"/>
  <c r="J45" i="19" s="1"/>
  <c r="K27" i="19"/>
  <c r="K45" i="19" s="1"/>
  <c r="L27" i="19"/>
  <c r="L45" i="19" s="1"/>
  <c r="M27" i="19"/>
  <c r="M45" i="19" s="1"/>
  <c r="N27" i="19"/>
  <c r="N45" i="19" s="1"/>
  <c r="O27" i="19"/>
  <c r="O45" i="19" s="1"/>
  <c r="G28" i="19"/>
  <c r="H28" i="19"/>
  <c r="I28" i="19"/>
  <c r="J28" i="19"/>
  <c r="K28" i="19"/>
  <c r="L28" i="19"/>
  <c r="M28" i="19"/>
  <c r="N28" i="19"/>
  <c r="O28" i="19"/>
  <c r="G29" i="19"/>
  <c r="H29" i="19"/>
  <c r="I29" i="19"/>
  <c r="J29" i="19"/>
  <c r="K29" i="19"/>
  <c r="L29" i="19"/>
  <c r="M29" i="19"/>
  <c r="N29" i="19"/>
  <c r="O29" i="19"/>
  <c r="G30" i="19"/>
  <c r="H30" i="19"/>
  <c r="I30" i="19"/>
  <c r="J30" i="19"/>
  <c r="K30" i="19"/>
  <c r="L30" i="19"/>
  <c r="M30" i="19"/>
  <c r="N30" i="19"/>
  <c r="O30" i="19"/>
  <c r="G31" i="19"/>
  <c r="H31" i="19"/>
  <c r="I31" i="19"/>
  <c r="J31" i="19"/>
  <c r="K31" i="19"/>
  <c r="L31" i="19"/>
  <c r="M31" i="19"/>
  <c r="N31" i="19"/>
  <c r="O31" i="19"/>
  <c r="F31" i="19"/>
  <c r="F30" i="19"/>
  <c r="F29" i="19"/>
  <c r="F28" i="19"/>
  <c r="F27" i="19"/>
  <c r="F45" i="19" s="1"/>
  <c r="G26" i="19"/>
  <c r="H26" i="19" s="1"/>
  <c r="I26" i="19" s="1"/>
  <c r="J26" i="19" s="1"/>
  <c r="K26" i="19" s="1"/>
  <c r="L26" i="19" s="1"/>
  <c r="M26" i="19" s="1"/>
  <c r="N26" i="19" s="1"/>
  <c r="O26" i="19" s="1"/>
  <c r="G20" i="19"/>
  <c r="H20" i="19"/>
  <c r="I20" i="19"/>
  <c r="J20" i="19"/>
  <c r="K20" i="19"/>
  <c r="L20" i="19"/>
  <c r="M20" i="19"/>
  <c r="N20" i="19"/>
  <c r="O20" i="19"/>
  <c r="G21" i="19"/>
  <c r="H21" i="19"/>
  <c r="I21" i="19"/>
  <c r="J21" i="19"/>
  <c r="K21" i="19"/>
  <c r="L21" i="19"/>
  <c r="M21" i="19"/>
  <c r="N21" i="19"/>
  <c r="O21" i="19"/>
  <c r="G22" i="19"/>
  <c r="H22" i="19"/>
  <c r="I22" i="19"/>
  <c r="J22" i="19"/>
  <c r="K22" i="19"/>
  <c r="L22" i="19"/>
  <c r="M22" i="19"/>
  <c r="N22" i="19"/>
  <c r="O22" i="19"/>
  <c r="G23" i="19"/>
  <c r="H23" i="19"/>
  <c r="I23" i="19"/>
  <c r="J23" i="19"/>
  <c r="K23" i="19"/>
  <c r="L23" i="19"/>
  <c r="M23" i="19"/>
  <c r="N23" i="19"/>
  <c r="O23" i="19"/>
  <c r="F23" i="19"/>
  <c r="F22" i="19"/>
  <c r="F21" i="19"/>
  <c r="F20" i="19"/>
  <c r="G19" i="19"/>
  <c r="H19" i="19" s="1"/>
  <c r="I19" i="19" s="1"/>
  <c r="J19" i="19" s="1"/>
  <c r="K19" i="19" s="1"/>
  <c r="L19" i="19" s="1"/>
  <c r="M19" i="19" s="1"/>
  <c r="N19" i="19" s="1"/>
  <c r="O19" i="19" s="1"/>
  <c r="G7" i="19"/>
  <c r="H7" i="19" s="1"/>
  <c r="I7" i="19" s="1"/>
  <c r="J7" i="19" s="1"/>
  <c r="K7" i="19" s="1"/>
  <c r="L7" i="19" s="1"/>
  <c r="M7" i="19" s="1"/>
  <c r="N7" i="19" s="1"/>
  <c r="O7" i="19" s="1"/>
  <c r="Q30" i="17"/>
  <c r="P30" i="17"/>
  <c r="O30" i="17"/>
  <c r="Q28" i="17"/>
  <c r="P28" i="17"/>
  <c r="O28" i="17"/>
  <c r="L18" i="17"/>
  <c r="Q10" i="17"/>
  <c r="I10" i="17"/>
  <c r="Q18" i="17"/>
  <c r="Q17" i="17"/>
  <c r="Q16" i="17"/>
  <c r="Q15" i="17"/>
  <c r="Q14" i="17"/>
  <c r="Q13" i="17"/>
  <c r="Q12" i="17"/>
  <c r="L12" i="17"/>
  <c r="I18" i="17"/>
  <c r="I17" i="17"/>
  <c r="I16" i="17"/>
  <c r="I15" i="17"/>
  <c r="I14" i="17"/>
  <c r="I13" i="17"/>
  <c r="I12" i="17"/>
  <c r="P3" i="14"/>
  <c r="O9" i="14" a="1"/>
  <c r="O9" i="14" s="1"/>
  <c r="N9" i="14" a="1"/>
  <c r="N9" i="14" s="1"/>
  <c r="M9" i="14" a="1"/>
  <c r="M9" i="14" s="1"/>
  <c r="L9" i="14" a="1"/>
  <c r="L9" i="14" s="1"/>
  <c r="K9" i="14" a="1"/>
  <c r="K9" i="14" s="1"/>
  <c r="F21" i="10"/>
  <c r="N15" i="10"/>
  <c r="N14" i="10"/>
  <c r="N13" i="10"/>
  <c r="N12" i="10"/>
  <c r="N11" i="10"/>
  <c r="N10" i="10"/>
  <c r="I19" i="10"/>
  <c r="I18" i="10"/>
  <c r="L16" i="10"/>
  <c r="L15" i="10"/>
  <c r="L14" i="10"/>
  <c r="L13" i="10"/>
  <c r="L12" i="10"/>
  <c r="L11" i="10"/>
  <c r="L10" i="10"/>
  <c r="F10" i="10"/>
  <c r="L25" i="10" s="1"/>
  <c r="K36" i="14"/>
  <c r="L36" i="14" s="1"/>
  <c r="M36" i="14" s="1"/>
  <c r="N36" i="14" s="1"/>
  <c r="O36" i="14" s="1"/>
  <c r="G32" i="14"/>
  <c r="H20" i="16"/>
  <c r="G20" i="16"/>
  <c r="F20" i="16"/>
  <c r="H15" i="16"/>
  <c r="H22" i="16" s="1"/>
  <c r="G15" i="16"/>
  <c r="G22" i="16" s="1"/>
  <c r="H25" i="16" s="1"/>
  <c r="I32" i="14" s="1"/>
  <c r="F15" i="16"/>
  <c r="F22" i="16" s="1"/>
  <c r="G25" i="16" s="1"/>
  <c r="H32" i="14" s="1"/>
  <c r="P4" i="14" a="1"/>
  <c r="P4" i="14" s="1"/>
  <c r="O43" i="9"/>
  <c r="N43" i="9"/>
  <c r="M43" i="9"/>
  <c r="L43" i="9"/>
  <c r="K43" i="9"/>
  <c r="J43" i="9"/>
  <c r="I43" i="9"/>
  <c r="H43" i="9"/>
  <c r="G43" i="9"/>
  <c r="O42" i="9"/>
  <c r="N42" i="9"/>
  <c r="M42" i="9"/>
  <c r="L42" i="9"/>
  <c r="K42" i="9"/>
  <c r="J42" i="9"/>
  <c r="I42" i="9"/>
  <c r="H42" i="9"/>
  <c r="G42" i="9"/>
  <c r="O41" i="9"/>
  <c r="N41" i="9"/>
  <c r="M41" i="9"/>
  <c r="L41" i="9"/>
  <c r="K41" i="9"/>
  <c r="J41" i="9"/>
  <c r="I41" i="9"/>
  <c r="H41" i="9"/>
  <c r="G41" i="9"/>
  <c r="O40" i="9"/>
  <c r="N40" i="9"/>
  <c r="M40" i="9"/>
  <c r="L40" i="9"/>
  <c r="K40" i="9"/>
  <c r="J40" i="9"/>
  <c r="I40" i="9"/>
  <c r="H40" i="9"/>
  <c r="G40" i="9"/>
  <c r="O39" i="9"/>
  <c r="N39" i="9"/>
  <c r="M39" i="9"/>
  <c r="L39" i="9"/>
  <c r="K39" i="9"/>
  <c r="J39" i="9"/>
  <c r="I39" i="9"/>
  <c r="H39" i="9"/>
  <c r="G39" i="9"/>
  <c r="O38" i="9"/>
  <c r="N38" i="9"/>
  <c r="M38" i="9"/>
  <c r="L38" i="9"/>
  <c r="K38" i="9"/>
  <c r="J38" i="9"/>
  <c r="I38" i="9"/>
  <c r="H38" i="9"/>
  <c r="G38" i="9"/>
  <c r="O37" i="9"/>
  <c r="N37" i="9"/>
  <c r="M37" i="9"/>
  <c r="L37" i="9"/>
  <c r="K37" i="9"/>
  <c r="J37" i="9"/>
  <c r="I37" i="9"/>
  <c r="H37" i="9"/>
  <c r="G37" i="9"/>
  <c r="O36" i="9"/>
  <c r="N36" i="9"/>
  <c r="M36" i="9"/>
  <c r="L36" i="9"/>
  <c r="K36" i="9"/>
  <c r="J36" i="9"/>
  <c r="I36" i="9"/>
  <c r="H36" i="9"/>
  <c r="G36" i="9"/>
  <c r="O34" i="9"/>
  <c r="N34" i="9"/>
  <c r="M34" i="9"/>
  <c r="L34" i="9"/>
  <c r="K34" i="9"/>
  <c r="J34" i="9"/>
  <c r="I34" i="9"/>
  <c r="H34" i="9"/>
  <c r="G34" i="9"/>
  <c r="O33" i="9"/>
  <c r="N33" i="9"/>
  <c r="M33" i="9"/>
  <c r="L33" i="9"/>
  <c r="K33" i="9"/>
  <c r="J33" i="9"/>
  <c r="I33" i="9"/>
  <c r="H33" i="9"/>
  <c r="G33" i="9"/>
  <c r="O32" i="9"/>
  <c r="N32" i="9"/>
  <c r="M32" i="9"/>
  <c r="L32" i="9"/>
  <c r="K32" i="9"/>
  <c r="J32" i="9"/>
  <c r="I32" i="9"/>
  <c r="H32" i="9"/>
  <c r="G32" i="9"/>
  <c r="O31" i="9"/>
  <c r="N31" i="9"/>
  <c r="M31" i="9"/>
  <c r="L31" i="9"/>
  <c r="K31" i="9"/>
  <c r="J31" i="9"/>
  <c r="I31" i="9"/>
  <c r="H31" i="9"/>
  <c r="G31" i="9"/>
  <c r="O30" i="9"/>
  <c r="N30" i="9"/>
  <c r="M30" i="9"/>
  <c r="L30" i="9"/>
  <c r="K30" i="9"/>
  <c r="J30" i="9"/>
  <c r="I30" i="9"/>
  <c r="H30" i="9"/>
  <c r="G30" i="9"/>
  <c r="F43" i="9"/>
  <c r="F42" i="9"/>
  <c r="F41" i="9"/>
  <c r="F40" i="9"/>
  <c r="F39" i="9"/>
  <c r="F38" i="9"/>
  <c r="F37" i="9"/>
  <c r="F36" i="9"/>
  <c r="F34" i="9"/>
  <c r="F33" i="9"/>
  <c r="F32" i="9"/>
  <c r="F31" i="9"/>
  <c r="F30" i="9"/>
  <c r="D42" i="9"/>
  <c r="D43" i="9"/>
  <c r="D41" i="9"/>
  <c r="D38" i="9"/>
  <c r="D39" i="9"/>
  <c r="D40" i="9"/>
  <c r="D37" i="9"/>
  <c r="D32" i="9"/>
  <c r="D33" i="9"/>
  <c r="D34" i="9"/>
  <c r="D31" i="9"/>
  <c r="C65" i="2"/>
  <c r="O24" i="9"/>
  <c r="N24" i="9"/>
  <c r="M24" i="9"/>
  <c r="L24" i="9"/>
  <c r="K24" i="9"/>
  <c r="J24" i="9"/>
  <c r="I24" i="9"/>
  <c r="H24" i="9"/>
  <c r="G24" i="9"/>
  <c r="O22" i="9"/>
  <c r="N22" i="9"/>
  <c r="M22" i="9"/>
  <c r="L22" i="9"/>
  <c r="K22" i="9"/>
  <c r="J22" i="9"/>
  <c r="I22" i="9"/>
  <c r="H22" i="9"/>
  <c r="G22" i="9"/>
  <c r="O21" i="9"/>
  <c r="N21" i="9"/>
  <c r="M21" i="9"/>
  <c r="L21" i="9"/>
  <c r="K21" i="9"/>
  <c r="J21" i="9"/>
  <c r="I21" i="9"/>
  <c r="H21" i="9"/>
  <c r="G21" i="9"/>
  <c r="O20" i="9"/>
  <c r="N20" i="9"/>
  <c r="M20" i="9"/>
  <c r="L20" i="9"/>
  <c r="K20" i="9"/>
  <c r="J20" i="9"/>
  <c r="I20" i="9"/>
  <c r="H20" i="9"/>
  <c r="G20" i="9"/>
  <c r="O19" i="9"/>
  <c r="N19" i="9"/>
  <c r="M19" i="9"/>
  <c r="L19" i="9"/>
  <c r="K19" i="9"/>
  <c r="J19" i="9"/>
  <c r="I19" i="9"/>
  <c r="H19" i="9"/>
  <c r="G19" i="9"/>
  <c r="O18" i="9"/>
  <c r="N18" i="9"/>
  <c r="M18" i="9"/>
  <c r="L18" i="9"/>
  <c r="K18" i="9"/>
  <c r="J18" i="9"/>
  <c r="I18" i="9"/>
  <c r="H18" i="9"/>
  <c r="G18" i="9"/>
  <c r="O17" i="9"/>
  <c r="N17" i="9"/>
  <c r="M17" i="9"/>
  <c r="L17" i="9"/>
  <c r="K17" i="9"/>
  <c r="J17" i="9"/>
  <c r="I17" i="9"/>
  <c r="H17" i="9"/>
  <c r="G17" i="9"/>
  <c r="O16" i="9"/>
  <c r="N16" i="9"/>
  <c r="M16" i="9"/>
  <c r="L16" i="9"/>
  <c r="K16" i="9"/>
  <c r="J16" i="9"/>
  <c r="I16" i="9"/>
  <c r="H16" i="9"/>
  <c r="G16" i="9"/>
  <c r="O15" i="9"/>
  <c r="N15" i="9"/>
  <c r="M15" i="9"/>
  <c r="L15" i="9"/>
  <c r="K15" i="9"/>
  <c r="J15" i="9"/>
  <c r="I15" i="9"/>
  <c r="H15" i="9"/>
  <c r="G15" i="9"/>
  <c r="O14" i="9"/>
  <c r="N14" i="9"/>
  <c r="M14" i="9"/>
  <c r="L14" i="9"/>
  <c r="K14" i="9"/>
  <c r="J14" i="9"/>
  <c r="I14" i="9"/>
  <c r="H14" i="9"/>
  <c r="G14" i="9"/>
  <c r="O13" i="9"/>
  <c r="N13" i="9"/>
  <c r="M13" i="9"/>
  <c r="L13" i="9"/>
  <c r="K13" i="9"/>
  <c r="J13" i="9"/>
  <c r="I13" i="9"/>
  <c r="H13" i="9"/>
  <c r="G13" i="9"/>
  <c r="O12" i="9"/>
  <c r="N12" i="9"/>
  <c r="M12" i="9"/>
  <c r="L12" i="9"/>
  <c r="K12" i="9"/>
  <c r="J12" i="9"/>
  <c r="I12" i="9"/>
  <c r="H12" i="9"/>
  <c r="G12" i="9"/>
  <c r="O11" i="9"/>
  <c r="N11" i="9"/>
  <c r="M11" i="9"/>
  <c r="L11" i="9"/>
  <c r="K11" i="9"/>
  <c r="J11" i="9"/>
  <c r="I11" i="9"/>
  <c r="H11" i="9"/>
  <c r="G11" i="9"/>
  <c r="O10" i="9"/>
  <c r="N10" i="9"/>
  <c r="M10" i="9"/>
  <c r="L10" i="9"/>
  <c r="K10" i="9"/>
  <c r="J10" i="9"/>
  <c r="I10" i="9"/>
  <c r="H10" i="9"/>
  <c r="G10" i="9"/>
  <c r="O9" i="9"/>
  <c r="N9" i="9"/>
  <c r="M9" i="9"/>
  <c r="L9" i="9"/>
  <c r="K9" i="9"/>
  <c r="J9" i="9"/>
  <c r="I9" i="9"/>
  <c r="H9" i="9"/>
  <c r="G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4" i="9"/>
  <c r="F9" i="9"/>
  <c r="D24" i="9"/>
  <c r="D20" i="9"/>
  <c r="D21" i="9"/>
  <c r="D22" i="9"/>
  <c r="D10" i="9"/>
  <c r="D11" i="9"/>
  <c r="D12" i="9"/>
  <c r="D13" i="9"/>
  <c r="D14" i="9"/>
  <c r="D15" i="9"/>
  <c r="D16" i="9"/>
  <c r="D17" i="9"/>
  <c r="D18" i="9"/>
  <c r="D19" i="9"/>
  <c r="G10" i="8"/>
  <c r="H10" i="8"/>
  <c r="I10" i="8"/>
  <c r="J10" i="8"/>
  <c r="K10" i="8"/>
  <c r="L10" i="8"/>
  <c r="M10" i="8"/>
  <c r="N10" i="8"/>
  <c r="O10" i="8"/>
  <c r="G11" i="8"/>
  <c r="H11" i="8"/>
  <c r="I11" i="8"/>
  <c r="J11" i="8"/>
  <c r="K11" i="8"/>
  <c r="L11" i="8"/>
  <c r="M11" i="8"/>
  <c r="N11" i="8"/>
  <c r="O11" i="8"/>
  <c r="G12" i="8"/>
  <c r="H12" i="8"/>
  <c r="I12" i="8"/>
  <c r="J12" i="8"/>
  <c r="K12" i="8"/>
  <c r="L12" i="8"/>
  <c r="M12" i="8"/>
  <c r="N12" i="8"/>
  <c r="O12" i="8"/>
  <c r="G13" i="8"/>
  <c r="H13" i="8"/>
  <c r="I13" i="8"/>
  <c r="J13" i="8"/>
  <c r="K13" i="8"/>
  <c r="L13" i="8"/>
  <c r="M13" i="8"/>
  <c r="N13" i="8"/>
  <c r="O13" i="8"/>
  <c r="G14" i="8"/>
  <c r="H14" i="8"/>
  <c r="I14" i="8"/>
  <c r="J14" i="8"/>
  <c r="K14" i="8"/>
  <c r="L14" i="8"/>
  <c r="M14" i="8"/>
  <c r="N14" i="8"/>
  <c r="O14" i="8"/>
  <c r="G15" i="8"/>
  <c r="H15" i="8"/>
  <c r="I15" i="8"/>
  <c r="J15" i="8"/>
  <c r="K15" i="8"/>
  <c r="L15" i="8"/>
  <c r="M15" i="8"/>
  <c r="N15" i="8"/>
  <c r="O15" i="8"/>
  <c r="G17" i="8"/>
  <c r="H17" i="8"/>
  <c r="I17" i="8"/>
  <c r="J17" i="8"/>
  <c r="K17" i="8"/>
  <c r="L17" i="8"/>
  <c r="M17" i="8"/>
  <c r="N17" i="8"/>
  <c r="O17" i="8"/>
  <c r="G18" i="8"/>
  <c r="H18" i="8"/>
  <c r="I18" i="8"/>
  <c r="J18" i="8"/>
  <c r="K18" i="8"/>
  <c r="L18" i="8"/>
  <c r="M18" i="8"/>
  <c r="N18" i="8"/>
  <c r="O18" i="8"/>
  <c r="G22" i="8"/>
  <c r="H22" i="8"/>
  <c r="I22" i="8"/>
  <c r="J22" i="8"/>
  <c r="K22" i="8"/>
  <c r="L22" i="8"/>
  <c r="M22" i="8"/>
  <c r="G31" i="14" s="1"/>
  <c r="N22" i="8"/>
  <c r="H31" i="14" s="1"/>
  <c r="O22" i="8"/>
  <c r="I31" i="14" s="1"/>
  <c r="K31" i="14" s="1"/>
  <c r="L31" i="14" s="1"/>
  <c r="M31" i="14" s="1"/>
  <c r="N31" i="14" s="1"/>
  <c r="O31" i="14" s="1"/>
  <c r="G23" i="8"/>
  <c r="H23" i="8"/>
  <c r="I23" i="8"/>
  <c r="J23" i="8"/>
  <c r="K23" i="8"/>
  <c r="L23" i="8"/>
  <c r="M23" i="8"/>
  <c r="N23" i="8"/>
  <c r="O23" i="8"/>
  <c r="G24" i="8"/>
  <c r="H24" i="8"/>
  <c r="I24" i="8"/>
  <c r="J24" i="8"/>
  <c r="K24" i="8"/>
  <c r="L24" i="8"/>
  <c r="M24" i="8"/>
  <c r="N24" i="8"/>
  <c r="O24" i="8"/>
  <c r="G25" i="8"/>
  <c r="H25" i="8"/>
  <c r="I25" i="8"/>
  <c r="J25" i="8"/>
  <c r="K25" i="8"/>
  <c r="L25" i="8"/>
  <c r="M25" i="8"/>
  <c r="N25" i="8"/>
  <c r="O25" i="8"/>
  <c r="G26" i="8"/>
  <c r="H26" i="8"/>
  <c r="I26" i="8"/>
  <c r="J26" i="8"/>
  <c r="K26" i="8"/>
  <c r="L26" i="8"/>
  <c r="M26" i="8"/>
  <c r="N26" i="8"/>
  <c r="O26" i="8"/>
  <c r="G27" i="8"/>
  <c r="H27" i="8"/>
  <c r="I27" i="8"/>
  <c r="J27" i="8"/>
  <c r="K27" i="8"/>
  <c r="L27" i="8"/>
  <c r="M27" i="8"/>
  <c r="N27" i="8"/>
  <c r="O27" i="8"/>
  <c r="G28" i="8"/>
  <c r="H28" i="8"/>
  <c r="I28" i="8"/>
  <c r="J28" i="8"/>
  <c r="K28" i="8"/>
  <c r="L28" i="8"/>
  <c r="M28" i="8"/>
  <c r="N28" i="8"/>
  <c r="O28" i="8"/>
  <c r="G29" i="8"/>
  <c r="H29" i="8"/>
  <c r="I29" i="8"/>
  <c r="J29" i="8"/>
  <c r="K29" i="8"/>
  <c r="L29" i="8"/>
  <c r="M29" i="8"/>
  <c r="N29" i="8"/>
  <c r="O29" i="8"/>
  <c r="G30" i="8"/>
  <c r="H30" i="8"/>
  <c r="I30" i="8"/>
  <c r="J30" i="8"/>
  <c r="K30" i="8"/>
  <c r="L30" i="8"/>
  <c r="M30" i="8"/>
  <c r="N30" i="8"/>
  <c r="O30" i="8"/>
  <c r="G31" i="8"/>
  <c r="H31" i="8"/>
  <c r="I31" i="8"/>
  <c r="J31" i="8"/>
  <c r="K31" i="8"/>
  <c r="L31" i="8"/>
  <c r="M31" i="8"/>
  <c r="N31" i="8"/>
  <c r="O31" i="8"/>
  <c r="G32" i="8"/>
  <c r="H32" i="8"/>
  <c r="I32" i="8"/>
  <c r="J32" i="8"/>
  <c r="K32" i="8"/>
  <c r="L32" i="8"/>
  <c r="M32" i="8"/>
  <c r="N32" i="8"/>
  <c r="O32" i="8"/>
  <c r="G36" i="8"/>
  <c r="H36" i="8"/>
  <c r="I36" i="8"/>
  <c r="J36" i="8"/>
  <c r="K36" i="8"/>
  <c r="L36" i="8"/>
  <c r="M36" i="8"/>
  <c r="N36" i="8"/>
  <c r="O36" i="8"/>
  <c r="G37" i="8"/>
  <c r="H37" i="8"/>
  <c r="I37" i="8"/>
  <c r="J37" i="8"/>
  <c r="K37" i="8"/>
  <c r="L37" i="8"/>
  <c r="M37" i="8"/>
  <c r="N37" i="8"/>
  <c r="O37" i="8"/>
  <c r="G38" i="8"/>
  <c r="H38" i="8"/>
  <c r="I38" i="8"/>
  <c r="J38" i="8"/>
  <c r="K38" i="8"/>
  <c r="L38" i="8"/>
  <c r="M38" i="8"/>
  <c r="N38" i="8"/>
  <c r="O38" i="8"/>
  <c r="G39" i="8"/>
  <c r="H39" i="8"/>
  <c r="I39" i="8"/>
  <c r="J39" i="8"/>
  <c r="K39" i="8"/>
  <c r="L39" i="8"/>
  <c r="M39" i="8"/>
  <c r="N39" i="8"/>
  <c r="O39" i="8"/>
  <c r="G40" i="8"/>
  <c r="H40" i="8"/>
  <c r="I40" i="8"/>
  <c r="J40" i="8"/>
  <c r="K40" i="8"/>
  <c r="L40" i="8"/>
  <c r="M40" i="8"/>
  <c r="N40" i="8"/>
  <c r="O40" i="8"/>
  <c r="G41" i="8"/>
  <c r="H41" i="8"/>
  <c r="I41" i="8"/>
  <c r="J41" i="8"/>
  <c r="K41" i="8"/>
  <c r="L41" i="8"/>
  <c r="M41" i="8"/>
  <c r="N41" i="8"/>
  <c r="O41" i="8"/>
  <c r="G42" i="8"/>
  <c r="H42" i="8"/>
  <c r="I42" i="8"/>
  <c r="J42" i="8"/>
  <c r="K42" i="8"/>
  <c r="L42" i="8"/>
  <c r="M42" i="8"/>
  <c r="N42" i="8"/>
  <c r="O42" i="8"/>
  <c r="F11" i="8"/>
  <c r="F12" i="8"/>
  <c r="F13" i="8"/>
  <c r="F14" i="8"/>
  <c r="F15" i="8"/>
  <c r="F17" i="8"/>
  <c r="F18" i="8"/>
  <c r="F22" i="8"/>
  <c r="F23" i="8"/>
  <c r="F24" i="8"/>
  <c r="F25" i="8"/>
  <c r="F26" i="8"/>
  <c r="F27" i="8"/>
  <c r="F28" i="8"/>
  <c r="F29" i="8"/>
  <c r="F30" i="8"/>
  <c r="F31" i="8"/>
  <c r="F32" i="8"/>
  <c r="F36" i="8"/>
  <c r="F37" i="8"/>
  <c r="F38" i="8"/>
  <c r="F39" i="8"/>
  <c r="F40" i="8"/>
  <c r="F41" i="8"/>
  <c r="F42" i="8"/>
  <c r="F10" i="8"/>
  <c r="P16" i="6"/>
  <c r="P7" i="6"/>
  <c r="C6" i="2"/>
  <c r="C7" i="2"/>
  <c r="C8" i="2"/>
  <c r="C1" i="2"/>
  <c r="B10" i="2" s="1"/>
  <c r="L89" i="2"/>
  <c r="K89" i="2"/>
  <c r="J89" i="2"/>
  <c r="I89" i="2"/>
  <c r="H89" i="2"/>
  <c r="G89" i="2"/>
  <c r="F89" i="2"/>
  <c r="E89" i="2"/>
  <c r="D89" i="2"/>
  <c r="C89" i="2"/>
  <c r="L88" i="2"/>
  <c r="K88" i="2"/>
  <c r="J88" i="2"/>
  <c r="I88" i="2"/>
  <c r="H88" i="2"/>
  <c r="G88" i="2"/>
  <c r="F88" i="2"/>
  <c r="E88" i="2"/>
  <c r="D88" i="2"/>
  <c r="C88" i="2"/>
  <c r="L87" i="2"/>
  <c r="K87" i="2"/>
  <c r="J87" i="2"/>
  <c r="I87" i="2"/>
  <c r="H87" i="2"/>
  <c r="G87" i="2"/>
  <c r="F87" i="2"/>
  <c r="E87" i="2"/>
  <c r="D87" i="2"/>
  <c r="C87" i="2"/>
  <c r="L86" i="2"/>
  <c r="K86" i="2"/>
  <c r="J86" i="2"/>
  <c r="I86" i="2"/>
  <c r="H86" i="2"/>
  <c r="G86" i="2"/>
  <c r="F86" i="2"/>
  <c r="E86" i="2"/>
  <c r="D86" i="2"/>
  <c r="C86" i="2"/>
  <c r="L85" i="2"/>
  <c r="K85" i="2"/>
  <c r="J85" i="2"/>
  <c r="I85" i="2"/>
  <c r="H85" i="2"/>
  <c r="G85" i="2"/>
  <c r="F85" i="2"/>
  <c r="E85" i="2"/>
  <c r="D85" i="2"/>
  <c r="C85" i="2"/>
  <c r="L84" i="2"/>
  <c r="K84" i="2"/>
  <c r="J84" i="2"/>
  <c r="I84" i="2"/>
  <c r="H84" i="2"/>
  <c r="G84" i="2"/>
  <c r="F84" i="2"/>
  <c r="E84" i="2"/>
  <c r="D84" i="2"/>
  <c r="C84" i="2"/>
  <c r="L83" i="2"/>
  <c r="L90" i="2" s="1"/>
  <c r="K83" i="2"/>
  <c r="K90" i="2" s="1"/>
  <c r="J83" i="2"/>
  <c r="J90" i="2" s="1"/>
  <c r="I83" i="2"/>
  <c r="I90" i="2" s="1"/>
  <c r="H83" i="2"/>
  <c r="H90" i="2" s="1"/>
  <c r="G83" i="2"/>
  <c r="G90" i="2" s="1"/>
  <c r="F83" i="2"/>
  <c r="F90" i="2" s="1"/>
  <c r="E83" i="2"/>
  <c r="E90" i="2" s="1"/>
  <c r="D83" i="2"/>
  <c r="D90" i="2" s="1"/>
  <c r="C83" i="2"/>
  <c r="C90" i="2" s="1"/>
  <c r="L80" i="2"/>
  <c r="K80" i="2"/>
  <c r="J80" i="2"/>
  <c r="I80" i="2"/>
  <c r="H80" i="2"/>
  <c r="G80" i="2"/>
  <c r="F80" i="2"/>
  <c r="E80" i="2"/>
  <c r="D80" i="2"/>
  <c r="C80" i="2"/>
  <c r="L79" i="2"/>
  <c r="K79" i="2"/>
  <c r="J79" i="2"/>
  <c r="I79" i="2"/>
  <c r="H79" i="2"/>
  <c r="G79" i="2"/>
  <c r="F79" i="2"/>
  <c r="E79" i="2"/>
  <c r="D79" i="2"/>
  <c r="D81" i="2" s="1"/>
  <c r="D92" i="2" s="1"/>
  <c r="C79" i="2"/>
  <c r="C81" i="2" s="1"/>
  <c r="L78" i="2"/>
  <c r="L81" i="2" s="1"/>
  <c r="K78" i="2"/>
  <c r="K81" i="2" s="1"/>
  <c r="J78" i="2"/>
  <c r="J81" i="2" s="1"/>
  <c r="I78" i="2"/>
  <c r="I81" i="2" s="1"/>
  <c r="H78" i="2"/>
  <c r="H81" i="2" s="1"/>
  <c r="G78" i="2"/>
  <c r="G81" i="2" s="1"/>
  <c r="F78" i="2"/>
  <c r="F81" i="2" s="1"/>
  <c r="E78" i="2"/>
  <c r="E81" i="2" s="1"/>
  <c r="D78" i="2"/>
  <c r="C78" i="2"/>
  <c r="L77" i="2"/>
  <c r="K77" i="2"/>
  <c r="J77" i="2"/>
  <c r="I77" i="2"/>
  <c r="H77" i="2"/>
  <c r="G77" i="2"/>
  <c r="F77" i="2"/>
  <c r="E77" i="2"/>
  <c r="D77" i="2"/>
  <c r="C77" i="2"/>
  <c r="L76" i="2"/>
  <c r="K76" i="2"/>
  <c r="J76" i="2"/>
  <c r="I76" i="2"/>
  <c r="H76" i="2"/>
  <c r="G76" i="2"/>
  <c r="F76" i="2"/>
  <c r="E76" i="2"/>
  <c r="D76" i="2"/>
  <c r="C76" i="2"/>
  <c r="L75" i="2"/>
  <c r="K75" i="2"/>
  <c r="J75" i="2"/>
  <c r="I75" i="2"/>
  <c r="H75" i="2"/>
  <c r="G75" i="2"/>
  <c r="F75" i="2"/>
  <c r="E75" i="2"/>
  <c r="D75" i="2"/>
  <c r="C75" i="2"/>
  <c r="L74" i="2"/>
  <c r="K74" i="2"/>
  <c r="J74" i="2"/>
  <c r="I74" i="2"/>
  <c r="H74" i="2"/>
  <c r="G74" i="2"/>
  <c r="F74" i="2"/>
  <c r="E74" i="2"/>
  <c r="D74" i="2"/>
  <c r="C74" i="2"/>
  <c r="L73" i="2"/>
  <c r="K73" i="2"/>
  <c r="J73" i="2"/>
  <c r="I73" i="2"/>
  <c r="H73" i="2"/>
  <c r="G73" i="2"/>
  <c r="F73" i="2"/>
  <c r="E73" i="2"/>
  <c r="D73" i="2"/>
  <c r="C73" i="2"/>
  <c r="L72" i="2"/>
  <c r="K72" i="2"/>
  <c r="J72" i="2"/>
  <c r="I72" i="2"/>
  <c r="H72" i="2"/>
  <c r="G72" i="2"/>
  <c r="F72" i="2"/>
  <c r="E72" i="2"/>
  <c r="D72" i="2"/>
  <c r="C72" i="2"/>
  <c r="L71" i="2"/>
  <c r="K71" i="2"/>
  <c r="J71" i="2"/>
  <c r="I71" i="2"/>
  <c r="H71" i="2"/>
  <c r="G71" i="2"/>
  <c r="F71" i="2"/>
  <c r="E71" i="2"/>
  <c r="D71" i="2"/>
  <c r="C71" i="2"/>
  <c r="L70" i="2"/>
  <c r="K70" i="2"/>
  <c r="J70" i="2"/>
  <c r="I70" i="2"/>
  <c r="H70" i="2"/>
  <c r="G70" i="2"/>
  <c r="F70" i="2"/>
  <c r="E70" i="2"/>
  <c r="D70" i="2"/>
  <c r="C70" i="2"/>
  <c r="D68" i="2"/>
  <c r="L67" i="2"/>
  <c r="K67" i="2"/>
  <c r="J67" i="2"/>
  <c r="I67" i="2"/>
  <c r="H67" i="2"/>
  <c r="G67" i="2"/>
  <c r="F67" i="2"/>
  <c r="E67" i="2"/>
  <c r="D67" i="2"/>
  <c r="C67" i="2"/>
  <c r="L66" i="2"/>
  <c r="K66" i="2"/>
  <c r="J66" i="2"/>
  <c r="I66" i="2"/>
  <c r="H66" i="2"/>
  <c r="G66" i="2"/>
  <c r="F66" i="2"/>
  <c r="E66" i="2"/>
  <c r="D66" i="2"/>
  <c r="C66" i="2"/>
  <c r="L65" i="2"/>
  <c r="K65" i="2"/>
  <c r="J65" i="2"/>
  <c r="I65" i="2"/>
  <c r="H65" i="2"/>
  <c r="G65" i="2"/>
  <c r="F65" i="2"/>
  <c r="E65" i="2"/>
  <c r="D65" i="2"/>
  <c r="L64" i="2"/>
  <c r="K64" i="2"/>
  <c r="J64" i="2"/>
  <c r="I64" i="2"/>
  <c r="I68" i="2" s="1"/>
  <c r="I92" i="2" s="1"/>
  <c r="H64" i="2"/>
  <c r="H68" i="2" s="1"/>
  <c r="H92" i="2" s="1"/>
  <c r="G64" i="2"/>
  <c r="G68" i="2" s="1"/>
  <c r="G92" i="2" s="1"/>
  <c r="F64" i="2"/>
  <c r="F68" i="2" s="1"/>
  <c r="F92" i="2" s="1"/>
  <c r="E64" i="2"/>
  <c r="E68" i="2" s="1"/>
  <c r="E92" i="2" s="1"/>
  <c r="D64" i="2"/>
  <c r="C64" i="2"/>
  <c r="C68" i="2" s="1"/>
  <c r="C92" i="2" s="1"/>
  <c r="L63" i="2"/>
  <c r="L68" i="2" s="1"/>
  <c r="L92" i="2" s="1"/>
  <c r="K63" i="2"/>
  <c r="K68" i="2" s="1"/>
  <c r="K92" i="2" s="1"/>
  <c r="J63" i="2"/>
  <c r="J68" i="2" s="1"/>
  <c r="J92" i="2" s="1"/>
  <c r="I63" i="2"/>
  <c r="H63" i="2"/>
  <c r="G63" i="2"/>
  <c r="F63" i="2"/>
  <c r="E63" i="2"/>
  <c r="D63" i="2"/>
  <c r="C63" i="2"/>
  <c r="L62" i="2"/>
  <c r="K62" i="2"/>
  <c r="J62" i="2"/>
  <c r="I62" i="2"/>
  <c r="H62" i="2"/>
  <c r="G62" i="2"/>
  <c r="F62" i="2"/>
  <c r="E62" i="2"/>
  <c r="D62" i="2"/>
  <c r="C62" i="2"/>
  <c r="L61" i="2"/>
  <c r="K61" i="2"/>
  <c r="J61" i="2"/>
  <c r="I61" i="2"/>
  <c r="H61" i="2"/>
  <c r="G61" i="2"/>
  <c r="F61" i="2"/>
  <c r="E61" i="2"/>
  <c r="D61" i="2"/>
  <c r="C61" i="2"/>
  <c r="L60" i="2"/>
  <c r="K60" i="2"/>
  <c r="J60" i="2"/>
  <c r="I60" i="2"/>
  <c r="H60" i="2"/>
  <c r="G60" i="2"/>
  <c r="F60" i="2"/>
  <c r="E60" i="2"/>
  <c r="D60" i="2"/>
  <c r="C60" i="2"/>
  <c r="L59" i="2"/>
  <c r="K59" i="2"/>
  <c r="J59" i="2"/>
  <c r="I59" i="2"/>
  <c r="H59" i="2"/>
  <c r="G59" i="2"/>
  <c r="F59" i="2"/>
  <c r="E59" i="2"/>
  <c r="D59" i="2"/>
  <c r="C59" i="2"/>
  <c r="D46" i="2"/>
  <c r="G18" i="7" s="1"/>
  <c r="E46" i="2"/>
  <c r="H18" i="7" s="1"/>
  <c r="F46" i="2"/>
  <c r="I18" i="7" s="1"/>
  <c r="G46" i="2"/>
  <c r="J18" i="7" s="1"/>
  <c r="H46" i="2"/>
  <c r="K18" i="7" s="1"/>
  <c r="I46" i="2"/>
  <c r="L18" i="7" s="1"/>
  <c r="J46" i="2"/>
  <c r="M18" i="7" s="1"/>
  <c r="K46" i="2"/>
  <c r="N18" i="7" s="1"/>
  <c r="L46" i="2"/>
  <c r="O18" i="7" s="1"/>
  <c r="C46" i="2"/>
  <c r="F18" i="7" s="1"/>
  <c r="L51" i="2"/>
  <c r="O23" i="7" s="1"/>
  <c r="L46" i="14" s="1"/>
  <c r="K51" i="2"/>
  <c r="N23" i="7" s="1"/>
  <c r="J51" i="2"/>
  <c r="M23" i="7" s="1"/>
  <c r="I51" i="2"/>
  <c r="L23" i="7" s="1"/>
  <c r="H51" i="2"/>
  <c r="K23" i="7" s="1"/>
  <c r="G51" i="2"/>
  <c r="J23" i="7" s="1"/>
  <c r="F51" i="2"/>
  <c r="I23" i="7" s="1"/>
  <c r="E51" i="2"/>
  <c r="H23" i="7" s="1"/>
  <c r="D51" i="2"/>
  <c r="G23" i="7" s="1"/>
  <c r="C51" i="2"/>
  <c r="F23" i="7" s="1"/>
  <c r="L50" i="2"/>
  <c r="O22" i="7" s="1"/>
  <c r="K50" i="2"/>
  <c r="N22" i="7" s="1"/>
  <c r="J50" i="2"/>
  <c r="M22" i="7" s="1"/>
  <c r="I50" i="2"/>
  <c r="L22" i="7" s="1"/>
  <c r="H50" i="2"/>
  <c r="K22" i="7" s="1"/>
  <c r="G50" i="2"/>
  <c r="J22" i="7" s="1"/>
  <c r="F50" i="2"/>
  <c r="I22" i="7" s="1"/>
  <c r="E50" i="2"/>
  <c r="H22" i="7" s="1"/>
  <c r="D50" i="2"/>
  <c r="G22" i="7" s="1"/>
  <c r="C50" i="2"/>
  <c r="F22" i="7" s="1"/>
  <c r="L49" i="2"/>
  <c r="K49" i="2"/>
  <c r="J49" i="2"/>
  <c r="I49" i="2"/>
  <c r="H49" i="2"/>
  <c r="G49" i="2"/>
  <c r="F49" i="2"/>
  <c r="E49" i="2"/>
  <c r="D49" i="2"/>
  <c r="C49" i="2"/>
  <c r="D43" i="2"/>
  <c r="G15" i="7" s="1"/>
  <c r="E43" i="2"/>
  <c r="H15" i="7" s="1"/>
  <c r="F43" i="2"/>
  <c r="I15" i="7" s="1"/>
  <c r="G43" i="2"/>
  <c r="J15" i="7" s="1"/>
  <c r="H43" i="2"/>
  <c r="K15" i="7" s="1"/>
  <c r="I43" i="2"/>
  <c r="L15" i="7" s="1"/>
  <c r="J43" i="2"/>
  <c r="M15" i="7" s="1"/>
  <c r="K43" i="2"/>
  <c r="L43" i="2"/>
  <c r="D44" i="2"/>
  <c r="G16" i="7" s="1"/>
  <c r="E44" i="2"/>
  <c r="H16" i="7" s="1"/>
  <c r="F44" i="2"/>
  <c r="I16" i="7" s="1"/>
  <c r="G44" i="2"/>
  <c r="J16" i="7" s="1"/>
  <c r="H44" i="2"/>
  <c r="K16" i="7" s="1"/>
  <c r="I44" i="2"/>
  <c r="L16" i="7" s="1"/>
  <c r="J44" i="2"/>
  <c r="M16" i="7" s="1"/>
  <c r="K44" i="2"/>
  <c r="N16" i="7" s="1"/>
  <c r="L44" i="2"/>
  <c r="O16" i="7" s="1"/>
  <c r="D45" i="2"/>
  <c r="G17" i="7" s="1"/>
  <c r="E45" i="2"/>
  <c r="H17" i="7" s="1"/>
  <c r="F45" i="2"/>
  <c r="I17" i="7" s="1"/>
  <c r="G45" i="2"/>
  <c r="J17" i="7" s="1"/>
  <c r="H45" i="2"/>
  <c r="K17" i="7" s="1"/>
  <c r="I45" i="2"/>
  <c r="L17" i="7" s="1"/>
  <c r="J45" i="2"/>
  <c r="M17" i="7" s="1"/>
  <c r="K45" i="2"/>
  <c r="N17" i="7" s="1"/>
  <c r="L45" i="2"/>
  <c r="O17" i="7" s="1"/>
  <c r="C44" i="2"/>
  <c r="F16" i="7" s="1"/>
  <c r="C45" i="2"/>
  <c r="F17" i="7" s="1"/>
  <c r="C43" i="2"/>
  <c r="F15" i="7" s="1"/>
  <c r="D37" i="2"/>
  <c r="G9" i="7" s="1"/>
  <c r="E37" i="2"/>
  <c r="H9" i="7" s="1"/>
  <c r="F37" i="2"/>
  <c r="I9" i="7" s="1"/>
  <c r="G37" i="2"/>
  <c r="J9" i="7" s="1"/>
  <c r="H37" i="2"/>
  <c r="K9" i="7" s="1"/>
  <c r="I37" i="2"/>
  <c r="L9" i="7" s="1"/>
  <c r="J37" i="2"/>
  <c r="M9" i="7" s="1"/>
  <c r="K37" i="2"/>
  <c r="N9" i="7" s="1"/>
  <c r="L37" i="2"/>
  <c r="O9" i="7" s="1"/>
  <c r="D38" i="2"/>
  <c r="G10" i="7" s="1"/>
  <c r="E38" i="2"/>
  <c r="H10" i="7" s="1"/>
  <c r="F38" i="2"/>
  <c r="I10" i="7" s="1"/>
  <c r="G38" i="2"/>
  <c r="J10" i="7" s="1"/>
  <c r="H38" i="2"/>
  <c r="K10" i="7" s="1"/>
  <c r="I38" i="2"/>
  <c r="L10" i="7" s="1"/>
  <c r="J38" i="2"/>
  <c r="M10" i="7" s="1"/>
  <c r="K38" i="2"/>
  <c r="N10" i="7" s="1"/>
  <c r="L38" i="2"/>
  <c r="O10" i="7" s="1"/>
  <c r="D39" i="2"/>
  <c r="G11" i="7" s="1"/>
  <c r="E39" i="2"/>
  <c r="H11" i="7" s="1"/>
  <c r="F39" i="2"/>
  <c r="I11" i="7" s="1"/>
  <c r="G39" i="2"/>
  <c r="J11" i="7" s="1"/>
  <c r="H39" i="2"/>
  <c r="K11" i="7" s="1"/>
  <c r="I39" i="2"/>
  <c r="L11" i="7" s="1"/>
  <c r="J39" i="2"/>
  <c r="M11" i="7" s="1"/>
  <c r="K39" i="2"/>
  <c r="N11" i="7" s="1"/>
  <c r="L39" i="2"/>
  <c r="D40" i="2"/>
  <c r="G12" i="7" s="1"/>
  <c r="E40" i="2"/>
  <c r="H12" i="7" s="1"/>
  <c r="F40" i="2"/>
  <c r="I12" i="7" s="1"/>
  <c r="G40" i="2"/>
  <c r="J12" i="7" s="1"/>
  <c r="H40" i="2"/>
  <c r="K12" i="7" s="1"/>
  <c r="I40" i="2"/>
  <c r="L12" i="7" s="1"/>
  <c r="J40" i="2"/>
  <c r="M12" i="7" s="1"/>
  <c r="K40" i="2"/>
  <c r="N12" i="7" s="1"/>
  <c r="L40" i="2"/>
  <c r="O12" i="7" s="1"/>
  <c r="C38" i="2"/>
  <c r="F10" i="7" s="1"/>
  <c r="C39" i="2"/>
  <c r="F11" i="7" s="1"/>
  <c r="C40" i="2"/>
  <c r="F12" i="7" s="1"/>
  <c r="C37" i="2"/>
  <c r="D26" i="2"/>
  <c r="E26" i="2"/>
  <c r="F26" i="2"/>
  <c r="G26" i="2"/>
  <c r="H26" i="2"/>
  <c r="I26" i="2"/>
  <c r="J26" i="2"/>
  <c r="K26" i="2"/>
  <c r="L26" i="2"/>
  <c r="C26" i="2"/>
  <c r="D22" i="2"/>
  <c r="G31" i="6" s="1"/>
  <c r="E22" i="2"/>
  <c r="H31" i="6" s="1"/>
  <c r="F22" i="2"/>
  <c r="I31" i="6" s="1"/>
  <c r="G22" i="2"/>
  <c r="J31" i="6" s="1"/>
  <c r="H22" i="2"/>
  <c r="K31" i="6" s="1"/>
  <c r="I22" i="2"/>
  <c r="L31" i="6" s="1"/>
  <c r="J22" i="2"/>
  <c r="M31" i="6" s="1"/>
  <c r="K22" i="2"/>
  <c r="N31" i="6" s="1"/>
  <c r="L22" i="2"/>
  <c r="O31" i="6" s="1"/>
  <c r="D20" i="2"/>
  <c r="G26" i="6" s="1"/>
  <c r="E20" i="2"/>
  <c r="H26" i="6" s="1"/>
  <c r="F20" i="2"/>
  <c r="I26" i="6" s="1"/>
  <c r="G20" i="2"/>
  <c r="J26" i="6" s="1"/>
  <c r="H20" i="2"/>
  <c r="K26" i="6" s="1"/>
  <c r="I20" i="2"/>
  <c r="L26" i="6" s="1"/>
  <c r="J20" i="2"/>
  <c r="M26" i="6" s="1"/>
  <c r="K20" i="2"/>
  <c r="N26" i="6" s="1"/>
  <c r="L20" i="2"/>
  <c r="D19" i="2"/>
  <c r="G21" i="6" s="1"/>
  <c r="E19" i="2"/>
  <c r="H21" i="6" s="1"/>
  <c r="F19" i="2"/>
  <c r="I21" i="6" s="1"/>
  <c r="G19" i="2"/>
  <c r="J21" i="6" s="1"/>
  <c r="H19" i="2"/>
  <c r="K21" i="6" s="1"/>
  <c r="I19" i="2"/>
  <c r="L21" i="6" s="1"/>
  <c r="J19" i="2"/>
  <c r="M21" i="6" s="1"/>
  <c r="K19" i="2"/>
  <c r="N21" i="6" s="1"/>
  <c r="L19" i="2"/>
  <c r="O21" i="6" s="1"/>
  <c r="D17" i="2"/>
  <c r="G16" i="6" s="1"/>
  <c r="E17" i="2"/>
  <c r="H16" i="6" s="1"/>
  <c r="F17" i="2"/>
  <c r="I16" i="6" s="1"/>
  <c r="G17" i="2"/>
  <c r="J16" i="6" s="1"/>
  <c r="H17" i="2"/>
  <c r="K16" i="6" s="1"/>
  <c r="I17" i="2"/>
  <c r="L16" i="6" s="1"/>
  <c r="J17" i="2"/>
  <c r="M16" i="6" s="1"/>
  <c r="K17" i="2"/>
  <c r="N16" i="6" s="1"/>
  <c r="L17" i="2"/>
  <c r="O16" i="6" s="1"/>
  <c r="C17" i="2"/>
  <c r="F16" i="6" s="1"/>
  <c r="D15" i="2"/>
  <c r="G11" i="6" s="1"/>
  <c r="E15" i="2"/>
  <c r="H11" i="6" s="1"/>
  <c r="F15" i="2"/>
  <c r="I11" i="6" s="1"/>
  <c r="G15" i="2"/>
  <c r="J11" i="6" s="1"/>
  <c r="H15" i="2"/>
  <c r="K11" i="6" s="1"/>
  <c r="I15" i="2"/>
  <c r="L11" i="6" s="1"/>
  <c r="J15" i="2"/>
  <c r="M11" i="6" s="1"/>
  <c r="K15" i="2"/>
  <c r="N11" i="6" s="1"/>
  <c r="L15" i="2"/>
  <c r="O11" i="6" s="1"/>
  <c r="C15" i="2"/>
  <c r="F11" i="6" s="1"/>
  <c r="D14" i="2"/>
  <c r="G9" i="6" s="1"/>
  <c r="E14" i="2"/>
  <c r="H9" i="6" s="1"/>
  <c r="F14" i="2"/>
  <c r="I9" i="6" s="1"/>
  <c r="G14" i="2"/>
  <c r="J9" i="6" s="1"/>
  <c r="H14" i="2"/>
  <c r="K9" i="6" s="1"/>
  <c r="I14" i="2"/>
  <c r="L9" i="6" s="1"/>
  <c r="J14" i="2"/>
  <c r="M9" i="6" s="1"/>
  <c r="K14" i="2"/>
  <c r="L14" i="2"/>
  <c r="O9" i="6" s="1"/>
  <c r="C14" i="2"/>
  <c r="F9" i="6" s="1"/>
  <c r="L11" i="2"/>
  <c r="D11" i="2"/>
  <c r="E11" i="2"/>
  <c r="F11" i="2"/>
  <c r="G11" i="2"/>
  <c r="H11" i="2"/>
  <c r="I11" i="2"/>
  <c r="J11" i="2"/>
  <c r="K11" i="2"/>
  <c r="C11" i="2"/>
  <c r="M15" i="2"/>
  <c r="P11" i="6" s="1"/>
  <c r="M22" i="2"/>
  <c r="P31" i="6" s="1"/>
  <c r="C22" i="2"/>
  <c r="F31" i="6" s="1"/>
  <c r="M20" i="2"/>
  <c r="P26" i="6" s="1"/>
  <c r="C20" i="2"/>
  <c r="F26" i="6" s="1"/>
  <c r="M19" i="2"/>
  <c r="P21" i="6" s="1"/>
  <c r="C19" i="2"/>
  <c r="F21" i="6" s="1"/>
  <c r="M18" i="2"/>
  <c r="M14" i="2"/>
  <c r="P9" i="6" s="1"/>
  <c r="E1" i="3"/>
  <c r="B6" i="3"/>
  <c r="C5" i="2" s="1"/>
  <c r="L106" i="20" l="1"/>
  <c r="G106" i="20"/>
  <c r="J106" i="20"/>
  <c r="K106" i="20"/>
  <c r="I106" i="20"/>
  <c r="G13" i="6"/>
  <c r="F19" i="7"/>
  <c r="F13" i="6"/>
  <c r="P12" i="6"/>
  <c r="D47" i="2"/>
  <c r="C47" i="2"/>
  <c r="E47" i="2"/>
  <c r="F47" i="2"/>
  <c r="G47" i="2"/>
  <c r="H47" i="2"/>
  <c r="I47" i="2"/>
  <c r="J47" i="2"/>
  <c r="D41" i="2"/>
  <c r="E41" i="2"/>
  <c r="F41" i="2"/>
  <c r="G41" i="2"/>
  <c r="H41" i="2"/>
  <c r="I41" i="2"/>
  <c r="J41" i="2"/>
  <c r="K41" i="2"/>
  <c r="L41" i="2"/>
  <c r="L52" i="2"/>
  <c r="O21" i="7"/>
  <c r="O24" i="7" s="1"/>
  <c r="K52" i="2"/>
  <c r="N21" i="7"/>
  <c r="N24" i="7" s="1"/>
  <c r="J52" i="2"/>
  <c r="M21" i="7"/>
  <c r="M24" i="7" s="1"/>
  <c r="I52" i="2"/>
  <c r="L21" i="7"/>
  <c r="L24" i="7" s="1"/>
  <c r="H52" i="2"/>
  <c r="K21" i="7"/>
  <c r="K24" i="7" s="1"/>
  <c r="G52" i="2"/>
  <c r="J21" i="7"/>
  <c r="J24" i="7" s="1"/>
  <c r="F52" i="2"/>
  <c r="I21" i="7"/>
  <c r="I24" i="7" s="1"/>
  <c r="E52" i="2"/>
  <c r="H21" i="7"/>
  <c r="H24" i="7" s="1"/>
  <c r="D52" i="2"/>
  <c r="G21" i="7"/>
  <c r="G24" i="7" s="1"/>
  <c r="C52" i="2"/>
  <c r="F21" i="7"/>
  <c r="F24" i="7" s="1"/>
  <c r="F25" i="7" s="1"/>
  <c r="N15" i="7"/>
  <c r="N19" i="7" s="1"/>
  <c r="K47" i="2"/>
  <c r="O15" i="7"/>
  <c r="O19" i="7" s="1"/>
  <c r="L47" i="2"/>
  <c r="O11" i="7"/>
  <c r="O13" i="7" s="1"/>
  <c r="L43" i="14"/>
  <c r="C41" i="2"/>
  <c r="F9" i="7"/>
  <c r="F13" i="7" s="1"/>
  <c r="D31" i="2"/>
  <c r="G36" i="6"/>
  <c r="G41" i="6" s="1"/>
  <c r="E31" i="2"/>
  <c r="H36" i="6"/>
  <c r="H41" i="6" s="1"/>
  <c r="F31" i="2"/>
  <c r="I36" i="6"/>
  <c r="I41" i="6" s="1"/>
  <c r="G31" i="2"/>
  <c r="J36" i="6"/>
  <c r="J41" i="6" s="1"/>
  <c r="H31" i="2"/>
  <c r="K36" i="6"/>
  <c r="K41" i="6" s="1"/>
  <c r="I31" i="2"/>
  <c r="L36" i="6"/>
  <c r="L41" i="6" s="1"/>
  <c r="J31" i="2"/>
  <c r="M36" i="6"/>
  <c r="M41" i="6" s="1"/>
  <c r="K31" i="2"/>
  <c r="N36" i="6"/>
  <c r="N41" i="6" s="1"/>
  <c r="L31" i="2"/>
  <c r="O36" i="6"/>
  <c r="C31" i="2"/>
  <c r="F36" i="6"/>
  <c r="F41" i="6" s="1"/>
  <c r="G26" i="14"/>
  <c r="H26" i="14"/>
  <c r="I26" i="14"/>
  <c r="G22" i="14"/>
  <c r="M27" i="6"/>
  <c r="H22" i="14"/>
  <c r="O26" i="6"/>
  <c r="F14" i="10"/>
  <c r="F16" i="10" s="1"/>
  <c r="G18" i="14"/>
  <c r="M22" i="6"/>
  <c r="H18" i="14"/>
  <c r="I18" i="14"/>
  <c r="O22" i="6"/>
  <c r="G14" i="14"/>
  <c r="M17" i="6"/>
  <c r="H14" i="14"/>
  <c r="I14" i="14"/>
  <c r="O17" i="6"/>
  <c r="G10" i="14"/>
  <c r="M12" i="6"/>
  <c r="H10" i="14"/>
  <c r="I10" i="14"/>
  <c r="O12" i="6"/>
  <c r="G8" i="19"/>
  <c r="G18" i="6"/>
  <c r="G14" i="6"/>
  <c r="H13" i="6"/>
  <c r="H10" i="6"/>
  <c r="I13" i="6"/>
  <c r="I10" i="6"/>
  <c r="J13" i="6"/>
  <c r="J10" i="6"/>
  <c r="K13" i="6"/>
  <c r="K10" i="6"/>
  <c r="L13" i="6"/>
  <c r="L10" i="6"/>
  <c r="G8" i="14"/>
  <c r="M13" i="6"/>
  <c r="M10" i="6"/>
  <c r="K16" i="2"/>
  <c r="K18" i="2" s="1"/>
  <c r="N9" i="6"/>
  <c r="I8" i="14"/>
  <c r="O13" i="6"/>
  <c r="O10" i="6"/>
  <c r="O8" i="9"/>
  <c r="O29" i="9" s="1"/>
  <c r="O8" i="8"/>
  <c r="O8" i="7"/>
  <c r="O8" i="6"/>
  <c r="G8" i="9"/>
  <c r="G29" i="9" s="1"/>
  <c r="G8" i="7"/>
  <c r="G8" i="8"/>
  <c r="G8" i="6"/>
  <c r="H8" i="9"/>
  <c r="H29" i="9" s="1"/>
  <c r="H8" i="7"/>
  <c r="H8" i="8"/>
  <c r="H8" i="6"/>
  <c r="I8" i="8"/>
  <c r="I8" i="9"/>
  <c r="I29" i="9" s="1"/>
  <c r="I8" i="7"/>
  <c r="I8" i="6"/>
  <c r="J8" i="6"/>
  <c r="J8" i="9"/>
  <c r="J29" i="9" s="1"/>
  <c r="J8" i="7"/>
  <c r="J8" i="8"/>
  <c r="K8" i="9"/>
  <c r="K29" i="9" s="1"/>
  <c r="K8" i="7"/>
  <c r="K8" i="6"/>
  <c r="K8" i="8"/>
  <c r="L8" i="8"/>
  <c r="L8" i="9"/>
  <c r="L29" i="9" s="1"/>
  <c r="L8" i="7"/>
  <c r="L8" i="6"/>
  <c r="M8" i="7"/>
  <c r="M8" i="9"/>
  <c r="M29" i="9" s="1"/>
  <c r="M8" i="8"/>
  <c r="M8" i="6"/>
  <c r="N8" i="8"/>
  <c r="N8" i="7"/>
  <c r="N8" i="9"/>
  <c r="N29" i="9" s="1"/>
  <c r="N8" i="6"/>
  <c r="F8" i="7"/>
  <c r="F8" i="9"/>
  <c r="F29" i="9" s="1"/>
  <c r="F8" i="8"/>
  <c r="F8" i="6"/>
  <c r="P17" i="6"/>
  <c r="P13" i="6"/>
  <c r="P10" i="6"/>
  <c r="G19" i="7"/>
  <c r="H19" i="7"/>
  <c r="I19" i="7"/>
  <c r="J19" i="7"/>
  <c r="K19" i="7"/>
  <c r="L19" i="7"/>
  <c r="M19" i="7"/>
  <c r="G13" i="7"/>
  <c r="H13" i="7"/>
  <c r="I13" i="7"/>
  <c r="J13" i="7"/>
  <c r="K13" i="7"/>
  <c r="L13" i="7"/>
  <c r="M13" i="7"/>
  <c r="N13" i="7"/>
  <c r="G27" i="6"/>
  <c r="H27" i="6"/>
  <c r="I27" i="6"/>
  <c r="J27" i="6"/>
  <c r="K27" i="6"/>
  <c r="L27" i="6"/>
  <c r="G22" i="6"/>
  <c r="H22" i="6"/>
  <c r="I22" i="6"/>
  <c r="J22" i="6"/>
  <c r="K22" i="6"/>
  <c r="L22" i="6"/>
  <c r="G17" i="6"/>
  <c r="H17" i="6"/>
  <c r="I17" i="6"/>
  <c r="J17" i="6"/>
  <c r="K17" i="6"/>
  <c r="L17" i="6"/>
  <c r="G12" i="6"/>
  <c r="H12" i="6"/>
  <c r="I12" i="6"/>
  <c r="J12" i="6"/>
  <c r="K12" i="6"/>
  <c r="L12" i="6"/>
  <c r="P32" i="6"/>
  <c r="P27" i="6"/>
  <c r="P22" i="6"/>
  <c r="G33" i="8"/>
  <c r="J33" i="8"/>
  <c r="L33" i="8"/>
  <c r="N33" i="8"/>
  <c r="G43" i="8"/>
  <c r="I43" i="8"/>
  <c r="K43" i="8"/>
  <c r="M43" i="8"/>
  <c r="O43" i="8"/>
  <c r="F16" i="8"/>
  <c r="F19" i="8" s="1"/>
  <c r="G16" i="8"/>
  <c r="H16" i="8"/>
  <c r="H19" i="8" s="1"/>
  <c r="I16" i="8"/>
  <c r="J16" i="8"/>
  <c r="K16" i="8"/>
  <c r="L16" i="8"/>
  <c r="M16" i="8"/>
  <c r="N16" i="8"/>
  <c r="O16" i="8"/>
  <c r="H33" i="8"/>
  <c r="I33" i="8"/>
  <c r="K33" i="8"/>
  <c r="M33" i="8"/>
  <c r="O33" i="8"/>
  <c r="H43" i="8"/>
  <c r="J43" i="8"/>
  <c r="L43" i="8"/>
  <c r="N43" i="8"/>
  <c r="F33" i="8"/>
  <c r="F43" i="8"/>
  <c r="Q20" i="17"/>
  <c r="Q27" i="17" s="1"/>
  <c r="Q29" i="17" s="1"/>
  <c r="Q32" i="17" s="1"/>
  <c r="Q33" i="17" s="1"/>
  <c r="P10" i="17"/>
  <c r="O10" i="17"/>
  <c r="N16" i="10"/>
  <c r="L18" i="10"/>
  <c r="L19" i="10"/>
  <c r="Q24" i="17"/>
  <c r="Q23" i="17"/>
  <c r="Q21" i="17"/>
  <c r="P18" i="17"/>
  <c r="O18" i="17"/>
  <c r="P17" i="17"/>
  <c r="O17" i="17"/>
  <c r="P16" i="17"/>
  <c r="O16" i="17"/>
  <c r="P15" i="17"/>
  <c r="O15" i="17"/>
  <c r="P14" i="17"/>
  <c r="O14" i="17"/>
  <c r="P13" i="17"/>
  <c r="O13" i="17"/>
  <c r="P12" i="17"/>
  <c r="O12" i="17"/>
  <c r="G19" i="8"/>
  <c r="G45" i="8" s="1"/>
  <c r="I19" i="8"/>
  <c r="I45" i="8" s="1"/>
  <c r="J19" i="8"/>
  <c r="K19" i="8"/>
  <c r="K45" i="8" s="1"/>
  <c r="L19" i="8"/>
  <c r="M19" i="8"/>
  <c r="M45" i="8" s="1"/>
  <c r="N19" i="8"/>
  <c r="N45" i="8" s="1"/>
  <c r="O19" i="8"/>
  <c r="O45" i="8" s="1"/>
  <c r="H45" i="8"/>
  <c r="F22" i="6"/>
  <c r="G10" i="6"/>
  <c r="F27" i="6"/>
  <c r="F12" i="6"/>
  <c r="F17" i="6"/>
  <c r="F14" i="6"/>
  <c r="L16" i="2"/>
  <c r="L18" i="2" s="1"/>
  <c r="J16" i="2"/>
  <c r="J18" i="2" s="1"/>
  <c r="I16" i="2"/>
  <c r="I18" i="2" s="1"/>
  <c r="H16" i="2"/>
  <c r="H18" i="2" s="1"/>
  <c r="F16" i="2"/>
  <c r="F18" i="2" s="1"/>
  <c r="G16" i="2"/>
  <c r="G18" i="2" s="1"/>
  <c r="E16" i="2"/>
  <c r="E18" i="2" s="1"/>
  <c r="D16" i="2"/>
  <c r="D18" i="2" s="1"/>
  <c r="M16" i="2"/>
  <c r="C16" i="2"/>
  <c r="C18" i="2" s="1"/>
  <c r="M21" i="2"/>
  <c r="F27" i="7" l="1"/>
  <c r="F8" i="19"/>
  <c r="F18" i="6"/>
  <c r="C53" i="2"/>
  <c r="C55" i="2" s="1"/>
  <c r="K53" i="2"/>
  <c r="K55" i="2" s="1"/>
  <c r="L53" i="2"/>
  <c r="L55" i="2" s="1"/>
  <c r="G23" i="14"/>
  <c r="G15" i="14"/>
  <c r="I15" i="14"/>
  <c r="K15" i="14" s="1"/>
  <c r="L15" i="14" s="1"/>
  <c r="M15" i="14" s="1"/>
  <c r="E53" i="2"/>
  <c r="E55" i="2" s="1"/>
  <c r="F53" i="2"/>
  <c r="F55" i="2" s="1"/>
  <c r="G53" i="2"/>
  <c r="G55" i="2" s="1"/>
  <c r="H53" i="2"/>
  <c r="H55" i="2" s="1"/>
  <c r="I53" i="2"/>
  <c r="I55" i="2" s="1"/>
  <c r="J53" i="2"/>
  <c r="J55" i="2" s="1"/>
  <c r="M25" i="7"/>
  <c r="M27" i="7" s="1"/>
  <c r="K25" i="7"/>
  <c r="K27" i="7" s="1"/>
  <c r="D53" i="2"/>
  <c r="D55" i="2" s="1"/>
  <c r="L25" i="7"/>
  <c r="L27" i="7" s="1"/>
  <c r="J25" i="7"/>
  <c r="J27" i="7" s="1"/>
  <c r="I25" i="7"/>
  <c r="I27" i="7" s="1"/>
  <c r="H25" i="7"/>
  <c r="H27" i="7" s="1"/>
  <c r="G25" i="7"/>
  <c r="G27" i="7" s="1"/>
  <c r="N27" i="6"/>
  <c r="N22" i="6"/>
  <c r="N12" i="6"/>
  <c r="N17" i="6"/>
  <c r="H8" i="16"/>
  <c r="K8" i="14"/>
  <c r="O8" i="19"/>
  <c r="O14" i="6"/>
  <c r="O18" i="6"/>
  <c r="P14" i="6"/>
  <c r="P18" i="6"/>
  <c r="P36" i="6"/>
  <c r="O41" i="6"/>
  <c r="L50" i="14"/>
  <c r="I22" i="14"/>
  <c r="I23" i="14" s="1"/>
  <c r="K23" i="14" s="1"/>
  <c r="O27" i="6"/>
  <c r="G25" i="9"/>
  <c r="G9" i="19"/>
  <c r="H8" i="19"/>
  <c r="H18" i="6"/>
  <c r="H14" i="6"/>
  <c r="I8" i="19"/>
  <c r="I18" i="6"/>
  <c r="I14" i="6"/>
  <c r="J8" i="19"/>
  <c r="J18" i="6"/>
  <c r="J14" i="6"/>
  <c r="K8" i="19"/>
  <c r="K18" i="6"/>
  <c r="K14" i="6"/>
  <c r="L8" i="19"/>
  <c r="L18" i="6"/>
  <c r="L14" i="6"/>
  <c r="M8" i="19"/>
  <c r="M18" i="6"/>
  <c r="M14" i="6"/>
  <c r="H8" i="14"/>
  <c r="N13" i="6"/>
  <c r="N10" i="6"/>
  <c r="N25" i="7"/>
  <c r="N27" i="7" s="1"/>
  <c r="O25" i="7"/>
  <c r="O27" i="7" s="1"/>
  <c r="G30" i="14"/>
  <c r="G19" i="14"/>
  <c r="H30" i="14"/>
  <c r="I30" i="14"/>
  <c r="I19" i="14"/>
  <c r="K19" i="14" s="1"/>
  <c r="F9" i="16"/>
  <c r="F34" i="16" s="1"/>
  <c r="G11" i="14"/>
  <c r="G9" i="16"/>
  <c r="G34" i="16" s="1"/>
  <c r="H9" i="16"/>
  <c r="H34" i="16" s="1"/>
  <c r="I34" i="16" s="1"/>
  <c r="J34" i="16" s="1"/>
  <c r="K34" i="16" s="1"/>
  <c r="I11" i="14"/>
  <c r="I12" i="14"/>
  <c r="G23" i="6"/>
  <c r="G19" i="6"/>
  <c r="F8" i="16"/>
  <c r="J8" i="14"/>
  <c r="G12" i="14"/>
  <c r="G9" i="14"/>
  <c r="L21" i="2"/>
  <c r="O40" i="19"/>
  <c r="O37" i="19"/>
  <c r="J21" i="2"/>
  <c r="M40" i="19"/>
  <c r="M37" i="19"/>
  <c r="I21" i="2"/>
  <c r="L40" i="19"/>
  <c r="L37" i="19"/>
  <c r="H21" i="2"/>
  <c r="K40" i="19"/>
  <c r="K37" i="19"/>
  <c r="F21" i="2"/>
  <c r="I40" i="19"/>
  <c r="I37" i="19"/>
  <c r="G21" i="2"/>
  <c r="G23" i="2" s="1"/>
  <c r="J40" i="19"/>
  <c r="J37" i="19"/>
  <c r="E21" i="2"/>
  <c r="H37" i="19"/>
  <c r="H40" i="19"/>
  <c r="D21" i="2"/>
  <c r="G37" i="19"/>
  <c r="G40" i="19"/>
  <c r="K21" i="2"/>
  <c r="N40" i="19"/>
  <c r="N37" i="19"/>
  <c r="C21" i="2"/>
  <c r="F37" i="19"/>
  <c r="F40" i="19"/>
  <c r="J45" i="8"/>
  <c r="L45" i="8"/>
  <c r="F45" i="8"/>
  <c r="N18" i="10"/>
  <c r="K25" i="10" s="1"/>
  <c r="N25" i="10" s="1"/>
  <c r="F22" i="10" s="1"/>
  <c r="F24" i="10" s="1"/>
  <c r="F26" i="10" s="1"/>
  <c r="N19" i="10"/>
  <c r="P24" i="17"/>
  <c r="P23" i="17"/>
  <c r="P21" i="17"/>
  <c r="P20" i="17"/>
  <c r="P27" i="17" s="1"/>
  <c r="P29" i="17" s="1"/>
  <c r="P32" i="17" s="1"/>
  <c r="P33" i="17" s="1"/>
  <c r="O24" i="17"/>
  <c r="O23" i="17"/>
  <c r="O21" i="17"/>
  <c r="O20" i="17"/>
  <c r="O27" i="17" s="1"/>
  <c r="O29" i="17" s="1"/>
  <c r="O32" i="17" s="1"/>
  <c r="O33" i="17" s="1"/>
  <c r="D23" i="2"/>
  <c r="E23" i="2"/>
  <c r="M24" i="2"/>
  <c r="M23" i="2"/>
  <c r="F9" i="19" l="1"/>
  <c r="F25" i="9"/>
  <c r="F23" i="6"/>
  <c r="F10" i="19" s="1"/>
  <c r="F19" i="6"/>
  <c r="O39" i="19"/>
  <c r="L24" i="2"/>
  <c r="L28" i="2" s="1"/>
  <c r="L23" i="2"/>
  <c r="M39" i="19"/>
  <c r="J24" i="2"/>
  <c r="J28" i="2" s="1"/>
  <c r="J23" i="2"/>
  <c r="L39" i="19"/>
  <c r="I23" i="2"/>
  <c r="I24" i="2"/>
  <c r="I28" i="2" s="1"/>
  <c r="O19" i="6"/>
  <c r="O23" i="6"/>
  <c r="P19" i="6"/>
  <c r="P23" i="6"/>
  <c r="H11" i="14"/>
  <c r="H19" i="14"/>
  <c r="I29" i="10"/>
  <c r="F35" i="14"/>
  <c r="H31" i="16"/>
  <c r="I31" i="16" s="1"/>
  <c r="H30" i="16"/>
  <c r="I30" i="16" s="1"/>
  <c r="H29" i="16"/>
  <c r="I29" i="16" s="1"/>
  <c r="H35" i="16"/>
  <c r="I35" i="16" s="1"/>
  <c r="H23" i="16"/>
  <c r="I8" i="16"/>
  <c r="L8" i="14"/>
  <c r="K14" i="14"/>
  <c r="K10" i="14"/>
  <c r="O9" i="19"/>
  <c r="O25" i="9"/>
  <c r="K39" i="19"/>
  <c r="H24" i="2"/>
  <c r="H28" i="2" s="1"/>
  <c r="H23" i="2"/>
  <c r="I39" i="19"/>
  <c r="F24" i="2"/>
  <c r="F28" i="2" s="1"/>
  <c r="F23" i="2"/>
  <c r="N39" i="19"/>
  <c r="K24" i="2"/>
  <c r="K28" i="2" s="1"/>
  <c r="K23" i="2"/>
  <c r="F39" i="19"/>
  <c r="C24" i="2"/>
  <c r="C28" i="2" s="1"/>
  <c r="C32" i="2" s="1"/>
  <c r="C34" i="2" s="1"/>
  <c r="C23" i="2"/>
  <c r="H19" i="6"/>
  <c r="H23" i="6"/>
  <c r="H25" i="9"/>
  <c r="H9" i="19"/>
  <c r="I23" i="6"/>
  <c r="I19" i="6"/>
  <c r="I25" i="9"/>
  <c r="I9" i="19"/>
  <c r="J19" i="6"/>
  <c r="J23" i="6"/>
  <c r="J25" i="9"/>
  <c r="J9" i="19"/>
  <c r="K23" i="6"/>
  <c r="K19" i="6"/>
  <c r="K25" i="9"/>
  <c r="K9" i="19"/>
  <c r="L23" i="6"/>
  <c r="L19" i="6"/>
  <c r="L25" i="9"/>
  <c r="L9" i="19"/>
  <c r="M19" i="6"/>
  <c r="M23" i="6"/>
  <c r="M25" i="9"/>
  <c r="M9" i="19"/>
  <c r="H15" i="14"/>
  <c r="H23" i="14"/>
  <c r="I9" i="14"/>
  <c r="H9" i="14"/>
  <c r="H12" i="14"/>
  <c r="G8" i="16"/>
  <c r="N18" i="6"/>
  <c r="N14" i="6"/>
  <c r="N8" i="19"/>
  <c r="F31" i="16"/>
  <c r="F29" i="16"/>
  <c r="F35" i="16"/>
  <c r="F30" i="16"/>
  <c r="F23" i="16"/>
  <c r="J39" i="19"/>
  <c r="G24" i="2"/>
  <c r="G28" i="2" s="1"/>
  <c r="H39" i="19"/>
  <c r="E24" i="2"/>
  <c r="E28" i="2" s="1"/>
  <c r="G39" i="19"/>
  <c r="D24" i="2"/>
  <c r="D28" i="2" s="1"/>
  <c r="L23" i="14"/>
  <c r="M23" i="14" s="1"/>
  <c r="N23" i="14" s="1"/>
  <c r="K22" i="14"/>
  <c r="K18" i="14"/>
  <c r="K30" i="14" s="1"/>
  <c r="L19" i="14"/>
  <c r="I13" i="14"/>
  <c r="K13" i="14" s="1"/>
  <c r="L13" i="14" s="1"/>
  <c r="M13" i="14" s="1"/>
  <c r="N13" i="14" s="1"/>
  <c r="O13" i="14" s="1"/>
  <c r="I16" i="14"/>
  <c r="G10" i="19"/>
  <c r="G24" i="6"/>
  <c r="G28" i="6"/>
  <c r="J12" i="14"/>
  <c r="G13" i="14"/>
  <c r="G16" i="14"/>
  <c r="L34" i="16"/>
  <c r="N15" i="14"/>
  <c r="F28" i="6"/>
  <c r="F24" i="6"/>
  <c r="I32" i="2"/>
  <c r="I34" i="2" s="1"/>
  <c r="J29" i="2"/>
  <c r="J32" i="2"/>
  <c r="J34" i="2" s="1"/>
  <c r="L32" i="2"/>
  <c r="L34" i="2" s="1"/>
  <c r="I29" i="2" l="1"/>
  <c r="O10" i="19"/>
  <c r="O24" i="6"/>
  <c r="O28" i="6"/>
  <c r="P24" i="6"/>
  <c r="P28" i="6"/>
  <c r="N37" i="14"/>
  <c r="O37" i="14"/>
  <c r="G48" i="14" s="1"/>
  <c r="L37" i="14"/>
  <c r="K37" i="14"/>
  <c r="M37" i="14"/>
  <c r="Q43" i="14"/>
  <c r="J8" i="16"/>
  <c r="L22" i="14"/>
  <c r="L14" i="14"/>
  <c r="L10" i="14"/>
  <c r="M8" i="14"/>
  <c r="K12" i="14"/>
  <c r="K16" i="14" s="1"/>
  <c r="I9" i="16"/>
  <c r="I18" i="16" s="1"/>
  <c r="J16" i="14"/>
  <c r="J31" i="16"/>
  <c r="K31" i="16" s="1"/>
  <c r="L31" i="16" s="1"/>
  <c r="I14" i="16"/>
  <c r="J30" i="16"/>
  <c r="I13" i="16"/>
  <c r="J29" i="16"/>
  <c r="I12" i="16"/>
  <c r="I15" i="16" s="1"/>
  <c r="J35" i="16"/>
  <c r="K35" i="16" s="1"/>
  <c r="L35" i="16" s="1"/>
  <c r="I19" i="16"/>
  <c r="L18" i="14"/>
  <c r="L30" i="14" s="1"/>
  <c r="M19" i="14"/>
  <c r="Q50" i="14"/>
  <c r="I17" i="14"/>
  <c r="I20" i="14"/>
  <c r="I21" i="14" s="1"/>
  <c r="G29" i="6"/>
  <c r="G33" i="6"/>
  <c r="G17" i="14"/>
  <c r="G20" i="14"/>
  <c r="H32" i="2"/>
  <c r="H34" i="2" s="1"/>
  <c r="H29" i="2"/>
  <c r="F32" i="2"/>
  <c r="F34" i="2" s="1"/>
  <c r="F29" i="2"/>
  <c r="L29" i="2"/>
  <c r="K29" i="2"/>
  <c r="K32" i="2"/>
  <c r="K34" i="2" s="1"/>
  <c r="G29" i="2"/>
  <c r="G32" i="2"/>
  <c r="G34" i="2" s="1"/>
  <c r="E29" i="2"/>
  <c r="E32" i="2"/>
  <c r="E34" i="2" s="1"/>
  <c r="D29" i="2"/>
  <c r="D32" i="2"/>
  <c r="D34" i="2" s="1"/>
  <c r="H28" i="6"/>
  <c r="H24" i="6"/>
  <c r="H10" i="19"/>
  <c r="I28" i="6"/>
  <c r="I24" i="6"/>
  <c r="I10" i="19"/>
  <c r="J28" i="6"/>
  <c r="J24" i="6"/>
  <c r="J10" i="19"/>
  <c r="K28" i="6"/>
  <c r="K24" i="6"/>
  <c r="K10" i="19"/>
  <c r="L28" i="6"/>
  <c r="L24" i="6"/>
  <c r="L10" i="19"/>
  <c r="M28" i="6"/>
  <c r="M24" i="6"/>
  <c r="M10" i="19"/>
  <c r="H16" i="14"/>
  <c r="H13" i="14"/>
  <c r="G29" i="16"/>
  <c r="G30" i="16"/>
  <c r="G31" i="16"/>
  <c r="G35" i="16"/>
  <c r="G23" i="16"/>
  <c r="N23" i="6"/>
  <c r="N19" i="6"/>
  <c r="N25" i="9"/>
  <c r="N9" i="19"/>
  <c r="G32" i="6"/>
  <c r="G11" i="19"/>
  <c r="G34" i="6"/>
  <c r="F32" i="6"/>
  <c r="F11" i="19"/>
  <c r="M34" i="16"/>
  <c r="I24" i="14"/>
  <c r="O23" i="14"/>
  <c r="O15" i="14"/>
  <c r="F33" i="6"/>
  <c r="F29" i="6"/>
  <c r="I20" i="16" l="1"/>
  <c r="I22" i="16" s="1"/>
  <c r="O11" i="19"/>
  <c r="O29" i="6"/>
  <c r="O32" i="6"/>
  <c r="O33" i="6"/>
  <c r="P33" i="6"/>
  <c r="P29" i="6"/>
  <c r="J19" i="16"/>
  <c r="J14" i="16"/>
  <c r="J9" i="16"/>
  <c r="J18" i="16" s="1"/>
  <c r="J20" i="16" s="1"/>
  <c r="L12" i="14"/>
  <c r="L16" i="14" s="1"/>
  <c r="M14" i="14"/>
  <c r="N8" i="14"/>
  <c r="K8" i="16"/>
  <c r="M22" i="14"/>
  <c r="M10" i="14"/>
  <c r="K17" i="14"/>
  <c r="K20" i="14"/>
  <c r="K30" i="16"/>
  <c r="L30" i="16" s="1"/>
  <c r="J13" i="16"/>
  <c r="K29" i="16"/>
  <c r="L29" i="16" s="1"/>
  <c r="J12" i="16"/>
  <c r="J15" i="16" s="1"/>
  <c r="M18" i="14"/>
  <c r="N19" i="14"/>
  <c r="G12" i="19"/>
  <c r="G44" i="19" s="1"/>
  <c r="G47" i="19" s="1"/>
  <c r="G13" i="19"/>
  <c r="G14" i="19"/>
  <c r="G15" i="19"/>
  <c r="G16" i="19"/>
  <c r="G38" i="6"/>
  <c r="G42" i="6" s="1"/>
  <c r="G44" i="6" s="1"/>
  <c r="G21" i="14"/>
  <c r="J20" i="14"/>
  <c r="G24" i="14"/>
  <c r="H33" i="6"/>
  <c r="H29" i="6"/>
  <c r="H32" i="6"/>
  <c r="H11" i="19"/>
  <c r="I33" i="6"/>
  <c r="I29" i="6"/>
  <c r="I32" i="6"/>
  <c r="I11" i="19"/>
  <c r="J33" i="6"/>
  <c r="J29" i="6"/>
  <c r="J32" i="6"/>
  <c r="J11" i="19"/>
  <c r="K33" i="6"/>
  <c r="K15" i="19" s="1"/>
  <c r="K29" i="6"/>
  <c r="K32" i="6"/>
  <c r="K11" i="19"/>
  <c r="L33" i="6"/>
  <c r="L15" i="19" s="1"/>
  <c r="L29" i="6"/>
  <c r="L32" i="6"/>
  <c r="L11" i="19"/>
  <c r="M33" i="6"/>
  <c r="M15" i="19" s="1"/>
  <c r="M29" i="6"/>
  <c r="M32" i="6"/>
  <c r="M11" i="19"/>
  <c r="H17" i="14"/>
  <c r="H20" i="14"/>
  <c r="N28" i="6"/>
  <c r="N24" i="6"/>
  <c r="N10" i="19"/>
  <c r="F12" i="19"/>
  <c r="F44" i="19" s="1"/>
  <c r="F47" i="19" s="1"/>
  <c r="F16" i="19"/>
  <c r="F13" i="19"/>
  <c r="F15" i="19"/>
  <c r="F14" i="19"/>
  <c r="F34" i="6"/>
  <c r="F38" i="6"/>
  <c r="M29" i="16"/>
  <c r="M30" i="16"/>
  <c r="M35" i="16"/>
  <c r="M31" i="16"/>
  <c r="I27" i="14"/>
  <c r="K27" i="14" s="1"/>
  <c r="I28" i="14"/>
  <c r="I25" i="14"/>
  <c r="K9" i="16" l="1"/>
  <c r="K18" i="16" s="1"/>
  <c r="M12" i="14"/>
  <c r="M16" i="14" s="1"/>
  <c r="I25" i="16"/>
  <c r="K32" i="14" s="1"/>
  <c r="I23" i="16"/>
  <c r="O15" i="19"/>
  <c r="O34" i="6"/>
  <c r="O12" i="19"/>
  <c r="O44" i="19" s="1"/>
  <c r="O47" i="19" s="1"/>
  <c r="O13" i="19"/>
  <c r="O14" i="19"/>
  <c r="O16" i="19"/>
  <c r="O38" i="6"/>
  <c r="O42" i="6" s="1"/>
  <c r="O44" i="6" s="1"/>
  <c r="P34" i="6"/>
  <c r="P38" i="6"/>
  <c r="P39" i="6" s="1"/>
  <c r="L17" i="14"/>
  <c r="L20" i="14"/>
  <c r="N10" i="14"/>
  <c r="N22" i="14"/>
  <c r="N14" i="14"/>
  <c r="O8" i="14"/>
  <c r="L8" i="16"/>
  <c r="K13" i="16"/>
  <c r="K19" i="16"/>
  <c r="K14" i="16"/>
  <c r="K12" i="16"/>
  <c r="K21" i="14"/>
  <c r="K24" i="14"/>
  <c r="J22" i="16"/>
  <c r="M30" i="14"/>
  <c r="N18" i="14"/>
  <c r="N30" i="14" s="1"/>
  <c r="O19" i="14"/>
  <c r="O18" i="14" s="1"/>
  <c r="O30" i="14" s="1"/>
  <c r="G28" i="14"/>
  <c r="J28" i="14" s="1"/>
  <c r="G25" i="14"/>
  <c r="J24" i="14"/>
  <c r="G27" i="14"/>
  <c r="H38" i="6"/>
  <c r="H16" i="19"/>
  <c r="H15" i="19"/>
  <c r="H14" i="19"/>
  <c r="H13" i="19"/>
  <c r="H12" i="19"/>
  <c r="H44" i="19" s="1"/>
  <c r="H47" i="19" s="1"/>
  <c r="H34" i="6"/>
  <c r="I38" i="6"/>
  <c r="I16" i="19"/>
  <c r="I15" i="19"/>
  <c r="I14" i="19"/>
  <c r="I13" i="19"/>
  <c r="I12" i="19"/>
  <c r="I44" i="19" s="1"/>
  <c r="I47" i="19" s="1"/>
  <c r="I34" i="6"/>
  <c r="J38" i="6"/>
  <c r="J16" i="19"/>
  <c r="J15" i="19"/>
  <c r="J14" i="19"/>
  <c r="J13" i="19"/>
  <c r="J12" i="19"/>
  <c r="J44" i="19" s="1"/>
  <c r="J47" i="19" s="1"/>
  <c r="J34" i="6"/>
  <c r="K38" i="6"/>
  <c r="K16" i="19"/>
  <c r="K14" i="19"/>
  <c r="K13" i="19"/>
  <c r="K12" i="19"/>
  <c r="K44" i="19" s="1"/>
  <c r="K47" i="19" s="1"/>
  <c r="K34" i="6"/>
  <c r="L38" i="6"/>
  <c r="L16" i="19"/>
  <c r="L14" i="19"/>
  <c r="L13" i="19"/>
  <c r="L12" i="19"/>
  <c r="L44" i="19" s="1"/>
  <c r="L47" i="19" s="1"/>
  <c r="L34" i="6"/>
  <c r="M38" i="6"/>
  <c r="M16" i="19"/>
  <c r="M14" i="19"/>
  <c r="M13" i="19"/>
  <c r="M12" i="19"/>
  <c r="M44" i="19" s="1"/>
  <c r="M47" i="19" s="1"/>
  <c r="M34" i="6"/>
  <c r="H24" i="14"/>
  <c r="H21" i="14"/>
  <c r="N33" i="6"/>
  <c r="N15" i="19" s="1"/>
  <c r="N29" i="6"/>
  <c r="N32" i="6"/>
  <c r="N11" i="19"/>
  <c r="J25" i="16"/>
  <c r="L32" i="14" s="1"/>
  <c r="J23" i="16"/>
  <c r="G39" i="6"/>
  <c r="F42" i="6"/>
  <c r="F44" i="6" s="1"/>
  <c r="K15" i="16"/>
  <c r="L24" i="14"/>
  <c r="L25" i="14" s="1"/>
  <c r="L21" i="14"/>
  <c r="N12" i="14"/>
  <c r="N16" i="14" s="1"/>
  <c r="L9" i="16"/>
  <c r="L18" i="16" s="1"/>
  <c r="M8" i="16"/>
  <c r="O22" i="14"/>
  <c r="L27" i="14"/>
  <c r="K20" i="16" l="1"/>
  <c r="K22" i="16" s="1"/>
  <c r="M17" i="14"/>
  <c r="M20" i="14"/>
  <c r="M24" i="14" s="1"/>
  <c r="M25" i="14" s="1"/>
  <c r="P8" i="14"/>
  <c r="O10" i="14"/>
  <c r="O14" i="14"/>
  <c r="L12" i="16"/>
  <c r="L13" i="16"/>
  <c r="L19" i="16"/>
  <c r="L20" i="16" s="1"/>
  <c r="L14" i="16"/>
  <c r="K25" i="14"/>
  <c r="K26" i="14"/>
  <c r="K28" i="14" s="1"/>
  <c r="K34" i="14" s="1"/>
  <c r="K38" i="14" s="1"/>
  <c r="M21" i="14"/>
  <c r="H42" i="6"/>
  <c r="H44" i="6" s="1"/>
  <c r="H39" i="6"/>
  <c r="I42" i="6"/>
  <c r="I44" i="6" s="1"/>
  <c r="I39" i="6"/>
  <c r="J42" i="6"/>
  <c r="J44" i="6" s="1"/>
  <c r="J39" i="6"/>
  <c r="K42" i="6"/>
  <c r="K44" i="6" s="1"/>
  <c r="K39" i="6"/>
  <c r="L42" i="6"/>
  <c r="L44" i="6" s="1"/>
  <c r="L39" i="6"/>
  <c r="M42" i="6"/>
  <c r="M44" i="6" s="1"/>
  <c r="M39" i="6"/>
  <c r="H25" i="14"/>
  <c r="H27" i="14"/>
  <c r="H28" i="14"/>
  <c r="N38" i="6"/>
  <c r="N16" i="19"/>
  <c r="N14" i="19"/>
  <c r="N13" i="19"/>
  <c r="N12" i="19"/>
  <c r="N44" i="19" s="1"/>
  <c r="N47" i="19" s="1"/>
  <c r="N34" i="6"/>
  <c r="N20" i="14"/>
  <c r="N17" i="14"/>
  <c r="M14" i="16"/>
  <c r="M19" i="16"/>
  <c r="M13" i="16"/>
  <c r="M12" i="16"/>
  <c r="M27" i="14"/>
  <c r="L26" i="14"/>
  <c r="L28" i="14" s="1"/>
  <c r="L34" i="14" s="1"/>
  <c r="L38" i="14" s="1"/>
  <c r="L15" i="16" l="1"/>
  <c r="L22" i="16" s="1"/>
  <c r="K25" i="16"/>
  <c r="M32" i="14" s="1"/>
  <c r="K23" i="16"/>
  <c r="M9" i="16"/>
  <c r="M18" i="16" s="1"/>
  <c r="M20" i="16" s="1"/>
  <c r="M22" i="16" s="1"/>
  <c r="M23" i="16" s="1"/>
  <c r="O12" i="14"/>
  <c r="O39" i="6"/>
  <c r="N42" i="6"/>
  <c r="N44" i="6" s="1"/>
  <c r="N39" i="6"/>
  <c r="N24" i="14"/>
  <c r="N25" i="14" s="1"/>
  <c r="N21" i="14"/>
  <c r="M15" i="16"/>
  <c r="N27" i="14"/>
  <c r="M26" i="14"/>
  <c r="M28" i="14" s="1"/>
  <c r="M34" i="14" l="1"/>
  <c r="M38" i="14" s="1"/>
  <c r="P12" i="14"/>
  <c r="O16" i="14"/>
  <c r="L25" i="16"/>
  <c r="N32" i="14" s="1"/>
  <c r="L23" i="16"/>
  <c r="M25" i="16"/>
  <c r="O32" i="14" s="1"/>
  <c r="O27" i="14"/>
  <c r="N26" i="14"/>
  <c r="N28" i="14" s="1"/>
  <c r="N34" i="14" l="1"/>
  <c r="N38" i="14" s="1"/>
  <c r="G45" i="14"/>
  <c r="O17" i="14"/>
  <c r="O20" i="14"/>
  <c r="O24" i="14" s="1"/>
  <c r="P16" i="14"/>
  <c r="O21" i="14" l="1"/>
  <c r="P20" i="14"/>
  <c r="P24" i="14"/>
  <c r="O25" i="14"/>
  <c r="O26" i="14"/>
  <c r="O28" i="14" s="1"/>
  <c r="O34" i="14" l="1"/>
  <c r="P28" i="14"/>
  <c r="O38" i="14" l="1"/>
  <c r="G42" i="14" s="1"/>
  <c r="Q42" i="14"/>
  <c r="G47" i="14" s="1"/>
  <c r="G49" i="14" l="1"/>
  <c r="G52" i="14" s="1"/>
  <c r="E59" i="14" s="1"/>
  <c r="Q44" i="14"/>
  <c r="L42" i="14" l="1"/>
  <c r="L48" i="14" s="1"/>
  <c r="G50" i="14"/>
  <c r="Q49" i="14"/>
  <c r="Q52" i="14" s="1"/>
  <c r="M59" i="14" l="1"/>
  <c r="E68" i="14"/>
  <c r="M68" i="14"/>
  <c r="L52" i="14"/>
  <c r="E78" i="14" l="1"/>
  <c r="M78" i="1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<sst xmlns="http://schemas.openxmlformats.org/spreadsheetml/2006/main" count="1307" uniqueCount="1010">
  <si>
    <t xml:space="preserve">Ticker </t>
  </si>
  <si>
    <t>Number of shares</t>
  </si>
  <si>
    <t>Face Value</t>
  </si>
  <si>
    <t>Current Price</t>
  </si>
  <si>
    <t>Market Capitalization</t>
  </si>
  <si>
    <t>Company Name</t>
  </si>
  <si>
    <t>ULTRACEMCO</t>
  </si>
  <si>
    <t>Figures in Cr.</t>
  </si>
  <si>
    <t>PLEASE DO NOT MAKE ANY CHANGES TO THIS SHEET</t>
  </si>
  <si>
    <t>Adjusted Equity Shares in Cr</t>
  </si>
  <si>
    <t>DERIVED:</t>
  </si>
  <si>
    <t>PRICE:</t>
  </si>
  <si>
    <t>Net Cash Flow</t>
  </si>
  <si>
    <t>Cash from Financing Activity</t>
  </si>
  <si>
    <t>Cash from Investing Activity</t>
  </si>
  <si>
    <t>Cash from Operating Activity</t>
  </si>
  <si>
    <t>Report Date</t>
  </si>
  <si>
    <t>CASH FLOW:</t>
  </si>
  <si>
    <t>Face value</t>
  </si>
  <si>
    <t>New Bonus Shares</t>
  </si>
  <si>
    <t>No. of Equity Shares</t>
  </si>
  <si>
    <t>Cash &amp; Bank</t>
  </si>
  <si>
    <t>Inventory</t>
  </si>
  <si>
    <t>Receivables</t>
  </si>
  <si>
    <t>Total</t>
  </si>
  <si>
    <t>Other Assets</t>
  </si>
  <si>
    <t>Investments</t>
  </si>
  <si>
    <t>Capital Work in Progress</t>
  </si>
  <si>
    <t>Net Block</t>
  </si>
  <si>
    <t>Other Liabilities</t>
  </si>
  <si>
    <t>Borrowings</t>
  </si>
  <si>
    <t>Reserves</t>
  </si>
  <si>
    <t>Equity Share Capital</t>
  </si>
  <si>
    <t>BALANCE SHEET</t>
  </si>
  <si>
    <t>Operating Profit</t>
  </si>
  <si>
    <t>Net profit</t>
  </si>
  <si>
    <t>Tax</t>
  </si>
  <si>
    <t>Profit before tax</t>
  </si>
  <si>
    <t>Interest</t>
  </si>
  <si>
    <t>Depreciation</t>
  </si>
  <si>
    <t>Other Income</t>
  </si>
  <si>
    <t>Expenses</t>
  </si>
  <si>
    <t>Sales</t>
  </si>
  <si>
    <t>Quarters</t>
  </si>
  <si>
    <t>Dividend Amount</t>
  </si>
  <si>
    <t>Other Expenses</t>
  </si>
  <si>
    <t>Selling and admin</t>
  </si>
  <si>
    <t>Employee Cost</t>
  </si>
  <si>
    <t>Other Mfr. Exp</t>
  </si>
  <si>
    <t>Power and Fuel</t>
  </si>
  <si>
    <t>Change in Inventory</t>
  </si>
  <si>
    <t>Raw Material Cost</t>
  </si>
  <si>
    <t>PROFIT &amp; LOSS</t>
  </si>
  <si>
    <t>META</t>
  </si>
  <si>
    <t>CURRENT VERSION</t>
  </si>
  <si>
    <t>LATEST VERSION</t>
  </si>
  <si>
    <t>ULTRATECH CEMENT LTD</t>
  </si>
  <si>
    <t>COMPANY NAME</t>
  </si>
  <si>
    <t>Income Statement</t>
  </si>
  <si>
    <t>#</t>
  </si>
  <si>
    <t>Years</t>
  </si>
  <si>
    <t>Revenue</t>
  </si>
  <si>
    <t>LTM</t>
  </si>
  <si>
    <t>Gross Profit</t>
  </si>
  <si>
    <t>SG&amp;A</t>
  </si>
  <si>
    <t>EBITDA</t>
  </si>
  <si>
    <t>Profit Before Tax</t>
  </si>
  <si>
    <t>Taxes</t>
  </si>
  <si>
    <t>Effective Tax Rate</t>
  </si>
  <si>
    <t>Net Profit</t>
  </si>
  <si>
    <t>No of Equity Shares</t>
  </si>
  <si>
    <t>Dividend Per Share</t>
  </si>
  <si>
    <t>Earnings Per Share</t>
  </si>
  <si>
    <t>EPS Growth %</t>
  </si>
  <si>
    <t>Dividend Payout Ratio</t>
  </si>
  <si>
    <t>Retained Earnings</t>
  </si>
  <si>
    <t>Balance Sheet</t>
  </si>
  <si>
    <t>Fixed Assets Net Block</t>
  </si>
  <si>
    <t>Total Assets</t>
  </si>
  <si>
    <t>Total Non Current Assets</t>
  </si>
  <si>
    <t>Total Current Assets</t>
  </si>
  <si>
    <t>B.S Check</t>
  </si>
  <si>
    <t>Cash from Operating Activity -</t>
  </si>
  <si>
    <t>Profit from operations</t>
  </si>
  <si>
    <t>Payables</t>
  </si>
  <si>
    <t>Loans Advances</t>
  </si>
  <si>
    <t>Other WC items</t>
  </si>
  <si>
    <t>Working capital changes</t>
  </si>
  <si>
    <t>Direct taxes</t>
  </si>
  <si>
    <t>Other operating items</t>
  </si>
  <si>
    <t>Cash from Investing Activity -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</si>
  <si>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</si>
  <si>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</si>
  <si>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</si>
  <si>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</si>
  <si>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</si>
  <si>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</si>
  <si>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Invest in subsidiaries</t>
  </si>
  <si>
    <t>Investment in group cos</t>
  </si>
  <si>
    <t>Redemp n Canc of Shares</t>
  </si>
  <si>
    <t>Acquisition of companies</t>
  </si>
  <si>
    <t>Other investing items</t>
  </si>
  <si>
    <t>Cash from Financing Activity -</t>
  </si>
  <si>
    <t>Proceeds from shares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</si>
  <si>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</si>
  <si>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</si>
  <si>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</si>
  <si>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</si>
  <si>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</si>
  <si>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</si>
  <si>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Cash Flow Statement</t>
  </si>
  <si>
    <t>Cash Flow from Operating Activities</t>
  </si>
  <si>
    <t>Cash Flow from Investing Activities</t>
  </si>
  <si>
    <t>Cash Flow from Financing Activities</t>
  </si>
  <si>
    <t>Operating Activities</t>
  </si>
  <si>
    <t>Investing Activities</t>
  </si>
  <si>
    <t>Financing Activities</t>
  </si>
  <si>
    <t>UltraTech Cement Ltd (NSE: ULTRACEMCO)</t>
  </si>
  <si>
    <t>Reported Income Statement</t>
  </si>
  <si>
    <t>Cost of Goods Sold</t>
  </si>
  <si>
    <t>% Growth</t>
  </si>
  <si>
    <t>% Margin</t>
  </si>
  <si>
    <t>Gross Margin</t>
  </si>
  <si>
    <t>Selling, General &amp; Administration</t>
  </si>
  <si>
    <t>EBIT</t>
  </si>
  <si>
    <t>Interest Expense</t>
  </si>
  <si>
    <t>Profit Before Taxes</t>
  </si>
  <si>
    <t>Fiscal Year Ending March 31,</t>
  </si>
  <si>
    <t>03/31/2026</t>
  </si>
  <si>
    <t>% Tax Rate</t>
  </si>
  <si>
    <t>NA</t>
  </si>
  <si>
    <t>Fully Diluted Shares</t>
  </si>
  <si>
    <t>Earnings per Share (₹)</t>
  </si>
  <si>
    <t>% EPS Growth</t>
  </si>
  <si>
    <t>Dividend per Share (₹)</t>
  </si>
  <si>
    <t xml:space="preserve"> Dividend Payout Ratio</t>
  </si>
  <si>
    <t>Retained Earnings (%)</t>
  </si>
  <si>
    <t>Reported Balance Sheet</t>
  </si>
  <si>
    <t>Balance Check</t>
  </si>
  <si>
    <t>Common Size Statement</t>
  </si>
  <si>
    <t>Particulars</t>
  </si>
  <si>
    <t>Reported Cash Flow Statement</t>
  </si>
  <si>
    <t>Common Size Income Statement</t>
  </si>
  <si>
    <t>Common Size Balance Sheet</t>
  </si>
  <si>
    <t>Total Liabilities &amp; Equity</t>
  </si>
  <si>
    <t>Total Liabilities &amp; Equity:</t>
  </si>
  <si>
    <t>Total Assets:</t>
  </si>
  <si>
    <t>WACC Calculation</t>
  </si>
  <si>
    <t>Target Capital Structure</t>
  </si>
  <si>
    <t>Debt-to-Total Capitalization</t>
  </si>
  <si>
    <t>Equity-to-Total Capitalization</t>
  </si>
  <si>
    <t>Cost of Debt</t>
  </si>
  <si>
    <t>Tax Rate</t>
  </si>
  <si>
    <t>Cost of Equity</t>
  </si>
  <si>
    <t>Levered Beta</t>
  </si>
  <si>
    <t>WACC</t>
  </si>
  <si>
    <t>Comparable Companies Unlevered Beta</t>
  </si>
  <si>
    <t>Company</t>
  </si>
  <si>
    <t>Mean</t>
  </si>
  <si>
    <t>Median</t>
  </si>
  <si>
    <t>Relevered Beta</t>
  </si>
  <si>
    <t>WACC Sensitivity Analysis</t>
  </si>
  <si>
    <t>Predicted</t>
  </si>
  <si>
    <t>Market</t>
  </si>
  <si>
    <t>Value of Debt</t>
  </si>
  <si>
    <t>Pre-Tax Cost of Debt</t>
  </si>
  <si>
    <t>Value of Equity</t>
  </si>
  <si>
    <t>UnLevered</t>
  </si>
  <si>
    <t>Beta</t>
  </si>
  <si>
    <t>Debt/</t>
  </si>
  <si>
    <t>Equity</t>
  </si>
  <si>
    <t>Target</t>
  </si>
  <si>
    <t>Marginal</t>
  </si>
  <si>
    <t>Unlevered</t>
  </si>
  <si>
    <t>Relevered</t>
  </si>
  <si>
    <t>2025A</t>
  </si>
  <si>
    <t>2026E</t>
  </si>
  <si>
    <t>2027E</t>
  </si>
  <si>
    <t>2028E</t>
  </si>
  <si>
    <t>2029E</t>
  </si>
  <si>
    <t>2030E</t>
  </si>
  <si>
    <t>Operating Scenario</t>
  </si>
  <si>
    <t>Opearting Scenario</t>
  </si>
  <si>
    <t>Mid-Year Convention</t>
  </si>
  <si>
    <t>Y</t>
  </si>
  <si>
    <t>Historical Period</t>
  </si>
  <si>
    <t>CAGR</t>
  </si>
  <si>
    <t>Projection Period</t>
  </si>
  <si>
    <t>2023A</t>
  </si>
  <si>
    <t>2024A</t>
  </si>
  <si>
    <t>('23-'25)</t>
  </si>
  <si>
    <t>('26-'30)</t>
  </si>
  <si>
    <t>Unlevered Free Cash Flow</t>
  </si>
  <si>
    <t>Discount Period</t>
  </si>
  <si>
    <t>Discount Factor</t>
  </si>
  <si>
    <t>Present Value of Free Cash Flow</t>
  </si>
  <si>
    <t>Enterprise Value</t>
  </si>
  <si>
    <t>Implied Equity Value and Share Price</t>
  </si>
  <si>
    <t>Implied Perpetuity Growth Rate</t>
  </si>
  <si>
    <t>Cumulative Present Value of FCF</t>
  </si>
  <si>
    <t>Treminal Year Free Cash Flow (2030E)</t>
  </si>
  <si>
    <t>Less: Total Debt</t>
  </si>
  <si>
    <t>Terminal Value</t>
  </si>
  <si>
    <t>Less: Preferred Stock</t>
  </si>
  <si>
    <t>Less: Noncontrolling Interest</t>
  </si>
  <si>
    <t>Exit Multiple</t>
  </si>
  <si>
    <t>Plus: Cash &amp; Cash Equivalents</t>
  </si>
  <si>
    <t>Implied Equity Value</t>
  </si>
  <si>
    <t>Implied EV/EBITDA</t>
  </si>
  <si>
    <t>Present Value of Terminal Value</t>
  </si>
  <si>
    <t>% of Enterprise Value</t>
  </si>
  <si>
    <t>Fully Diluted Shares Outstanding</t>
  </si>
  <si>
    <t>Implied Share Price</t>
  </si>
  <si>
    <t>Multiple Method</t>
  </si>
  <si>
    <t>Depreciation &amp; Amortisation</t>
  </si>
  <si>
    <t>% Effective Tax Rate</t>
  </si>
  <si>
    <t xml:space="preserve">Net Profit </t>
  </si>
  <si>
    <t>Less: Capital Expenditure</t>
  </si>
  <si>
    <t>Add: Depreciation &amp; Amortisation</t>
  </si>
  <si>
    <t>Inc/Dec in Net Working Capital</t>
  </si>
  <si>
    <t>Weighted Average Cost of Capital</t>
  </si>
  <si>
    <t>Discounted Cash Flow Analysis (DCF)</t>
  </si>
  <si>
    <t>(Figures are in ₹ Cr, fiscal year ending March 31)</t>
  </si>
  <si>
    <t>Working Capital Projections</t>
  </si>
  <si>
    <t>Current Assets</t>
  </si>
  <si>
    <t>Trade Receivables</t>
  </si>
  <si>
    <t>Inventories</t>
  </si>
  <si>
    <t>Loans and Advances</t>
  </si>
  <si>
    <t>Current Liabilities</t>
  </si>
  <si>
    <t>Trade Payables</t>
  </si>
  <si>
    <t>Advance from Customers</t>
  </si>
  <si>
    <t>Total Current Liabilties</t>
  </si>
  <si>
    <t>Net Working Capital</t>
  </si>
  <si>
    <t>% Revenue</t>
  </si>
  <si>
    <t>Increase/Decrease in NWC</t>
  </si>
  <si>
    <t>Assumptions</t>
  </si>
  <si>
    <t>Loans and Advances (% of Rev.)</t>
  </si>
  <si>
    <t>Advance from Customers (% of Rev.)</t>
  </si>
  <si>
    <t>Ambuja Cements</t>
  </si>
  <si>
    <t>Shree Cement</t>
  </si>
  <si>
    <t>J K Cements</t>
  </si>
  <si>
    <t>ACC</t>
  </si>
  <si>
    <t>Dalmia Bharat Ltd</t>
  </si>
  <si>
    <t>The Ramco Cement</t>
  </si>
  <si>
    <r>
      <t xml:space="preserve">Levered Beta </t>
    </r>
    <r>
      <rPr>
        <b/>
        <vertAlign val="superscript"/>
        <sz val="11"/>
        <color theme="1"/>
        <rFont val="Calibri"/>
        <family val="2"/>
      </rPr>
      <t>(1)</t>
    </r>
  </si>
  <si>
    <t>UltraTech Cement Relevered Beta</t>
  </si>
  <si>
    <r>
      <t xml:space="preserve">Cost of Debt </t>
    </r>
    <r>
      <rPr>
        <vertAlign val="superscript"/>
        <sz val="11"/>
        <color theme="1"/>
        <rFont val="Calibri"/>
        <family val="2"/>
      </rPr>
      <t>(2)</t>
    </r>
  </si>
  <si>
    <t>After-Tax Cost of Debt</t>
  </si>
  <si>
    <t>(2) Average cost of debt across UltraTech Cement's capital structure</t>
  </si>
  <si>
    <r>
      <t xml:space="preserve">Risk Free Rate </t>
    </r>
    <r>
      <rPr>
        <vertAlign val="superscript"/>
        <sz val="11"/>
        <color theme="1"/>
        <rFont val="Calibri"/>
        <family val="2"/>
      </rPr>
      <t>(3)</t>
    </r>
  </si>
  <si>
    <r>
      <t xml:space="preserve">Market Risk Premium </t>
    </r>
    <r>
      <rPr>
        <vertAlign val="superscript"/>
        <sz val="11"/>
        <color theme="1"/>
        <rFont val="Calibri"/>
        <family val="2"/>
      </rPr>
      <t>(4)</t>
    </r>
  </si>
  <si>
    <r>
      <t xml:space="preserve">Country Risk Premium </t>
    </r>
    <r>
      <rPr>
        <vertAlign val="superscript"/>
        <sz val="11"/>
        <color theme="1"/>
        <rFont val="Calibri"/>
        <family val="2"/>
      </rPr>
      <t>(5)</t>
    </r>
  </si>
  <si>
    <t>(3) Interpolated yield on 10-year India Govt Yield, sourced from tradingeconomics.com</t>
  </si>
  <si>
    <t>(4), (5) Sourced from Aswath Damodaran</t>
  </si>
  <si>
    <t>Debt to Total Capitalization</t>
  </si>
  <si>
    <t>Terminal Value EBITDA (2030E)</t>
  </si>
  <si>
    <t>03/31/2025 EBITDA</t>
  </si>
  <si>
    <t>Sensitivity Analysis</t>
  </si>
  <si>
    <t>Enterprise Value (Perpetuity Growth Rate - Discount Factor)</t>
  </si>
  <si>
    <t>Enterprise Value (EBITDA Multiple - Discount Factor)</t>
  </si>
  <si>
    <t>Discount Fator</t>
  </si>
  <si>
    <t>Terminal Growth Rate</t>
  </si>
  <si>
    <t>EBITDA Multiple</t>
  </si>
  <si>
    <t>Equity Value (Perpetuity Growth Rate - Discount Factor)</t>
  </si>
  <si>
    <t>Equity Value (EBITDA Multiple - Discount Factor)</t>
  </si>
  <si>
    <t>Implied Share Price (Perpetuity Growth Rate - Discount Factor)</t>
  </si>
  <si>
    <t>Implied Share Price (EBITDA Multiple - Discount Factor)</t>
  </si>
  <si>
    <t>Valuation Method</t>
  </si>
  <si>
    <t>Current</t>
  </si>
  <si>
    <t>Price</t>
  </si>
  <si>
    <t>Outstanding</t>
  </si>
  <si>
    <t>Shares</t>
  </si>
  <si>
    <t>Value</t>
  </si>
  <si>
    <t>Net</t>
  </si>
  <si>
    <t>Debt</t>
  </si>
  <si>
    <t>Enterprise</t>
  </si>
  <si>
    <t>Enterprise Value/</t>
  </si>
  <si>
    <t>Price/</t>
  </si>
  <si>
    <t>EPS</t>
  </si>
  <si>
    <t>Valuation</t>
  </si>
  <si>
    <t>Financials</t>
  </si>
  <si>
    <t>Market Data</t>
  </si>
  <si>
    <t>Comparable Company Analysis</t>
  </si>
  <si>
    <t>Comparable Company Analysis - UltraTech Cement Ltd.</t>
  </si>
  <si>
    <t>Maximum</t>
  </si>
  <si>
    <t>Minimum</t>
  </si>
  <si>
    <t>Implied Enterprise Value</t>
  </si>
  <si>
    <t>Net Debt</t>
  </si>
  <si>
    <t>UltraTech Cement Ltd.</t>
  </si>
  <si>
    <t>Diluted Shares Outstanding</t>
  </si>
  <si>
    <t>Nuvoco Vistas</t>
  </si>
  <si>
    <t>Discount/Premium</t>
  </si>
  <si>
    <t>Valuation Graph</t>
  </si>
  <si>
    <t>Valuation Statistics - UltraTech Cement Ltd. (Implied Share Price)</t>
  </si>
  <si>
    <t>Discounted Cash Flow Analysis</t>
  </si>
  <si>
    <t>11.5% - 13.5% Discount Factor, 3.0% - 7.0% Perpetuity Growth Rate</t>
  </si>
  <si>
    <t>11.5% - 13.5% Discount Factor, 8.0x - 12.0x EBITDA Multiple</t>
  </si>
  <si>
    <t>Public Company Comparables</t>
  </si>
  <si>
    <t>EV/EBITDA</t>
  </si>
  <si>
    <t>EV/Revenue</t>
  </si>
  <si>
    <t>P/E</t>
  </si>
  <si>
    <t>Min</t>
  </si>
  <si>
    <t>Max</t>
  </si>
  <si>
    <t>Range of Multiples</t>
  </si>
  <si>
    <t>Implied Share Price Range</t>
  </si>
  <si>
    <t>(1) Sourced from MorningStar.com</t>
  </si>
  <si>
    <t>Ratio Analysis</t>
  </si>
  <si>
    <t>Gross Profit Margin</t>
  </si>
  <si>
    <t>EBITDA Margin</t>
  </si>
  <si>
    <t>EBIT Margin</t>
  </si>
  <si>
    <t>Pre-Tax Margin</t>
  </si>
  <si>
    <t>Net Profit Margin</t>
  </si>
  <si>
    <t>Return on Equity (ROE)</t>
  </si>
  <si>
    <t>Return on Assets (ROA)</t>
  </si>
  <si>
    <t>Return on Capital Employed</t>
  </si>
  <si>
    <t>Return on Invested Capital</t>
  </si>
  <si>
    <t>Profitability Ratios</t>
  </si>
  <si>
    <t>Liquidity Ratios</t>
  </si>
  <si>
    <t>Current Ratio</t>
  </si>
  <si>
    <t>Quick Ratio</t>
  </si>
  <si>
    <t>Cash Ratio</t>
  </si>
  <si>
    <t>Operating Cash Flow Ratio</t>
  </si>
  <si>
    <t>Equity Capital</t>
  </si>
  <si>
    <t>Borrowings -</t>
  </si>
  <si>
    <t>Long term Borrowings</t>
  </si>
  <si>
    <t>Short term Borrowings</t>
  </si>
  <si>
    <t>Lease Liabilities</t>
  </si>
  <si>
    <t>Other Borrowings</t>
  </si>
  <si>
    <t>Other Liabilities -</t>
  </si>
  <si>
    <t>Non controlling int</t>
  </si>
  <si>
    <t>Other liability items</t>
  </si>
  <si>
    <t>Total Liabilities</t>
  </si>
  <si>
    <t>Fixed Assets -</t>
  </si>
  <si>
    <t>Land</t>
  </si>
  <si>
    <t>Building</t>
  </si>
  <si>
    <t>Plant Machinery</t>
  </si>
  <si>
    <t>Ships Vessels</t>
  </si>
  <si>
    <t>Equipments</t>
  </si>
  <si>
    <t>Furniture n fittings</t>
  </si>
  <si>
    <t>Railway sidings</t>
  </si>
  <si>
    <t>Vehicles</t>
  </si>
  <si>
    <t>Intangible Assets</t>
  </si>
  <si>
    <t>Other fixed assets</t>
  </si>
  <si>
    <t>Gross Block</t>
  </si>
  <si>
    <t>Accumulated Depreciation</t>
  </si>
  <si>
    <t>CWIP</t>
  </si>
  <si>
    <t>Other Assets -</t>
  </si>
  <si>
    <t>Trade receivables +</t>
  </si>
  <si>
    <t>Cash Equivalents</t>
  </si>
  <si>
    <t>Loans n Advances</t>
  </si>
  <si>
    <t>Other asset items</t>
  </si>
  <si>
    <t>Efficiency Ratios</t>
  </si>
  <si>
    <t>Asset Turnover</t>
  </si>
  <si>
    <t xml:space="preserve">Fixed Asset Turnover </t>
  </si>
  <si>
    <t>Days Sales Outstanding (DSO)</t>
  </si>
  <si>
    <t>Days Inventory Outstanding (DIO)</t>
  </si>
  <si>
    <t>Days Payable Outstanding (DPO)</t>
  </si>
  <si>
    <t>Leverage Ratios</t>
  </si>
  <si>
    <t>Debt-to-Equity</t>
  </si>
  <si>
    <t>Debt-to-Assets</t>
  </si>
  <si>
    <t>Debt-to-EBITDA</t>
  </si>
  <si>
    <t>Equity Multiplier</t>
  </si>
  <si>
    <t>Interest Coverage (ICR)</t>
  </si>
  <si>
    <t>Debt Service Coverage (DSCR)</t>
  </si>
  <si>
    <t>DuPont ROE</t>
  </si>
  <si>
    <t>DuPont Ratios</t>
  </si>
  <si>
    <t>UltraTech Cement Ltd. Comparable Valuation</t>
  </si>
  <si>
    <r>
      <t xml:space="preserve">Company </t>
    </r>
    <r>
      <rPr>
        <b/>
        <vertAlign val="superscript"/>
        <sz val="11"/>
        <color theme="1"/>
        <rFont val="Calibri"/>
        <family val="2"/>
      </rPr>
      <t>(1)</t>
    </r>
  </si>
  <si>
    <t>(1) Sourced from Screener.com</t>
  </si>
  <si>
    <t>(Figures are in ₹ Cr, except price per share)</t>
  </si>
  <si>
    <t>52-week high/low</t>
  </si>
  <si>
    <t>Trend</t>
  </si>
  <si>
    <t>NSE: ULTRACEMCO | BSE: 532538</t>
  </si>
  <si>
    <t>Production (MMT)</t>
  </si>
  <si>
    <t>Clinker</t>
  </si>
  <si>
    <t>Cement</t>
  </si>
  <si>
    <t>Sales Volume - Grey Cement (MMT)</t>
  </si>
  <si>
    <t>Capital Employed</t>
  </si>
  <si>
    <t>UltraTech Cement</t>
  </si>
  <si>
    <t>April 22, 2026</t>
  </si>
  <si>
    <t>Nifty</t>
  </si>
  <si>
    <t>52-week High/Low</t>
  </si>
  <si>
    <t>₹ 13,110/10,325</t>
  </si>
  <si>
    <t>Market Cap (₹ Cr.)</t>
  </si>
  <si>
    <t>Outstanding Shares (Cr.)</t>
  </si>
  <si>
    <t>Div yield (%)</t>
  </si>
  <si>
    <t>CMP</t>
  </si>
  <si>
    <t>P/E Ratio</t>
  </si>
  <si>
    <t>EPS (FY25 A)</t>
  </si>
  <si>
    <t>EPS (FY26 E)</t>
  </si>
  <si>
    <t>Q3 FY26 Results (Quarter Ended December 31, 2025 | Announced January 24, 2026)</t>
  </si>
  <si>
    <t>Key Operational Highlights (Q3 FY26)</t>
  </si>
  <si>
    <t>Stock Performance</t>
  </si>
  <si>
    <t>Date</t>
  </si>
  <si>
    <t>Nifty 50</t>
  </si>
  <si>
    <t>Absolute Return</t>
  </si>
  <si>
    <t>3M</t>
  </si>
  <si>
    <t>1Y</t>
  </si>
  <si>
    <t>FY23 A</t>
  </si>
  <si>
    <t>FY24 A</t>
  </si>
  <si>
    <t>FY25 A</t>
  </si>
  <si>
    <t>FY26 E</t>
  </si>
  <si>
    <t>FY27 E</t>
  </si>
  <si>
    <t>FY28 E</t>
  </si>
  <si>
    <t>PAT</t>
  </si>
  <si>
    <t>Promoters</t>
  </si>
  <si>
    <t>FII + DII</t>
  </si>
  <si>
    <t>Others</t>
  </si>
  <si>
    <t>About The Company</t>
  </si>
  <si>
    <t>Recent Financial Performance</t>
  </si>
  <si>
    <t>Rating</t>
  </si>
  <si>
    <t>Last Price</t>
  </si>
  <si>
    <t>Target Price</t>
  </si>
  <si>
    <t>Implied Upside</t>
  </si>
  <si>
    <r>
      <t xml:space="preserve">Recommendation </t>
    </r>
    <r>
      <rPr>
        <sz val="8"/>
        <color theme="0"/>
        <rFont val="Calibri"/>
        <family val="2"/>
      </rPr>
      <t>(As on April 22, 2026)</t>
    </r>
  </si>
  <si>
    <r>
      <t xml:space="preserve">Stock Data </t>
    </r>
    <r>
      <rPr>
        <sz val="8"/>
        <color theme="0"/>
        <rFont val="Calibri"/>
        <family val="2"/>
      </rPr>
      <t>(As on April 22, 2026)</t>
    </r>
  </si>
  <si>
    <r>
      <t xml:space="preserve">Shareholding Pattern </t>
    </r>
    <r>
      <rPr>
        <sz val="8"/>
        <color theme="0"/>
        <rFont val="Calibri"/>
        <family val="2"/>
      </rPr>
      <t>(As on April 22, 2026)</t>
    </r>
  </si>
  <si>
    <t>HOLD</t>
  </si>
  <si>
    <t>Sector: Construction Materials - Cement | Country: India</t>
  </si>
  <si>
    <t>Open</t>
  </si>
  <si>
    <t>High</t>
  </si>
  <si>
    <t>Low</t>
  </si>
  <si>
    <t>Vol.</t>
  </si>
  <si>
    <t>Change %</t>
  </si>
  <si>
    <t>312.31K</t>
  </si>
  <si>
    <t>320.11K</t>
  </si>
  <si>
    <t>335.62K</t>
  </si>
  <si>
    <t>165.11K</t>
  </si>
  <si>
    <t>308.55K</t>
  </si>
  <si>
    <t>274.81K</t>
  </si>
  <si>
    <t>220.44K</t>
  </si>
  <si>
    <t>420.34K</t>
  </si>
  <si>
    <t>330.55K</t>
  </si>
  <si>
    <t>612.76K</t>
  </si>
  <si>
    <t>263.66K</t>
  </si>
  <si>
    <t>374.42K</t>
  </si>
  <si>
    <t>333.52K</t>
  </si>
  <si>
    <t>431.64K</t>
  </si>
  <si>
    <t>632.27K</t>
  </si>
  <si>
    <t>418.47K</t>
  </si>
  <si>
    <t>456.44K</t>
  </si>
  <si>
    <t>369.65K</t>
  </si>
  <si>
    <t>644.39K</t>
  </si>
  <si>
    <t>365.91K</t>
  </si>
  <si>
    <t>283.82K</t>
  </si>
  <si>
    <t>211.87K</t>
  </si>
  <si>
    <t>332.93K</t>
  </si>
  <si>
    <t>728.08K</t>
  </si>
  <si>
    <t>723.90K</t>
  </si>
  <si>
    <t>535.73K</t>
  </si>
  <si>
    <t>231.14K</t>
  </si>
  <si>
    <t>460.89K</t>
  </si>
  <si>
    <t>590.74K</t>
  </si>
  <si>
    <t>296.59K</t>
  </si>
  <si>
    <t>284.99K</t>
  </si>
  <si>
    <t>394.67K</t>
  </si>
  <si>
    <t>237.51K</t>
  </si>
  <si>
    <t>272.92K</t>
  </si>
  <si>
    <t>209.04K</t>
  </si>
  <si>
    <t>201.54K</t>
  </si>
  <si>
    <t>332.45K</t>
  </si>
  <si>
    <t>134.37K</t>
  </si>
  <si>
    <t>120.59K</t>
  </si>
  <si>
    <t>195.30K</t>
  </si>
  <si>
    <t>161.60K</t>
  </si>
  <si>
    <t>136.17K</t>
  </si>
  <si>
    <t>81.77K</t>
  </si>
  <si>
    <t>178.24K</t>
  </si>
  <si>
    <t>179.72K</t>
  </si>
  <si>
    <t>92.47K</t>
  </si>
  <si>
    <t>167.16K</t>
  </si>
  <si>
    <t>235.30K</t>
  </si>
  <si>
    <t>124.70K</t>
  </si>
  <si>
    <t>172.33K</t>
  </si>
  <si>
    <t>159.98K</t>
  </si>
  <si>
    <t>296.81K</t>
  </si>
  <si>
    <t>259.66K</t>
  </si>
  <si>
    <t>202.58K</t>
  </si>
  <si>
    <t>296.88K</t>
  </si>
  <si>
    <t>285.26K</t>
  </si>
  <si>
    <t>456.85K</t>
  </si>
  <si>
    <t>926.37K</t>
  </si>
  <si>
    <t>356.42K</t>
  </si>
  <si>
    <t>286.24K</t>
  </si>
  <si>
    <t>209.39K</t>
  </si>
  <si>
    <t>298.03K</t>
  </si>
  <si>
    <t>257.60K</t>
  </si>
  <si>
    <t>454.48K</t>
  </si>
  <si>
    <t>408.66K</t>
  </si>
  <si>
    <t>290.75K</t>
  </si>
  <si>
    <t>275.48K</t>
  </si>
  <si>
    <t>263.83K</t>
  </si>
  <si>
    <t>229.18K</t>
  </si>
  <si>
    <t>246.83K</t>
  </si>
  <si>
    <t>225.77K</t>
  </si>
  <si>
    <t>302.80K</t>
  </si>
  <si>
    <t>206.24K</t>
  </si>
  <si>
    <t>71.89K</t>
  </si>
  <si>
    <t>172.27K</t>
  </si>
  <si>
    <t>236.32K</t>
  </si>
  <si>
    <t>197.60K</t>
  </si>
  <si>
    <t>193.12K</t>
  </si>
  <si>
    <t>182.05K</t>
  </si>
  <si>
    <t>161.83K</t>
  </si>
  <si>
    <t>170.81K</t>
  </si>
  <si>
    <t>152.96K</t>
  </si>
  <si>
    <t>103.46K</t>
  </si>
  <si>
    <t>205.34K</t>
  </si>
  <si>
    <t>179.69K</t>
  </si>
  <si>
    <t>178.07K</t>
  </si>
  <si>
    <t>389.48K</t>
  </si>
  <si>
    <t>196.51K</t>
  </si>
  <si>
    <t>274.48K</t>
  </si>
  <si>
    <t>148.19K</t>
  </si>
  <si>
    <t>226.57K</t>
  </si>
  <si>
    <t>159.69K</t>
  </si>
  <si>
    <t>206.29K</t>
  </si>
  <si>
    <t>190.93K</t>
  </si>
  <si>
    <t>228.73K</t>
  </si>
  <si>
    <t>159.99K</t>
  </si>
  <si>
    <t>275.29K</t>
  </si>
  <si>
    <t>187.48K</t>
  </si>
  <si>
    <t>200.15K</t>
  </si>
  <si>
    <t>407.30K</t>
  </si>
  <si>
    <t>192.05K</t>
  </si>
  <si>
    <t>185.40K</t>
  </si>
  <si>
    <t>271.40K</t>
  </si>
  <si>
    <t>318.12K</t>
  </si>
  <si>
    <t>194.38K</t>
  </si>
  <si>
    <t>161.32K</t>
  </si>
  <si>
    <t>174.42K</t>
  </si>
  <si>
    <t>184.54K</t>
  </si>
  <si>
    <t>125.85K</t>
  </si>
  <si>
    <t>197.09K</t>
  </si>
  <si>
    <t>148.16K</t>
  </si>
  <si>
    <t>189.65K</t>
  </si>
  <si>
    <t>199.36K</t>
  </si>
  <si>
    <t>98.39K</t>
  </si>
  <si>
    <t>175.19K</t>
  </si>
  <si>
    <t>159.94K</t>
  </si>
  <si>
    <t>394.27K</t>
  </si>
  <si>
    <t>513.10K</t>
  </si>
  <si>
    <t>408.07K</t>
  </si>
  <si>
    <t>318.84K</t>
  </si>
  <si>
    <t>370.81K</t>
  </si>
  <si>
    <t>14.47K</t>
  </si>
  <si>
    <t>393.37K</t>
  </si>
  <si>
    <t>182.24K</t>
  </si>
  <si>
    <t>129.37K</t>
  </si>
  <si>
    <t>142.33K</t>
  </si>
  <si>
    <t>129.20K</t>
  </si>
  <si>
    <t>87.75K</t>
  </si>
  <si>
    <t>198.46K</t>
  </si>
  <si>
    <t>171.74K</t>
  </si>
  <si>
    <t>173.97K</t>
  </si>
  <si>
    <t>225.47K</t>
  </si>
  <si>
    <t>106.36K</t>
  </si>
  <si>
    <t>258.41K</t>
  </si>
  <si>
    <t>129.53K</t>
  </si>
  <si>
    <t>279.16K</t>
  </si>
  <si>
    <t>214.81K</t>
  </si>
  <si>
    <t>181.54K</t>
  </si>
  <si>
    <t>272.54K</t>
  </si>
  <si>
    <t>166.52K</t>
  </si>
  <si>
    <t>403.64K</t>
  </si>
  <si>
    <t>499.55K</t>
  </si>
  <si>
    <t>571.67K</t>
  </si>
  <si>
    <t>190.08K</t>
  </si>
  <si>
    <t>264.32K</t>
  </si>
  <si>
    <t>189.04K</t>
  </si>
  <si>
    <t>179.53K</t>
  </si>
  <si>
    <t>153.09K</t>
  </si>
  <si>
    <t>132.66K</t>
  </si>
  <si>
    <t>175.58K</t>
  </si>
  <si>
    <t>240.23K</t>
  </si>
  <si>
    <t>126.45K</t>
  </si>
  <si>
    <t>153.77K</t>
  </si>
  <si>
    <t>305.04K</t>
  </si>
  <si>
    <t>140.02K</t>
  </si>
  <si>
    <t>214.10K</t>
  </si>
  <si>
    <t>214.24K</t>
  </si>
  <si>
    <t>177.86K</t>
  </si>
  <si>
    <t>283.68K</t>
  </si>
  <si>
    <t>290.32K</t>
  </si>
  <si>
    <t>199.19K</t>
  </si>
  <si>
    <t>226.95K</t>
  </si>
  <si>
    <t>155.46K</t>
  </si>
  <si>
    <t>290.96K</t>
  </si>
  <si>
    <t>351.25K</t>
  </si>
  <si>
    <t>808.48K</t>
  </si>
  <si>
    <t>235.74K</t>
  </si>
  <si>
    <t>207.36K</t>
  </si>
  <si>
    <t>334.10K</t>
  </si>
  <si>
    <t>218.61K</t>
  </si>
  <si>
    <t>201.77K</t>
  </si>
  <si>
    <t>202.03K</t>
  </si>
  <si>
    <t>192.09K</t>
  </si>
  <si>
    <t>267.54K</t>
  </si>
  <si>
    <t>207.88K</t>
  </si>
  <si>
    <t>212.57K</t>
  </si>
  <si>
    <t>150.38K</t>
  </si>
  <si>
    <t>185.68K</t>
  </si>
  <si>
    <t>208.45K</t>
  </si>
  <si>
    <t>214.11K</t>
  </si>
  <si>
    <t>290.38K</t>
  </si>
  <si>
    <t>180.08K</t>
  </si>
  <si>
    <t>189.62K</t>
  </si>
  <si>
    <t>533.62K</t>
  </si>
  <si>
    <t>512.52K</t>
  </si>
  <si>
    <t>98.34K</t>
  </si>
  <si>
    <t>166.14K</t>
  </si>
  <si>
    <t>156.31K</t>
  </si>
  <si>
    <t>154.12K</t>
  </si>
  <si>
    <t>278.92K</t>
  </si>
  <si>
    <t>240.03K</t>
  </si>
  <si>
    <t>269.32K</t>
  </si>
  <si>
    <t>379.92K</t>
  </si>
  <si>
    <t>219.23K</t>
  </si>
  <si>
    <t>149.94K</t>
  </si>
  <si>
    <t>191.52K</t>
  </si>
  <si>
    <t>275.76K</t>
  </si>
  <si>
    <t>445.83K</t>
  </si>
  <si>
    <t>207.44K</t>
  </si>
  <si>
    <t>333.10K</t>
  </si>
  <si>
    <t>501.29K</t>
  </si>
  <si>
    <t>506.58K</t>
  </si>
  <si>
    <t>253.13K</t>
  </si>
  <si>
    <t>735.70K</t>
  </si>
  <si>
    <t>304.91K</t>
  </si>
  <si>
    <t>629.90K</t>
  </si>
  <si>
    <t>157.76K</t>
  </si>
  <si>
    <t>156.82K</t>
  </si>
  <si>
    <t>121.42K</t>
  </si>
  <si>
    <t>401.10K</t>
  </si>
  <si>
    <t>181.36K</t>
  </si>
  <si>
    <t>262.53K</t>
  </si>
  <si>
    <t>237.75K</t>
  </si>
  <si>
    <t>279.92K</t>
  </si>
  <si>
    <t>209.23K</t>
  </si>
  <si>
    <t>143.72K</t>
  </si>
  <si>
    <t>191.18K</t>
  </si>
  <si>
    <t>345.05K</t>
  </si>
  <si>
    <t>349.62K</t>
  </si>
  <si>
    <t>314.94K</t>
  </si>
  <si>
    <t>394.18K</t>
  </si>
  <si>
    <t>350.21K</t>
  </si>
  <si>
    <t>201.20K</t>
  </si>
  <si>
    <t>478.35K</t>
  </si>
  <si>
    <t>198.00K</t>
  </si>
  <si>
    <t>181.46K</t>
  </si>
  <si>
    <t>175.37K</t>
  </si>
  <si>
    <t>173.02K</t>
  </si>
  <si>
    <t>158.93K</t>
  </si>
  <si>
    <t>128.24K</t>
  </si>
  <si>
    <t>209.71K</t>
  </si>
  <si>
    <t>371.37K</t>
  </si>
  <si>
    <t>179.34K</t>
  </si>
  <si>
    <t>307.68K</t>
  </si>
  <si>
    <t>182.80K</t>
  </si>
  <si>
    <t>200.27K</t>
  </si>
  <si>
    <t>388.91K</t>
  </si>
  <si>
    <t>217.46K</t>
  </si>
  <si>
    <t>273.05K</t>
  </si>
  <si>
    <t>145.70K</t>
  </si>
  <si>
    <t>255.25K</t>
  </si>
  <si>
    <t>630.39K</t>
  </si>
  <si>
    <t>516.50K</t>
  </si>
  <si>
    <t>516.75K</t>
  </si>
  <si>
    <t>412.56K</t>
  </si>
  <si>
    <t>339.74K</t>
  </si>
  <si>
    <t>267.72K</t>
  </si>
  <si>
    <t>334.67K</t>
  </si>
  <si>
    <t>230.60K</t>
  </si>
  <si>
    <t>290.47K</t>
  </si>
  <si>
    <t>268.15K</t>
  </si>
  <si>
    <t>345.26K</t>
  </si>
  <si>
    <t>351.04K</t>
  </si>
  <si>
    <t>230.61K</t>
  </si>
  <si>
    <t>602.12K</t>
  </si>
  <si>
    <t>484.51K</t>
  </si>
  <si>
    <t>222.19K</t>
  </si>
  <si>
    <t>361.88K</t>
  </si>
  <si>
    <t>376.47K</t>
  </si>
  <si>
    <t>263.14K</t>
  </si>
  <si>
    <t>280.96K</t>
  </si>
  <si>
    <t>406.11K</t>
  </si>
  <si>
    <t>401.57K</t>
  </si>
  <si>
    <t>754.46K</t>
  </si>
  <si>
    <t>294.69K</t>
  </si>
  <si>
    <t>440.52M</t>
  </si>
  <si>
    <t>425.83M</t>
  </si>
  <si>
    <t>415.94M</t>
  </si>
  <si>
    <t>498.63M</t>
  </si>
  <si>
    <t>508.02M</t>
  </si>
  <si>
    <t>460.33M</t>
  </si>
  <si>
    <t>488.84M</t>
  </si>
  <si>
    <t>481.30M</t>
  </si>
  <si>
    <t>466.59M</t>
  </si>
  <si>
    <t>639.26M</t>
  </si>
  <si>
    <t>476.98M</t>
  </si>
  <si>
    <t>426.42M</t>
  </si>
  <si>
    <t>495.12M</t>
  </si>
  <si>
    <t>517.95M</t>
  </si>
  <si>
    <t>698.60M</t>
  </si>
  <si>
    <t>612.56M</t>
  </si>
  <si>
    <t>505.42M</t>
  </si>
  <si>
    <t>538.10M</t>
  </si>
  <si>
    <t>550.28M</t>
  </si>
  <si>
    <t>663.29M</t>
  </si>
  <si>
    <t>550.15M</t>
  </si>
  <si>
    <t>382.88M</t>
  </si>
  <si>
    <t>458.79M</t>
  </si>
  <si>
    <t>540.29M</t>
  </si>
  <si>
    <t>519.78M</t>
  </si>
  <si>
    <t>501.00M</t>
  </si>
  <si>
    <t>407.40M</t>
  </si>
  <si>
    <t>444.28M</t>
  </si>
  <si>
    <t>526.90M</t>
  </si>
  <si>
    <t>433.41M</t>
  </si>
  <si>
    <t>504.34M</t>
  </si>
  <si>
    <t>598.99M</t>
  </si>
  <si>
    <t>519.23M</t>
  </si>
  <si>
    <t>438.92M</t>
  </si>
  <si>
    <t>405.22M</t>
  </si>
  <si>
    <t>414.21M</t>
  </si>
  <si>
    <t>439.07M</t>
  </si>
  <si>
    <t>313.68M</t>
  </si>
  <si>
    <t>296.58M</t>
  </si>
  <si>
    <t>298.23M</t>
  </si>
  <si>
    <t>310.23M</t>
  </si>
  <si>
    <t>344.12M</t>
  </si>
  <si>
    <t>275.77M</t>
  </si>
  <si>
    <t>453.52M</t>
  </si>
  <si>
    <t>419.39M</t>
  </si>
  <si>
    <t>331.39M</t>
  </si>
  <si>
    <t>460.88M</t>
  </si>
  <si>
    <t>359.39M</t>
  </si>
  <si>
    <t>375.48M</t>
  </si>
  <si>
    <t>343.81M</t>
  </si>
  <si>
    <t>429.79M</t>
  </si>
  <si>
    <t>637.26M</t>
  </si>
  <si>
    <t>449.22M</t>
  </si>
  <si>
    <t>379.37M</t>
  </si>
  <si>
    <t>508.39M</t>
  </si>
  <si>
    <t>582.39M</t>
  </si>
  <si>
    <t>574.90M</t>
  </si>
  <si>
    <t>618.70M</t>
  </si>
  <si>
    <t>393.94M</t>
  </si>
  <si>
    <t>486.40M</t>
  </si>
  <si>
    <t>395.62M</t>
  </si>
  <si>
    <t>409.77M</t>
  </si>
  <si>
    <t>443.09M</t>
  </si>
  <si>
    <t>434.04M</t>
  </si>
  <si>
    <t>393.13M</t>
  </si>
  <si>
    <t>339.54M</t>
  </si>
  <si>
    <t>275.76M</t>
  </si>
  <si>
    <t>348.76M</t>
  </si>
  <si>
    <t>328.52M</t>
  </si>
  <si>
    <t>338.22M</t>
  </si>
  <si>
    <t>383.04M</t>
  </si>
  <si>
    <t>338.78M</t>
  </si>
  <si>
    <t>357.55M</t>
  </si>
  <si>
    <t>425.63M</t>
  </si>
  <si>
    <t>246.31M</t>
  </si>
  <si>
    <t>396.89M</t>
  </si>
  <si>
    <t>234.31M</t>
  </si>
  <si>
    <t>142.24M</t>
  </si>
  <si>
    <t>188.85M</t>
  </si>
  <si>
    <t>216.55M</t>
  </si>
  <si>
    <t>252.99M</t>
  </si>
  <si>
    <t>382.93M</t>
  </si>
  <si>
    <t>197.55M</t>
  </si>
  <si>
    <t>206.52M</t>
  </si>
  <si>
    <t>264.35M</t>
  </si>
  <si>
    <t>181.56M</t>
  </si>
  <si>
    <t>216.34M</t>
  </si>
  <si>
    <t>206.10M</t>
  </si>
  <si>
    <t>207.94M</t>
  </si>
  <si>
    <t>275.98M</t>
  </si>
  <si>
    <t>320.73M</t>
  </si>
  <si>
    <t>249.25M</t>
  </si>
  <si>
    <t>248.10M</t>
  </si>
  <si>
    <t>265.66M</t>
  </si>
  <si>
    <t>254.80M</t>
  </si>
  <si>
    <t>213.83M</t>
  </si>
  <si>
    <t>202.51M</t>
  </si>
  <si>
    <t>240.29M</t>
  </si>
  <si>
    <t>275.26M</t>
  </si>
  <si>
    <t>260.45M</t>
  </si>
  <si>
    <t>464.65M</t>
  </si>
  <si>
    <t>235.58M</t>
  </si>
  <si>
    <t>240.43M</t>
  </si>
  <si>
    <t>250.11M</t>
  </si>
  <si>
    <t>280.00M</t>
  </si>
  <si>
    <t>281.77M</t>
  </si>
  <si>
    <t>518.94M</t>
  </si>
  <si>
    <t>385.17M</t>
  </si>
  <si>
    <t>312.59M</t>
  </si>
  <si>
    <t>297.71M</t>
  </si>
  <si>
    <t>243.59M</t>
  </si>
  <si>
    <t>305.61M</t>
  </si>
  <si>
    <t>371.85M</t>
  </si>
  <si>
    <t>305.14M</t>
  </si>
  <si>
    <t>23.35M</t>
  </si>
  <si>
    <t>334.38M</t>
  </si>
  <si>
    <t>257.37M</t>
  </si>
  <si>
    <t>321.88M</t>
  </si>
  <si>
    <t>395.23M</t>
  </si>
  <si>
    <t>266.34M</t>
  </si>
  <si>
    <t>284.91M</t>
  </si>
  <si>
    <t>448.40M</t>
  </si>
  <si>
    <t>42.47M</t>
  </si>
  <si>
    <t>301.13M</t>
  </si>
  <si>
    <t>422.06M</t>
  </si>
  <si>
    <t>372.78M</t>
  </si>
  <si>
    <t>289.93M</t>
  </si>
  <si>
    <t>292.13M</t>
  </si>
  <si>
    <t>234.29M</t>
  </si>
  <si>
    <t>232.94M</t>
  </si>
  <si>
    <t>286.25M</t>
  </si>
  <si>
    <t>227.44M</t>
  </si>
  <si>
    <t>287.99M</t>
  </si>
  <si>
    <t>268.79M</t>
  </si>
  <si>
    <t>365.85M</t>
  </si>
  <si>
    <t>308.90M</t>
  </si>
  <si>
    <t>303.04M</t>
  </si>
  <si>
    <t>394.39M</t>
  </si>
  <si>
    <t>291.54M</t>
  </si>
  <si>
    <t>342.53M</t>
  </si>
  <si>
    <t>244.38M</t>
  </si>
  <si>
    <t>299.20M</t>
  </si>
  <si>
    <t>254.51M</t>
  </si>
  <si>
    <t>380.36M</t>
  </si>
  <si>
    <t>272.19M</t>
  </si>
  <si>
    <t>268.94M</t>
  </si>
  <si>
    <t>240.12M</t>
  </si>
  <si>
    <t>185.38M</t>
  </si>
  <si>
    <t>225.74M</t>
  </si>
  <si>
    <t>224.57M</t>
  </si>
  <si>
    <t>244.15M</t>
  </si>
  <si>
    <t>226.92M</t>
  </si>
  <si>
    <t>213.23M</t>
  </si>
  <si>
    <t>210.07M</t>
  </si>
  <si>
    <t>314.09M</t>
  </si>
  <si>
    <t>340.28M</t>
  </si>
  <si>
    <t>271.56M</t>
  </si>
  <si>
    <t>229.33M</t>
  </si>
  <si>
    <t>325.52M</t>
  </si>
  <si>
    <t>326.60M</t>
  </si>
  <si>
    <t>750.47M</t>
  </si>
  <si>
    <t>213.03M</t>
  </si>
  <si>
    <t>210.17M</t>
  </si>
  <si>
    <t>226.54M</t>
  </si>
  <si>
    <t>287.05M</t>
  </si>
  <si>
    <t>252.34M</t>
  </si>
  <si>
    <t>363.07M</t>
  </si>
  <si>
    <t>270.16M</t>
  </si>
  <si>
    <t>236.01M</t>
  </si>
  <si>
    <t>237.00M</t>
  </si>
  <si>
    <t>241.15M</t>
  </si>
  <si>
    <t>312.63M</t>
  </si>
  <si>
    <t>616.74M</t>
  </si>
  <si>
    <t>225.09M</t>
  </si>
  <si>
    <t>251.85M</t>
  </si>
  <si>
    <t>259.33M</t>
  </si>
  <si>
    <t>263.36M</t>
  </si>
  <si>
    <t>346.30M</t>
  </si>
  <si>
    <t>243.89M</t>
  </si>
  <si>
    <t>284.66M</t>
  </si>
  <si>
    <t>262.14M</t>
  </si>
  <si>
    <t>278.14M</t>
  </si>
  <si>
    <t>338.73M</t>
  </si>
  <si>
    <t>271.54M</t>
  </si>
  <si>
    <t>483.73M</t>
  </si>
  <si>
    <t>305.22M</t>
  </si>
  <si>
    <t>316.98M</t>
  </si>
  <si>
    <t>243.41M</t>
  </si>
  <si>
    <t>228.82M</t>
  </si>
  <si>
    <t>241.34M</t>
  </si>
  <si>
    <t>259.53M</t>
  </si>
  <si>
    <t>249.99M</t>
  </si>
  <si>
    <t>219.61M</t>
  </si>
  <si>
    <t>239.08M</t>
  </si>
  <si>
    <t>210.41M</t>
  </si>
  <si>
    <t>196.05M</t>
  </si>
  <si>
    <t>193.51M</t>
  </si>
  <si>
    <t>293.43M</t>
  </si>
  <si>
    <t>309.83M</t>
  </si>
  <si>
    <t>260.67M</t>
  </si>
  <si>
    <t>270.98M</t>
  </si>
  <si>
    <t>563.96M</t>
  </si>
  <si>
    <t>428.89M</t>
  </si>
  <si>
    <t>260.58M</t>
  </si>
  <si>
    <t>450.19M</t>
  </si>
  <si>
    <t>248.53M</t>
  </si>
  <si>
    <t>574.65M</t>
  </si>
  <si>
    <t>274.62M</t>
  </si>
  <si>
    <t>237.60M</t>
  </si>
  <si>
    <t>242.42M</t>
  </si>
  <si>
    <t>305.81M</t>
  </si>
  <si>
    <t>318.71M</t>
  </si>
  <si>
    <t>328.31M</t>
  </si>
  <si>
    <t>301.25M</t>
  </si>
  <si>
    <t>307.32M</t>
  </si>
  <si>
    <t>279.22M</t>
  </si>
  <si>
    <t>335.58M</t>
  </si>
  <si>
    <t>388.41M</t>
  </si>
  <si>
    <t>280.86M</t>
  </si>
  <si>
    <t>349.29M</t>
  </si>
  <si>
    <t>311.10M</t>
  </si>
  <si>
    <t>853.89M</t>
  </si>
  <si>
    <t>345.37M</t>
  </si>
  <si>
    <t>684.43M</t>
  </si>
  <si>
    <t>525.65M</t>
  </si>
  <si>
    <t>302.80M</t>
  </si>
  <si>
    <t>270.47M</t>
  </si>
  <si>
    <t>403.28M</t>
  </si>
  <si>
    <t>332.72M</t>
  </si>
  <si>
    <t>414.80M</t>
  </si>
  <si>
    <t>255.25M</t>
  </si>
  <si>
    <t>432.72M</t>
  </si>
  <si>
    <t>500.82M</t>
  </si>
  <si>
    <t>345.49M</t>
  </si>
  <si>
    <t>422.98M</t>
  </si>
  <si>
    <t>368.71M</t>
  </si>
  <si>
    <t>335.55M</t>
  </si>
  <si>
    <t>411.36M</t>
  </si>
  <si>
    <t>330.14M</t>
  </si>
  <si>
    <t>302.35M</t>
  </si>
  <si>
    <t>291.47M</t>
  </si>
  <si>
    <t>421.11M</t>
  </si>
  <si>
    <t>424.45M</t>
  </si>
  <si>
    <t>357.56M</t>
  </si>
  <si>
    <t>320.47M</t>
  </si>
  <si>
    <t>387.74M</t>
  </si>
  <si>
    <t>358.77M</t>
  </si>
  <si>
    <t>415.04M</t>
  </si>
  <si>
    <t>440.94M</t>
  </si>
  <si>
    <t>406.15M</t>
  </si>
  <si>
    <t>505.33M</t>
  </si>
  <si>
    <t>348.42M</t>
  </si>
  <si>
    <t>388.32M</t>
  </si>
  <si>
    <t>402.16M</t>
  </si>
  <si>
    <t>383.82M</t>
  </si>
  <si>
    <t>468.25M</t>
  </si>
  <si>
    <t>647.11M</t>
  </si>
  <si>
    <t>466.78M</t>
  </si>
  <si>
    <t>283.20M</t>
  </si>
  <si>
    <t>340.97M</t>
  </si>
  <si>
    <t>314.31M</t>
  </si>
  <si>
    <t>295.36M</t>
  </si>
  <si>
    <t>510.30M</t>
  </si>
  <si>
    <t>278.59M</t>
  </si>
  <si>
    <t>311.90M</t>
  </si>
  <si>
    <t>Analyst Rating</t>
  </si>
  <si>
    <t>Key Assumptions</t>
  </si>
  <si>
    <t>Prepared By: Eldric Gregory Sequeira</t>
  </si>
  <si>
    <t>Installed capacity in India (MTPA)</t>
  </si>
  <si>
    <t>200+ MTPA</t>
  </si>
  <si>
    <t>Global Capacity</t>
  </si>
  <si>
    <t>205.5 MTPA</t>
  </si>
  <si>
    <t>Grinding Units</t>
  </si>
  <si>
    <t>Bulk Terminals</t>
  </si>
  <si>
    <t>Channel Partner Network</t>
  </si>
  <si>
    <t>India Market Coverage</t>
  </si>
  <si>
    <t>Grey Cement Market Share</t>
  </si>
  <si>
    <t>MTPA – Million Metric Tonnes Per Annum</t>
  </si>
  <si>
    <t>Figure 1: Operational Production (MMT)</t>
  </si>
  <si>
    <t>MMT - Million Metric Tonnes</t>
  </si>
  <si>
    <t>LinkedIn: Eldric Sequeira</t>
  </si>
  <si>
    <t>Fiscal Period</t>
  </si>
  <si>
    <t>QoQ Comp</t>
  </si>
  <si>
    <t>YoY Comp</t>
  </si>
  <si>
    <t>Operating Income</t>
  </si>
  <si>
    <t>Diluted EPS</t>
  </si>
  <si>
    <t>Figure 2: Sales Volume - Grey Cement (MMT)</t>
  </si>
  <si>
    <t>EBITDA/Tonne</t>
  </si>
  <si>
    <t>Figure 3: Net Revenue (₹ in Cr.)</t>
  </si>
  <si>
    <t>Financial Analysis</t>
  </si>
  <si>
    <t>Figure 4:PAT (₹ in Cr.) - Earnings per Share (₹)</t>
  </si>
  <si>
    <t>ROE</t>
  </si>
  <si>
    <t>ROA</t>
  </si>
  <si>
    <t>ROCE</t>
  </si>
  <si>
    <t>Interest Coverage</t>
  </si>
  <si>
    <t>Figure 5: Return on Equity (%)</t>
  </si>
  <si>
    <t>Figure 6: Return on Equity (%)</t>
  </si>
  <si>
    <t>DCF Analysis</t>
  </si>
  <si>
    <t>Industry Outlook</t>
  </si>
  <si>
    <t>Industry-Level Demand and Pricing</t>
  </si>
  <si>
    <t>Public Comparables (Trading Comps)</t>
  </si>
  <si>
    <t>Recommendation &amp; Conclusion</t>
  </si>
  <si>
    <t>Rating: HOLD | Target Price: ₹13,500 | Upside: ~12%</t>
  </si>
  <si>
    <t>Exhibit 5: DCF Model Analysis</t>
  </si>
  <si>
    <t>Exhibit 6: Sensitivity Analysis</t>
  </si>
  <si>
    <t xml:space="preserve">Exhibit 7: Public Comparables </t>
  </si>
  <si>
    <t>Exhibit 8: Weighted Average Cost of Capital</t>
  </si>
  <si>
    <t>Bibliography</t>
  </si>
  <si>
    <t>-------------------- End of paper ---------------------</t>
  </si>
  <si>
    <r>
      <t xml:space="preserve">Exhibit 1: Scale &amp; Network </t>
    </r>
    <r>
      <rPr>
        <b/>
        <vertAlign val="superscript"/>
        <sz val="9"/>
        <color theme="1"/>
        <rFont val="Calibri"/>
        <family val="2"/>
      </rPr>
      <t>[1]</t>
    </r>
  </si>
  <si>
    <t>(1) UltraTech Cement Limited — Annual General Meeting Highlights, Financial Express, August 20, 2025.</t>
  </si>
  <si>
    <r>
      <t xml:space="preserve">Exhibit 3: Financial Summary </t>
    </r>
    <r>
      <rPr>
        <b/>
        <vertAlign val="superscript"/>
        <sz val="9"/>
        <color theme="1"/>
        <rFont val="Calibri"/>
        <family val="2"/>
      </rPr>
      <t>[4]</t>
    </r>
  </si>
  <si>
    <t xml:space="preserve">India Cement Demand Drivers </t>
  </si>
  <si>
    <t>(3) JM Financial — Cement Sector Note: Price Recovery Outlook and UltraTech as Top Pick, Business Standard, January 2, 2026.</t>
  </si>
  <si>
    <r>
      <t xml:space="preserve">Exhibit 4: Key Ratios </t>
    </r>
    <r>
      <rPr>
        <b/>
        <vertAlign val="superscript"/>
        <sz val="9"/>
        <color theme="1"/>
        <rFont val="Calibri"/>
        <family val="2"/>
      </rPr>
      <t>[4]</t>
    </r>
  </si>
  <si>
    <t>(4) Screener.in — UltraTech Cement Ltd. Consolidated Financial Statements, Historical Data FY16–FY25.</t>
  </si>
  <si>
    <t>(5) Angel One — UltraTech Cement Share Price in Focus; Crosses 200 MTPA Capacity, Targets 240 MTPA, April 17, 2026.</t>
  </si>
  <si>
    <t>N</t>
  </si>
  <si>
    <r>
      <t xml:space="preserve">Exhibit 2: Q3 Results and Quarterly Comparison </t>
    </r>
    <r>
      <rPr>
        <b/>
        <vertAlign val="superscript"/>
        <sz val="9"/>
        <color theme="1"/>
        <rFont val="Calibri"/>
        <family val="2"/>
      </rPr>
      <t>[2]</t>
    </r>
  </si>
  <si>
    <t>(2) UltraTech Cement Limited — Q3 FY26 Earnings Result, Aditya Birla Group, January 24, 2026.</t>
  </si>
  <si>
    <t>(6) UltraTech Cement Limited — Q3 FY26 Earnings Call Transcript, January 24,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</si>
</sst>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3" formatCode="_ * #,##0.00_ ;_ * \-#,##0.00_ ;_ * &quot;-&quot;??_ ;_ @_ "/>
    <numFmt numFmtId="164" formatCode="_ * #,##0_ ;_ * \-#,##0_ ;_ * &quot;-&quot;??_ ;_ @_ "/>
    <numFmt numFmtId="165" formatCode="[$-409]mmm\-yy;@"/>
    <numFmt numFmtId="166" formatCode="_(* #,##0.00_);_(* \(#,##0.00\);_(* &quot;-&quot;??_);_(@_)"/>
    <numFmt numFmtId="167" formatCode="&quot;₹&quot;\ #,##0.0;\(&quot;₹&quot;\ #,##0.0\);\-"/>
    <numFmt numFmtId="168" formatCode="#,##0.0;\(#,##0.0\);\-"/>
    <numFmt numFmtId="169" formatCode="0.0%"/>
    <numFmt numFmtId="170" formatCode="_ * #,##0.0_ ;_ * \-#,##0.0_ ;_ * &quot;-&quot;??_ ;_ @_ "/>
    <numFmt numFmtId="171" formatCode="yyyy&quot;A&quot;"/>
    <numFmt numFmtId="172" formatCode="#,##0;\(#,##0\);\ \-\-"/>
    <numFmt numFmtId="173" formatCode="_ [$₹-4009]\ * #,##0.0_ ;_ [$₹-4009]\ * \-#,##0.0_ ;_ [$₹-4009]\ * &quot;-&quot;??_ ;_ @_ "/>
    <numFmt numFmtId="174" formatCode="0.0"/>
    <numFmt numFmtId="175" formatCode="#,##0;\(#,##0\);\ \-"/>
    <numFmt numFmtId="176" formatCode="_-[$$-409]* #,##0_ ;_-[$$-409]* \-#,##0\ ;_-[$$-409]* &quot;-&quot;??_ ;_-@_ "/>
    <numFmt numFmtId="177" formatCode="0.0\x"/>
    <numFmt numFmtId="178" formatCode="_ [$₹-4009]\ * #,##0_ ;_ [$₹-4009]\ * \-#,##0_ ;_ [$₹-4009]\ * &quot;-&quot;??_ ;_ @_ "/>
    <numFmt numFmtId="179" formatCode="#,##0.0"/>
    <numFmt numFmtId="180" formatCode="&quot;₹&quot;\ #,##0"/>
    <numFmt numFmtId="181" formatCode="#,##0.0;\(#,##0.0\);\ \-"/>
    <numFmt numFmtId="182" formatCode="&quot;₹&quot;\ #,##0.0"/>
    <numFmt numFmtId="183" formatCode="#,##0.0;\(#,##0.0\);\ \-\-"/>
    <numFmt numFmtId="184" formatCode="0.00\x"/>
  </numFmts>
  <fonts count="47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u/>
      <sz val="11"/>
      <color theme="1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theme="0" tint="-0.34998626667073579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 tint="-0.34998626667073579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sz val="11"/>
      <color theme="0"/>
      <name val="Calibri"/>
      <family val="2"/>
    </font>
    <font>
      <b/>
      <sz val="12"/>
      <color theme="0"/>
      <name val="Calibri"/>
      <family val="2"/>
    </font>
    <font>
      <b/>
      <sz val="14"/>
      <color theme="0"/>
      <name val="Calibri"/>
      <family val="2"/>
    </font>
    <font>
      <i/>
      <sz val="11"/>
      <color theme="0"/>
      <name val="Calibri"/>
      <family val="2"/>
    </font>
    <font>
      <i/>
      <sz val="11"/>
      <color theme="1"/>
      <name val="Calibri"/>
      <family val="2"/>
    </font>
    <font>
      <i/>
      <sz val="11"/>
      <color theme="2" tint="-0.749992370372631"/>
      <name val="Calibri"/>
      <family val="2"/>
    </font>
    <font>
      <sz val="11"/>
      <color theme="2" tint="-0.749992370372631"/>
      <name val="Calibri"/>
      <family val="2"/>
    </font>
    <font>
      <i/>
      <sz val="11"/>
      <color rgb="FFFF0000"/>
      <name val="Calibri"/>
      <family val="2"/>
    </font>
    <font>
      <b/>
      <i/>
      <sz val="11"/>
      <color theme="1"/>
      <name val="Calibri"/>
      <family val="2"/>
    </font>
    <font>
      <b/>
      <sz val="16"/>
      <color theme="0"/>
      <name val="Calibri"/>
      <family val="2"/>
    </font>
    <font>
      <vertAlign val="superscript"/>
      <sz val="11"/>
      <color theme="1"/>
      <name val="Calibri"/>
      <family val="2"/>
    </font>
    <font>
      <sz val="11"/>
      <color rgb="FF558ED5"/>
      <name val="Calibri"/>
      <family val="2"/>
    </font>
    <font>
      <b/>
      <vertAlign val="superscript"/>
      <sz val="11"/>
      <color theme="1"/>
      <name val="Calibri"/>
      <family val="2"/>
    </font>
    <font>
      <sz val="11"/>
      <color theme="0" tint="-0.14999847407452621"/>
      <name val="Calibri"/>
      <family val="2"/>
    </font>
    <font>
      <sz val="11"/>
      <color rgb="FF0070C0"/>
      <name val="Calibri"/>
      <family val="2"/>
    </font>
    <font>
      <b/>
      <sz val="20"/>
      <color theme="1"/>
      <name val="Calibri"/>
      <family val="2"/>
    </font>
    <font>
      <sz val="9"/>
      <color theme="1"/>
      <name val="Calibri"/>
      <family val="2"/>
    </font>
    <font>
      <i/>
      <sz val="10"/>
      <color theme="1"/>
      <name val="Calibri"/>
      <family val="2"/>
    </font>
    <font>
      <i/>
      <sz val="8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990033"/>
      <name val="Calibri"/>
      <family val="2"/>
    </font>
    <font>
      <b/>
      <sz val="9"/>
      <color theme="1"/>
      <name val="Calibri"/>
      <family val="2"/>
    </font>
    <font>
      <sz val="10"/>
      <color theme="0"/>
      <name val="Calibri"/>
      <family val="2"/>
    </font>
    <font>
      <b/>
      <sz val="9"/>
      <color theme="0"/>
      <name val="Calibri"/>
      <family val="2"/>
    </font>
    <font>
      <sz val="8"/>
      <color theme="0"/>
      <name val="Calibri"/>
      <family val="2"/>
    </font>
    <font>
      <b/>
      <sz val="9"/>
      <color rgb="FF990033"/>
      <name val="Calibri"/>
      <family val="2"/>
    </font>
    <font>
      <i/>
      <sz val="9"/>
      <color theme="1"/>
      <name val="Calibri"/>
      <family val="2"/>
    </font>
    <font>
      <b/>
      <i/>
      <sz val="9"/>
      <color theme="0"/>
      <name val="Calibri"/>
      <family val="2"/>
    </font>
    <font>
      <sz val="9"/>
      <color rgb="FF000000"/>
      <name val="Calibri"/>
      <family val="2"/>
    </font>
    <font>
      <sz val="7"/>
      <color theme="1"/>
      <name val="Calibri"/>
      <family val="2"/>
    </font>
    <font>
      <sz val="9"/>
      <color rgb="FF141836"/>
      <name val="Calibri"/>
      <family val="2"/>
    </font>
    <font>
      <b/>
      <sz val="9"/>
      <color rgb="FF141836"/>
      <name val="Calibri"/>
      <family val="2"/>
    </font>
    <font>
      <b/>
      <vertAlign val="superscript"/>
      <sz val="9"/>
      <color theme="1"/>
      <name val="Calibri"/>
      <family val="2"/>
    </font>
    <font>
      <b/>
      <sz val="9"/>
      <color rgb="FF141843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F9EE2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14183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141843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tted">
        <color auto="1"/>
      </left>
      <right/>
      <top/>
      <bottom/>
      <diagonal/>
    </border>
    <border>
      <left style="dotted">
        <color auto="1"/>
      </left>
      <right/>
      <top/>
      <bottom style="thin">
        <color indexed="64"/>
      </bottom>
      <diagonal/>
    </border>
    <border>
      <left style="dotted">
        <color auto="1"/>
      </left>
      <right/>
      <top style="thin">
        <color indexed="64"/>
      </top>
      <bottom/>
      <diagonal/>
    </border>
    <border>
      <left style="dotted">
        <color auto="1"/>
      </left>
      <right/>
      <top style="thin">
        <color indexed="64"/>
      </top>
      <bottom style="thin">
        <color indexed="64"/>
      </bottom>
      <diagonal/>
    </border>
    <border>
      <left/>
      <right style="dotted">
        <color auto="1"/>
      </right>
      <top/>
      <bottom style="thin">
        <color indexed="64"/>
      </bottom>
      <diagonal/>
    </border>
    <border>
      <left/>
      <right style="dotted">
        <color auto="1"/>
      </right>
      <top/>
      <bottom/>
      <diagonal/>
    </border>
    <border>
      <left/>
      <right style="dotted">
        <color auto="1"/>
      </right>
      <top style="thin">
        <color indexed="64"/>
      </top>
      <bottom/>
      <diagonal/>
    </border>
    <border>
      <left/>
      <right style="dotted">
        <color auto="1"/>
      </right>
      <top style="thin">
        <color indexed="64"/>
      </top>
      <bottom style="thin">
        <color indexed="64"/>
      </bottom>
      <diagonal/>
    </border>
    <border>
      <left/>
      <right/>
      <top style="dashed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dotted">
        <color auto="1"/>
      </top>
      <bottom/>
      <diagonal/>
    </border>
    <border>
      <left/>
      <right/>
      <top/>
      <bottom style="dotted">
        <color auto="1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dotted">
        <color auto="1"/>
      </left>
      <right/>
      <top style="thin">
        <color indexed="64"/>
      </top>
      <bottom style="dotted">
        <color indexed="64"/>
      </bottom>
      <diagonal/>
    </border>
    <border>
      <left/>
      <right style="dotted">
        <color auto="1"/>
      </right>
      <top style="thin">
        <color indexed="64"/>
      </top>
      <bottom style="dotted">
        <color indexed="64"/>
      </bottom>
      <diagonal/>
    </border>
    <border>
      <left style="dotted">
        <color auto="1"/>
      </left>
      <right/>
      <top style="dotted">
        <color auto="1"/>
      </top>
      <bottom/>
      <diagonal/>
    </border>
    <border>
      <left/>
      <right style="dotted">
        <color auto="1"/>
      </right>
      <top style="dotted">
        <color auto="1"/>
      </top>
      <bottom/>
      <diagonal/>
    </border>
    <border>
      <left style="dotted">
        <color auto="1"/>
      </left>
      <right/>
      <top/>
      <bottom style="dotted">
        <color auto="1"/>
      </bottom>
      <diagonal/>
    </border>
    <border>
      <left/>
      <right style="dotted">
        <color auto="1"/>
      </right>
      <top/>
      <bottom style="dotted">
        <color auto="1"/>
      </bottom>
      <diagonal/>
    </border>
    <border>
      <left style="dotted">
        <color indexed="64"/>
      </left>
      <right/>
      <top style="dashed">
        <color auto="1"/>
      </top>
      <bottom/>
      <diagonal/>
    </border>
    <border>
      <left/>
      <right style="dotted">
        <color indexed="64"/>
      </right>
      <top style="dashed">
        <color auto="1"/>
      </top>
      <bottom/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9" fillId="2" borderId="0" applyNumberFormat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/>
  </cellStyleXfs>
  <cellXfs count="398">
    <xf numFmtId="0" fontId="0" fillId="0" borderId="0" xfId="0"/>
    <xf numFmtId="3" fontId="0" fillId="0" borderId="0" xfId="0" applyNumberFormat="1"/>
    <xf numFmtId="164" fontId="0" fillId="0" borderId="0" xfId="1" applyNumberFormat="1" applyFont="1"/>
    <xf numFmtId="0" fontId="0" fillId="0" borderId="1" xfId="0" applyBorder="1"/>
    <xf numFmtId="0" fontId="2" fillId="0" borderId="0" xfId="0" applyFont="1"/>
    <xf numFmtId="0" fontId="2" fillId="0" borderId="1" xfId="0" applyFont="1" applyBorder="1"/>
    <xf numFmtId="0" fontId="6" fillId="0" borderId="0" xfId="0" applyFont="1"/>
    <xf numFmtId="43" fontId="0" fillId="0" borderId="0" xfId="3" applyFont="1" applyBorder="1"/>
    <xf numFmtId="166" fontId="0" fillId="0" borderId="0" xfId="3" applyNumberFormat="1" applyFont="1" applyBorder="1"/>
    <xf numFmtId="43" fontId="7" fillId="0" borderId="0" xfId="3" applyFont="1" applyBorder="1"/>
    <xf numFmtId="0" fontId="4" fillId="0" borderId="0" xfId="4"/>
    <xf numFmtId="43" fontId="4" fillId="0" borderId="0" xfId="3" applyFont="1" applyBorder="1"/>
    <xf numFmtId="165" fontId="8" fillId="0" borderId="0" xfId="3" applyNumberFormat="1" applyFont="1" applyFill="1" applyBorder="1"/>
    <xf numFmtId="165" fontId="5" fillId="3" borderId="0" xfId="4" applyNumberFormat="1" applyFont="1" applyFill="1" applyAlignment="1">
      <alignment horizontal="center"/>
    </xf>
    <xf numFmtId="165" fontId="5" fillId="3" borderId="0" xfId="3" applyNumberFormat="1" applyFont="1" applyFill="1" applyBorder="1"/>
    <xf numFmtId="0" fontId="2" fillId="4" borderId="0" xfId="0" applyFont="1" applyFill="1"/>
    <xf numFmtId="17" fontId="2" fillId="4" borderId="0" xfId="0" applyNumberFormat="1" applyFont="1" applyFill="1"/>
    <xf numFmtId="167" fontId="0" fillId="0" borderId="0" xfId="0" applyNumberFormat="1"/>
    <xf numFmtId="168" fontId="0" fillId="0" borderId="0" xfId="0" applyNumberFormat="1"/>
    <xf numFmtId="17" fontId="2" fillId="4" borderId="0" xfId="0" applyNumberFormat="1" applyFont="1" applyFill="1" applyAlignment="1">
      <alignment horizontal="right"/>
    </xf>
    <xf numFmtId="0" fontId="2" fillId="5" borderId="0" xfId="0" applyFont="1" applyFill="1"/>
    <xf numFmtId="0" fontId="0" fillId="5" borderId="0" xfId="0" applyFill="1"/>
    <xf numFmtId="169" fontId="0" fillId="0" borderId="0" xfId="2" applyNumberFormat="1" applyFont="1"/>
    <xf numFmtId="169" fontId="6" fillId="0" borderId="0" xfId="2" applyNumberFormat="1" applyFont="1"/>
    <xf numFmtId="0" fontId="10" fillId="0" borderId="0" xfId="0" applyFont="1"/>
    <xf numFmtId="43" fontId="4" fillId="0" borderId="0" xfId="3" applyFont="1" applyBorder="1" applyAlignment="1">
      <alignment horizontal="left"/>
    </xf>
    <xf numFmtId="43" fontId="7" fillId="0" borderId="0" xfId="3" applyFont="1" applyBorder="1" applyAlignment="1">
      <alignment horizontal="left"/>
    </xf>
    <xf numFmtId="0" fontId="0" fillId="0" borderId="0" xfId="0" applyAlignment="1">
      <alignment horizontal="left"/>
    </xf>
    <xf numFmtId="43" fontId="0" fillId="0" borderId="0" xfId="3" applyFont="1" applyBorder="1" applyAlignment="1">
      <alignment horizontal="left"/>
    </xf>
    <xf numFmtId="43" fontId="2" fillId="0" borderId="0" xfId="3" applyFont="1" applyFill="1" applyBorder="1" applyAlignment="1">
      <alignment horizontal="left"/>
    </xf>
    <xf numFmtId="168" fontId="2" fillId="0" borderId="0" xfId="0" applyNumberFormat="1" applyFont="1"/>
    <xf numFmtId="0" fontId="0" fillId="0" borderId="0" xfId="0" applyAlignment="1">
      <alignment horizontal="right"/>
    </xf>
    <xf numFmtId="17" fontId="2" fillId="0" borderId="0" xfId="0" applyNumberFormat="1" applyFont="1"/>
    <xf numFmtId="43" fontId="2" fillId="0" borderId="0" xfId="0" applyNumberFormat="1" applyFont="1"/>
    <xf numFmtId="170" fontId="0" fillId="0" borderId="0" xfId="1" applyNumberFormat="1" applyFont="1"/>
    <xf numFmtId="43" fontId="0" fillId="0" borderId="0" xfId="1" applyFont="1"/>
    <xf numFmtId="0" fontId="0" fillId="0" borderId="0" xfId="0" applyAlignment="1">
      <alignment horizontal="left" indent="1"/>
    </xf>
    <xf numFmtId="0" fontId="17" fillId="0" borderId="0" xfId="0" applyFont="1" applyAlignment="1">
      <alignment horizontal="left" indent="1"/>
    </xf>
    <xf numFmtId="172" fontId="0" fillId="0" borderId="0" xfId="0" applyNumberFormat="1"/>
    <xf numFmtId="172" fontId="0" fillId="0" borderId="0" xfId="0" applyNumberFormat="1" applyAlignment="1">
      <alignment horizontal="center"/>
    </xf>
    <xf numFmtId="172" fontId="2" fillId="0" borderId="2" xfId="0" applyNumberFormat="1" applyFont="1" applyBorder="1" applyAlignment="1">
      <alignment horizontal="center"/>
    </xf>
    <xf numFmtId="172" fontId="2" fillId="0" borderId="3" xfId="0" applyNumberFormat="1" applyFont="1" applyBorder="1" applyAlignment="1">
      <alignment horizontal="center"/>
    </xf>
    <xf numFmtId="0" fontId="18" fillId="0" borderId="0" xfId="0" applyFont="1" applyAlignment="1">
      <alignment horizontal="left" indent="1"/>
    </xf>
    <xf numFmtId="0" fontId="19" fillId="0" borderId="0" xfId="0" applyFont="1"/>
    <xf numFmtId="172" fontId="0" fillId="0" borderId="4" xfId="0" applyNumberFormat="1" applyBorder="1" applyAlignment="1">
      <alignment horizontal="center"/>
    </xf>
    <xf numFmtId="169" fontId="18" fillId="0" borderId="4" xfId="2" applyNumberFormat="1" applyFont="1" applyBorder="1" applyAlignment="1">
      <alignment horizontal="center"/>
    </xf>
    <xf numFmtId="172" fontId="2" fillId="0" borderId="6" xfId="0" applyNumberFormat="1" applyFont="1" applyBorder="1" applyAlignment="1">
      <alignment horizontal="center"/>
    </xf>
    <xf numFmtId="169" fontId="17" fillId="0" borderId="4" xfId="2" applyNumberFormat="1" applyFont="1" applyBorder="1" applyAlignment="1">
      <alignment horizontal="center"/>
    </xf>
    <xf numFmtId="172" fontId="2" fillId="0" borderId="7" xfId="0" applyNumberFormat="1" applyFont="1" applyBorder="1" applyAlignment="1">
      <alignment horizontal="center"/>
    </xf>
    <xf numFmtId="0" fontId="0" fillId="0" borderId="4" xfId="0" applyBorder="1"/>
    <xf numFmtId="17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73" fontId="0" fillId="0" borderId="4" xfId="0" applyNumberFormat="1" applyBorder="1" applyAlignment="1">
      <alignment horizontal="center"/>
    </xf>
    <xf numFmtId="172" fontId="0" fillId="0" borderId="9" xfId="0" applyNumberFormat="1" applyBorder="1" applyAlignment="1">
      <alignment horizontal="center"/>
    </xf>
    <xf numFmtId="169" fontId="18" fillId="0" borderId="0" xfId="2" applyNumberFormat="1" applyFont="1" applyBorder="1" applyAlignment="1">
      <alignment horizontal="center"/>
    </xf>
    <xf numFmtId="169" fontId="18" fillId="0" borderId="9" xfId="2" applyNumberFormat="1" applyFont="1" applyBorder="1" applyAlignment="1">
      <alignment horizontal="center"/>
    </xf>
    <xf numFmtId="172" fontId="2" fillId="0" borderId="10" xfId="0" applyNumberFormat="1" applyFont="1" applyBorder="1" applyAlignment="1">
      <alignment horizontal="center"/>
    </xf>
    <xf numFmtId="169" fontId="17" fillId="0" borderId="0" xfId="2" applyNumberFormat="1" applyFont="1" applyBorder="1" applyAlignment="1">
      <alignment horizontal="center"/>
    </xf>
    <xf numFmtId="169" fontId="17" fillId="0" borderId="9" xfId="2" applyNumberFormat="1" applyFont="1" applyBorder="1" applyAlignment="1">
      <alignment horizontal="center"/>
    </xf>
    <xf numFmtId="172" fontId="2" fillId="0" borderId="11" xfId="0" applyNumberFormat="1" applyFont="1" applyBorder="1" applyAlignment="1">
      <alignment horizontal="center"/>
    </xf>
    <xf numFmtId="0" fontId="0" fillId="0" borderId="9" xfId="0" applyBorder="1"/>
    <xf numFmtId="174" fontId="0" fillId="0" borderId="0" xfId="0" applyNumberFormat="1" applyAlignment="1">
      <alignment horizontal="center"/>
    </xf>
    <xf numFmtId="174" fontId="0" fillId="0" borderId="9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173" fontId="0" fillId="0" borderId="9" xfId="0" applyNumberFormat="1" applyBorder="1" applyAlignment="1">
      <alignment horizontal="center"/>
    </xf>
    <xf numFmtId="43" fontId="0" fillId="0" borderId="0" xfId="0" applyNumberFormat="1"/>
    <xf numFmtId="0" fontId="2" fillId="0" borderId="0" xfId="0" applyFont="1" applyAlignment="1">
      <alignment horizontal="left" indent="1"/>
    </xf>
    <xf numFmtId="0" fontId="2" fillId="0" borderId="0" xfId="0" applyFont="1" applyAlignment="1">
      <alignment horizontal="center"/>
    </xf>
    <xf numFmtId="172" fontId="2" fillId="0" borderId="12" xfId="0" applyNumberFormat="1" applyFont="1" applyBorder="1" applyAlignment="1">
      <alignment horizontal="center"/>
    </xf>
    <xf numFmtId="0" fontId="0" fillId="6" borderId="0" xfId="0" applyFill="1"/>
    <xf numFmtId="0" fontId="2" fillId="6" borderId="1" xfId="0" applyFont="1" applyFill="1" applyBorder="1" applyAlignment="1">
      <alignment horizontal="center"/>
    </xf>
    <xf numFmtId="0" fontId="0" fillId="6" borderId="1" xfId="0" applyFill="1" applyBorder="1"/>
    <xf numFmtId="171" fontId="2" fillId="6" borderId="1" xfId="0" applyNumberFormat="1" applyFont="1" applyFill="1" applyBorder="1" applyAlignment="1">
      <alignment horizontal="center"/>
    </xf>
    <xf numFmtId="0" fontId="2" fillId="6" borderId="8" xfId="0" applyFont="1" applyFill="1" applyBorder="1" applyAlignment="1">
      <alignment horizontal="center"/>
    </xf>
    <xf numFmtId="17" fontId="2" fillId="6" borderId="4" xfId="0" applyNumberFormat="1" applyFont="1" applyFill="1" applyBorder="1" applyAlignment="1">
      <alignment horizontal="center"/>
    </xf>
    <xf numFmtId="171" fontId="2" fillId="6" borderId="8" xfId="0" applyNumberFormat="1" applyFont="1" applyFill="1" applyBorder="1" applyAlignment="1">
      <alignment horizontal="center"/>
    </xf>
    <xf numFmtId="0" fontId="2" fillId="6" borderId="5" xfId="0" applyFont="1" applyFill="1" applyBorder="1"/>
    <xf numFmtId="43" fontId="20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9" fontId="17" fillId="0" borderId="0" xfId="2" applyNumberFormat="1" applyFont="1"/>
    <xf numFmtId="169" fontId="17" fillId="0" borderId="0" xfId="2" applyNumberFormat="1" applyFont="1" applyAlignment="1">
      <alignment horizontal="center"/>
    </xf>
    <xf numFmtId="0" fontId="2" fillId="6" borderId="1" xfId="0" applyFont="1" applyFill="1" applyBorder="1"/>
    <xf numFmtId="0" fontId="21" fillId="6" borderId="1" xfId="0" applyFont="1" applyFill="1" applyBorder="1"/>
    <xf numFmtId="43" fontId="0" fillId="0" borderId="0" xfId="0" applyNumberFormat="1" applyAlignment="1">
      <alignment horizontal="left" indent="1"/>
    </xf>
    <xf numFmtId="172" fontId="2" fillId="0" borderId="0" xfId="0" applyNumberFormat="1" applyFont="1" applyAlignment="1">
      <alignment horizontal="center"/>
    </xf>
    <xf numFmtId="172" fontId="2" fillId="0" borderId="9" xfId="0" applyNumberFormat="1" applyFont="1" applyBorder="1" applyAlignment="1">
      <alignment horizontal="center"/>
    </xf>
    <xf numFmtId="172" fontId="2" fillId="0" borderId="4" xfId="0" applyNumberFormat="1" applyFont="1" applyBorder="1" applyAlignment="1">
      <alignment horizontal="center"/>
    </xf>
    <xf numFmtId="43" fontId="2" fillId="0" borderId="0" xfId="0" applyNumberFormat="1" applyFont="1" applyAlignment="1">
      <alignment horizontal="left" indent="1"/>
    </xf>
    <xf numFmtId="0" fontId="22" fillId="7" borderId="0" xfId="0" applyFont="1" applyFill="1"/>
    <xf numFmtId="0" fontId="15" fillId="7" borderId="0" xfId="0" applyFont="1" applyFill="1"/>
    <xf numFmtId="0" fontId="16" fillId="7" borderId="0" xfId="0" applyFont="1" applyFill="1"/>
    <xf numFmtId="0" fontId="11" fillId="7" borderId="0" xfId="0" applyFont="1" applyFill="1"/>
    <xf numFmtId="0" fontId="21" fillId="0" borderId="0" xfId="0" applyFont="1"/>
    <xf numFmtId="10" fontId="24" fillId="0" borderId="0" xfId="0" applyNumberFormat="1" applyFont="1"/>
    <xf numFmtId="10" fontId="0" fillId="0" borderId="0" xfId="0" applyNumberFormat="1"/>
    <xf numFmtId="10" fontId="2" fillId="8" borderId="13" xfId="2" applyNumberFormat="1" applyFont="1" applyFill="1" applyBorder="1"/>
    <xf numFmtId="169" fontId="2" fillId="0" borderId="0" xfId="2" applyNumberFormat="1" applyFont="1" applyBorder="1"/>
    <xf numFmtId="2" fontId="0" fillId="0" borderId="0" xfId="0" applyNumberFormat="1"/>
    <xf numFmtId="0" fontId="2" fillId="6" borderId="0" xfId="0" applyFont="1" applyFill="1"/>
    <xf numFmtId="0" fontId="2" fillId="8" borderId="2" xfId="0" applyFont="1" applyFill="1" applyBorder="1"/>
    <xf numFmtId="0" fontId="2" fillId="8" borderId="1" xfId="0" applyFont="1" applyFill="1" applyBorder="1"/>
    <xf numFmtId="0" fontId="2" fillId="6" borderId="0" xfId="0" applyFont="1" applyFill="1" applyAlignment="1">
      <alignment horizontal="center"/>
    </xf>
    <xf numFmtId="175" fontId="0" fillId="0" borderId="0" xfId="0" applyNumberFormat="1"/>
    <xf numFmtId="0" fontId="13" fillId="7" borderId="0" xfId="0" applyFont="1" applyFill="1"/>
    <xf numFmtId="0" fontId="14" fillId="7" borderId="0" xfId="0" applyFont="1" applyFill="1"/>
    <xf numFmtId="0" fontId="11" fillId="7" borderId="0" xfId="0" applyFont="1" applyFill="1" applyAlignment="1">
      <alignment horizontal="right"/>
    </xf>
    <xf numFmtId="0" fontId="2" fillId="8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169" fontId="17" fillId="0" borderId="4" xfId="2" applyNumberFormat="1" applyFont="1" applyBorder="1"/>
    <xf numFmtId="175" fontId="0" fillId="0" borderId="4" xfId="0" applyNumberFormat="1" applyBorder="1"/>
    <xf numFmtId="169" fontId="0" fillId="0" borderId="4" xfId="0" applyNumberFormat="1" applyBorder="1"/>
    <xf numFmtId="0" fontId="2" fillId="0" borderId="0" xfId="0" applyFont="1" applyAlignment="1">
      <alignment horizontal="left"/>
    </xf>
    <xf numFmtId="176" fontId="0" fillId="0" borderId="0" xfId="0" applyNumberFormat="1"/>
    <xf numFmtId="177" fontId="0" fillId="0" borderId="1" xfId="0" applyNumberFormat="1" applyBorder="1"/>
    <xf numFmtId="175" fontId="0" fillId="0" borderId="1" xfId="0" applyNumberFormat="1" applyBorder="1"/>
    <xf numFmtId="10" fontId="0" fillId="0" borderId="1" xfId="0" applyNumberFormat="1" applyBorder="1"/>
    <xf numFmtId="177" fontId="2" fillId="8" borderId="13" xfId="0" applyNumberFormat="1" applyFont="1" applyFill="1" applyBorder="1"/>
    <xf numFmtId="178" fontId="2" fillId="0" borderId="0" xfId="0" applyNumberFormat="1" applyFont="1"/>
    <xf numFmtId="178" fontId="21" fillId="0" borderId="4" xfId="2" applyNumberFormat="1" applyFont="1" applyBorder="1"/>
    <xf numFmtId="178" fontId="2" fillId="0" borderId="2" xfId="0" applyNumberFormat="1" applyFont="1" applyBorder="1"/>
    <xf numFmtId="175" fontId="2" fillId="0" borderId="2" xfId="0" applyNumberFormat="1" applyFont="1" applyBorder="1"/>
    <xf numFmtId="169" fontId="17" fillId="0" borderId="0" xfId="2" applyNumberFormat="1" applyFont="1" applyBorder="1"/>
    <xf numFmtId="175" fontId="17" fillId="0" borderId="0" xfId="2" applyNumberFormat="1" applyFont="1"/>
    <xf numFmtId="0" fontId="0" fillId="0" borderId="2" xfId="0" applyBorder="1"/>
    <xf numFmtId="0" fontId="2" fillId="6" borderId="2" xfId="0" applyFont="1" applyFill="1" applyBorder="1" applyAlignment="1">
      <alignment horizontal="center"/>
    </xf>
    <xf numFmtId="0" fontId="21" fillId="0" borderId="1" xfId="0" applyFont="1" applyBorder="1"/>
    <xf numFmtId="172" fontId="2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172" fontId="2" fillId="0" borderId="5" xfId="0" applyNumberFormat="1" applyFont="1" applyBorder="1" applyAlignment="1">
      <alignment horizontal="center"/>
    </xf>
    <xf numFmtId="172" fontId="2" fillId="0" borderId="8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0" fillId="0" borderId="5" xfId="0" applyBorder="1"/>
    <xf numFmtId="0" fontId="0" fillId="0" borderId="8" xfId="0" applyBorder="1"/>
    <xf numFmtId="169" fontId="1" fillId="0" borderId="4" xfId="2" applyNumberFormat="1" applyFont="1" applyBorder="1" applyAlignment="1">
      <alignment horizontal="center"/>
    </xf>
    <xf numFmtId="169" fontId="1" fillId="0" borderId="0" xfId="2" applyNumberFormat="1" applyFont="1" applyBorder="1" applyAlignment="1">
      <alignment horizontal="center"/>
    </xf>
    <xf numFmtId="169" fontId="1" fillId="0" borderId="9" xfId="2" applyNumberFormat="1" applyFont="1" applyBorder="1" applyAlignment="1">
      <alignment horizontal="center"/>
    </xf>
    <xf numFmtId="169" fontId="0" fillId="0" borderId="4" xfId="2" applyNumberFormat="1" applyFont="1" applyBorder="1" applyAlignment="1">
      <alignment horizontal="center"/>
    </xf>
    <xf numFmtId="169" fontId="0" fillId="0" borderId="0" xfId="2" applyNumberFormat="1" applyFont="1" applyBorder="1" applyAlignment="1">
      <alignment horizontal="center"/>
    </xf>
    <xf numFmtId="169" fontId="0" fillId="0" borderId="9" xfId="2" applyNumberFormat="1" applyFont="1" applyBorder="1" applyAlignment="1">
      <alignment horizontal="center"/>
    </xf>
    <xf numFmtId="0" fontId="2" fillId="8" borderId="0" xfId="0" applyFont="1" applyFill="1"/>
    <xf numFmtId="0" fontId="0" fillId="8" borderId="0" xfId="0" applyFill="1"/>
    <xf numFmtId="172" fontId="2" fillId="8" borderId="0" xfId="0" applyNumberFormat="1" applyFont="1" applyFill="1" applyAlignment="1">
      <alignment horizontal="center"/>
    </xf>
    <xf numFmtId="172" fontId="2" fillId="8" borderId="4" xfId="0" applyNumberFormat="1" applyFont="1" applyFill="1" applyBorder="1" applyAlignment="1">
      <alignment horizontal="center"/>
    </xf>
    <xf numFmtId="172" fontId="2" fillId="8" borderId="9" xfId="0" applyNumberFormat="1" applyFont="1" applyFill="1" applyBorder="1" applyAlignment="1">
      <alignment horizontal="center"/>
    </xf>
    <xf numFmtId="175" fontId="0" fillId="0" borderId="0" xfId="0" applyNumberFormat="1" applyAlignment="1">
      <alignment horizontal="center"/>
    </xf>
    <xf numFmtId="0" fontId="14" fillId="7" borderId="1" xfId="0" applyFont="1" applyFill="1" applyBorder="1"/>
    <xf numFmtId="0" fontId="11" fillId="7" borderId="1" xfId="0" applyFont="1" applyFill="1" applyBorder="1"/>
    <xf numFmtId="10" fontId="27" fillId="0" borderId="0" xfId="0" applyNumberFormat="1" applyFont="1"/>
    <xf numFmtId="10" fontId="27" fillId="0" borderId="0" xfId="2" applyNumberFormat="1" applyFont="1"/>
    <xf numFmtId="10" fontId="26" fillId="8" borderId="14" xfId="0" applyNumberFormat="1" applyFont="1" applyFill="1" applyBorder="1"/>
    <xf numFmtId="10" fontId="2" fillId="8" borderId="15" xfId="0" applyNumberFormat="1" applyFont="1" applyFill="1" applyBorder="1"/>
    <xf numFmtId="175" fontId="2" fillId="0" borderId="6" xfId="0" applyNumberFormat="1" applyFont="1" applyBorder="1"/>
    <xf numFmtId="178" fontId="2" fillId="0" borderId="6" xfId="0" applyNumberFormat="1" applyFont="1" applyBorder="1"/>
    <xf numFmtId="2" fontId="0" fillId="0" borderId="4" xfId="0" applyNumberFormat="1" applyBorder="1"/>
    <xf numFmtId="178" fontId="2" fillId="0" borderId="9" xfId="0" applyNumberFormat="1" applyFont="1" applyBorder="1"/>
    <xf numFmtId="169" fontId="17" fillId="0" borderId="9" xfId="2" applyNumberFormat="1" applyFont="1" applyBorder="1"/>
    <xf numFmtId="175" fontId="0" fillId="0" borderId="9" xfId="0" applyNumberFormat="1" applyBorder="1"/>
    <xf numFmtId="175" fontId="2" fillId="0" borderId="10" xfId="0" applyNumberFormat="1" applyFont="1" applyBorder="1"/>
    <xf numFmtId="178" fontId="2" fillId="0" borderId="10" xfId="0" applyNumberFormat="1" applyFont="1" applyBorder="1"/>
    <xf numFmtId="2" fontId="0" fillId="0" borderId="9" xfId="0" applyNumberFormat="1" applyBorder="1"/>
    <xf numFmtId="178" fontId="2" fillId="0" borderId="0" xfId="2" applyNumberFormat="1" applyFont="1"/>
    <xf numFmtId="178" fontId="0" fillId="0" borderId="0" xfId="2" applyNumberFormat="1" applyFont="1"/>
    <xf numFmtId="169" fontId="2" fillId="8" borderId="13" xfId="0" applyNumberFormat="1" applyFont="1" applyFill="1" applyBorder="1"/>
    <xf numFmtId="178" fontId="0" fillId="0" borderId="0" xfId="0" applyNumberFormat="1"/>
    <xf numFmtId="178" fontId="2" fillId="8" borderId="13" xfId="0" applyNumberFormat="1" applyFont="1" applyFill="1" applyBorder="1"/>
    <xf numFmtId="179" fontId="0" fillId="0" borderId="0" xfId="0" applyNumberFormat="1"/>
    <xf numFmtId="178" fontId="2" fillId="8" borderId="13" xfId="0" applyNumberFormat="1" applyFont="1" applyFill="1" applyBorder="1" applyAlignment="1">
      <alignment horizontal="left" indent="1"/>
    </xf>
    <xf numFmtId="178" fontId="2" fillId="8" borderId="7" xfId="0" applyNumberFormat="1" applyFont="1" applyFill="1" applyBorder="1"/>
    <xf numFmtId="178" fontId="2" fillId="8" borderId="3" xfId="0" applyNumberFormat="1" applyFont="1" applyFill="1" applyBorder="1"/>
    <xf numFmtId="178" fontId="2" fillId="8" borderId="11" xfId="0" applyNumberFormat="1" applyFont="1" applyFill="1" applyBorder="1"/>
    <xf numFmtId="0" fontId="2" fillId="8" borderId="0" xfId="0" applyFont="1" applyFill="1" applyAlignment="1">
      <alignment horizontal="left" indent="1"/>
    </xf>
    <xf numFmtId="178" fontId="2" fillId="8" borderId="6" xfId="0" applyNumberFormat="1" applyFont="1" applyFill="1" applyBorder="1"/>
    <xf numFmtId="178" fontId="2" fillId="8" borderId="2" xfId="0" applyNumberFormat="1" applyFont="1" applyFill="1" applyBorder="1"/>
    <xf numFmtId="178" fontId="2" fillId="8" borderId="10" xfId="0" applyNumberFormat="1" applyFont="1" applyFill="1" applyBorder="1"/>
    <xf numFmtId="10" fontId="0" fillId="8" borderId="13" xfId="0" applyNumberFormat="1" applyFill="1" applyBorder="1" applyAlignment="1">
      <alignment horizontal="center"/>
    </xf>
    <xf numFmtId="0" fontId="11" fillId="0" borderId="1" xfId="0" applyFont="1" applyBorder="1"/>
    <xf numFmtId="0" fontId="2" fillId="0" borderId="0" xfId="0" applyFont="1" applyAlignment="1">
      <alignment vertical="center" textRotation="90" wrapText="1"/>
    </xf>
    <xf numFmtId="172" fontId="0" fillId="0" borderId="14" xfId="0" applyNumberFormat="1" applyBorder="1" applyAlignment="1">
      <alignment horizontal="center"/>
    </xf>
    <xf numFmtId="172" fontId="0" fillId="0" borderId="2" xfId="0" applyNumberFormat="1" applyBorder="1" applyAlignment="1">
      <alignment horizontal="center"/>
    </xf>
    <xf numFmtId="172" fontId="0" fillId="0" borderId="16" xfId="0" applyNumberFormat="1" applyBorder="1" applyAlignment="1">
      <alignment horizontal="center"/>
    </xf>
    <xf numFmtId="10" fontId="2" fillId="8" borderId="16" xfId="0" applyNumberFormat="1" applyFont="1" applyFill="1" applyBorder="1"/>
    <xf numFmtId="10" fontId="2" fillId="8" borderId="2" xfId="2" applyNumberFormat="1" applyFont="1" applyFill="1" applyBorder="1" applyAlignment="1">
      <alignment horizontal="center"/>
    </xf>
    <xf numFmtId="178" fontId="26" fillId="8" borderId="14" xfId="0" applyNumberFormat="1" applyFont="1" applyFill="1" applyBorder="1"/>
    <xf numFmtId="177" fontId="2" fillId="8" borderId="16" xfId="0" applyNumberFormat="1" applyFont="1" applyFill="1" applyBorder="1"/>
    <xf numFmtId="172" fontId="0" fillId="9" borderId="0" xfId="0" applyNumberFormat="1" applyFill="1" applyAlignment="1">
      <alignment horizontal="center"/>
    </xf>
    <xf numFmtId="172" fontId="2" fillId="6" borderId="0" xfId="0" applyNumberFormat="1" applyFont="1" applyFill="1" applyAlignment="1">
      <alignment horizontal="center"/>
    </xf>
    <xf numFmtId="180" fontId="0" fillId="0" borderId="14" xfId="0" applyNumberFormat="1" applyBorder="1" applyAlignment="1">
      <alignment horizontal="center"/>
    </xf>
    <xf numFmtId="180" fontId="0" fillId="0" borderId="2" xfId="0" applyNumberFormat="1" applyBorder="1" applyAlignment="1">
      <alignment horizontal="center"/>
    </xf>
    <xf numFmtId="180" fontId="0" fillId="0" borderId="16" xfId="0" applyNumberFormat="1" applyBorder="1" applyAlignment="1">
      <alignment horizontal="center"/>
    </xf>
    <xf numFmtId="180" fontId="0" fillId="9" borderId="0" xfId="0" applyNumberFormat="1" applyFill="1" applyAlignment="1">
      <alignment horizontal="center"/>
    </xf>
    <xf numFmtId="180" fontId="0" fillId="0" borderId="0" xfId="0" applyNumberFormat="1" applyAlignment="1">
      <alignment horizontal="center"/>
    </xf>
    <xf numFmtId="180" fontId="2" fillId="6" borderId="0" xfId="0" applyNumberFormat="1" applyFont="1" applyFill="1" applyAlignment="1">
      <alignment horizontal="center"/>
    </xf>
    <xf numFmtId="182" fontId="0" fillId="0" borderId="0" xfId="0" applyNumberFormat="1" applyAlignment="1">
      <alignment horizontal="center"/>
    </xf>
    <xf numFmtId="183" fontId="0" fillId="0" borderId="0" xfId="0" applyNumberFormat="1" applyAlignment="1">
      <alignment horizontal="center"/>
    </xf>
    <xf numFmtId="181" fontId="0" fillId="0" borderId="0" xfId="0" applyNumberFormat="1" applyAlignment="1">
      <alignment horizontal="center"/>
    </xf>
    <xf numFmtId="0" fontId="2" fillId="8" borderId="17" xfId="0" applyFont="1" applyFill="1" applyBorder="1"/>
    <xf numFmtId="177" fontId="2" fillId="8" borderId="17" xfId="0" applyNumberFormat="1" applyFont="1" applyFill="1" applyBorder="1" applyAlignment="1">
      <alignment horizontal="center"/>
    </xf>
    <xf numFmtId="0" fontId="2" fillId="8" borderId="18" xfId="0" applyFont="1" applyFill="1" applyBorder="1"/>
    <xf numFmtId="177" fontId="2" fillId="8" borderId="18" xfId="0" applyNumberFormat="1" applyFont="1" applyFill="1" applyBorder="1" applyAlignment="1">
      <alignment horizontal="center"/>
    </xf>
    <xf numFmtId="0" fontId="0" fillId="0" borderId="19" xfId="0" applyBorder="1"/>
    <xf numFmtId="182" fontId="0" fillId="0" borderId="19" xfId="0" applyNumberFormat="1" applyBorder="1"/>
    <xf numFmtId="181" fontId="0" fillId="0" borderId="19" xfId="0" applyNumberFormat="1" applyBorder="1" applyAlignment="1">
      <alignment horizontal="center"/>
    </xf>
    <xf numFmtId="175" fontId="0" fillId="0" borderId="19" xfId="0" applyNumberFormat="1" applyBorder="1" applyAlignment="1">
      <alignment horizontal="center"/>
    </xf>
    <xf numFmtId="172" fontId="0" fillId="0" borderId="19" xfId="0" applyNumberFormat="1" applyBorder="1" applyAlignment="1">
      <alignment horizontal="center"/>
    </xf>
    <xf numFmtId="177" fontId="0" fillId="0" borderId="19" xfId="0" applyNumberFormat="1" applyBorder="1" applyAlignment="1">
      <alignment horizontal="center"/>
    </xf>
    <xf numFmtId="0" fontId="2" fillId="8" borderId="3" xfId="0" applyFont="1" applyFill="1" applyBorder="1"/>
    <xf numFmtId="0" fontId="0" fillId="8" borderId="3" xfId="0" applyFill="1" applyBorder="1"/>
    <xf numFmtId="180" fontId="2" fillId="8" borderId="3" xfId="0" applyNumberFormat="1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2" fillId="6" borderId="9" xfId="0" applyFont="1" applyFill="1" applyBorder="1" applyAlignment="1">
      <alignment horizontal="center"/>
    </xf>
    <xf numFmtId="177" fontId="0" fillId="0" borderId="20" xfId="0" applyNumberFormat="1" applyBorder="1" applyAlignment="1">
      <alignment horizontal="center"/>
    </xf>
    <xf numFmtId="177" fontId="0" fillId="0" borderId="21" xfId="0" applyNumberFormat="1" applyBorder="1" applyAlignment="1">
      <alignment horizontal="center"/>
    </xf>
    <xf numFmtId="177" fontId="0" fillId="0" borderId="4" xfId="0" applyNumberFormat="1" applyBorder="1" applyAlignment="1">
      <alignment horizontal="center"/>
    </xf>
    <xf numFmtId="177" fontId="0" fillId="0" borderId="0" xfId="0" applyNumberFormat="1" applyAlignment="1">
      <alignment horizontal="center"/>
    </xf>
    <xf numFmtId="177" fontId="0" fillId="0" borderId="9" xfId="0" applyNumberFormat="1" applyBorder="1" applyAlignment="1">
      <alignment horizontal="center"/>
    </xf>
    <xf numFmtId="0" fontId="0" fillId="0" borderId="6" xfId="0" applyBorder="1"/>
    <xf numFmtId="0" fontId="0" fillId="0" borderId="10" xfId="0" applyBorder="1"/>
    <xf numFmtId="177" fontId="2" fillId="8" borderId="22" xfId="0" applyNumberFormat="1" applyFont="1" applyFill="1" applyBorder="1" applyAlignment="1">
      <alignment horizontal="center"/>
    </xf>
    <xf numFmtId="177" fontId="2" fillId="8" borderId="23" xfId="0" applyNumberFormat="1" applyFont="1" applyFill="1" applyBorder="1" applyAlignment="1">
      <alignment horizontal="center"/>
    </xf>
    <xf numFmtId="177" fontId="2" fillId="8" borderId="24" xfId="0" applyNumberFormat="1" applyFont="1" applyFill="1" applyBorder="1" applyAlignment="1">
      <alignment horizontal="center"/>
    </xf>
    <xf numFmtId="177" fontId="2" fillId="8" borderId="25" xfId="0" applyNumberFormat="1" applyFont="1" applyFill="1" applyBorder="1" applyAlignment="1">
      <alignment horizontal="center"/>
    </xf>
    <xf numFmtId="175" fontId="0" fillId="0" borderId="4" xfId="0" applyNumberFormat="1" applyBorder="1" applyAlignment="1">
      <alignment horizontal="center"/>
    </xf>
    <xf numFmtId="175" fontId="0" fillId="0" borderId="9" xfId="0" applyNumberFormat="1" applyBorder="1" applyAlignment="1">
      <alignment horizontal="center"/>
    </xf>
    <xf numFmtId="181" fontId="0" fillId="0" borderId="4" xfId="0" applyNumberFormat="1" applyBorder="1" applyAlignment="1">
      <alignment horizontal="center"/>
    </xf>
    <xf numFmtId="181" fontId="0" fillId="0" borderId="9" xfId="0" applyNumberFormat="1" applyBorder="1" applyAlignment="1">
      <alignment horizontal="center"/>
    </xf>
    <xf numFmtId="180" fontId="2" fillId="8" borderId="7" xfId="0" applyNumberFormat="1" applyFont="1" applyFill="1" applyBorder="1" applyAlignment="1">
      <alignment horizontal="center"/>
    </xf>
    <xf numFmtId="180" fontId="2" fillId="8" borderId="11" xfId="0" applyNumberFormat="1" applyFont="1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9" xfId="0" applyFill="1" applyBorder="1" applyAlignment="1">
      <alignment horizontal="center"/>
    </xf>
    <xf numFmtId="180" fontId="0" fillId="0" borderId="4" xfId="0" applyNumberFormat="1" applyBorder="1" applyAlignment="1">
      <alignment horizontal="center"/>
    </xf>
    <xf numFmtId="0" fontId="18" fillId="0" borderId="0" xfId="0" applyFont="1" applyAlignment="1">
      <alignment horizontal="left" indent="2"/>
    </xf>
    <xf numFmtId="171" fontId="2" fillId="6" borderId="5" xfId="0" applyNumberFormat="1" applyFont="1" applyFill="1" applyBorder="1" applyAlignment="1">
      <alignment horizontal="center"/>
    </xf>
    <xf numFmtId="172" fontId="19" fillId="0" borderId="4" xfId="0" applyNumberFormat="1" applyFont="1" applyBorder="1" applyAlignment="1">
      <alignment horizontal="center"/>
    </xf>
    <xf numFmtId="173" fontId="0" fillId="0" borderId="0" xfId="0" applyNumberFormat="1" applyAlignment="1">
      <alignment horizontal="center"/>
    </xf>
    <xf numFmtId="0" fontId="19" fillId="0" borderId="4" xfId="0" applyFont="1" applyBorder="1" applyAlignment="1">
      <alignment horizontal="center"/>
    </xf>
    <xf numFmtId="11" fontId="20" fillId="0" borderId="4" xfId="0" applyNumberFormat="1" applyFont="1" applyBorder="1" applyAlignment="1">
      <alignment horizontal="center"/>
    </xf>
    <xf numFmtId="11" fontId="20" fillId="0" borderId="0" xfId="0" applyNumberFormat="1" applyFont="1" applyAlignment="1">
      <alignment horizontal="center"/>
    </xf>
    <xf numFmtId="11" fontId="20" fillId="0" borderId="9" xfId="0" applyNumberFormat="1" applyFont="1" applyBorder="1" applyAlignment="1">
      <alignment horizontal="center"/>
    </xf>
    <xf numFmtId="172" fontId="2" fillId="0" borderId="26" xfId="0" applyNumberFormat="1" applyFont="1" applyBorder="1" applyAlignment="1">
      <alignment horizontal="center"/>
    </xf>
    <xf numFmtId="172" fontId="2" fillId="0" borderId="27" xfId="0" applyNumberFormat="1" applyFont="1" applyBorder="1" applyAlignment="1">
      <alignment horizontal="center"/>
    </xf>
    <xf numFmtId="169" fontId="21" fillId="0" borderId="4" xfId="2" applyNumberFormat="1" applyFont="1" applyBorder="1" applyAlignment="1">
      <alignment horizontal="center"/>
    </xf>
    <xf numFmtId="169" fontId="21" fillId="0" borderId="0" xfId="2" applyNumberFormat="1" applyFont="1" applyBorder="1" applyAlignment="1">
      <alignment horizontal="center"/>
    </xf>
    <xf numFmtId="169" fontId="21" fillId="0" borderId="9" xfId="2" applyNumberFormat="1" applyFont="1" applyBorder="1" applyAlignment="1">
      <alignment horizontal="center"/>
    </xf>
    <xf numFmtId="10" fontId="2" fillId="8" borderId="3" xfId="0" applyNumberFormat="1" applyFont="1" applyFill="1" applyBorder="1" applyAlignment="1">
      <alignment horizontal="center"/>
    </xf>
    <xf numFmtId="10" fontId="0" fillId="0" borderId="0" xfId="2" applyNumberFormat="1" applyFont="1" applyBorder="1" applyAlignment="1">
      <alignment horizontal="center"/>
    </xf>
    <xf numFmtId="10" fontId="0" fillId="8" borderId="0" xfId="2" applyNumberFormat="1" applyFont="1" applyFill="1" applyBorder="1" applyAlignment="1">
      <alignment horizontal="center"/>
    </xf>
    <xf numFmtId="10" fontId="2" fillId="6" borderId="0" xfId="2" applyNumberFormat="1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10" fontId="0" fillId="0" borderId="0" xfId="2" applyNumberFormat="1" applyFont="1" applyAlignment="1">
      <alignment horizontal="center"/>
    </xf>
    <xf numFmtId="10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2" fontId="2" fillId="8" borderId="2" xfId="0" applyNumberFormat="1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169" fontId="2" fillId="8" borderId="2" xfId="2" applyNumberFormat="1" applyFont="1" applyFill="1" applyBorder="1" applyAlignment="1">
      <alignment horizontal="center"/>
    </xf>
    <xf numFmtId="2" fontId="2" fillId="8" borderId="1" xfId="0" applyNumberFormat="1" applyFont="1" applyFill="1" applyBorder="1" applyAlignment="1">
      <alignment horizontal="center"/>
    </xf>
    <xf numFmtId="169" fontId="2" fillId="8" borderId="1" xfId="2" applyNumberFormat="1" applyFont="1" applyFill="1" applyBorder="1" applyAlignment="1">
      <alignment horizontal="center"/>
    </xf>
    <xf numFmtId="0" fontId="11" fillId="7" borderId="0" xfId="0" applyFont="1" applyFill="1" applyAlignment="1">
      <alignment horizontal="center"/>
    </xf>
    <xf numFmtId="17" fontId="0" fillId="0" borderId="0" xfId="3" applyNumberFormat="1" applyFont="1" applyBorder="1"/>
    <xf numFmtId="184" fontId="0" fillId="0" borderId="4" xfId="0" applyNumberFormat="1" applyBorder="1" applyAlignment="1">
      <alignment horizontal="center"/>
    </xf>
    <xf numFmtId="184" fontId="0" fillId="0" borderId="0" xfId="0" applyNumberFormat="1" applyAlignment="1">
      <alignment horizontal="center"/>
    </xf>
    <xf numFmtId="184" fontId="0" fillId="0" borderId="9" xfId="0" applyNumberForma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9" xfId="0" applyNumberFormat="1" applyBorder="1" applyAlignment="1">
      <alignment horizontal="center"/>
    </xf>
    <xf numFmtId="177" fontId="0" fillId="0" borderId="6" xfId="0" applyNumberFormat="1" applyBorder="1" applyAlignment="1">
      <alignment horizontal="center"/>
    </xf>
    <xf numFmtId="177" fontId="0" fillId="0" borderId="2" xfId="0" applyNumberFormat="1" applyBorder="1" applyAlignment="1">
      <alignment horizontal="center"/>
    </xf>
    <xf numFmtId="177" fontId="0" fillId="0" borderId="10" xfId="0" applyNumberFormat="1" applyBorder="1" applyAlignment="1">
      <alignment horizontal="center"/>
    </xf>
    <xf numFmtId="169" fontId="0" fillId="0" borderId="6" xfId="0" applyNumberFormat="1" applyBorder="1" applyAlignment="1">
      <alignment horizontal="center"/>
    </xf>
    <xf numFmtId="169" fontId="0" fillId="0" borderId="2" xfId="0" applyNumberFormat="1" applyBorder="1" applyAlignment="1">
      <alignment horizontal="center"/>
    </xf>
    <xf numFmtId="169" fontId="0" fillId="0" borderId="10" xfId="0" applyNumberFormat="1" applyBorder="1" applyAlignment="1">
      <alignment horizontal="center"/>
    </xf>
    <xf numFmtId="169" fontId="2" fillId="0" borderId="7" xfId="2" applyNumberFormat="1" applyFont="1" applyBorder="1" applyAlignment="1">
      <alignment horizontal="center"/>
    </xf>
    <xf numFmtId="169" fontId="2" fillId="0" borderId="3" xfId="2" applyNumberFormat="1" applyFont="1" applyBorder="1" applyAlignment="1">
      <alignment horizontal="center"/>
    </xf>
    <xf numFmtId="169" fontId="2" fillId="0" borderId="11" xfId="2" applyNumberFormat="1" applyFont="1" applyBorder="1" applyAlignment="1">
      <alignment horizontal="center"/>
    </xf>
    <xf numFmtId="0" fontId="11" fillId="7" borderId="4" xfId="0" applyFont="1" applyFill="1" applyBorder="1" applyAlignment="1">
      <alignment horizontal="center"/>
    </xf>
    <xf numFmtId="0" fontId="11" fillId="7" borderId="9" xfId="0" applyFont="1" applyFill="1" applyBorder="1" applyAlignment="1">
      <alignment horizontal="center"/>
    </xf>
    <xf numFmtId="0" fontId="17" fillId="0" borderId="0" xfId="0" applyFont="1"/>
    <xf numFmtId="43" fontId="2" fillId="0" borderId="0" xfId="3" applyFont="1" applyBorder="1"/>
    <xf numFmtId="4" fontId="0" fillId="0" borderId="0" xfId="0" applyNumberFormat="1"/>
    <xf numFmtId="14" fontId="0" fillId="0" borderId="0" xfId="0" applyNumberFormat="1"/>
    <xf numFmtId="0" fontId="29" fillId="0" borderId="0" xfId="0" applyFont="1"/>
    <xf numFmtId="0" fontId="32" fillId="0" borderId="0" xfId="0" applyFont="1"/>
    <xf numFmtId="0" fontId="33" fillId="0" borderId="0" xfId="0" applyFont="1"/>
    <xf numFmtId="0" fontId="0" fillId="7" borderId="0" xfId="0" applyFill="1"/>
    <xf numFmtId="0" fontId="13" fillId="7" borderId="1" xfId="0" applyFont="1" applyFill="1" applyBorder="1"/>
    <xf numFmtId="0" fontId="0" fillId="11" borderId="0" xfId="0" applyFill="1"/>
    <xf numFmtId="0" fontId="34" fillId="9" borderId="2" xfId="0" applyFont="1" applyFill="1" applyBorder="1"/>
    <xf numFmtId="0" fontId="29" fillId="9" borderId="2" xfId="0" applyFont="1" applyFill="1" applyBorder="1"/>
    <xf numFmtId="179" fontId="29" fillId="9" borderId="2" xfId="0" applyNumberFormat="1" applyFont="1" applyFill="1" applyBorder="1" applyAlignment="1">
      <alignment horizontal="right"/>
    </xf>
    <xf numFmtId="0" fontId="34" fillId="9" borderId="0" xfId="0" applyFont="1" applyFill="1"/>
    <xf numFmtId="0" fontId="29" fillId="9" borderId="0" xfId="0" applyFont="1" applyFill="1"/>
    <xf numFmtId="180" fontId="29" fillId="9" borderId="0" xfId="0" applyNumberFormat="1" applyFont="1" applyFill="1"/>
    <xf numFmtId="0" fontId="29" fillId="9" borderId="0" xfId="0" applyFont="1" applyFill="1" applyAlignment="1">
      <alignment horizontal="right"/>
    </xf>
    <xf numFmtId="174" fontId="29" fillId="9" borderId="0" xfId="0" applyNumberFormat="1" applyFont="1" applyFill="1"/>
    <xf numFmtId="10" fontId="29" fillId="9" borderId="0" xfId="2" applyNumberFormat="1" applyFont="1" applyFill="1" applyBorder="1"/>
    <xf numFmtId="177" fontId="29" fillId="9" borderId="0" xfId="0" applyNumberFormat="1" applyFont="1" applyFill="1"/>
    <xf numFmtId="182" fontId="29" fillId="9" borderId="0" xfId="0" applyNumberFormat="1" applyFont="1" applyFill="1"/>
    <xf numFmtId="0" fontId="34" fillId="9" borderId="1" xfId="0" applyFont="1" applyFill="1" applyBorder="1"/>
    <xf numFmtId="0" fontId="29" fillId="9" borderId="1" xfId="0" applyFont="1" applyFill="1" applyBorder="1"/>
    <xf numFmtId="182" fontId="29" fillId="9" borderId="1" xfId="0" applyNumberFormat="1" applyFont="1" applyFill="1" applyBorder="1"/>
    <xf numFmtId="0" fontId="35" fillId="7" borderId="1" xfId="0" applyFont="1" applyFill="1" applyBorder="1"/>
    <xf numFmtId="0" fontId="36" fillId="7" borderId="1" xfId="0" applyFont="1" applyFill="1" applyBorder="1"/>
    <xf numFmtId="0" fontId="34" fillId="9" borderId="2" xfId="0" applyFont="1" applyFill="1" applyBorder="1" applyAlignment="1">
      <alignment horizontal="center"/>
    </xf>
    <xf numFmtId="0" fontId="34" fillId="9" borderId="1" xfId="0" applyFont="1" applyFill="1" applyBorder="1" applyAlignment="1">
      <alignment horizontal="left"/>
    </xf>
    <xf numFmtId="10" fontId="29" fillId="9" borderId="1" xfId="2" applyNumberFormat="1" applyFont="1" applyFill="1" applyBorder="1" applyAlignment="1">
      <alignment horizontal="center"/>
    </xf>
    <xf numFmtId="0" fontId="34" fillId="6" borderId="0" xfId="0" applyFont="1" applyFill="1"/>
    <xf numFmtId="0" fontId="34" fillId="6" borderId="2" xfId="0" applyFont="1" applyFill="1" applyBorder="1"/>
    <xf numFmtId="0" fontId="0" fillId="6" borderId="2" xfId="0" applyFill="1" applyBorder="1"/>
    <xf numFmtId="0" fontId="34" fillId="6" borderId="1" xfId="0" applyFont="1" applyFill="1" applyBorder="1"/>
    <xf numFmtId="180" fontId="29" fillId="6" borderId="0" xfId="0" applyNumberFormat="1" applyFont="1" applyFill="1" applyAlignment="1">
      <alignment horizontal="right"/>
    </xf>
    <xf numFmtId="0" fontId="38" fillId="6" borderId="2" xfId="0" applyFont="1" applyFill="1" applyBorder="1" applyAlignment="1">
      <alignment horizontal="right"/>
    </xf>
    <xf numFmtId="169" fontId="30" fillId="0" borderId="0" xfId="2" applyNumberFormat="1" applyFont="1" applyBorder="1" applyAlignment="1">
      <alignment horizontal="center"/>
    </xf>
    <xf numFmtId="0" fontId="29" fillId="0" borderId="19" xfId="0" applyFont="1" applyBorder="1"/>
    <xf numFmtId="180" fontId="29" fillId="0" borderId="19" xfId="0" applyNumberFormat="1" applyFont="1" applyBorder="1"/>
    <xf numFmtId="0" fontId="39" fillId="0" borderId="28" xfId="0" applyFont="1" applyBorder="1"/>
    <xf numFmtId="0" fontId="29" fillId="0" borderId="28" xfId="0" applyFont="1" applyBorder="1"/>
    <xf numFmtId="0" fontId="40" fillId="7" borderId="3" xfId="0" applyFont="1" applyFill="1" applyBorder="1"/>
    <xf numFmtId="0" fontId="36" fillId="7" borderId="3" xfId="0" applyFont="1" applyFill="1" applyBorder="1"/>
    <xf numFmtId="180" fontId="29" fillId="0" borderId="19" xfId="0" applyNumberFormat="1" applyFont="1" applyBorder="1" applyAlignment="1">
      <alignment horizontal="right"/>
    </xf>
    <xf numFmtId="169" fontId="39" fillId="0" borderId="28" xfId="2" applyNumberFormat="1" applyFont="1" applyBorder="1" applyAlignment="1">
      <alignment horizontal="right"/>
    </xf>
    <xf numFmtId="3" fontId="29" fillId="0" borderId="28" xfId="0" applyNumberFormat="1" applyFont="1" applyBorder="1" applyAlignment="1">
      <alignment horizontal="right"/>
    </xf>
    <xf numFmtId="180" fontId="29" fillId="0" borderId="28" xfId="0" applyNumberFormat="1" applyFont="1" applyBorder="1" applyAlignment="1">
      <alignment horizontal="right"/>
    </xf>
    <xf numFmtId="182" fontId="29" fillId="0" borderId="28" xfId="0" applyNumberFormat="1" applyFont="1" applyBorder="1" applyAlignment="1">
      <alignment horizontal="right"/>
    </xf>
    <xf numFmtId="0" fontId="41" fillId="0" borderId="0" xfId="0" applyFont="1"/>
    <xf numFmtId="0" fontId="42" fillId="0" borderId="0" xfId="0" applyFont="1"/>
    <xf numFmtId="0" fontId="34" fillId="0" borderId="0" xfId="0" applyFont="1"/>
    <xf numFmtId="0" fontId="42" fillId="0" borderId="2" xfId="0" applyFont="1" applyBorder="1"/>
    <xf numFmtId="0" fontId="43" fillId="6" borderId="2" xfId="0" applyFont="1" applyFill="1" applyBorder="1"/>
    <xf numFmtId="17" fontId="36" fillId="7" borderId="3" xfId="0" applyNumberFormat="1" applyFont="1" applyFill="1" applyBorder="1" applyAlignment="1">
      <alignment horizontal="right"/>
    </xf>
    <xf numFmtId="169" fontId="39" fillId="0" borderId="19" xfId="2" applyNumberFormat="1" applyFont="1" applyBorder="1"/>
    <xf numFmtId="172" fontId="29" fillId="0" borderId="28" xfId="0" applyNumberFormat="1" applyFont="1" applyBorder="1"/>
    <xf numFmtId="169" fontId="39" fillId="0" borderId="28" xfId="2" applyNumberFormat="1" applyFont="1" applyBorder="1"/>
    <xf numFmtId="0" fontId="40" fillId="7" borderId="1" xfId="0" applyFont="1" applyFill="1" applyBorder="1"/>
    <xf numFmtId="0" fontId="36" fillId="7" borderId="1" xfId="0" applyFont="1" applyFill="1" applyBorder="1" applyAlignment="1">
      <alignment horizontal="right"/>
    </xf>
    <xf numFmtId="1" fontId="39" fillId="0" borderId="28" xfId="2" applyNumberFormat="1" applyFont="1" applyBorder="1" applyAlignment="1">
      <alignment horizontal="right"/>
    </xf>
    <xf numFmtId="180" fontId="29" fillId="0" borderId="0" xfId="0" applyNumberFormat="1" applyFont="1" applyAlignment="1">
      <alignment horizontal="right"/>
    </xf>
    <xf numFmtId="0" fontId="0" fillId="0" borderId="0" xfId="0" applyAlignment="1">
      <alignment horizontal="left" vertical="center" indent="1"/>
    </xf>
    <xf numFmtId="169" fontId="38" fillId="6" borderId="1" xfId="2" applyNumberFormat="1" applyFont="1" applyFill="1" applyBorder="1" applyAlignment="1">
      <alignment horizontal="right"/>
    </xf>
    <xf numFmtId="0" fontId="38" fillId="0" borderId="0" xfId="0" applyFont="1" applyAlignment="1">
      <alignment vertical="center"/>
    </xf>
    <xf numFmtId="0" fontId="34" fillId="0" borderId="0" xfId="0" applyFont="1" applyAlignment="1">
      <alignment horizontal="left"/>
    </xf>
    <xf numFmtId="0" fontId="0" fillId="9" borderId="0" xfId="0" applyFill="1"/>
    <xf numFmtId="0" fontId="0" fillId="0" borderId="29" xfId="0" applyBorder="1"/>
    <xf numFmtId="0" fontId="46" fillId="6" borderId="2" xfId="0" applyFont="1" applyFill="1" applyBorder="1" applyAlignment="1">
      <alignment horizontal="right"/>
    </xf>
    <xf numFmtId="0" fontId="31" fillId="9" borderId="0" xfId="0" applyFont="1" applyFill="1"/>
    <xf numFmtId="0" fontId="28" fillId="9" borderId="0" xfId="0" applyFont="1" applyFill="1"/>
    <xf numFmtId="0" fontId="2" fillId="9" borderId="0" xfId="0" applyFont="1" applyFill="1"/>
    <xf numFmtId="0" fontId="29" fillId="9" borderId="0" xfId="0" applyFont="1" applyFill="1" applyAlignment="1">
      <alignment vertical="center"/>
    </xf>
    <xf numFmtId="0" fontId="44" fillId="6" borderId="29" xfId="0" applyFont="1" applyFill="1" applyBorder="1" applyAlignment="1">
      <alignment horizontal="right"/>
    </xf>
    <xf numFmtId="0" fontId="46" fillId="6" borderId="29" xfId="7" applyFont="1" applyFill="1" applyBorder="1" applyAlignment="1">
      <alignment horizontal="right"/>
    </xf>
    <xf numFmtId="0" fontId="29" fillId="0" borderId="19" xfId="0" applyFont="1" applyBorder="1" applyAlignment="1">
      <alignment horizontal="right"/>
    </xf>
    <xf numFmtId="0" fontId="29" fillId="0" borderId="28" xfId="0" applyFont="1" applyBorder="1" applyAlignment="1">
      <alignment horizontal="right"/>
    </xf>
    <xf numFmtId="9" fontId="29" fillId="0" borderId="28" xfId="0" applyNumberFormat="1" applyFont="1" applyBorder="1" applyAlignment="1">
      <alignment horizontal="right"/>
    </xf>
    <xf numFmtId="0" fontId="29" fillId="0" borderId="30" xfId="0" applyFont="1" applyBorder="1"/>
    <xf numFmtId="169" fontId="29" fillId="0" borderId="30" xfId="0" applyNumberFormat="1" applyFont="1" applyBorder="1" applyAlignment="1">
      <alignment horizontal="right"/>
    </xf>
    <xf numFmtId="0" fontId="34" fillId="9" borderId="19" xfId="0" applyFont="1" applyFill="1" applyBorder="1"/>
    <xf numFmtId="0" fontId="29" fillId="9" borderId="19" xfId="0" applyFont="1" applyFill="1" applyBorder="1"/>
    <xf numFmtId="0" fontId="34" fillId="9" borderId="28" xfId="0" applyFont="1" applyFill="1" applyBorder="1"/>
    <xf numFmtId="0" fontId="29" fillId="9" borderId="28" xfId="0" applyFont="1" applyFill="1" applyBorder="1"/>
    <xf numFmtId="10" fontId="29" fillId="9" borderId="28" xfId="2" applyNumberFormat="1" applyFont="1" applyFill="1" applyBorder="1"/>
    <xf numFmtId="0" fontId="34" fillId="9" borderId="30" xfId="0" applyFont="1" applyFill="1" applyBorder="1"/>
    <xf numFmtId="0" fontId="29" fillId="9" borderId="30" xfId="0" applyFont="1" applyFill="1" applyBorder="1"/>
    <xf numFmtId="10" fontId="29" fillId="9" borderId="19" xfId="0" applyNumberFormat="1" applyFont="1" applyFill="1" applyBorder="1"/>
    <xf numFmtId="10" fontId="29" fillId="9" borderId="30" xfId="2" applyNumberFormat="1" applyFont="1" applyFill="1" applyBorder="1"/>
    <xf numFmtId="49" fontId="34" fillId="0" borderId="0" xfId="0" applyNumberFormat="1" applyFont="1" applyAlignment="1">
      <alignment horizontal="center"/>
    </xf>
    <xf numFmtId="0" fontId="36" fillId="7" borderId="1" xfId="0" applyFont="1" applyFill="1" applyBorder="1" applyAlignment="1">
      <alignment horizontal="right"/>
    </xf>
    <xf numFmtId="0" fontId="2" fillId="4" borderId="1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43" fontId="3" fillId="0" borderId="0" xfId="6" applyNumberFormat="1" applyBorder="1" applyAlignment="1" applyProtection="1">
      <alignment horizontal="center"/>
    </xf>
    <xf numFmtId="43" fontId="5" fillId="2" borderId="0" xfId="5" applyNumberFormat="1" applyFont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6" borderId="8" xfId="0" applyFont="1" applyFill="1" applyBorder="1" applyAlignment="1">
      <alignment horizontal="center"/>
    </xf>
    <xf numFmtId="0" fontId="2" fillId="8" borderId="5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2" fillId="8" borderId="8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2" fillId="6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 vertical="center" textRotation="90" wrapText="1"/>
    </xf>
    <xf numFmtId="0" fontId="11" fillId="7" borderId="0" xfId="0" applyFont="1" applyFill="1" applyAlignment="1">
      <alignment horizontal="center"/>
    </xf>
    <xf numFmtId="0" fontId="11" fillId="10" borderId="4" xfId="0" applyFont="1" applyFill="1" applyBorder="1" applyAlignment="1">
      <alignment horizontal="center"/>
    </xf>
    <xf numFmtId="0" fontId="11" fillId="10" borderId="0" xfId="0" applyFont="1" applyFill="1" applyAlignment="1">
      <alignment horizontal="center"/>
    </xf>
    <xf numFmtId="0" fontId="11" fillId="10" borderId="9" xfId="0" applyFont="1" applyFill="1" applyBorder="1" applyAlignment="1">
      <alignment horizontal="center"/>
    </xf>
    <xf numFmtId="172" fontId="29" fillId="0" borderId="30" xfId="0" applyNumberFormat="1" applyFont="1" applyBorder="1"/>
    <xf numFmtId="169" fontId="39" fillId="0" borderId="30" xfId="2" applyNumberFormat="1" applyFont="1" applyBorder="1"/>
    <xf numFmtId="0" fontId="39" fillId="0" borderId="30" xfId="0" applyFont="1" applyBorder="1"/>
    <xf numFmtId="169" fontId="39" fillId="0" borderId="30" xfId="2" applyNumberFormat="1" applyFont="1" applyBorder="1" applyAlignment="1">
      <alignment horizontal="right"/>
    </xf>
    <xf numFmtId="169" fontId="39" fillId="0" borderId="30" xfId="2" applyNumberFormat="1" applyFont="1" applyBorder="1" applyAlignment="1">
      <alignment horizontal="right"/>
    </xf>
    <xf numFmtId="169" fontId="39" fillId="0" borderId="19" xfId="2" applyNumberFormat="1" applyFont="1" applyBorder="1"/>
    <xf numFmtId="169" fontId="39" fillId="0" borderId="28" xfId="2" applyNumberFormat="1" applyFont="1" applyBorder="1"/>
    <xf numFmtId="177" fontId="29" fillId="0" borderId="28" xfId="0" applyNumberFormat="1" applyFont="1" applyBorder="1"/>
    <xf numFmtId="177" fontId="29" fillId="0" borderId="28" xfId="0" applyNumberFormat="1" applyFont="1" applyBorder="1"/>
    <xf numFmtId="177" fontId="29" fillId="0" borderId="30" xfId="0" applyNumberFormat="1" applyFont="1" applyBorder="1"/>
    <xf numFmtId="177" fontId="29" fillId="0" borderId="30" xfId="0" applyNumberFormat="1" applyFont="1" applyBorder="1"/>
  </cellXfs>
  <cellStyles count="8">
    <cellStyle name="Accent6 2" xfId="5" xr:uid="{CD15B69E-FB53-42F3-81A4-9D4EAB970ADE}"/>
    <cellStyle name="Comma" xfId="1" builtinId="3"/>
    <cellStyle name="Comma 2" xfId="3" xr:uid="{5F43B5FB-39F8-409E-81DF-822053529D20}"/>
    <cellStyle name="Hyperlink" xfId="7" builtinId="8"/>
    <cellStyle name="Hyperlink 2" xfId="6" xr:uid="{C3549D44-FCBD-4F95-94DF-5E7AA700E56F}"/>
    <cellStyle name="Normal" xfId="0" builtinId="0"/>
    <cellStyle name="Normal 3" xfId="4" xr:uid="{585A7EE1-7EBC-42B7-89B2-7DB90C3EEF33}"/>
    <cellStyle name="Percent" xfId="2" builtinId="5"/>
  </cellStyles>
  <dxfs count="1">
    <dxf>
      <font>
        <b/>
        <i val="0"/>
        <color theme="0"/>
      </font>
      <fill>
        <patternFill>
          <bgColor theme="5"/>
        </patternFill>
      </fill>
    </dxf>
  </dxfs>
  <tableStyles count="0" defaultTableStyle="TableStyleMedium2" defaultPivotStyle="PivotStyleLight16"/>
  <colors>
    <mruColors>
      <color rgb="FF141843"/>
      <color rgb="FF990033"/>
      <color rgb="FF141836"/>
      <color rgb="FFFFFF99"/>
      <color rgb="FFF9EE2F"/>
      <color rgb="FFFF6600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301547619047618"/>
          <c:y val="6.4889072082861377E-2"/>
          <c:w val="0.7515480158730159"/>
          <c:h val="0.8050385194176595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'Data Sheet'!$A$135</c:f>
              <c:strCache>
                <c:ptCount val="1"/>
                <c:pt idx="0">
                  <c:v> Cement 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solidFill>
                <a:schemeClr val="dk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'Data Sheet'!$B$133:$F$133</c:f>
              <c:numCache>
                <c:formatCode>yyyy"A"</c:formatCode>
                <c:ptCount val="5"/>
                <c:pt idx="0">
                  <c:v>44286</c:v>
                </c:pt>
                <c:pt idx="1">
                  <c:v>44651</c:v>
                </c:pt>
                <c:pt idx="2">
                  <c:v>45016</c:v>
                </c:pt>
                <c:pt idx="3">
                  <c:v>45382</c:v>
                </c:pt>
                <c:pt idx="4">
                  <c:v>45747</c:v>
                </c:pt>
              </c:numCache>
            </c:numRef>
          </c:cat>
          <c:val>
            <c:numRef>
              <c:f>'Data Sheet'!$B$135:$F$135</c:f>
              <c:numCache>
                <c:formatCode>_(* #,##0.00_);_(* \(#,##0.00\);_(* "-"??_);_(@_)</c:formatCode>
                <c:ptCount val="5"/>
                <c:pt idx="0">
                  <c:v>82.72</c:v>
                </c:pt>
                <c:pt idx="1">
                  <c:v>90.36</c:v>
                </c:pt>
                <c:pt idx="2">
                  <c:v>103.13</c:v>
                </c:pt>
                <c:pt idx="3">
                  <c:v>115.84</c:v>
                </c:pt>
                <c:pt idx="4">
                  <c:v>131.63999999999999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20-4DE7-ADFF-BD0C29D3A99F}"/>
            </c:ext>
          </c:extLst>
        </c:ser>
        <c:ser>
          <c:idx val="1"/>
          <c:order val="1"/>
          <c:tx>
            <c:strRef>
              <c:f>'Data Sheet'!$A$136</c:f>
              <c:strCache>
                <c:ptCount val="1"/>
                <c:pt idx="0">
                  <c:v> Clinker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dk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'Data Sheet'!$B$133:$F$133</c:f>
              <c:numCache>
                <c:formatCode>yyyy"A"</c:formatCode>
                <c:ptCount val="5"/>
                <c:pt idx="0">
                  <c:v>44286</c:v>
                </c:pt>
                <c:pt idx="1">
                  <c:v>44651</c:v>
                </c:pt>
                <c:pt idx="2">
                  <c:v>45016</c:v>
                </c:pt>
                <c:pt idx="3">
                  <c:v>45382</c:v>
                </c:pt>
                <c:pt idx="4">
                  <c:v>45747</c:v>
                </c:pt>
              </c:numCache>
            </c:numRef>
          </c:cat>
          <c:val>
            <c:numRef>
              <c:f>'Data Sheet'!$B$136:$F$136</c:f>
              <c:numCache>
                <c:formatCode>_(* #,##0.00_);_(* \(#,##0.00\);_(* "-"??_);_(@_)</c:formatCode>
                <c:ptCount val="5"/>
                <c:pt idx="0">
                  <c:v>61.08</c:v>
                </c:pt>
                <c:pt idx="1">
                  <c:v>67.849999999999994</c:v>
                </c:pt>
                <c:pt idx="2">
                  <c:v>74.14</c:v>
                </c:pt>
                <c:pt idx="3">
                  <c:v>80.92</c:v>
                </c:pt>
                <c:pt idx="4">
                  <c:v>92.48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20-4DE7-ADFF-BD0C29D3A9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0"/>
        <c:overlap val="-27"/>
        <c:axId val="72101824"/>
        <c:axId val="72111904"/>
      </c:barChart>
      <c:dateAx>
        <c:axId val="72101824"/>
        <c:scaling>
          <c:orientation val="minMax"/>
        </c:scaling>
        <c:delete val="0"/>
        <c:axPos val="l"/>
        <c:numFmt formatCode="yyyy&quot;A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11904"/>
        <c:crosses val="autoZero"/>
        <c:auto val="1"/>
        <c:lblOffset val="100"/>
        <c:baseTimeUnit val="years"/>
      </c:dateAx>
      <c:valAx>
        <c:axId val="72111904"/>
        <c:scaling>
          <c:orientation val="minMax"/>
        </c:scaling>
        <c:delete val="1"/>
        <c:axPos val="b"/>
        <c:numFmt formatCode="_(* #,##0.00_);_(* \(#,##0.00\);_(* &quot;-&quot;??_);_(@_)" sourceLinked="1"/>
        <c:majorTickMark val="none"/>
        <c:minorTickMark val="none"/>
        <c:tickLblPos val="nextTo"/>
        <c:crossAx val="72101824"/>
        <c:crosses val="autoZero"/>
        <c:crossBetween val="between"/>
      </c:valAx>
      <c:spPr>
        <a:noFill/>
        <a:ln>
          <a:solidFill>
            <a:schemeClr val="bg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9700854700854698E-2"/>
          <c:y val="8.6921083495882609E-2"/>
          <c:w val="0.88059829059829065"/>
          <c:h val="0.7669855432256619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dk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dk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E9F-4F3F-AC5A-72AA20C6193D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dk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E9F-4F3F-AC5A-72AA20C6193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Inc_Stat!$K$8:$O$8</c:f>
              <c:numCache>
                <c:formatCode>yyyy"A"</c:formatCode>
                <c:ptCount val="5"/>
                <c:pt idx="0">
                  <c:v>44286</c:v>
                </c:pt>
                <c:pt idx="1">
                  <c:v>44651</c:v>
                </c:pt>
                <c:pt idx="2">
                  <c:v>45016</c:v>
                </c:pt>
                <c:pt idx="3">
                  <c:v>45382</c:v>
                </c:pt>
                <c:pt idx="4">
                  <c:v>45747</c:v>
                </c:pt>
              </c:numCache>
            </c:numRef>
          </c:cat>
          <c:val>
            <c:numRef>
              <c:f>Inc_Stat!$K$9:$O$9</c:f>
              <c:numCache>
                <c:formatCode>#,##0;\(#,##0\);\ \-\-</c:formatCode>
                <c:ptCount val="5"/>
                <c:pt idx="0">
                  <c:v>44725.8</c:v>
                </c:pt>
                <c:pt idx="1">
                  <c:v>52598.83</c:v>
                </c:pt>
                <c:pt idx="2">
                  <c:v>63239.98</c:v>
                </c:pt>
                <c:pt idx="3">
                  <c:v>70908.14</c:v>
                </c:pt>
                <c:pt idx="4">
                  <c:v>75955.13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E9F-4F3F-AC5A-72AA20C619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0"/>
        <c:overlap val="-27"/>
        <c:axId val="72165184"/>
        <c:axId val="72178624"/>
      </c:barChart>
      <c:dateAx>
        <c:axId val="72165184"/>
        <c:scaling>
          <c:orientation val="minMax"/>
        </c:scaling>
        <c:delete val="0"/>
        <c:axPos val="b"/>
        <c:numFmt formatCode="yyyy&quot;A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78624"/>
        <c:crosses val="autoZero"/>
        <c:auto val="1"/>
        <c:lblOffset val="100"/>
        <c:baseTimeUnit val="years"/>
      </c:dateAx>
      <c:valAx>
        <c:axId val="72178624"/>
        <c:scaling>
          <c:orientation val="minMax"/>
        </c:scaling>
        <c:delete val="1"/>
        <c:axPos val="l"/>
        <c:numFmt formatCode="#,##0;\(#,##0\);\ \-\-" sourceLinked="1"/>
        <c:majorTickMark val="none"/>
        <c:minorTickMark val="none"/>
        <c:tickLblPos val="nextTo"/>
        <c:crossAx val="72165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772128060263654E-2"/>
          <c:y val="8.8705678115858375E-2"/>
          <c:w val="0.89237288135593207"/>
          <c:h val="0.754137322993438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dk1"/>
              </a:solidFill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dk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7B6-45C3-B8F0-A48365AB5FC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Ratio!$K$7:$O$7</c:f>
              <c:numCache>
                <c:formatCode>yyyy"A"</c:formatCode>
                <c:ptCount val="5"/>
                <c:pt idx="0">
                  <c:v>44286</c:v>
                </c:pt>
                <c:pt idx="1">
                  <c:v>44651</c:v>
                </c:pt>
                <c:pt idx="2">
                  <c:v>45016</c:v>
                </c:pt>
                <c:pt idx="3">
                  <c:v>45382</c:v>
                </c:pt>
                <c:pt idx="4">
                  <c:v>45747</c:v>
                </c:pt>
              </c:numCache>
            </c:numRef>
          </c:cat>
          <c:val>
            <c:numRef>
              <c:f>Ratio!$K$13:$O$13</c:f>
              <c:numCache>
                <c:formatCode>0.0%</c:formatCode>
                <c:ptCount val="5"/>
                <c:pt idx="0">
                  <c:v>0.10964040939289202</c:v>
                </c:pt>
                <c:pt idx="1">
                  <c:v>0.1321462143456355</c:v>
                </c:pt>
                <c:pt idx="2">
                  <c:v>8.405575086323791E-2</c:v>
                </c:pt>
                <c:pt idx="3">
                  <c:v>0.10704415990840058</c:v>
                </c:pt>
                <c:pt idx="4">
                  <c:v>7.980706797948775E-2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B6-45C3-B8F0-A48365AB5F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213664"/>
        <c:axId val="72214624"/>
      </c:barChart>
      <c:dateAx>
        <c:axId val="72213664"/>
        <c:scaling>
          <c:orientation val="minMax"/>
        </c:scaling>
        <c:delete val="0"/>
        <c:axPos val="b"/>
        <c:numFmt formatCode="yyyy&quot;A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14624"/>
        <c:crosses val="autoZero"/>
        <c:auto val="1"/>
        <c:lblOffset val="100"/>
        <c:baseTimeUnit val="years"/>
      </c:dateAx>
      <c:valAx>
        <c:axId val="72214624"/>
        <c:scaling>
          <c:orientation val="minMax"/>
        </c:scaling>
        <c:delete val="1"/>
        <c:axPos val="l"/>
        <c:numFmt formatCode="0.0%" sourceLinked="1"/>
        <c:majorTickMark val="none"/>
        <c:minorTickMark val="none"/>
        <c:tickLblPos val="nextTo"/>
        <c:crossAx val="72213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185208527958411E-2"/>
          <c:y val="4.6763958612055526E-2"/>
          <c:w val="0.90962958294408314"/>
          <c:h val="0.801344003534913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A29-4ED1-90FD-DACE95C8D56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Ratio!$K$7:$O$7</c:f>
              <c:numCache>
                <c:formatCode>yyyy"A"</c:formatCode>
                <c:ptCount val="5"/>
                <c:pt idx="0">
                  <c:v>44286</c:v>
                </c:pt>
                <c:pt idx="1">
                  <c:v>44651</c:v>
                </c:pt>
                <c:pt idx="2">
                  <c:v>45016</c:v>
                </c:pt>
                <c:pt idx="3">
                  <c:v>45382</c:v>
                </c:pt>
                <c:pt idx="4">
                  <c:v>45747</c:v>
                </c:pt>
              </c:numCache>
            </c:numRef>
          </c:cat>
          <c:val>
            <c:numRef>
              <c:f>Ratio!$K$15:$O$15</c:f>
              <c:numCache>
                <c:formatCode>0.0%</c:formatCode>
                <c:ptCount val="5"/>
                <c:pt idx="0">
                  <c:v>6.8503436960764885E-2</c:v>
                </c:pt>
                <c:pt idx="1">
                  <c:v>9.9994448778731315E-2</c:v>
                </c:pt>
                <c:pt idx="2">
                  <c:v>6.4737931523357231E-2</c:v>
                </c:pt>
                <c:pt idx="3">
                  <c:v>8.3700097370983426E-2</c:v>
                </c:pt>
                <c:pt idx="4">
                  <c:v>5.3017334523418086E-2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29-4ED1-90FD-DACE95C8D5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0"/>
        <c:overlap val="-27"/>
        <c:axId val="72212704"/>
        <c:axId val="72219424"/>
      </c:barChart>
      <c:dateAx>
        <c:axId val="72212704"/>
        <c:scaling>
          <c:orientation val="minMax"/>
        </c:scaling>
        <c:delete val="0"/>
        <c:axPos val="b"/>
        <c:numFmt formatCode="yyyy&quot;A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19424"/>
        <c:crosses val="autoZero"/>
        <c:auto val="1"/>
        <c:lblOffset val="100"/>
        <c:baseTimeUnit val="years"/>
      </c:dateAx>
      <c:valAx>
        <c:axId val="72219424"/>
        <c:scaling>
          <c:orientation val="minMax"/>
        </c:scaling>
        <c:delete val="1"/>
        <c:axPos val="l"/>
        <c:numFmt formatCode="0.0%" sourceLinked="1"/>
        <c:majorTickMark val="none"/>
        <c:minorTickMark val="none"/>
        <c:tickLblPos val="nextTo"/>
        <c:crossAx val="7221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StockData!$C$2</c:f>
              <c:strCache>
                <c:ptCount val="1"/>
                <c:pt idx="0">
                  <c:v>UltraTech Cement</c:v>
                </c:pt>
              </c:strCache>
            </c:strRef>
          </c:tx>
          <c:spPr>
            <a:ln w="28575" cap="rnd">
              <a:solidFill>
                <a:srgbClr val="141836"/>
              </a:solidFill>
              <a:round/>
            </a:ln>
            <a:effectLst/>
          </c:spPr>
          <c:marker>
            <c:symbol val="none"/>
          </c:marker>
          <c:cat>
            <c:numRef>
              <c:f>StockData!$B$3:$B$268</c:f>
              <c:numCache>
                <c:formatCode>m/d/yyyy</c:formatCode>
                <c:ptCount val="266"/>
                <c:pt idx="0">
                  <c:v>46134</c:v>
                </c:pt>
                <c:pt idx="1">
                  <c:v>46133</c:v>
                </c:pt>
                <c:pt idx="2">
                  <c:v>46132</c:v>
                </c:pt>
                <c:pt idx="3">
                  <c:v>46129</c:v>
                </c:pt>
                <c:pt idx="4">
                  <c:v>46128</c:v>
                </c:pt>
                <c:pt idx="5">
                  <c:v>46127</c:v>
                </c:pt>
                <c:pt idx="6">
                  <c:v>46125</c:v>
                </c:pt>
                <c:pt idx="7">
                  <c:v>46122</c:v>
                </c:pt>
                <c:pt idx="8">
                  <c:v>46121</c:v>
                </c:pt>
                <c:pt idx="9">
                  <c:v>46120</c:v>
                </c:pt>
                <c:pt idx="10">
                  <c:v>46119</c:v>
                </c:pt>
                <c:pt idx="11">
                  <c:v>46118</c:v>
                </c:pt>
                <c:pt idx="12">
                  <c:v>46114</c:v>
                </c:pt>
                <c:pt idx="13">
                  <c:v>46113</c:v>
                </c:pt>
                <c:pt idx="14">
                  <c:v>46111</c:v>
                </c:pt>
                <c:pt idx="15">
                  <c:v>46108</c:v>
                </c:pt>
                <c:pt idx="16">
                  <c:v>46106</c:v>
                </c:pt>
                <c:pt idx="17">
                  <c:v>46105</c:v>
                </c:pt>
                <c:pt idx="18">
                  <c:v>46104</c:v>
                </c:pt>
                <c:pt idx="19">
                  <c:v>46101</c:v>
                </c:pt>
                <c:pt idx="20">
                  <c:v>46100</c:v>
                </c:pt>
                <c:pt idx="21">
                  <c:v>46099</c:v>
                </c:pt>
                <c:pt idx="22">
                  <c:v>46098</c:v>
                </c:pt>
                <c:pt idx="23">
                  <c:v>46097</c:v>
                </c:pt>
                <c:pt idx="24">
                  <c:v>46094</c:v>
                </c:pt>
                <c:pt idx="25">
                  <c:v>46093</c:v>
                </c:pt>
                <c:pt idx="26">
                  <c:v>46092</c:v>
                </c:pt>
                <c:pt idx="27">
                  <c:v>46091</c:v>
                </c:pt>
                <c:pt idx="28">
                  <c:v>46090</c:v>
                </c:pt>
                <c:pt idx="29">
                  <c:v>46087</c:v>
                </c:pt>
                <c:pt idx="30">
                  <c:v>46086</c:v>
                </c:pt>
                <c:pt idx="31">
                  <c:v>46085</c:v>
                </c:pt>
                <c:pt idx="32">
                  <c:v>46083</c:v>
                </c:pt>
                <c:pt idx="33">
                  <c:v>46080</c:v>
                </c:pt>
                <c:pt idx="34">
                  <c:v>46079</c:v>
                </c:pt>
                <c:pt idx="35">
                  <c:v>46078</c:v>
                </c:pt>
                <c:pt idx="36">
                  <c:v>46077</c:v>
                </c:pt>
                <c:pt idx="37">
                  <c:v>46076</c:v>
                </c:pt>
                <c:pt idx="38">
                  <c:v>46073</c:v>
                </c:pt>
                <c:pt idx="39">
                  <c:v>46072</c:v>
                </c:pt>
                <c:pt idx="40">
                  <c:v>46071</c:v>
                </c:pt>
                <c:pt idx="41">
                  <c:v>46070</c:v>
                </c:pt>
                <c:pt idx="42">
                  <c:v>46069</c:v>
                </c:pt>
                <c:pt idx="43">
                  <c:v>46066</c:v>
                </c:pt>
                <c:pt idx="44">
                  <c:v>46065</c:v>
                </c:pt>
                <c:pt idx="45">
                  <c:v>46064</c:v>
                </c:pt>
                <c:pt idx="46">
                  <c:v>46063</c:v>
                </c:pt>
                <c:pt idx="47">
                  <c:v>46062</c:v>
                </c:pt>
                <c:pt idx="48">
                  <c:v>46059</c:v>
                </c:pt>
                <c:pt idx="49">
                  <c:v>46058</c:v>
                </c:pt>
                <c:pt idx="50">
                  <c:v>46057</c:v>
                </c:pt>
                <c:pt idx="51">
                  <c:v>46056</c:v>
                </c:pt>
                <c:pt idx="52">
                  <c:v>46055</c:v>
                </c:pt>
                <c:pt idx="53">
                  <c:v>46054</c:v>
                </c:pt>
                <c:pt idx="54">
                  <c:v>46052</c:v>
                </c:pt>
                <c:pt idx="55">
                  <c:v>46051</c:v>
                </c:pt>
                <c:pt idx="56">
                  <c:v>46050</c:v>
                </c:pt>
                <c:pt idx="57">
                  <c:v>46049</c:v>
                </c:pt>
                <c:pt idx="58">
                  <c:v>46045</c:v>
                </c:pt>
                <c:pt idx="59">
                  <c:v>46044</c:v>
                </c:pt>
                <c:pt idx="60">
                  <c:v>46043</c:v>
                </c:pt>
                <c:pt idx="61">
                  <c:v>46042</c:v>
                </c:pt>
                <c:pt idx="62">
                  <c:v>46041</c:v>
                </c:pt>
                <c:pt idx="63">
                  <c:v>46038</c:v>
                </c:pt>
                <c:pt idx="64">
                  <c:v>46036</c:v>
                </c:pt>
                <c:pt idx="65">
                  <c:v>46035</c:v>
                </c:pt>
                <c:pt idx="66">
                  <c:v>46034</c:v>
                </c:pt>
                <c:pt idx="67">
                  <c:v>46031</c:v>
                </c:pt>
                <c:pt idx="68">
                  <c:v>46030</c:v>
                </c:pt>
                <c:pt idx="69">
                  <c:v>46029</c:v>
                </c:pt>
                <c:pt idx="70">
                  <c:v>46028</c:v>
                </c:pt>
                <c:pt idx="71">
                  <c:v>46027</c:v>
                </c:pt>
                <c:pt idx="72">
                  <c:v>46024</c:v>
                </c:pt>
                <c:pt idx="73">
                  <c:v>46023</c:v>
                </c:pt>
                <c:pt idx="74">
                  <c:v>46022</c:v>
                </c:pt>
                <c:pt idx="75">
                  <c:v>46021</c:v>
                </c:pt>
                <c:pt idx="76">
                  <c:v>46020</c:v>
                </c:pt>
                <c:pt idx="77">
                  <c:v>46017</c:v>
                </c:pt>
                <c:pt idx="78">
                  <c:v>46015</c:v>
                </c:pt>
                <c:pt idx="79">
                  <c:v>46014</c:v>
                </c:pt>
                <c:pt idx="80">
                  <c:v>46013</c:v>
                </c:pt>
                <c:pt idx="81">
                  <c:v>46010</c:v>
                </c:pt>
                <c:pt idx="82">
                  <c:v>46009</c:v>
                </c:pt>
                <c:pt idx="83">
                  <c:v>46008</c:v>
                </c:pt>
                <c:pt idx="84">
                  <c:v>46007</c:v>
                </c:pt>
                <c:pt idx="85">
                  <c:v>46006</c:v>
                </c:pt>
                <c:pt idx="86">
                  <c:v>46003</c:v>
                </c:pt>
                <c:pt idx="87">
                  <c:v>46002</c:v>
                </c:pt>
                <c:pt idx="88">
                  <c:v>46001</c:v>
                </c:pt>
                <c:pt idx="89">
                  <c:v>46000</c:v>
                </c:pt>
                <c:pt idx="90">
                  <c:v>45999</c:v>
                </c:pt>
                <c:pt idx="91">
                  <c:v>45996</c:v>
                </c:pt>
                <c:pt idx="92">
                  <c:v>45995</c:v>
                </c:pt>
                <c:pt idx="93">
                  <c:v>45994</c:v>
                </c:pt>
                <c:pt idx="94">
                  <c:v>45993</c:v>
                </c:pt>
                <c:pt idx="95">
                  <c:v>45992</c:v>
                </c:pt>
                <c:pt idx="96">
                  <c:v>45989</c:v>
                </c:pt>
                <c:pt idx="97">
                  <c:v>45988</c:v>
                </c:pt>
                <c:pt idx="98">
                  <c:v>45987</c:v>
                </c:pt>
                <c:pt idx="99">
                  <c:v>45986</c:v>
                </c:pt>
                <c:pt idx="100">
                  <c:v>45985</c:v>
                </c:pt>
                <c:pt idx="101">
                  <c:v>45982</c:v>
                </c:pt>
                <c:pt idx="102">
                  <c:v>45981</c:v>
                </c:pt>
                <c:pt idx="103">
                  <c:v>45980</c:v>
                </c:pt>
                <c:pt idx="104">
                  <c:v>45979</c:v>
                </c:pt>
                <c:pt idx="105">
                  <c:v>45978</c:v>
                </c:pt>
                <c:pt idx="106">
                  <c:v>45975</c:v>
                </c:pt>
                <c:pt idx="107">
                  <c:v>45974</c:v>
                </c:pt>
                <c:pt idx="108">
                  <c:v>45973</c:v>
                </c:pt>
                <c:pt idx="109">
                  <c:v>45972</c:v>
                </c:pt>
                <c:pt idx="110">
                  <c:v>45971</c:v>
                </c:pt>
                <c:pt idx="111">
                  <c:v>45968</c:v>
                </c:pt>
                <c:pt idx="112">
                  <c:v>45967</c:v>
                </c:pt>
                <c:pt idx="113">
                  <c:v>45965</c:v>
                </c:pt>
                <c:pt idx="114">
                  <c:v>45964</c:v>
                </c:pt>
                <c:pt idx="115">
                  <c:v>45961</c:v>
                </c:pt>
                <c:pt idx="116">
                  <c:v>45960</c:v>
                </c:pt>
                <c:pt idx="117">
                  <c:v>45959</c:v>
                </c:pt>
                <c:pt idx="118">
                  <c:v>45958</c:v>
                </c:pt>
                <c:pt idx="119">
                  <c:v>45957</c:v>
                </c:pt>
                <c:pt idx="120">
                  <c:v>45954</c:v>
                </c:pt>
                <c:pt idx="121">
                  <c:v>45953</c:v>
                </c:pt>
                <c:pt idx="122">
                  <c:v>45951</c:v>
                </c:pt>
                <c:pt idx="123">
                  <c:v>45950</c:v>
                </c:pt>
                <c:pt idx="124">
                  <c:v>45947</c:v>
                </c:pt>
                <c:pt idx="125">
                  <c:v>45946</c:v>
                </c:pt>
                <c:pt idx="126">
                  <c:v>45945</c:v>
                </c:pt>
                <c:pt idx="127">
                  <c:v>45944</c:v>
                </c:pt>
                <c:pt idx="128">
                  <c:v>45943</c:v>
                </c:pt>
                <c:pt idx="129">
                  <c:v>45940</c:v>
                </c:pt>
                <c:pt idx="130">
                  <c:v>45939</c:v>
                </c:pt>
                <c:pt idx="131">
                  <c:v>45938</c:v>
                </c:pt>
                <c:pt idx="132">
                  <c:v>45937</c:v>
                </c:pt>
                <c:pt idx="133">
                  <c:v>45936</c:v>
                </c:pt>
                <c:pt idx="134">
                  <c:v>45933</c:v>
                </c:pt>
                <c:pt idx="135">
                  <c:v>45931</c:v>
                </c:pt>
                <c:pt idx="136">
                  <c:v>45930</c:v>
                </c:pt>
                <c:pt idx="137">
                  <c:v>45929</c:v>
                </c:pt>
                <c:pt idx="138">
                  <c:v>45926</c:v>
                </c:pt>
                <c:pt idx="139">
                  <c:v>45925</c:v>
                </c:pt>
                <c:pt idx="140">
                  <c:v>45924</c:v>
                </c:pt>
                <c:pt idx="141">
                  <c:v>45923</c:v>
                </c:pt>
                <c:pt idx="142">
                  <c:v>45922</c:v>
                </c:pt>
                <c:pt idx="143">
                  <c:v>45919</c:v>
                </c:pt>
                <c:pt idx="144">
                  <c:v>45918</c:v>
                </c:pt>
                <c:pt idx="145">
                  <c:v>45917</c:v>
                </c:pt>
                <c:pt idx="146">
                  <c:v>45916</c:v>
                </c:pt>
                <c:pt idx="147">
                  <c:v>45915</c:v>
                </c:pt>
                <c:pt idx="148">
                  <c:v>45912</c:v>
                </c:pt>
                <c:pt idx="149">
                  <c:v>45911</c:v>
                </c:pt>
                <c:pt idx="150">
                  <c:v>45910</c:v>
                </c:pt>
                <c:pt idx="151">
                  <c:v>45909</c:v>
                </c:pt>
                <c:pt idx="152">
                  <c:v>45908</c:v>
                </c:pt>
                <c:pt idx="153">
                  <c:v>45905</c:v>
                </c:pt>
                <c:pt idx="154">
                  <c:v>45904</c:v>
                </c:pt>
                <c:pt idx="155">
                  <c:v>45903</c:v>
                </c:pt>
                <c:pt idx="156">
                  <c:v>45902</c:v>
                </c:pt>
                <c:pt idx="157">
                  <c:v>45901</c:v>
                </c:pt>
                <c:pt idx="158">
                  <c:v>45898</c:v>
                </c:pt>
                <c:pt idx="159">
                  <c:v>45897</c:v>
                </c:pt>
                <c:pt idx="160">
                  <c:v>45895</c:v>
                </c:pt>
                <c:pt idx="161">
                  <c:v>45894</c:v>
                </c:pt>
                <c:pt idx="162">
                  <c:v>45891</c:v>
                </c:pt>
                <c:pt idx="163">
                  <c:v>45890</c:v>
                </c:pt>
                <c:pt idx="164">
                  <c:v>45889</c:v>
                </c:pt>
                <c:pt idx="165">
                  <c:v>45888</c:v>
                </c:pt>
                <c:pt idx="166">
                  <c:v>45887</c:v>
                </c:pt>
                <c:pt idx="167">
                  <c:v>45883</c:v>
                </c:pt>
                <c:pt idx="168">
                  <c:v>45882</c:v>
                </c:pt>
                <c:pt idx="169">
                  <c:v>45881</c:v>
                </c:pt>
                <c:pt idx="170">
                  <c:v>45880</c:v>
                </c:pt>
                <c:pt idx="171">
                  <c:v>45877</c:v>
                </c:pt>
                <c:pt idx="172">
                  <c:v>45876</c:v>
                </c:pt>
                <c:pt idx="173">
                  <c:v>45875</c:v>
                </c:pt>
                <c:pt idx="174">
                  <c:v>45874</c:v>
                </c:pt>
                <c:pt idx="175">
                  <c:v>45873</c:v>
                </c:pt>
                <c:pt idx="176">
                  <c:v>45870</c:v>
                </c:pt>
                <c:pt idx="177">
                  <c:v>45869</c:v>
                </c:pt>
                <c:pt idx="178">
                  <c:v>45868</c:v>
                </c:pt>
                <c:pt idx="179">
                  <c:v>45867</c:v>
                </c:pt>
                <c:pt idx="180">
                  <c:v>45866</c:v>
                </c:pt>
                <c:pt idx="181">
                  <c:v>45863</c:v>
                </c:pt>
                <c:pt idx="182">
                  <c:v>45862</c:v>
                </c:pt>
                <c:pt idx="183">
                  <c:v>45861</c:v>
                </c:pt>
                <c:pt idx="184">
                  <c:v>45860</c:v>
                </c:pt>
                <c:pt idx="185">
                  <c:v>45859</c:v>
                </c:pt>
                <c:pt idx="186">
                  <c:v>45856</c:v>
                </c:pt>
                <c:pt idx="187">
                  <c:v>45855</c:v>
                </c:pt>
                <c:pt idx="188">
                  <c:v>45854</c:v>
                </c:pt>
                <c:pt idx="189">
                  <c:v>45853</c:v>
                </c:pt>
                <c:pt idx="190">
                  <c:v>45852</c:v>
                </c:pt>
                <c:pt idx="191">
                  <c:v>45849</c:v>
                </c:pt>
                <c:pt idx="192">
                  <c:v>45848</c:v>
                </c:pt>
                <c:pt idx="193">
                  <c:v>45847</c:v>
                </c:pt>
                <c:pt idx="194">
                  <c:v>45846</c:v>
                </c:pt>
                <c:pt idx="195">
                  <c:v>45845</c:v>
                </c:pt>
                <c:pt idx="196">
                  <c:v>45842</c:v>
                </c:pt>
                <c:pt idx="197">
                  <c:v>45841</c:v>
                </c:pt>
                <c:pt idx="198">
                  <c:v>45840</c:v>
                </c:pt>
                <c:pt idx="199">
                  <c:v>45839</c:v>
                </c:pt>
                <c:pt idx="200">
                  <c:v>45838</c:v>
                </c:pt>
                <c:pt idx="201">
                  <c:v>45835</c:v>
                </c:pt>
                <c:pt idx="202">
                  <c:v>45834</c:v>
                </c:pt>
                <c:pt idx="203">
                  <c:v>45833</c:v>
                </c:pt>
                <c:pt idx="204">
                  <c:v>45832</c:v>
                </c:pt>
                <c:pt idx="205">
                  <c:v>45831</c:v>
                </c:pt>
                <c:pt idx="206">
                  <c:v>45828</c:v>
                </c:pt>
                <c:pt idx="207">
                  <c:v>45827</c:v>
                </c:pt>
                <c:pt idx="208">
                  <c:v>45826</c:v>
                </c:pt>
                <c:pt idx="209">
                  <c:v>45825</c:v>
                </c:pt>
                <c:pt idx="210">
                  <c:v>45824</c:v>
                </c:pt>
                <c:pt idx="211">
                  <c:v>45821</c:v>
                </c:pt>
                <c:pt idx="212">
                  <c:v>45820</c:v>
                </c:pt>
                <c:pt idx="213">
                  <c:v>45819</c:v>
                </c:pt>
                <c:pt idx="214">
                  <c:v>45818</c:v>
                </c:pt>
                <c:pt idx="215">
                  <c:v>45817</c:v>
                </c:pt>
                <c:pt idx="216">
                  <c:v>45814</c:v>
                </c:pt>
                <c:pt idx="217">
                  <c:v>45813</c:v>
                </c:pt>
                <c:pt idx="218">
                  <c:v>45812</c:v>
                </c:pt>
                <c:pt idx="219">
                  <c:v>45811</c:v>
                </c:pt>
                <c:pt idx="220">
                  <c:v>45810</c:v>
                </c:pt>
                <c:pt idx="221">
                  <c:v>45807</c:v>
                </c:pt>
                <c:pt idx="222">
                  <c:v>45806</c:v>
                </c:pt>
                <c:pt idx="223">
                  <c:v>45805</c:v>
                </c:pt>
                <c:pt idx="224">
                  <c:v>45804</c:v>
                </c:pt>
                <c:pt idx="225">
                  <c:v>45803</c:v>
                </c:pt>
                <c:pt idx="226">
                  <c:v>45800</c:v>
                </c:pt>
                <c:pt idx="227">
                  <c:v>45799</c:v>
                </c:pt>
                <c:pt idx="228">
                  <c:v>45798</c:v>
                </c:pt>
                <c:pt idx="229">
                  <c:v>45797</c:v>
                </c:pt>
                <c:pt idx="230">
                  <c:v>45796</c:v>
                </c:pt>
                <c:pt idx="231">
                  <c:v>45793</c:v>
                </c:pt>
                <c:pt idx="232">
                  <c:v>45792</c:v>
                </c:pt>
                <c:pt idx="233">
                  <c:v>45791</c:v>
                </c:pt>
                <c:pt idx="234">
                  <c:v>45790</c:v>
                </c:pt>
                <c:pt idx="235">
                  <c:v>45789</c:v>
                </c:pt>
                <c:pt idx="236">
                  <c:v>45786</c:v>
                </c:pt>
                <c:pt idx="237">
                  <c:v>45785</c:v>
                </c:pt>
                <c:pt idx="238">
                  <c:v>45784</c:v>
                </c:pt>
                <c:pt idx="239">
                  <c:v>45783</c:v>
                </c:pt>
                <c:pt idx="240">
                  <c:v>45782</c:v>
                </c:pt>
                <c:pt idx="241">
                  <c:v>45779</c:v>
                </c:pt>
                <c:pt idx="242">
                  <c:v>45777</c:v>
                </c:pt>
                <c:pt idx="243">
                  <c:v>45776</c:v>
                </c:pt>
                <c:pt idx="244">
                  <c:v>45775</c:v>
                </c:pt>
                <c:pt idx="245">
                  <c:v>45772</c:v>
                </c:pt>
                <c:pt idx="246">
                  <c:v>45771</c:v>
                </c:pt>
                <c:pt idx="247">
                  <c:v>45770</c:v>
                </c:pt>
                <c:pt idx="248">
                  <c:v>45769</c:v>
                </c:pt>
                <c:pt idx="249">
                  <c:v>45768</c:v>
                </c:pt>
                <c:pt idx="250">
                  <c:v>45764</c:v>
                </c:pt>
                <c:pt idx="251">
                  <c:v>45763</c:v>
                </c:pt>
                <c:pt idx="252">
                  <c:v>45762</c:v>
                </c:pt>
                <c:pt idx="253">
                  <c:v>45758</c:v>
                </c:pt>
                <c:pt idx="254">
                  <c:v>45756</c:v>
                </c:pt>
                <c:pt idx="255">
                  <c:v>45755</c:v>
                </c:pt>
                <c:pt idx="256">
                  <c:v>45754</c:v>
                </c:pt>
                <c:pt idx="257">
                  <c:v>45751</c:v>
                </c:pt>
                <c:pt idx="258">
                  <c:v>45750</c:v>
                </c:pt>
                <c:pt idx="259">
                  <c:v>45749</c:v>
                </c:pt>
                <c:pt idx="260">
                  <c:v>45748</c:v>
                </c:pt>
                <c:pt idx="261">
                  <c:v>45744</c:v>
                </c:pt>
                <c:pt idx="262">
                  <c:v>45743</c:v>
                </c:pt>
                <c:pt idx="263">
                  <c:v>45742</c:v>
                </c:pt>
                <c:pt idx="264">
                  <c:v>45741</c:v>
                </c:pt>
                <c:pt idx="265">
                  <c:v>45740</c:v>
                </c:pt>
              </c:numCache>
            </c:numRef>
          </c:cat>
          <c:val>
            <c:numRef>
              <c:f>StockData!$C$3:$C$268</c:f>
              <c:numCache>
                <c:formatCode>#,##0.00</c:formatCode>
                <c:ptCount val="266"/>
                <c:pt idx="0">
                  <c:v>12193</c:v>
                </c:pt>
                <c:pt idx="1">
                  <c:v>12039</c:v>
                </c:pt>
                <c:pt idx="2">
                  <c:v>11917</c:v>
                </c:pt>
                <c:pt idx="3">
                  <c:v>11886</c:v>
                </c:pt>
                <c:pt idx="4">
                  <c:v>11826</c:v>
                </c:pt>
                <c:pt idx="5">
                  <c:v>11785</c:v>
                </c:pt>
                <c:pt idx="6">
                  <c:v>11502</c:v>
                </c:pt>
                <c:pt idx="7">
                  <c:v>11589</c:v>
                </c:pt>
                <c:pt idx="8">
                  <c:v>11448</c:v>
                </c:pt>
                <c:pt idx="9">
                  <c:v>11603</c:v>
                </c:pt>
                <c:pt idx="10">
                  <c:v>10936</c:v>
                </c:pt>
                <c:pt idx="11">
                  <c:v>10955</c:v>
                </c:pt>
                <c:pt idx="12">
                  <c:v>10620</c:v>
                </c:pt>
                <c:pt idx="13">
                  <c:v>10714</c:v>
                </c:pt>
                <c:pt idx="14">
                  <c:v>10745</c:v>
                </c:pt>
                <c:pt idx="15">
                  <c:v>11049</c:v>
                </c:pt>
                <c:pt idx="16">
                  <c:v>11204</c:v>
                </c:pt>
                <c:pt idx="17">
                  <c:v>10764</c:v>
                </c:pt>
                <c:pt idx="18">
                  <c:v>10362</c:v>
                </c:pt>
                <c:pt idx="19">
                  <c:v>10934</c:v>
                </c:pt>
                <c:pt idx="20">
                  <c:v>10814</c:v>
                </c:pt>
                <c:pt idx="21">
                  <c:v>11247</c:v>
                </c:pt>
                <c:pt idx="22">
                  <c:v>11116</c:v>
                </c:pt>
                <c:pt idx="23">
                  <c:v>11099</c:v>
                </c:pt>
                <c:pt idx="24">
                  <c:v>10616</c:v>
                </c:pt>
                <c:pt idx="25">
                  <c:v>11089</c:v>
                </c:pt>
                <c:pt idx="26">
                  <c:v>11462</c:v>
                </c:pt>
                <c:pt idx="27">
                  <c:v>11654</c:v>
                </c:pt>
                <c:pt idx="28">
                  <c:v>11378</c:v>
                </c:pt>
                <c:pt idx="29">
                  <c:v>11987</c:v>
                </c:pt>
                <c:pt idx="30">
                  <c:v>12288</c:v>
                </c:pt>
                <c:pt idx="31">
                  <c:v>12107</c:v>
                </c:pt>
                <c:pt idx="32">
                  <c:v>12521</c:v>
                </c:pt>
                <c:pt idx="33">
                  <c:v>12677</c:v>
                </c:pt>
                <c:pt idx="34">
                  <c:v>12937</c:v>
                </c:pt>
                <c:pt idx="35">
                  <c:v>13041</c:v>
                </c:pt>
                <c:pt idx="36">
                  <c:v>12960</c:v>
                </c:pt>
                <c:pt idx="37">
                  <c:v>12976</c:v>
                </c:pt>
                <c:pt idx="38">
                  <c:v>12766</c:v>
                </c:pt>
                <c:pt idx="39">
                  <c:v>12688</c:v>
                </c:pt>
                <c:pt idx="40">
                  <c:v>13052</c:v>
                </c:pt>
                <c:pt idx="41">
                  <c:v>12984</c:v>
                </c:pt>
                <c:pt idx="42">
                  <c:v>12981</c:v>
                </c:pt>
                <c:pt idx="43">
                  <c:v>12963</c:v>
                </c:pt>
                <c:pt idx="44">
                  <c:v>13029</c:v>
                </c:pt>
                <c:pt idx="45">
                  <c:v>12969</c:v>
                </c:pt>
                <c:pt idx="46">
                  <c:v>13023</c:v>
                </c:pt>
                <c:pt idx="47">
                  <c:v>13048</c:v>
                </c:pt>
                <c:pt idx="48">
                  <c:v>12722</c:v>
                </c:pt>
                <c:pt idx="49">
                  <c:v>12773</c:v>
                </c:pt>
                <c:pt idx="50">
                  <c:v>12806</c:v>
                </c:pt>
                <c:pt idx="51">
                  <c:v>12590</c:v>
                </c:pt>
                <c:pt idx="52">
                  <c:v>12535</c:v>
                </c:pt>
                <c:pt idx="53">
                  <c:v>12284</c:v>
                </c:pt>
                <c:pt idx="54">
                  <c:v>12694</c:v>
                </c:pt>
                <c:pt idx="55">
                  <c:v>12717</c:v>
                </c:pt>
                <c:pt idx="56">
                  <c:v>12767</c:v>
                </c:pt>
                <c:pt idx="57">
                  <c:v>12589</c:v>
                </c:pt>
                <c:pt idx="58">
                  <c:v>12369</c:v>
                </c:pt>
                <c:pt idx="59">
                  <c:v>12364</c:v>
                </c:pt>
                <c:pt idx="60">
                  <c:v>12231</c:v>
                </c:pt>
                <c:pt idx="61">
                  <c:v>12059</c:v>
                </c:pt>
                <c:pt idx="62">
                  <c:v>12297</c:v>
                </c:pt>
                <c:pt idx="63">
                  <c:v>12378</c:v>
                </c:pt>
                <c:pt idx="64">
                  <c:v>12255</c:v>
                </c:pt>
                <c:pt idx="65">
                  <c:v>12044</c:v>
                </c:pt>
                <c:pt idx="66">
                  <c:v>12098</c:v>
                </c:pt>
                <c:pt idx="67">
                  <c:v>11937</c:v>
                </c:pt>
                <c:pt idx="68">
                  <c:v>12064</c:v>
                </c:pt>
                <c:pt idx="69">
                  <c:v>12184</c:v>
                </c:pt>
                <c:pt idx="70">
                  <c:v>12204</c:v>
                </c:pt>
                <c:pt idx="71">
                  <c:v>12087</c:v>
                </c:pt>
                <c:pt idx="72">
                  <c:v>11899</c:v>
                </c:pt>
                <c:pt idx="73">
                  <c:v>11901</c:v>
                </c:pt>
                <c:pt idx="74">
                  <c:v>11784</c:v>
                </c:pt>
                <c:pt idx="75">
                  <c:v>11705</c:v>
                </c:pt>
                <c:pt idx="76">
                  <c:v>11799</c:v>
                </c:pt>
                <c:pt idx="77">
                  <c:v>11794</c:v>
                </c:pt>
                <c:pt idx="78">
                  <c:v>11764</c:v>
                </c:pt>
                <c:pt idx="79">
                  <c:v>11678</c:v>
                </c:pt>
                <c:pt idx="80">
                  <c:v>11532</c:v>
                </c:pt>
                <c:pt idx="81">
                  <c:v>11496</c:v>
                </c:pt>
                <c:pt idx="82">
                  <c:v>11461</c:v>
                </c:pt>
                <c:pt idx="83">
                  <c:v>11540</c:v>
                </c:pt>
                <c:pt idx="84">
                  <c:v>11528</c:v>
                </c:pt>
                <c:pt idx="85">
                  <c:v>11728</c:v>
                </c:pt>
                <c:pt idx="86">
                  <c:v>11723</c:v>
                </c:pt>
                <c:pt idx="87">
                  <c:v>11472</c:v>
                </c:pt>
                <c:pt idx="88">
                  <c:v>11317</c:v>
                </c:pt>
                <c:pt idx="89">
                  <c:v>11414</c:v>
                </c:pt>
                <c:pt idx="90">
                  <c:v>11540</c:v>
                </c:pt>
                <c:pt idx="91">
                  <c:v>11597</c:v>
                </c:pt>
                <c:pt idx="92">
                  <c:v>11608</c:v>
                </c:pt>
                <c:pt idx="93">
                  <c:v>11591</c:v>
                </c:pt>
                <c:pt idx="94">
                  <c:v>11666</c:v>
                </c:pt>
                <c:pt idx="95">
                  <c:v>11662</c:v>
                </c:pt>
                <c:pt idx="96">
                  <c:v>11600</c:v>
                </c:pt>
                <c:pt idx="97">
                  <c:v>11617</c:v>
                </c:pt>
                <c:pt idx="98">
                  <c:v>11759</c:v>
                </c:pt>
                <c:pt idx="99">
                  <c:v>11580</c:v>
                </c:pt>
                <c:pt idx="100">
                  <c:v>11584</c:v>
                </c:pt>
                <c:pt idx="101">
                  <c:v>11729</c:v>
                </c:pt>
                <c:pt idx="102">
                  <c:v>11753</c:v>
                </c:pt>
                <c:pt idx="103">
                  <c:v>11666</c:v>
                </c:pt>
                <c:pt idx="104">
                  <c:v>11707</c:v>
                </c:pt>
                <c:pt idx="105">
                  <c:v>11778</c:v>
                </c:pt>
                <c:pt idx="106">
                  <c:v>11874</c:v>
                </c:pt>
                <c:pt idx="107">
                  <c:v>11934</c:v>
                </c:pt>
                <c:pt idx="108">
                  <c:v>11921</c:v>
                </c:pt>
                <c:pt idx="109">
                  <c:v>11825</c:v>
                </c:pt>
                <c:pt idx="110">
                  <c:v>11728</c:v>
                </c:pt>
                <c:pt idx="111">
                  <c:v>11849</c:v>
                </c:pt>
                <c:pt idx="112">
                  <c:v>11910</c:v>
                </c:pt>
                <c:pt idx="113">
                  <c:v>11819</c:v>
                </c:pt>
                <c:pt idx="114">
                  <c:v>11950</c:v>
                </c:pt>
                <c:pt idx="115">
                  <c:v>11947</c:v>
                </c:pt>
                <c:pt idx="116">
                  <c:v>12053</c:v>
                </c:pt>
                <c:pt idx="117">
                  <c:v>11999</c:v>
                </c:pt>
                <c:pt idx="118">
                  <c:v>11931</c:v>
                </c:pt>
                <c:pt idx="119">
                  <c:v>12015</c:v>
                </c:pt>
                <c:pt idx="120">
                  <c:v>11918</c:v>
                </c:pt>
                <c:pt idx="121">
                  <c:v>12145</c:v>
                </c:pt>
                <c:pt idx="122">
                  <c:v>12342</c:v>
                </c:pt>
                <c:pt idx="123">
                  <c:v>12346</c:v>
                </c:pt>
                <c:pt idx="124">
                  <c:v>12370</c:v>
                </c:pt>
                <c:pt idx="125">
                  <c:v>12358</c:v>
                </c:pt>
                <c:pt idx="126">
                  <c:v>12311</c:v>
                </c:pt>
                <c:pt idx="127">
                  <c:v>12070</c:v>
                </c:pt>
                <c:pt idx="128">
                  <c:v>12172</c:v>
                </c:pt>
                <c:pt idx="129">
                  <c:v>12281</c:v>
                </c:pt>
                <c:pt idx="130">
                  <c:v>12192</c:v>
                </c:pt>
                <c:pt idx="131">
                  <c:v>11991</c:v>
                </c:pt>
                <c:pt idx="132">
                  <c:v>12184</c:v>
                </c:pt>
                <c:pt idx="133">
                  <c:v>12055</c:v>
                </c:pt>
                <c:pt idx="134">
                  <c:v>12019</c:v>
                </c:pt>
                <c:pt idx="135">
                  <c:v>12095</c:v>
                </c:pt>
                <c:pt idx="136">
                  <c:v>12222</c:v>
                </c:pt>
                <c:pt idx="137">
                  <c:v>12041</c:v>
                </c:pt>
                <c:pt idx="138">
                  <c:v>12070</c:v>
                </c:pt>
                <c:pt idx="139">
                  <c:v>12141</c:v>
                </c:pt>
                <c:pt idx="140">
                  <c:v>12214</c:v>
                </c:pt>
                <c:pt idx="141">
                  <c:v>12401</c:v>
                </c:pt>
                <c:pt idx="142">
                  <c:v>12650</c:v>
                </c:pt>
                <c:pt idx="143">
                  <c:v>12508</c:v>
                </c:pt>
                <c:pt idx="144">
                  <c:v>12626</c:v>
                </c:pt>
                <c:pt idx="145">
                  <c:v>12721</c:v>
                </c:pt>
                <c:pt idx="146">
                  <c:v>12578</c:v>
                </c:pt>
                <c:pt idx="147">
                  <c:v>12435</c:v>
                </c:pt>
                <c:pt idx="148">
                  <c:v>12370</c:v>
                </c:pt>
                <c:pt idx="149">
                  <c:v>12392</c:v>
                </c:pt>
                <c:pt idx="150">
                  <c:v>12478</c:v>
                </c:pt>
                <c:pt idx="151">
                  <c:v>12572</c:v>
                </c:pt>
                <c:pt idx="152">
                  <c:v>12664</c:v>
                </c:pt>
                <c:pt idx="153">
                  <c:v>12601</c:v>
                </c:pt>
                <c:pt idx="154">
                  <c:v>12651</c:v>
                </c:pt>
                <c:pt idx="155">
                  <c:v>12733</c:v>
                </c:pt>
                <c:pt idx="156">
                  <c:v>12730</c:v>
                </c:pt>
                <c:pt idx="157">
                  <c:v>12826</c:v>
                </c:pt>
                <c:pt idx="158">
                  <c:v>12640</c:v>
                </c:pt>
                <c:pt idx="159">
                  <c:v>12521</c:v>
                </c:pt>
                <c:pt idx="160">
                  <c:v>12610</c:v>
                </c:pt>
                <c:pt idx="161">
                  <c:v>12606</c:v>
                </c:pt>
                <c:pt idx="162">
                  <c:v>12589</c:v>
                </c:pt>
                <c:pt idx="163">
                  <c:v>12870</c:v>
                </c:pt>
                <c:pt idx="164">
                  <c:v>12874</c:v>
                </c:pt>
                <c:pt idx="165">
                  <c:v>12863</c:v>
                </c:pt>
                <c:pt idx="166">
                  <c:v>12765</c:v>
                </c:pt>
                <c:pt idx="167">
                  <c:v>12317</c:v>
                </c:pt>
                <c:pt idx="168">
                  <c:v>12401</c:v>
                </c:pt>
                <c:pt idx="169">
                  <c:v>12449</c:v>
                </c:pt>
                <c:pt idx="170">
                  <c:v>12405</c:v>
                </c:pt>
                <c:pt idx="171">
                  <c:v>12157</c:v>
                </c:pt>
                <c:pt idx="172">
                  <c:v>12273</c:v>
                </c:pt>
                <c:pt idx="173">
                  <c:v>12226</c:v>
                </c:pt>
                <c:pt idx="174">
                  <c:v>12298</c:v>
                </c:pt>
                <c:pt idx="175">
                  <c:v>12257</c:v>
                </c:pt>
                <c:pt idx="176">
                  <c:v>12113</c:v>
                </c:pt>
                <c:pt idx="177">
                  <c:v>12249</c:v>
                </c:pt>
                <c:pt idx="178">
                  <c:v>12268</c:v>
                </c:pt>
                <c:pt idx="179">
                  <c:v>12221</c:v>
                </c:pt>
                <c:pt idx="180">
                  <c:v>12240</c:v>
                </c:pt>
                <c:pt idx="181">
                  <c:v>12250</c:v>
                </c:pt>
                <c:pt idx="182">
                  <c:v>12304</c:v>
                </c:pt>
                <c:pt idx="183">
                  <c:v>12372</c:v>
                </c:pt>
                <c:pt idx="184">
                  <c:v>12452</c:v>
                </c:pt>
                <c:pt idx="185">
                  <c:v>12577</c:v>
                </c:pt>
                <c:pt idx="186">
                  <c:v>12498</c:v>
                </c:pt>
                <c:pt idx="187">
                  <c:v>12495</c:v>
                </c:pt>
                <c:pt idx="188">
                  <c:v>12453</c:v>
                </c:pt>
                <c:pt idx="189">
                  <c:v>12502</c:v>
                </c:pt>
                <c:pt idx="190">
                  <c:v>12516</c:v>
                </c:pt>
                <c:pt idx="191">
                  <c:v>12495</c:v>
                </c:pt>
                <c:pt idx="192">
                  <c:v>12516</c:v>
                </c:pt>
                <c:pt idx="193">
                  <c:v>12562</c:v>
                </c:pt>
                <c:pt idx="194">
                  <c:v>12445</c:v>
                </c:pt>
                <c:pt idx="195">
                  <c:v>12345</c:v>
                </c:pt>
                <c:pt idx="196">
                  <c:v>12506</c:v>
                </c:pt>
                <c:pt idx="197">
                  <c:v>12398</c:v>
                </c:pt>
                <c:pt idx="198">
                  <c:v>12436</c:v>
                </c:pt>
                <c:pt idx="199">
                  <c:v>12210</c:v>
                </c:pt>
                <c:pt idx="200">
                  <c:v>12093</c:v>
                </c:pt>
                <c:pt idx="201">
                  <c:v>12213</c:v>
                </c:pt>
                <c:pt idx="202">
                  <c:v>11951</c:v>
                </c:pt>
                <c:pt idx="203">
                  <c:v>11733</c:v>
                </c:pt>
                <c:pt idx="204">
                  <c:v>11579</c:v>
                </c:pt>
                <c:pt idx="205">
                  <c:v>11449</c:v>
                </c:pt>
                <c:pt idx="206">
                  <c:v>11458</c:v>
                </c:pt>
                <c:pt idx="207">
                  <c:v>11420</c:v>
                </c:pt>
                <c:pt idx="208">
                  <c:v>11406</c:v>
                </c:pt>
                <c:pt idx="209">
                  <c:v>11383</c:v>
                </c:pt>
                <c:pt idx="210">
                  <c:v>11495</c:v>
                </c:pt>
                <c:pt idx="211">
                  <c:v>11224</c:v>
                </c:pt>
                <c:pt idx="212">
                  <c:v>11323</c:v>
                </c:pt>
                <c:pt idx="213">
                  <c:v>11464</c:v>
                </c:pt>
                <c:pt idx="214">
                  <c:v>11391</c:v>
                </c:pt>
                <c:pt idx="215">
                  <c:v>11260</c:v>
                </c:pt>
                <c:pt idx="216">
                  <c:v>11253</c:v>
                </c:pt>
                <c:pt idx="217">
                  <c:v>11159</c:v>
                </c:pt>
                <c:pt idx="218">
                  <c:v>11033</c:v>
                </c:pt>
                <c:pt idx="219">
                  <c:v>11035</c:v>
                </c:pt>
                <c:pt idx="220">
                  <c:v>11195</c:v>
                </c:pt>
                <c:pt idx="221">
                  <c:v>11210</c:v>
                </c:pt>
                <c:pt idx="222">
                  <c:v>11269</c:v>
                </c:pt>
                <c:pt idx="223">
                  <c:v>11238</c:v>
                </c:pt>
                <c:pt idx="224">
                  <c:v>11421</c:v>
                </c:pt>
                <c:pt idx="225">
                  <c:v>11689</c:v>
                </c:pt>
                <c:pt idx="226">
                  <c:v>11746</c:v>
                </c:pt>
                <c:pt idx="227">
                  <c:v>11680</c:v>
                </c:pt>
                <c:pt idx="228">
                  <c:v>11666</c:v>
                </c:pt>
                <c:pt idx="229">
                  <c:v>11697</c:v>
                </c:pt>
                <c:pt idx="230">
                  <c:v>11929</c:v>
                </c:pt>
                <c:pt idx="231">
                  <c:v>11905</c:v>
                </c:pt>
                <c:pt idx="232">
                  <c:v>11894</c:v>
                </c:pt>
                <c:pt idx="233">
                  <c:v>11672</c:v>
                </c:pt>
                <c:pt idx="234">
                  <c:v>11661</c:v>
                </c:pt>
                <c:pt idx="235">
                  <c:v>11736</c:v>
                </c:pt>
                <c:pt idx="236">
                  <c:v>11364</c:v>
                </c:pt>
                <c:pt idx="237">
                  <c:v>11631</c:v>
                </c:pt>
                <c:pt idx="238">
                  <c:v>11658</c:v>
                </c:pt>
                <c:pt idx="239">
                  <c:v>11693</c:v>
                </c:pt>
                <c:pt idx="240">
                  <c:v>11670</c:v>
                </c:pt>
                <c:pt idx="241">
                  <c:v>11644</c:v>
                </c:pt>
                <c:pt idx="242">
                  <c:v>11641</c:v>
                </c:pt>
                <c:pt idx="243">
                  <c:v>11869</c:v>
                </c:pt>
                <c:pt idx="244">
                  <c:v>12114</c:v>
                </c:pt>
                <c:pt idx="245">
                  <c:v>12237</c:v>
                </c:pt>
                <c:pt idx="246">
                  <c:v>12159</c:v>
                </c:pt>
                <c:pt idx="247">
                  <c:v>11949</c:v>
                </c:pt>
                <c:pt idx="248">
                  <c:v>11959</c:v>
                </c:pt>
                <c:pt idx="249">
                  <c:v>11934</c:v>
                </c:pt>
                <c:pt idx="250">
                  <c:v>11901</c:v>
                </c:pt>
                <c:pt idx="251">
                  <c:v>11728</c:v>
                </c:pt>
                <c:pt idx="252">
                  <c:v>11719</c:v>
                </c:pt>
                <c:pt idx="253">
                  <c:v>11502.65</c:v>
                </c:pt>
                <c:pt idx="254">
                  <c:v>11397.05</c:v>
                </c:pt>
                <c:pt idx="255">
                  <c:v>11270.45</c:v>
                </c:pt>
                <c:pt idx="256">
                  <c:v>11191.6</c:v>
                </c:pt>
                <c:pt idx="257">
                  <c:v>11498.65</c:v>
                </c:pt>
                <c:pt idx="258">
                  <c:v>11606.6</c:v>
                </c:pt>
                <c:pt idx="259">
                  <c:v>11250.95</c:v>
                </c:pt>
                <c:pt idx="260">
                  <c:v>11378.65</c:v>
                </c:pt>
                <c:pt idx="261">
                  <c:v>11509.55</c:v>
                </c:pt>
                <c:pt idx="262">
                  <c:v>11599.6</c:v>
                </c:pt>
                <c:pt idx="263">
                  <c:v>11402.1</c:v>
                </c:pt>
                <c:pt idx="264">
                  <c:v>11421.2</c:v>
                </c:pt>
                <c:pt idx="265">
                  <c:v>11051.2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F1-47D2-80B7-3E968471C8AD}"/>
            </c:ext>
          </c:extLst>
        </c:ser>
        <c:ser>
          <c:idx val="1"/>
          <c:order val="1"/>
          <c:tx>
            <c:strRef>
              <c:f>StockData!$D$2</c:f>
              <c:strCache>
                <c:ptCount val="1"/>
                <c:pt idx="0">
                  <c:v>Nifty 50</c:v>
                </c:pt>
              </c:strCache>
            </c:strRef>
          </c:tx>
          <c:spPr>
            <a:ln w="28575" cap="rnd">
              <a:solidFill>
                <a:srgbClr val="990033"/>
              </a:solidFill>
              <a:round/>
            </a:ln>
            <a:effectLst/>
          </c:spPr>
          <c:marker>
            <c:symbol val="none"/>
          </c:marker>
          <c:cat>
            <c:numRef>
              <c:f>StockData!$B$3:$B$268</c:f>
              <c:numCache>
                <c:formatCode>m/d/yyyy</c:formatCode>
                <c:ptCount val="266"/>
                <c:pt idx="0">
                  <c:v>46134</c:v>
                </c:pt>
                <c:pt idx="1">
                  <c:v>46133</c:v>
                </c:pt>
                <c:pt idx="2">
                  <c:v>46132</c:v>
                </c:pt>
                <c:pt idx="3">
                  <c:v>46129</c:v>
                </c:pt>
                <c:pt idx="4">
                  <c:v>46128</c:v>
                </c:pt>
                <c:pt idx="5">
                  <c:v>46127</c:v>
                </c:pt>
                <c:pt idx="6">
                  <c:v>46125</c:v>
                </c:pt>
                <c:pt idx="7">
                  <c:v>46122</c:v>
                </c:pt>
                <c:pt idx="8">
                  <c:v>46121</c:v>
                </c:pt>
                <c:pt idx="9">
                  <c:v>46120</c:v>
                </c:pt>
                <c:pt idx="10">
                  <c:v>46119</c:v>
                </c:pt>
                <c:pt idx="11">
                  <c:v>46118</c:v>
                </c:pt>
                <c:pt idx="12">
                  <c:v>46114</c:v>
                </c:pt>
                <c:pt idx="13">
                  <c:v>46113</c:v>
                </c:pt>
                <c:pt idx="14">
                  <c:v>46111</c:v>
                </c:pt>
                <c:pt idx="15">
                  <c:v>46108</c:v>
                </c:pt>
                <c:pt idx="16">
                  <c:v>46106</c:v>
                </c:pt>
                <c:pt idx="17">
                  <c:v>46105</c:v>
                </c:pt>
                <c:pt idx="18">
                  <c:v>46104</c:v>
                </c:pt>
                <c:pt idx="19">
                  <c:v>46101</c:v>
                </c:pt>
                <c:pt idx="20">
                  <c:v>46100</c:v>
                </c:pt>
                <c:pt idx="21">
                  <c:v>46099</c:v>
                </c:pt>
                <c:pt idx="22">
                  <c:v>46098</c:v>
                </c:pt>
                <c:pt idx="23">
                  <c:v>46097</c:v>
                </c:pt>
                <c:pt idx="24">
                  <c:v>46094</c:v>
                </c:pt>
                <c:pt idx="25">
                  <c:v>46093</c:v>
                </c:pt>
                <c:pt idx="26">
                  <c:v>46092</c:v>
                </c:pt>
                <c:pt idx="27">
                  <c:v>46091</c:v>
                </c:pt>
                <c:pt idx="28">
                  <c:v>46090</c:v>
                </c:pt>
                <c:pt idx="29">
                  <c:v>46087</c:v>
                </c:pt>
                <c:pt idx="30">
                  <c:v>46086</c:v>
                </c:pt>
                <c:pt idx="31">
                  <c:v>46085</c:v>
                </c:pt>
                <c:pt idx="32">
                  <c:v>46083</c:v>
                </c:pt>
                <c:pt idx="33">
                  <c:v>46080</c:v>
                </c:pt>
                <c:pt idx="34">
                  <c:v>46079</c:v>
                </c:pt>
                <c:pt idx="35">
                  <c:v>46078</c:v>
                </c:pt>
                <c:pt idx="36">
                  <c:v>46077</c:v>
                </c:pt>
                <c:pt idx="37">
                  <c:v>46076</c:v>
                </c:pt>
                <c:pt idx="38">
                  <c:v>46073</c:v>
                </c:pt>
                <c:pt idx="39">
                  <c:v>46072</c:v>
                </c:pt>
                <c:pt idx="40">
                  <c:v>46071</c:v>
                </c:pt>
                <c:pt idx="41">
                  <c:v>46070</c:v>
                </c:pt>
                <c:pt idx="42">
                  <c:v>46069</c:v>
                </c:pt>
                <c:pt idx="43">
                  <c:v>46066</c:v>
                </c:pt>
                <c:pt idx="44">
                  <c:v>46065</c:v>
                </c:pt>
                <c:pt idx="45">
                  <c:v>46064</c:v>
                </c:pt>
                <c:pt idx="46">
                  <c:v>46063</c:v>
                </c:pt>
                <c:pt idx="47">
                  <c:v>46062</c:v>
                </c:pt>
                <c:pt idx="48">
                  <c:v>46059</c:v>
                </c:pt>
                <c:pt idx="49">
                  <c:v>46058</c:v>
                </c:pt>
                <c:pt idx="50">
                  <c:v>46057</c:v>
                </c:pt>
                <c:pt idx="51">
                  <c:v>46056</c:v>
                </c:pt>
                <c:pt idx="52">
                  <c:v>46055</c:v>
                </c:pt>
                <c:pt idx="53">
                  <c:v>46054</c:v>
                </c:pt>
                <c:pt idx="54">
                  <c:v>46052</c:v>
                </c:pt>
                <c:pt idx="55">
                  <c:v>46051</c:v>
                </c:pt>
                <c:pt idx="56">
                  <c:v>46050</c:v>
                </c:pt>
                <c:pt idx="57">
                  <c:v>46049</c:v>
                </c:pt>
                <c:pt idx="58">
                  <c:v>46045</c:v>
                </c:pt>
                <c:pt idx="59">
                  <c:v>46044</c:v>
                </c:pt>
                <c:pt idx="60">
                  <c:v>46043</c:v>
                </c:pt>
                <c:pt idx="61">
                  <c:v>46042</c:v>
                </c:pt>
                <c:pt idx="62">
                  <c:v>46041</c:v>
                </c:pt>
                <c:pt idx="63">
                  <c:v>46038</c:v>
                </c:pt>
                <c:pt idx="64">
                  <c:v>46036</c:v>
                </c:pt>
                <c:pt idx="65">
                  <c:v>46035</c:v>
                </c:pt>
                <c:pt idx="66">
                  <c:v>46034</c:v>
                </c:pt>
                <c:pt idx="67">
                  <c:v>46031</c:v>
                </c:pt>
                <c:pt idx="68">
                  <c:v>46030</c:v>
                </c:pt>
                <c:pt idx="69">
                  <c:v>46029</c:v>
                </c:pt>
                <c:pt idx="70">
                  <c:v>46028</c:v>
                </c:pt>
                <c:pt idx="71">
                  <c:v>46027</c:v>
                </c:pt>
                <c:pt idx="72">
                  <c:v>46024</c:v>
                </c:pt>
                <c:pt idx="73">
                  <c:v>46023</c:v>
                </c:pt>
                <c:pt idx="74">
                  <c:v>46022</c:v>
                </c:pt>
                <c:pt idx="75">
                  <c:v>46021</c:v>
                </c:pt>
                <c:pt idx="76">
                  <c:v>46020</c:v>
                </c:pt>
                <c:pt idx="77">
                  <c:v>46017</c:v>
                </c:pt>
                <c:pt idx="78">
                  <c:v>46015</c:v>
                </c:pt>
                <c:pt idx="79">
                  <c:v>46014</c:v>
                </c:pt>
                <c:pt idx="80">
                  <c:v>46013</c:v>
                </c:pt>
                <c:pt idx="81">
                  <c:v>46010</c:v>
                </c:pt>
                <c:pt idx="82">
                  <c:v>46009</c:v>
                </c:pt>
                <c:pt idx="83">
                  <c:v>46008</c:v>
                </c:pt>
                <c:pt idx="84">
                  <c:v>46007</c:v>
                </c:pt>
                <c:pt idx="85">
                  <c:v>46006</c:v>
                </c:pt>
                <c:pt idx="86">
                  <c:v>46003</c:v>
                </c:pt>
                <c:pt idx="87">
                  <c:v>46002</c:v>
                </c:pt>
                <c:pt idx="88">
                  <c:v>46001</c:v>
                </c:pt>
                <c:pt idx="89">
                  <c:v>46000</c:v>
                </c:pt>
                <c:pt idx="90">
                  <c:v>45999</c:v>
                </c:pt>
                <c:pt idx="91">
                  <c:v>45996</c:v>
                </c:pt>
                <c:pt idx="92">
                  <c:v>45995</c:v>
                </c:pt>
                <c:pt idx="93">
                  <c:v>45994</c:v>
                </c:pt>
                <c:pt idx="94">
                  <c:v>45993</c:v>
                </c:pt>
                <c:pt idx="95">
                  <c:v>45992</c:v>
                </c:pt>
                <c:pt idx="96">
                  <c:v>45989</c:v>
                </c:pt>
                <c:pt idx="97">
                  <c:v>45988</c:v>
                </c:pt>
                <c:pt idx="98">
                  <c:v>45987</c:v>
                </c:pt>
                <c:pt idx="99">
                  <c:v>45986</c:v>
                </c:pt>
                <c:pt idx="100">
                  <c:v>45985</c:v>
                </c:pt>
                <c:pt idx="101">
                  <c:v>45982</c:v>
                </c:pt>
                <c:pt idx="102">
                  <c:v>45981</c:v>
                </c:pt>
                <c:pt idx="103">
                  <c:v>45980</c:v>
                </c:pt>
                <c:pt idx="104">
                  <c:v>45979</c:v>
                </c:pt>
                <c:pt idx="105">
                  <c:v>45978</c:v>
                </c:pt>
                <c:pt idx="106">
                  <c:v>45975</c:v>
                </c:pt>
                <c:pt idx="107">
                  <c:v>45974</c:v>
                </c:pt>
                <c:pt idx="108">
                  <c:v>45973</c:v>
                </c:pt>
                <c:pt idx="109">
                  <c:v>45972</c:v>
                </c:pt>
                <c:pt idx="110">
                  <c:v>45971</c:v>
                </c:pt>
                <c:pt idx="111">
                  <c:v>45968</c:v>
                </c:pt>
                <c:pt idx="112">
                  <c:v>45967</c:v>
                </c:pt>
                <c:pt idx="113">
                  <c:v>45965</c:v>
                </c:pt>
                <c:pt idx="114">
                  <c:v>45964</c:v>
                </c:pt>
                <c:pt idx="115">
                  <c:v>45961</c:v>
                </c:pt>
                <c:pt idx="116">
                  <c:v>45960</c:v>
                </c:pt>
                <c:pt idx="117">
                  <c:v>45959</c:v>
                </c:pt>
                <c:pt idx="118">
                  <c:v>45958</c:v>
                </c:pt>
                <c:pt idx="119">
                  <c:v>45957</c:v>
                </c:pt>
                <c:pt idx="120">
                  <c:v>45954</c:v>
                </c:pt>
                <c:pt idx="121">
                  <c:v>45953</c:v>
                </c:pt>
                <c:pt idx="122">
                  <c:v>45951</c:v>
                </c:pt>
                <c:pt idx="123">
                  <c:v>45950</c:v>
                </c:pt>
                <c:pt idx="124">
                  <c:v>45947</c:v>
                </c:pt>
                <c:pt idx="125">
                  <c:v>45946</c:v>
                </c:pt>
                <c:pt idx="126">
                  <c:v>45945</c:v>
                </c:pt>
                <c:pt idx="127">
                  <c:v>45944</c:v>
                </c:pt>
                <c:pt idx="128">
                  <c:v>45943</c:v>
                </c:pt>
                <c:pt idx="129">
                  <c:v>45940</c:v>
                </c:pt>
                <c:pt idx="130">
                  <c:v>45939</c:v>
                </c:pt>
                <c:pt idx="131">
                  <c:v>45938</c:v>
                </c:pt>
                <c:pt idx="132">
                  <c:v>45937</c:v>
                </c:pt>
                <c:pt idx="133">
                  <c:v>45936</c:v>
                </c:pt>
                <c:pt idx="134">
                  <c:v>45933</c:v>
                </c:pt>
                <c:pt idx="135">
                  <c:v>45931</c:v>
                </c:pt>
                <c:pt idx="136">
                  <c:v>45930</c:v>
                </c:pt>
                <c:pt idx="137">
                  <c:v>45929</c:v>
                </c:pt>
                <c:pt idx="138">
                  <c:v>45926</c:v>
                </c:pt>
                <c:pt idx="139">
                  <c:v>45925</c:v>
                </c:pt>
                <c:pt idx="140">
                  <c:v>45924</c:v>
                </c:pt>
                <c:pt idx="141">
                  <c:v>45923</c:v>
                </c:pt>
                <c:pt idx="142">
                  <c:v>45922</c:v>
                </c:pt>
                <c:pt idx="143">
                  <c:v>45919</c:v>
                </c:pt>
                <c:pt idx="144">
                  <c:v>45918</c:v>
                </c:pt>
                <c:pt idx="145">
                  <c:v>45917</c:v>
                </c:pt>
                <c:pt idx="146">
                  <c:v>45916</c:v>
                </c:pt>
                <c:pt idx="147">
                  <c:v>45915</c:v>
                </c:pt>
                <c:pt idx="148">
                  <c:v>45912</c:v>
                </c:pt>
                <c:pt idx="149">
                  <c:v>45911</c:v>
                </c:pt>
                <c:pt idx="150">
                  <c:v>45910</c:v>
                </c:pt>
                <c:pt idx="151">
                  <c:v>45909</c:v>
                </c:pt>
                <c:pt idx="152">
                  <c:v>45908</c:v>
                </c:pt>
                <c:pt idx="153">
                  <c:v>45905</c:v>
                </c:pt>
                <c:pt idx="154">
                  <c:v>45904</c:v>
                </c:pt>
                <c:pt idx="155">
                  <c:v>45903</c:v>
                </c:pt>
                <c:pt idx="156">
                  <c:v>45902</c:v>
                </c:pt>
                <c:pt idx="157">
                  <c:v>45901</c:v>
                </c:pt>
                <c:pt idx="158">
                  <c:v>45898</c:v>
                </c:pt>
                <c:pt idx="159">
                  <c:v>45897</c:v>
                </c:pt>
                <c:pt idx="160">
                  <c:v>45895</c:v>
                </c:pt>
                <c:pt idx="161">
                  <c:v>45894</c:v>
                </c:pt>
                <c:pt idx="162">
                  <c:v>45891</c:v>
                </c:pt>
                <c:pt idx="163">
                  <c:v>45890</c:v>
                </c:pt>
                <c:pt idx="164">
                  <c:v>45889</c:v>
                </c:pt>
                <c:pt idx="165">
                  <c:v>45888</c:v>
                </c:pt>
                <c:pt idx="166">
                  <c:v>45887</c:v>
                </c:pt>
                <c:pt idx="167">
                  <c:v>45883</c:v>
                </c:pt>
                <c:pt idx="168">
                  <c:v>45882</c:v>
                </c:pt>
                <c:pt idx="169">
                  <c:v>45881</c:v>
                </c:pt>
                <c:pt idx="170">
                  <c:v>45880</c:v>
                </c:pt>
                <c:pt idx="171">
                  <c:v>45877</c:v>
                </c:pt>
                <c:pt idx="172">
                  <c:v>45876</c:v>
                </c:pt>
                <c:pt idx="173">
                  <c:v>45875</c:v>
                </c:pt>
                <c:pt idx="174">
                  <c:v>45874</c:v>
                </c:pt>
                <c:pt idx="175">
                  <c:v>45873</c:v>
                </c:pt>
                <c:pt idx="176">
                  <c:v>45870</c:v>
                </c:pt>
                <c:pt idx="177">
                  <c:v>45869</c:v>
                </c:pt>
                <c:pt idx="178">
                  <c:v>45868</c:v>
                </c:pt>
                <c:pt idx="179">
                  <c:v>45867</c:v>
                </c:pt>
                <c:pt idx="180">
                  <c:v>45866</c:v>
                </c:pt>
                <c:pt idx="181">
                  <c:v>45863</c:v>
                </c:pt>
                <c:pt idx="182">
                  <c:v>45862</c:v>
                </c:pt>
                <c:pt idx="183">
                  <c:v>45861</c:v>
                </c:pt>
                <c:pt idx="184">
                  <c:v>45860</c:v>
                </c:pt>
                <c:pt idx="185">
                  <c:v>45859</c:v>
                </c:pt>
                <c:pt idx="186">
                  <c:v>45856</c:v>
                </c:pt>
                <c:pt idx="187">
                  <c:v>45855</c:v>
                </c:pt>
                <c:pt idx="188">
                  <c:v>45854</c:v>
                </c:pt>
                <c:pt idx="189">
                  <c:v>45853</c:v>
                </c:pt>
                <c:pt idx="190">
                  <c:v>45852</c:v>
                </c:pt>
                <c:pt idx="191">
                  <c:v>45849</c:v>
                </c:pt>
                <c:pt idx="192">
                  <c:v>45848</c:v>
                </c:pt>
                <c:pt idx="193">
                  <c:v>45847</c:v>
                </c:pt>
                <c:pt idx="194">
                  <c:v>45846</c:v>
                </c:pt>
                <c:pt idx="195">
                  <c:v>45845</c:v>
                </c:pt>
                <c:pt idx="196">
                  <c:v>45842</c:v>
                </c:pt>
                <c:pt idx="197">
                  <c:v>45841</c:v>
                </c:pt>
                <c:pt idx="198">
                  <c:v>45840</c:v>
                </c:pt>
                <c:pt idx="199">
                  <c:v>45839</c:v>
                </c:pt>
                <c:pt idx="200">
                  <c:v>45838</c:v>
                </c:pt>
                <c:pt idx="201">
                  <c:v>45835</c:v>
                </c:pt>
                <c:pt idx="202">
                  <c:v>45834</c:v>
                </c:pt>
                <c:pt idx="203">
                  <c:v>45833</c:v>
                </c:pt>
                <c:pt idx="204">
                  <c:v>45832</c:v>
                </c:pt>
                <c:pt idx="205">
                  <c:v>45831</c:v>
                </c:pt>
                <c:pt idx="206">
                  <c:v>45828</c:v>
                </c:pt>
                <c:pt idx="207">
                  <c:v>45827</c:v>
                </c:pt>
                <c:pt idx="208">
                  <c:v>45826</c:v>
                </c:pt>
                <c:pt idx="209">
                  <c:v>45825</c:v>
                </c:pt>
                <c:pt idx="210">
                  <c:v>45824</c:v>
                </c:pt>
                <c:pt idx="211">
                  <c:v>45821</c:v>
                </c:pt>
                <c:pt idx="212">
                  <c:v>45820</c:v>
                </c:pt>
                <c:pt idx="213">
                  <c:v>45819</c:v>
                </c:pt>
                <c:pt idx="214">
                  <c:v>45818</c:v>
                </c:pt>
                <c:pt idx="215">
                  <c:v>45817</c:v>
                </c:pt>
                <c:pt idx="216">
                  <c:v>45814</c:v>
                </c:pt>
                <c:pt idx="217">
                  <c:v>45813</c:v>
                </c:pt>
                <c:pt idx="218">
                  <c:v>45812</c:v>
                </c:pt>
                <c:pt idx="219">
                  <c:v>45811</c:v>
                </c:pt>
                <c:pt idx="220">
                  <c:v>45810</c:v>
                </c:pt>
                <c:pt idx="221">
                  <c:v>45807</c:v>
                </c:pt>
                <c:pt idx="222">
                  <c:v>45806</c:v>
                </c:pt>
                <c:pt idx="223">
                  <c:v>45805</c:v>
                </c:pt>
                <c:pt idx="224">
                  <c:v>45804</c:v>
                </c:pt>
                <c:pt idx="225">
                  <c:v>45803</c:v>
                </c:pt>
                <c:pt idx="226">
                  <c:v>45800</c:v>
                </c:pt>
                <c:pt idx="227">
                  <c:v>45799</c:v>
                </c:pt>
                <c:pt idx="228">
                  <c:v>45798</c:v>
                </c:pt>
                <c:pt idx="229">
                  <c:v>45797</c:v>
                </c:pt>
                <c:pt idx="230">
                  <c:v>45796</c:v>
                </c:pt>
                <c:pt idx="231">
                  <c:v>45793</c:v>
                </c:pt>
                <c:pt idx="232">
                  <c:v>45792</c:v>
                </c:pt>
                <c:pt idx="233">
                  <c:v>45791</c:v>
                </c:pt>
                <c:pt idx="234">
                  <c:v>45790</c:v>
                </c:pt>
                <c:pt idx="235">
                  <c:v>45789</c:v>
                </c:pt>
                <c:pt idx="236">
                  <c:v>45786</c:v>
                </c:pt>
                <c:pt idx="237">
                  <c:v>45785</c:v>
                </c:pt>
                <c:pt idx="238">
                  <c:v>45784</c:v>
                </c:pt>
                <c:pt idx="239">
                  <c:v>45783</c:v>
                </c:pt>
                <c:pt idx="240">
                  <c:v>45782</c:v>
                </c:pt>
                <c:pt idx="241">
                  <c:v>45779</c:v>
                </c:pt>
                <c:pt idx="242">
                  <c:v>45777</c:v>
                </c:pt>
                <c:pt idx="243">
                  <c:v>45776</c:v>
                </c:pt>
                <c:pt idx="244">
                  <c:v>45775</c:v>
                </c:pt>
                <c:pt idx="245">
                  <c:v>45772</c:v>
                </c:pt>
                <c:pt idx="246">
                  <c:v>45771</c:v>
                </c:pt>
                <c:pt idx="247">
                  <c:v>45770</c:v>
                </c:pt>
                <c:pt idx="248">
                  <c:v>45769</c:v>
                </c:pt>
                <c:pt idx="249">
                  <c:v>45768</c:v>
                </c:pt>
                <c:pt idx="250">
                  <c:v>45764</c:v>
                </c:pt>
                <c:pt idx="251">
                  <c:v>45763</c:v>
                </c:pt>
                <c:pt idx="252">
                  <c:v>45762</c:v>
                </c:pt>
                <c:pt idx="253">
                  <c:v>45758</c:v>
                </c:pt>
                <c:pt idx="254">
                  <c:v>45756</c:v>
                </c:pt>
                <c:pt idx="255">
                  <c:v>45755</c:v>
                </c:pt>
                <c:pt idx="256">
                  <c:v>45754</c:v>
                </c:pt>
                <c:pt idx="257">
                  <c:v>45751</c:v>
                </c:pt>
                <c:pt idx="258">
                  <c:v>45750</c:v>
                </c:pt>
                <c:pt idx="259">
                  <c:v>45749</c:v>
                </c:pt>
                <c:pt idx="260">
                  <c:v>45748</c:v>
                </c:pt>
                <c:pt idx="261">
                  <c:v>45744</c:v>
                </c:pt>
                <c:pt idx="262">
                  <c:v>45743</c:v>
                </c:pt>
                <c:pt idx="263">
                  <c:v>45742</c:v>
                </c:pt>
                <c:pt idx="264">
                  <c:v>45741</c:v>
                </c:pt>
                <c:pt idx="265">
                  <c:v>45740</c:v>
                </c:pt>
              </c:numCache>
            </c:numRef>
          </c:cat>
          <c:val>
            <c:numRef>
              <c:f>StockData!$D$3:$D$268</c:f>
              <c:numCache>
                <c:formatCode>#,##0.00</c:formatCode>
                <c:ptCount val="266"/>
                <c:pt idx="0">
                  <c:v>24378.1</c:v>
                </c:pt>
                <c:pt idx="1">
                  <c:v>24576.6</c:v>
                </c:pt>
                <c:pt idx="2">
                  <c:v>24364.85</c:v>
                </c:pt>
                <c:pt idx="3">
                  <c:v>24353.55</c:v>
                </c:pt>
                <c:pt idx="4">
                  <c:v>24196.75</c:v>
                </c:pt>
                <c:pt idx="5">
                  <c:v>24231.3</c:v>
                </c:pt>
                <c:pt idx="6">
                  <c:v>23842.65</c:v>
                </c:pt>
                <c:pt idx="7">
                  <c:v>24050.6</c:v>
                </c:pt>
                <c:pt idx="8">
                  <c:v>23775.1</c:v>
                </c:pt>
                <c:pt idx="9">
                  <c:v>23997.35</c:v>
                </c:pt>
                <c:pt idx="10">
                  <c:v>23123.65</c:v>
                </c:pt>
                <c:pt idx="11">
                  <c:v>22968.25</c:v>
                </c:pt>
                <c:pt idx="12">
                  <c:v>22713.1</c:v>
                </c:pt>
                <c:pt idx="13">
                  <c:v>22679.4</c:v>
                </c:pt>
                <c:pt idx="14">
                  <c:v>22331.4</c:v>
                </c:pt>
                <c:pt idx="15">
                  <c:v>22819.599999999999</c:v>
                </c:pt>
                <c:pt idx="16">
                  <c:v>23306.45</c:v>
                </c:pt>
                <c:pt idx="17">
                  <c:v>22912.400000000001</c:v>
                </c:pt>
                <c:pt idx="18">
                  <c:v>22512.65</c:v>
                </c:pt>
                <c:pt idx="19">
                  <c:v>23114.5</c:v>
                </c:pt>
                <c:pt idx="20">
                  <c:v>23002.15</c:v>
                </c:pt>
                <c:pt idx="21">
                  <c:v>23777.8</c:v>
                </c:pt>
                <c:pt idx="22">
                  <c:v>23581.15</c:v>
                </c:pt>
                <c:pt idx="23">
                  <c:v>23408.799999999999</c:v>
                </c:pt>
                <c:pt idx="24">
                  <c:v>23151.1</c:v>
                </c:pt>
                <c:pt idx="25">
                  <c:v>23639.15</c:v>
                </c:pt>
                <c:pt idx="26">
                  <c:v>23866.85</c:v>
                </c:pt>
                <c:pt idx="27">
                  <c:v>24261.599999999999</c:v>
                </c:pt>
                <c:pt idx="28">
                  <c:v>24028.05</c:v>
                </c:pt>
                <c:pt idx="29">
                  <c:v>24450.45</c:v>
                </c:pt>
                <c:pt idx="30">
                  <c:v>24765.9</c:v>
                </c:pt>
                <c:pt idx="31">
                  <c:v>24480.5</c:v>
                </c:pt>
                <c:pt idx="32">
                  <c:v>24865.7</c:v>
                </c:pt>
                <c:pt idx="33">
                  <c:v>25178.65</c:v>
                </c:pt>
                <c:pt idx="34">
                  <c:v>25496.55</c:v>
                </c:pt>
                <c:pt idx="35">
                  <c:v>25482.5</c:v>
                </c:pt>
                <c:pt idx="36">
                  <c:v>25424.65</c:v>
                </c:pt>
                <c:pt idx="37">
                  <c:v>25713</c:v>
                </c:pt>
                <c:pt idx="38">
                  <c:v>25571.25</c:v>
                </c:pt>
                <c:pt idx="39">
                  <c:v>25454.35</c:v>
                </c:pt>
                <c:pt idx="40">
                  <c:v>25819.35</c:v>
                </c:pt>
                <c:pt idx="41">
                  <c:v>25725.4</c:v>
                </c:pt>
                <c:pt idx="42">
                  <c:v>25682.75</c:v>
                </c:pt>
                <c:pt idx="43">
                  <c:v>25471.1</c:v>
                </c:pt>
                <c:pt idx="44">
                  <c:v>25807.200000000001</c:v>
                </c:pt>
                <c:pt idx="45">
                  <c:v>25953.85</c:v>
                </c:pt>
                <c:pt idx="46">
                  <c:v>25935.15</c:v>
                </c:pt>
                <c:pt idx="47">
                  <c:v>25867.3</c:v>
                </c:pt>
                <c:pt idx="48">
                  <c:v>25693.7</c:v>
                </c:pt>
                <c:pt idx="49">
                  <c:v>25642.799999999999</c:v>
                </c:pt>
                <c:pt idx="50">
                  <c:v>25776</c:v>
                </c:pt>
                <c:pt idx="51">
                  <c:v>25727.55</c:v>
                </c:pt>
                <c:pt idx="52">
                  <c:v>25088.400000000001</c:v>
                </c:pt>
                <c:pt idx="53">
                  <c:v>24825.45</c:v>
                </c:pt>
                <c:pt idx="54">
                  <c:v>25320.65</c:v>
                </c:pt>
                <c:pt idx="55">
                  <c:v>25418.9</c:v>
                </c:pt>
                <c:pt idx="56">
                  <c:v>25342.75</c:v>
                </c:pt>
                <c:pt idx="57">
                  <c:v>25175.4</c:v>
                </c:pt>
                <c:pt idx="58">
                  <c:v>25048.65</c:v>
                </c:pt>
                <c:pt idx="59">
                  <c:v>25289.9</c:v>
                </c:pt>
                <c:pt idx="60">
                  <c:v>25157.5</c:v>
                </c:pt>
                <c:pt idx="61">
                  <c:v>25232.5</c:v>
                </c:pt>
                <c:pt idx="62">
                  <c:v>25585.5</c:v>
                </c:pt>
                <c:pt idx="63">
                  <c:v>25694.35</c:v>
                </c:pt>
                <c:pt idx="64">
                  <c:v>25665.599999999999</c:v>
                </c:pt>
                <c:pt idx="65">
                  <c:v>25732.3</c:v>
                </c:pt>
                <c:pt idx="66">
                  <c:v>25790.25</c:v>
                </c:pt>
                <c:pt idx="67">
                  <c:v>25683.3</c:v>
                </c:pt>
                <c:pt idx="68">
                  <c:v>25876.85</c:v>
                </c:pt>
                <c:pt idx="69">
                  <c:v>26140.75</c:v>
                </c:pt>
                <c:pt idx="70">
                  <c:v>26178.7</c:v>
                </c:pt>
                <c:pt idx="71">
                  <c:v>26250.3</c:v>
                </c:pt>
                <c:pt idx="72">
                  <c:v>26328.55</c:v>
                </c:pt>
                <c:pt idx="73">
                  <c:v>26146.55</c:v>
                </c:pt>
                <c:pt idx="74">
                  <c:v>26129.599999999999</c:v>
                </c:pt>
                <c:pt idx="75">
                  <c:v>25938.85</c:v>
                </c:pt>
                <c:pt idx="76">
                  <c:v>25942.1</c:v>
                </c:pt>
                <c:pt idx="77">
                  <c:v>26042.3</c:v>
                </c:pt>
                <c:pt idx="78">
                  <c:v>26142.1</c:v>
                </c:pt>
                <c:pt idx="79">
                  <c:v>26177.15</c:v>
                </c:pt>
                <c:pt idx="80">
                  <c:v>26172.400000000001</c:v>
                </c:pt>
                <c:pt idx="81">
                  <c:v>25966.400000000001</c:v>
                </c:pt>
                <c:pt idx="82">
                  <c:v>25815.55</c:v>
                </c:pt>
                <c:pt idx="83">
                  <c:v>25818.55</c:v>
                </c:pt>
                <c:pt idx="84">
                  <c:v>25860.1</c:v>
                </c:pt>
                <c:pt idx="85">
                  <c:v>26027.3</c:v>
                </c:pt>
                <c:pt idx="86">
                  <c:v>26046.95</c:v>
                </c:pt>
                <c:pt idx="87">
                  <c:v>25898.55</c:v>
                </c:pt>
                <c:pt idx="88">
                  <c:v>25758</c:v>
                </c:pt>
                <c:pt idx="89">
                  <c:v>25839.65</c:v>
                </c:pt>
                <c:pt idx="90">
                  <c:v>25960.55</c:v>
                </c:pt>
                <c:pt idx="91">
                  <c:v>26186.45</c:v>
                </c:pt>
                <c:pt idx="92">
                  <c:v>26033.75</c:v>
                </c:pt>
                <c:pt idx="93">
                  <c:v>25986</c:v>
                </c:pt>
                <c:pt idx="94">
                  <c:v>26032.2</c:v>
                </c:pt>
                <c:pt idx="95">
                  <c:v>26175.75</c:v>
                </c:pt>
                <c:pt idx="96">
                  <c:v>26202.95</c:v>
                </c:pt>
                <c:pt idx="97">
                  <c:v>26215.55</c:v>
                </c:pt>
                <c:pt idx="98">
                  <c:v>26205.3</c:v>
                </c:pt>
                <c:pt idx="99">
                  <c:v>25884.799999999999</c:v>
                </c:pt>
                <c:pt idx="100">
                  <c:v>25959.5</c:v>
                </c:pt>
                <c:pt idx="101">
                  <c:v>26068.15</c:v>
                </c:pt>
                <c:pt idx="102">
                  <c:v>26192.15</c:v>
                </c:pt>
                <c:pt idx="103">
                  <c:v>26052.65</c:v>
                </c:pt>
                <c:pt idx="104">
                  <c:v>25910.05</c:v>
                </c:pt>
                <c:pt idx="105">
                  <c:v>26013.45</c:v>
                </c:pt>
                <c:pt idx="106">
                  <c:v>25910.05</c:v>
                </c:pt>
                <c:pt idx="107">
                  <c:v>25879.15</c:v>
                </c:pt>
                <c:pt idx="108">
                  <c:v>25875.8</c:v>
                </c:pt>
                <c:pt idx="109">
                  <c:v>25694.95</c:v>
                </c:pt>
                <c:pt idx="110">
                  <c:v>25574.35</c:v>
                </c:pt>
                <c:pt idx="111">
                  <c:v>25492.3</c:v>
                </c:pt>
                <c:pt idx="112">
                  <c:v>25509.7</c:v>
                </c:pt>
                <c:pt idx="113">
                  <c:v>25597.65</c:v>
                </c:pt>
                <c:pt idx="114">
                  <c:v>25763.35</c:v>
                </c:pt>
                <c:pt idx="115">
                  <c:v>25722.1</c:v>
                </c:pt>
                <c:pt idx="116">
                  <c:v>25877.85</c:v>
                </c:pt>
                <c:pt idx="117">
                  <c:v>26053.9</c:v>
                </c:pt>
                <c:pt idx="118">
                  <c:v>25936.2</c:v>
                </c:pt>
                <c:pt idx="119">
                  <c:v>25966.05</c:v>
                </c:pt>
                <c:pt idx="120">
                  <c:v>25795.15</c:v>
                </c:pt>
                <c:pt idx="121">
                  <c:v>25891.4</c:v>
                </c:pt>
                <c:pt idx="122">
                  <c:v>25868.6</c:v>
                </c:pt>
                <c:pt idx="123">
                  <c:v>25843.15</c:v>
                </c:pt>
                <c:pt idx="124">
                  <c:v>25709.85</c:v>
                </c:pt>
                <c:pt idx="125">
                  <c:v>25585.3</c:v>
                </c:pt>
                <c:pt idx="126">
                  <c:v>25323.55</c:v>
                </c:pt>
                <c:pt idx="127">
                  <c:v>25145.5</c:v>
                </c:pt>
                <c:pt idx="128">
                  <c:v>25227.35</c:v>
                </c:pt>
                <c:pt idx="129">
                  <c:v>25285.35</c:v>
                </c:pt>
                <c:pt idx="130">
                  <c:v>25181.8</c:v>
                </c:pt>
                <c:pt idx="131">
                  <c:v>25046.15</c:v>
                </c:pt>
                <c:pt idx="132">
                  <c:v>25108.3</c:v>
                </c:pt>
                <c:pt idx="133">
                  <c:v>25077.65</c:v>
                </c:pt>
                <c:pt idx="134">
                  <c:v>24894.25</c:v>
                </c:pt>
                <c:pt idx="135">
                  <c:v>24836.3</c:v>
                </c:pt>
                <c:pt idx="136">
                  <c:v>24611.1</c:v>
                </c:pt>
                <c:pt idx="137">
                  <c:v>24634.9</c:v>
                </c:pt>
                <c:pt idx="138">
                  <c:v>24654.7</c:v>
                </c:pt>
                <c:pt idx="139">
                  <c:v>24890.85</c:v>
                </c:pt>
                <c:pt idx="140">
                  <c:v>25056.9</c:v>
                </c:pt>
                <c:pt idx="141">
                  <c:v>25169.5</c:v>
                </c:pt>
                <c:pt idx="142">
                  <c:v>25202.35</c:v>
                </c:pt>
                <c:pt idx="143">
                  <c:v>25327.05</c:v>
                </c:pt>
                <c:pt idx="144">
                  <c:v>25423.599999999999</c:v>
                </c:pt>
                <c:pt idx="145">
                  <c:v>25330.25</c:v>
                </c:pt>
                <c:pt idx="146">
                  <c:v>25239.1</c:v>
                </c:pt>
                <c:pt idx="147">
                  <c:v>25069.200000000001</c:v>
                </c:pt>
                <c:pt idx="148">
                  <c:v>25114</c:v>
                </c:pt>
                <c:pt idx="149">
                  <c:v>25005.5</c:v>
                </c:pt>
                <c:pt idx="150">
                  <c:v>24973.1</c:v>
                </c:pt>
                <c:pt idx="151">
                  <c:v>24868.6</c:v>
                </c:pt>
                <c:pt idx="152">
                  <c:v>24773.15</c:v>
                </c:pt>
                <c:pt idx="153">
                  <c:v>24741</c:v>
                </c:pt>
                <c:pt idx="154">
                  <c:v>24734.3</c:v>
                </c:pt>
                <c:pt idx="155">
                  <c:v>24715.05</c:v>
                </c:pt>
                <c:pt idx="156">
                  <c:v>24579.599999999999</c:v>
                </c:pt>
                <c:pt idx="157">
                  <c:v>24625.05</c:v>
                </c:pt>
                <c:pt idx="158">
                  <c:v>24426.85</c:v>
                </c:pt>
                <c:pt idx="159">
                  <c:v>24500.9</c:v>
                </c:pt>
                <c:pt idx="160">
                  <c:v>24712.05</c:v>
                </c:pt>
                <c:pt idx="161">
                  <c:v>24967.75</c:v>
                </c:pt>
                <c:pt idx="162">
                  <c:v>24870.1</c:v>
                </c:pt>
                <c:pt idx="163">
                  <c:v>25083.75</c:v>
                </c:pt>
                <c:pt idx="164">
                  <c:v>25050.55</c:v>
                </c:pt>
                <c:pt idx="165">
                  <c:v>24980.65</c:v>
                </c:pt>
                <c:pt idx="166">
                  <c:v>24876.95</c:v>
                </c:pt>
                <c:pt idx="167">
                  <c:v>24631.3</c:v>
                </c:pt>
                <c:pt idx="168">
                  <c:v>24619.35</c:v>
                </c:pt>
                <c:pt idx="169">
                  <c:v>24487.4</c:v>
                </c:pt>
                <c:pt idx="170">
                  <c:v>24585.05</c:v>
                </c:pt>
                <c:pt idx="171">
                  <c:v>24363.3</c:v>
                </c:pt>
                <c:pt idx="172">
                  <c:v>24596.15</c:v>
                </c:pt>
                <c:pt idx="173">
                  <c:v>24574.2</c:v>
                </c:pt>
                <c:pt idx="174">
                  <c:v>24649.55</c:v>
                </c:pt>
                <c:pt idx="175">
                  <c:v>24722.75</c:v>
                </c:pt>
                <c:pt idx="176">
                  <c:v>24565.35</c:v>
                </c:pt>
                <c:pt idx="177">
                  <c:v>24768.35</c:v>
                </c:pt>
                <c:pt idx="178">
                  <c:v>24855.05</c:v>
                </c:pt>
                <c:pt idx="179">
                  <c:v>24821.1</c:v>
                </c:pt>
                <c:pt idx="180">
                  <c:v>24680.9</c:v>
                </c:pt>
                <c:pt idx="181">
                  <c:v>24837</c:v>
                </c:pt>
                <c:pt idx="182">
                  <c:v>25062.1</c:v>
                </c:pt>
                <c:pt idx="183">
                  <c:v>25219.9</c:v>
                </c:pt>
                <c:pt idx="184">
                  <c:v>25060.9</c:v>
                </c:pt>
                <c:pt idx="185">
                  <c:v>25090.7</c:v>
                </c:pt>
                <c:pt idx="186">
                  <c:v>24968.400000000001</c:v>
                </c:pt>
                <c:pt idx="187">
                  <c:v>25111.45</c:v>
                </c:pt>
                <c:pt idx="188">
                  <c:v>25212.05</c:v>
                </c:pt>
                <c:pt idx="189">
                  <c:v>25195.8</c:v>
                </c:pt>
                <c:pt idx="190">
                  <c:v>25082.3</c:v>
                </c:pt>
                <c:pt idx="191">
                  <c:v>25149.85</c:v>
                </c:pt>
                <c:pt idx="192">
                  <c:v>25355.25</c:v>
                </c:pt>
                <c:pt idx="193">
                  <c:v>25476.1</c:v>
                </c:pt>
                <c:pt idx="194">
                  <c:v>25522.5</c:v>
                </c:pt>
                <c:pt idx="195">
                  <c:v>25461.3</c:v>
                </c:pt>
                <c:pt idx="196">
                  <c:v>25461</c:v>
                </c:pt>
                <c:pt idx="197">
                  <c:v>25405.3</c:v>
                </c:pt>
                <c:pt idx="198">
                  <c:v>25453.4</c:v>
                </c:pt>
                <c:pt idx="199">
                  <c:v>25541.8</c:v>
                </c:pt>
                <c:pt idx="200">
                  <c:v>25517.05</c:v>
                </c:pt>
                <c:pt idx="201">
                  <c:v>25637.8</c:v>
                </c:pt>
                <c:pt idx="202">
                  <c:v>25549</c:v>
                </c:pt>
                <c:pt idx="203">
                  <c:v>25244.75</c:v>
                </c:pt>
                <c:pt idx="204">
                  <c:v>25044.35</c:v>
                </c:pt>
                <c:pt idx="205">
                  <c:v>24971.9</c:v>
                </c:pt>
                <c:pt idx="206">
                  <c:v>25112.400000000001</c:v>
                </c:pt>
                <c:pt idx="207">
                  <c:v>24793.25</c:v>
                </c:pt>
                <c:pt idx="208">
                  <c:v>24812.05</c:v>
                </c:pt>
                <c:pt idx="209">
                  <c:v>24853.4</c:v>
                </c:pt>
                <c:pt idx="210">
                  <c:v>24946.5</c:v>
                </c:pt>
                <c:pt idx="211">
                  <c:v>24718.6</c:v>
                </c:pt>
                <c:pt idx="212">
                  <c:v>24888.2</c:v>
                </c:pt>
                <c:pt idx="213">
                  <c:v>25141.4</c:v>
                </c:pt>
                <c:pt idx="214">
                  <c:v>25104.25</c:v>
                </c:pt>
                <c:pt idx="215">
                  <c:v>25103.200000000001</c:v>
                </c:pt>
                <c:pt idx="216">
                  <c:v>25003.05</c:v>
                </c:pt>
                <c:pt idx="217">
                  <c:v>24750.9</c:v>
                </c:pt>
                <c:pt idx="218">
                  <c:v>24620.2</c:v>
                </c:pt>
                <c:pt idx="219">
                  <c:v>24542.5</c:v>
                </c:pt>
                <c:pt idx="220">
                  <c:v>24716.6</c:v>
                </c:pt>
                <c:pt idx="221">
                  <c:v>24750.7</c:v>
                </c:pt>
                <c:pt idx="222">
                  <c:v>24833.599999999999</c:v>
                </c:pt>
                <c:pt idx="223">
                  <c:v>24752.45</c:v>
                </c:pt>
                <c:pt idx="224">
                  <c:v>24826.2</c:v>
                </c:pt>
                <c:pt idx="225">
                  <c:v>25001.15</c:v>
                </c:pt>
                <c:pt idx="226">
                  <c:v>24853.15</c:v>
                </c:pt>
                <c:pt idx="227">
                  <c:v>24609.7</c:v>
                </c:pt>
                <c:pt idx="228">
                  <c:v>24813.45</c:v>
                </c:pt>
                <c:pt idx="229">
                  <c:v>24683.9</c:v>
                </c:pt>
                <c:pt idx="230">
                  <c:v>24945.45</c:v>
                </c:pt>
                <c:pt idx="231">
                  <c:v>25019.8</c:v>
                </c:pt>
                <c:pt idx="232">
                  <c:v>25062.1</c:v>
                </c:pt>
                <c:pt idx="233">
                  <c:v>24666.9</c:v>
                </c:pt>
                <c:pt idx="234">
                  <c:v>24578.35</c:v>
                </c:pt>
                <c:pt idx="235">
                  <c:v>24924.7</c:v>
                </c:pt>
                <c:pt idx="236">
                  <c:v>24008</c:v>
                </c:pt>
                <c:pt idx="237">
                  <c:v>24273.8</c:v>
                </c:pt>
                <c:pt idx="238">
                  <c:v>24414.400000000001</c:v>
                </c:pt>
                <c:pt idx="239">
                  <c:v>24379.599999999999</c:v>
                </c:pt>
                <c:pt idx="240">
                  <c:v>24461.15</c:v>
                </c:pt>
                <c:pt idx="241">
                  <c:v>24346.7</c:v>
                </c:pt>
                <c:pt idx="242">
                  <c:v>24334.2</c:v>
                </c:pt>
                <c:pt idx="243">
                  <c:v>24335.95</c:v>
                </c:pt>
                <c:pt idx="244">
                  <c:v>24328.5</c:v>
                </c:pt>
                <c:pt idx="245">
                  <c:v>24039.35</c:v>
                </c:pt>
                <c:pt idx="246">
                  <c:v>24246.7</c:v>
                </c:pt>
                <c:pt idx="247">
                  <c:v>24328.95</c:v>
                </c:pt>
                <c:pt idx="248">
                  <c:v>24167.25</c:v>
                </c:pt>
                <c:pt idx="249">
                  <c:v>24125.55</c:v>
                </c:pt>
                <c:pt idx="250">
                  <c:v>23851.65</c:v>
                </c:pt>
                <c:pt idx="251">
                  <c:v>23437.200000000001</c:v>
                </c:pt>
                <c:pt idx="252">
                  <c:v>23328.55</c:v>
                </c:pt>
                <c:pt idx="253">
                  <c:v>22828.55</c:v>
                </c:pt>
                <c:pt idx="254">
                  <c:v>22399.15</c:v>
                </c:pt>
                <c:pt idx="255">
                  <c:v>22535.85</c:v>
                </c:pt>
                <c:pt idx="256">
                  <c:v>22161.599999999999</c:v>
                </c:pt>
                <c:pt idx="257">
                  <c:v>22904.45</c:v>
                </c:pt>
                <c:pt idx="258">
                  <c:v>23250.1</c:v>
                </c:pt>
                <c:pt idx="259">
                  <c:v>23332.35</c:v>
                </c:pt>
                <c:pt idx="260">
                  <c:v>23165.7</c:v>
                </c:pt>
                <c:pt idx="261">
                  <c:v>23519.35</c:v>
                </c:pt>
                <c:pt idx="262">
                  <c:v>23591.95</c:v>
                </c:pt>
                <c:pt idx="263">
                  <c:v>23486.85</c:v>
                </c:pt>
                <c:pt idx="264">
                  <c:v>23668.65</c:v>
                </c:pt>
                <c:pt idx="265">
                  <c:v>23658.35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F1-47D2-80B7-3E968471C8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6220367"/>
        <c:axId val="556217487"/>
      </c:lineChart>
      <c:dateAx>
        <c:axId val="556220367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217487"/>
        <c:crosses val="autoZero"/>
        <c:auto val="1"/>
        <c:lblOffset val="100"/>
        <c:baseTimeUnit val="days"/>
        <c:majorUnit val="3"/>
        <c:majorTimeUnit val="months"/>
      </c:dateAx>
      <c:valAx>
        <c:axId val="556217487"/>
        <c:scaling>
          <c:orientation val="minMax"/>
          <c:min val="50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220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lumMod val="50000"/>
              </a:schemeClr>
            </a:solidFill>
            <a:ln>
              <a:solidFill>
                <a:schemeClr val="dk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'Data Sheet'!$B$133:$F$133</c:f>
              <c:numCache>
                <c:formatCode>yyyy"A"</c:formatCode>
                <c:ptCount val="5"/>
                <c:pt idx="0">
                  <c:v>44286</c:v>
                </c:pt>
                <c:pt idx="1">
                  <c:v>44651</c:v>
                </c:pt>
                <c:pt idx="2">
                  <c:v>45016</c:v>
                </c:pt>
                <c:pt idx="3">
                  <c:v>45382</c:v>
                </c:pt>
                <c:pt idx="4">
                  <c:v>45747</c:v>
                </c:pt>
              </c:numCache>
            </c:numRef>
          </c:cat>
          <c:val>
            <c:numRef>
              <c:f>'Data Sheet'!$B$138:$F$138</c:f>
              <c:numCache>
                <c:formatCode>_(* #,##0.00_);_(* \(#,##0.00\);_(* "-"??_);_(@_)</c:formatCode>
                <c:ptCount val="5"/>
                <c:pt idx="0">
                  <c:v>85.1</c:v>
                </c:pt>
                <c:pt idx="1">
                  <c:v>92.53</c:v>
                </c:pt>
                <c:pt idx="2">
                  <c:v>104.09</c:v>
                </c:pt>
                <c:pt idx="3">
                  <c:v>117.2</c:v>
                </c:pt>
                <c:pt idx="4">
                  <c:v>133.13999999999999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55-4A52-8544-7BD17EC96B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2125824"/>
        <c:axId val="72126304"/>
      </c:barChart>
      <c:dateAx>
        <c:axId val="72125824"/>
        <c:scaling>
          <c:orientation val="minMax"/>
        </c:scaling>
        <c:delete val="0"/>
        <c:axPos val="l"/>
        <c:numFmt formatCode="yyyy&quot;A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26304"/>
        <c:crosses val="autoZero"/>
        <c:auto val="1"/>
        <c:lblOffset val="100"/>
        <c:baseTimeUnit val="years"/>
      </c:dateAx>
      <c:valAx>
        <c:axId val="72126304"/>
        <c:scaling>
          <c:orientation val="minMax"/>
        </c:scaling>
        <c:delete val="1"/>
        <c:axPos val="b"/>
        <c:numFmt formatCode="_(* #,##0.00_);_(* \(#,##0.00\);_(* &quot;-&quot;??_);_(@_)" sourceLinked="1"/>
        <c:majorTickMark val="none"/>
        <c:minorTickMark val="none"/>
        <c:tickLblPos val="nextTo"/>
        <c:crossAx val="72125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7136752136752137E-2"/>
          <c:y val="7.1070818993256665E-2"/>
          <c:w val="0.94029914529914527"/>
          <c:h val="0.6562361068362915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Inc_Stat!$D$33</c:f>
              <c:strCache>
                <c:ptCount val="1"/>
                <c:pt idx="0">
                  <c:v>Net Profit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6EE-4416-9B5A-CA507FFAAE51}"/>
              </c:ext>
            </c:extLst>
          </c:dPt>
          <c:cat>
            <c:numRef>
              <c:f>Inc_Stat!$K$8:$O$8</c:f>
              <c:numCache>
                <c:formatCode>yyyy"A"</c:formatCode>
                <c:ptCount val="5"/>
                <c:pt idx="0">
                  <c:v>44286</c:v>
                </c:pt>
                <c:pt idx="1">
                  <c:v>44651</c:v>
                </c:pt>
                <c:pt idx="2">
                  <c:v>45016</c:v>
                </c:pt>
                <c:pt idx="3">
                  <c:v>45382</c:v>
                </c:pt>
                <c:pt idx="4">
                  <c:v>45747</c:v>
                </c:pt>
              </c:numCache>
            </c:numRef>
          </c:cat>
          <c:val>
            <c:numRef>
              <c:f>Inc_Stat!$K$33:$O$33</c:f>
              <c:numCache>
                <c:formatCode>#,##0;\(#,##0\);\ \-\-</c:formatCode>
                <c:ptCount val="5"/>
                <c:pt idx="0">
                  <c:v>4843.329999999999</c:v>
                </c:pt>
                <c:pt idx="1">
                  <c:v>6664.83</c:v>
                </c:pt>
                <c:pt idx="2">
                  <c:v>4566.2900000000027</c:v>
                </c:pt>
                <c:pt idx="3">
                  <c:v>6446.9999999999982</c:v>
                </c:pt>
                <c:pt idx="4">
                  <c:v>5642.9000000000042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EE-4416-9B5A-CA507FFAAE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0"/>
        <c:overlap val="-27"/>
        <c:axId val="556234767"/>
        <c:axId val="556236687"/>
      </c:barChart>
      <c:lineChart>
        <c:grouping val="standard"/>
        <c:varyColors val="0"/>
        <c:ser>
          <c:idx val="1"/>
          <c:order val="1"/>
          <c:tx>
            <c:strRef>
              <c:f>Inc_Stat!$D$38</c:f>
              <c:strCache>
                <c:ptCount val="1"/>
                <c:pt idx="0">
                  <c:v>Earnings per Share (₹)</c:v>
                </c:pt>
              </c:strCache>
            </c:strRef>
          </c:tx>
          <c:spPr>
            <a:ln w="25400" cap="rnd">
              <a:solidFill>
                <a:srgbClr val="99003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Inc_Stat!$K$8:$O$8</c:f>
              <c:numCache>
                <c:formatCode>yyyy"A"</c:formatCode>
                <c:ptCount val="5"/>
                <c:pt idx="0">
                  <c:v>44286</c:v>
                </c:pt>
                <c:pt idx="1">
                  <c:v>44651</c:v>
                </c:pt>
                <c:pt idx="2">
                  <c:v>45016</c:v>
                </c:pt>
                <c:pt idx="3">
                  <c:v>45382</c:v>
                </c:pt>
                <c:pt idx="4">
                  <c:v>45747</c:v>
                </c:pt>
              </c:numCache>
            </c:numRef>
          </c:cat>
          <c:val>
            <c:numRef>
              <c:f>Inc_Stat!$K$38:$O$38</c:f>
              <c:numCache>
                <c:formatCode>_ [$₹-4009]\ * #,##0.0_ ;_ [$₹-4009]\ * \-#,##0.0_ ;_ [$₹-4009]\ * "-"??_ ;_ @_ </c:formatCode>
                <c:ptCount val="5"/>
                <c:pt idx="0">
                  <c:v>167.76342223761685</c:v>
                </c:pt>
                <c:pt idx="1">
                  <c:v>230.85659854520262</c:v>
                </c:pt>
                <c:pt idx="2">
                  <c:v>158.1673016972637</c:v>
                </c:pt>
                <c:pt idx="3">
                  <c:v>223.3113959127121</c:v>
                </c:pt>
                <c:pt idx="4">
                  <c:v>191.47947064811689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6EE-4416-9B5A-CA507FFAAE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6241967"/>
        <c:axId val="556227087"/>
      </c:lineChart>
      <c:dateAx>
        <c:axId val="556234767"/>
        <c:scaling>
          <c:orientation val="minMax"/>
        </c:scaling>
        <c:delete val="0"/>
        <c:axPos val="b"/>
        <c:numFmt formatCode="yyyy&quot;A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236687"/>
        <c:crosses val="autoZero"/>
        <c:auto val="1"/>
        <c:lblOffset val="100"/>
        <c:baseTimeUnit val="years"/>
      </c:dateAx>
      <c:valAx>
        <c:axId val="556236687"/>
        <c:scaling>
          <c:orientation val="minMax"/>
        </c:scaling>
        <c:delete val="0"/>
        <c:axPos val="l"/>
        <c:numFmt formatCode="#,##0;\(#,##0\);\ \-\-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234767"/>
        <c:crosses val="autoZero"/>
        <c:crossBetween val="between"/>
      </c:valAx>
      <c:valAx>
        <c:axId val="556227087"/>
        <c:scaling>
          <c:orientation val="minMax"/>
        </c:scaling>
        <c:delete val="0"/>
        <c:axPos val="r"/>
        <c:numFmt formatCode="_ [$₹-4009]\ * #,##0.0_ ;_ [$₹-4009]\ * \-#,##0.0_ ;_ [$₹-4009]\ * &quot;-&quot;??_ ;_ @_ 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241967"/>
        <c:crosses val="max"/>
        <c:crossBetween val="between"/>
      </c:valAx>
      <c:dateAx>
        <c:axId val="556241967"/>
        <c:scaling>
          <c:orientation val="minMax"/>
        </c:scaling>
        <c:delete val="1"/>
        <c:axPos val="b"/>
        <c:numFmt formatCode="yyyy&quot;A&quot;" sourceLinked="1"/>
        <c:majorTickMark val="out"/>
        <c:minorTickMark val="none"/>
        <c:tickLblPos val="nextTo"/>
        <c:crossAx val="556227087"/>
        <c:crosses val="autoZero"/>
        <c:auto val="1"/>
        <c:lblOffset val="100"/>
        <c:baseTimeUnit val="year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ValGraph!$D$28:$D$37</c15:sqref>
                  </c15:fullRef>
                </c:ext>
              </c:extLst>
              <c:f>(ValGraph!$D$28:$D$30,ValGraph!$D$32:$D$35,ValGraph!$D$37)</c:f>
              <c:strCache>
                <c:ptCount val="8"/>
                <c:pt idx="0">
                  <c:v>Discounted Cash Flow Analysis</c:v>
                </c:pt>
                <c:pt idx="1">
                  <c:v>11.5% - 13.5% Discount Factor, 3.0% - 7.0% Perpetuity Growth Rate</c:v>
                </c:pt>
                <c:pt idx="2">
                  <c:v>11.5% - 13.5% Discount Factor, 8.0x - 12.0x EBITDA Multiple</c:v>
                </c:pt>
                <c:pt idx="3">
                  <c:v>Public Company Comparables</c:v>
                </c:pt>
                <c:pt idx="4">
                  <c:v>EV/Revenue</c:v>
                </c:pt>
                <c:pt idx="5">
                  <c:v>EV/EBITDA</c:v>
                </c:pt>
                <c:pt idx="6">
                  <c:v>P/E</c:v>
                </c:pt>
                <c:pt idx="7">
                  <c:v>52-week high/low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ValGraph!$N$28:$N$37</c15:sqref>
                  </c15:fullRef>
                </c:ext>
              </c:extLst>
              <c:f>(ValGraph!$N$28:$N$30,ValGraph!$N$32:$N$35,ValGraph!$N$37)</c:f>
              <c:numCache>
                <c:formatCode>"₹"\ #,##0</c:formatCode>
                <c:ptCount val="8"/>
                <c:pt idx="1">
                  <c:v>2289.4454349778903</c:v>
                </c:pt>
                <c:pt idx="2">
                  <c:v>3992.981892121662</c:v>
                </c:pt>
                <c:pt idx="4">
                  <c:v>2050.326774663627</c:v>
                </c:pt>
                <c:pt idx="5">
                  <c:v>2403.450005716244</c:v>
                </c:pt>
                <c:pt idx="6">
                  <c:v>-551.13294578172918</c:v>
                </c:pt>
                <c:pt idx="7">
                  <c:v>10325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95-4807-9051-A4C949B5B488}"/>
            </c:ext>
          </c:extLst>
        </c:ser>
        <c:ser>
          <c:idx val="1"/>
          <c:order val="1"/>
          <c:spPr>
            <a:solidFill>
              <a:srgbClr val="0070C0"/>
            </a:solidFill>
            <a:ln>
              <a:solidFill>
                <a:srgbClr val="141843"/>
              </a:solidFill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ValGraph!$D$28:$D$37</c15:sqref>
                  </c15:fullRef>
                </c:ext>
              </c:extLst>
              <c:f>(ValGraph!$D$28:$D$30,ValGraph!$D$32:$D$35,ValGraph!$D$37)</c:f>
              <c:strCache>
                <c:ptCount val="8"/>
                <c:pt idx="0">
                  <c:v>Discounted Cash Flow Analysis</c:v>
                </c:pt>
                <c:pt idx="1">
                  <c:v>11.5% - 13.5% Discount Factor, 3.0% - 7.0% Perpetuity Growth Rate</c:v>
                </c:pt>
                <c:pt idx="2">
                  <c:v>11.5% - 13.5% Discount Factor, 8.0x - 12.0x EBITDA Multiple</c:v>
                </c:pt>
                <c:pt idx="3">
                  <c:v>Public Company Comparables</c:v>
                </c:pt>
                <c:pt idx="4">
                  <c:v>EV/Revenue</c:v>
                </c:pt>
                <c:pt idx="5">
                  <c:v>EV/EBITDA</c:v>
                </c:pt>
                <c:pt idx="6">
                  <c:v>P/E</c:v>
                </c:pt>
                <c:pt idx="7">
                  <c:v>52-week high/low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ValGraph!$O$28:$O$37</c15:sqref>
                  </c15:fullRef>
                </c:ext>
              </c:extLst>
              <c:f>(ValGraph!$O$28:$O$30,ValGraph!$O$32:$O$35,ValGraph!$O$37)</c:f>
              <c:numCache>
                <c:formatCode>"₹"\ #,##0</c:formatCode>
                <c:ptCount val="8"/>
                <c:pt idx="1">
                  <c:v>2846.2453232429316</c:v>
                </c:pt>
                <c:pt idx="2">
                  <c:v>4540.1071122780259</c:v>
                </c:pt>
                <c:pt idx="4">
                  <c:v>6612.7526803591809</c:v>
                </c:pt>
                <c:pt idx="5">
                  <c:v>5428.7373421296024</c:v>
                </c:pt>
                <c:pt idx="6">
                  <c:v>7228.6446418739906</c:v>
                </c:pt>
                <c:pt idx="7">
                  <c:v>11717.5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95-4807-9051-A4C949B5B488}"/>
            </c:ext>
          </c:extLst>
        </c:ser>
        <c:ser>
          <c:idx val="2"/>
          <c:order val="2"/>
          <c:spPr>
            <a:noFill/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ValGraph!$D$28:$D$37</c15:sqref>
                  </c15:fullRef>
                </c:ext>
              </c:extLst>
              <c:f>(ValGraph!$D$28:$D$30,ValGraph!$D$32:$D$35,ValGraph!$D$37)</c:f>
              <c:strCache>
                <c:ptCount val="8"/>
                <c:pt idx="0">
                  <c:v>Discounted Cash Flow Analysis</c:v>
                </c:pt>
                <c:pt idx="1">
                  <c:v>11.5% - 13.5% Discount Factor, 3.0% - 7.0% Perpetuity Growth Rate</c:v>
                </c:pt>
                <c:pt idx="2">
                  <c:v>11.5% - 13.5% Discount Factor, 8.0x - 12.0x EBITDA Multiple</c:v>
                </c:pt>
                <c:pt idx="3">
                  <c:v>Public Company Comparables</c:v>
                </c:pt>
                <c:pt idx="4">
                  <c:v>EV/Revenue</c:v>
                </c:pt>
                <c:pt idx="5">
                  <c:v>EV/EBITDA</c:v>
                </c:pt>
                <c:pt idx="6">
                  <c:v>P/E</c:v>
                </c:pt>
                <c:pt idx="7">
                  <c:v>52-week high/low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ValGraph!$P$28:$P$37</c15:sqref>
                  </c15:fullRef>
                </c:ext>
              </c:extLst>
              <c:f>(ValGraph!$P$28:$P$30,ValGraph!$P$32:$P$35,ValGraph!$P$37)</c:f>
              <c:numCache>
                <c:formatCode>"₹"\ #,##0</c:formatCode>
                <c:ptCount val="8"/>
                <c:pt idx="1">
                  <c:v>3679.4136669622799</c:v>
                </c:pt>
                <c:pt idx="2">
                  <c:v>5107.8917142622331</c:v>
                </c:pt>
                <c:pt idx="4">
                  <c:v>11123.124818229093</c:v>
                </c:pt>
                <c:pt idx="5">
                  <c:v>7816.5898681477065</c:v>
                </c:pt>
                <c:pt idx="6">
                  <c:v>23370.866624993414</c:v>
                </c:pt>
                <c:pt idx="7">
                  <c:v>13110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95-4807-9051-A4C949B5B4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80815247"/>
        <c:axId val="480798927"/>
      </c:barChart>
      <c:catAx>
        <c:axId val="48081524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0798927"/>
        <c:crosses val="autoZero"/>
        <c:auto val="1"/>
        <c:lblAlgn val="ctr"/>
        <c:lblOffset val="100"/>
        <c:noMultiLvlLbl val="0"/>
      </c:catAx>
      <c:valAx>
        <c:axId val="480798927"/>
        <c:scaling>
          <c:orientation val="minMax"/>
          <c:max val="25000"/>
          <c:min val="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0815247"/>
        <c:crosses val="max"/>
        <c:crossBetween val="between"/>
        <c:majorUnit val="25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.xml"/><Relationship Id="rId13" Type="http://schemas.openxmlformats.org/officeDocument/2006/relationships/image" Target="../media/image5.tmp"/><Relationship Id="rId3" Type="http://schemas.openxmlformats.org/officeDocument/2006/relationships/image" Target="../media/image1.png"/><Relationship Id="rId7" Type="http://schemas.openxmlformats.org/officeDocument/2006/relationships/chart" Target="../charts/chart5.xml"/><Relationship Id="rId12" Type="http://schemas.openxmlformats.org/officeDocument/2006/relationships/image" Target="../media/image4.tmp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4.xml"/><Relationship Id="rId11" Type="http://schemas.openxmlformats.org/officeDocument/2006/relationships/image" Target="../media/image3.tmp"/><Relationship Id="rId5" Type="http://schemas.openxmlformats.org/officeDocument/2006/relationships/chart" Target="../charts/chart3.xml"/><Relationship Id="rId10" Type="http://schemas.openxmlformats.org/officeDocument/2006/relationships/image" Target="../media/image2.tmp"/><Relationship Id="rId4" Type="http://schemas.microsoft.com/office/2007/relationships/hdphoto" Target="../media/hdphoto1.wdp"/><Relationship Id="rId9" Type="http://schemas.openxmlformats.org/officeDocument/2006/relationships/chart" Target="../charts/chart7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152398</xdr:colOff>
      <xdr:row>31</xdr:row>
      <xdr:rowOff>125895</xdr:rowOff>
    </xdr:from>
    <xdr:to>
      <xdr:col>12</xdr:col>
      <xdr:colOff>7498</xdr:colOff>
      <xdr:row>41</xdr:row>
      <xdr:rowOff>53009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48560AE3-7363-4F97-B479-D98EB27C6B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26934</xdr:colOff>
      <xdr:row>85</xdr:row>
      <xdr:rowOff>8871</xdr:rowOff>
    </xdr:from>
    <xdr:to>
      <xdr:col>16</xdr:col>
      <xdr:colOff>538134</xdr:colOff>
      <xdr:row>93</xdr:row>
      <xdr:rowOff>144629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49DB5A-CB0A-40C8-BBCE-7C333E5A13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417781</xdr:colOff>
      <xdr:row>2</xdr:row>
      <xdr:rowOff>115613</xdr:rowOff>
    </xdr:from>
    <xdr:to>
      <xdr:col>16</xdr:col>
      <xdr:colOff>465597</xdr:colOff>
      <xdr:row>7</xdr:row>
      <xdr:rowOff>75046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655CC77-B05E-2A6E-5B40-26DBB9FC0F0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colorTemperature colorTemp="5900"/>
                  </a14:imgEffect>
                  <a14:imgEffect>
                    <a14:saturation sat="75000"/>
                  </a14:imgEffect>
                </a14:imgLayer>
              </a14:imgProps>
            </a:ext>
          </a:extLst>
        </a:blip>
        <a:srcRect l="19247" t="25082" r="19098" b="25894"/>
        <a:stretch>
          <a:fillRect/>
        </a:stretch>
      </xdr:blipFill>
      <xdr:spPr>
        <a:xfrm>
          <a:off x="6723988" y="483475"/>
          <a:ext cx="1267016" cy="716178"/>
        </a:xfrm>
        <a:prstGeom prst="rect">
          <a:avLst/>
        </a:prstGeom>
        <a:solidFill>
          <a:srgbClr val="141843">
            <a:alpha val="0"/>
          </a:srgbClr>
        </a:solidFill>
      </xdr:spPr>
    </xdr:pic>
    <xdr:clientData/>
  </xdr:twoCellAnchor>
  <xdr:twoCellAnchor>
    <xdr:from>
      <xdr:col>13</xdr:col>
      <xdr:colOff>449389</xdr:colOff>
      <xdr:row>114</xdr:row>
      <xdr:rowOff>43721</xdr:rowOff>
    </xdr:from>
    <xdr:to>
      <xdr:col>17</xdr:col>
      <xdr:colOff>134989</xdr:colOff>
      <xdr:row>122</xdr:row>
      <xdr:rowOff>147144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5B0C0EB-DE55-4124-92E9-7203873E68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534461</xdr:colOff>
      <xdr:row>113</xdr:row>
      <xdr:rowOff>172211</xdr:rowOff>
    </xdr:from>
    <xdr:to>
      <xdr:col>13</xdr:col>
      <xdr:colOff>482562</xdr:colOff>
      <xdr:row>122</xdr:row>
      <xdr:rowOff>146291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7439349A-76D9-4204-9FC2-9526DAD4D0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0</xdr:colOff>
      <xdr:row>29</xdr:row>
      <xdr:rowOff>46381</xdr:rowOff>
    </xdr:from>
    <xdr:to>
      <xdr:col>17</xdr:col>
      <xdr:colOff>0</xdr:colOff>
      <xdr:row>41</xdr:row>
      <xdr:rowOff>145773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FDB4E3D-4393-4B30-A1DF-BF7F8414B0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oneCellAnchor>
    <xdr:from>
      <xdr:col>2</xdr:col>
      <xdr:colOff>96715</xdr:colOff>
      <xdr:row>10</xdr:row>
      <xdr:rowOff>151285</xdr:rowOff>
    </xdr:from>
    <xdr:ext cx="5183945" cy="937564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CDC8D6F-AF01-C9EA-B088-D0E49377E831}"/>
            </a:ext>
          </a:extLst>
        </xdr:cNvPr>
        <xdr:cNvSpPr txBox="1"/>
      </xdr:nvSpPr>
      <xdr:spPr>
        <a:xfrm>
          <a:off x="412025" y="1622733"/>
          <a:ext cx="5183945" cy="9375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9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UltraTech Cement Limited, the flagship cement business of the Aditya Birla Group, is India's largest and the world's third-largest cement company outside of China. The</a:t>
          </a:r>
          <a:r>
            <a:rPr lang="en-IN" sz="900" b="0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9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company manufactures and sells cement, ready-mix concrete (RMC), and white cement under the UltraTech  brand. UltraTech commands a 28% share of India's grey</a:t>
          </a:r>
          <a:r>
            <a:rPr lang="en-IN" sz="900">
              <a:effectLst/>
            </a:rPr>
            <a:t> </a:t>
          </a:r>
          <a:r>
            <a:rPr lang="en-IN" sz="9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cement installed capacity. The company operates 34 integrated units, 30 grinding units, and 9 bulk terminals, with a network of over 145,000 channel partners covering more than 80% of India.</a:t>
          </a:r>
          <a:r>
            <a:rPr lang="en-IN" sz="900">
              <a:effectLst/>
            </a:rPr>
            <a:t> </a:t>
          </a:r>
          <a:r>
            <a:rPr lang="en-IN" sz="900" baseline="30000">
              <a:effectLst/>
            </a:rPr>
            <a:t>[1]</a:t>
          </a:r>
          <a:endParaRPr lang="en-IN" sz="900" baseline="30000"/>
        </a:p>
      </xdr:txBody>
    </xdr:sp>
    <xdr:clientData/>
  </xdr:oneCellAnchor>
  <xdr:oneCellAnchor>
    <xdr:from>
      <xdr:col>2</xdr:col>
      <xdr:colOff>96715</xdr:colOff>
      <xdr:row>16</xdr:row>
      <xdr:rowOff>156423</xdr:rowOff>
    </xdr:from>
    <xdr:ext cx="5247860" cy="655821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FD049250-D14F-D7F7-3B1C-301E544A1505}"/>
            </a:ext>
          </a:extLst>
        </xdr:cNvPr>
        <xdr:cNvSpPr txBox="1"/>
      </xdr:nvSpPr>
      <xdr:spPr>
        <a:xfrm>
          <a:off x="412025" y="2731457"/>
          <a:ext cx="5247860" cy="6558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900"/>
            <a:t>At the time of writing, UltraTech Cement trades at </a:t>
          </a:r>
          <a:r>
            <a:rPr lang="en-IN" sz="900" b="1"/>
            <a:t>₹ 12,039</a:t>
          </a:r>
          <a:r>
            <a:rPr lang="en-IN" sz="900"/>
            <a:t> per share. Based on our DCF analysis, we estimate an intrinsic value of </a:t>
          </a:r>
          <a:r>
            <a:rPr lang="en-IN" sz="900" b="1"/>
            <a:t>₹ 4,633</a:t>
          </a:r>
          <a:r>
            <a:rPr lang="en-IN" sz="900"/>
            <a:t> per share, implying a </a:t>
          </a:r>
          <a:r>
            <a:rPr lang="en-IN" sz="900" b="1"/>
            <a:t>61.5% downside</a:t>
          </a:r>
          <a:r>
            <a:rPr lang="en-IN" sz="900"/>
            <a:t> from current levels. This signals that the market is pricing UltraTech at a significant premium to its fundamental worth, and we accordingly issue a </a:t>
          </a:r>
          <a:r>
            <a:rPr lang="en-IN" sz="900" b="1"/>
            <a:t>HOLD</a:t>
          </a:r>
          <a:r>
            <a:rPr lang="en-IN" sz="900"/>
            <a:t> rating.</a:t>
          </a:r>
        </a:p>
      </xdr:txBody>
    </xdr:sp>
    <xdr:clientData/>
  </xdr:oneCellAnchor>
  <xdr:oneCellAnchor>
    <xdr:from>
      <xdr:col>2</xdr:col>
      <xdr:colOff>96715</xdr:colOff>
      <xdr:row>21</xdr:row>
      <xdr:rowOff>144780</xdr:rowOff>
    </xdr:from>
    <xdr:ext cx="5151120" cy="1704569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78065BC9-1068-5783-D777-3F08695577DC}"/>
            </a:ext>
          </a:extLst>
        </xdr:cNvPr>
        <xdr:cNvSpPr txBox="1"/>
      </xdr:nvSpPr>
      <xdr:spPr>
        <a:xfrm>
          <a:off x="414767" y="3663232"/>
          <a:ext cx="5151120" cy="17045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9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overvaluation, however, is not irrational it is a direct function of the market pricing in UltraTech's exceptional </a:t>
          </a:r>
          <a:r>
            <a:rPr lang="en-IN" sz="9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competitive moat and capital deployment track record</a:t>
          </a:r>
          <a:r>
            <a:rPr lang="en-IN" sz="9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The company's unassailable position as India's largest cement producer, commanding a 28% market share, a 145,000+ channel partner network, and 200+ MTPA installed capacity — commands a structural premium that pure DCF arithmetic struggles to fully capture.</a:t>
          </a:r>
          <a:r>
            <a:rPr lang="en-IN" sz="900">
              <a:effectLst/>
            </a:rPr>
            <a:t> </a:t>
          </a:r>
          <a:r>
            <a:rPr lang="en-IN" sz="900" baseline="30000">
              <a:effectLst/>
            </a:rPr>
            <a:t>[1]</a:t>
          </a:r>
        </a:p>
        <a:p>
          <a:endParaRPr lang="en-IN" sz="400" b="0" i="0" u="none" strike="noStrik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9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Furthermore, UltraTech's aggressive reinvestment cycle,</a:t>
          </a:r>
          <a:r>
            <a:rPr lang="en-IN" sz="900" b="0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</a:t>
          </a:r>
          <a:r>
            <a:rPr lang="en-IN" sz="9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ncluding the ₹ 10,262 Cr India Cements acquisition, ₹ 9,129 Cr in FY25 capex, and a committed ₹ 16,000 Cr expansion plan toward 240 MTPA has suppressed near-term free cash flows and inflated the asset base. This investment-heavy phase compresses current EBITDA/tonne to ~₹ 961 versus a historical peak of ₹ 1,300+, making the stock appear expensive on today's earnings. The market is effectively paying today for the earnings power of FY28–FY30, once integration matures and margins normalise.</a:t>
          </a:r>
          <a:r>
            <a:rPr lang="en-IN" sz="900">
              <a:effectLst/>
            </a:rPr>
            <a:t> </a:t>
          </a:r>
          <a:r>
            <a:rPr lang="en-IN" sz="900" baseline="30000">
              <a:effectLst/>
            </a:rPr>
            <a:t>[1]</a:t>
          </a:r>
          <a:endParaRPr lang="en-IN" sz="900" baseline="30000"/>
        </a:p>
      </xdr:txBody>
    </xdr:sp>
    <xdr:clientData/>
  </xdr:oneCellAnchor>
  <xdr:twoCellAnchor>
    <xdr:from>
      <xdr:col>2</xdr:col>
      <xdr:colOff>96715</xdr:colOff>
      <xdr:row>42</xdr:row>
      <xdr:rowOff>136496</xdr:rowOff>
    </xdr:from>
    <xdr:to>
      <xdr:col>12</xdr:col>
      <xdr:colOff>96715</xdr:colOff>
      <xdr:row>49</xdr:row>
      <xdr:rowOff>174596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2002D625-AE5C-D270-DFD1-D7DA9AA1313C}"/>
            </a:ext>
          </a:extLst>
        </xdr:cNvPr>
        <xdr:cNvSpPr txBox="1"/>
      </xdr:nvSpPr>
      <xdr:spPr>
        <a:xfrm>
          <a:off x="412025" y="7493737"/>
          <a:ext cx="5223642" cy="13256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/>
            <a:t>Cement production has grown at a </a:t>
          </a:r>
          <a:r>
            <a:rPr lang="en-IN" sz="900" b="1"/>
            <a:t>~12.3% CAGR over FY21–FY25</a:t>
          </a:r>
          <a:r>
            <a:rPr lang="en-IN" sz="900"/>
            <a:t>, reflecting both organic capacity additions and inorganic growth through the India Cements and Kesoram acquisitions. The clinker conversion factor stood at an efficient </a:t>
          </a:r>
          <a:r>
            <a:rPr lang="en-IN" sz="900" b="1"/>
            <a:t>1.49x</a:t>
          </a:r>
          <a:r>
            <a:rPr lang="en-IN" sz="900"/>
            <a:t> as of Q3 FY26, reflecting improved blended cement ratios and operational discipline. </a:t>
          </a:r>
          <a:r>
            <a:rPr lang="en-IN" sz="900" baseline="30000"/>
            <a:t>[2]</a:t>
          </a:r>
        </a:p>
        <a:p>
          <a:endParaRPr lang="en-IN" sz="400"/>
        </a:p>
        <a:p>
          <a:r>
            <a:rPr lang="en-IN" sz="900"/>
            <a:t>Capacity utilisation improved from </a:t>
          </a:r>
          <a:r>
            <a:rPr lang="en-IN" sz="900" b="1"/>
            <a:t>72% in Q3 FY25 to 77% in Q3 FY26</a:t>
          </a:r>
          <a:r>
            <a:rPr lang="en-IN" sz="900"/>
            <a:t>, signalling healthy absorption of newly added capacity. With the commissioning of 8.7 MTPA across three new grinding units in April 2026, total installed capacity now stands at </a:t>
          </a:r>
          <a:r>
            <a:rPr lang="en-IN" sz="900" b="1"/>
            <a:t>200.1 MTPA domestically</a:t>
          </a:r>
          <a:r>
            <a:rPr lang="en-IN" sz="900"/>
            <a:t>, with the next target set at 240 MTPA by FY27. </a:t>
          </a:r>
          <a:r>
            <a:rPr lang="en-IN" sz="900" baseline="30000"/>
            <a:t>[5]</a:t>
          </a:r>
        </a:p>
        <a:p>
          <a:endParaRPr lang="en-IN" sz="900"/>
        </a:p>
      </xdr:txBody>
    </xdr:sp>
    <xdr:clientData/>
  </xdr:twoCellAnchor>
  <xdr:oneCellAnchor>
    <xdr:from>
      <xdr:col>2</xdr:col>
      <xdr:colOff>115652</xdr:colOff>
      <xdr:row>55</xdr:row>
      <xdr:rowOff>174246</xdr:rowOff>
    </xdr:from>
    <xdr:ext cx="5133336" cy="734294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1D2C80B-9F21-8C46-8C6D-45A0DCBB8206}"/>
            </a:ext>
          </a:extLst>
        </xdr:cNvPr>
        <xdr:cNvSpPr txBox="1"/>
      </xdr:nvSpPr>
      <xdr:spPr>
        <a:xfrm>
          <a:off x="432175" y="9804754"/>
          <a:ext cx="5133336" cy="7342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900"/>
            <a:t>UltraTech's consolidated net sales came in at ₹21,506 crore versus ₹ 17,555 crore in the same period of </a:t>
          </a:r>
          <a:r>
            <a:rPr lang="en-IN" sz="9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previous year, registering a growth of ~22.5%. Profit before interest, and tax (EBIT) stood </a:t>
          </a:r>
          <a:r>
            <a:rPr lang="en-IN" sz="900">
              <a:effectLst/>
            </a:rPr>
            <a:t> </a:t>
          </a:r>
          <a:r>
            <a:rPr lang="en-IN" sz="9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at ₹ 2,644 crore compared to ₹ 1,902 crore in Q3 FY25. Normalised profit after tax was ₹ 1,725 crore</a:t>
          </a:r>
          <a:r>
            <a:rPr lang="en-IN" sz="900">
              <a:effectLst/>
            </a:rPr>
            <a:t> </a:t>
          </a:r>
          <a:r>
            <a:rPr lang="en-IN" sz="9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compared to ₹ 1,359 crore, reflecting a strong year-on-year recovery in profitability.</a:t>
          </a:r>
          <a:r>
            <a:rPr lang="en-IN" sz="900">
              <a:effectLst/>
            </a:rPr>
            <a:t> </a:t>
          </a:r>
          <a:r>
            <a:rPr lang="en-IN" sz="900" baseline="30000">
              <a:effectLst/>
            </a:rPr>
            <a:t>[2]</a:t>
          </a:r>
          <a:endParaRPr lang="en-IN" sz="900" baseline="30000"/>
        </a:p>
      </xdr:txBody>
    </xdr:sp>
    <xdr:clientData/>
  </xdr:oneCellAnchor>
  <xdr:twoCellAnchor>
    <xdr:from>
      <xdr:col>12</xdr:col>
      <xdr:colOff>32722</xdr:colOff>
      <xdr:row>56</xdr:row>
      <xdr:rowOff>11722</xdr:rowOff>
    </xdr:from>
    <xdr:to>
      <xdr:col>16</xdr:col>
      <xdr:colOff>533484</xdr:colOff>
      <xdr:row>66</xdr:row>
      <xdr:rowOff>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BDD360B7-00FB-49CC-923E-A46DE2106E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oneCellAnchor>
    <xdr:from>
      <xdr:col>2</xdr:col>
      <xdr:colOff>113642</xdr:colOff>
      <xdr:row>67</xdr:row>
      <xdr:rowOff>178689</xdr:rowOff>
    </xdr:from>
    <xdr:ext cx="7788298" cy="1200532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54C17A02-3670-39C4-192A-2C8F21544C90}"/>
            </a:ext>
          </a:extLst>
        </xdr:cNvPr>
        <xdr:cNvSpPr txBox="1"/>
      </xdr:nvSpPr>
      <xdr:spPr>
        <a:xfrm>
          <a:off x="433682" y="11883009"/>
          <a:ext cx="7788298" cy="12005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9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Overall capacity utilisation stood at 77% for the quarter, compared to 72% during the same period last year. </a:t>
          </a:r>
          <a:r>
            <a:rPr lang="en-IN" sz="900">
              <a:effectLst/>
            </a:rPr>
            <a:t> </a:t>
          </a:r>
          <a:r>
            <a:rPr lang="en-IN" sz="9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UltraTech achieved a growth of 29.4% in domestic grey cement markets, excluding the sales volumes of</a:t>
          </a:r>
          <a:r>
            <a:rPr lang="en-IN" sz="900">
              <a:effectLst/>
            </a:rPr>
            <a:t> </a:t>
          </a:r>
          <a:r>
            <a:rPr lang="en-IN" sz="9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India Cements and Kesoram, as these entities were not part of the company for the entire corresponding period.</a:t>
          </a:r>
          <a:r>
            <a:rPr lang="en-IN" sz="900">
              <a:effectLst/>
            </a:rPr>
            <a:t> </a:t>
          </a:r>
        </a:p>
        <a:p>
          <a:endParaRPr lang="en-IN" sz="400">
            <a:effectLst/>
          </a:endParaRPr>
        </a:p>
        <a:p>
          <a:r>
            <a:rPr lang="en-IN" sz="9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Operating EBITDA per tonne improved to ₹ 1,051 (excluding India Cements), up from ₹ 911/MT in the year-ago period. This improvement was driven by cost efficiencies across energy and logistics.</a:t>
          </a:r>
          <a:r>
            <a:rPr lang="en-IN" sz="900">
              <a:effectLst/>
            </a:rPr>
            <a:t> </a:t>
          </a:r>
        </a:p>
        <a:p>
          <a:endParaRPr lang="en-IN" sz="400">
            <a:effectLst/>
          </a:endParaRPr>
        </a:p>
        <a:p>
          <a:r>
            <a:rPr lang="en-IN" sz="9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 Q3 FY26, power and fuel costs per tonne dropped 15% year-on-year, aided by renewable energy source accounting for 42.1% of total power use. Freight and forwarding costs also fell 7% year-on-year due to better</a:t>
          </a:r>
          <a:r>
            <a:rPr lang="en-IN" sz="900">
              <a:effectLst/>
            </a:rPr>
            <a:t> </a:t>
          </a:r>
          <a:r>
            <a:rPr lang="en-IN" sz="9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distribution and shorter lead distances.</a:t>
          </a:r>
          <a:r>
            <a:rPr lang="en-IN" sz="900">
              <a:effectLst/>
            </a:rPr>
            <a:t> </a:t>
          </a:r>
          <a:r>
            <a:rPr lang="en-IN" sz="900" baseline="30000">
              <a:effectLst/>
            </a:rPr>
            <a:t>[2]</a:t>
          </a:r>
        </a:p>
      </xdr:txBody>
    </xdr:sp>
    <xdr:clientData/>
  </xdr:oneCellAnchor>
  <xdr:twoCellAnchor>
    <xdr:from>
      <xdr:col>13</xdr:col>
      <xdr:colOff>52248</xdr:colOff>
      <xdr:row>96</xdr:row>
      <xdr:rowOff>23447</xdr:rowOff>
    </xdr:from>
    <xdr:to>
      <xdr:col>16</xdr:col>
      <xdr:colOff>563448</xdr:colOff>
      <xdr:row>106</xdr:row>
      <xdr:rowOff>41031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4CDD3719-7ADB-4634-A04D-F31E586A49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oneCellAnchor>
    <xdr:from>
      <xdr:col>2</xdr:col>
      <xdr:colOff>114499</xdr:colOff>
      <xdr:row>125</xdr:row>
      <xdr:rowOff>140307</xdr:rowOff>
    </xdr:from>
    <xdr:ext cx="7646637" cy="514949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13ADA928-50B1-F6B2-8B07-CCAF173ED928}"/>
            </a:ext>
          </a:extLst>
        </xdr:cNvPr>
        <xdr:cNvSpPr txBox="1"/>
      </xdr:nvSpPr>
      <xdr:spPr>
        <a:xfrm>
          <a:off x="434539" y="22451667"/>
          <a:ext cx="7646637" cy="5149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900"/>
            <a:t>The DCF analysis assumes a </a:t>
          </a:r>
          <a:r>
            <a:rPr lang="en-IN" sz="900" b="1"/>
            <a:t>WACC of 12.05%</a:t>
          </a:r>
          <a:r>
            <a:rPr lang="en-IN" sz="900"/>
            <a:t> (</a:t>
          </a:r>
          <a:r>
            <a:rPr lang="en-IN" sz="900" i="1"/>
            <a:t>Cost of Equity: 13.86%, after-tax Cost of Debt: 4.79%, at a 20% debt-to-total capitalisation</a:t>
          </a:r>
          <a:r>
            <a:rPr lang="en-IN" sz="900"/>
            <a:t>), with revenues compounding at a </a:t>
          </a:r>
          <a:r>
            <a:rPr lang="en-IN" sz="900" b="1"/>
            <a:t>9.3% CAGR through FY30E</a:t>
          </a:r>
          <a:r>
            <a:rPr lang="en-IN" sz="900"/>
            <a:t>, terminal EBITDA margins stabilising at </a:t>
          </a:r>
          <a:r>
            <a:rPr lang="en-IN" sz="900" b="1"/>
            <a:t>18.1%</a:t>
          </a:r>
          <a:r>
            <a:rPr lang="en-IN" sz="900"/>
            <a:t>, D&amp;A at </a:t>
          </a:r>
          <a:r>
            <a:rPr lang="en-IN" sz="900" b="1"/>
            <a:t>5.3% of revenue</a:t>
          </a:r>
          <a:r>
            <a:rPr lang="en-IN" sz="900"/>
            <a:t>, capex tapering from </a:t>
          </a:r>
          <a:r>
            <a:rPr lang="en-IN" sz="900" b="1"/>
            <a:t>₹ 7,988 Cr in FY26E to ₹ 6,405 Cr by FY30E</a:t>
          </a:r>
          <a:r>
            <a:rPr lang="en-IN" sz="900"/>
            <a:t>, and a terminal value derived using a </a:t>
          </a:r>
          <a:r>
            <a:rPr lang="en-IN" sz="900" b="1"/>
            <a:t>10x EBITDA exit multiple</a:t>
          </a:r>
          <a:r>
            <a:rPr lang="en-IN" sz="900"/>
            <a:t> implying a </a:t>
          </a:r>
          <a:r>
            <a:rPr lang="en-IN" sz="900" b="1"/>
            <a:t>5% perpetuity growth rate</a:t>
          </a:r>
          <a:r>
            <a:rPr lang="en-IN" sz="900"/>
            <a:t>.</a:t>
          </a:r>
        </a:p>
      </xdr:txBody>
    </xdr:sp>
    <xdr:clientData/>
  </xdr:oneCellAnchor>
  <xdr:oneCellAnchor>
    <xdr:from>
      <xdr:col>2</xdr:col>
      <xdr:colOff>126850</xdr:colOff>
      <xdr:row>109</xdr:row>
      <xdr:rowOff>99100</xdr:rowOff>
    </xdr:from>
    <xdr:ext cx="7714130" cy="514949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F03FCC71-04A2-4FA0-B7A5-90F8650B2CF3}"/>
            </a:ext>
          </a:extLst>
        </xdr:cNvPr>
        <xdr:cNvSpPr txBox="1"/>
      </xdr:nvSpPr>
      <xdr:spPr>
        <a:xfrm>
          <a:off x="442160" y="19784976"/>
          <a:ext cx="7714130" cy="5149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900"/>
            <a:t>EBITDA margins have remain stable </a:t>
          </a:r>
          <a:r>
            <a:rPr lang="en-IN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~16.8% </a:t>
          </a:r>
          <a:r>
            <a:rPr lang="en-IN" sz="900"/>
            <a:t>from FY23  to FY25, primarily due to elevated fuel costs (petcoke/coal spike post-COVID) and the drag from newly acquired India Cements and Kesoram operations. Margin recovery toward 18.1% in FY26E is expected as integration matures and renewable energy penetration rises. </a:t>
          </a:r>
        </a:p>
      </xdr:txBody>
    </xdr:sp>
    <xdr:clientData/>
  </xdr:oneCellAnchor>
  <xdr:twoCellAnchor>
    <xdr:from>
      <xdr:col>3</xdr:col>
      <xdr:colOff>15843</xdr:colOff>
      <xdr:row>89</xdr:row>
      <xdr:rowOff>146550</xdr:rowOff>
    </xdr:from>
    <xdr:to>
      <xdr:col>12</xdr:col>
      <xdr:colOff>24853</xdr:colOff>
      <xdr:row>91</xdr:row>
      <xdr:rowOff>146549</xdr:rowOff>
    </xdr:to>
    <xdr:sp macro="" textlink="">
      <xdr:nvSpPr>
        <xdr:cNvPr id="31" name="Text Box 1">
          <a:extLst>
            <a:ext uri="{FF2B5EF4-FFF2-40B4-BE49-F238E27FC236}">
              <a16:creationId xmlns:a16="http://schemas.microsoft.com/office/drawing/2014/main" id="{9FDFFA9F-F95C-429C-A9AD-E19D1CEC0A03}"/>
            </a:ext>
          </a:extLst>
        </xdr:cNvPr>
        <xdr:cNvSpPr txBox="1">
          <a:spLocks noChangeArrowheads="1"/>
        </xdr:cNvSpPr>
      </xdr:nvSpPr>
      <xdr:spPr bwMode="auto">
        <a:xfrm>
          <a:off x="488809" y="15964619"/>
          <a:ext cx="5074996" cy="367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36576" tIns="36576" rIns="0" bIns="0" anchor="t" upright="1"/>
        <a:lstStyle/>
        <a:p>
          <a:pPr algn="l" rtl="0">
            <a:defRPr sz="1000"/>
          </a:pPr>
          <a:r>
            <a:rPr lang="en-IN" sz="9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Revenue has compounded at a ~9.6% CAGR over FY23–FY25, with FY26E projecting accelerated 16.3% growth driven by volume expansion from the India Cements and Kesoram acquisitions.</a:t>
          </a:r>
        </a:p>
      </xdr:txBody>
    </xdr:sp>
    <xdr:clientData/>
  </xdr:twoCellAnchor>
  <xdr:oneCellAnchor>
    <xdr:from>
      <xdr:col>2</xdr:col>
      <xdr:colOff>113641</xdr:colOff>
      <xdr:row>76</xdr:row>
      <xdr:rowOff>140670</xdr:rowOff>
    </xdr:from>
    <xdr:ext cx="7850309" cy="1254376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984A3EB-739D-C5B6-31AC-A6AD28910FFE}"/>
            </a:ext>
          </a:extLst>
        </xdr:cNvPr>
        <xdr:cNvSpPr txBox="1"/>
      </xdr:nvSpPr>
      <xdr:spPr>
        <a:xfrm>
          <a:off x="428951" y="13567636"/>
          <a:ext cx="7850309" cy="125437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900"/>
            <a:t>India's cement industry is structurally underpinned by one of the world's most durable demand backdrops: </a:t>
          </a:r>
          <a:r>
            <a:rPr lang="en-IN" sz="900" baseline="30000"/>
            <a:t>[3]</a:t>
          </a:r>
        </a:p>
        <a:p>
          <a:endParaRPr lang="en-IN" sz="400"/>
        </a:p>
        <a:p>
          <a:r>
            <a:rPr lang="en-IN" sz="900" b="1">
              <a:solidFill>
                <a:srgbClr val="990033"/>
              </a:solidFill>
            </a:rPr>
            <a:t>Government Infrastructure:</a:t>
          </a:r>
          <a:r>
            <a:rPr lang="en-IN" sz="900">
              <a:solidFill>
                <a:srgbClr val="990033"/>
              </a:solidFill>
            </a:rPr>
            <a:t> </a:t>
          </a:r>
          <a:r>
            <a:rPr lang="en-IN" sz="900"/>
            <a:t>The PM Gati Shakti Master Plan, Smart Cities Mission, PMAY (Pradhan Mantri Awas Yojana), dedicated freight corridors, highways, metro rail networks, and new-age infrastructure such as data centres and renewable energy parks are driving cement demand in the medium to long term.</a:t>
          </a:r>
        </a:p>
        <a:p>
          <a:endParaRPr lang="en-IN" sz="400"/>
        </a:p>
        <a:p>
          <a:r>
            <a:rPr lang="en-IN" sz="900" b="1">
              <a:solidFill>
                <a:srgbClr val="990033"/>
              </a:solidFill>
            </a:rPr>
            <a:t>Real Estate Recovery:</a:t>
          </a:r>
          <a:r>
            <a:rPr lang="en-IN" sz="900">
              <a:solidFill>
                <a:srgbClr val="990033"/>
              </a:solidFill>
            </a:rPr>
            <a:t> </a:t>
          </a:r>
          <a:r>
            <a:rPr lang="en-IN" sz="900"/>
            <a:t>Urban housing demand continues to grow with increasing urbanisation, nuclear family formation, and government push for affordable housing.</a:t>
          </a:r>
        </a:p>
        <a:p>
          <a:endParaRPr lang="en-IN" sz="400"/>
        </a:p>
        <a:p>
          <a:r>
            <a:rPr lang="en-IN" sz="900" b="1">
              <a:solidFill>
                <a:srgbClr val="990033"/>
              </a:solidFill>
            </a:rPr>
            <a:t>New-Age Segments:</a:t>
          </a:r>
          <a:r>
            <a:rPr lang="en-IN" sz="900"/>
            <a:t> Data centres and renewable energy infrastructure are emerging as meaningful incremental demand verticals, UltraTech cited these explicitly in its Q3 FY26 earnings call.</a:t>
          </a:r>
          <a:r>
            <a:rPr lang="en-IN" sz="900" baseline="0"/>
            <a:t> </a:t>
          </a:r>
          <a:r>
            <a:rPr lang="en-IN" sz="900" baseline="30000"/>
            <a:t>[6]</a:t>
          </a:r>
        </a:p>
        <a:p>
          <a:endParaRPr lang="en-IN" sz="400"/>
        </a:p>
        <a:p>
          <a:endParaRPr lang="en-IN" sz="900"/>
        </a:p>
        <a:p>
          <a:endParaRPr lang="en-IN" sz="900"/>
        </a:p>
      </xdr:txBody>
    </xdr:sp>
    <xdr:clientData/>
  </xdr:oneCellAnchor>
  <xdr:oneCellAnchor>
    <xdr:from>
      <xdr:col>2</xdr:col>
      <xdr:colOff>110360</xdr:colOff>
      <xdr:row>84</xdr:row>
      <xdr:rowOff>152401</xdr:rowOff>
    </xdr:from>
    <xdr:ext cx="5188352" cy="769619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247A67A4-C240-EECC-60C5-E06FDEFC10EE}"/>
            </a:ext>
          </a:extLst>
        </xdr:cNvPr>
        <xdr:cNvSpPr txBox="1"/>
      </xdr:nvSpPr>
      <xdr:spPr>
        <a:xfrm>
          <a:off x="425670" y="15050815"/>
          <a:ext cx="5188352" cy="7696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9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cement industry saw low-double-digit YoY volume growth in FY26, supported by the GST rate cut on cement from 28% to 18% effective September 22, 2025 — a structural positive that eased end-consumer affordability.</a:t>
          </a:r>
          <a:r>
            <a:rPr lang="en-IN" sz="900">
              <a:effectLst/>
            </a:rPr>
            <a:t> </a:t>
          </a:r>
          <a:r>
            <a:rPr lang="en-IN" sz="900" baseline="30000">
              <a:effectLst/>
            </a:rPr>
            <a:t>[3]</a:t>
          </a:r>
        </a:p>
        <a:p>
          <a:endParaRPr lang="en-IN" sz="400">
            <a:effectLst/>
          </a:endParaRPr>
        </a:p>
        <a:p>
          <a:r>
            <a:rPr lang="en-IN" sz="9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Cement prices have remained largely stable at </a:t>
          </a:r>
          <a:r>
            <a:rPr lang="en-IN" sz="9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₹ 335–340 per bag</a:t>
          </a:r>
          <a:r>
            <a:rPr lang="en-IN" sz="9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900" b="0" i="1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(50 kg)</a:t>
          </a:r>
          <a:r>
            <a:rPr lang="en-IN" sz="9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through the March 2026 quarter.</a:t>
          </a:r>
          <a:r>
            <a:rPr lang="en-IN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800">
              <a:effectLst/>
            </a:rPr>
            <a:t> </a:t>
          </a:r>
          <a:endParaRPr lang="en-IN" sz="400"/>
        </a:p>
      </xdr:txBody>
    </xdr:sp>
    <xdr:clientData/>
  </xdr:oneCellAnchor>
  <xdr:twoCellAnchor>
    <xdr:from>
      <xdr:col>13</xdr:col>
      <xdr:colOff>490330</xdr:colOff>
      <xdr:row>113</xdr:row>
      <xdr:rowOff>19878</xdr:rowOff>
    </xdr:from>
    <xdr:to>
      <xdr:col>13</xdr:col>
      <xdr:colOff>490330</xdr:colOff>
      <xdr:row>122</xdr:row>
      <xdr:rowOff>59635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FD3B61C0-60CB-74F6-9900-52C3F2C686F1}"/>
            </a:ext>
          </a:extLst>
        </xdr:cNvPr>
        <xdr:cNvCxnSpPr/>
      </xdr:nvCxnSpPr>
      <xdr:spPr>
        <a:xfrm>
          <a:off x="6195391" y="20421600"/>
          <a:ext cx="0" cy="170953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586740</xdr:colOff>
      <xdr:row>130</xdr:row>
      <xdr:rowOff>15240</xdr:rowOff>
    </xdr:from>
    <xdr:to>
      <xdr:col>16</xdr:col>
      <xdr:colOff>27588</xdr:colOff>
      <xdr:row>160</xdr:row>
      <xdr:rowOff>139150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CE8346D8-1FDF-14A7-55EF-D23BC95914E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320" t="18510" r="18786" b="9147"/>
        <a:stretch>
          <a:fillRect/>
        </a:stretch>
      </xdr:blipFill>
      <xdr:spPr>
        <a:xfrm>
          <a:off x="1066800" y="23241000"/>
          <a:ext cx="6496968" cy="5610309"/>
        </a:xfrm>
        <a:prstGeom prst="rect">
          <a:avLst/>
        </a:prstGeom>
      </xdr:spPr>
    </xdr:pic>
    <xdr:clientData/>
  </xdr:twoCellAnchor>
  <xdr:twoCellAnchor editAs="oneCell">
    <xdr:from>
      <xdr:col>3</xdr:col>
      <xdr:colOff>518729</xdr:colOff>
      <xdr:row>170</xdr:row>
      <xdr:rowOff>6626</xdr:rowOff>
    </xdr:from>
    <xdr:to>
      <xdr:col>16</xdr:col>
      <xdr:colOff>33988</xdr:colOff>
      <xdr:row>185</xdr:row>
      <xdr:rowOff>137236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2BDDC152-5943-4162-AD77-F67C58E7FC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398" t="31034" r="16250" b="14251"/>
        <a:stretch>
          <a:fillRect/>
        </a:stretch>
      </xdr:blipFill>
      <xdr:spPr>
        <a:xfrm>
          <a:off x="995807" y="30983583"/>
          <a:ext cx="6572042" cy="2913568"/>
        </a:xfrm>
        <a:prstGeom prst="rect">
          <a:avLst/>
        </a:prstGeom>
      </xdr:spPr>
    </xdr:pic>
    <xdr:clientData/>
  </xdr:twoCellAnchor>
  <xdr:oneCellAnchor>
    <xdr:from>
      <xdr:col>3</xdr:col>
      <xdr:colOff>39757</xdr:colOff>
      <xdr:row>165</xdr:row>
      <xdr:rowOff>13253</xdr:rowOff>
    </xdr:from>
    <xdr:ext cx="7679635" cy="715617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AFB00445-01E8-5875-22EE-4E39C9A8C4DD}"/>
            </a:ext>
          </a:extLst>
        </xdr:cNvPr>
        <xdr:cNvSpPr txBox="1"/>
      </xdr:nvSpPr>
      <xdr:spPr>
        <a:xfrm>
          <a:off x="516835" y="30062557"/>
          <a:ext cx="7679635" cy="7156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900"/>
            <a:t>Even the most optimistic DCF scenario (12x exit, 11.5% WACC) yields </a:t>
          </a:r>
          <a:r>
            <a:rPr lang="en-IN" sz="900" b="1"/>
            <a:t>₹ 5,697 — a 53% discount to CMP of ₹ 12,039.</a:t>
          </a:r>
          <a:r>
            <a:rPr lang="en-IN" sz="900"/>
            <a:t> This is the central tension of the UltraTech story: the market is clearly embedding a longer-duration, higher-normalised-margin scenario than what the current financial model supports.</a:t>
          </a:r>
        </a:p>
        <a:p>
          <a:endParaRPr lang="en-IN" sz="400"/>
        </a:p>
        <a:p>
          <a:r>
            <a:rPr lang="en-IN" sz="900" b="1"/>
            <a:t>Implied Perpetuity Growth Rate</a:t>
          </a:r>
          <a:r>
            <a:rPr lang="en-IN" sz="900"/>
            <a:t> at current CMP and WACC: The terminal value at a 10x EBITDA exit is ₹ 2,28,028 Cr, implying a </a:t>
          </a:r>
          <a:r>
            <a:rPr lang="en-IN" sz="900" b="1"/>
            <a:t>perpetuity growth rate of ~5%</a:t>
          </a:r>
          <a:r>
            <a:rPr lang="en-IN" sz="900"/>
            <a:t> — aggressive but not impossible given India's infrastructure tailwinds over a 10+ year horizon.</a:t>
          </a:r>
        </a:p>
        <a:p>
          <a:endParaRPr lang="en-IN" sz="900"/>
        </a:p>
      </xdr:txBody>
    </xdr:sp>
    <xdr:clientData/>
  </xdr:oneCellAnchor>
  <xdr:oneCellAnchor>
    <xdr:from>
      <xdr:col>2</xdr:col>
      <xdr:colOff>132523</xdr:colOff>
      <xdr:row>187</xdr:row>
      <xdr:rowOff>173273</xdr:rowOff>
    </xdr:from>
    <xdr:ext cx="7507357" cy="556591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661430E2-D14C-7BD8-8DC8-4E6EC833826B}"/>
            </a:ext>
          </a:extLst>
        </xdr:cNvPr>
        <xdr:cNvSpPr txBox="1"/>
      </xdr:nvSpPr>
      <xdr:spPr>
        <a:xfrm>
          <a:off x="452563" y="33823193"/>
          <a:ext cx="7507357" cy="556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900"/>
            <a:t>Across all three multiples — </a:t>
          </a:r>
          <a:r>
            <a:rPr lang="en-IN" sz="900" b="1"/>
            <a:t>EV/Revenue (mean: 2.9x), EV/EBITDA (mean: 14.4x), and P/E (mean: 42.0x)</a:t>
          </a:r>
          <a:r>
            <a:rPr lang="en-IN" sz="900"/>
            <a:t> — UltraTech at 5.0x, 29.6x, and 62.9x respectively trades at a </a:t>
          </a:r>
          <a:r>
            <a:rPr lang="en-IN" sz="900" b="1"/>
            <a:t>significant premium to every peer</a:t>
          </a:r>
          <a:r>
            <a:rPr lang="en-IN" sz="900"/>
            <a:t>, with implied share prices of ₹ 6,613, ₹ 5,429, and ₹ 7,229 — all well below the CMP of ₹ 12,039, confirming an </a:t>
          </a:r>
          <a:r>
            <a:rPr lang="en-IN" sz="900" b="1"/>
            <a:t>overvalued</a:t>
          </a:r>
          <a:r>
            <a:rPr lang="en-IN" sz="900"/>
            <a:t> position on a pure peer-relative basis.</a:t>
          </a:r>
        </a:p>
      </xdr:txBody>
    </xdr:sp>
    <xdr:clientData/>
  </xdr:oneCellAnchor>
  <xdr:twoCellAnchor editAs="oneCell">
    <xdr:from>
      <xdr:col>3</xdr:col>
      <xdr:colOff>404193</xdr:colOff>
      <xdr:row>192</xdr:row>
      <xdr:rowOff>34694</xdr:rowOff>
    </xdr:from>
    <xdr:to>
      <xdr:col>16</xdr:col>
      <xdr:colOff>209386</xdr:colOff>
      <xdr:row>212</xdr:row>
      <xdr:rowOff>107343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804535B5-F06A-DC35-AA5D-485FF89D39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998" t="23887" r="26048" b="28802"/>
        <a:stretch>
          <a:fillRect/>
        </a:stretch>
      </xdr:blipFill>
      <xdr:spPr>
        <a:xfrm>
          <a:off x="881271" y="35093320"/>
          <a:ext cx="6861976" cy="3783258"/>
        </a:xfrm>
        <a:prstGeom prst="rect">
          <a:avLst/>
        </a:prstGeom>
      </xdr:spPr>
    </xdr:pic>
    <xdr:clientData/>
  </xdr:twoCellAnchor>
  <xdr:twoCellAnchor editAs="oneCell">
    <xdr:from>
      <xdr:col>3</xdr:col>
      <xdr:colOff>390942</xdr:colOff>
      <xdr:row>217</xdr:row>
      <xdr:rowOff>6626</xdr:rowOff>
    </xdr:from>
    <xdr:to>
      <xdr:col>16</xdr:col>
      <xdr:colOff>253726</xdr:colOff>
      <xdr:row>240</xdr:row>
      <xdr:rowOff>119268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FC8C458E-7F1B-7009-32E0-49805279C6D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719" t="23347" r="27859" b="25541"/>
        <a:stretch>
          <a:fillRect/>
        </a:stretch>
      </xdr:blipFill>
      <xdr:spPr>
        <a:xfrm>
          <a:off x="868020" y="39703513"/>
          <a:ext cx="6919567" cy="4379843"/>
        </a:xfrm>
        <a:prstGeom prst="rect">
          <a:avLst/>
        </a:prstGeom>
      </xdr:spPr>
    </xdr:pic>
    <xdr:clientData/>
  </xdr:twoCellAnchor>
  <xdr:oneCellAnchor>
    <xdr:from>
      <xdr:col>2</xdr:col>
      <xdr:colOff>132522</xdr:colOff>
      <xdr:row>244</xdr:row>
      <xdr:rowOff>19878</xdr:rowOff>
    </xdr:from>
    <xdr:ext cx="7745895" cy="1020417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83BD2642-729B-0F95-158C-1B2A38E62760}"/>
            </a:ext>
          </a:extLst>
        </xdr:cNvPr>
        <xdr:cNvSpPr txBox="1"/>
      </xdr:nvSpPr>
      <xdr:spPr>
        <a:xfrm>
          <a:off x="450574" y="44938121"/>
          <a:ext cx="7745895" cy="10204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900"/>
            <a:t>UltraTech Cement is India's finest cement franchise, a business with structurally durable competitive advantages, a visionary management team, and a clear roadmap to becoming the world's largest cement company outside China. The 200 MTPA milestone, accelerated India Cements integration, and India's infrastructure-led demand outlook are all genuinely compelling.</a:t>
          </a:r>
        </a:p>
        <a:p>
          <a:endParaRPr lang="en-IN" sz="400"/>
        </a:p>
        <a:p>
          <a:r>
            <a:rPr lang="en-IN" sz="900"/>
            <a:t>However, at ₹ 12,039, the stock prices in a significant portion of these positives already. Every intrinsic valuation framework — DCF across scenarios (₹ 4,633 base) and peer comparables (₹ 5,429–7,229 mean-implied), suggests meaningful overvaluation relative to current financial fundamentals. The premium is sustained by the market's long-duration faith in India's infrastructure story and UltraTech's irreplaceable position within it.</a:t>
          </a:r>
        </a:p>
        <a:p>
          <a:endParaRPr lang="en-IN" sz="900"/>
        </a:p>
      </xdr:txBody>
    </xdr:sp>
    <xdr:clientData/>
  </xdr:oneCellAnchor>
  <xdr:oneCellAnchor>
    <xdr:from>
      <xdr:col>2</xdr:col>
      <xdr:colOff>132523</xdr:colOff>
      <xdr:row>249</xdr:row>
      <xdr:rowOff>112644</xdr:rowOff>
    </xdr:from>
    <xdr:ext cx="7745896" cy="861391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4418D5CE-8B28-6B4D-0707-FF8FADD6CCC2}"/>
            </a:ext>
          </a:extLst>
        </xdr:cNvPr>
        <xdr:cNvSpPr txBox="1"/>
      </xdr:nvSpPr>
      <xdr:spPr>
        <a:xfrm>
          <a:off x="450575" y="45958540"/>
          <a:ext cx="7745896" cy="8613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900" b="1">
              <a:solidFill>
                <a:srgbClr val="990033"/>
              </a:solidFill>
            </a:rPr>
            <a:t>For existing investors with a 3–5 year horizon</a:t>
          </a:r>
          <a:r>
            <a:rPr lang="en-IN" sz="900" b="1"/>
            <a:t>:</a:t>
          </a:r>
          <a:r>
            <a:rPr lang="en-IN" sz="900"/>
            <a:t> Hold. The 240 MTPA roadmap, EBITDA/tonne normalisation toward ₹ 1,300+, and India Cements value unlock make UltraTech a core long-term compounder. A fair 2027–28 target of ₹16,000–18,000 represents a credible multi-year return.</a:t>
          </a:r>
        </a:p>
        <a:p>
          <a:endParaRPr lang="en-IN" sz="400"/>
        </a:p>
        <a:p>
          <a:r>
            <a:rPr lang="en-IN" sz="900" b="1">
              <a:solidFill>
                <a:srgbClr val="990033"/>
              </a:solidFill>
            </a:rPr>
            <a:t>For new investors:</a:t>
          </a:r>
          <a:r>
            <a:rPr lang="en-IN" sz="900"/>
            <a:t> Wait for a better entry point. The upcoming Q4 FY26 results and concall (April 27, 2026), along with Q1 FY27 margin data (which will reflect petcoke cost headwinds), may provide a more attractive entry. A pullback toward ₹ 10,325–10,800 (52-week low zone) would meaningfully improve the risk/reward and present a compelling accumulation opportunity.</a:t>
          </a:r>
        </a:p>
        <a:p>
          <a:endParaRPr lang="en-IN" sz="9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4</xdr:row>
      <xdr:rowOff>114300</xdr:rowOff>
    </xdr:from>
    <xdr:to>
      <xdr:col>16</xdr:col>
      <xdr:colOff>518160</xdr:colOff>
      <xdr:row>23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E0A2B7-B9E1-EA19-6225-DC6E7DBA20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5</xdr:col>
      <xdr:colOff>83820</xdr:colOff>
      <xdr:row>5</xdr:row>
      <xdr:rowOff>167640</xdr:rowOff>
    </xdr:from>
    <xdr:ext cx="2026920" cy="30480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3F88EDA-74F9-F680-40CA-621ADA92F895}"/>
            </a:ext>
          </a:extLst>
        </xdr:cNvPr>
        <xdr:cNvSpPr txBox="1"/>
      </xdr:nvSpPr>
      <xdr:spPr>
        <a:xfrm>
          <a:off x="1783080" y="1211580"/>
          <a:ext cx="2026920" cy="30480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100" b="1">
              <a:solidFill>
                <a:srgbClr val="141836"/>
              </a:solidFill>
            </a:rPr>
            <a:t>Discounted Cash Flow Analysis</a:t>
          </a:r>
        </a:p>
      </xdr:txBody>
    </xdr:sp>
    <xdr:clientData/>
  </xdr:oneCellAnchor>
  <xdr:oneCellAnchor>
    <xdr:from>
      <xdr:col>5</xdr:col>
      <xdr:colOff>175260</xdr:colOff>
      <xdr:row>11</xdr:row>
      <xdr:rowOff>175260</xdr:rowOff>
    </xdr:from>
    <xdr:ext cx="1935480" cy="30480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A9C920A-CE28-4309-8DD2-66A1AEA0776A}"/>
            </a:ext>
          </a:extLst>
        </xdr:cNvPr>
        <xdr:cNvSpPr txBox="1"/>
      </xdr:nvSpPr>
      <xdr:spPr>
        <a:xfrm>
          <a:off x="1874520" y="2316480"/>
          <a:ext cx="1935480" cy="30480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100" b="1">
              <a:solidFill>
                <a:srgbClr val="141836"/>
              </a:solidFill>
            </a:rPr>
            <a:t>Public Company</a:t>
          </a:r>
          <a:r>
            <a:rPr lang="en-IN" sz="1100" b="1" baseline="0">
              <a:solidFill>
                <a:srgbClr val="141836"/>
              </a:solidFill>
            </a:rPr>
            <a:t> Comparables</a:t>
          </a:r>
        </a:p>
      </xdr:txBody>
    </xdr:sp>
    <xdr:clientData/>
  </xdr:one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0.65356</cdr:x>
      <cdr:y>0.04204</cdr:y>
    </cdr:from>
    <cdr:to>
      <cdr:x>0.65356</cdr:x>
      <cdr:y>0.93142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A8DC5685-DEA7-4C63-61ED-4355B25489E7}"/>
            </a:ext>
          </a:extLst>
        </cdr:cNvPr>
        <cdr:cNvCxnSpPr/>
      </cdr:nvCxnSpPr>
      <cdr:spPr>
        <a:xfrm xmlns:a="http://schemas.openxmlformats.org/drawingml/2006/main">
          <a:off x="5951220" y="144780"/>
          <a:ext cx="0" cy="3063240"/>
        </a:xfrm>
        <a:prstGeom xmlns:a="http://schemas.openxmlformats.org/drawingml/2006/main" prst="line">
          <a:avLst/>
        </a:prstGeom>
        <a:ln xmlns:a="http://schemas.openxmlformats.org/drawingml/2006/main" w="12700">
          <a:prstDash val="lgDash"/>
        </a:ln>
      </cdr:spPr>
      <cdr:style>
        <a:lnRef xmlns:a="http://schemas.openxmlformats.org/drawingml/2006/main" idx="3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2">
          <a:schemeClr val="dk1"/>
        </a:effectRef>
        <a:fontRef xmlns:a="http://schemas.openxmlformats.org/drawingml/2006/main" idx="minor">
          <a:schemeClr val="tx1"/>
        </a:fontRef>
      </cdr:style>
    </cdr:cxn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inkedin.com/in/eldricsequeira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nseindia.com/get-quotes/equity?symbol=ULTRACEMCO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screener.in/excel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0B3B6-64F9-4F5B-BB83-0499A66EB54E}">
  <dimension ref="D2:AD266"/>
  <sheetViews>
    <sheetView showGridLines="0" tabSelected="1" view="pageBreakPreview" topLeftCell="A88" zoomScaleNormal="115" zoomScaleSheetLayoutView="100" zoomScalePageLayoutView="85" workbookViewId="0">
      <selection activeCell="V95" sqref="V95"/>
    </sheetView>
  </sheetViews>
  <sheetFormatPr defaultRowHeight="14.4" x14ac:dyDescent="0.3"/>
  <cols>
    <col min="1" max="3" width="2.33203125" customWidth="1"/>
    <col min="6" max="7" width="8.88671875" customWidth="1"/>
    <col min="8" max="8" width="2.33203125" customWidth="1"/>
    <col min="9" max="11" width="8.88671875" customWidth="1"/>
    <col min="12" max="12" width="9.33203125" customWidth="1"/>
    <col min="13" max="13" width="2.33203125" customWidth="1"/>
    <col min="17" max="17" width="8.88671875" customWidth="1"/>
    <col min="18" max="18" width="2.33203125" customWidth="1"/>
  </cols>
  <sheetData>
    <row r="2" spans="4:17" x14ac:dyDescent="0.3">
      <c r="D2" s="287"/>
      <c r="E2" s="287"/>
      <c r="F2" s="287"/>
      <c r="G2" s="287"/>
      <c r="H2" s="287"/>
      <c r="I2" s="287"/>
      <c r="J2" s="287"/>
      <c r="K2" s="287"/>
      <c r="L2" s="287"/>
      <c r="M2" s="287"/>
      <c r="N2" s="287"/>
      <c r="O2" s="287"/>
      <c r="P2" s="287"/>
      <c r="Q2" s="287"/>
    </row>
    <row r="3" spans="4:17" x14ac:dyDescent="0.3">
      <c r="D3" s="294" t="s">
        <v>379</v>
      </c>
      <c r="E3" s="344"/>
      <c r="F3" s="344"/>
      <c r="G3" s="344"/>
      <c r="H3" s="344"/>
      <c r="I3" s="344"/>
      <c r="J3" s="344"/>
      <c r="K3" s="344"/>
      <c r="L3" s="344"/>
      <c r="M3" s="344"/>
      <c r="N3" s="344"/>
      <c r="O3" s="344"/>
      <c r="P3" s="344"/>
      <c r="Q3" s="344"/>
    </row>
    <row r="4" spans="4:17" ht="2.5499999999999998" customHeight="1" x14ac:dyDescent="0.3">
      <c r="D4" s="347"/>
      <c r="E4" s="344"/>
      <c r="F4" s="344"/>
      <c r="G4" s="344"/>
      <c r="H4" s="344"/>
      <c r="I4" s="344"/>
      <c r="J4" s="344"/>
      <c r="K4" s="344"/>
      <c r="L4" s="344"/>
      <c r="M4" s="344"/>
      <c r="N4" s="344"/>
      <c r="O4" s="344"/>
      <c r="P4" s="344"/>
      <c r="Q4" s="344"/>
    </row>
    <row r="5" spans="4:17" ht="25.8" x14ac:dyDescent="0.5">
      <c r="D5" s="348" t="s">
        <v>378</v>
      </c>
      <c r="E5" s="344"/>
      <c r="F5" s="344"/>
      <c r="G5" s="344"/>
      <c r="H5" s="344"/>
      <c r="I5" s="344"/>
      <c r="J5" s="344"/>
      <c r="K5" s="344"/>
      <c r="L5" s="344"/>
      <c r="M5" s="344"/>
      <c r="N5" s="344"/>
      <c r="O5" s="344"/>
      <c r="P5" s="344"/>
      <c r="Q5" s="344"/>
    </row>
    <row r="6" spans="4:17" ht="2.5499999999999998" customHeight="1" x14ac:dyDescent="0.3">
      <c r="D6" s="344"/>
      <c r="E6" s="344"/>
      <c r="F6" s="344"/>
      <c r="G6" s="344"/>
      <c r="H6" s="344"/>
      <c r="I6" s="344"/>
      <c r="J6" s="344"/>
      <c r="K6" s="344"/>
      <c r="L6" s="344"/>
      <c r="M6" s="344"/>
      <c r="N6" s="344"/>
      <c r="O6" s="344"/>
      <c r="P6" s="344"/>
      <c r="Q6" s="344"/>
    </row>
    <row r="7" spans="4:17" x14ac:dyDescent="0.3">
      <c r="D7" s="349" t="s">
        <v>372</v>
      </c>
      <c r="E7" s="344"/>
      <c r="F7" s="344"/>
      <c r="G7" s="344"/>
      <c r="H7" s="344"/>
      <c r="I7" s="344"/>
      <c r="J7" s="344"/>
      <c r="K7" s="344"/>
      <c r="L7" s="344"/>
      <c r="M7" s="344"/>
      <c r="N7" s="344"/>
      <c r="O7" s="344"/>
      <c r="P7" s="344"/>
      <c r="Q7" s="344"/>
    </row>
    <row r="8" spans="4:17" x14ac:dyDescent="0.3">
      <c r="D8" s="350" t="s">
        <v>418</v>
      </c>
      <c r="E8" s="344"/>
      <c r="F8" s="344"/>
      <c r="G8" s="344"/>
      <c r="H8" s="344"/>
      <c r="I8" s="344"/>
      <c r="J8" s="344"/>
      <c r="K8" s="344"/>
      <c r="L8" s="344"/>
      <c r="M8" s="344"/>
      <c r="N8" s="296"/>
      <c r="O8" s="344"/>
      <c r="P8" s="344"/>
      <c r="Q8" s="344"/>
    </row>
    <row r="9" spans="4:17" ht="4.95" customHeight="1" x14ac:dyDescent="0.3">
      <c r="D9" s="287"/>
      <c r="E9" s="287"/>
      <c r="F9" s="287"/>
      <c r="G9" s="287"/>
      <c r="H9" s="287"/>
      <c r="I9" s="287"/>
      <c r="J9" s="287"/>
      <c r="K9" s="287"/>
      <c r="L9" s="287"/>
      <c r="M9" s="287"/>
      <c r="N9" s="287"/>
      <c r="O9" s="287"/>
      <c r="P9" s="287"/>
      <c r="Q9" s="287"/>
    </row>
    <row r="10" spans="4:17" ht="7.95" customHeight="1" x14ac:dyDescent="0.3"/>
    <row r="11" spans="4:17" ht="14.4" customHeight="1" x14ac:dyDescent="0.3">
      <c r="D11" s="285" t="s">
        <v>408</v>
      </c>
      <c r="N11" s="70"/>
      <c r="O11" s="70"/>
      <c r="P11" s="70"/>
      <c r="Q11" s="70"/>
    </row>
    <row r="12" spans="4:17" x14ac:dyDescent="0.3">
      <c r="N12" s="305" t="s">
        <v>415</v>
      </c>
      <c r="O12" s="288"/>
      <c r="P12" s="288"/>
      <c r="Q12" s="288"/>
    </row>
    <row r="13" spans="4:17" x14ac:dyDescent="0.3">
      <c r="D13" s="284"/>
      <c r="N13" s="290" t="s">
        <v>380</v>
      </c>
      <c r="O13" s="291"/>
      <c r="P13" s="291"/>
      <c r="Q13" s="292">
        <v>24378.1</v>
      </c>
    </row>
    <row r="14" spans="4:17" x14ac:dyDescent="0.3">
      <c r="D14" s="284"/>
      <c r="N14" s="293" t="s">
        <v>386</v>
      </c>
      <c r="O14" s="294"/>
      <c r="P14" s="294"/>
      <c r="Q14" s="295">
        <v>12039</v>
      </c>
    </row>
    <row r="15" spans="4:17" x14ac:dyDescent="0.3">
      <c r="D15" s="284"/>
      <c r="N15" s="293" t="s">
        <v>381</v>
      </c>
      <c r="O15" s="294"/>
      <c r="P15" s="294"/>
      <c r="Q15" s="296" t="s">
        <v>382</v>
      </c>
    </row>
    <row r="16" spans="4:17" x14ac:dyDescent="0.3">
      <c r="D16" s="284"/>
      <c r="N16" s="293" t="s">
        <v>383</v>
      </c>
      <c r="O16" s="294"/>
      <c r="P16" s="294"/>
      <c r="Q16" s="295">
        <v>359505</v>
      </c>
    </row>
    <row r="17" spans="4:17" x14ac:dyDescent="0.3">
      <c r="D17" s="285" t="s">
        <v>954</v>
      </c>
      <c r="N17" s="293" t="s">
        <v>384</v>
      </c>
      <c r="O17" s="294"/>
      <c r="P17" s="294"/>
      <c r="Q17" s="297">
        <v>29.47</v>
      </c>
    </row>
    <row r="18" spans="4:17" x14ac:dyDescent="0.3">
      <c r="N18" s="293" t="s">
        <v>385</v>
      </c>
      <c r="O18" s="294"/>
      <c r="P18" s="294"/>
      <c r="Q18" s="298">
        <v>6.4000000000000003E-3</v>
      </c>
    </row>
    <row r="19" spans="4:17" x14ac:dyDescent="0.3">
      <c r="N19" s="293" t="s">
        <v>387</v>
      </c>
      <c r="O19" s="294"/>
      <c r="P19" s="294"/>
      <c r="Q19" s="299">
        <v>46.3</v>
      </c>
    </row>
    <row r="20" spans="4:17" x14ac:dyDescent="0.3">
      <c r="N20" s="293" t="s">
        <v>388</v>
      </c>
      <c r="O20" s="294"/>
      <c r="P20" s="294"/>
      <c r="Q20" s="300">
        <f>DCF!I28/Inc_Stat!O36</f>
        <v>191.47947064811689</v>
      </c>
    </row>
    <row r="21" spans="4:17" x14ac:dyDescent="0.3">
      <c r="N21" s="301" t="s">
        <v>389</v>
      </c>
      <c r="O21" s="302"/>
      <c r="P21" s="302"/>
      <c r="Q21" s="303">
        <f>DCF!K28/Inc_Stat!O36</f>
        <v>252.57600800517969</v>
      </c>
    </row>
    <row r="22" spans="4:17" x14ac:dyDescent="0.3">
      <c r="D22" s="285" t="s">
        <v>955</v>
      </c>
      <c r="N22" s="70"/>
      <c r="O22" s="70"/>
      <c r="P22" s="70"/>
      <c r="Q22" s="70"/>
    </row>
    <row r="23" spans="4:17" x14ac:dyDescent="0.3">
      <c r="N23" s="305" t="s">
        <v>414</v>
      </c>
      <c r="O23" s="288"/>
      <c r="P23" s="288"/>
      <c r="Q23" s="288"/>
    </row>
    <row r="24" spans="4:17" x14ac:dyDescent="0.3">
      <c r="N24" s="310" t="s">
        <v>410</v>
      </c>
      <c r="O24" s="311"/>
      <c r="P24" s="311"/>
      <c r="Q24" s="314" t="s">
        <v>417</v>
      </c>
    </row>
    <row r="25" spans="4:17" x14ac:dyDescent="0.3">
      <c r="N25" s="309" t="s">
        <v>411</v>
      </c>
      <c r="O25" s="70"/>
      <c r="P25" s="70"/>
      <c r="Q25" s="313">
        <v>12039</v>
      </c>
    </row>
    <row r="26" spans="4:17" x14ac:dyDescent="0.3">
      <c r="N26" s="309" t="s">
        <v>412</v>
      </c>
      <c r="O26" s="70"/>
      <c r="P26" s="70"/>
      <c r="Q26" s="313">
        <v>13500</v>
      </c>
    </row>
    <row r="27" spans="4:17" x14ac:dyDescent="0.3">
      <c r="N27" s="312" t="s">
        <v>413</v>
      </c>
      <c r="O27" s="72"/>
      <c r="P27" s="72"/>
      <c r="Q27" s="341">
        <f>Q26/Q25-1</f>
        <v>0.12135559431846499</v>
      </c>
    </row>
    <row r="28" spans="4:17" x14ac:dyDescent="0.3">
      <c r="N28" s="70"/>
      <c r="O28" s="70"/>
      <c r="P28" s="70"/>
      <c r="Q28" s="70"/>
    </row>
    <row r="29" spans="4:17" x14ac:dyDescent="0.3">
      <c r="N29" s="305" t="s">
        <v>392</v>
      </c>
      <c r="O29" s="288"/>
      <c r="P29" s="288"/>
      <c r="Q29" s="288"/>
    </row>
    <row r="30" spans="4:17" x14ac:dyDescent="0.3">
      <c r="N30" s="289"/>
      <c r="O30" s="289"/>
      <c r="P30" s="289"/>
      <c r="Q30" s="289"/>
    </row>
    <row r="31" spans="4:17" x14ac:dyDescent="0.3">
      <c r="N31" s="289"/>
      <c r="O31" s="289"/>
      <c r="P31" s="289"/>
      <c r="Q31" s="289"/>
    </row>
    <row r="32" spans="4:17" x14ac:dyDescent="0.3">
      <c r="D32" s="329" t="s">
        <v>998</v>
      </c>
      <c r="I32" s="329" t="s">
        <v>967</v>
      </c>
      <c r="N32" s="289"/>
      <c r="O32" s="289"/>
      <c r="P32" s="289"/>
      <c r="Q32" s="289"/>
    </row>
    <row r="33" spans="4:17" x14ac:dyDescent="0.3">
      <c r="D33" s="320" t="s">
        <v>140</v>
      </c>
      <c r="E33" s="321"/>
      <c r="F33" s="321"/>
      <c r="G33" s="321"/>
      <c r="N33" s="289"/>
      <c r="O33" s="289"/>
      <c r="P33" s="289"/>
      <c r="Q33" s="289"/>
    </row>
    <row r="34" spans="4:17" x14ac:dyDescent="0.3">
      <c r="D34" s="316" t="s">
        <v>957</v>
      </c>
      <c r="E34" s="316"/>
      <c r="F34" s="316"/>
      <c r="G34" s="353" t="s">
        <v>958</v>
      </c>
      <c r="N34" s="289"/>
      <c r="O34" s="289"/>
      <c r="P34" s="289"/>
      <c r="Q34" s="289"/>
    </row>
    <row r="35" spans="4:17" x14ac:dyDescent="0.3">
      <c r="D35" s="319" t="s">
        <v>959</v>
      </c>
      <c r="E35" s="319"/>
      <c r="F35" s="319"/>
      <c r="G35" s="354" t="s">
        <v>960</v>
      </c>
      <c r="N35" s="289"/>
      <c r="O35" s="289"/>
      <c r="P35" s="289"/>
      <c r="Q35" s="289"/>
    </row>
    <row r="36" spans="4:17" x14ac:dyDescent="0.3">
      <c r="D36" s="319" t="s">
        <v>373</v>
      </c>
      <c r="E36" s="319"/>
      <c r="F36" s="319"/>
      <c r="G36" s="354">
        <v>34</v>
      </c>
      <c r="N36" s="289"/>
      <c r="O36" s="289"/>
      <c r="P36" s="289"/>
      <c r="Q36" s="289"/>
    </row>
    <row r="37" spans="4:17" x14ac:dyDescent="0.3">
      <c r="D37" s="319" t="s">
        <v>961</v>
      </c>
      <c r="E37" s="319"/>
      <c r="F37" s="319"/>
      <c r="G37" s="354">
        <v>35</v>
      </c>
      <c r="N37" s="289"/>
      <c r="O37" s="289"/>
      <c r="P37" s="289"/>
      <c r="Q37" s="289"/>
    </row>
    <row r="38" spans="4:17" x14ac:dyDescent="0.3">
      <c r="D38" s="319" t="s">
        <v>962</v>
      </c>
      <c r="E38" s="319"/>
      <c r="F38" s="319"/>
      <c r="G38" s="354">
        <v>10</v>
      </c>
      <c r="N38" s="289"/>
      <c r="O38" s="289"/>
      <c r="P38" s="289"/>
      <c r="Q38" s="289"/>
    </row>
    <row r="39" spans="4:17" x14ac:dyDescent="0.3">
      <c r="D39" s="319" t="s">
        <v>963</v>
      </c>
      <c r="E39" s="319"/>
      <c r="F39" s="319"/>
      <c r="G39" s="324">
        <v>145000</v>
      </c>
      <c r="N39" s="289"/>
      <c r="O39" s="289"/>
      <c r="P39" s="289"/>
      <c r="Q39" s="289"/>
    </row>
    <row r="40" spans="4:17" x14ac:dyDescent="0.3">
      <c r="D40" s="319" t="s">
        <v>964</v>
      </c>
      <c r="E40" s="319"/>
      <c r="F40" s="319"/>
      <c r="G40" s="355">
        <v>0.8</v>
      </c>
      <c r="N40" s="289"/>
      <c r="O40" s="289"/>
      <c r="P40" s="289"/>
      <c r="Q40" s="289"/>
    </row>
    <row r="41" spans="4:17" x14ac:dyDescent="0.3">
      <c r="D41" s="356" t="s">
        <v>965</v>
      </c>
      <c r="E41" s="356"/>
      <c r="F41" s="356"/>
      <c r="G41" s="357">
        <v>0.26200000000000001</v>
      </c>
      <c r="I41" s="3"/>
      <c r="N41" s="289"/>
      <c r="O41" s="289"/>
      <c r="P41" s="289"/>
      <c r="Q41" s="289"/>
    </row>
    <row r="42" spans="4:17" x14ac:dyDescent="0.3">
      <c r="D42" s="328" t="s">
        <v>966</v>
      </c>
      <c r="I42" s="330" t="s">
        <v>968</v>
      </c>
      <c r="J42" s="125"/>
      <c r="K42" s="125"/>
      <c r="L42" s="125"/>
      <c r="N42" s="289"/>
      <c r="O42" s="289"/>
      <c r="P42" s="289"/>
      <c r="Q42" s="289"/>
    </row>
    <row r="43" spans="4:17" x14ac:dyDescent="0.3">
      <c r="N43" s="291"/>
      <c r="O43" s="291"/>
      <c r="P43" s="306" t="s">
        <v>396</v>
      </c>
      <c r="Q43" s="306" t="s">
        <v>397</v>
      </c>
    </row>
    <row r="44" spans="4:17" x14ac:dyDescent="0.3">
      <c r="N44" s="307" t="s">
        <v>395</v>
      </c>
      <c r="O44" s="302"/>
      <c r="P44" s="308">
        <f>AVERAGE(StockData!E4:E268)</f>
        <v>4.7400546738179131E-4</v>
      </c>
      <c r="Q44" s="308">
        <f>AVERAGE(StockData!F4:F268)</f>
        <v>1.5240774855408988E-4</v>
      </c>
    </row>
    <row r="45" spans="4:17" x14ac:dyDescent="0.3">
      <c r="N45" s="70"/>
      <c r="O45" s="70"/>
      <c r="P45" s="70"/>
      <c r="Q45" s="70"/>
    </row>
    <row r="46" spans="4:17" x14ac:dyDescent="0.3">
      <c r="N46" s="305" t="s">
        <v>416</v>
      </c>
      <c r="O46" s="304"/>
      <c r="P46" s="304"/>
      <c r="Q46" s="304"/>
    </row>
    <row r="47" spans="4:17" x14ac:dyDescent="0.3">
      <c r="N47" s="358" t="s">
        <v>405</v>
      </c>
      <c r="O47" s="359"/>
      <c r="P47" s="359"/>
      <c r="Q47" s="365">
        <v>0.59330000000000005</v>
      </c>
    </row>
    <row r="48" spans="4:17" x14ac:dyDescent="0.3">
      <c r="N48" s="360" t="s">
        <v>406</v>
      </c>
      <c r="O48" s="361"/>
      <c r="P48" s="361"/>
      <c r="Q48" s="362">
        <f>13.61%+18.42%</f>
        <v>0.32030000000000003</v>
      </c>
    </row>
    <row r="49" spans="4:17" x14ac:dyDescent="0.3">
      <c r="N49" s="363" t="s">
        <v>407</v>
      </c>
      <c r="O49" s="364"/>
      <c r="P49" s="364"/>
      <c r="Q49" s="366">
        <f>0.05%+8.41%+0.17%</f>
        <v>8.6300000000000016E-2</v>
      </c>
    </row>
    <row r="50" spans="4:17" x14ac:dyDescent="0.3">
      <c r="N50" s="331"/>
      <c r="O50" s="331"/>
      <c r="P50" s="331"/>
      <c r="Q50" s="346" t="s">
        <v>956</v>
      </c>
    </row>
    <row r="51" spans="4:17" ht="15" thickBot="1" x14ac:dyDescent="0.35">
      <c r="D51" s="345"/>
      <c r="E51" s="345"/>
      <c r="F51" s="345"/>
      <c r="G51" s="345"/>
      <c r="H51" s="345"/>
      <c r="I51" s="345"/>
      <c r="J51" s="345"/>
      <c r="K51" s="345"/>
      <c r="L51" s="345"/>
      <c r="M51" s="345"/>
      <c r="N51" s="351"/>
      <c r="O51" s="351"/>
      <c r="P51" s="351"/>
      <c r="Q51" s="352" t="s">
        <v>969</v>
      </c>
    </row>
    <row r="53" spans="4:17" x14ac:dyDescent="0.3">
      <c r="D53" s="287"/>
      <c r="E53" s="287"/>
      <c r="F53" s="287"/>
      <c r="G53" s="287"/>
      <c r="H53" s="287"/>
      <c r="I53" s="287"/>
      <c r="J53" s="287"/>
      <c r="K53" s="287"/>
      <c r="L53" s="287"/>
      <c r="M53" s="287"/>
      <c r="N53" s="287"/>
      <c r="O53" s="287"/>
      <c r="P53" s="287"/>
      <c r="Q53" s="287"/>
    </row>
    <row r="55" spans="4:17" x14ac:dyDescent="0.3">
      <c r="D55" s="285" t="s">
        <v>409</v>
      </c>
    </row>
    <row r="56" spans="4:17" x14ac:dyDescent="0.3">
      <c r="D56" s="286" t="s">
        <v>390</v>
      </c>
      <c r="M56" s="329" t="s">
        <v>975</v>
      </c>
    </row>
    <row r="61" spans="4:17" x14ac:dyDescent="0.3">
      <c r="D61" s="329" t="s">
        <v>1007</v>
      </c>
    </row>
    <row r="62" spans="4:17" x14ac:dyDescent="0.3">
      <c r="D62" s="320" t="s">
        <v>970</v>
      </c>
      <c r="E62" s="321"/>
      <c r="F62" s="332">
        <v>45992</v>
      </c>
      <c r="G62" s="332">
        <v>45901</v>
      </c>
      <c r="H62" s="332"/>
      <c r="I62" s="332" t="s">
        <v>971</v>
      </c>
      <c r="J62" s="332">
        <v>45627</v>
      </c>
      <c r="K62" s="332" t="s">
        <v>972</v>
      </c>
      <c r="L62" s="315"/>
    </row>
    <row r="63" spans="4:17" x14ac:dyDescent="0.3">
      <c r="D63" s="316" t="s">
        <v>61</v>
      </c>
      <c r="E63" s="316"/>
      <c r="F63" s="317">
        <v>21506</v>
      </c>
      <c r="G63" s="317">
        <v>19371</v>
      </c>
      <c r="H63" s="316"/>
      <c r="I63" s="333">
        <f>F63/G63-1</f>
        <v>0.1102163027205616</v>
      </c>
      <c r="J63" s="317">
        <v>17555</v>
      </c>
      <c r="K63" s="333">
        <f>F63/J63-1</f>
        <v>0.2250640843064653</v>
      </c>
    </row>
    <row r="64" spans="4:17" x14ac:dyDescent="0.3">
      <c r="D64" s="319" t="s">
        <v>973</v>
      </c>
      <c r="E64" s="319"/>
      <c r="F64" s="334">
        <v>2644.11</v>
      </c>
      <c r="G64" s="334">
        <v>1047.51</v>
      </c>
      <c r="H64" s="319"/>
      <c r="I64" s="335">
        <f>F64/G64-1</f>
        <v>1.5241859266259987</v>
      </c>
      <c r="J64" s="334">
        <v>1901.95</v>
      </c>
      <c r="K64" s="335">
        <f>F64/J64-1</f>
        <v>0.39021004758274414</v>
      </c>
    </row>
    <row r="65" spans="4:17" x14ac:dyDescent="0.3">
      <c r="D65" s="319" t="s">
        <v>404</v>
      </c>
      <c r="E65" s="319"/>
      <c r="F65" s="334">
        <v>1725.4</v>
      </c>
      <c r="G65" s="334">
        <v>702.82</v>
      </c>
      <c r="H65" s="319"/>
      <c r="I65" s="335">
        <f t="shared" ref="I65:I66" si="0">F65/G65-1</f>
        <v>1.4549671324094362</v>
      </c>
      <c r="J65" s="334">
        <v>1359.43</v>
      </c>
      <c r="K65" s="335">
        <f t="shared" ref="K65:K66" si="1">F65/J65-1</f>
        <v>0.26920841823411279</v>
      </c>
    </row>
    <row r="66" spans="4:17" x14ac:dyDescent="0.3">
      <c r="D66" s="356" t="s">
        <v>974</v>
      </c>
      <c r="E66" s="356"/>
      <c r="F66" s="387">
        <v>60.92</v>
      </c>
      <c r="G66" s="387">
        <v>23.89</v>
      </c>
      <c r="H66" s="356"/>
      <c r="I66" s="388">
        <f t="shared" si="0"/>
        <v>1.5500209292591043</v>
      </c>
      <c r="J66" s="387">
        <v>46.17</v>
      </c>
      <c r="K66" s="388">
        <f t="shared" si="1"/>
        <v>0.31947151830192766</v>
      </c>
      <c r="M66" s="3"/>
      <c r="N66" s="3"/>
      <c r="O66" s="3"/>
      <c r="P66" s="3"/>
      <c r="Q66" s="3"/>
    </row>
    <row r="67" spans="4:17" x14ac:dyDescent="0.3">
      <c r="M67" s="330" t="s">
        <v>968</v>
      </c>
    </row>
    <row r="68" spans="4:17" x14ac:dyDescent="0.3">
      <c r="D68" s="286" t="s">
        <v>391</v>
      </c>
    </row>
    <row r="76" spans="4:17" x14ac:dyDescent="0.3">
      <c r="D76" s="285" t="s">
        <v>987</v>
      </c>
    </row>
    <row r="77" spans="4:17" x14ac:dyDescent="0.3">
      <c r="D77" s="286" t="s">
        <v>1001</v>
      </c>
    </row>
    <row r="81" spans="4:30" x14ac:dyDescent="0.3">
      <c r="AD81" s="284"/>
    </row>
    <row r="82" spans="4:30" x14ac:dyDescent="0.3">
      <c r="AD82" s="284"/>
    </row>
    <row r="83" spans="4:30" x14ac:dyDescent="0.3">
      <c r="AD83" s="284"/>
    </row>
    <row r="84" spans="4:30" x14ac:dyDescent="0.3">
      <c r="T84" s="327"/>
      <c r="AD84" s="284"/>
    </row>
    <row r="85" spans="4:30" x14ac:dyDescent="0.3">
      <c r="D85" s="286" t="s">
        <v>988</v>
      </c>
      <c r="N85" s="329" t="s">
        <v>977</v>
      </c>
      <c r="T85" s="327"/>
      <c r="AD85" s="284"/>
    </row>
    <row r="86" spans="4:30" x14ac:dyDescent="0.3">
      <c r="T86" s="327"/>
      <c r="AD86" s="284"/>
    </row>
    <row r="87" spans="4:30" x14ac:dyDescent="0.3">
      <c r="T87" s="327"/>
    </row>
    <row r="88" spans="4:30" x14ac:dyDescent="0.3">
      <c r="N88" s="339"/>
      <c r="O88" s="339"/>
      <c r="P88" s="339"/>
      <c r="Q88" s="339"/>
      <c r="T88" s="327"/>
    </row>
    <row r="89" spans="4:30" x14ac:dyDescent="0.3">
      <c r="AD89" s="284"/>
    </row>
    <row r="90" spans="4:30" x14ac:dyDescent="0.3">
      <c r="D90" s="285" t="s">
        <v>978</v>
      </c>
      <c r="AD90" s="284"/>
    </row>
    <row r="91" spans="4:30" x14ac:dyDescent="0.3">
      <c r="AD91" s="284"/>
    </row>
    <row r="93" spans="4:30" x14ac:dyDescent="0.3">
      <c r="D93" s="329" t="s">
        <v>1000</v>
      </c>
      <c r="AD93" s="284"/>
    </row>
    <row r="94" spans="4:30" x14ac:dyDescent="0.3">
      <c r="D94" s="336" t="s">
        <v>970</v>
      </c>
      <c r="E94" s="305"/>
      <c r="F94" s="337" t="s">
        <v>398</v>
      </c>
      <c r="G94" s="337" t="s">
        <v>399</v>
      </c>
      <c r="H94" s="337"/>
      <c r="I94" s="337" t="s">
        <v>400</v>
      </c>
      <c r="J94" s="337" t="s">
        <v>401</v>
      </c>
      <c r="K94" s="337" t="s">
        <v>402</v>
      </c>
      <c r="L94" s="337" t="s">
        <v>403</v>
      </c>
      <c r="N94" s="3"/>
      <c r="O94" s="3"/>
      <c r="P94" s="3"/>
      <c r="Q94" s="3"/>
      <c r="AD94" s="284"/>
    </row>
    <row r="95" spans="4:30" x14ac:dyDescent="0.3">
      <c r="D95" s="316" t="s">
        <v>61</v>
      </c>
      <c r="E95" s="316"/>
      <c r="F95" s="322">
        <v>63239.98</v>
      </c>
      <c r="G95" s="322">
        <v>70908.14</v>
      </c>
      <c r="H95" s="322"/>
      <c r="I95" s="322">
        <v>75955.13</v>
      </c>
      <c r="J95" s="322">
        <v>88297.838625000019</v>
      </c>
      <c r="K95" s="322">
        <v>98937.728179312529</v>
      </c>
      <c r="L95" s="322">
        <v>110038.5412810314</v>
      </c>
    </row>
    <row r="96" spans="4:30" x14ac:dyDescent="0.3">
      <c r="D96" s="318" t="s">
        <v>120</v>
      </c>
      <c r="E96" s="319"/>
      <c r="F96" s="323">
        <v>0.20230773194004503</v>
      </c>
      <c r="G96" s="323">
        <v>0.12125494030833028</v>
      </c>
      <c r="H96" s="323"/>
      <c r="I96" s="323">
        <v>7.117645449450527E-2</v>
      </c>
      <c r="J96" s="323">
        <v>0.16250000000000001</v>
      </c>
      <c r="K96" s="323">
        <v>0.12050000000000001</v>
      </c>
      <c r="L96" s="323">
        <v>0.11220000000000001</v>
      </c>
      <c r="N96" s="329" t="s">
        <v>979</v>
      </c>
      <c r="AD96" s="284"/>
    </row>
    <row r="97" spans="4:30" x14ac:dyDescent="0.3">
      <c r="D97" s="319" t="s">
        <v>65</v>
      </c>
      <c r="E97" s="319"/>
      <c r="F97" s="324">
        <v>10619.850000000002</v>
      </c>
      <c r="G97" s="324">
        <v>12978.559999999998</v>
      </c>
      <c r="H97" s="324"/>
      <c r="I97" s="324">
        <v>12796.880000000005</v>
      </c>
      <c r="J97" s="324">
        <v>15992.978778749999</v>
      </c>
      <c r="K97" s="324">
        <v>17920.132721589376</v>
      </c>
      <c r="L97" s="324">
        <v>19930.77161295171</v>
      </c>
      <c r="AD97" s="284"/>
    </row>
    <row r="98" spans="4:30" x14ac:dyDescent="0.3">
      <c r="D98" s="318" t="s">
        <v>121</v>
      </c>
      <c r="E98" s="319"/>
      <c r="F98" s="323">
        <v>0.16792936999663824</v>
      </c>
      <c r="G98" s="323">
        <v>0.1830334288841873</v>
      </c>
      <c r="H98" s="323"/>
      <c r="I98" s="323">
        <v>0.16847946939199504</v>
      </c>
      <c r="J98" s="323">
        <v>0.18112537099205803</v>
      </c>
      <c r="K98" s="323">
        <v>0.18112537099205803</v>
      </c>
      <c r="L98" s="323">
        <v>0.18112537099205808</v>
      </c>
      <c r="AD98" s="284"/>
    </row>
    <row r="99" spans="4:30" x14ac:dyDescent="0.3">
      <c r="D99" s="318" t="s">
        <v>976</v>
      </c>
      <c r="E99" s="319"/>
      <c r="F99" s="338">
        <f>F97/104.09*10</f>
        <v>1020.25650879047</v>
      </c>
      <c r="G99" s="338">
        <f>G97/117.2*10</f>
        <v>1107.3856655290101</v>
      </c>
      <c r="H99" s="338"/>
      <c r="I99" s="338">
        <f>I97/133.14*10</f>
        <v>961.15968153823087</v>
      </c>
      <c r="J99" s="338">
        <f>J97/151.24*10</f>
        <v>1057.456941202724</v>
      </c>
      <c r="K99" s="338">
        <f>K97/171.81*10</f>
        <v>1043.0203551358695</v>
      </c>
      <c r="L99" s="338">
        <f>L97/195.18*10</f>
        <v>1021.1482535583416</v>
      </c>
    </row>
    <row r="100" spans="4:30" x14ac:dyDescent="0.3">
      <c r="D100" s="318" t="s">
        <v>121</v>
      </c>
      <c r="E100" s="319"/>
      <c r="F100" s="323">
        <f>F99/F95</f>
        <v>1.6133093476475957E-2</v>
      </c>
      <c r="G100" s="323">
        <f t="shared" ref="G100:L100" si="2">G99/G95</f>
        <v>1.5617186764862399E-2</v>
      </c>
      <c r="H100" s="323"/>
      <c r="I100" s="323">
        <f t="shared" si="2"/>
        <v>1.265430895238058E-2</v>
      </c>
      <c r="J100" s="323">
        <f t="shared" si="2"/>
        <v>1.1976022943140572E-2</v>
      </c>
      <c r="K100" s="323">
        <f t="shared" si="2"/>
        <v>1.0542190267857401E-2</v>
      </c>
      <c r="L100" s="323">
        <f t="shared" si="2"/>
        <v>9.279914488782565E-3</v>
      </c>
      <c r="AD100" s="284"/>
    </row>
    <row r="101" spans="4:30" x14ac:dyDescent="0.3">
      <c r="D101" s="319" t="s">
        <v>124</v>
      </c>
      <c r="E101" s="319"/>
      <c r="F101" s="324">
        <v>7731.8600000000024</v>
      </c>
      <c r="G101" s="324">
        <v>9833.2599999999984</v>
      </c>
      <c r="H101" s="324"/>
      <c r="I101" s="324">
        <v>8781.9300000000039</v>
      </c>
      <c r="J101" s="324">
        <v>11325.599403749999</v>
      </c>
      <c r="K101" s="324">
        <v>12690.334131901876</v>
      </c>
      <c r="L101" s="324">
        <v>14114.189621501271</v>
      </c>
      <c r="AD101" s="284"/>
    </row>
    <row r="102" spans="4:30" x14ac:dyDescent="0.3">
      <c r="D102" s="318" t="s">
        <v>121</v>
      </c>
      <c r="E102" s="319"/>
      <c r="F102" s="323">
        <v>0.12226221450417919</v>
      </c>
      <c r="G102" s="323">
        <v>0.13867603916842267</v>
      </c>
      <c r="H102" s="323"/>
      <c r="I102" s="323">
        <v>0.11561997194922849</v>
      </c>
      <c r="J102" s="323">
        <v>0.1282658735492915</v>
      </c>
      <c r="K102" s="323">
        <v>0.1282658735492915</v>
      </c>
      <c r="L102" s="323">
        <v>0.12826587354929153</v>
      </c>
    </row>
    <row r="103" spans="4:30" x14ac:dyDescent="0.3">
      <c r="D103" s="319" t="s">
        <v>404</v>
      </c>
      <c r="E103" s="319"/>
      <c r="F103" s="325">
        <v>4566.2900000000027</v>
      </c>
      <c r="G103" s="325">
        <v>6446.9999999999982</v>
      </c>
      <c r="H103" s="325"/>
      <c r="I103" s="325">
        <v>5642.9000000000042</v>
      </c>
      <c r="J103" s="325">
        <v>7443.4149559126454</v>
      </c>
      <c r="K103" s="325">
        <v>8340.3464581001208</v>
      </c>
      <c r="L103" s="325">
        <v>9276.1333306989582</v>
      </c>
    </row>
    <row r="104" spans="4:30" x14ac:dyDescent="0.3">
      <c r="D104" s="318" t="s">
        <v>121</v>
      </c>
      <c r="E104" s="319"/>
      <c r="F104" s="323">
        <v>7.2205747060641104E-2</v>
      </c>
      <c r="G104" s="323">
        <v>9.0920450035778658E-2</v>
      </c>
      <c r="H104" s="323"/>
      <c r="I104" s="323">
        <v>7.4292546138753288E-2</v>
      </c>
      <c r="J104" s="323">
        <v>8.429894855665436E-2</v>
      </c>
      <c r="K104" s="323">
        <v>8.4298948556654374E-2</v>
      </c>
      <c r="L104" s="323">
        <v>8.4298948556654402E-2</v>
      </c>
    </row>
    <row r="105" spans="4:30" x14ac:dyDescent="0.3">
      <c r="D105" s="319" t="s">
        <v>278</v>
      </c>
      <c r="E105" s="319"/>
      <c r="F105" s="326">
        <f>DCF!G28/Inc_Stat!$O$36</f>
        <v>154.94706481167299</v>
      </c>
      <c r="G105" s="326">
        <f>DCF!H28/Inc_Stat!$O$36</f>
        <v>218.76484560570066</v>
      </c>
      <c r="H105" s="326"/>
      <c r="I105" s="326">
        <f>DCF!I28/Inc_Stat!$O$36</f>
        <v>191.47947064811689</v>
      </c>
      <c r="J105" s="326">
        <f>DCF!K28/Inc_Stat!$O$36</f>
        <v>252.57600800517969</v>
      </c>
      <c r="K105" s="326">
        <f>DCF!L28/Inc_Stat!$O$36</f>
        <v>283.01141696980392</v>
      </c>
      <c r="L105" s="326">
        <f>DCF!M28/Inc_Stat!$O$36</f>
        <v>314.76529795381606</v>
      </c>
    </row>
    <row r="106" spans="4:30" x14ac:dyDescent="0.3">
      <c r="D106" s="389" t="s">
        <v>120</v>
      </c>
      <c r="E106" s="356"/>
      <c r="F106" s="390">
        <f>Inc_Stat!M39</f>
        <v>-0.31486774606404011</v>
      </c>
      <c r="G106" s="391">
        <f>G105/F105-1</f>
        <v>0.41186827818644778</v>
      </c>
      <c r="H106" s="391"/>
      <c r="I106" s="390">
        <f>I105/G105-1</f>
        <v>-0.12472467814487265</v>
      </c>
      <c r="J106" s="390">
        <f>J105/I105-1</f>
        <v>0.3190761764186214</v>
      </c>
      <c r="K106" s="390">
        <f t="shared" ref="K106:L106" si="3">K105/J105-1</f>
        <v>0.12050000000000027</v>
      </c>
      <c r="L106" s="390">
        <f t="shared" si="3"/>
        <v>0.11220000000000052</v>
      </c>
      <c r="N106" s="3"/>
      <c r="O106" s="3"/>
      <c r="P106" s="3"/>
      <c r="Q106" s="3"/>
    </row>
    <row r="107" spans="4:30" ht="15" thickBot="1" x14ac:dyDescent="0.35">
      <c r="D107" s="345"/>
      <c r="E107" s="345"/>
      <c r="F107" s="345"/>
      <c r="G107" s="345"/>
      <c r="H107" s="345"/>
      <c r="I107" s="345"/>
      <c r="J107" s="345"/>
      <c r="K107" s="345"/>
      <c r="L107" s="345"/>
      <c r="M107" s="345"/>
      <c r="N107" s="345"/>
      <c r="O107" s="345"/>
      <c r="P107" s="345"/>
      <c r="Q107" s="345"/>
    </row>
    <row r="109" spans="4:30" x14ac:dyDescent="0.3">
      <c r="D109" s="287"/>
      <c r="E109" s="287"/>
      <c r="F109" s="287"/>
      <c r="G109" s="287"/>
      <c r="H109" s="287"/>
      <c r="I109" s="287"/>
      <c r="J109" s="287"/>
      <c r="K109" s="287"/>
      <c r="L109" s="287"/>
      <c r="M109" s="287"/>
      <c r="N109" s="287"/>
      <c r="O109" s="287"/>
      <c r="P109" s="287"/>
      <c r="Q109" s="287"/>
    </row>
    <row r="114" spans="4:17" x14ac:dyDescent="0.3">
      <c r="D114" s="329" t="s">
        <v>1003</v>
      </c>
      <c r="K114" s="343" t="s">
        <v>984</v>
      </c>
      <c r="O114" s="343" t="s">
        <v>985</v>
      </c>
    </row>
    <row r="115" spans="4:17" x14ac:dyDescent="0.3">
      <c r="D115" s="336" t="s">
        <v>970</v>
      </c>
      <c r="E115" s="305"/>
      <c r="F115" s="337" t="s">
        <v>398</v>
      </c>
      <c r="G115" s="368" t="s">
        <v>399</v>
      </c>
      <c r="H115" s="368"/>
      <c r="I115" s="337" t="s">
        <v>400</v>
      </c>
    </row>
    <row r="116" spans="4:17" x14ac:dyDescent="0.3">
      <c r="D116" s="316" t="s">
        <v>980</v>
      </c>
      <c r="E116" s="316"/>
      <c r="F116" s="333">
        <f>Ratio!L13</f>
        <v>0.1321462143456355</v>
      </c>
      <c r="G116" s="392">
        <f>Ratio!M13</f>
        <v>8.405575086323791E-2</v>
      </c>
      <c r="H116" s="392"/>
      <c r="I116" s="333">
        <f>Ratio!O13</f>
        <v>7.980706797948775E-2</v>
      </c>
    </row>
    <row r="117" spans="4:17" x14ac:dyDescent="0.3">
      <c r="D117" s="319" t="s">
        <v>981</v>
      </c>
      <c r="E117" s="319"/>
      <c r="F117" s="335">
        <f>Ratio!L14</f>
        <v>7.9521721617001218E-2</v>
      </c>
      <c r="G117" s="393">
        <f>Ratio!M14</f>
        <v>4.9970124884548578E-2</v>
      </c>
      <c r="H117" s="393"/>
      <c r="I117" s="335">
        <f>Ratio!O14</f>
        <v>4.2227142199259701E-2</v>
      </c>
    </row>
    <row r="118" spans="4:17" x14ac:dyDescent="0.3">
      <c r="D118" s="319" t="s">
        <v>982</v>
      </c>
      <c r="E118" s="319"/>
      <c r="F118" s="335">
        <f>Ratio!L15</f>
        <v>9.9994448778731315E-2</v>
      </c>
      <c r="G118" s="393">
        <f>Ratio!M15</f>
        <v>6.4737931523357231E-2</v>
      </c>
      <c r="H118" s="393"/>
      <c r="I118" s="335">
        <f>Ratio!O15</f>
        <v>5.3017334523418086E-2</v>
      </c>
    </row>
    <row r="119" spans="4:17" x14ac:dyDescent="0.3">
      <c r="D119" s="319" t="s">
        <v>358</v>
      </c>
      <c r="E119" s="319"/>
      <c r="F119" s="394">
        <f>Ratio!M35</f>
        <v>0.20353428439944776</v>
      </c>
      <c r="G119" s="395">
        <f>Ratio!N35</f>
        <v>0.18934714750614332</v>
      </c>
      <c r="H119" s="395"/>
      <c r="I119" s="394">
        <f>Ratio!O35</f>
        <v>0.34087148372862658</v>
      </c>
    </row>
    <row r="120" spans="4:17" x14ac:dyDescent="0.3">
      <c r="D120" s="319" t="s">
        <v>983</v>
      </c>
      <c r="E120" s="319"/>
      <c r="F120" s="394">
        <f>Ratio!M39</f>
        <v>8.397923959548816</v>
      </c>
      <c r="G120" s="395">
        <f>Ratio!N39</f>
        <v>9.1583264462809897</v>
      </c>
      <c r="H120" s="395"/>
      <c r="I120" s="394">
        <f>Ratio!O39</f>
        <v>4.3206405176487728</v>
      </c>
    </row>
    <row r="121" spans="4:17" x14ac:dyDescent="0.3">
      <c r="D121" s="319" t="s">
        <v>318</v>
      </c>
      <c r="E121" s="319"/>
      <c r="F121" s="394">
        <f>Ratio!M20</f>
        <v>1.652468456262173</v>
      </c>
      <c r="G121" s="395">
        <f>Ratio!N20</f>
        <v>1.6173012939001847</v>
      </c>
      <c r="H121" s="395"/>
      <c r="I121" s="394">
        <f>Ratio!O20</f>
        <v>1.3366727383120827</v>
      </c>
    </row>
    <row r="122" spans="4:17" x14ac:dyDescent="0.3">
      <c r="D122" s="356" t="s">
        <v>352</v>
      </c>
      <c r="E122" s="356"/>
      <c r="F122" s="396">
        <f>Ratio!M27</f>
        <v>0.69205190609802547</v>
      </c>
      <c r="G122" s="397">
        <f>Ratio!N27</f>
        <v>0.70347393888574783</v>
      </c>
      <c r="H122" s="397"/>
      <c r="I122" s="396">
        <f>Ratio!O27</f>
        <v>0.56839002556721796</v>
      </c>
    </row>
    <row r="123" spans="4:17" x14ac:dyDescent="0.3"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</row>
    <row r="125" spans="4:17" x14ac:dyDescent="0.3">
      <c r="D125" s="285" t="s">
        <v>279</v>
      </c>
    </row>
    <row r="126" spans="4:17" x14ac:dyDescent="0.3">
      <c r="D126" s="342" t="s">
        <v>986</v>
      </c>
    </row>
    <row r="129" spans="4:5" x14ac:dyDescent="0.3">
      <c r="E129" s="4"/>
    </row>
    <row r="130" spans="4:5" x14ac:dyDescent="0.3">
      <c r="D130" s="329" t="s">
        <v>992</v>
      </c>
      <c r="E130" s="340"/>
    </row>
    <row r="161" spans="4:17" ht="15" thickBot="1" x14ac:dyDescent="0.35">
      <c r="D161" s="345"/>
      <c r="E161" s="345"/>
      <c r="F161" s="345"/>
      <c r="G161" s="345"/>
      <c r="H161" s="345"/>
      <c r="I161" s="345"/>
      <c r="J161" s="345"/>
      <c r="K161" s="345"/>
      <c r="L161" s="345"/>
      <c r="M161" s="345"/>
      <c r="N161" s="345"/>
      <c r="O161" s="345"/>
      <c r="P161" s="345"/>
      <c r="Q161" s="345"/>
    </row>
    <row r="163" spans="4:17" x14ac:dyDescent="0.3">
      <c r="D163" s="287"/>
      <c r="E163" s="287"/>
      <c r="F163" s="287"/>
      <c r="G163" s="287"/>
      <c r="H163" s="287"/>
      <c r="I163" s="287"/>
      <c r="J163" s="287"/>
      <c r="K163" s="287"/>
      <c r="L163" s="287"/>
      <c r="M163" s="287"/>
      <c r="N163" s="287"/>
      <c r="O163" s="287"/>
      <c r="P163" s="287"/>
      <c r="Q163" s="287"/>
    </row>
    <row r="165" spans="4:17" x14ac:dyDescent="0.3">
      <c r="D165" s="286" t="s">
        <v>257</v>
      </c>
    </row>
    <row r="170" spans="4:17" x14ac:dyDescent="0.3">
      <c r="D170" s="329" t="s">
        <v>993</v>
      </c>
    </row>
    <row r="186" spans="4:17" x14ac:dyDescent="0.3"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</row>
    <row r="188" spans="4:17" x14ac:dyDescent="0.3">
      <c r="D188" s="286" t="s">
        <v>989</v>
      </c>
    </row>
    <row r="192" spans="4:17" x14ac:dyDescent="0.3">
      <c r="D192" s="329" t="s">
        <v>994</v>
      </c>
    </row>
    <row r="213" spans="4:17" ht="15" thickBot="1" x14ac:dyDescent="0.35">
      <c r="D213" s="345"/>
      <c r="E213" s="345"/>
      <c r="F213" s="345"/>
      <c r="G213" s="345"/>
      <c r="H213" s="345"/>
      <c r="I213" s="345"/>
      <c r="J213" s="345"/>
      <c r="K213" s="345"/>
      <c r="L213" s="345"/>
      <c r="M213" s="345"/>
      <c r="N213" s="345"/>
      <c r="O213" s="345"/>
      <c r="P213" s="345"/>
      <c r="Q213" s="345"/>
    </row>
    <row r="215" spans="4:17" x14ac:dyDescent="0.3">
      <c r="D215" s="287"/>
      <c r="E215" s="287"/>
      <c r="F215" s="287"/>
      <c r="G215" s="287"/>
      <c r="H215" s="287"/>
      <c r="I215" s="287"/>
      <c r="J215" s="287"/>
      <c r="K215" s="287"/>
      <c r="L215" s="287"/>
      <c r="M215" s="287"/>
      <c r="N215" s="287"/>
      <c r="O215" s="287"/>
      <c r="P215" s="287"/>
      <c r="Q215" s="287"/>
    </row>
    <row r="217" spans="4:17" x14ac:dyDescent="0.3">
      <c r="D217" s="329" t="s">
        <v>995</v>
      </c>
    </row>
    <row r="241" spans="4:17" x14ac:dyDescent="0.3"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</row>
    <row r="243" spans="4:17" x14ac:dyDescent="0.3">
      <c r="D243" s="285" t="s">
        <v>990</v>
      </c>
    </row>
    <row r="244" spans="4:17" x14ac:dyDescent="0.3">
      <c r="D244" s="286" t="s">
        <v>991</v>
      </c>
    </row>
    <row r="255" spans="4:17" ht="15" thickBot="1" x14ac:dyDescent="0.35">
      <c r="D255" s="345"/>
      <c r="E255" s="345"/>
      <c r="F255" s="345"/>
      <c r="G255" s="345"/>
      <c r="H255" s="345"/>
      <c r="I255" s="345"/>
      <c r="J255" s="345"/>
      <c r="K255" s="345"/>
      <c r="L255" s="345"/>
      <c r="M255" s="345"/>
      <c r="N255" s="345"/>
      <c r="O255" s="345"/>
      <c r="P255" s="345"/>
      <c r="Q255" s="345"/>
    </row>
    <row r="256" spans="4:17" x14ac:dyDescent="0.3">
      <c r="D256" s="285" t="s">
        <v>996</v>
      </c>
    </row>
    <row r="257" spans="4:17" x14ac:dyDescent="0.3">
      <c r="D257" s="328" t="s">
        <v>999</v>
      </c>
    </row>
    <row r="258" spans="4:17" x14ac:dyDescent="0.3">
      <c r="D258" s="328" t="s">
        <v>1008</v>
      </c>
    </row>
    <row r="259" spans="4:17" x14ac:dyDescent="0.3">
      <c r="D259" s="328" t="s">
        <v>1002</v>
      </c>
    </row>
    <row r="260" spans="4:17" x14ac:dyDescent="0.3">
      <c r="D260" s="328" t="s">
        <v>1004</v>
      </c>
    </row>
    <row r="261" spans="4:17" x14ac:dyDescent="0.3">
      <c r="D261" s="328" t="s">
        <v>1005</v>
      </c>
    </row>
    <row r="262" spans="4:17" x14ac:dyDescent="0.3">
      <c r="D262" s="328" t="s">
        <v>1009</v>
      </c>
    </row>
    <row r="265" spans="4:17" ht="15" thickBot="1" x14ac:dyDescent="0.35">
      <c r="D265" s="345"/>
      <c r="E265" s="345"/>
      <c r="F265" s="345"/>
      <c r="G265" s="345"/>
      <c r="H265" s="345"/>
      <c r="I265" s="345"/>
      <c r="J265" s="345"/>
      <c r="K265" s="345"/>
      <c r="L265" s="345"/>
      <c r="M265" s="345"/>
      <c r="N265" s="345"/>
      <c r="O265" s="345"/>
      <c r="P265" s="345"/>
      <c r="Q265" s="345"/>
    </row>
    <row r="266" spans="4:17" x14ac:dyDescent="0.3">
      <c r="D266" s="367" t="s">
        <v>997</v>
      </c>
      <c r="E266" s="367"/>
      <c r="F266" s="367"/>
      <c r="G266" s="367"/>
      <c r="H266" s="367"/>
      <c r="I266" s="367"/>
      <c r="J266" s="367"/>
      <c r="K266" s="367"/>
      <c r="L266" s="367"/>
      <c r="M266" s="367"/>
      <c r="N266" s="367"/>
      <c r="O266" s="367"/>
      <c r="P266" s="367"/>
      <c r="Q266" s="367"/>
    </row>
  </sheetData>
  <mergeCells count="10">
    <mergeCell ref="D266:Q266"/>
    <mergeCell ref="G120:H120"/>
    <mergeCell ref="G121:H121"/>
    <mergeCell ref="G122:H122"/>
    <mergeCell ref="G106:H106"/>
    <mergeCell ref="G115:H115"/>
    <mergeCell ref="G116:H116"/>
    <mergeCell ref="G117:H117"/>
    <mergeCell ref="G118:H118"/>
    <mergeCell ref="G119:H119"/>
  </mergeCells>
  <hyperlinks>
    <hyperlink ref="Q51" r:id="rId1" xr:uid="{20EE7D44-BC8F-4646-B0D9-7731983AF20B}"/>
  </hyperlinks>
  <pageMargins left="0.70866141732283472" right="0.70866141732283472" top="0.74803149606299213" bottom="0.74803149606299213" header="0.31496062992125984" footer="0.31496062992125984"/>
  <pageSetup paperSize="9" scale="72" fitToHeight="0" orientation="portrait" r:id="rId2"/>
  <rowBreaks count="4" manualBreakCount="4">
    <brk id="52" max="16383" man="1"/>
    <brk id="108" min="2" max="17" man="1"/>
    <brk id="162" min="2" max="17" man="1"/>
    <brk id="214" min="2" max="17" man="1"/>
  </rowBrea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B5B47-59F6-4C71-B5F0-B35D133AADE4}">
  <sheetPr>
    <tabColor rgb="FF141836"/>
  </sheetPr>
  <dimension ref="A1"/>
  <sheetViews>
    <sheetView workbookViewId="0">
      <selection activeCell="A13" sqref="A13"/>
    </sheetView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D7502-3BAA-4A27-9C45-A59EDA6C9169}">
  <dimension ref="A1:N92"/>
  <sheetViews>
    <sheetView showGridLines="0" workbookViewId="0">
      <selection activeCell="L26" sqref="L26"/>
    </sheetView>
  </sheetViews>
  <sheetFormatPr defaultRowHeight="14.4" x14ac:dyDescent="0.3"/>
  <cols>
    <col min="1" max="1" width="1.88671875" customWidth="1"/>
    <col min="2" max="2" width="31.21875" bestFit="1" customWidth="1"/>
    <col min="3" max="13" width="9.6640625" customWidth="1"/>
  </cols>
  <sheetData>
    <row r="1" spans="1:14" x14ac:dyDescent="0.3">
      <c r="B1" s="4" t="s">
        <v>5</v>
      </c>
      <c r="C1" s="33" t="str">
        <f>'Data Sheet'!B1</f>
        <v>ULTRATECH CEMENT LTD</v>
      </c>
      <c r="D1" s="4"/>
    </row>
    <row r="2" spans="1:14" s="3" customFormat="1" x14ac:dyDescent="0.3">
      <c r="B2" s="5" t="s">
        <v>0</v>
      </c>
      <c r="C2" s="5" t="s">
        <v>6</v>
      </c>
      <c r="D2" s="5"/>
      <c r="F2" s="369" t="s">
        <v>8</v>
      </c>
      <c r="G2" s="369"/>
      <c r="H2" s="369"/>
      <c r="I2" s="369"/>
      <c r="J2" s="369"/>
      <c r="K2" s="369"/>
      <c r="L2" s="369"/>
      <c r="M2" s="369"/>
      <c r="N2" s="369"/>
    </row>
    <row r="4" spans="1:14" x14ac:dyDescent="0.3">
      <c r="B4" s="6" t="s">
        <v>7</v>
      </c>
    </row>
    <row r="5" spans="1:14" x14ac:dyDescent="0.3">
      <c r="B5" t="s">
        <v>1</v>
      </c>
      <c r="C5" s="35">
        <f>'Data Sheet'!B6</f>
        <v>29.482018440069776</v>
      </c>
    </row>
    <row r="6" spans="1:14" x14ac:dyDescent="0.3">
      <c r="B6" t="s">
        <v>2</v>
      </c>
      <c r="C6" s="34">
        <f>'Data Sheet'!B7</f>
        <v>10</v>
      </c>
    </row>
    <row r="7" spans="1:14" x14ac:dyDescent="0.3">
      <c r="B7" t="s">
        <v>3</v>
      </c>
      <c r="C7" s="34">
        <f>'Data Sheet'!B8</f>
        <v>12039</v>
      </c>
    </row>
    <row r="8" spans="1:14" x14ac:dyDescent="0.3">
      <c r="B8" t="s">
        <v>4</v>
      </c>
      <c r="C8" s="2">
        <f>'Data Sheet'!B9</f>
        <v>354934.02</v>
      </c>
    </row>
    <row r="10" spans="1:14" x14ac:dyDescent="0.3">
      <c r="B10" s="370" t="str">
        <f>"Historical Financial Statement - "&amp;C1</f>
        <v>Historical Financial Statement - ULTRATECH CEMENT LTD</v>
      </c>
      <c r="C10" s="370"/>
      <c r="D10" s="370"/>
      <c r="E10" s="370"/>
      <c r="F10" s="370"/>
      <c r="G10" s="370"/>
      <c r="H10" s="370"/>
      <c r="I10" s="370"/>
      <c r="J10" s="370"/>
      <c r="K10" s="370"/>
      <c r="L10" s="370"/>
      <c r="M10" s="370"/>
    </row>
    <row r="11" spans="1:14" x14ac:dyDescent="0.3">
      <c r="B11" s="15" t="s">
        <v>60</v>
      </c>
      <c r="C11" s="16">
        <f>'Data Sheet'!B16</f>
        <v>42460</v>
      </c>
      <c r="D11" s="16">
        <f>'Data Sheet'!C16</f>
        <v>42825</v>
      </c>
      <c r="E11" s="16">
        <f>'Data Sheet'!D16</f>
        <v>43190</v>
      </c>
      <c r="F11" s="16">
        <f>'Data Sheet'!E16</f>
        <v>43555</v>
      </c>
      <c r="G11" s="16">
        <f>'Data Sheet'!F16</f>
        <v>43921</v>
      </c>
      <c r="H11" s="16">
        <f>'Data Sheet'!G16</f>
        <v>44286</v>
      </c>
      <c r="I11" s="16">
        <f>'Data Sheet'!H16</f>
        <v>44651</v>
      </c>
      <c r="J11" s="16">
        <f>'Data Sheet'!I16</f>
        <v>45016</v>
      </c>
      <c r="K11" s="16">
        <f>'Data Sheet'!J16</f>
        <v>45382</v>
      </c>
      <c r="L11" s="16">
        <f>'Data Sheet'!K16</f>
        <v>45747</v>
      </c>
      <c r="M11" s="19" t="s">
        <v>62</v>
      </c>
    </row>
    <row r="12" spans="1:14" x14ac:dyDescent="0.3">
      <c r="B12" s="6" t="s">
        <v>7</v>
      </c>
    </row>
    <row r="13" spans="1:14" x14ac:dyDescent="0.3">
      <c r="A13" s="4" t="s">
        <v>59</v>
      </c>
      <c r="B13" s="20" t="s">
        <v>58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</row>
    <row r="14" spans="1:14" x14ac:dyDescent="0.3">
      <c r="B14" t="s">
        <v>61</v>
      </c>
      <c r="C14" s="18">
        <f>IFERROR('Data Sheet'!B17,0)</f>
        <v>25153.24</v>
      </c>
      <c r="D14" s="18">
        <f>IFERROR('Data Sheet'!C17,0)</f>
        <v>25374.94</v>
      </c>
      <c r="E14" s="18">
        <f>IFERROR('Data Sheet'!D17,0)</f>
        <v>30978.62</v>
      </c>
      <c r="F14" s="18">
        <f>IFERROR('Data Sheet'!E17,0)</f>
        <v>41462.26</v>
      </c>
      <c r="G14" s="18">
        <f>IFERROR('Data Sheet'!F17,0)</f>
        <v>42429.89</v>
      </c>
      <c r="H14" s="18">
        <f>IFERROR('Data Sheet'!G17,0)</f>
        <v>44725.8</v>
      </c>
      <c r="I14" s="18">
        <f>IFERROR('Data Sheet'!H17,0)</f>
        <v>52598.83</v>
      </c>
      <c r="J14" s="18">
        <f>IFERROR('Data Sheet'!I17,0)</f>
        <v>63239.98</v>
      </c>
      <c r="K14" s="18">
        <f>IFERROR('Data Sheet'!J17,0)</f>
        <v>70908.14</v>
      </c>
      <c r="L14" s="18">
        <f>IFERROR('Data Sheet'!K17,0)</f>
        <v>75955.13</v>
      </c>
      <c r="M14" s="18">
        <f>IFERROR(SUM('Data Sheet'!I42:K42),0)</f>
        <v>62712.060000000005</v>
      </c>
    </row>
    <row r="15" spans="1:14" x14ac:dyDescent="0.3">
      <c r="B15" t="s">
        <v>41</v>
      </c>
      <c r="C15" s="18">
        <f>IFERROR(SUM('Data Sheet'!B18,'Data Sheet'!B20:B22)-1*'Data Sheet'!B19,0)</f>
        <v>12397.13</v>
      </c>
      <c r="D15" s="18">
        <f>IFERROR(SUM('Data Sheet'!C18,'Data Sheet'!C20:C22)-1*'Data Sheet'!C19,0)</f>
        <v>12303.62</v>
      </c>
      <c r="E15" s="18">
        <f>IFERROR(SUM('Data Sheet'!D18,'Data Sheet'!D20:D22)-1*'Data Sheet'!D19,0)</f>
        <v>15744.189999999999</v>
      </c>
      <c r="F15" s="18">
        <f>IFERROR(SUM('Data Sheet'!E18,'Data Sheet'!E20:E22)-1*'Data Sheet'!E19,0)</f>
        <v>21729.719999999998</v>
      </c>
      <c r="G15" s="18">
        <f>IFERROR(SUM('Data Sheet'!F18,'Data Sheet'!F20:F22)-1*'Data Sheet'!F19,0)</f>
        <v>20600.87</v>
      </c>
      <c r="H15" s="18">
        <f>IFERROR(SUM('Data Sheet'!G18,'Data Sheet'!G20:G22)-1*'Data Sheet'!G19,0)</f>
        <v>20847.700000000004</v>
      </c>
      <c r="I15" s="18">
        <f>IFERROR(SUM('Data Sheet'!H18,'Data Sheet'!H20:H22)-1*'Data Sheet'!H19,0)</f>
        <v>26536.920000000002</v>
      </c>
      <c r="J15" s="18">
        <f>IFERROR(SUM('Data Sheet'!I18,'Data Sheet'!I20:I22)-1*'Data Sheet'!I19,0)</f>
        <v>35301.93</v>
      </c>
      <c r="K15" s="18">
        <f>IFERROR(SUM('Data Sheet'!J18,'Data Sheet'!J20:J22)-1*'Data Sheet'!J19,0)</f>
        <v>38136.400000000001</v>
      </c>
      <c r="L15" s="18">
        <f>IFERROR(SUM('Data Sheet'!K18,'Data Sheet'!K20:K22)-1*'Data Sheet'!K19,0)</f>
        <v>41216.74</v>
      </c>
      <c r="M15" s="18">
        <f>IFERROR(SUM('Data Sheet'!I43:K43),0)</f>
        <v>51306.600000000006</v>
      </c>
    </row>
    <row r="16" spans="1:14" x14ac:dyDescent="0.3">
      <c r="B16" t="s">
        <v>63</v>
      </c>
      <c r="C16" s="18">
        <f>C14-C15</f>
        <v>12756.110000000002</v>
      </c>
      <c r="D16" s="18">
        <f t="shared" ref="D16:L16" si="0">D14-D15</f>
        <v>13071.319999999998</v>
      </c>
      <c r="E16" s="18">
        <f t="shared" si="0"/>
        <v>15234.43</v>
      </c>
      <c r="F16" s="18">
        <f t="shared" si="0"/>
        <v>19732.540000000005</v>
      </c>
      <c r="G16" s="18">
        <f t="shared" si="0"/>
        <v>21829.02</v>
      </c>
      <c r="H16" s="18">
        <f t="shared" si="0"/>
        <v>23878.1</v>
      </c>
      <c r="I16" s="18">
        <f t="shared" si="0"/>
        <v>26061.91</v>
      </c>
      <c r="J16" s="18">
        <f t="shared" si="0"/>
        <v>27938.050000000003</v>
      </c>
      <c r="K16" s="18">
        <f t="shared" si="0"/>
        <v>32771.74</v>
      </c>
      <c r="L16" s="18">
        <f t="shared" si="0"/>
        <v>34738.390000000007</v>
      </c>
      <c r="M16" s="18">
        <f>M14-M15</f>
        <v>11405.46</v>
      </c>
    </row>
    <row r="17" spans="2:13" x14ac:dyDescent="0.3">
      <c r="B17" t="s">
        <v>64</v>
      </c>
      <c r="C17" s="18">
        <f>IFERROR(SUM('Data Sheet'!B23:B24),0)</f>
        <v>7855.14</v>
      </c>
      <c r="D17" s="18">
        <f>IFERROR(SUM('Data Sheet'!C23:C24),0)</f>
        <v>7858.88</v>
      </c>
      <c r="E17" s="18">
        <f>IFERROR(SUM('Data Sheet'!D23:D24),0)</f>
        <v>9089.4000000000015</v>
      </c>
      <c r="F17" s="18">
        <f>IFERROR(SUM('Data Sheet'!E23:E24),0)</f>
        <v>12385.599999999999</v>
      </c>
      <c r="G17" s="18">
        <f>IFERROR(SUM('Data Sheet'!F23:F24),0)</f>
        <v>12583.05</v>
      </c>
      <c r="H17" s="18">
        <f>IFERROR(SUM('Data Sheet'!G23:G24),0)</f>
        <v>12310.19</v>
      </c>
      <c r="I17" s="18">
        <f>IFERROR(SUM('Data Sheet'!H23:H24),0)</f>
        <v>14547.56</v>
      </c>
      <c r="J17" s="18">
        <f>IFERROR(SUM('Data Sheet'!I23:I24),0)</f>
        <v>17318.2</v>
      </c>
      <c r="K17" s="18">
        <f>IFERROR(SUM('Data Sheet'!J23:J24),0)</f>
        <v>19793.18</v>
      </c>
      <c r="L17" s="18">
        <f>IFERROR(SUM('Data Sheet'!K23:K24),0)</f>
        <v>21941.510000000002</v>
      </c>
      <c r="M17" s="18"/>
    </row>
    <row r="18" spans="2:13" x14ac:dyDescent="0.3">
      <c r="B18" t="s">
        <v>65</v>
      </c>
      <c r="C18" s="18">
        <f>C16-C17</f>
        <v>4900.9700000000021</v>
      </c>
      <c r="D18" s="18">
        <f t="shared" ref="D18:L18" si="1">D16-D17</f>
        <v>5212.4399999999978</v>
      </c>
      <c r="E18" s="18">
        <f t="shared" si="1"/>
        <v>6145.0299999999988</v>
      </c>
      <c r="F18" s="18">
        <f t="shared" si="1"/>
        <v>7346.940000000006</v>
      </c>
      <c r="G18" s="18">
        <f t="shared" si="1"/>
        <v>9245.9700000000012</v>
      </c>
      <c r="H18" s="18">
        <f t="shared" si="1"/>
        <v>11567.909999999998</v>
      </c>
      <c r="I18" s="18">
        <f t="shared" si="1"/>
        <v>11514.35</v>
      </c>
      <c r="J18" s="18">
        <f t="shared" si="1"/>
        <v>10619.850000000002</v>
      </c>
      <c r="K18" s="18">
        <f t="shared" si="1"/>
        <v>12978.559999999998</v>
      </c>
      <c r="L18" s="18">
        <f t="shared" si="1"/>
        <v>12796.880000000005</v>
      </c>
      <c r="M18" s="18">
        <f>IFERROR(SUM('Data Sheet'!I50:K50),0)</f>
        <v>11405.46</v>
      </c>
    </row>
    <row r="19" spans="2:13" x14ac:dyDescent="0.3">
      <c r="B19" t="s">
        <v>39</v>
      </c>
      <c r="C19" s="18">
        <f>IFERROR('Data Sheet'!B26,0)</f>
        <v>1377.17</v>
      </c>
      <c r="D19" s="18">
        <f>IFERROR('Data Sheet'!C26,0)</f>
        <v>1348.41</v>
      </c>
      <c r="E19" s="18">
        <f>IFERROR('Data Sheet'!D26,0)</f>
        <v>1847.93</v>
      </c>
      <c r="F19" s="18">
        <f>IFERROR('Data Sheet'!E26,0)</f>
        <v>2450.73</v>
      </c>
      <c r="G19" s="18">
        <f>IFERROR('Data Sheet'!F26,0)</f>
        <v>2722.66</v>
      </c>
      <c r="H19" s="18">
        <f>IFERROR('Data Sheet'!G26,0)</f>
        <v>2700.23</v>
      </c>
      <c r="I19" s="18">
        <f>IFERROR('Data Sheet'!H26,0)</f>
        <v>2714.75</v>
      </c>
      <c r="J19" s="18">
        <f>IFERROR('Data Sheet'!I26,0)</f>
        <v>2887.99</v>
      </c>
      <c r="K19" s="18">
        <f>IFERROR('Data Sheet'!J26,0)</f>
        <v>3145.3</v>
      </c>
      <c r="L19" s="18">
        <f>IFERROR('Data Sheet'!K26,0)</f>
        <v>4014.95</v>
      </c>
      <c r="M19" s="18">
        <f>IFERROR(SUM('Data Sheet'!I45:K45),0)</f>
        <v>3436.36</v>
      </c>
    </row>
    <row r="20" spans="2:13" x14ac:dyDescent="0.3">
      <c r="B20" t="s">
        <v>38</v>
      </c>
      <c r="C20" s="18">
        <f>IFERROR('Data Sheet'!B27,0)</f>
        <v>566.29999999999995</v>
      </c>
      <c r="D20" s="18">
        <f>IFERROR('Data Sheet'!C27,0)</f>
        <v>640.1</v>
      </c>
      <c r="E20" s="18">
        <f>IFERROR('Data Sheet'!D27,0)</f>
        <v>1237.5999999999999</v>
      </c>
      <c r="F20" s="18">
        <f>IFERROR('Data Sheet'!E27,0)</f>
        <v>1777.86</v>
      </c>
      <c r="G20" s="18">
        <f>IFERROR('Data Sheet'!F27,0)</f>
        <v>1991.65</v>
      </c>
      <c r="H20" s="18">
        <f>IFERROR('Data Sheet'!G27,0)</f>
        <v>1485.65</v>
      </c>
      <c r="I20" s="18">
        <f>IFERROR('Data Sheet'!H27,0)</f>
        <v>944.71</v>
      </c>
      <c r="J20" s="18">
        <f>IFERROR('Data Sheet'!I27,0)</f>
        <v>822.72</v>
      </c>
      <c r="K20" s="18">
        <f>IFERROR('Data Sheet'!J27,0)</f>
        <v>968</v>
      </c>
      <c r="L20" s="18">
        <f>IFERROR('Data Sheet'!K27,0)</f>
        <v>1650.54</v>
      </c>
      <c r="M20" s="18">
        <f>IFERROR(SUM('Data Sheet'!I46:K46),0)</f>
        <v>1384.79</v>
      </c>
    </row>
    <row r="21" spans="2:13" x14ac:dyDescent="0.3">
      <c r="B21" t="s">
        <v>66</v>
      </c>
      <c r="C21" s="18">
        <f>C18-SUM(C19:C20)</f>
        <v>2957.5000000000018</v>
      </c>
      <c r="D21" s="18">
        <f t="shared" ref="D21:L21" si="2">D18-SUM(D19:D20)</f>
        <v>3223.9299999999976</v>
      </c>
      <c r="E21" s="18">
        <f t="shared" si="2"/>
        <v>3059.4999999999991</v>
      </c>
      <c r="F21" s="18">
        <f t="shared" si="2"/>
        <v>3118.3500000000058</v>
      </c>
      <c r="G21" s="18">
        <f t="shared" si="2"/>
        <v>4531.6600000000017</v>
      </c>
      <c r="H21" s="18">
        <f t="shared" si="2"/>
        <v>7382.0299999999979</v>
      </c>
      <c r="I21" s="18">
        <f t="shared" si="2"/>
        <v>7854.89</v>
      </c>
      <c r="J21" s="18">
        <f t="shared" si="2"/>
        <v>6909.1400000000021</v>
      </c>
      <c r="K21" s="18">
        <f t="shared" si="2"/>
        <v>8865.2599999999984</v>
      </c>
      <c r="L21" s="18">
        <f t="shared" si="2"/>
        <v>7131.3900000000049</v>
      </c>
      <c r="M21" s="18">
        <f>M18-SUM(M19:M20)</f>
        <v>6584.3099999999995</v>
      </c>
    </row>
    <row r="22" spans="2:13" x14ac:dyDescent="0.3">
      <c r="B22" t="s">
        <v>67</v>
      </c>
      <c r="C22" s="18">
        <f>IFERROR('Data Sheet'!B29,0)</f>
        <v>941.69</v>
      </c>
      <c r="D22" s="18">
        <f>IFERROR('Data Sheet'!C29,0)</f>
        <v>1158.54</v>
      </c>
      <c r="E22" s="18">
        <f>IFERROR('Data Sheet'!D29,0)</f>
        <v>1077.01</v>
      </c>
      <c r="F22" s="18">
        <f>IFERROR('Data Sheet'!E29,0)</f>
        <v>1068.07</v>
      </c>
      <c r="G22" s="18">
        <f>IFERROR('Data Sheet'!F29,0)</f>
        <v>-568.16</v>
      </c>
      <c r="H22" s="18">
        <f>IFERROR('Data Sheet'!G29,0)</f>
        <v>2538.6999999999998</v>
      </c>
      <c r="I22" s="18">
        <f>IFERROR('Data Sheet'!H29,0)</f>
        <v>1190.06</v>
      </c>
      <c r="J22" s="18">
        <f>IFERROR('Data Sheet'!I29,0)</f>
        <v>2342.85</v>
      </c>
      <c r="K22" s="18">
        <f>IFERROR('Data Sheet'!J29,0)</f>
        <v>2418.2600000000002</v>
      </c>
      <c r="L22" s="18">
        <f>IFERROR('Data Sheet'!K29,0)</f>
        <v>1488.49</v>
      </c>
      <c r="M22" s="18">
        <f>IFERROR(SUM('Data Sheet'!I48:K48),0)</f>
        <v>1758.3200000000002</v>
      </c>
    </row>
    <row r="23" spans="2:13" x14ac:dyDescent="0.3">
      <c r="B23" s="6" t="s">
        <v>68</v>
      </c>
      <c r="C23" s="23">
        <f>C22/C21</f>
        <v>0.31840743871513083</v>
      </c>
      <c r="D23" s="23">
        <f t="shared" ref="D23:M23" si="3">D22/D21</f>
        <v>0.35935643763977532</v>
      </c>
      <c r="E23" s="23">
        <f t="shared" si="3"/>
        <v>0.35202157215231256</v>
      </c>
      <c r="F23" s="23">
        <f t="shared" si="3"/>
        <v>0.34251126396972692</v>
      </c>
      <c r="G23" s="23">
        <f t="shared" si="3"/>
        <v>-0.12537569014445032</v>
      </c>
      <c r="H23" s="23">
        <f t="shared" si="3"/>
        <v>0.34390269343256535</v>
      </c>
      <c r="I23" s="23">
        <f t="shared" si="3"/>
        <v>0.15150562261215625</v>
      </c>
      <c r="J23" s="23">
        <f t="shared" si="3"/>
        <v>0.33909430117207051</v>
      </c>
      <c r="K23" s="23">
        <f t="shared" si="3"/>
        <v>0.27277936574900236</v>
      </c>
      <c r="L23" s="23">
        <f t="shared" si="3"/>
        <v>0.20872368500390512</v>
      </c>
      <c r="M23" s="23">
        <f t="shared" si="3"/>
        <v>0.26704696467815159</v>
      </c>
    </row>
    <row r="24" spans="2:13" x14ac:dyDescent="0.3">
      <c r="B24" t="s">
        <v>69</v>
      </c>
      <c r="C24" s="18">
        <f>C21-C22</f>
        <v>2015.8100000000018</v>
      </c>
      <c r="D24" s="18">
        <f t="shared" ref="D24:L24" si="4">D21-D22</f>
        <v>2065.3899999999976</v>
      </c>
      <c r="E24" s="18">
        <f t="shared" si="4"/>
        <v>1982.4899999999991</v>
      </c>
      <c r="F24" s="18">
        <f t="shared" si="4"/>
        <v>2050.2800000000061</v>
      </c>
      <c r="G24" s="18">
        <f t="shared" si="4"/>
        <v>5099.8200000000015</v>
      </c>
      <c r="H24" s="18">
        <f t="shared" si="4"/>
        <v>4843.3299999999981</v>
      </c>
      <c r="I24" s="18">
        <f t="shared" si="4"/>
        <v>6664.83</v>
      </c>
      <c r="J24" s="18">
        <f t="shared" si="4"/>
        <v>4566.2900000000027</v>
      </c>
      <c r="K24" s="18">
        <f t="shared" si="4"/>
        <v>6446.9999999999982</v>
      </c>
      <c r="L24" s="18">
        <f t="shared" si="4"/>
        <v>5642.9000000000051</v>
      </c>
      <c r="M24" s="18">
        <f>M21-M22</f>
        <v>4825.99</v>
      </c>
    </row>
    <row r="26" spans="2:13" x14ac:dyDescent="0.3">
      <c r="B26" t="s">
        <v>70</v>
      </c>
      <c r="C26">
        <f>IFERROR('Data Sheet'!B93,0)</f>
        <v>27.44</v>
      </c>
      <c r="D26">
        <f>IFERROR('Data Sheet'!C93,0)</f>
        <v>27.45</v>
      </c>
      <c r="E26">
        <f>IFERROR('Data Sheet'!D93,0)</f>
        <v>27.46</v>
      </c>
      <c r="F26">
        <f>IFERROR('Data Sheet'!E93,0)</f>
        <v>27.46</v>
      </c>
      <c r="G26">
        <f>IFERROR('Data Sheet'!F93,0)</f>
        <v>28.86</v>
      </c>
      <c r="H26">
        <f>IFERROR('Data Sheet'!G93,0)</f>
        <v>28.87</v>
      </c>
      <c r="I26">
        <f>IFERROR('Data Sheet'!H93,0)</f>
        <v>28.87</v>
      </c>
      <c r="J26">
        <f>IFERROR('Data Sheet'!I93,0)</f>
        <v>28.87</v>
      </c>
      <c r="K26">
        <f>IFERROR('Data Sheet'!J93,0)</f>
        <v>28.87</v>
      </c>
      <c r="L26">
        <f>IFERROR('Data Sheet'!K93,0)</f>
        <v>29.47</v>
      </c>
    </row>
    <row r="28" spans="2:13" x14ac:dyDescent="0.3">
      <c r="B28" t="s">
        <v>72</v>
      </c>
      <c r="C28" s="17">
        <f>C24/C26</f>
        <v>73.462463556851375</v>
      </c>
      <c r="D28" s="17">
        <f t="shared" ref="D28:L28" si="5">D24/D26</f>
        <v>75.241894353369673</v>
      </c>
      <c r="E28" s="17">
        <f t="shared" si="5"/>
        <v>72.19555717407134</v>
      </c>
      <c r="F28" s="17">
        <f t="shared" si="5"/>
        <v>74.664238892935401</v>
      </c>
      <c r="G28" s="17">
        <f t="shared" si="5"/>
        <v>176.70893970893977</v>
      </c>
      <c r="H28" s="17">
        <f t="shared" si="5"/>
        <v>167.76342223761682</v>
      </c>
      <c r="I28" s="17">
        <f t="shared" si="5"/>
        <v>230.85659854520262</v>
      </c>
      <c r="J28" s="17">
        <f t="shared" si="5"/>
        <v>158.1673016972637</v>
      </c>
      <c r="K28" s="17">
        <f t="shared" si="5"/>
        <v>223.3113959127121</v>
      </c>
      <c r="L28" s="17">
        <f t="shared" si="5"/>
        <v>191.47947064811692</v>
      </c>
      <c r="M28" s="17"/>
    </row>
    <row r="29" spans="2:13" x14ac:dyDescent="0.3">
      <c r="B29" s="6" t="s">
        <v>73</v>
      </c>
      <c r="C29" s="23"/>
      <c r="D29" s="23">
        <f>D28/C28-1</f>
        <v>2.422231314283696E-2</v>
      </c>
      <c r="E29" s="23">
        <f t="shared" ref="E29:L29" si="6">E28/D28-1</f>
        <v>-4.048724723744157E-2</v>
      </c>
      <c r="F29" s="23">
        <f t="shared" si="6"/>
        <v>3.4194371724451056E-2</v>
      </c>
      <c r="G29" s="23">
        <f t="shared" si="6"/>
        <v>1.3667145387007977</v>
      </c>
      <c r="H29" s="23">
        <f t="shared" si="6"/>
        <v>-5.0622891439772388E-2</v>
      </c>
      <c r="I29" s="23">
        <f t="shared" si="6"/>
        <v>0.37608422304488909</v>
      </c>
      <c r="J29" s="23">
        <f t="shared" si="6"/>
        <v>-0.31486774606404011</v>
      </c>
      <c r="K29" s="23">
        <f t="shared" si="6"/>
        <v>0.41186827818644778</v>
      </c>
      <c r="L29" s="23">
        <f t="shared" si="6"/>
        <v>-0.14254501045274748</v>
      </c>
      <c r="M29" s="23"/>
    </row>
    <row r="31" spans="2:13" x14ac:dyDescent="0.3">
      <c r="B31" t="s">
        <v>71</v>
      </c>
      <c r="C31" s="17">
        <f>IFERROR('Data Sheet'!B31/'Historical FS'!C26,0)</f>
        <v>9.5010932944606399</v>
      </c>
      <c r="D31" s="17">
        <f>IFERROR('Data Sheet'!C31/'Historical FS'!D26,0)</f>
        <v>10.000364298724955</v>
      </c>
      <c r="E31" s="17">
        <f>IFERROR('Data Sheet'!D31/'Historical FS'!E26,0)</f>
        <v>10.500364166059722</v>
      </c>
      <c r="F31" s="17">
        <f>IFERROR('Data Sheet'!E31/'Historical FS'!F26,0)</f>
        <v>11.501820830298614</v>
      </c>
      <c r="G31" s="17">
        <f>IFERROR('Data Sheet'!F31/'Historical FS'!G26,0)</f>
        <v>13.001386001386003</v>
      </c>
      <c r="H31" s="17">
        <f>IFERROR('Data Sheet'!G31/'Historical FS'!H26,0)</f>
        <v>36.993418773813644</v>
      </c>
      <c r="I31" s="17">
        <f>IFERROR('Data Sheet'!H31/'Historical FS'!I26,0)</f>
        <v>37.996189816418429</v>
      </c>
      <c r="J31" s="17">
        <f>IFERROR('Data Sheet'!I31/'Historical FS'!J26,0)</f>
        <v>37.998614478697611</v>
      </c>
      <c r="K31" s="17">
        <f>IFERROR('Data Sheet'!J31/'Historical FS'!K26,0)</f>
        <v>69.997575337720818</v>
      </c>
      <c r="L31" s="17">
        <f>IFERROR('Data Sheet'!K31/'Historical FS'!L26,0)</f>
        <v>77.494740413980324</v>
      </c>
      <c r="M31" s="17"/>
    </row>
    <row r="32" spans="2:13" x14ac:dyDescent="0.3">
      <c r="B32" s="6" t="s">
        <v>74</v>
      </c>
      <c r="C32" s="23">
        <f>IFERROR(C31/C28,0)</f>
        <v>0.12933262559467396</v>
      </c>
      <c r="D32" s="23">
        <f>IFERROR(D31/D28,0)</f>
        <v>0.13290952314090818</v>
      </c>
      <c r="E32" s="23">
        <f t="shared" ref="E32:L32" si="7">IFERROR(E31/E28,0)</f>
        <v>0.14544335658691854</v>
      </c>
      <c r="F32" s="23">
        <f t="shared" si="7"/>
        <v>0.15404725208264189</v>
      </c>
      <c r="G32" s="23">
        <f t="shared" si="7"/>
        <v>7.3575145789459215E-2</v>
      </c>
      <c r="H32" s="23">
        <f t="shared" si="7"/>
        <v>0.2205094428833056</v>
      </c>
      <c r="I32" s="23">
        <f t="shared" si="7"/>
        <v>0.16458784395100853</v>
      </c>
      <c r="J32" s="23">
        <f t="shared" si="7"/>
        <v>0.24024317334203463</v>
      </c>
      <c r="K32" s="23">
        <f t="shared" si="7"/>
        <v>0.31345276872964178</v>
      </c>
      <c r="L32" s="23">
        <f t="shared" si="7"/>
        <v>0.4047156603873891</v>
      </c>
      <c r="M32" s="24"/>
    </row>
    <row r="34" spans="1:13" x14ac:dyDescent="0.3">
      <c r="B34" t="s">
        <v>75</v>
      </c>
      <c r="C34" s="22">
        <f>IFERROR(1-C32,0)</f>
        <v>0.87066737440532604</v>
      </c>
      <c r="D34" s="22">
        <f t="shared" ref="D34:L34" si="8">IFERROR(1-D32,0)</f>
        <v>0.8670904768590918</v>
      </c>
      <c r="E34" s="22">
        <f t="shared" si="8"/>
        <v>0.85455664341308146</v>
      </c>
      <c r="F34" s="22">
        <f t="shared" si="8"/>
        <v>0.84595274791735808</v>
      </c>
      <c r="G34" s="22">
        <f t="shared" si="8"/>
        <v>0.92642485421054077</v>
      </c>
      <c r="H34" s="22">
        <f t="shared" si="8"/>
        <v>0.77949055711669435</v>
      </c>
      <c r="I34" s="22">
        <f t="shared" si="8"/>
        <v>0.83541215604899144</v>
      </c>
      <c r="J34" s="22">
        <f t="shared" si="8"/>
        <v>0.7597568266579654</v>
      </c>
      <c r="K34" s="22">
        <f t="shared" si="8"/>
        <v>0.68654723127035822</v>
      </c>
      <c r="L34" s="22">
        <f t="shared" si="8"/>
        <v>0.59528433961261085</v>
      </c>
    </row>
    <row r="36" spans="1:13" x14ac:dyDescent="0.3">
      <c r="A36" s="4" t="s">
        <v>59</v>
      </c>
      <c r="B36" s="20" t="s">
        <v>76</v>
      </c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</row>
    <row r="37" spans="1:13" x14ac:dyDescent="0.3">
      <c r="B37" s="25" t="s">
        <v>32</v>
      </c>
      <c r="C37" s="18">
        <f>'Data Sheet'!B57</f>
        <v>274.43</v>
      </c>
      <c r="D37" s="18">
        <f>'Data Sheet'!C57</f>
        <v>274.51</v>
      </c>
      <c r="E37" s="18">
        <f>'Data Sheet'!D57</f>
        <v>274.61</v>
      </c>
      <c r="F37" s="18">
        <f>'Data Sheet'!E57</f>
        <v>274.64</v>
      </c>
      <c r="G37" s="18">
        <f>'Data Sheet'!F57</f>
        <v>288.63</v>
      </c>
      <c r="H37" s="18">
        <f>'Data Sheet'!G57</f>
        <v>288.64999999999998</v>
      </c>
      <c r="I37" s="18">
        <f>'Data Sheet'!H57</f>
        <v>288.67</v>
      </c>
      <c r="J37" s="18">
        <f>'Data Sheet'!I57</f>
        <v>288.69</v>
      </c>
      <c r="K37" s="18">
        <f>'Data Sheet'!J57</f>
        <v>288.69</v>
      </c>
      <c r="L37" s="18">
        <f>'Data Sheet'!K57</f>
        <v>294.68</v>
      </c>
    </row>
    <row r="38" spans="1:13" x14ac:dyDescent="0.3">
      <c r="B38" s="25" t="s">
        <v>31</v>
      </c>
      <c r="C38" s="18">
        <f>'Data Sheet'!B58</f>
        <v>21671.200000000001</v>
      </c>
      <c r="D38" s="18">
        <f>'Data Sheet'!C58</f>
        <v>24117.38</v>
      </c>
      <c r="E38" s="18">
        <f>'Data Sheet'!D58</f>
        <v>26106.55</v>
      </c>
      <c r="F38" s="18">
        <f>'Data Sheet'!E58</f>
        <v>33476.01</v>
      </c>
      <c r="G38" s="18">
        <f>'Data Sheet'!F58</f>
        <v>38755.129999999997</v>
      </c>
      <c r="H38" s="18">
        <f>'Data Sheet'!G58</f>
        <v>43886.03</v>
      </c>
      <c r="I38" s="18">
        <f>'Data Sheet'!H58</f>
        <v>50146.6</v>
      </c>
      <c r="J38" s="18">
        <f>'Data Sheet'!I58</f>
        <v>54035.85</v>
      </c>
      <c r="K38" s="18">
        <f>'Data Sheet'!J58</f>
        <v>59938.79</v>
      </c>
      <c r="L38" s="18">
        <f>'Data Sheet'!K58</f>
        <v>70412.09</v>
      </c>
    </row>
    <row r="39" spans="1:13" x14ac:dyDescent="0.3">
      <c r="B39" s="25" t="s">
        <v>30</v>
      </c>
      <c r="C39" s="18">
        <f>'Data Sheet'!B59</f>
        <v>10615.99</v>
      </c>
      <c r="D39" s="18">
        <f>'Data Sheet'!C59</f>
        <v>8474.49</v>
      </c>
      <c r="E39" s="18">
        <f>'Data Sheet'!D59</f>
        <v>19480.22</v>
      </c>
      <c r="F39" s="18">
        <f>'Data Sheet'!E59</f>
        <v>25337</v>
      </c>
      <c r="G39" s="18">
        <f>'Data Sheet'!F59</f>
        <v>23018.959999999999</v>
      </c>
      <c r="H39" s="18">
        <f>'Data Sheet'!G59</f>
        <v>21719.39</v>
      </c>
      <c r="I39" s="18">
        <f>'Data Sheet'!H59</f>
        <v>11298.8</v>
      </c>
      <c r="J39" s="18">
        <f>'Data Sheet'!I59</f>
        <v>11057.74</v>
      </c>
      <c r="K39" s="18">
        <f>'Data Sheet'!J59</f>
        <v>11402.95</v>
      </c>
      <c r="L39" s="18">
        <f>'Data Sheet'!K59</f>
        <v>24102.18</v>
      </c>
    </row>
    <row r="40" spans="1:13" x14ac:dyDescent="0.3">
      <c r="B40" s="25" t="s">
        <v>29</v>
      </c>
      <c r="C40" s="18">
        <f>'Data Sheet'!B60</f>
        <v>8631.49</v>
      </c>
      <c r="D40" s="18">
        <f>'Data Sheet'!C60</f>
        <v>9342.73</v>
      </c>
      <c r="E40" s="18">
        <f>'Data Sheet'!D60</f>
        <v>11279.71</v>
      </c>
      <c r="F40" s="18">
        <f>'Data Sheet'!E60</f>
        <v>17437.72</v>
      </c>
      <c r="G40" s="18">
        <f>'Data Sheet'!F60</f>
        <v>17151.09</v>
      </c>
      <c r="H40" s="18">
        <f>'Data Sheet'!G60</f>
        <v>20282.28</v>
      </c>
      <c r="I40" s="18">
        <f>'Data Sheet'!H60</f>
        <v>22077.37</v>
      </c>
      <c r="J40" s="18">
        <f>'Data Sheet'!I60</f>
        <v>25998.12</v>
      </c>
      <c r="K40" s="18">
        <f>'Data Sheet'!J60</f>
        <v>29166.68</v>
      </c>
      <c r="L40" s="18">
        <f>'Data Sheet'!K60</f>
        <v>38823.11</v>
      </c>
    </row>
    <row r="41" spans="1:13" s="4" customFormat="1" x14ac:dyDescent="0.3">
      <c r="B41" s="26" t="s">
        <v>144</v>
      </c>
      <c r="C41" s="30">
        <f>SUM(C37:C40)</f>
        <v>41193.11</v>
      </c>
      <c r="D41" s="30">
        <f t="shared" ref="D41:L41" si="9">SUM(D37:D40)</f>
        <v>42209.11</v>
      </c>
      <c r="E41" s="30">
        <f t="shared" si="9"/>
        <v>57141.090000000004</v>
      </c>
      <c r="F41" s="30">
        <f t="shared" si="9"/>
        <v>76525.37</v>
      </c>
      <c r="G41" s="30">
        <f t="shared" si="9"/>
        <v>79213.81</v>
      </c>
      <c r="H41" s="30">
        <f t="shared" si="9"/>
        <v>86176.35</v>
      </c>
      <c r="I41" s="30">
        <f t="shared" si="9"/>
        <v>83811.439999999988</v>
      </c>
      <c r="J41" s="30">
        <f t="shared" si="9"/>
        <v>91380.4</v>
      </c>
      <c r="K41" s="30">
        <f t="shared" si="9"/>
        <v>100797.11000000002</v>
      </c>
      <c r="L41" s="30">
        <f t="shared" si="9"/>
        <v>133632.06</v>
      </c>
    </row>
    <row r="42" spans="1:13" x14ac:dyDescent="0.3">
      <c r="B42" s="27"/>
      <c r="C42" s="18"/>
      <c r="D42" s="18"/>
      <c r="E42" s="18"/>
      <c r="F42" s="18"/>
      <c r="G42" s="18"/>
      <c r="H42" s="18"/>
      <c r="I42" s="18"/>
      <c r="J42" s="18"/>
      <c r="K42" s="18"/>
      <c r="L42" s="18"/>
    </row>
    <row r="43" spans="1:13" x14ac:dyDescent="0.3">
      <c r="B43" s="25" t="s">
        <v>77</v>
      </c>
      <c r="C43" s="18">
        <f>'Data Sheet'!B62</f>
        <v>25309.42</v>
      </c>
      <c r="D43" s="18">
        <f>'Data Sheet'!C62</f>
        <v>25903.75</v>
      </c>
      <c r="E43" s="18">
        <f>'Data Sheet'!D62</f>
        <v>39715.300000000003</v>
      </c>
      <c r="F43" s="18">
        <f>'Data Sheet'!E62</f>
        <v>56644.62</v>
      </c>
      <c r="G43" s="18">
        <f>'Data Sheet'!F62</f>
        <v>57150.96</v>
      </c>
      <c r="H43" s="18">
        <f>'Data Sheet'!G62</f>
        <v>55411.61</v>
      </c>
      <c r="I43" s="18">
        <f>'Data Sheet'!H62</f>
        <v>55487.57</v>
      </c>
      <c r="J43" s="18">
        <f>'Data Sheet'!I62</f>
        <v>59579</v>
      </c>
      <c r="K43" s="18">
        <f>'Data Sheet'!J62</f>
        <v>62877.61</v>
      </c>
      <c r="L43" s="18">
        <f>'Data Sheet'!K62</f>
        <v>94564.22</v>
      </c>
    </row>
    <row r="44" spans="1:13" x14ac:dyDescent="0.3">
      <c r="B44" s="25" t="s">
        <v>27</v>
      </c>
      <c r="C44" s="18">
        <f>'Data Sheet'!B63</f>
        <v>1469.09</v>
      </c>
      <c r="D44" s="18">
        <f>'Data Sheet'!C63</f>
        <v>921.48</v>
      </c>
      <c r="E44" s="18">
        <f>'Data Sheet'!D63</f>
        <v>1511.21</v>
      </c>
      <c r="F44" s="18">
        <f>'Data Sheet'!E63</f>
        <v>1153.32</v>
      </c>
      <c r="G44" s="18">
        <f>'Data Sheet'!F63</f>
        <v>919.59</v>
      </c>
      <c r="H44" s="18">
        <f>'Data Sheet'!G63</f>
        <v>1686.68</v>
      </c>
      <c r="I44" s="18">
        <f>'Data Sheet'!H63</f>
        <v>4784.67</v>
      </c>
      <c r="J44" s="18">
        <f>'Data Sheet'!I63</f>
        <v>4040.39</v>
      </c>
      <c r="K44" s="18">
        <f>'Data Sheet'!J63</f>
        <v>6811.18</v>
      </c>
      <c r="L44" s="18">
        <f>'Data Sheet'!K63</f>
        <v>6234.19</v>
      </c>
    </row>
    <row r="45" spans="1:13" x14ac:dyDescent="0.3">
      <c r="B45" s="25" t="s">
        <v>26</v>
      </c>
      <c r="C45" s="18">
        <f>'Data Sheet'!B64</f>
        <v>5095.18</v>
      </c>
      <c r="D45" s="18">
        <f>'Data Sheet'!C64</f>
        <v>6690.51</v>
      </c>
      <c r="E45" s="18">
        <f>'Data Sheet'!D64</f>
        <v>5446.9</v>
      </c>
      <c r="F45" s="18">
        <f>'Data Sheet'!E64</f>
        <v>2921.33</v>
      </c>
      <c r="G45" s="18">
        <f>'Data Sheet'!F64</f>
        <v>5928.69</v>
      </c>
      <c r="H45" s="18">
        <f>'Data Sheet'!G64</f>
        <v>12178.11</v>
      </c>
      <c r="I45" s="18">
        <f>'Data Sheet'!H64</f>
        <v>6335.77</v>
      </c>
      <c r="J45" s="18">
        <f>'Data Sheet'!I64</f>
        <v>7296.95</v>
      </c>
      <c r="K45" s="18">
        <f>'Data Sheet'!J64</f>
        <v>8248.9500000000007</v>
      </c>
      <c r="L45" s="18">
        <f>'Data Sheet'!K64</f>
        <v>5156.47</v>
      </c>
    </row>
    <row r="46" spans="1:13" x14ac:dyDescent="0.3">
      <c r="B46" s="25" t="s">
        <v>25</v>
      </c>
      <c r="C46" s="18">
        <f>'Data Sheet'!B65-SUM('Data Sheet'!B67:B69)</f>
        <v>2669.67</v>
      </c>
      <c r="D46" s="18">
        <f>'Data Sheet'!C65-SUM('Data Sheet'!C67:C69)</f>
        <v>2286.8600000000006</v>
      </c>
      <c r="E46" s="18">
        <f>'Data Sheet'!D65-SUM('Data Sheet'!D67:D69)</f>
        <v>4760.3900000000003</v>
      </c>
      <c r="F46" s="18">
        <f>'Data Sheet'!E65-SUM('Data Sheet'!E67:E69)</f>
        <v>8180.43</v>
      </c>
      <c r="G46" s="18">
        <f>'Data Sheet'!F65-SUM('Data Sheet'!F67:F69)</f>
        <v>8108.09</v>
      </c>
      <c r="H46" s="18">
        <f>'Data Sheet'!G65-SUM('Data Sheet'!G67:G69)</f>
        <v>8302.7000000000007</v>
      </c>
      <c r="I46" s="18">
        <f>'Data Sheet'!H65-SUM('Data Sheet'!H67:H69)</f>
        <v>8177.0599999999995</v>
      </c>
      <c r="J46" s="18">
        <f>'Data Sheet'!I65-SUM('Data Sheet'!I67:I69)</f>
        <v>8835.6200000000008</v>
      </c>
      <c r="K46" s="18">
        <f>'Data Sheet'!J65-SUM('Data Sheet'!J67:J69)</f>
        <v>9468.2599999999984</v>
      </c>
      <c r="L46" s="18">
        <f>'Data Sheet'!K65-SUM('Data Sheet'!K67:K69)</f>
        <v>10550.630000000001</v>
      </c>
    </row>
    <row r="47" spans="1:13" s="4" customFormat="1" x14ac:dyDescent="0.3">
      <c r="B47" s="26" t="s">
        <v>79</v>
      </c>
      <c r="C47" s="30">
        <f>SUM(C43:C46)</f>
        <v>34543.360000000001</v>
      </c>
      <c r="D47" s="30">
        <f t="shared" ref="D47:L47" si="10">SUM(D43:D46)</f>
        <v>35802.6</v>
      </c>
      <c r="E47" s="30">
        <f t="shared" si="10"/>
        <v>51433.8</v>
      </c>
      <c r="F47" s="30">
        <f t="shared" si="10"/>
        <v>68899.700000000012</v>
      </c>
      <c r="G47" s="30">
        <f t="shared" si="10"/>
        <v>72107.33</v>
      </c>
      <c r="H47" s="30">
        <f t="shared" si="10"/>
        <v>77579.099999999991</v>
      </c>
      <c r="I47" s="30">
        <f t="shared" si="10"/>
        <v>74785.069999999992</v>
      </c>
      <c r="J47" s="30">
        <f t="shared" si="10"/>
        <v>79751.959999999992</v>
      </c>
      <c r="K47" s="30">
        <f t="shared" si="10"/>
        <v>87406</v>
      </c>
      <c r="L47" s="30">
        <f t="shared" si="10"/>
        <v>116505.51000000001</v>
      </c>
    </row>
    <row r="48" spans="1:13" x14ac:dyDescent="0.3">
      <c r="C48" s="18"/>
      <c r="D48" s="18"/>
      <c r="E48" s="18"/>
      <c r="F48" s="18"/>
      <c r="G48" s="18"/>
      <c r="H48" s="18"/>
      <c r="I48" s="18"/>
      <c r="J48" s="18"/>
      <c r="K48" s="18"/>
      <c r="L48" s="18"/>
    </row>
    <row r="49" spans="1:13" x14ac:dyDescent="0.3">
      <c r="B49" s="25" t="s">
        <v>23</v>
      </c>
      <c r="C49" s="18">
        <f>'Data Sheet'!B67</f>
        <v>1928.21</v>
      </c>
      <c r="D49" s="18">
        <f>'Data Sheet'!C67</f>
        <v>1757.09</v>
      </c>
      <c r="E49" s="18">
        <f>'Data Sheet'!D67</f>
        <v>2220.63</v>
      </c>
      <c r="F49" s="18">
        <f>'Data Sheet'!E67</f>
        <v>2787.03</v>
      </c>
      <c r="G49" s="18">
        <f>'Data Sheet'!F67</f>
        <v>2383.2199999999998</v>
      </c>
      <c r="H49" s="18">
        <f>'Data Sheet'!G67</f>
        <v>2571.73</v>
      </c>
      <c r="I49" s="18">
        <f>'Data Sheet'!H67</f>
        <v>3071.61</v>
      </c>
      <c r="J49" s="18">
        <f>'Data Sheet'!I67</f>
        <v>3867.02</v>
      </c>
      <c r="K49" s="18">
        <f>'Data Sheet'!J67</f>
        <v>4278.16</v>
      </c>
      <c r="L49" s="18">
        <f>'Data Sheet'!K67</f>
        <v>5890.25</v>
      </c>
    </row>
    <row r="50" spans="1:13" x14ac:dyDescent="0.3">
      <c r="B50" s="25" t="s">
        <v>22</v>
      </c>
      <c r="C50" s="18">
        <f>'Data Sheet'!B68</f>
        <v>2454.58</v>
      </c>
      <c r="D50" s="18">
        <f>'Data Sheet'!C68</f>
        <v>2400.64</v>
      </c>
      <c r="E50" s="18">
        <f>'Data Sheet'!D68</f>
        <v>3267.59</v>
      </c>
      <c r="F50" s="18">
        <f>'Data Sheet'!E68</f>
        <v>4098.96</v>
      </c>
      <c r="G50" s="18">
        <f>'Data Sheet'!F68</f>
        <v>4183.3500000000004</v>
      </c>
      <c r="H50" s="18">
        <f>'Data Sheet'!G68</f>
        <v>4017.97</v>
      </c>
      <c r="I50" s="18">
        <f>'Data Sheet'!H68</f>
        <v>5595.58</v>
      </c>
      <c r="J50" s="18">
        <f>'Data Sheet'!I68</f>
        <v>6611.83</v>
      </c>
      <c r="K50" s="18">
        <f>'Data Sheet'!J68</f>
        <v>8329.74</v>
      </c>
      <c r="L50" s="18">
        <f>'Data Sheet'!K68</f>
        <v>9562.98</v>
      </c>
    </row>
    <row r="51" spans="1:13" x14ac:dyDescent="0.3">
      <c r="B51" s="28" t="s">
        <v>21</v>
      </c>
      <c r="C51" s="18">
        <f>'Data Sheet'!B69</f>
        <v>2266.96</v>
      </c>
      <c r="D51" s="18">
        <f>'Data Sheet'!C69</f>
        <v>2248.7800000000002</v>
      </c>
      <c r="E51" s="18">
        <f>'Data Sheet'!D69</f>
        <v>219.07</v>
      </c>
      <c r="F51" s="18">
        <f>'Data Sheet'!E69</f>
        <v>739.68</v>
      </c>
      <c r="G51" s="18">
        <f>'Data Sheet'!F69</f>
        <v>539.91</v>
      </c>
      <c r="H51" s="18">
        <f>'Data Sheet'!G69</f>
        <v>2007.55</v>
      </c>
      <c r="I51" s="18">
        <f>'Data Sheet'!H69</f>
        <v>359.18</v>
      </c>
      <c r="J51" s="18">
        <f>'Data Sheet'!I69</f>
        <v>1149.5899999999999</v>
      </c>
      <c r="K51" s="18">
        <f>'Data Sheet'!J69</f>
        <v>783.21</v>
      </c>
      <c r="L51" s="18">
        <f>'Data Sheet'!K69</f>
        <v>1673.32</v>
      </c>
    </row>
    <row r="52" spans="1:13" s="4" customFormat="1" x14ac:dyDescent="0.3">
      <c r="B52" s="26" t="s">
        <v>80</v>
      </c>
      <c r="C52" s="30">
        <f>SUM(C49:C51)</f>
        <v>6649.75</v>
      </c>
      <c r="D52" s="30">
        <f t="shared" ref="D52:L52" si="11">SUM(D49:D51)</f>
        <v>6406.51</v>
      </c>
      <c r="E52" s="30">
        <f t="shared" si="11"/>
        <v>5707.29</v>
      </c>
      <c r="F52" s="30">
        <f t="shared" si="11"/>
        <v>7625.67</v>
      </c>
      <c r="G52" s="30">
        <f t="shared" si="11"/>
        <v>7106.48</v>
      </c>
      <c r="H52" s="30">
        <f t="shared" si="11"/>
        <v>8597.25</v>
      </c>
      <c r="I52" s="30">
        <f t="shared" si="11"/>
        <v>9026.3700000000008</v>
      </c>
      <c r="J52" s="30">
        <f t="shared" si="11"/>
        <v>11628.44</v>
      </c>
      <c r="K52" s="30">
        <f t="shared" si="11"/>
        <v>13391.11</v>
      </c>
      <c r="L52" s="30">
        <f t="shared" si="11"/>
        <v>17126.55</v>
      </c>
    </row>
    <row r="53" spans="1:13" s="4" customFormat="1" x14ac:dyDescent="0.3">
      <c r="B53" s="29" t="s">
        <v>78</v>
      </c>
      <c r="C53" s="30">
        <f>C47+C52</f>
        <v>41193.11</v>
      </c>
      <c r="D53" s="30">
        <f t="shared" ref="D53:L53" si="12">D47+D52</f>
        <v>42209.11</v>
      </c>
      <c r="E53" s="30">
        <f t="shared" si="12"/>
        <v>57141.090000000004</v>
      </c>
      <c r="F53" s="30">
        <f t="shared" si="12"/>
        <v>76525.37000000001</v>
      </c>
      <c r="G53" s="30">
        <f t="shared" si="12"/>
        <v>79213.81</v>
      </c>
      <c r="H53" s="30">
        <f t="shared" si="12"/>
        <v>86176.349999999991</v>
      </c>
      <c r="I53" s="30">
        <f t="shared" si="12"/>
        <v>83811.439999999988</v>
      </c>
      <c r="J53" s="30">
        <f t="shared" si="12"/>
        <v>91380.4</v>
      </c>
      <c r="K53" s="30">
        <f t="shared" si="12"/>
        <v>100797.11</v>
      </c>
      <c r="L53" s="30">
        <f t="shared" si="12"/>
        <v>133632.06</v>
      </c>
    </row>
    <row r="55" spans="1:13" s="4" customFormat="1" x14ac:dyDescent="0.3">
      <c r="A55"/>
      <c r="B55" t="s">
        <v>81</v>
      </c>
      <c r="C55" s="31" t="b">
        <f>C53=C41</f>
        <v>1</v>
      </c>
      <c r="D55" s="31" t="b">
        <f t="shared" ref="D55:L55" si="13">D53=D41</f>
        <v>1</v>
      </c>
      <c r="E55" s="31" t="b">
        <f t="shared" si="13"/>
        <v>1</v>
      </c>
      <c r="F55" s="31" t="b">
        <f t="shared" si="13"/>
        <v>1</v>
      </c>
      <c r="G55" s="31" t="b">
        <f t="shared" si="13"/>
        <v>1</v>
      </c>
      <c r="H55" s="31" t="b">
        <f t="shared" si="13"/>
        <v>1</v>
      </c>
      <c r="I55" s="31" t="b">
        <f t="shared" si="13"/>
        <v>1</v>
      </c>
      <c r="J55" s="31" t="b">
        <f t="shared" si="13"/>
        <v>1</v>
      </c>
      <c r="K55" s="31" t="b">
        <f t="shared" si="13"/>
        <v>1</v>
      </c>
      <c r="L55" s="31" t="b">
        <f t="shared" si="13"/>
        <v>1</v>
      </c>
    </row>
    <row r="57" spans="1:13" x14ac:dyDescent="0.3">
      <c r="A57" s="4" t="s">
        <v>59</v>
      </c>
      <c r="B57" s="20" t="s">
        <v>110</v>
      </c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</row>
    <row r="58" spans="1:13" x14ac:dyDescent="0.3">
      <c r="B58" s="4" t="s">
        <v>114</v>
      </c>
    </row>
    <row r="59" spans="1:13" x14ac:dyDescent="0.3">
      <c r="B59" t="s">
        <v>83</v>
      </c>
      <c r="C59" s="18">
        <f>IFERROR('CF Data'!C4,0)</f>
        <v>4948</v>
      </c>
      <c r="D59" s="18">
        <f>IFERROR('CF Data'!D4,0)</f>
        <v>5220</v>
      </c>
      <c r="E59" s="18">
        <f>IFERROR('CF Data'!E4,0)</f>
        <v>5986</v>
      </c>
      <c r="F59" s="18">
        <f>IFERROR('CF Data'!F4,0)</f>
        <v>7362</v>
      </c>
      <c r="G59" s="18">
        <f>IFERROR('CF Data'!G4,0)</f>
        <v>9348</v>
      </c>
      <c r="H59" s="18">
        <f>IFERROR('CF Data'!H4,0)</f>
        <v>11465</v>
      </c>
      <c r="I59" s="18">
        <f>IFERROR('CF Data'!I4,0)</f>
        <v>11311</v>
      </c>
      <c r="J59" s="18">
        <f>IFERROR('CF Data'!J4,0)</f>
        <v>10530</v>
      </c>
      <c r="K59" s="18">
        <f>IFERROR('CF Data'!K4,0)</f>
        <v>13029</v>
      </c>
      <c r="L59" s="18">
        <f>IFERROR('CF Data'!L4,0)</f>
        <v>12645</v>
      </c>
    </row>
    <row r="60" spans="1:13" x14ac:dyDescent="0.3">
      <c r="B60" t="s">
        <v>23</v>
      </c>
      <c r="C60" s="18">
        <f>IFERROR('CF Data'!C5,0)</f>
        <v>-287</v>
      </c>
      <c r="D60" s="18">
        <f>IFERROR('CF Data'!D5,0)</f>
        <v>156</v>
      </c>
      <c r="E60" s="18">
        <f>IFERROR('CF Data'!E5,0)</f>
        <v>-454</v>
      </c>
      <c r="F60" s="18">
        <f>IFERROR('CF Data'!F5,0)</f>
        <v>-279</v>
      </c>
      <c r="G60" s="18">
        <f>IFERROR('CF Data'!G5,0)</f>
        <v>473</v>
      </c>
      <c r="H60" s="18">
        <f>IFERROR('CF Data'!H5,0)</f>
        <v>-201</v>
      </c>
      <c r="I60" s="18">
        <f>IFERROR('CF Data'!I5,0)</f>
        <v>-495</v>
      </c>
      <c r="J60" s="18">
        <f>IFERROR('CF Data'!J5,0)</f>
        <v>-752</v>
      </c>
      <c r="K60" s="18">
        <f>IFERROR('CF Data'!K5,0)</f>
        <v>-421</v>
      </c>
      <c r="L60" s="18">
        <f>IFERROR('CF Data'!L5,0)</f>
        <v>-608</v>
      </c>
    </row>
    <row r="61" spans="1:13" x14ac:dyDescent="0.3">
      <c r="B61" t="s">
        <v>22</v>
      </c>
      <c r="C61" s="18">
        <f>IFERROR('CF Data'!C6,0)</f>
        <v>374</v>
      </c>
      <c r="D61" s="18">
        <f>IFERROR('CF Data'!D6,0)</f>
        <v>54</v>
      </c>
      <c r="E61" s="18">
        <f>IFERROR('CF Data'!E6,0)</f>
        <v>-623</v>
      </c>
      <c r="F61" s="18">
        <f>IFERROR('CF Data'!F6,0)</f>
        <v>-15</v>
      </c>
      <c r="G61" s="18">
        <f>IFERROR('CF Data'!G6,0)</f>
        <v>-64</v>
      </c>
      <c r="H61" s="18">
        <f>IFERROR('CF Data'!H6,0)</f>
        <v>165</v>
      </c>
      <c r="I61" s="18">
        <f>IFERROR('CF Data'!I6,0)</f>
        <v>-1579</v>
      </c>
      <c r="J61" s="18">
        <f>IFERROR('CF Data'!J6,0)</f>
        <v>-992</v>
      </c>
      <c r="K61" s="18">
        <f>IFERROR('CF Data'!K6,0)</f>
        <v>-1712</v>
      </c>
      <c r="L61" s="18">
        <f>IFERROR('CF Data'!L6,0)</f>
        <v>-317</v>
      </c>
    </row>
    <row r="62" spans="1:13" x14ac:dyDescent="0.3">
      <c r="B62" t="s">
        <v>84</v>
      </c>
      <c r="C62" s="18">
        <f>IFERROR('CF Data'!C7,0)</f>
        <v>310</v>
      </c>
      <c r="D62" s="18">
        <f>IFERROR('CF Data'!D7,0)</f>
        <v>482</v>
      </c>
      <c r="E62" s="18">
        <f>IFERROR('CF Data'!E7,0)</f>
        <v>346</v>
      </c>
      <c r="F62" s="18">
        <f>IFERROR('CF Data'!F7,0)</f>
        <v>766</v>
      </c>
      <c r="G62" s="18">
        <f>IFERROR('CF Data'!G7,0)</f>
        <v>279</v>
      </c>
      <c r="H62" s="18">
        <f>IFERROR('CF Data'!H7,0)</f>
        <v>2868</v>
      </c>
      <c r="I62" s="18">
        <f>IFERROR('CF Data'!I7,0)</f>
        <v>2077</v>
      </c>
      <c r="J62" s="18">
        <f>IFERROR('CF Data'!J7,0)</f>
        <v>1869</v>
      </c>
      <c r="K62" s="18">
        <f>IFERROR('CF Data'!K7,0)</f>
        <v>1959</v>
      </c>
      <c r="L62" s="18">
        <f>IFERROR('CF Data'!L7,0)</f>
        <v>-476</v>
      </c>
    </row>
    <row r="63" spans="1:13" x14ac:dyDescent="0.3">
      <c r="B63" t="s">
        <v>85</v>
      </c>
      <c r="C63" s="18">
        <f>IFERROR('CF Data'!C8,0)</f>
        <v>0</v>
      </c>
      <c r="D63" s="18">
        <f>IFERROR('CF Data'!D8,0)</f>
        <v>0</v>
      </c>
      <c r="E63" s="18">
        <f>IFERROR('CF Data'!E8,0)</f>
        <v>0</v>
      </c>
      <c r="F63" s="18">
        <f>IFERROR('CF Data'!F8,0)</f>
        <v>0</v>
      </c>
      <c r="G63" s="18">
        <f>IFERROR('CF Data'!G8,0)</f>
        <v>0</v>
      </c>
      <c r="H63" s="18">
        <f>IFERROR('CF Data'!H8,0)</f>
        <v>0</v>
      </c>
      <c r="I63" s="18">
        <f>IFERROR('CF Data'!I8,0)</f>
        <v>0</v>
      </c>
      <c r="J63" s="18">
        <f>IFERROR('CF Data'!J8,0)</f>
        <v>0</v>
      </c>
      <c r="K63" s="18">
        <f>IFERROR('CF Data'!K8,0)</f>
        <v>0</v>
      </c>
      <c r="L63" s="18">
        <f>IFERROR('CF Data'!L8,0)</f>
        <v>0</v>
      </c>
    </row>
    <row r="64" spans="1:13" x14ac:dyDescent="0.3">
      <c r="B64" t="s">
        <v>86</v>
      </c>
      <c r="C64" s="18">
        <f>IFERROR('CF Data'!C9,0)</f>
        <v>32</v>
      </c>
      <c r="D64" s="18">
        <f>IFERROR('CF Data'!D9,0)</f>
        <v>-162</v>
      </c>
      <c r="E64" s="18">
        <f>IFERROR('CF Data'!E9,0)</f>
        <v>-525</v>
      </c>
      <c r="F64" s="18">
        <f>IFERROR('CF Data'!F9,0)</f>
        <v>-1167</v>
      </c>
      <c r="G64" s="18">
        <f>IFERROR('CF Data'!G9,0)</f>
        <v>-172</v>
      </c>
      <c r="H64" s="18">
        <f>IFERROR('CF Data'!H9,0)</f>
        <v>-505</v>
      </c>
      <c r="I64" s="18">
        <f>IFERROR('CF Data'!I9,0)</f>
        <v>-476</v>
      </c>
      <c r="J64" s="18">
        <f>IFERROR('CF Data'!J9,0)</f>
        <v>-461</v>
      </c>
      <c r="K64" s="18">
        <f>IFERROR('CF Data'!K9,0)</f>
        <v>-308</v>
      </c>
      <c r="L64" s="18">
        <f>IFERROR('CF Data'!L9,0)</f>
        <v>729</v>
      </c>
    </row>
    <row r="65" spans="2:12" x14ac:dyDescent="0.3">
      <c r="B65" t="s">
        <v>87</v>
      </c>
      <c r="C65" s="18">
        <f>IFERROR('CF Data'!C10,0)</f>
        <v>429</v>
      </c>
      <c r="D65" s="18">
        <f>IFERROR('CF Data'!D10,0)</f>
        <v>529</v>
      </c>
      <c r="E65" s="18">
        <f>IFERROR('CF Data'!E10,0)</f>
        <v>-1255</v>
      </c>
      <c r="F65" s="18">
        <f>IFERROR('CF Data'!F10,0)</f>
        <v>-696</v>
      </c>
      <c r="G65" s="18">
        <f>IFERROR('CF Data'!G10,0)</f>
        <v>516</v>
      </c>
      <c r="H65" s="18">
        <f>IFERROR('CF Data'!H10,0)</f>
        <v>2326</v>
      </c>
      <c r="I65" s="18">
        <f>IFERROR('CF Data'!I10,0)</f>
        <v>-473</v>
      </c>
      <c r="J65" s="18">
        <f>IFERROR('CF Data'!J10,0)</f>
        <v>-337</v>
      </c>
      <c r="K65" s="18">
        <f>IFERROR('CF Data'!K10,0)</f>
        <v>-481</v>
      </c>
      <c r="L65" s="18">
        <f>IFERROR('CF Data'!L10,0)</f>
        <v>-671</v>
      </c>
    </row>
    <row r="66" spans="2:12" x14ac:dyDescent="0.3">
      <c r="B66" t="s">
        <v>88</v>
      </c>
      <c r="C66" s="18">
        <f>IFERROR('CF Data'!C11,0)</f>
        <v>-852</v>
      </c>
      <c r="D66" s="18">
        <f>IFERROR('CF Data'!D11,0)</f>
        <v>-744</v>
      </c>
      <c r="E66" s="18">
        <f>IFERROR('CF Data'!E11,0)</f>
        <v>-843</v>
      </c>
      <c r="F66" s="18">
        <f>IFERROR('CF Data'!F11,0)</f>
        <v>-710</v>
      </c>
      <c r="G66" s="18">
        <f>IFERROR('CF Data'!G11,0)</f>
        <v>-891</v>
      </c>
      <c r="H66" s="18">
        <f>IFERROR('CF Data'!H11,0)</f>
        <v>-1291</v>
      </c>
      <c r="I66" s="18">
        <f>IFERROR('CF Data'!I11,0)</f>
        <v>-1555</v>
      </c>
      <c r="J66" s="18">
        <f>IFERROR('CF Data'!J11,0)</f>
        <v>-1124</v>
      </c>
      <c r="K66" s="18">
        <f>IFERROR('CF Data'!K11,0)</f>
        <v>-1651</v>
      </c>
      <c r="L66" s="18">
        <f>IFERROR('CF Data'!L11,0)</f>
        <v>-1301</v>
      </c>
    </row>
    <row r="67" spans="2:12" x14ac:dyDescent="0.3">
      <c r="B67" t="s">
        <v>89</v>
      </c>
      <c r="C67" s="18">
        <f>IFERROR('CF Data'!C12,0)</f>
        <v>0</v>
      </c>
      <c r="D67" s="18">
        <f>IFERROR('CF Data'!D12,0)</f>
        <v>0</v>
      </c>
      <c r="E67" s="18">
        <f>IFERROR('CF Data'!E12,0)</f>
        <v>0</v>
      </c>
      <c r="F67" s="18">
        <f>IFERROR('CF Data'!F12,0)</f>
        <v>0</v>
      </c>
      <c r="G67" s="18">
        <f>IFERROR('CF Data'!G12,0)</f>
        <v>0</v>
      </c>
      <c r="H67" s="18">
        <f>IFERROR('CF Data'!H12,0)</f>
        <v>0</v>
      </c>
      <c r="I67" s="18">
        <f>IFERROR('CF Data'!I12,0)</f>
        <v>0</v>
      </c>
      <c r="J67" s="18">
        <f>IFERROR('CF Data'!J12,0)</f>
        <v>0</v>
      </c>
      <c r="K67" s="18">
        <f>IFERROR('CF Data'!K12,0)</f>
        <v>0</v>
      </c>
      <c r="L67" s="18">
        <f>IFERROR('CF Data'!L12,0)</f>
        <v>0</v>
      </c>
    </row>
    <row r="68" spans="2:12" x14ac:dyDescent="0.3">
      <c r="B68" s="4" t="s">
        <v>111</v>
      </c>
      <c r="C68" s="30">
        <f>SUM(C59:C67)</f>
        <v>4954</v>
      </c>
      <c r="D68" s="30">
        <f t="shared" ref="D68:L68" si="14">SUM(D59:D67)</f>
        <v>5535</v>
      </c>
      <c r="E68" s="30">
        <f t="shared" si="14"/>
        <v>2632</v>
      </c>
      <c r="F68" s="30">
        <f t="shared" si="14"/>
        <v>5261</v>
      </c>
      <c r="G68" s="30">
        <f t="shared" si="14"/>
        <v>9489</v>
      </c>
      <c r="H68" s="30">
        <f t="shared" si="14"/>
        <v>14827</v>
      </c>
      <c r="I68" s="30">
        <f t="shared" si="14"/>
        <v>8810</v>
      </c>
      <c r="J68" s="30">
        <f t="shared" si="14"/>
        <v>8733</v>
      </c>
      <c r="K68" s="30">
        <f t="shared" si="14"/>
        <v>10415</v>
      </c>
      <c r="L68" s="30">
        <f t="shared" si="14"/>
        <v>10001</v>
      </c>
    </row>
    <row r="69" spans="2:12" x14ac:dyDescent="0.3">
      <c r="B69" s="4" t="s">
        <v>115</v>
      </c>
    </row>
    <row r="70" spans="2:12" x14ac:dyDescent="0.3">
      <c r="B70" t="s">
        <v>91</v>
      </c>
      <c r="C70" s="18">
        <f>IFERROR('CF Data'!C14,0)</f>
        <v>-2150</v>
      </c>
      <c r="D70" s="18">
        <f>IFERROR('CF Data'!D14,0)</f>
        <v>-1402</v>
      </c>
      <c r="E70" s="18">
        <f>IFERROR('CF Data'!E14,0)</f>
        <v>-2103</v>
      </c>
      <c r="F70" s="18">
        <f>IFERROR('CF Data'!F14,0)</f>
        <v>-1808</v>
      </c>
      <c r="G70" s="18">
        <f>IFERROR('CF Data'!G14,0)</f>
        <v>-1766</v>
      </c>
      <c r="H70" s="18">
        <f>IFERROR('CF Data'!H14,0)</f>
        <v>-1925</v>
      </c>
      <c r="I70" s="18">
        <f>IFERROR('CF Data'!I14,0)</f>
        <v>-5613</v>
      </c>
      <c r="J70" s="18">
        <f>IFERROR('CF Data'!J14,0)</f>
        <v>-6200</v>
      </c>
      <c r="K70" s="18">
        <f>IFERROR('CF Data'!K14,0)</f>
        <v>-9006</v>
      </c>
      <c r="L70" s="18">
        <f>IFERROR('CF Data'!L14,0)</f>
        <v>-9129</v>
      </c>
    </row>
    <row r="71" spans="2:12" x14ac:dyDescent="0.3">
      <c r="B71" t="s">
        <v>92</v>
      </c>
      <c r="C71" s="18">
        <f>IFERROR('CF Data'!C15,0)</f>
        <v>18</v>
      </c>
      <c r="D71" s="18">
        <f>IFERROR('CF Data'!D15,0)</f>
        <v>35</v>
      </c>
      <c r="E71" s="18">
        <f>IFERROR('CF Data'!E15,0)</f>
        <v>220</v>
      </c>
      <c r="F71" s="18">
        <f>IFERROR('CF Data'!F15,0)</f>
        <v>160</v>
      </c>
      <c r="G71" s="18">
        <f>IFERROR('CF Data'!G15,0)</f>
        <v>79</v>
      </c>
      <c r="H71" s="18">
        <f>IFERROR('CF Data'!H15,0)</f>
        <v>86</v>
      </c>
      <c r="I71" s="18">
        <f>IFERROR('CF Data'!I15,0)</f>
        <v>73</v>
      </c>
      <c r="J71" s="18">
        <f>IFERROR('CF Data'!J15,0)</f>
        <v>95</v>
      </c>
      <c r="K71" s="18">
        <f>IFERROR('CF Data'!K15,0)</f>
        <v>122</v>
      </c>
      <c r="L71" s="18">
        <f>IFERROR('CF Data'!L15,0)</f>
        <v>179</v>
      </c>
    </row>
    <row r="72" spans="2:12" x14ac:dyDescent="0.3">
      <c r="B72" t="s">
        <v>93</v>
      </c>
      <c r="C72" s="18">
        <f>IFERROR('CF Data'!C16,0)</f>
        <v>-2698</v>
      </c>
      <c r="D72" s="18">
        <f>IFERROR('CF Data'!D16,0)</f>
        <v>-3377</v>
      </c>
      <c r="E72" s="18">
        <f>IFERROR('CF Data'!E16,0)</f>
        <v>-3960</v>
      </c>
      <c r="F72" s="18">
        <f>IFERROR('CF Data'!F16,0)</f>
        <v>-1700</v>
      </c>
      <c r="G72" s="18">
        <f>IFERROR('CF Data'!G16,0)</f>
        <v>-6086</v>
      </c>
      <c r="H72" s="18">
        <f>IFERROR('CF Data'!H16,0)</f>
        <v>-12689</v>
      </c>
      <c r="I72" s="18">
        <f>IFERROR('CF Data'!I16,0)</f>
        <v>-7795</v>
      </c>
      <c r="J72" s="18">
        <f>IFERROR('CF Data'!J16,0)</f>
        <v>-7260</v>
      </c>
      <c r="K72" s="18">
        <f>IFERROR('CF Data'!K16,0)</f>
        <v>-7750</v>
      </c>
      <c r="L72" s="18">
        <f>IFERROR('CF Data'!L16,0)</f>
        <v>-15885</v>
      </c>
    </row>
    <row r="73" spans="2:12" x14ac:dyDescent="0.3">
      <c r="B73" t="s">
        <v>94</v>
      </c>
      <c r="C73" s="18">
        <f>IFERROR('CF Data'!C17,0)</f>
        <v>2948</v>
      </c>
      <c r="D73" s="18">
        <f>IFERROR('CF Data'!D17,0)</f>
        <v>2228</v>
      </c>
      <c r="E73" s="18">
        <f>IFERROR('CF Data'!E17,0)</f>
        <v>5588</v>
      </c>
      <c r="F73" s="18">
        <f>IFERROR('CF Data'!F17,0)</f>
        <v>4478</v>
      </c>
      <c r="G73" s="18">
        <f>IFERROR('CF Data'!G17,0)</f>
        <v>3443</v>
      </c>
      <c r="H73" s="18">
        <f>IFERROR('CF Data'!H17,0)</f>
        <v>7101</v>
      </c>
      <c r="I73" s="18">
        <f>IFERROR('CF Data'!I17,0)</f>
        <v>13965</v>
      </c>
      <c r="J73" s="18">
        <f>IFERROR('CF Data'!J17,0)</f>
        <v>7156</v>
      </c>
      <c r="K73" s="18">
        <f>IFERROR('CF Data'!K17,0)</f>
        <v>7164</v>
      </c>
      <c r="L73" s="18">
        <f>IFERROR('CF Data'!L17,0)</f>
        <v>19115</v>
      </c>
    </row>
    <row r="74" spans="2:12" x14ac:dyDescent="0.3">
      <c r="B74" t="s">
        <v>95</v>
      </c>
      <c r="C74" s="18">
        <f>IFERROR('CF Data'!C18,0)</f>
        <v>59</v>
      </c>
      <c r="D74" s="18">
        <f>IFERROR('CF Data'!D18,0)</f>
        <v>47</v>
      </c>
      <c r="E74" s="18">
        <f>IFERROR('CF Data'!E18,0)</f>
        <v>67</v>
      </c>
      <c r="F74" s="18">
        <f>IFERROR('CF Data'!F18,0)</f>
        <v>78</v>
      </c>
      <c r="G74" s="18">
        <f>IFERROR('CF Data'!G18,0)</f>
        <v>89</v>
      </c>
      <c r="H74" s="18">
        <f>IFERROR('CF Data'!H18,0)</f>
        <v>77</v>
      </c>
      <c r="I74" s="18">
        <f>IFERROR('CF Data'!I18,0)</f>
        <v>174</v>
      </c>
      <c r="J74" s="18">
        <f>IFERROR('CF Data'!J18,0)</f>
        <v>283</v>
      </c>
      <c r="K74" s="18">
        <f>IFERROR('CF Data'!K18,0)</f>
        <v>161</v>
      </c>
      <c r="L74" s="18">
        <f>IFERROR('CF Data'!L18,0)</f>
        <v>342</v>
      </c>
    </row>
    <row r="75" spans="2:12" x14ac:dyDescent="0.3">
      <c r="B75" t="s">
        <v>96</v>
      </c>
      <c r="C75" s="18">
        <f>IFERROR('CF Data'!C19,0)</f>
        <v>0</v>
      </c>
      <c r="D75" s="18">
        <f>IFERROR('CF Data'!D19,0)</f>
        <v>0</v>
      </c>
      <c r="E75" s="18">
        <f>IFERROR('CF Data'!E19,0)</f>
        <v>0</v>
      </c>
      <c r="F75" s="18">
        <f>IFERROR('CF Data'!F19,0)</f>
        <v>22</v>
      </c>
      <c r="G75" s="18">
        <f>IFERROR('CF Data'!G19,0)</f>
        <v>32</v>
      </c>
      <c r="H75" s="18">
        <f>IFERROR('CF Data'!H19,0)</f>
        <v>0</v>
      </c>
      <c r="I75" s="18">
        <f>IFERROR('CF Data'!I19,0)</f>
        <v>0</v>
      </c>
      <c r="J75" s="18">
        <f>IFERROR('CF Data'!J19,0)</f>
        <v>0</v>
      </c>
      <c r="K75" s="18">
        <f>IFERROR('CF Data'!K19,0)</f>
        <v>0</v>
      </c>
      <c r="L75" s="18">
        <f>IFERROR('CF Data'!L19,0)</f>
        <v>1</v>
      </c>
    </row>
    <row r="76" spans="2:12" x14ac:dyDescent="0.3">
      <c r="B76" t="s">
        <v>97</v>
      </c>
      <c r="C76" s="18">
        <f>IFERROR('CF Data'!C20,0)</f>
        <v>-13</v>
      </c>
      <c r="D76" s="18">
        <f>IFERROR('CF Data'!D20,0)</f>
        <v>0</v>
      </c>
      <c r="E76" s="18">
        <f>IFERROR('CF Data'!E20,0)</f>
        <v>0</v>
      </c>
      <c r="F76" s="18">
        <f>IFERROR('CF Data'!F20,0)</f>
        <v>0</v>
      </c>
      <c r="G76" s="18">
        <f>IFERROR('CF Data'!G20,0)</f>
        <v>0</v>
      </c>
      <c r="H76" s="18">
        <f>IFERROR('CF Data'!H20,0)</f>
        <v>0</v>
      </c>
      <c r="I76" s="18">
        <f>IFERROR('CF Data'!I20,0)</f>
        <v>0</v>
      </c>
      <c r="J76" s="18">
        <f>IFERROR('CF Data'!J20,0)</f>
        <v>0</v>
      </c>
      <c r="K76" s="18">
        <f>IFERROR('CF Data'!K20,0)</f>
        <v>0</v>
      </c>
      <c r="L76" s="18">
        <f>IFERROR('CF Data'!L20,0)</f>
        <v>0</v>
      </c>
    </row>
    <row r="77" spans="2:12" x14ac:dyDescent="0.3">
      <c r="B77" t="s">
        <v>98</v>
      </c>
      <c r="C77" s="18">
        <f>IFERROR('CF Data'!C21,0)</f>
        <v>0</v>
      </c>
      <c r="D77" s="18">
        <f>IFERROR('CF Data'!D21,0)</f>
        <v>0</v>
      </c>
      <c r="E77" s="18">
        <f>IFERROR('CF Data'!E21,0)</f>
        <v>-1</v>
      </c>
      <c r="F77" s="18">
        <f>IFERROR('CF Data'!F21,0)</f>
        <v>-8</v>
      </c>
      <c r="G77" s="18">
        <f>IFERROR('CF Data'!G21,0)</f>
        <v>-6</v>
      </c>
      <c r="H77" s="18">
        <f>IFERROR('CF Data'!H21,0)</f>
        <v>-3</v>
      </c>
      <c r="I77" s="18">
        <f>IFERROR('CF Data'!I21,0)</f>
        <v>0</v>
      </c>
      <c r="J77" s="18">
        <f>IFERROR('CF Data'!J21,0)</f>
        <v>0</v>
      </c>
      <c r="K77" s="18">
        <f>IFERROR('CF Data'!K21,0)</f>
        <v>0</v>
      </c>
      <c r="L77" s="18">
        <f>IFERROR('CF Data'!L21,0)</f>
        <v>0</v>
      </c>
    </row>
    <row r="78" spans="2:12" x14ac:dyDescent="0.3">
      <c r="B78" t="s">
        <v>99</v>
      </c>
      <c r="C78" s="18">
        <f>IFERROR('CF Data'!C22,0)</f>
        <v>0</v>
      </c>
      <c r="D78" s="18">
        <f>IFERROR('CF Data'!D22,0)</f>
        <v>0</v>
      </c>
      <c r="E78" s="18">
        <f>IFERROR('CF Data'!E22,0)</f>
        <v>0</v>
      </c>
      <c r="F78" s="18">
        <f>IFERROR('CF Data'!F22,0)</f>
        <v>0</v>
      </c>
      <c r="G78" s="18">
        <f>IFERROR('CF Data'!G22,0)</f>
        <v>0</v>
      </c>
      <c r="H78" s="18">
        <f>IFERROR('CF Data'!H22,0)</f>
        <v>0</v>
      </c>
      <c r="I78" s="18">
        <f>IFERROR('CF Data'!I22,0)</f>
        <v>0</v>
      </c>
      <c r="J78" s="18">
        <f>IFERROR('CF Data'!J22,0)</f>
        <v>3</v>
      </c>
      <c r="K78" s="18">
        <f>IFERROR('CF Data'!K22,0)</f>
        <v>0</v>
      </c>
      <c r="L78" s="18">
        <f>IFERROR('CF Data'!L22,0)</f>
        <v>36</v>
      </c>
    </row>
    <row r="79" spans="2:12" x14ac:dyDescent="0.3">
      <c r="B79" t="s">
        <v>100</v>
      </c>
      <c r="C79" s="18">
        <f>IFERROR('CF Data'!C23,0)</f>
        <v>0</v>
      </c>
      <c r="D79" s="18">
        <f>IFERROR('CF Data'!D23,0)</f>
        <v>0</v>
      </c>
      <c r="E79" s="18">
        <f>IFERROR('CF Data'!E23,0)</f>
        <v>0</v>
      </c>
      <c r="F79" s="18">
        <f>IFERROR('CF Data'!F23,0)</f>
        <v>0</v>
      </c>
      <c r="G79" s="18">
        <f>IFERROR('CF Data'!G23,0)</f>
        <v>0</v>
      </c>
      <c r="H79" s="18">
        <f>IFERROR('CF Data'!H23,0)</f>
        <v>0</v>
      </c>
      <c r="I79" s="18">
        <f>IFERROR('CF Data'!I23,0)</f>
        <v>0</v>
      </c>
      <c r="J79" s="18">
        <f>IFERROR('CF Data'!J23,0)</f>
        <v>-847</v>
      </c>
      <c r="K79" s="18">
        <f>IFERROR('CF Data'!K23,0)</f>
        <v>-60</v>
      </c>
      <c r="L79" s="18">
        <f>IFERROR('CF Data'!L23,0)</f>
        <v>-10262</v>
      </c>
    </row>
    <row r="80" spans="2:12" x14ac:dyDescent="0.3">
      <c r="B80" t="s">
        <v>101</v>
      </c>
      <c r="C80" s="18">
        <f>IFERROR('CF Data'!C24,0)</f>
        <v>-1839</v>
      </c>
      <c r="D80" s="18">
        <f>IFERROR('CF Data'!D24,0)</f>
        <v>-32</v>
      </c>
      <c r="E80" s="18">
        <f>IFERROR('CF Data'!E24,0)</f>
        <v>2055</v>
      </c>
      <c r="F80" s="18">
        <f>IFERROR('CF Data'!F24,0)</f>
        <v>-58</v>
      </c>
      <c r="G80" s="18">
        <f>IFERROR('CF Data'!G24,0)</f>
        <v>22</v>
      </c>
      <c r="H80" s="18">
        <f>IFERROR('CF Data'!H24,0)</f>
        <v>-1503</v>
      </c>
      <c r="I80" s="18">
        <f>IFERROR('CF Data'!I24,0)</f>
        <v>1518</v>
      </c>
      <c r="J80" s="18">
        <f>IFERROR('CF Data'!J24,0)</f>
        <v>-417</v>
      </c>
      <c r="K80" s="18">
        <f>IFERROR('CF Data'!K24,0)</f>
        <v>581</v>
      </c>
      <c r="L80" s="18">
        <f>IFERROR('CF Data'!L24,0)</f>
        <v>-232</v>
      </c>
    </row>
    <row r="81" spans="2:12" x14ac:dyDescent="0.3">
      <c r="B81" s="4" t="s">
        <v>112</v>
      </c>
      <c r="C81" s="30">
        <f>SUM(C70:C80)</f>
        <v>-3675</v>
      </c>
      <c r="D81" s="30">
        <f t="shared" ref="D81:L81" si="15">SUM(D70:D80)</f>
        <v>-2501</v>
      </c>
      <c r="E81" s="30">
        <f t="shared" si="15"/>
        <v>1866</v>
      </c>
      <c r="F81" s="30">
        <f t="shared" si="15"/>
        <v>1164</v>
      </c>
      <c r="G81" s="30">
        <f t="shared" si="15"/>
        <v>-4193</v>
      </c>
      <c r="H81" s="30">
        <f t="shared" si="15"/>
        <v>-8856</v>
      </c>
      <c r="I81" s="30">
        <f t="shared" si="15"/>
        <v>2322</v>
      </c>
      <c r="J81" s="30">
        <f t="shared" si="15"/>
        <v>-7187</v>
      </c>
      <c r="K81" s="30">
        <f t="shared" si="15"/>
        <v>-8788</v>
      </c>
      <c r="L81" s="30">
        <f t="shared" si="15"/>
        <v>-15835</v>
      </c>
    </row>
    <row r="82" spans="2:12" x14ac:dyDescent="0.3">
      <c r="B82" s="4" t="s">
        <v>116</v>
      </c>
    </row>
    <row r="83" spans="2:12" x14ac:dyDescent="0.3">
      <c r="B83" t="s">
        <v>103</v>
      </c>
      <c r="C83" s="18">
        <f>IFERROR('CF Data'!C26,0)</f>
        <v>3</v>
      </c>
      <c r="D83" s="18">
        <f>IFERROR('CF Data'!D26,0)</f>
        <v>7</v>
      </c>
      <c r="E83" s="18">
        <f>IFERROR('CF Data'!E26,0)</f>
        <v>16</v>
      </c>
      <c r="F83" s="18">
        <f>IFERROR('CF Data'!F26,0)</f>
        <v>5</v>
      </c>
      <c r="G83" s="18">
        <f>IFERROR('CF Data'!G26,0)</f>
        <v>3</v>
      </c>
      <c r="H83" s="18">
        <f>IFERROR('CF Data'!H26,0)</f>
        <v>14</v>
      </c>
      <c r="I83" s="18">
        <f>IFERROR('CF Data'!I26,0)</f>
        <v>13</v>
      </c>
      <c r="J83" s="18">
        <f>IFERROR('CF Data'!J26,0)</f>
        <v>13</v>
      </c>
      <c r="K83" s="18">
        <f>IFERROR('CF Data'!K26,0)</f>
        <v>18</v>
      </c>
      <c r="L83" s="18">
        <f>IFERROR('CF Data'!L26,0)</f>
        <v>33</v>
      </c>
    </row>
    <row r="84" spans="2:12" x14ac:dyDescent="0.3">
      <c r="B84" t="s">
        <v>104</v>
      </c>
      <c r="C84" s="18">
        <f>IFERROR('CF Data'!C27,0)</f>
        <v>2821</v>
      </c>
      <c r="D84" s="18">
        <f>IFERROR('CF Data'!D27,0)</f>
        <v>3656</v>
      </c>
      <c r="E84" s="18">
        <f>IFERROR('CF Data'!E27,0)</f>
        <v>15775</v>
      </c>
      <c r="F84" s="18">
        <f>IFERROR('CF Data'!F27,0)</f>
        <v>9772</v>
      </c>
      <c r="G84" s="18">
        <f>IFERROR('CF Data'!G27,0)</f>
        <v>1510</v>
      </c>
      <c r="H84" s="18">
        <f>IFERROR('CF Data'!H27,0)</f>
        <v>4103</v>
      </c>
      <c r="I84" s="18">
        <f>IFERROR('CF Data'!I27,0)</f>
        <v>175</v>
      </c>
      <c r="J84" s="18">
        <f>IFERROR('CF Data'!J27,0)</f>
        <v>1032</v>
      </c>
      <c r="K84" s="18">
        <f>IFERROR('CF Data'!K27,0)</f>
        <v>1399</v>
      </c>
      <c r="L84" s="18">
        <f>IFERROR('CF Data'!L27,0)</f>
        <v>9410</v>
      </c>
    </row>
    <row r="85" spans="2:12" x14ac:dyDescent="0.3">
      <c r="B85" t="s">
        <v>105</v>
      </c>
      <c r="C85" s="18">
        <f>IFERROR('CF Data'!C28,0)</f>
        <v>-2775</v>
      </c>
      <c r="D85" s="18">
        <f>IFERROR('CF Data'!D28,0)</f>
        <v>-5272</v>
      </c>
      <c r="E85" s="18">
        <f>IFERROR('CF Data'!E28,0)</f>
        <v>-19982</v>
      </c>
      <c r="F85" s="18">
        <f>IFERROR('CF Data'!F28,0)</f>
        <v>-14420</v>
      </c>
      <c r="G85" s="18">
        <f>IFERROR('CF Data'!G28,0)</f>
        <v>-4154</v>
      </c>
      <c r="H85" s="18">
        <f>IFERROR('CF Data'!H28,0)</f>
        <v>-6499</v>
      </c>
      <c r="I85" s="18">
        <f>IFERROR('CF Data'!I28,0)</f>
        <v>-10346</v>
      </c>
      <c r="J85" s="18">
        <f>IFERROR('CF Data'!J28,0)</f>
        <v>-579</v>
      </c>
      <c r="K85" s="18">
        <f>IFERROR('CF Data'!K28,0)</f>
        <v>-1069</v>
      </c>
      <c r="L85" s="18">
        <f>IFERROR('CF Data'!L28,0)</f>
        <v>-550</v>
      </c>
    </row>
    <row r="86" spans="2:12" x14ac:dyDescent="0.3">
      <c r="B86" t="s">
        <v>106</v>
      </c>
      <c r="C86" s="18">
        <f>IFERROR('CF Data'!C29,0)</f>
        <v>-596</v>
      </c>
      <c r="D86" s="18">
        <f>IFERROR('CF Data'!D29,0)</f>
        <v>-614</v>
      </c>
      <c r="E86" s="18">
        <f>IFERROR('CF Data'!E29,0)</f>
        <v>-1210</v>
      </c>
      <c r="F86" s="18">
        <f>IFERROR('CF Data'!F29,0)</f>
        <v>-1685</v>
      </c>
      <c r="G86" s="18">
        <f>IFERROR('CF Data'!G29,0)</f>
        <v>-1950</v>
      </c>
      <c r="H86" s="18">
        <f>IFERROR('CF Data'!H29,0)</f>
        <v>-1481</v>
      </c>
      <c r="I86" s="18">
        <f>IFERROR('CF Data'!I29,0)</f>
        <v>-1026</v>
      </c>
      <c r="J86" s="18">
        <f>IFERROR('CF Data'!J29,0)</f>
        <v>-765</v>
      </c>
      <c r="K86" s="18">
        <f>IFERROR('CF Data'!K29,0)</f>
        <v>-917</v>
      </c>
      <c r="L86" s="18">
        <f>IFERROR('CF Data'!L29,0)</f>
        <v>-1540</v>
      </c>
    </row>
    <row r="87" spans="2:12" x14ac:dyDescent="0.3">
      <c r="B87" t="s">
        <v>107</v>
      </c>
      <c r="C87" s="18">
        <f>IFERROR('CF Data'!C30,0)</f>
        <v>-297</v>
      </c>
      <c r="D87" s="18">
        <f>IFERROR('CF Data'!D30,0)</f>
        <v>-312</v>
      </c>
      <c r="E87" s="18">
        <f>IFERROR('CF Data'!E30,0)</f>
        <v>-334</v>
      </c>
      <c r="F87" s="18">
        <f>IFERROR('CF Data'!F30,0)</f>
        <v>-346</v>
      </c>
      <c r="G87" s="18">
        <f>IFERROR('CF Data'!G30,0)</f>
        <v>-380</v>
      </c>
      <c r="H87" s="18">
        <f>IFERROR('CF Data'!H30,0)</f>
        <v>-375</v>
      </c>
      <c r="I87" s="18">
        <f>IFERROR('CF Data'!I30,0)</f>
        <v>-1065</v>
      </c>
      <c r="J87" s="18">
        <f>IFERROR('CF Data'!J30,0)</f>
        <v>-1091</v>
      </c>
      <c r="K87" s="18">
        <f>IFERROR('CF Data'!K30,0)</f>
        <v>-1094</v>
      </c>
      <c r="L87" s="18">
        <f>IFERROR('CF Data'!L30,0)</f>
        <v>-2012</v>
      </c>
    </row>
    <row r="88" spans="2:12" x14ac:dyDescent="0.3">
      <c r="B88" t="s">
        <v>108</v>
      </c>
      <c r="C88" s="18">
        <f>IFERROR('CF Data'!C31,0)</f>
        <v>0</v>
      </c>
      <c r="D88" s="18">
        <f>IFERROR('CF Data'!D31,0)</f>
        <v>0</v>
      </c>
      <c r="E88" s="18">
        <f>IFERROR('CF Data'!E31,0)</f>
        <v>0</v>
      </c>
      <c r="F88" s="18">
        <f>IFERROR('CF Data'!F31,0)</f>
        <v>0</v>
      </c>
      <c r="G88" s="18">
        <f>IFERROR('CF Data'!G31,0)</f>
        <v>-101</v>
      </c>
      <c r="H88" s="18">
        <f>IFERROR('CF Data'!H31,0)</f>
        <v>-118</v>
      </c>
      <c r="I88" s="18">
        <f>IFERROR('CF Data'!I31,0)</f>
        <v>-157</v>
      </c>
      <c r="J88" s="18">
        <f>IFERROR('CF Data'!J31,0)</f>
        <v>-126</v>
      </c>
      <c r="K88" s="18">
        <f>IFERROR('CF Data'!K31,0)</f>
        <v>-162</v>
      </c>
      <c r="L88" s="18">
        <f>IFERROR('CF Data'!L31,0)</f>
        <v>-165</v>
      </c>
    </row>
    <row r="89" spans="2:12" x14ac:dyDescent="0.3">
      <c r="B89" t="s">
        <v>109</v>
      </c>
      <c r="C89" s="18">
        <f>IFERROR('CF Data'!C32,0)</f>
        <v>1</v>
      </c>
      <c r="D89" s="18">
        <f>IFERROR('CF Data'!D32,0)</f>
        <v>0</v>
      </c>
      <c r="E89" s="18">
        <f>IFERROR('CF Data'!E32,0)</f>
        <v>0</v>
      </c>
      <c r="F89" s="18">
        <f>IFERROR('CF Data'!F32,0)</f>
        <v>-83</v>
      </c>
      <c r="G89" s="18">
        <f>IFERROR('CF Data'!G32,0)</f>
        <v>-4</v>
      </c>
      <c r="H89" s="18">
        <f>IFERROR('CF Data'!H32,0)</f>
        <v>0</v>
      </c>
      <c r="I89" s="18">
        <f>IFERROR('CF Data'!I32,0)</f>
        <v>-91</v>
      </c>
      <c r="J89" s="18">
        <f>IFERROR('CF Data'!J32,0)</f>
        <v>-115</v>
      </c>
      <c r="K89" s="18">
        <f>IFERROR('CF Data'!K32,0)</f>
        <v>-100</v>
      </c>
      <c r="L89" s="18">
        <f>IFERROR('CF Data'!L32,0)</f>
        <v>-100</v>
      </c>
    </row>
    <row r="90" spans="2:12" x14ac:dyDescent="0.3">
      <c r="B90" s="4" t="s">
        <v>113</v>
      </c>
      <c r="C90" s="30">
        <f>SUM(C83:C89)</f>
        <v>-843</v>
      </c>
      <c r="D90" s="30">
        <f t="shared" ref="D90:L90" si="16">SUM(D83:D89)</f>
        <v>-2535</v>
      </c>
      <c r="E90" s="30">
        <f t="shared" si="16"/>
        <v>-5735</v>
      </c>
      <c r="F90" s="30">
        <f t="shared" si="16"/>
        <v>-6757</v>
      </c>
      <c r="G90" s="30">
        <f t="shared" si="16"/>
        <v>-5076</v>
      </c>
      <c r="H90" s="30">
        <f t="shared" si="16"/>
        <v>-4356</v>
      </c>
      <c r="I90" s="30">
        <f t="shared" si="16"/>
        <v>-12497</v>
      </c>
      <c r="J90" s="30">
        <f t="shared" si="16"/>
        <v>-1631</v>
      </c>
      <c r="K90" s="30">
        <f t="shared" si="16"/>
        <v>-1925</v>
      </c>
      <c r="L90" s="30">
        <f t="shared" si="16"/>
        <v>5076</v>
      </c>
    </row>
    <row r="92" spans="2:12" x14ac:dyDescent="0.3">
      <c r="B92" s="4" t="s">
        <v>12</v>
      </c>
      <c r="C92" s="30">
        <f>SUM(C68,C81,C90)</f>
        <v>436</v>
      </c>
      <c r="D92" s="30">
        <f t="shared" ref="D92:L92" si="17">SUM(D68,D81,D90)</f>
        <v>499</v>
      </c>
      <c r="E92" s="30">
        <f t="shared" si="17"/>
        <v>-1237</v>
      </c>
      <c r="F92" s="30">
        <f t="shared" si="17"/>
        <v>-332</v>
      </c>
      <c r="G92" s="30">
        <f t="shared" si="17"/>
        <v>220</v>
      </c>
      <c r="H92" s="30">
        <f t="shared" si="17"/>
        <v>1615</v>
      </c>
      <c r="I92" s="30">
        <f t="shared" si="17"/>
        <v>-1365</v>
      </c>
      <c r="J92" s="30">
        <f t="shared" si="17"/>
        <v>-85</v>
      </c>
      <c r="K92" s="30">
        <f t="shared" si="17"/>
        <v>-298</v>
      </c>
      <c r="L92" s="30">
        <f t="shared" si="17"/>
        <v>-758</v>
      </c>
    </row>
  </sheetData>
  <mergeCells count="2">
    <mergeCell ref="F2:N2"/>
    <mergeCell ref="B10:M10"/>
  </mergeCells>
  <hyperlinks>
    <hyperlink ref="B2" r:id="rId1" display="https://www.nseindia.com/get-quotes/equity?symbol=ULTRACEMCO" xr:uid="{8C0DB249-2578-4D4F-9D78-A4E3431C779C}"/>
  </hyperlinks>
  <pageMargins left="0.7" right="0.7" top="0.75" bottom="0.75" header="0.3" footer="0.3"/>
  <pageSetup orientation="portrait" r:id="rId2"/>
  <ignoredErrors>
    <ignoredError sqref="C17:M22 M14:M15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E05ED-38D0-4FF3-9C4D-5A467F9885E7}">
  <dimension ref="A1:N140"/>
  <sheetViews>
    <sheetView zoomScaleNormal="100" zoomScalePageLayoutView="120" workbookViewId="0">
      <pane xSplit="1" ySplit="1" topLeftCell="B5" activePane="bottomRight" state="frozen"/>
      <selection activeCell="C56" sqref="C56"/>
      <selection pane="topRight" activeCell="C56" sqref="C56"/>
      <selection pane="bottomLeft" activeCell="C56" sqref="C56"/>
      <selection pane="bottomRight" activeCell="K24" sqref="K24"/>
    </sheetView>
  </sheetViews>
  <sheetFormatPr defaultColWidth="8.77734375" defaultRowHeight="14.4" x14ac:dyDescent="0.3"/>
  <cols>
    <col min="1" max="1" width="27.6640625" style="7" bestFit="1" customWidth="1"/>
    <col min="2" max="11" width="13.44140625" style="7" bestFit="1" customWidth="1"/>
    <col min="12" max="14" width="13.44140625" style="7" customWidth="1"/>
    <col min="15" max="16384" width="8.77734375" style="7"/>
  </cols>
  <sheetData>
    <row r="1" spans="1:11" s="9" customFormat="1" x14ac:dyDescent="0.3">
      <c r="A1" s="9" t="s">
        <v>57</v>
      </c>
      <c r="B1" s="9" t="s">
        <v>56</v>
      </c>
      <c r="E1" s="371" t="str">
        <f>IF(B2&lt;&gt;B3, "A NEW VERSION OF THE WORKSHEET IS AVAILABLE", "")</f>
        <v/>
      </c>
      <c r="F1" s="371"/>
      <c r="G1" s="371"/>
      <c r="H1" s="371"/>
      <c r="I1" s="371"/>
      <c r="J1" s="371"/>
      <c r="K1" s="371"/>
    </row>
    <row r="2" spans="1:11" x14ac:dyDescent="0.3">
      <c r="A2" s="9" t="s">
        <v>55</v>
      </c>
      <c r="B2" s="7">
        <v>2.1</v>
      </c>
      <c r="E2" s="372" t="s">
        <v>8</v>
      </c>
      <c r="F2" s="372"/>
      <c r="G2" s="372"/>
      <c r="H2" s="372"/>
      <c r="I2" s="372"/>
      <c r="J2" s="372"/>
      <c r="K2" s="372"/>
    </row>
    <row r="3" spans="1:11" x14ac:dyDescent="0.3">
      <c r="A3" s="9" t="s">
        <v>54</v>
      </c>
      <c r="B3" s="7">
        <v>2.1</v>
      </c>
    </row>
    <row r="4" spans="1:11" x14ac:dyDescent="0.3">
      <c r="A4" s="9"/>
    </row>
    <row r="5" spans="1:11" x14ac:dyDescent="0.3">
      <c r="A5" s="9" t="s">
        <v>53</v>
      </c>
    </row>
    <row r="6" spans="1:11" x14ac:dyDescent="0.3">
      <c r="A6" s="7" t="s">
        <v>1</v>
      </c>
      <c r="B6" s="7">
        <f>IF(B9&gt;0, B9/B8, 0)</f>
        <v>29.482018440069776</v>
      </c>
    </row>
    <row r="7" spans="1:11" x14ac:dyDescent="0.3">
      <c r="A7" s="7" t="s">
        <v>2</v>
      </c>
      <c r="B7" s="10">
        <v>10</v>
      </c>
    </row>
    <row r="8" spans="1:11" x14ac:dyDescent="0.3">
      <c r="A8" s="7" t="s">
        <v>3</v>
      </c>
      <c r="B8" s="10">
        <v>12039</v>
      </c>
    </row>
    <row r="9" spans="1:11" x14ac:dyDescent="0.3">
      <c r="A9" s="7" t="s">
        <v>4</v>
      </c>
      <c r="B9" s="10">
        <v>354934.02</v>
      </c>
    </row>
    <row r="15" spans="1:11" x14ac:dyDescent="0.3">
      <c r="A15" s="9" t="s">
        <v>52</v>
      </c>
    </row>
    <row r="16" spans="1:11" s="12" customFormat="1" x14ac:dyDescent="0.3">
      <c r="A16" s="14" t="s">
        <v>16</v>
      </c>
      <c r="B16" s="13">
        <v>42460</v>
      </c>
      <c r="C16" s="13">
        <v>42825</v>
      </c>
      <c r="D16" s="13">
        <v>43190</v>
      </c>
      <c r="E16" s="13">
        <v>43555</v>
      </c>
      <c r="F16" s="13">
        <v>43921</v>
      </c>
      <c r="G16" s="13">
        <v>44286</v>
      </c>
      <c r="H16" s="13">
        <v>44651</v>
      </c>
      <c r="I16" s="13">
        <v>45016</v>
      </c>
      <c r="J16" s="13">
        <v>45382</v>
      </c>
      <c r="K16" s="13">
        <v>45747</v>
      </c>
    </row>
    <row r="17" spans="1:11" s="11" customFormat="1" x14ac:dyDescent="0.3">
      <c r="A17" s="11" t="s">
        <v>42</v>
      </c>
      <c r="B17" s="10">
        <v>25153.24</v>
      </c>
      <c r="C17" s="10">
        <v>25374.94</v>
      </c>
      <c r="D17" s="10">
        <v>30978.62</v>
      </c>
      <c r="E17" s="10">
        <v>41462.26</v>
      </c>
      <c r="F17" s="10">
        <v>42429.89</v>
      </c>
      <c r="G17" s="10">
        <v>44725.8</v>
      </c>
      <c r="H17" s="10">
        <v>52598.83</v>
      </c>
      <c r="I17" s="10">
        <v>63239.98</v>
      </c>
      <c r="J17" s="10">
        <v>70908.14</v>
      </c>
      <c r="K17" s="10">
        <v>75955.13</v>
      </c>
    </row>
    <row r="18" spans="1:11" s="11" customFormat="1" x14ac:dyDescent="0.3">
      <c r="A18" s="7" t="s">
        <v>51</v>
      </c>
      <c r="B18" s="10">
        <v>4436.12</v>
      </c>
      <c r="C18" s="10">
        <v>4416.8999999999996</v>
      </c>
      <c r="D18" s="10">
        <v>5399.98</v>
      </c>
      <c r="E18" s="10">
        <v>6936.74</v>
      </c>
      <c r="F18" s="10">
        <v>6875.89</v>
      </c>
      <c r="G18" s="10">
        <v>6635.66</v>
      </c>
      <c r="H18" s="10">
        <v>8348.15</v>
      </c>
      <c r="I18" s="10">
        <v>10233.17</v>
      </c>
      <c r="J18" s="10">
        <v>11986.27</v>
      </c>
      <c r="K18" s="10">
        <v>13691.46</v>
      </c>
    </row>
    <row r="19" spans="1:11" s="11" customFormat="1" x14ac:dyDescent="0.3">
      <c r="A19" s="7" t="s">
        <v>50</v>
      </c>
      <c r="B19" s="10">
        <v>18.61</v>
      </c>
      <c r="C19" s="10">
        <v>-75.69</v>
      </c>
      <c r="D19" s="10">
        <v>111.2</v>
      </c>
      <c r="E19" s="10">
        <v>-46.35</v>
      </c>
      <c r="F19" s="10">
        <v>357.83</v>
      </c>
      <c r="G19" s="10">
        <v>-450.15</v>
      </c>
      <c r="H19" s="10">
        <v>383.16</v>
      </c>
      <c r="I19" s="10">
        <v>518.21</v>
      </c>
      <c r="J19" s="10">
        <v>83.35</v>
      </c>
      <c r="K19" s="10">
        <v>-12.27</v>
      </c>
    </row>
    <row r="20" spans="1:11" s="11" customFormat="1" x14ac:dyDescent="0.3">
      <c r="A20" s="7" t="s">
        <v>49</v>
      </c>
      <c r="B20" s="10">
        <v>4579.25</v>
      </c>
      <c r="C20" s="10">
        <v>4271.9799999999996</v>
      </c>
      <c r="D20" s="10">
        <v>6334.07</v>
      </c>
      <c r="E20" s="10">
        <v>9436.14</v>
      </c>
      <c r="F20" s="10">
        <v>8516.8700000000008</v>
      </c>
      <c r="G20" s="10">
        <v>8331.18</v>
      </c>
      <c r="H20" s="10">
        <v>12137.26</v>
      </c>
      <c r="I20" s="10">
        <v>18491.32</v>
      </c>
      <c r="J20" s="10">
        <v>18283.32</v>
      </c>
      <c r="K20" s="10">
        <v>18419.150000000001</v>
      </c>
    </row>
    <row r="21" spans="1:11" s="11" customFormat="1" x14ac:dyDescent="0.3">
      <c r="A21" s="7" t="s">
        <v>48</v>
      </c>
      <c r="B21" s="10">
        <v>1933.88</v>
      </c>
      <c r="C21" s="10">
        <v>1991.28</v>
      </c>
      <c r="D21" s="10">
        <v>2289.5300000000002</v>
      </c>
      <c r="E21" s="10">
        <v>3001.06</v>
      </c>
      <c r="F21" s="10">
        <v>3043.3</v>
      </c>
      <c r="G21" s="10">
        <v>3067.38</v>
      </c>
      <c r="H21" s="10">
        <v>3889.67</v>
      </c>
      <c r="I21" s="10">
        <v>4344.34</v>
      </c>
      <c r="J21" s="10">
        <v>4898.17</v>
      </c>
      <c r="K21" s="10">
        <v>5474.61</v>
      </c>
    </row>
    <row r="22" spans="1:11" s="11" customFormat="1" x14ac:dyDescent="0.3">
      <c r="A22" s="7" t="s">
        <v>47</v>
      </c>
      <c r="B22" s="10">
        <v>1466.49</v>
      </c>
      <c r="C22" s="10">
        <v>1547.77</v>
      </c>
      <c r="D22" s="10">
        <v>1831.81</v>
      </c>
      <c r="E22" s="10">
        <v>2309.4299999999998</v>
      </c>
      <c r="F22" s="10">
        <v>2522.64</v>
      </c>
      <c r="G22" s="10">
        <v>2363.33</v>
      </c>
      <c r="H22" s="10">
        <v>2545</v>
      </c>
      <c r="I22" s="10">
        <v>2751.31</v>
      </c>
      <c r="J22" s="10">
        <v>3051.99</v>
      </c>
      <c r="K22" s="10">
        <v>3619.25</v>
      </c>
    </row>
    <row r="23" spans="1:11" s="11" customFormat="1" x14ac:dyDescent="0.3">
      <c r="A23" s="7" t="s">
        <v>46</v>
      </c>
      <c r="B23" s="10">
        <v>7200.47</v>
      </c>
      <c r="C23" s="10">
        <v>7149.12</v>
      </c>
      <c r="D23" s="10">
        <v>8320.2800000000007</v>
      </c>
      <c r="E23" s="10">
        <v>11563.8</v>
      </c>
      <c r="F23" s="10">
        <v>11237.32</v>
      </c>
      <c r="G23" s="10">
        <v>11266.02</v>
      </c>
      <c r="H23" s="10">
        <v>13282.22</v>
      </c>
      <c r="I23" s="10">
        <v>15859.6</v>
      </c>
      <c r="J23" s="10">
        <v>18066.95</v>
      </c>
      <c r="K23" s="10">
        <v>19571.95</v>
      </c>
    </row>
    <row r="24" spans="1:11" s="11" customFormat="1" x14ac:dyDescent="0.3">
      <c r="A24" s="7" t="s">
        <v>45</v>
      </c>
      <c r="B24" s="10">
        <v>654.66999999999996</v>
      </c>
      <c r="C24" s="10">
        <v>709.76</v>
      </c>
      <c r="D24" s="10">
        <v>769.12</v>
      </c>
      <c r="E24" s="10">
        <v>821.8</v>
      </c>
      <c r="F24" s="10">
        <v>1345.73</v>
      </c>
      <c r="G24" s="10">
        <v>1044.17</v>
      </c>
      <c r="H24" s="10">
        <v>1265.3399999999999</v>
      </c>
      <c r="I24" s="10">
        <v>1458.6</v>
      </c>
      <c r="J24" s="10">
        <v>1726.23</v>
      </c>
      <c r="K24" s="10">
        <v>2369.56</v>
      </c>
    </row>
    <row r="25" spans="1:11" s="11" customFormat="1" x14ac:dyDescent="0.3">
      <c r="A25" s="11" t="s">
        <v>40</v>
      </c>
      <c r="B25" s="10">
        <v>463.81</v>
      </c>
      <c r="C25" s="10">
        <v>648.12</v>
      </c>
      <c r="D25" s="10">
        <v>241.97</v>
      </c>
      <c r="E25" s="10">
        <v>350.1</v>
      </c>
      <c r="F25" s="10">
        <v>651.05999999999995</v>
      </c>
      <c r="G25" s="10">
        <v>618.52</v>
      </c>
      <c r="H25" s="10">
        <v>669.43</v>
      </c>
      <c r="I25" s="10">
        <v>507.11</v>
      </c>
      <c r="J25" s="10">
        <v>556.96</v>
      </c>
      <c r="K25" s="10">
        <v>396.74</v>
      </c>
    </row>
    <row r="26" spans="1:11" s="11" customFormat="1" x14ac:dyDescent="0.3">
      <c r="A26" s="11" t="s">
        <v>39</v>
      </c>
      <c r="B26" s="10">
        <v>1377.17</v>
      </c>
      <c r="C26" s="10">
        <v>1348.41</v>
      </c>
      <c r="D26" s="10">
        <v>1847.93</v>
      </c>
      <c r="E26" s="10">
        <v>2450.73</v>
      </c>
      <c r="F26" s="10">
        <v>2722.66</v>
      </c>
      <c r="G26" s="10">
        <v>2700.23</v>
      </c>
      <c r="H26" s="10">
        <v>2714.75</v>
      </c>
      <c r="I26" s="10">
        <v>2887.99</v>
      </c>
      <c r="J26" s="10">
        <v>3145.3</v>
      </c>
      <c r="K26" s="10">
        <v>4014.95</v>
      </c>
    </row>
    <row r="27" spans="1:11" s="11" customFormat="1" x14ac:dyDescent="0.3">
      <c r="A27" s="11" t="s">
        <v>38</v>
      </c>
      <c r="B27" s="10">
        <v>566.29999999999995</v>
      </c>
      <c r="C27" s="10">
        <v>640.1</v>
      </c>
      <c r="D27" s="10">
        <v>1237.5999999999999</v>
      </c>
      <c r="E27" s="10">
        <v>1777.86</v>
      </c>
      <c r="F27" s="10">
        <v>1991.65</v>
      </c>
      <c r="G27" s="10">
        <v>1485.65</v>
      </c>
      <c r="H27" s="10">
        <v>944.71</v>
      </c>
      <c r="I27" s="10">
        <v>822.72</v>
      </c>
      <c r="J27" s="10">
        <v>968</v>
      </c>
      <c r="K27" s="10">
        <v>1650.54</v>
      </c>
    </row>
    <row r="28" spans="1:11" s="11" customFormat="1" x14ac:dyDescent="0.3">
      <c r="A28" s="11" t="s">
        <v>37</v>
      </c>
      <c r="B28" s="10">
        <v>3421.31</v>
      </c>
      <c r="C28" s="10">
        <v>3872.05</v>
      </c>
      <c r="D28" s="10">
        <v>3301.47</v>
      </c>
      <c r="E28" s="10">
        <v>3468.45</v>
      </c>
      <c r="F28" s="10">
        <v>5182.72</v>
      </c>
      <c r="G28" s="10">
        <v>8000.55</v>
      </c>
      <c r="H28" s="10">
        <v>8524.32</v>
      </c>
      <c r="I28" s="10">
        <v>7416.25</v>
      </c>
      <c r="J28" s="10">
        <v>9422.2199999999993</v>
      </c>
      <c r="K28" s="10">
        <v>7528.13</v>
      </c>
    </row>
    <row r="29" spans="1:11" s="11" customFormat="1" x14ac:dyDescent="0.3">
      <c r="A29" s="11" t="s">
        <v>36</v>
      </c>
      <c r="B29" s="10">
        <v>941.69</v>
      </c>
      <c r="C29" s="10">
        <v>1158.54</v>
      </c>
      <c r="D29" s="10">
        <v>1077.01</v>
      </c>
      <c r="E29" s="10">
        <v>1068.07</v>
      </c>
      <c r="F29" s="10">
        <v>-568.16</v>
      </c>
      <c r="G29" s="10">
        <v>2538.6999999999998</v>
      </c>
      <c r="H29" s="10">
        <v>1190.06</v>
      </c>
      <c r="I29" s="10">
        <v>2342.85</v>
      </c>
      <c r="J29" s="10">
        <v>2418.2600000000002</v>
      </c>
      <c r="K29" s="10">
        <v>1488.49</v>
      </c>
    </row>
    <row r="30" spans="1:11" s="11" customFormat="1" x14ac:dyDescent="0.3">
      <c r="A30" s="11" t="s">
        <v>35</v>
      </c>
      <c r="B30" s="10">
        <v>2478.04</v>
      </c>
      <c r="C30" s="10">
        <v>2714.92</v>
      </c>
      <c r="D30" s="10">
        <v>2222.17</v>
      </c>
      <c r="E30" s="10">
        <v>2403.5100000000002</v>
      </c>
      <c r="F30" s="10">
        <v>5755.26</v>
      </c>
      <c r="G30" s="10">
        <v>5463.1</v>
      </c>
      <c r="H30" s="10">
        <v>7344.31</v>
      </c>
      <c r="I30" s="10">
        <v>5063.96</v>
      </c>
      <c r="J30" s="10">
        <v>7005</v>
      </c>
      <c r="K30" s="10">
        <v>6039.11</v>
      </c>
    </row>
    <row r="31" spans="1:11" s="11" customFormat="1" x14ac:dyDescent="0.3">
      <c r="A31" s="11" t="s">
        <v>44</v>
      </c>
      <c r="B31" s="10">
        <v>260.70999999999998</v>
      </c>
      <c r="C31" s="10">
        <v>274.51</v>
      </c>
      <c r="D31" s="10">
        <v>288.33999999999997</v>
      </c>
      <c r="E31" s="10">
        <v>315.83999999999997</v>
      </c>
      <c r="F31" s="10">
        <v>375.22</v>
      </c>
      <c r="G31" s="10">
        <v>1068</v>
      </c>
      <c r="H31" s="10">
        <v>1096.95</v>
      </c>
      <c r="I31" s="10">
        <v>1097.02</v>
      </c>
      <c r="J31" s="10">
        <v>2020.83</v>
      </c>
      <c r="K31" s="10">
        <v>2283.77</v>
      </c>
    </row>
    <row r="32" spans="1:11" s="11" customFormat="1" x14ac:dyDescent="0.3"/>
    <row r="33" spans="1:11" x14ac:dyDescent="0.3">
      <c r="A33" s="11"/>
    </row>
    <row r="34" spans="1:11" x14ac:dyDescent="0.3">
      <c r="A34" s="11"/>
    </row>
    <row r="35" spans="1:11" x14ac:dyDescent="0.3">
      <c r="A35" s="11"/>
    </row>
    <row r="36" spans="1:11" x14ac:dyDescent="0.3">
      <c r="A36" s="11"/>
    </row>
    <row r="37" spans="1:11" x14ac:dyDescent="0.3">
      <c r="A37" s="11"/>
    </row>
    <row r="38" spans="1:11" x14ac:dyDescent="0.3">
      <c r="A38" s="11"/>
    </row>
    <row r="39" spans="1:11" x14ac:dyDescent="0.3">
      <c r="A39" s="11"/>
    </row>
    <row r="40" spans="1:11" x14ac:dyDescent="0.3">
      <c r="A40" s="9" t="s">
        <v>43</v>
      </c>
    </row>
    <row r="41" spans="1:11" s="12" customFormat="1" x14ac:dyDescent="0.3">
      <c r="A41" s="14" t="s">
        <v>16</v>
      </c>
      <c r="B41" s="13">
        <v>45199</v>
      </c>
      <c r="C41" s="13">
        <v>45291</v>
      </c>
      <c r="D41" s="13">
        <v>45382</v>
      </c>
      <c r="E41" s="13">
        <v>45473</v>
      </c>
      <c r="F41" s="13">
        <v>45565</v>
      </c>
      <c r="G41" s="13">
        <v>45657</v>
      </c>
      <c r="H41" s="13">
        <v>45747</v>
      </c>
      <c r="I41" s="13">
        <v>45838</v>
      </c>
      <c r="J41" s="13">
        <v>45930</v>
      </c>
      <c r="K41" s="13">
        <v>46022</v>
      </c>
    </row>
    <row r="42" spans="1:11" s="11" customFormat="1" x14ac:dyDescent="0.3">
      <c r="A42" s="11" t="s">
        <v>42</v>
      </c>
      <c r="B42" s="10">
        <v>16012.13</v>
      </c>
      <c r="C42" s="10">
        <v>16739.97</v>
      </c>
      <c r="D42" s="10">
        <v>20418.939999999999</v>
      </c>
      <c r="E42" s="10">
        <v>18818.560000000001</v>
      </c>
      <c r="F42" s="10">
        <v>16294.42</v>
      </c>
      <c r="G42" s="10">
        <v>17778.830000000002</v>
      </c>
      <c r="H42" s="10">
        <v>23063.32</v>
      </c>
      <c r="I42" s="10">
        <v>21275.45</v>
      </c>
      <c r="J42" s="10">
        <v>19606.93</v>
      </c>
      <c r="K42" s="10">
        <v>21829.68</v>
      </c>
    </row>
    <row r="43" spans="1:11" s="11" customFormat="1" x14ac:dyDescent="0.3">
      <c r="A43" s="11" t="s">
        <v>41</v>
      </c>
      <c r="B43" s="10">
        <v>13461.24</v>
      </c>
      <c r="C43" s="10">
        <v>13485.4</v>
      </c>
      <c r="D43" s="10">
        <v>16305.02</v>
      </c>
      <c r="E43" s="10">
        <v>15801.46</v>
      </c>
      <c r="F43" s="10">
        <v>14268.68</v>
      </c>
      <c r="G43" s="10">
        <v>14885.35</v>
      </c>
      <c r="H43" s="10">
        <v>18455.650000000001</v>
      </c>
      <c r="I43" s="10">
        <v>16869.419999999998</v>
      </c>
      <c r="J43" s="10">
        <v>16518.27</v>
      </c>
      <c r="K43" s="10">
        <v>17918.91</v>
      </c>
    </row>
    <row r="44" spans="1:11" s="11" customFormat="1" x14ac:dyDescent="0.3">
      <c r="A44" s="11" t="s">
        <v>40</v>
      </c>
      <c r="B44" s="10">
        <v>170.62</v>
      </c>
      <c r="C44" s="10">
        <v>146.24</v>
      </c>
      <c r="D44" s="10">
        <v>72.67</v>
      </c>
      <c r="E44" s="10">
        <v>83.31</v>
      </c>
      <c r="F44" s="10">
        <v>226.22</v>
      </c>
      <c r="G44" s="10">
        <v>247.32</v>
      </c>
      <c r="H44" s="10">
        <v>92.78</v>
      </c>
      <c r="I44" s="10">
        <v>141.85</v>
      </c>
      <c r="J44" s="10">
        <v>174.14</v>
      </c>
      <c r="K44" s="10">
        <v>46.35</v>
      </c>
    </row>
    <row r="45" spans="1:11" s="11" customFormat="1" x14ac:dyDescent="0.3">
      <c r="A45" s="11" t="s">
        <v>39</v>
      </c>
      <c r="B45" s="10">
        <v>797.83</v>
      </c>
      <c r="C45" s="10">
        <v>783.48</v>
      </c>
      <c r="D45" s="10">
        <v>814.92</v>
      </c>
      <c r="E45" s="10">
        <v>917.93</v>
      </c>
      <c r="F45" s="10">
        <v>979.67</v>
      </c>
      <c r="G45" s="10">
        <v>992.78</v>
      </c>
      <c r="H45" s="10">
        <v>1124.57</v>
      </c>
      <c r="I45" s="10">
        <v>1106.78</v>
      </c>
      <c r="J45" s="10">
        <v>1147.68</v>
      </c>
      <c r="K45" s="10">
        <v>1181.9000000000001</v>
      </c>
    </row>
    <row r="46" spans="1:11" s="11" customFormat="1" x14ac:dyDescent="0.3">
      <c r="A46" s="11" t="s">
        <v>38</v>
      </c>
      <c r="B46" s="10">
        <v>233.94</v>
      </c>
      <c r="C46" s="10">
        <v>262.16000000000003</v>
      </c>
      <c r="D46" s="10">
        <v>261.14999999999998</v>
      </c>
      <c r="E46" s="10">
        <v>325.76</v>
      </c>
      <c r="F46" s="10">
        <v>392.99</v>
      </c>
      <c r="G46" s="10">
        <v>456.75</v>
      </c>
      <c r="H46" s="10">
        <v>475.04</v>
      </c>
      <c r="I46" s="10">
        <v>433.3</v>
      </c>
      <c r="J46" s="10">
        <v>459.29</v>
      </c>
      <c r="K46" s="10">
        <v>492.2</v>
      </c>
    </row>
    <row r="47" spans="1:11" s="11" customFormat="1" x14ac:dyDescent="0.3">
      <c r="A47" s="11" t="s">
        <v>37</v>
      </c>
      <c r="B47" s="10">
        <v>1689.74</v>
      </c>
      <c r="C47" s="10">
        <v>2355.17</v>
      </c>
      <c r="D47" s="10">
        <v>3110.52</v>
      </c>
      <c r="E47" s="10">
        <v>1856.72</v>
      </c>
      <c r="F47" s="10">
        <v>879.3</v>
      </c>
      <c r="G47" s="10">
        <v>1691.27</v>
      </c>
      <c r="H47" s="10">
        <v>3100.84</v>
      </c>
      <c r="I47" s="10">
        <v>3007.8</v>
      </c>
      <c r="J47" s="10">
        <v>1655.83</v>
      </c>
      <c r="K47" s="10">
        <v>2283.02</v>
      </c>
    </row>
    <row r="48" spans="1:11" s="11" customFormat="1" x14ac:dyDescent="0.3">
      <c r="A48" s="11" t="s">
        <v>36</v>
      </c>
      <c r="B48" s="10">
        <v>409.36</v>
      </c>
      <c r="C48" s="10">
        <v>580.39</v>
      </c>
      <c r="D48" s="10">
        <v>851.94</v>
      </c>
      <c r="E48" s="10">
        <v>363.27</v>
      </c>
      <c r="F48" s="10">
        <v>171.34</v>
      </c>
      <c r="G48" s="10">
        <v>327.83</v>
      </c>
      <c r="H48" s="10">
        <v>626.04999999999995</v>
      </c>
      <c r="I48" s="10">
        <v>786.89</v>
      </c>
      <c r="J48" s="10">
        <v>417.85</v>
      </c>
      <c r="K48" s="10">
        <v>553.58000000000004</v>
      </c>
    </row>
    <row r="49" spans="1:11" s="11" customFormat="1" x14ac:dyDescent="0.3">
      <c r="A49" s="11" t="s">
        <v>35</v>
      </c>
      <c r="B49" s="10">
        <v>1281.45</v>
      </c>
      <c r="C49" s="10">
        <v>1776.98</v>
      </c>
      <c r="D49" s="10">
        <v>2258.12</v>
      </c>
      <c r="E49" s="10">
        <v>1494.82</v>
      </c>
      <c r="F49" s="10">
        <v>702.82</v>
      </c>
      <c r="G49" s="10">
        <v>1359.43</v>
      </c>
      <c r="H49" s="10">
        <v>2482.04</v>
      </c>
      <c r="I49" s="10">
        <v>2225.9</v>
      </c>
      <c r="J49" s="10">
        <v>1231.58</v>
      </c>
      <c r="K49" s="10">
        <v>1725.4</v>
      </c>
    </row>
    <row r="50" spans="1:11" x14ac:dyDescent="0.3">
      <c r="A50" s="11" t="s">
        <v>34</v>
      </c>
      <c r="B50" s="10">
        <v>2550.89</v>
      </c>
      <c r="C50" s="10">
        <v>3254.57</v>
      </c>
      <c r="D50" s="10">
        <v>4113.92</v>
      </c>
      <c r="E50" s="10">
        <v>3017.1</v>
      </c>
      <c r="F50" s="10">
        <v>2025.74</v>
      </c>
      <c r="G50" s="10">
        <v>2893.48</v>
      </c>
      <c r="H50" s="10">
        <v>4607.67</v>
      </c>
      <c r="I50" s="10">
        <v>4406.03</v>
      </c>
      <c r="J50" s="10">
        <v>3088.66</v>
      </c>
      <c r="K50" s="10">
        <v>3910.77</v>
      </c>
    </row>
    <row r="51" spans="1:11" x14ac:dyDescent="0.3">
      <c r="A51" s="11"/>
    </row>
    <row r="52" spans="1:11" x14ac:dyDescent="0.3">
      <c r="A52" s="11"/>
    </row>
    <row r="53" spans="1:11" x14ac:dyDescent="0.3">
      <c r="A53" s="11"/>
    </row>
    <row r="54" spans="1:11" x14ac:dyDescent="0.3">
      <c r="A54" s="11"/>
    </row>
    <row r="55" spans="1:11" x14ac:dyDescent="0.3">
      <c r="A55" s="9" t="s">
        <v>33</v>
      </c>
    </row>
    <row r="56" spans="1:11" s="12" customFormat="1" x14ac:dyDescent="0.3">
      <c r="A56" s="14" t="s">
        <v>16</v>
      </c>
      <c r="B56" s="13">
        <v>42460</v>
      </c>
      <c r="C56" s="13">
        <v>42825</v>
      </c>
      <c r="D56" s="13">
        <v>43190</v>
      </c>
      <c r="E56" s="13">
        <v>43555</v>
      </c>
      <c r="F56" s="13">
        <v>43921</v>
      </c>
      <c r="G56" s="13">
        <v>44286</v>
      </c>
      <c r="H56" s="13">
        <v>44651</v>
      </c>
      <c r="I56" s="13">
        <v>45016</v>
      </c>
      <c r="J56" s="13">
        <v>45382</v>
      </c>
      <c r="K56" s="13">
        <v>45747</v>
      </c>
    </row>
    <row r="57" spans="1:11" x14ac:dyDescent="0.3">
      <c r="A57" s="11" t="s">
        <v>32</v>
      </c>
      <c r="B57" s="10">
        <v>274.43</v>
      </c>
      <c r="C57" s="10">
        <v>274.51</v>
      </c>
      <c r="D57" s="10">
        <v>274.61</v>
      </c>
      <c r="E57" s="10">
        <v>274.64</v>
      </c>
      <c r="F57" s="10">
        <v>288.63</v>
      </c>
      <c r="G57" s="10">
        <v>288.64999999999998</v>
      </c>
      <c r="H57" s="10">
        <v>288.67</v>
      </c>
      <c r="I57" s="10">
        <v>288.69</v>
      </c>
      <c r="J57" s="10">
        <v>288.69</v>
      </c>
      <c r="K57" s="10">
        <v>294.68</v>
      </c>
    </row>
    <row r="58" spans="1:11" x14ac:dyDescent="0.3">
      <c r="A58" s="11" t="s">
        <v>31</v>
      </c>
      <c r="B58" s="10">
        <v>21671.200000000001</v>
      </c>
      <c r="C58" s="10">
        <v>24117.38</v>
      </c>
      <c r="D58" s="10">
        <v>26106.55</v>
      </c>
      <c r="E58" s="10">
        <v>33476.01</v>
      </c>
      <c r="F58" s="10">
        <v>38755.129999999997</v>
      </c>
      <c r="G58" s="10">
        <v>43886.03</v>
      </c>
      <c r="H58" s="10">
        <v>50146.6</v>
      </c>
      <c r="I58" s="10">
        <v>54035.85</v>
      </c>
      <c r="J58" s="10">
        <v>59938.79</v>
      </c>
      <c r="K58" s="10">
        <v>70412.09</v>
      </c>
    </row>
    <row r="59" spans="1:11" x14ac:dyDescent="0.3">
      <c r="A59" s="11" t="s">
        <v>30</v>
      </c>
      <c r="B59" s="10">
        <v>10615.99</v>
      </c>
      <c r="C59" s="10">
        <v>8474.49</v>
      </c>
      <c r="D59" s="10">
        <v>19480.22</v>
      </c>
      <c r="E59" s="10">
        <v>25337</v>
      </c>
      <c r="F59" s="10">
        <v>23018.959999999999</v>
      </c>
      <c r="G59" s="10">
        <v>21719.39</v>
      </c>
      <c r="H59" s="10">
        <v>11298.8</v>
      </c>
      <c r="I59" s="10">
        <v>11057.74</v>
      </c>
      <c r="J59" s="10">
        <v>11402.95</v>
      </c>
      <c r="K59" s="10">
        <v>24102.18</v>
      </c>
    </row>
    <row r="60" spans="1:11" x14ac:dyDescent="0.3">
      <c r="A60" s="11" t="s">
        <v>29</v>
      </c>
      <c r="B60" s="10">
        <v>8631.49</v>
      </c>
      <c r="C60" s="10">
        <v>9342.73</v>
      </c>
      <c r="D60" s="10">
        <v>11279.71</v>
      </c>
      <c r="E60" s="10">
        <v>17437.72</v>
      </c>
      <c r="F60" s="10">
        <v>17151.09</v>
      </c>
      <c r="G60" s="10">
        <v>20282.28</v>
      </c>
      <c r="H60" s="10">
        <v>22077.37</v>
      </c>
      <c r="I60" s="10">
        <v>25998.12</v>
      </c>
      <c r="J60" s="10">
        <v>29166.68</v>
      </c>
      <c r="K60" s="10">
        <v>38823.11</v>
      </c>
    </row>
    <row r="61" spans="1:11" s="9" customFormat="1" x14ac:dyDescent="0.3">
      <c r="A61" s="9" t="s">
        <v>24</v>
      </c>
      <c r="B61" s="10">
        <v>41193.11</v>
      </c>
      <c r="C61" s="10">
        <v>42209.11</v>
      </c>
      <c r="D61" s="10">
        <v>57141.09</v>
      </c>
      <c r="E61" s="10">
        <v>76525.37</v>
      </c>
      <c r="F61" s="10">
        <v>79213.81</v>
      </c>
      <c r="G61" s="10">
        <v>86176.35</v>
      </c>
      <c r="H61" s="10">
        <v>83811.44</v>
      </c>
      <c r="I61" s="10">
        <v>91380.4</v>
      </c>
      <c r="J61" s="10">
        <v>100797.11</v>
      </c>
      <c r="K61" s="10">
        <v>133632.06</v>
      </c>
    </row>
    <row r="62" spans="1:11" x14ac:dyDescent="0.3">
      <c r="A62" s="11" t="s">
        <v>28</v>
      </c>
      <c r="B62" s="10">
        <v>25309.42</v>
      </c>
      <c r="C62" s="10">
        <v>25903.75</v>
      </c>
      <c r="D62" s="10">
        <v>39715.300000000003</v>
      </c>
      <c r="E62" s="10">
        <v>56644.62</v>
      </c>
      <c r="F62" s="10">
        <v>57150.96</v>
      </c>
      <c r="G62" s="10">
        <v>55411.61</v>
      </c>
      <c r="H62" s="10">
        <v>55487.57</v>
      </c>
      <c r="I62" s="10">
        <v>59579</v>
      </c>
      <c r="J62" s="10">
        <v>62877.61</v>
      </c>
      <c r="K62" s="10">
        <v>94564.22</v>
      </c>
    </row>
    <row r="63" spans="1:11" x14ac:dyDescent="0.3">
      <c r="A63" s="11" t="s">
        <v>27</v>
      </c>
      <c r="B63" s="10">
        <v>1469.09</v>
      </c>
      <c r="C63" s="10">
        <v>921.48</v>
      </c>
      <c r="D63" s="10">
        <v>1511.21</v>
      </c>
      <c r="E63" s="10">
        <v>1153.32</v>
      </c>
      <c r="F63" s="10">
        <v>919.59</v>
      </c>
      <c r="G63" s="10">
        <v>1686.68</v>
      </c>
      <c r="H63" s="10">
        <v>4784.67</v>
      </c>
      <c r="I63" s="10">
        <v>4040.39</v>
      </c>
      <c r="J63" s="10">
        <v>6811.18</v>
      </c>
      <c r="K63" s="10">
        <v>6234.19</v>
      </c>
    </row>
    <row r="64" spans="1:11" x14ac:dyDescent="0.3">
      <c r="A64" s="11" t="s">
        <v>26</v>
      </c>
      <c r="B64" s="10">
        <v>5095.18</v>
      </c>
      <c r="C64" s="10">
        <v>6690.51</v>
      </c>
      <c r="D64" s="10">
        <v>5446.9</v>
      </c>
      <c r="E64" s="10">
        <v>2921.33</v>
      </c>
      <c r="F64" s="10">
        <v>5928.69</v>
      </c>
      <c r="G64" s="10">
        <v>12178.11</v>
      </c>
      <c r="H64" s="10">
        <v>6335.77</v>
      </c>
      <c r="I64" s="10">
        <v>7296.95</v>
      </c>
      <c r="J64" s="10">
        <v>8248.9500000000007</v>
      </c>
      <c r="K64" s="10">
        <v>5156.47</v>
      </c>
    </row>
    <row r="65" spans="1:11" x14ac:dyDescent="0.3">
      <c r="A65" s="11" t="s">
        <v>25</v>
      </c>
      <c r="B65" s="10">
        <v>9319.42</v>
      </c>
      <c r="C65" s="10">
        <v>8693.3700000000008</v>
      </c>
      <c r="D65" s="10">
        <v>10467.68</v>
      </c>
      <c r="E65" s="10">
        <v>15806.1</v>
      </c>
      <c r="F65" s="10">
        <v>15214.57</v>
      </c>
      <c r="G65" s="10">
        <v>16899.95</v>
      </c>
      <c r="H65" s="10">
        <v>17203.43</v>
      </c>
      <c r="I65" s="10">
        <v>20464.060000000001</v>
      </c>
      <c r="J65" s="10">
        <v>22859.37</v>
      </c>
      <c r="K65" s="10">
        <v>27677.18</v>
      </c>
    </row>
    <row r="66" spans="1:11" s="9" customFormat="1" x14ac:dyDescent="0.3">
      <c r="A66" s="9" t="s">
        <v>24</v>
      </c>
      <c r="B66" s="10">
        <v>41193.11</v>
      </c>
      <c r="C66" s="10">
        <v>42209.11</v>
      </c>
      <c r="D66" s="10">
        <v>57141.09</v>
      </c>
      <c r="E66" s="10">
        <v>76525.37</v>
      </c>
      <c r="F66" s="10">
        <v>79213.81</v>
      </c>
      <c r="G66" s="10">
        <v>86176.35</v>
      </c>
      <c r="H66" s="10">
        <v>83811.44</v>
      </c>
      <c r="I66" s="10">
        <v>91380.4</v>
      </c>
      <c r="J66" s="10">
        <v>100797.11</v>
      </c>
      <c r="K66" s="10">
        <v>133632.06</v>
      </c>
    </row>
    <row r="67" spans="1:11" s="11" customFormat="1" x14ac:dyDescent="0.3">
      <c r="A67" s="11" t="s">
        <v>23</v>
      </c>
      <c r="B67" s="10">
        <v>1928.21</v>
      </c>
      <c r="C67" s="10">
        <v>1757.09</v>
      </c>
      <c r="D67" s="10">
        <v>2220.63</v>
      </c>
      <c r="E67" s="10">
        <v>2787.03</v>
      </c>
      <c r="F67" s="10">
        <v>2383.2199999999998</v>
      </c>
      <c r="G67" s="10">
        <v>2571.73</v>
      </c>
      <c r="H67" s="10">
        <v>3071.61</v>
      </c>
      <c r="I67" s="10">
        <v>3867.02</v>
      </c>
      <c r="J67" s="10">
        <v>4278.16</v>
      </c>
      <c r="K67" s="10">
        <v>5890.25</v>
      </c>
    </row>
    <row r="68" spans="1:11" x14ac:dyDescent="0.3">
      <c r="A68" s="11" t="s">
        <v>22</v>
      </c>
      <c r="B68" s="10">
        <v>2454.58</v>
      </c>
      <c r="C68" s="10">
        <v>2400.64</v>
      </c>
      <c r="D68" s="10">
        <v>3267.59</v>
      </c>
      <c r="E68" s="10">
        <v>4098.96</v>
      </c>
      <c r="F68" s="10">
        <v>4183.3500000000004</v>
      </c>
      <c r="G68" s="10">
        <v>4017.97</v>
      </c>
      <c r="H68" s="10">
        <v>5595.58</v>
      </c>
      <c r="I68" s="10">
        <v>6611.83</v>
      </c>
      <c r="J68" s="10">
        <v>8329.74</v>
      </c>
      <c r="K68" s="10">
        <v>9562.98</v>
      </c>
    </row>
    <row r="69" spans="1:11" x14ac:dyDescent="0.3">
      <c r="A69" s="7" t="s">
        <v>21</v>
      </c>
      <c r="B69" s="10">
        <v>2266.96</v>
      </c>
      <c r="C69" s="10">
        <v>2248.7800000000002</v>
      </c>
      <c r="D69" s="10">
        <v>219.07</v>
      </c>
      <c r="E69" s="10">
        <v>739.68</v>
      </c>
      <c r="F69" s="10">
        <v>539.91</v>
      </c>
      <c r="G69" s="10">
        <v>2007.55</v>
      </c>
      <c r="H69" s="10">
        <v>359.18</v>
      </c>
      <c r="I69" s="10">
        <v>1149.5899999999999</v>
      </c>
      <c r="J69" s="10">
        <v>783.21</v>
      </c>
      <c r="K69" s="10">
        <v>1673.32</v>
      </c>
    </row>
    <row r="70" spans="1:11" x14ac:dyDescent="0.3">
      <c r="A70" s="7" t="s">
        <v>20</v>
      </c>
      <c r="B70" s="10">
        <v>274431377</v>
      </c>
      <c r="C70" s="10">
        <v>274507906</v>
      </c>
      <c r="D70" s="10">
        <v>274613985</v>
      </c>
      <c r="E70" s="10">
        <v>274642720</v>
      </c>
      <c r="F70" s="10">
        <v>288625105</v>
      </c>
      <c r="G70" s="10">
        <v>288653398</v>
      </c>
      <c r="H70" s="10">
        <v>288670847</v>
      </c>
      <c r="I70" s="10">
        <v>288686345</v>
      </c>
      <c r="J70" s="10">
        <v>288686345</v>
      </c>
      <c r="K70" s="10">
        <v>294677410</v>
      </c>
    </row>
    <row r="71" spans="1:11" x14ac:dyDescent="0.3">
      <c r="A71" s="7" t="s">
        <v>19</v>
      </c>
    </row>
    <row r="72" spans="1:11" x14ac:dyDescent="0.3">
      <c r="A72" s="7" t="s">
        <v>18</v>
      </c>
      <c r="B72" s="10">
        <v>10</v>
      </c>
      <c r="C72" s="10">
        <v>10</v>
      </c>
      <c r="D72" s="10">
        <v>10</v>
      </c>
      <c r="E72" s="10">
        <v>10</v>
      </c>
      <c r="F72" s="10">
        <v>10</v>
      </c>
      <c r="G72" s="10">
        <v>10</v>
      </c>
      <c r="H72" s="10">
        <v>10</v>
      </c>
      <c r="I72" s="10">
        <v>10</v>
      </c>
      <c r="J72" s="10">
        <v>10</v>
      </c>
      <c r="K72" s="10">
        <v>10</v>
      </c>
    </row>
    <row r="74" spans="1:11" x14ac:dyDescent="0.3">
      <c r="A74" s="11"/>
    </row>
    <row r="75" spans="1:11" x14ac:dyDescent="0.3">
      <c r="A75" s="11"/>
    </row>
    <row r="76" spans="1:11" x14ac:dyDescent="0.3">
      <c r="A76" s="11"/>
    </row>
    <row r="77" spans="1:11" x14ac:dyDescent="0.3">
      <c r="A77" s="11"/>
    </row>
    <row r="78" spans="1:11" x14ac:dyDescent="0.3">
      <c r="A78" s="11"/>
    </row>
    <row r="79" spans="1:11" x14ac:dyDescent="0.3">
      <c r="A79" s="11"/>
    </row>
    <row r="80" spans="1:11" x14ac:dyDescent="0.3">
      <c r="A80" s="9" t="s">
        <v>17</v>
      </c>
    </row>
    <row r="81" spans="1:14" s="12" customFormat="1" x14ac:dyDescent="0.3">
      <c r="A81" s="14" t="s">
        <v>16</v>
      </c>
      <c r="B81" s="13">
        <v>42460</v>
      </c>
      <c r="C81" s="13">
        <v>42825</v>
      </c>
      <c r="D81" s="13">
        <v>43190</v>
      </c>
      <c r="E81" s="13">
        <v>43555</v>
      </c>
      <c r="F81" s="13">
        <v>43921</v>
      </c>
      <c r="G81" s="13">
        <v>44286</v>
      </c>
      <c r="H81" s="13">
        <v>44651</v>
      </c>
      <c r="I81" s="13">
        <v>45016</v>
      </c>
      <c r="J81" s="13">
        <v>45382</v>
      </c>
      <c r="K81" s="13">
        <v>45747</v>
      </c>
    </row>
    <row r="82" spans="1:14" s="9" customFormat="1" x14ac:dyDescent="0.3">
      <c r="A82" s="11" t="s">
        <v>15</v>
      </c>
      <c r="B82" s="10">
        <v>4525.51</v>
      </c>
      <c r="C82" s="10">
        <v>5005.0200000000004</v>
      </c>
      <c r="D82" s="10">
        <v>3887.72</v>
      </c>
      <c r="E82" s="10">
        <v>5956.11</v>
      </c>
      <c r="F82" s="10">
        <v>8972.43</v>
      </c>
      <c r="G82" s="10">
        <v>12500.43</v>
      </c>
      <c r="H82" s="10">
        <v>9283.24</v>
      </c>
      <c r="I82" s="10">
        <v>9068.51</v>
      </c>
      <c r="J82" s="10">
        <v>10897.54</v>
      </c>
      <c r="K82" s="10">
        <v>10673.43</v>
      </c>
    </row>
    <row r="83" spans="1:14" s="11" customFormat="1" x14ac:dyDescent="0.3">
      <c r="A83" s="11" t="s">
        <v>14</v>
      </c>
      <c r="B83" s="10">
        <v>-3673.35</v>
      </c>
      <c r="C83" s="10">
        <v>-2501.44</v>
      </c>
      <c r="D83" s="10">
        <v>1865.72</v>
      </c>
      <c r="E83" s="10">
        <v>1165.18</v>
      </c>
      <c r="F83" s="10">
        <v>-4191.95</v>
      </c>
      <c r="G83" s="10">
        <v>-8856.15</v>
      </c>
      <c r="H83" s="10">
        <v>2256.54</v>
      </c>
      <c r="I83" s="10">
        <v>-7187.68</v>
      </c>
      <c r="J83" s="10">
        <v>-8788.68</v>
      </c>
      <c r="K83" s="10">
        <v>-15835.56</v>
      </c>
    </row>
    <row r="84" spans="1:14" s="11" customFormat="1" x14ac:dyDescent="0.3">
      <c r="A84" s="11" t="s">
        <v>13</v>
      </c>
      <c r="B84" s="10">
        <v>-844.02</v>
      </c>
      <c r="C84" s="10">
        <v>-2534.98</v>
      </c>
      <c r="D84" s="10">
        <v>-5735.05</v>
      </c>
      <c r="E84" s="10">
        <v>-6757.24</v>
      </c>
      <c r="F84" s="10">
        <v>-5075.88</v>
      </c>
      <c r="G84" s="10">
        <v>-4356.47</v>
      </c>
      <c r="H84" s="10">
        <v>-12497.93</v>
      </c>
      <c r="I84" s="10">
        <v>-1631</v>
      </c>
      <c r="J84" s="10">
        <v>-1925.65</v>
      </c>
      <c r="K84" s="10">
        <v>5075.76</v>
      </c>
    </row>
    <row r="85" spans="1:14" s="9" customFormat="1" x14ac:dyDescent="0.3">
      <c r="A85" s="11" t="s">
        <v>12</v>
      </c>
      <c r="B85" s="10">
        <v>8.14</v>
      </c>
      <c r="C85" s="10">
        <v>-31.4</v>
      </c>
      <c r="D85" s="10">
        <v>18.39</v>
      </c>
      <c r="E85" s="10">
        <v>364.05</v>
      </c>
      <c r="F85" s="10">
        <v>-295.39999999999998</v>
      </c>
      <c r="G85" s="10">
        <v>-712.19</v>
      </c>
      <c r="H85" s="10">
        <v>-958.15</v>
      </c>
      <c r="I85" s="10">
        <v>249.83</v>
      </c>
      <c r="J85" s="10">
        <v>183.21</v>
      </c>
      <c r="K85" s="10">
        <v>-86.37</v>
      </c>
    </row>
    <row r="86" spans="1:14" x14ac:dyDescent="0.3">
      <c r="A86" s="11"/>
    </row>
    <row r="87" spans="1:14" x14ac:dyDescent="0.3">
      <c r="A87" s="11"/>
    </row>
    <row r="88" spans="1:14" x14ac:dyDescent="0.3">
      <c r="A88" s="11"/>
    </row>
    <row r="89" spans="1:14" x14ac:dyDescent="0.3">
      <c r="A89" s="11"/>
    </row>
    <row r="90" spans="1:14" s="9" customFormat="1" x14ac:dyDescent="0.3">
      <c r="A90" s="9" t="s">
        <v>11</v>
      </c>
      <c r="B90" s="10">
        <v>3228.75</v>
      </c>
      <c r="C90" s="10">
        <v>3984.75</v>
      </c>
      <c r="D90" s="10">
        <v>3950</v>
      </c>
      <c r="E90" s="10">
        <v>3998.35</v>
      </c>
      <c r="F90" s="10">
        <v>3244.85</v>
      </c>
      <c r="G90" s="10">
        <v>6737.95</v>
      </c>
      <c r="H90" s="10">
        <v>6602.3</v>
      </c>
      <c r="I90" s="10">
        <v>7622.15</v>
      </c>
      <c r="J90" s="10">
        <v>9749.15</v>
      </c>
      <c r="K90" s="10">
        <v>11509.55</v>
      </c>
    </row>
    <row r="92" spans="1:14" s="9" customFormat="1" x14ac:dyDescent="0.3">
      <c r="A92" s="9" t="s">
        <v>10</v>
      </c>
    </row>
    <row r="93" spans="1:14" x14ac:dyDescent="0.3">
      <c r="A93" s="7" t="s">
        <v>9</v>
      </c>
      <c r="B93" s="8">
        <v>27.44</v>
      </c>
      <c r="C93" s="8">
        <v>27.45</v>
      </c>
      <c r="D93" s="8">
        <v>27.46</v>
      </c>
      <c r="E93" s="8">
        <v>27.46</v>
      </c>
      <c r="F93" s="8">
        <v>28.86</v>
      </c>
      <c r="G93" s="8">
        <v>28.87</v>
      </c>
      <c r="H93" s="8">
        <v>28.87</v>
      </c>
      <c r="I93" s="8">
        <v>28.87</v>
      </c>
      <c r="J93" s="8">
        <v>28.87</v>
      </c>
      <c r="K93" s="8">
        <v>29.47</v>
      </c>
    </row>
    <row r="95" spans="1:14" x14ac:dyDescent="0.3">
      <c r="B95" s="262">
        <v>41699</v>
      </c>
      <c r="C95" s="262">
        <v>42064</v>
      </c>
      <c r="D95" s="262">
        <v>42430</v>
      </c>
      <c r="E95" s="262">
        <v>42795</v>
      </c>
      <c r="F95" s="262">
        <v>43160</v>
      </c>
      <c r="G95" s="262">
        <v>43525</v>
      </c>
      <c r="H95" s="262">
        <v>43891</v>
      </c>
      <c r="I95" s="262">
        <v>44256</v>
      </c>
      <c r="J95" s="262">
        <v>44621</v>
      </c>
      <c r="K95" s="262">
        <v>44986</v>
      </c>
      <c r="L95" s="262">
        <v>45352</v>
      </c>
      <c r="M95" s="262">
        <v>45717</v>
      </c>
      <c r="N95" s="262">
        <v>45901</v>
      </c>
    </row>
    <row r="96" spans="1:14" x14ac:dyDescent="0.3">
      <c r="A96" s="7" t="s">
        <v>322</v>
      </c>
      <c r="B96" s="7">
        <v>274</v>
      </c>
      <c r="C96" s="7">
        <v>274</v>
      </c>
      <c r="D96" s="7">
        <v>274</v>
      </c>
      <c r="E96" s="7">
        <v>275</v>
      </c>
      <c r="F96" s="7">
        <v>275</v>
      </c>
      <c r="G96" s="7">
        <v>275</v>
      </c>
      <c r="H96" s="7">
        <v>289</v>
      </c>
      <c r="I96" s="7">
        <v>289</v>
      </c>
      <c r="J96" s="7">
        <v>289</v>
      </c>
      <c r="K96" s="7">
        <v>289</v>
      </c>
      <c r="L96" s="7">
        <v>289</v>
      </c>
      <c r="M96" s="7">
        <v>295</v>
      </c>
      <c r="N96" s="7">
        <v>295</v>
      </c>
    </row>
    <row r="97" spans="1:14" x14ac:dyDescent="0.3">
      <c r="A97" s="7" t="s">
        <v>31</v>
      </c>
      <c r="B97" s="7">
        <v>16908</v>
      </c>
      <c r="C97" s="7">
        <v>18767</v>
      </c>
      <c r="D97" s="7">
        <v>21671</v>
      </c>
      <c r="E97" s="7">
        <v>24117</v>
      </c>
      <c r="F97" s="7">
        <v>26107</v>
      </c>
      <c r="G97" s="7">
        <v>33476</v>
      </c>
      <c r="H97" s="7">
        <v>38755</v>
      </c>
      <c r="I97" s="7">
        <v>43886</v>
      </c>
      <c r="J97" s="7">
        <v>50147</v>
      </c>
      <c r="K97" s="7">
        <v>54036</v>
      </c>
      <c r="L97" s="7">
        <v>59939</v>
      </c>
      <c r="M97" s="7">
        <v>70412</v>
      </c>
      <c r="N97" s="7">
        <v>71738</v>
      </c>
    </row>
    <row r="98" spans="1:14" x14ac:dyDescent="0.3">
      <c r="A98" s="7" t="s">
        <v>323</v>
      </c>
      <c r="B98" s="7">
        <v>7332</v>
      </c>
      <c r="C98" s="7">
        <v>9829</v>
      </c>
      <c r="D98" s="7">
        <v>10616</v>
      </c>
      <c r="E98" s="7">
        <v>8474</v>
      </c>
      <c r="F98" s="7">
        <v>19480</v>
      </c>
      <c r="G98" s="7">
        <v>25337</v>
      </c>
      <c r="H98" s="7">
        <v>23019</v>
      </c>
      <c r="I98" s="7">
        <v>21719</v>
      </c>
      <c r="J98" s="7">
        <v>11299</v>
      </c>
      <c r="K98" s="7">
        <v>11058</v>
      </c>
      <c r="L98" s="7">
        <v>11403</v>
      </c>
      <c r="M98" s="7">
        <v>24102</v>
      </c>
      <c r="N98" s="7">
        <v>25215</v>
      </c>
    </row>
    <row r="99" spans="1:14" x14ac:dyDescent="0.3">
      <c r="A99" s="7" t="s">
        <v>324</v>
      </c>
      <c r="B99" s="7">
        <v>6021</v>
      </c>
      <c r="C99" s="7">
        <v>4993</v>
      </c>
      <c r="D99" s="7">
        <v>4897</v>
      </c>
      <c r="E99" s="7">
        <v>6371</v>
      </c>
      <c r="F99" s="7">
        <v>15863</v>
      </c>
      <c r="G99" s="7">
        <v>20650</v>
      </c>
      <c r="H99" s="7">
        <v>17368</v>
      </c>
      <c r="I99" s="7">
        <v>13548</v>
      </c>
      <c r="J99" s="7">
        <v>5303</v>
      </c>
      <c r="K99" s="7">
        <v>5356</v>
      </c>
      <c r="L99" s="7">
        <v>5308</v>
      </c>
      <c r="M99" s="7">
        <v>15781</v>
      </c>
      <c r="N99" s="7">
        <v>14790</v>
      </c>
    </row>
    <row r="100" spans="1:14" x14ac:dyDescent="0.3">
      <c r="A100" s="7" t="s">
        <v>325</v>
      </c>
      <c r="B100" s="7">
        <v>985</v>
      </c>
      <c r="C100" s="7">
        <v>2564</v>
      </c>
      <c r="D100" s="7">
        <v>2476</v>
      </c>
      <c r="E100" s="7">
        <v>1079</v>
      </c>
      <c r="F100" s="7">
        <v>2763</v>
      </c>
      <c r="G100" s="7">
        <v>3668</v>
      </c>
      <c r="H100" s="7">
        <v>4106</v>
      </c>
      <c r="I100" s="7">
        <v>6939</v>
      </c>
      <c r="J100" s="7">
        <v>4900</v>
      </c>
      <c r="K100" s="7">
        <v>4544</v>
      </c>
      <c r="L100" s="7">
        <v>4991</v>
      </c>
      <c r="M100" s="7">
        <v>7250</v>
      </c>
      <c r="N100" s="7">
        <v>9455</v>
      </c>
    </row>
    <row r="101" spans="1:14" x14ac:dyDescent="0.3">
      <c r="A101" s="7" t="s">
        <v>326</v>
      </c>
      <c r="B101" s="7">
        <v>0</v>
      </c>
      <c r="C101" s="7">
        <v>0</v>
      </c>
      <c r="D101" s="7">
        <v>0</v>
      </c>
      <c r="E101" s="7">
        <v>0</v>
      </c>
      <c r="F101" s="7">
        <v>0</v>
      </c>
      <c r="G101" s="7">
        <v>0</v>
      </c>
      <c r="H101" s="7">
        <v>0</v>
      </c>
      <c r="I101" s="7">
        <v>1232</v>
      </c>
      <c r="J101" s="7">
        <v>1096</v>
      </c>
      <c r="K101" s="7">
        <v>1157</v>
      </c>
      <c r="L101" s="7">
        <v>1105</v>
      </c>
      <c r="M101" s="7">
        <v>1071</v>
      </c>
      <c r="N101" s="7">
        <v>969</v>
      </c>
    </row>
    <row r="102" spans="1:14" x14ac:dyDescent="0.3">
      <c r="A102" s="7" t="s">
        <v>327</v>
      </c>
      <c r="B102" s="7">
        <v>327</v>
      </c>
      <c r="C102" s="7">
        <v>2273</v>
      </c>
      <c r="D102" s="7">
        <v>3244</v>
      </c>
      <c r="E102" s="7">
        <v>1024</v>
      </c>
      <c r="F102" s="7">
        <v>853</v>
      </c>
      <c r="G102" s="7">
        <v>1018</v>
      </c>
      <c r="H102" s="7">
        <v>1545</v>
      </c>
      <c r="I102" s="7">
        <v>0</v>
      </c>
      <c r="J102" s="7">
        <v>0</v>
      </c>
      <c r="K102" s="7">
        <v>0</v>
      </c>
      <c r="L102" s="7">
        <v>0</v>
      </c>
      <c r="M102" s="7">
        <v>0</v>
      </c>
    </row>
    <row r="103" spans="1:14" x14ac:dyDescent="0.3">
      <c r="A103" s="7" t="s">
        <v>328</v>
      </c>
      <c r="B103" s="7">
        <v>7671</v>
      </c>
      <c r="C103" s="7">
        <v>9183</v>
      </c>
      <c r="D103" s="7">
        <v>8631</v>
      </c>
      <c r="E103" s="7">
        <v>9343</v>
      </c>
      <c r="F103" s="7">
        <v>11280</v>
      </c>
      <c r="G103" s="7">
        <v>17438</v>
      </c>
      <c r="H103" s="7">
        <v>17151</v>
      </c>
      <c r="I103" s="7">
        <v>20282</v>
      </c>
      <c r="J103" s="7">
        <v>22077</v>
      </c>
      <c r="K103" s="7">
        <v>25998</v>
      </c>
      <c r="L103" s="7">
        <v>29167</v>
      </c>
      <c r="M103" s="7">
        <v>38823</v>
      </c>
      <c r="N103" s="7">
        <v>40058</v>
      </c>
    </row>
    <row r="104" spans="1:14" x14ac:dyDescent="0.3">
      <c r="A104" s="7" t="s">
        <v>329</v>
      </c>
      <c r="B104" s="7">
        <v>17</v>
      </c>
      <c r="C104" s="7">
        <v>18</v>
      </c>
      <c r="D104" s="7">
        <v>15</v>
      </c>
      <c r="E104" s="7">
        <v>10</v>
      </c>
      <c r="F104" s="7">
        <v>16</v>
      </c>
      <c r="G104" s="7">
        <v>12</v>
      </c>
      <c r="H104" s="7">
        <v>8</v>
      </c>
      <c r="I104" s="7">
        <v>6</v>
      </c>
      <c r="J104" s="7">
        <v>-3</v>
      </c>
      <c r="K104" s="7">
        <v>56</v>
      </c>
      <c r="L104" s="7">
        <v>56</v>
      </c>
      <c r="M104" s="7">
        <v>3187</v>
      </c>
      <c r="N104" s="7">
        <v>3934</v>
      </c>
    </row>
    <row r="105" spans="1:14" x14ac:dyDescent="0.3">
      <c r="A105" s="7" t="s">
        <v>229</v>
      </c>
      <c r="B105" s="7">
        <v>2591</v>
      </c>
      <c r="C105" s="7">
        <v>1711</v>
      </c>
      <c r="D105" s="7">
        <v>1717</v>
      </c>
      <c r="E105" s="7">
        <v>1849</v>
      </c>
      <c r="F105" s="7">
        <v>2385</v>
      </c>
      <c r="G105" s="7">
        <v>3160</v>
      </c>
      <c r="H105" s="7">
        <v>3363</v>
      </c>
      <c r="I105" s="7">
        <v>4548</v>
      </c>
      <c r="J105" s="7">
        <v>5863</v>
      </c>
      <c r="K105" s="7">
        <v>7209</v>
      </c>
      <c r="L105" s="7">
        <v>8478</v>
      </c>
      <c r="M105" s="7">
        <v>9327</v>
      </c>
      <c r="N105" s="7">
        <v>9711</v>
      </c>
    </row>
    <row r="106" spans="1:14" x14ac:dyDescent="0.3">
      <c r="A106" s="7" t="s">
        <v>230</v>
      </c>
      <c r="B106" s="7">
        <v>0</v>
      </c>
      <c r="C106" s="7">
        <v>0</v>
      </c>
      <c r="D106" s="7">
        <v>166</v>
      </c>
      <c r="E106" s="7">
        <v>196</v>
      </c>
      <c r="F106" s="7">
        <v>305</v>
      </c>
      <c r="G106" s="7">
        <v>357</v>
      </c>
      <c r="H106" s="7">
        <v>464</v>
      </c>
      <c r="I106" s="7">
        <v>415</v>
      </c>
      <c r="J106" s="7">
        <v>465</v>
      </c>
      <c r="K106" s="7">
        <v>384</v>
      </c>
      <c r="L106" s="7">
        <v>527</v>
      </c>
      <c r="M106" s="7">
        <v>541</v>
      </c>
    </row>
    <row r="107" spans="1:14" x14ac:dyDescent="0.3">
      <c r="A107" s="7" t="s">
        <v>330</v>
      </c>
      <c r="B107" s="7">
        <v>5063</v>
      </c>
      <c r="C107" s="7">
        <v>7454</v>
      </c>
      <c r="D107" s="7">
        <v>6733</v>
      </c>
      <c r="E107" s="7">
        <v>7288</v>
      </c>
      <c r="F107" s="7">
        <v>8574</v>
      </c>
      <c r="G107" s="7">
        <v>13909</v>
      </c>
      <c r="H107" s="7">
        <v>13316</v>
      </c>
      <c r="I107" s="7">
        <v>15313</v>
      </c>
      <c r="J107" s="7">
        <v>15753</v>
      </c>
      <c r="K107" s="7">
        <v>18349</v>
      </c>
      <c r="L107" s="7">
        <v>20106</v>
      </c>
      <c r="M107" s="7">
        <v>25768</v>
      </c>
      <c r="N107" s="7">
        <v>26412</v>
      </c>
    </row>
    <row r="108" spans="1:14" x14ac:dyDescent="0.3">
      <c r="A108" s="7" t="s">
        <v>331</v>
      </c>
      <c r="B108" s="7">
        <v>32185</v>
      </c>
      <c r="C108" s="7">
        <v>38053</v>
      </c>
      <c r="D108" s="7">
        <v>41193</v>
      </c>
      <c r="E108" s="7">
        <v>42209</v>
      </c>
      <c r="F108" s="7">
        <v>57141</v>
      </c>
      <c r="G108" s="7">
        <v>76525</v>
      </c>
      <c r="H108" s="7">
        <v>79214</v>
      </c>
      <c r="I108" s="7">
        <v>86176</v>
      </c>
      <c r="J108" s="7">
        <v>83811</v>
      </c>
      <c r="K108" s="7">
        <v>91380</v>
      </c>
      <c r="L108" s="7">
        <v>100797</v>
      </c>
      <c r="M108" s="7">
        <v>133632</v>
      </c>
      <c r="N108" s="7">
        <v>137305</v>
      </c>
    </row>
    <row r="109" spans="1:14" x14ac:dyDescent="0.3">
      <c r="A109" s="7" t="s">
        <v>332</v>
      </c>
      <c r="B109" s="7">
        <v>18100</v>
      </c>
      <c r="C109" s="7">
        <v>23343</v>
      </c>
      <c r="D109" s="7">
        <v>25309</v>
      </c>
      <c r="E109" s="7">
        <v>25904</v>
      </c>
      <c r="F109" s="7">
        <v>39715</v>
      </c>
      <c r="G109" s="7">
        <v>56645</v>
      </c>
      <c r="H109" s="7">
        <v>57151</v>
      </c>
      <c r="I109" s="7">
        <v>55412</v>
      </c>
      <c r="J109" s="7">
        <v>55488</v>
      </c>
      <c r="K109" s="7">
        <v>59579</v>
      </c>
      <c r="L109" s="7">
        <v>62878</v>
      </c>
      <c r="M109" s="7">
        <v>94564</v>
      </c>
      <c r="N109" s="7">
        <v>95930</v>
      </c>
    </row>
    <row r="110" spans="1:14" x14ac:dyDescent="0.3">
      <c r="A110" s="7" t="s">
        <v>333</v>
      </c>
      <c r="B110" s="7">
        <v>2154</v>
      </c>
      <c r="C110" s="7">
        <v>3311</v>
      </c>
      <c r="D110" s="7">
        <v>3627</v>
      </c>
      <c r="E110" s="7">
        <v>3785</v>
      </c>
      <c r="F110" s="7">
        <v>6361</v>
      </c>
      <c r="G110" s="7">
        <v>7492</v>
      </c>
      <c r="H110" s="7">
        <v>7943</v>
      </c>
      <c r="I110" s="7">
        <v>8085</v>
      </c>
      <c r="J110" s="7">
        <v>8454</v>
      </c>
      <c r="K110" s="7">
        <v>8709</v>
      </c>
      <c r="L110" s="7">
        <v>9259</v>
      </c>
      <c r="M110" s="7">
        <v>19872</v>
      </c>
    </row>
    <row r="111" spans="1:14" x14ac:dyDescent="0.3">
      <c r="A111" s="7" t="s">
        <v>334</v>
      </c>
      <c r="B111" s="7">
        <v>2059</v>
      </c>
      <c r="C111" s="7">
        <v>2792</v>
      </c>
      <c r="D111" s="7">
        <v>2469</v>
      </c>
      <c r="E111" s="7">
        <v>2766</v>
      </c>
      <c r="F111" s="7">
        <v>4346</v>
      </c>
      <c r="G111" s="7">
        <v>5130</v>
      </c>
      <c r="H111" s="7">
        <v>5511</v>
      </c>
      <c r="I111" s="7">
        <v>5606</v>
      </c>
      <c r="J111" s="7">
        <v>5831</v>
      </c>
      <c r="K111" s="7">
        <v>6287</v>
      </c>
      <c r="L111" s="7">
        <v>6772</v>
      </c>
      <c r="M111" s="7">
        <v>9361</v>
      </c>
    </row>
    <row r="112" spans="1:14" x14ac:dyDescent="0.3">
      <c r="A112" s="7" t="s">
        <v>335</v>
      </c>
      <c r="B112" s="7">
        <v>21482</v>
      </c>
      <c r="C112" s="7">
        <v>26327</v>
      </c>
      <c r="D112" s="7">
        <v>18452</v>
      </c>
      <c r="E112" s="7">
        <v>19713</v>
      </c>
      <c r="F112" s="7">
        <v>28048</v>
      </c>
      <c r="G112" s="7">
        <v>36920</v>
      </c>
      <c r="H112" s="7">
        <v>38369</v>
      </c>
      <c r="I112" s="7">
        <v>38655</v>
      </c>
      <c r="J112" s="7">
        <v>40604</v>
      </c>
      <c r="K112" s="7">
        <v>46270</v>
      </c>
      <c r="L112" s="7">
        <v>51343</v>
      </c>
      <c r="M112" s="7">
        <v>67010</v>
      </c>
    </row>
    <row r="113" spans="1:14" x14ac:dyDescent="0.3">
      <c r="A113" s="7" t="s">
        <v>336</v>
      </c>
      <c r="B113" s="7">
        <v>0</v>
      </c>
      <c r="C113" s="7">
        <v>0</v>
      </c>
      <c r="D113" s="7">
        <v>0</v>
      </c>
      <c r="E113" s="7">
        <v>0</v>
      </c>
      <c r="F113" s="7">
        <v>0</v>
      </c>
      <c r="G113" s="7">
        <v>0</v>
      </c>
      <c r="H113" s="7">
        <v>717</v>
      </c>
      <c r="I113" s="7">
        <v>830</v>
      </c>
      <c r="J113" s="7">
        <v>719</v>
      </c>
      <c r="K113" s="7">
        <v>793</v>
      </c>
      <c r="L113" s="7">
        <v>801</v>
      </c>
      <c r="M113" s="7">
        <v>792</v>
      </c>
    </row>
    <row r="114" spans="1:14" x14ac:dyDescent="0.3">
      <c r="A114" s="7" t="s">
        <v>337</v>
      </c>
      <c r="B114" s="7">
        <v>214</v>
      </c>
      <c r="C114" s="7">
        <v>236</v>
      </c>
      <c r="D114" s="7">
        <v>99</v>
      </c>
      <c r="E114" s="7">
        <v>115</v>
      </c>
      <c r="F114" s="7">
        <v>150</v>
      </c>
      <c r="G114" s="7">
        <v>208</v>
      </c>
      <c r="H114" s="7">
        <v>265</v>
      </c>
      <c r="I114" s="7">
        <v>289</v>
      </c>
      <c r="J114" s="7">
        <v>336</v>
      </c>
      <c r="K114" s="7">
        <v>387</v>
      </c>
      <c r="L114" s="7">
        <v>466</v>
      </c>
      <c r="M114" s="7">
        <v>555</v>
      </c>
    </row>
    <row r="115" spans="1:14" x14ac:dyDescent="0.3">
      <c r="A115" s="7" t="s">
        <v>338</v>
      </c>
      <c r="B115" s="7">
        <v>146</v>
      </c>
      <c r="C115" s="7">
        <v>163</v>
      </c>
      <c r="D115" s="7">
        <v>57</v>
      </c>
      <c r="E115" s="7">
        <v>71</v>
      </c>
      <c r="F115" s="7">
        <v>80</v>
      </c>
      <c r="G115" s="7">
        <v>106</v>
      </c>
      <c r="H115" s="7">
        <v>112</v>
      </c>
      <c r="I115" s="7">
        <v>111</v>
      </c>
      <c r="J115" s="7">
        <v>114</v>
      </c>
      <c r="K115" s="7">
        <v>122</v>
      </c>
      <c r="L115" s="7">
        <v>154</v>
      </c>
      <c r="M115" s="7">
        <v>219</v>
      </c>
    </row>
    <row r="116" spans="1:14" x14ac:dyDescent="0.3">
      <c r="A116" s="7" t="s">
        <v>339</v>
      </c>
      <c r="B116" s="7">
        <v>492</v>
      </c>
      <c r="C116" s="7">
        <v>536</v>
      </c>
      <c r="D116" s="7">
        <v>399</v>
      </c>
      <c r="E116" s="7">
        <v>444</v>
      </c>
      <c r="F116" s="7">
        <v>653</v>
      </c>
      <c r="G116" s="7">
        <v>890</v>
      </c>
      <c r="H116" s="7">
        <v>906</v>
      </c>
      <c r="I116" s="7">
        <v>959</v>
      </c>
      <c r="J116" s="7">
        <v>989</v>
      </c>
      <c r="K116" s="7">
        <v>1008</v>
      </c>
      <c r="L116" s="7">
        <v>1088</v>
      </c>
      <c r="M116" s="7">
        <v>1305</v>
      </c>
    </row>
    <row r="117" spans="1:14" x14ac:dyDescent="0.3">
      <c r="A117" s="7" t="s">
        <v>340</v>
      </c>
      <c r="B117" s="7">
        <v>65</v>
      </c>
      <c r="C117" s="7">
        <v>78</v>
      </c>
      <c r="D117" s="7">
        <v>46</v>
      </c>
      <c r="E117" s="7">
        <v>63</v>
      </c>
      <c r="F117" s="7">
        <v>91</v>
      </c>
      <c r="G117" s="7">
        <v>110</v>
      </c>
      <c r="H117" s="7">
        <v>122</v>
      </c>
      <c r="I117" s="7">
        <v>133</v>
      </c>
      <c r="J117" s="7">
        <v>163</v>
      </c>
      <c r="K117" s="7">
        <v>200</v>
      </c>
      <c r="L117" s="7">
        <v>260</v>
      </c>
      <c r="M117" s="7">
        <v>354</v>
      </c>
    </row>
    <row r="118" spans="1:14" x14ac:dyDescent="0.3">
      <c r="A118" s="7" t="s">
        <v>341</v>
      </c>
      <c r="B118" s="7">
        <v>967</v>
      </c>
      <c r="C118" s="7">
        <v>1053</v>
      </c>
      <c r="D118" s="7">
        <v>1287</v>
      </c>
      <c r="E118" s="7">
        <v>1329</v>
      </c>
      <c r="F118" s="7">
        <v>1280</v>
      </c>
      <c r="G118" s="7">
        <v>6626</v>
      </c>
      <c r="H118" s="7">
        <v>6680</v>
      </c>
      <c r="I118" s="7">
        <v>6375</v>
      </c>
      <c r="J118" s="7">
        <v>6405</v>
      </c>
      <c r="K118" s="7">
        <v>6484</v>
      </c>
      <c r="L118" s="7">
        <v>6501</v>
      </c>
      <c r="M118" s="7">
        <v>8108</v>
      </c>
      <c r="N118" s="7">
        <v>17730</v>
      </c>
    </row>
    <row r="119" spans="1:14" x14ac:dyDescent="0.3">
      <c r="A119" s="7" t="s">
        <v>342</v>
      </c>
      <c r="B119" s="7">
        <v>275</v>
      </c>
      <c r="C119" s="7">
        <v>414</v>
      </c>
      <c r="D119" s="7">
        <v>176</v>
      </c>
      <c r="E119" s="7">
        <v>213</v>
      </c>
      <c r="F119" s="7">
        <v>3073</v>
      </c>
      <c r="G119" s="7">
        <v>5899</v>
      </c>
      <c r="H119" s="7">
        <v>5927</v>
      </c>
      <c r="I119" s="7">
        <v>6289</v>
      </c>
      <c r="J119" s="7">
        <v>6387</v>
      </c>
      <c r="K119" s="7">
        <v>6695</v>
      </c>
      <c r="L119" s="7">
        <v>6637</v>
      </c>
      <c r="M119" s="7">
        <v>11055</v>
      </c>
    </row>
    <row r="120" spans="1:14" x14ac:dyDescent="0.3">
      <c r="A120" s="7" t="s">
        <v>343</v>
      </c>
      <c r="B120" s="7">
        <v>27854</v>
      </c>
      <c r="C120" s="7">
        <v>34910</v>
      </c>
      <c r="D120" s="7">
        <v>26611</v>
      </c>
      <c r="E120" s="7">
        <v>28498</v>
      </c>
      <c r="F120" s="7">
        <v>44082</v>
      </c>
      <c r="G120" s="7">
        <v>63382</v>
      </c>
      <c r="H120" s="7">
        <v>66550</v>
      </c>
      <c r="I120" s="7">
        <v>67332</v>
      </c>
      <c r="J120" s="7">
        <v>70002</v>
      </c>
      <c r="K120" s="7">
        <v>76957</v>
      </c>
      <c r="L120" s="7">
        <v>83280</v>
      </c>
      <c r="M120" s="7">
        <v>118631</v>
      </c>
    </row>
    <row r="121" spans="1:14" x14ac:dyDescent="0.3">
      <c r="A121" s="7" t="s">
        <v>344</v>
      </c>
      <c r="B121" s="7">
        <v>9754</v>
      </c>
      <c r="C121" s="7">
        <v>11567</v>
      </c>
      <c r="D121" s="7">
        <v>1302</v>
      </c>
      <c r="E121" s="7">
        <v>2594</v>
      </c>
      <c r="F121" s="7">
        <v>4366</v>
      </c>
      <c r="G121" s="7">
        <v>6737</v>
      </c>
      <c r="H121" s="7">
        <v>9399</v>
      </c>
      <c r="I121" s="7">
        <v>11921</v>
      </c>
      <c r="J121" s="7">
        <v>14514</v>
      </c>
      <c r="K121" s="7">
        <v>17378</v>
      </c>
      <c r="L121" s="7">
        <v>20403</v>
      </c>
      <c r="M121" s="7">
        <v>24067</v>
      </c>
    </row>
    <row r="122" spans="1:14" x14ac:dyDescent="0.3">
      <c r="A122" s="7" t="s">
        <v>345</v>
      </c>
      <c r="B122" s="7">
        <v>2186</v>
      </c>
      <c r="C122" s="7">
        <v>2250</v>
      </c>
      <c r="D122" s="7">
        <v>1469</v>
      </c>
      <c r="E122" s="7">
        <v>921</v>
      </c>
      <c r="F122" s="7">
        <v>1511</v>
      </c>
      <c r="G122" s="7">
        <v>1153</v>
      </c>
      <c r="H122" s="7">
        <v>920</v>
      </c>
      <c r="I122" s="7">
        <v>1687</v>
      </c>
      <c r="J122" s="7">
        <v>4785</v>
      </c>
      <c r="K122" s="7">
        <v>4040</v>
      </c>
      <c r="L122" s="7">
        <v>6811</v>
      </c>
      <c r="M122" s="7">
        <v>6234</v>
      </c>
      <c r="N122" s="7">
        <v>7206</v>
      </c>
    </row>
    <row r="123" spans="1:14" x14ac:dyDescent="0.3">
      <c r="A123" s="7" t="s">
        <v>26</v>
      </c>
      <c r="B123" s="7">
        <v>4862</v>
      </c>
      <c r="C123" s="7">
        <v>4500</v>
      </c>
      <c r="D123" s="7">
        <v>5095</v>
      </c>
      <c r="E123" s="7">
        <v>6691</v>
      </c>
      <c r="F123" s="7">
        <v>5447</v>
      </c>
      <c r="G123" s="7">
        <v>2921</v>
      </c>
      <c r="H123" s="7">
        <v>5929</v>
      </c>
      <c r="I123" s="7">
        <v>12178</v>
      </c>
      <c r="J123" s="7">
        <v>6336</v>
      </c>
      <c r="K123" s="7">
        <v>7297</v>
      </c>
      <c r="L123" s="7">
        <v>8249</v>
      </c>
      <c r="M123" s="7">
        <v>5156</v>
      </c>
      <c r="N123" s="7">
        <v>5098</v>
      </c>
    </row>
    <row r="124" spans="1:14" x14ac:dyDescent="0.3">
      <c r="A124" s="7" t="s">
        <v>346</v>
      </c>
      <c r="B124" s="7">
        <v>7037</v>
      </c>
      <c r="C124" s="7">
        <v>7961</v>
      </c>
      <c r="D124" s="7">
        <v>9319</v>
      </c>
      <c r="E124" s="7">
        <v>8693</v>
      </c>
      <c r="F124" s="7">
        <v>10468</v>
      </c>
      <c r="G124" s="7">
        <v>15806</v>
      </c>
      <c r="H124" s="7">
        <v>15215</v>
      </c>
      <c r="I124" s="7">
        <v>16900</v>
      </c>
      <c r="J124" s="7">
        <v>17203</v>
      </c>
      <c r="K124" s="7">
        <v>20464</v>
      </c>
      <c r="L124" s="7">
        <v>22859</v>
      </c>
      <c r="M124" s="7">
        <v>27677</v>
      </c>
      <c r="N124" s="7">
        <v>29072</v>
      </c>
    </row>
    <row r="125" spans="1:14" x14ac:dyDescent="0.3">
      <c r="A125" s="7" t="s">
        <v>226</v>
      </c>
      <c r="B125" s="7">
        <v>2580</v>
      </c>
      <c r="C125" s="7">
        <v>2949</v>
      </c>
      <c r="D125" s="7">
        <v>2455</v>
      </c>
      <c r="E125" s="7">
        <v>2401</v>
      </c>
      <c r="F125" s="7">
        <v>3268</v>
      </c>
      <c r="G125" s="7">
        <v>4099</v>
      </c>
      <c r="H125" s="7">
        <v>4183</v>
      </c>
      <c r="I125" s="7">
        <v>4018</v>
      </c>
      <c r="J125" s="7">
        <v>5596</v>
      </c>
      <c r="K125" s="7">
        <v>6612</v>
      </c>
      <c r="L125" s="7">
        <v>8330</v>
      </c>
      <c r="M125" s="7">
        <v>9563</v>
      </c>
      <c r="N125" s="7">
        <v>10471</v>
      </c>
    </row>
    <row r="126" spans="1:14" x14ac:dyDescent="0.3">
      <c r="A126" s="7" t="s">
        <v>347</v>
      </c>
      <c r="B126" s="7">
        <v>1632</v>
      </c>
      <c r="C126" s="7">
        <v>1659</v>
      </c>
      <c r="D126" s="7">
        <v>1928</v>
      </c>
      <c r="E126" s="7">
        <v>1757</v>
      </c>
      <c r="F126" s="7">
        <v>2221</v>
      </c>
      <c r="G126" s="7">
        <v>2787</v>
      </c>
      <c r="H126" s="7">
        <v>2383</v>
      </c>
      <c r="I126" s="7">
        <v>2572</v>
      </c>
      <c r="J126" s="7">
        <v>3072</v>
      </c>
      <c r="K126" s="7">
        <v>3867</v>
      </c>
      <c r="L126" s="7">
        <v>4278</v>
      </c>
      <c r="M126" s="7">
        <v>5890</v>
      </c>
      <c r="N126" s="7">
        <v>5818</v>
      </c>
    </row>
    <row r="127" spans="1:14" x14ac:dyDescent="0.3">
      <c r="A127" s="7" t="s">
        <v>348</v>
      </c>
      <c r="B127" s="7">
        <v>348</v>
      </c>
      <c r="C127" s="7">
        <v>371</v>
      </c>
      <c r="D127" s="7">
        <v>2267</v>
      </c>
      <c r="E127" s="7">
        <v>2249</v>
      </c>
      <c r="F127" s="7">
        <v>219</v>
      </c>
      <c r="G127" s="7">
        <v>740</v>
      </c>
      <c r="H127" s="7">
        <v>540</v>
      </c>
      <c r="I127" s="7">
        <v>2008</v>
      </c>
      <c r="J127" s="7">
        <v>359</v>
      </c>
      <c r="K127" s="7">
        <v>1150</v>
      </c>
      <c r="L127" s="7">
        <v>783</v>
      </c>
      <c r="M127" s="7">
        <v>1673</v>
      </c>
      <c r="N127" s="7">
        <v>1288</v>
      </c>
    </row>
    <row r="128" spans="1:14" x14ac:dyDescent="0.3">
      <c r="A128" s="7" t="s">
        <v>349</v>
      </c>
      <c r="B128" s="7">
        <v>145</v>
      </c>
      <c r="C128" s="7">
        <v>2</v>
      </c>
      <c r="D128" s="7">
        <v>377</v>
      </c>
      <c r="E128" s="7">
        <v>519</v>
      </c>
      <c r="F128" s="7">
        <v>544</v>
      </c>
      <c r="G128" s="7">
        <v>750</v>
      </c>
      <c r="H128" s="7">
        <v>796</v>
      </c>
      <c r="I128" s="7">
        <v>660</v>
      </c>
      <c r="J128" s="7">
        <v>873</v>
      </c>
      <c r="K128" s="7">
        <v>951</v>
      </c>
      <c r="L128" s="7">
        <v>985</v>
      </c>
      <c r="M128" s="7">
        <v>1259</v>
      </c>
      <c r="N128" s="7">
        <v>3060</v>
      </c>
    </row>
    <row r="129" spans="1:14" x14ac:dyDescent="0.3">
      <c r="A129" s="7" t="s">
        <v>350</v>
      </c>
      <c r="B129" s="7">
        <v>2331</v>
      </c>
      <c r="C129" s="7">
        <v>2980</v>
      </c>
      <c r="D129" s="7">
        <v>2292</v>
      </c>
      <c r="E129" s="7">
        <v>1768</v>
      </c>
      <c r="F129" s="7">
        <v>4216</v>
      </c>
      <c r="G129" s="7">
        <v>7430</v>
      </c>
      <c r="H129" s="7">
        <v>7312</v>
      </c>
      <c r="I129" s="7">
        <v>7642</v>
      </c>
      <c r="J129" s="7">
        <v>7304</v>
      </c>
      <c r="K129" s="7">
        <v>7885</v>
      </c>
      <c r="L129" s="7">
        <v>8483</v>
      </c>
      <c r="M129" s="7">
        <v>9292</v>
      </c>
      <c r="N129" s="7">
        <v>8435</v>
      </c>
    </row>
    <row r="130" spans="1:14" x14ac:dyDescent="0.3">
      <c r="A130" s="7" t="s">
        <v>78</v>
      </c>
      <c r="B130" s="7">
        <v>32185</v>
      </c>
      <c r="C130" s="7">
        <v>38053</v>
      </c>
      <c r="D130" s="7">
        <v>41193</v>
      </c>
      <c r="E130" s="7">
        <v>42209</v>
      </c>
      <c r="F130" s="7">
        <v>57141</v>
      </c>
      <c r="G130" s="7">
        <v>76525</v>
      </c>
      <c r="H130" s="7">
        <v>79214</v>
      </c>
      <c r="I130" s="7">
        <v>86176</v>
      </c>
      <c r="J130" s="7">
        <v>83811</v>
      </c>
      <c r="K130" s="7">
        <v>91380</v>
      </c>
      <c r="L130" s="7">
        <v>100797</v>
      </c>
      <c r="M130" s="7">
        <v>133632</v>
      </c>
      <c r="N130" s="7">
        <v>137305</v>
      </c>
    </row>
    <row r="133" spans="1:14" x14ac:dyDescent="0.3">
      <c r="B133" s="73">
        <v>44286</v>
      </c>
      <c r="C133" s="73">
        <v>44651</v>
      </c>
      <c r="D133" s="73">
        <v>45016</v>
      </c>
      <c r="E133" s="73">
        <v>45382</v>
      </c>
      <c r="F133" s="76">
        <v>45747</v>
      </c>
    </row>
    <row r="134" spans="1:14" x14ac:dyDescent="0.3">
      <c r="A134" s="281" t="s">
        <v>373</v>
      </c>
    </row>
    <row r="135" spans="1:14" x14ac:dyDescent="0.3">
      <c r="A135" s="7" t="s">
        <v>375</v>
      </c>
      <c r="B135" s="7">
        <v>82.72</v>
      </c>
      <c r="C135" s="7">
        <v>90.36</v>
      </c>
      <c r="D135" s="7">
        <v>103.13</v>
      </c>
      <c r="E135" s="7">
        <v>115.84</v>
      </c>
      <c r="F135" s="7">
        <v>131.63999999999999</v>
      </c>
    </row>
    <row r="136" spans="1:14" x14ac:dyDescent="0.3">
      <c r="A136" s="7" t="s">
        <v>374</v>
      </c>
      <c r="B136" s="7">
        <v>61.08</v>
      </c>
      <c r="C136" s="7">
        <v>67.849999999999994</v>
      </c>
      <c r="D136" s="7">
        <v>74.14</v>
      </c>
      <c r="E136" s="7">
        <v>80.92</v>
      </c>
      <c r="F136" s="7">
        <v>92.48</v>
      </c>
    </row>
    <row r="138" spans="1:14" x14ac:dyDescent="0.3">
      <c r="A138" s="281" t="s">
        <v>376</v>
      </c>
      <c r="B138" s="7">
        <v>85.1</v>
      </c>
      <c r="C138" s="7">
        <v>92.53</v>
      </c>
      <c r="D138" s="7">
        <v>104.09</v>
      </c>
      <c r="E138" s="7">
        <v>117.2</v>
      </c>
      <c r="F138" s="7">
        <v>133.13999999999999</v>
      </c>
    </row>
    <row r="140" spans="1:14" x14ac:dyDescent="0.3">
      <c r="A140" s="281" t="s">
        <v>377</v>
      </c>
      <c r="B140" s="7">
        <v>70702</v>
      </c>
      <c r="C140" s="7">
        <v>66652</v>
      </c>
      <c r="D140" s="7">
        <v>70535</v>
      </c>
      <c r="E140" s="7">
        <v>77025</v>
      </c>
      <c r="F140" s="7">
        <v>106435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F404E7A1-3D0E-4D06-B1FC-7A92D488E773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86D3C-9641-49EB-9ED4-2745425777D0}">
  <dimension ref="B2:L33"/>
  <sheetViews>
    <sheetView workbookViewId="0">
      <selection activeCell="H2" sqref="H2:L2"/>
    </sheetView>
  </sheetViews>
  <sheetFormatPr defaultRowHeight="14.4" x14ac:dyDescent="0.3"/>
  <cols>
    <col min="1" max="1" width="1.88671875" customWidth="1"/>
    <col min="2" max="2" width="25.77734375" bestFit="1" customWidth="1"/>
  </cols>
  <sheetData>
    <row r="2" spans="2:12" s="4" customFormat="1" x14ac:dyDescent="0.3">
      <c r="C2" s="32">
        <v>42430</v>
      </c>
      <c r="D2" s="32">
        <v>42795</v>
      </c>
      <c r="E2" s="32">
        <v>43160</v>
      </c>
      <c r="F2" s="32">
        <v>43525</v>
      </c>
      <c r="G2" s="32">
        <v>43891</v>
      </c>
      <c r="H2" s="32">
        <v>44256</v>
      </c>
      <c r="I2" s="32">
        <v>44621</v>
      </c>
      <c r="J2" s="32">
        <v>44986</v>
      </c>
      <c r="K2" s="32">
        <v>45352</v>
      </c>
      <c r="L2" s="32">
        <v>45717</v>
      </c>
    </row>
    <row r="3" spans="2:12" x14ac:dyDescent="0.3">
      <c r="B3" t="s">
        <v>82</v>
      </c>
      <c r="C3" s="1">
        <v>4526</v>
      </c>
      <c r="D3" s="1">
        <v>5005</v>
      </c>
      <c r="E3" s="1">
        <v>3888</v>
      </c>
      <c r="F3" s="1">
        <v>5956</v>
      </c>
      <c r="G3" s="1">
        <v>8972</v>
      </c>
      <c r="H3" s="1">
        <v>12500</v>
      </c>
      <c r="I3" s="1">
        <v>9283</v>
      </c>
      <c r="J3" s="1">
        <v>9069</v>
      </c>
      <c r="K3" s="1">
        <v>10898</v>
      </c>
      <c r="L3" s="1">
        <v>10673</v>
      </c>
    </row>
    <row r="4" spans="2:12" x14ac:dyDescent="0.3">
      <c r="B4" t="s">
        <v>83</v>
      </c>
      <c r="C4" s="1">
        <v>4948</v>
      </c>
      <c r="D4" s="1">
        <v>5220</v>
      </c>
      <c r="E4" s="1">
        <v>5986</v>
      </c>
      <c r="F4" s="1">
        <v>7362</v>
      </c>
      <c r="G4" s="1">
        <v>9348</v>
      </c>
      <c r="H4" s="1">
        <v>11465</v>
      </c>
      <c r="I4" s="1">
        <v>11311</v>
      </c>
      <c r="J4" s="1">
        <v>10530</v>
      </c>
      <c r="K4" s="1">
        <v>13029</v>
      </c>
      <c r="L4" s="1">
        <v>12645</v>
      </c>
    </row>
    <row r="5" spans="2:12" x14ac:dyDescent="0.3">
      <c r="B5" t="s">
        <v>23</v>
      </c>
      <c r="C5">
        <v>-287</v>
      </c>
      <c r="D5">
        <v>156</v>
      </c>
      <c r="E5">
        <v>-454</v>
      </c>
      <c r="F5">
        <v>-279</v>
      </c>
      <c r="G5">
        <v>473</v>
      </c>
      <c r="H5">
        <v>-201</v>
      </c>
      <c r="I5">
        <v>-495</v>
      </c>
      <c r="J5">
        <v>-752</v>
      </c>
      <c r="K5">
        <v>-421</v>
      </c>
      <c r="L5">
        <v>-608</v>
      </c>
    </row>
    <row r="6" spans="2:12" x14ac:dyDescent="0.3">
      <c r="B6" t="s">
        <v>22</v>
      </c>
      <c r="C6">
        <v>374</v>
      </c>
      <c r="D6">
        <v>54</v>
      </c>
      <c r="E6">
        <v>-623</v>
      </c>
      <c r="F6">
        <v>-15</v>
      </c>
      <c r="G6">
        <v>-64</v>
      </c>
      <c r="H6">
        <v>165</v>
      </c>
      <c r="I6" s="1">
        <v>-1579</v>
      </c>
      <c r="J6">
        <v>-992</v>
      </c>
      <c r="K6" s="1">
        <v>-1712</v>
      </c>
      <c r="L6">
        <v>-317</v>
      </c>
    </row>
    <row r="7" spans="2:12" x14ac:dyDescent="0.3">
      <c r="B7" t="s">
        <v>84</v>
      </c>
      <c r="C7">
        <v>310</v>
      </c>
      <c r="D7">
        <v>482</v>
      </c>
      <c r="E7">
        <v>346</v>
      </c>
      <c r="F7">
        <v>766</v>
      </c>
      <c r="G7">
        <v>279</v>
      </c>
      <c r="H7" s="1">
        <v>2868</v>
      </c>
      <c r="I7" s="1">
        <v>2077</v>
      </c>
      <c r="J7" s="1">
        <v>1869</v>
      </c>
      <c r="K7" s="1">
        <v>1959</v>
      </c>
      <c r="L7">
        <v>-476</v>
      </c>
    </row>
    <row r="8" spans="2:12" x14ac:dyDescent="0.3">
      <c r="B8" t="s">
        <v>85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2:12" x14ac:dyDescent="0.3">
      <c r="B9" t="s">
        <v>86</v>
      </c>
      <c r="C9">
        <v>32</v>
      </c>
      <c r="D9">
        <v>-162</v>
      </c>
      <c r="E9">
        <v>-525</v>
      </c>
      <c r="F9" s="1">
        <v>-1167</v>
      </c>
      <c r="G9">
        <v>-172</v>
      </c>
      <c r="H9">
        <v>-505</v>
      </c>
      <c r="I9">
        <v>-476</v>
      </c>
      <c r="J9">
        <v>-461</v>
      </c>
      <c r="K9">
        <v>-308</v>
      </c>
      <c r="L9">
        <v>729</v>
      </c>
    </row>
    <row r="10" spans="2:12" x14ac:dyDescent="0.3">
      <c r="B10" t="s">
        <v>87</v>
      </c>
      <c r="C10">
        <v>429</v>
      </c>
      <c r="D10">
        <v>529</v>
      </c>
      <c r="E10" s="1">
        <v>-1255</v>
      </c>
      <c r="F10">
        <v>-696</v>
      </c>
      <c r="G10">
        <v>516</v>
      </c>
      <c r="H10" s="1">
        <v>2326</v>
      </c>
      <c r="I10">
        <v>-473</v>
      </c>
      <c r="J10">
        <v>-337</v>
      </c>
      <c r="K10">
        <v>-481</v>
      </c>
      <c r="L10">
        <v>-671</v>
      </c>
    </row>
    <row r="11" spans="2:12" x14ac:dyDescent="0.3">
      <c r="B11" t="s">
        <v>88</v>
      </c>
      <c r="C11">
        <v>-852</v>
      </c>
      <c r="D11">
        <v>-744</v>
      </c>
      <c r="E11">
        <v>-843</v>
      </c>
      <c r="F11">
        <v>-710</v>
      </c>
      <c r="G11">
        <v>-891</v>
      </c>
      <c r="H11" s="1">
        <v>-1291</v>
      </c>
      <c r="I11" s="1">
        <v>-1555</v>
      </c>
      <c r="J11" s="1">
        <v>-1124</v>
      </c>
      <c r="K11" s="1">
        <v>-1651</v>
      </c>
      <c r="L11" s="1">
        <v>-1301</v>
      </c>
    </row>
    <row r="12" spans="2:12" x14ac:dyDescent="0.3">
      <c r="B12" t="s">
        <v>89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2:12" x14ac:dyDescent="0.3">
      <c r="B13" t="s">
        <v>90</v>
      </c>
      <c r="C13" s="1">
        <v>-3673</v>
      </c>
      <c r="D13" s="1">
        <v>-2501</v>
      </c>
      <c r="E13" s="1">
        <v>1866</v>
      </c>
      <c r="F13" s="1">
        <v>1165</v>
      </c>
      <c r="G13" s="1">
        <v>-4192</v>
      </c>
      <c r="H13" s="1">
        <v>-8856</v>
      </c>
      <c r="I13" s="1">
        <v>2257</v>
      </c>
      <c r="J13" s="1">
        <v>-7188</v>
      </c>
      <c r="K13" s="1">
        <v>-8789</v>
      </c>
      <c r="L13" s="1">
        <v>-15836</v>
      </c>
    </row>
    <row r="14" spans="2:12" x14ac:dyDescent="0.3">
      <c r="B14" t="s">
        <v>91</v>
      </c>
      <c r="C14" s="1">
        <v>-2150</v>
      </c>
      <c r="D14" s="1">
        <v>-1402</v>
      </c>
      <c r="E14" s="1">
        <v>-2103</v>
      </c>
      <c r="F14" s="1">
        <v>-1808</v>
      </c>
      <c r="G14" s="1">
        <v>-1766</v>
      </c>
      <c r="H14" s="1">
        <v>-1925</v>
      </c>
      <c r="I14" s="1">
        <v>-5613</v>
      </c>
      <c r="J14" s="1">
        <v>-6200</v>
      </c>
      <c r="K14" s="1">
        <v>-9006</v>
      </c>
      <c r="L14" s="1">
        <v>-9129</v>
      </c>
    </row>
    <row r="15" spans="2:12" x14ac:dyDescent="0.3">
      <c r="B15" t="s">
        <v>92</v>
      </c>
      <c r="C15">
        <v>18</v>
      </c>
      <c r="D15">
        <v>35</v>
      </c>
      <c r="E15">
        <v>220</v>
      </c>
      <c r="F15">
        <v>160</v>
      </c>
      <c r="G15">
        <v>79</v>
      </c>
      <c r="H15">
        <v>86</v>
      </c>
      <c r="I15">
        <v>73</v>
      </c>
      <c r="J15">
        <v>95</v>
      </c>
      <c r="K15">
        <v>122</v>
      </c>
      <c r="L15">
        <v>179</v>
      </c>
    </row>
    <row r="16" spans="2:12" x14ac:dyDescent="0.3">
      <c r="B16" t="s">
        <v>93</v>
      </c>
      <c r="C16" s="1">
        <v>-2698</v>
      </c>
      <c r="D16" s="1">
        <v>-3377</v>
      </c>
      <c r="E16" s="1">
        <v>-3960</v>
      </c>
      <c r="F16" s="1">
        <v>-1700</v>
      </c>
      <c r="G16" s="1">
        <v>-6086</v>
      </c>
      <c r="H16" s="1">
        <v>-12689</v>
      </c>
      <c r="I16" s="1">
        <v>-7795</v>
      </c>
      <c r="J16" s="1">
        <v>-7260</v>
      </c>
      <c r="K16" s="1">
        <v>-7750</v>
      </c>
      <c r="L16" s="1">
        <v>-15885</v>
      </c>
    </row>
    <row r="17" spans="2:12" x14ac:dyDescent="0.3">
      <c r="B17" t="s">
        <v>94</v>
      </c>
      <c r="C17" s="1">
        <v>2948</v>
      </c>
      <c r="D17" s="1">
        <v>2228</v>
      </c>
      <c r="E17" s="1">
        <v>5588</v>
      </c>
      <c r="F17" s="1">
        <v>4478</v>
      </c>
      <c r="G17" s="1">
        <v>3443</v>
      </c>
      <c r="H17" s="1">
        <v>7101</v>
      </c>
      <c r="I17" s="1">
        <v>13965</v>
      </c>
      <c r="J17" s="1">
        <v>7156</v>
      </c>
      <c r="K17" s="1">
        <v>7164</v>
      </c>
      <c r="L17" s="1">
        <v>19115</v>
      </c>
    </row>
    <row r="18" spans="2:12" x14ac:dyDescent="0.3">
      <c r="B18" t="s">
        <v>95</v>
      </c>
      <c r="C18">
        <v>59</v>
      </c>
      <c r="D18">
        <v>47</v>
      </c>
      <c r="E18">
        <v>67</v>
      </c>
      <c r="F18">
        <v>78</v>
      </c>
      <c r="G18">
        <v>89</v>
      </c>
      <c r="H18">
        <v>77</v>
      </c>
      <c r="I18">
        <v>174</v>
      </c>
      <c r="J18">
        <v>283</v>
      </c>
      <c r="K18">
        <v>161</v>
      </c>
      <c r="L18">
        <v>342</v>
      </c>
    </row>
    <row r="19" spans="2:12" x14ac:dyDescent="0.3">
      <c r="B19" t="s">
        <v>96</v>
      </c>
      <c r="C19">
        <v>0</v>
      </c>
      <c r="D19">
        <v>0</v>
      </c>
      <c r="E19">
        <v>0</v>
      </c>
      <c r="F19">
        <v>22</v>
      </c>
      <c r="G19">
        <v>32</v>
      </c>
      <c r="H19">
        <v>0</v>
      </c>
      <c r="I19">
        <v>0</v>
      </c>
      <c r="J19">
        <v>0</v>
      </c>
      <c r="K19">
        <v>0</v>
      </c>
      <c r="L19">
        <v>1</v>
      </c>
    </row>
    <row r="20" spans="2:12" x14ac:dyDescent="0.3">
      <c r="B20" t="s">
        <v>97</v>
      </c>
      <c r="C20">
        <v>-13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2:12" x14ac:dyDescent="0.3">
      <c r="B21" t="s">
        <v>98</v>
      </c>
      <c r="C21">
        <v>0</v>
      </c>
      <c r="D21">
        <v>0</v>
      </c>
      <c r="E21">
        <v>-1</v>
      </c>
      <c r="F21">
        <v>-8</v>
      </c>
      <c r="G21">
        <v>-6</v>
      </c>
      <c r="H21">
        <v>-3</v>
      </c>
      <c r="I21">
        <v>0</v>
      </c>
      <c r="J21">
        <v>0</v>
      </c>
      <c r="K21">
        <v>0</v>
      </c>
      <c r="L21">
        <v>0</v>
      </c>
    </row>
    <row r="22" spans="2:12" x14ac:dyDescent="0.3">
      <c r="B22" t="s">
        <v>99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3</v>
      </c>
      <c r="K22">
        <v>0</v>
      </c>
      <c r="L22">
        <v>36</v>
      </c>
    </row>
    <row r="23" spans="2:12" x14ac:dyDescent="0.3">
      <c r="B23" t="s">
        <v>100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-847</v>
      </c>
      <c r="K23">
        <v>-60</v>
      </c>
      <c r="L23" s="1">
        <v>-10262</v>
      </c>
    </row>
    <row r="24" spans="2:12" x14ac:dyDescent="0.3">
      <c r="B24" t="s">
        <v>101</v>
      </c>
      <c r="C24" s="1">
        <v>-1839</v>
      </c>
      <c r="D24">
        <v>-32</v>
      </c>
      <c r="E24" s="1">
        <v>2055</v>
      </c>
      <c r="F24">
        <v>-58</v>
      </c>
      <c r="G24">
        <v>22</v>
      </c>
      <c r="H24" s="1">
        <v>-1503</v>
      </c>
      <c r="I24" s="1">
        <v>1518</v>
      </c>
      <c r="J24">
        <v>-417</v>
      </c>
      <c r="K24">
        <v>581</v>
      </c>
      <c r="L24">
        <v>-232</v>
      </c>
    </row>
    <row r="25" spans="2:12" x14ac:dyDescent="0.3">
      <c r="B25" t="s">
        <v>102</v>
      </c>
      <c r="C25">
        <v>-844</v>
      </c>
      <c r="D25" s="1">
        <v>-2535</v>
      </c>
      <c r="E25" s="1">
        <v>-5735</v>
      </c>
      <c r="F25" s="1">
        <v>-6757</v>
      </c>
      <c r="G25" s="1">
        <v>-5076</v>
      </c>
      <c r="H25" s="1">
        <v>-4356</v>
      </c>
      <c r="I25" s="1">
        <v>-12498</v>
      </c>
      <c r="J25" s="1">
        <v>-1631</v>
      </c>
      <c r="K25" s="1">
        <v>-1926</v>
      </c>
      <c r="L25" s="1">
        <v>5076</v>
      </c>
    </row>
    <row r="26" spans="2:12" x14ac:dyDescent="0.3">
      <c r="B26" t="s">
        <v>103</v>
      </c>
      <c r="C26">
        <v>3</v>
      </c>
      <c r="D26">
        <v>7</v>
      </c>
      <c r="E26">
        <v>16</v>
      </c>
      <c r="F26">
        <v>5</v>
      </c>
      <c r="G26">
        <v>3</v>
      </c>
      <c r="H26">
        <v>14</v>
      </c>
      <c r="I26">
        <v>13</v>
      </c>
      <c r="J26">
        <v>13</v>
      </c>
      <c r="K26">
        <v>18</v>
      </c>
      <c r="L26">
        <v>33</v>
      </c>
    </row>
    <row r="27" spans="2:12" x14ac:dyDescent="0.3">
      <c r="B27" t="s">
        <v>104</v>
      </c>
      <c r="C27" s="1">
        <v>2821</v>
      </c>
      <c r="D27" s="1">
        <v>3656</v>
      </c>
      <c r="E27" s="1">
        <v>15775</v>
      </c>
      <c r="F27" s="1">
        <v>9772</v>
      </c>
      <c r="G27" s="1">
        <v>1510</v>
      </c>
      <c r="H27" s="1">
        <v>4103</v>
      </c>
      <c r="I27">
        <v>175</v>
      </c>
      <c r="J27" s="1">
        <v>1032</v>
      </c>
      <c r="K27" s="1">
        <v>1399</v>
      </c>
      <c r="L27" s="1">
        <v>9410</v>
      </c>
    </row>
    <row r="28" spans="2:12" x14ac:dyDescent="0.3">
      <c r="B28" t="s">
        <v>105</v>
      </c>
      <c r="C28" s="1">
        <v>-2775</v>
      </c>
      <c r="D28" s="1">
        <v>-5272</v>
      </c>
      <c r="E28" s="1">
        <v>-19982</v>
      </c>
      <c r="F28" s="1">
        <v>-14420</v>
      </c>
      <c r="G28" s="1">
        <v>-4154</v>
      </c>
      <c r="H28" s="1">
        <v>-6499</v>
      </c>
      <c r="I28" s="1">
        <v>-10346</v>
      </c>
      <c r="J28">
        <v>-579</v>
      </c>
      <c r="K28" s="1">
        <v>-1069</v>
      </c>
      <c r="L28">
        <v>-550</v>
      </c>
    </row>
    <row r="29" spans="2:12" x14ac:dyDescent="0.3">
      <c r="B29" t="s">
        <v>106</v>
      </c>
      <c r="C29">
        <v>-596</v>
      </c>
      <c r="D29">
        <v>-614</v>
      </c>
      <c r="E29" s="1">
        <v>-1210</v>
      </c>
      <c r="F29" s="1">
        <v>-1685</v>
      </c>
      <c r="G29" s="1">
        <v>-1950</v>
      </c>
      <c r="H29" s="1">
        <v>-1481</v>
      </c>
      <c r="I29" s="1">
        <v>-1026</v>
      </c>
      <c r="J29">
        <v>-765</v>
      </c>
      <c r="K29">
        <v>-917</v>
      </c>
      <c r="L29" s="1">
        <v>-1540</v>
      </c>
    </row>
    <row r="30" spans="2:12" x14ac:dyDescent="0.3">
      <c r="B30" t="s">
        <v>107</v>
      </c>
      <c r="C30">
        <v>-297</v>
      </c>
      <c r="D30">
        <v>-312</v>
      </c>
      <c r="E30">
        <v>-334</v>
      </c>
      <c r="F30">
        <v>-346</v>
      </c>
      <c r="G30">
        <v>-380</v>
      </c>
      <c r="H30">
        <v>-375</v>
      </c>
      <c r="I30" s="1">
        <v>-1065</v>
      </c>
      <c r="J30" s="1">
        <v>-1091</v>
      </c>
      <c r="K30" s="1">
        <v>-1094</v>
      </c>
      <c r="L30" s="1">
        <v>-2012</v>
      </c>
    </row>
    <row r="31" spans="2:12" x14ac:dyDescent="0.3">
      <c r="B31" t="s">
        <v>108</v>
      </c>
      <c r="C31">
        <v>0</v>
      </c>
      <c r="D31">
        <v>0</v>
      </c>
      <c r="E31">
        <v>0</v>
      </c>
      <c r="F31">
        <v>0</v>
      </c>
      <c r="G31">
        <v>-101</v>
      </c>
      <c r="H31">
        <v>-118</v>
      </c>
      <c r="I31">
        <v>-157</v>
      </c>
      <c r="J31">
        <v>-126</v>
      </c>
      <c r="K31">
        <v>-162</v>
      </c>
      <c r="L31">
        <v>-165</v>
      </c>
    </row>
    <row r="32" spans="2:12" x14ac:dyDescent="0.3">
      <c r="B32" t="s">
        <v>109</v>
      </c>
      <c r="C32">
        <v>1</v>
      </c>
      <c r="D32">
        <v>0</v>
      </c>
      <c r="E32">
        <v>0</v>
      </c>
      <c r="F32">
        <v>-83</v>
      </c>
      <c r="G32">
        <v>-4</v>
      </c>
      <c r="H32">
        <v>0</v>
      </c>
      <c r="I32">
        <v>-91</v>
      </c>
      <c r="J32">
        <v>-115</v>
      </c>
      <c r="K32">
        <v>-100</v>
      </c>
      <c r="L32">
        <v>-100</v>
      </c>
    </row>
    <row r="33" spans="2:12" x14ac:dyDescent="0.3">
      <c r="B33" t="s">
        <v>12</v>
      </c>
      <c r="C33">
        <v>8</v>
      </c>
      <c r="D33">
        <v>-31</v>
      </c>
      <c r="E33">
        <v>18</v>
      </c>
      <c r="F33">
        <v>364</v>
      </c>
      <c r="G33">
        <v>-295</v>
      </c>
      <c r="H33">
        <v>-712</v>
      </c>
      <c r="I33">
        <v>-958</v>
      </c>
      <c r="J33">
        <v>250</v>
      </c>
      <c r="K33">
        <v>183</v>
      </c>
      <c r="L33">
        <v>-86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6F6B8-CCB9-4379-89CA-B1E110C9C4AE}">
  <dimension ref="B2:V268"/>
  <sheetViews>
    <sheetView workbookViewId="0">
      <selection activeCell="A3" sqref="A3"/>
    </sheetView>
  </sheetViews>
  <sheetFormatPr defaultRowHeight="14.4" x14ac:dyDescent="0.3"/>
  <cols>
    <col min="2" max="4" width="10.77734375" customWidth="1"/>
  </cols>
  <sheetData>
    <row r="2" spans="2:22" x14ac:dyDescent="0.3">
      <c r="B2" s="4" t="s">
        <v>393</v>
      </c>
      <c r="C2" s="4" t="s">
        <v>378</v>
      </c>
      <c r="D2" s="4" t="s">
        <v>394</v>
      </c>
      <c r="E2" s="4"/>
      <c r="J2" t="s">
        <v>269</v>
      </c>
      <c r="K2" t="s">
        <v>419</v>
      </c>
      <c r="L2" t="s">
        <v>420</v>
      </c>
      <c r="M2" t="s">
        <v>421</v>
      </c>
      <c r="N2" t="s">
        <v>422</v>
      </c>
      <c r="O2" t="s">
        <v>423</v>
      </c>
      <c r="P2" t="s">
        <v>393</v>
      </c>
      <c r="Q2" t="s">
        <v>269</v>
      </c>
      <c r="R2" t="s">
        <v>419</v>
      </c>
      <c r="S2" t="s">
        <v>420</v>
      </c>
      <c r="T2" t="s">
        <v>421</v>
      </c>
      <c r="U2" t="s">
        <v>422</v>
      </c>
      <c r="V2" t="s">
        <v>423</v>
      </c>
    </row>
    <row r="3" spans="2:22" x14ac:dyDescent="0.3">
      <c r="B3" s="283">
        <v>46134</v>
      </c>
      <c r="C3" s="282">
        <v>12193</v>
      </c>
      <c r="D3" s="282">
        <v>24378.1</v>
      </c>
      <c r="E3" s="282"/>
      <c r="F3" s="95"/>
      <c r="G3" s="282"/>
      <c r="K3" s="282">
        <v>12013</v>
      </c>
      <c r="L3" s="282">
        <v>12222</v>
      </c>
      <c r="M3" s="282">
        <v>12001</v>
      </c>
      <c r="N3" t="s">
        <v>424</v>
      </c>
      <c r="O3" s="95">
        <v>1.2800000000000001E-2</v>
      </c>
      <c r="P3" s="283">
        <v>46134</v>
      </c>
      <c r="R3" s="282">
        <v>24470.85</v>
      </c>
      <c r="S3" s="282">
        <v>24515.75</v>
      </c>
      <c r="T3" s="282">
        <v>24353.85</v>
      </c>
      <c r="U3" t="s">
        <v>689</v>
      </c>
      <c r="V3" s="95">
        <v>-8.0999999999999996E-3</v>
      </c>
    </row>
    <row r="4" spans="2:22" x14ac:dyDescent="0.3">
      <c r="B4" s="283">
        <v>46133</v>
      </c>
      <c r="C4" s="282">
        <v>12039</v>
      </c>
      <c r="D4" s="282">
        <v>24576.6</v>
      </c>
      <c r="E4" s="22">
        <f>C3/C4-1</f>
        <v>1.2791760112966122E-2</v>
      </c>
      <c r="F4" s="22">
        <f>D3/D4-1</f>
        <v>-8.0767884898643727E-3</v>
      </c>
      <c r="G4" s="282"/>
      <c r="K4" s="282">
        <v>11800</v>
      </c>
      <c r="L4" s="282">
        <v>12065</v>
      </c>
      <c r="M4" s="282">
        <v>11800</v>
      </c>
      <c r="N4" t="s">
        <v>425</v>
      </c>
      <c r="O4" s="95">
        <v>1.0200000000000001E-2</v>
      </c>
      <c r="P4" s="283">
        <v>46133</v>
      </c>
      <c r="R4" s="282">
        <v>24374.55</v>
      </c>
      <c r="S4" s="282">
        <v>24601.7</v>
      </c>
      <c r="T4" s="282">
        <v>24354.9</v>
      </c>
      <c r="U4" t="s">
        <v>690</v>
      </c>
      <c r="V4" s="95">
        <v>8.6999999999999994E-3</v>
      </c>
    </row>
    <row r="5" spans="2:22" x14ac:dyDescent="0.3">
      <c r="B5" s="283">
        <v>46132</v>
      </c>
      <c r="C5" s="282">
        <v>11917</v>
      </c>
      <c r="D5" s="282">
        <v>24364.85</v>
      </c>
      <c r="E5" s="22">
        <f t="shared" ref="E5:F54" si="0">C4/C5-1</f>
        <v>1.0237475874800728E-2</v>
      </c>
      <c r="F5" s="22">
        <f t="shared" si="0"/>
        <v>8.690798424779933E-3</v>
      </c>
      <c r="G5" s="282"/>
      <c r="K5" s="282">
        <v>11970</v>
      </c>
      <c r="L5" s="282">
        <v>12062</v>
      </c>
      <c r="M5" s="282">
        <v>11816</v>
      </c>
      <c r="N5" t="s">
        <v>426</v>
      </c>
      <c r="O5" s="95">
        <v>2.5999999999999999E-3</v>
      </c>
      <c r="P5" s="283">
        <v>46132</v>
      </c>
      <c r="R5" s="282">
        <v>24391.5</v>
      </c>
      <c r="S5" s="282">
        <v>24480.65</v>
      </c>
      <c r="T5" s="282">
        <v>24241.25</v>
      </c>
      <c r="U5" t="s">
        <v>691</v>
      </c>
      <c r="V5" s="95">
        <v>5.0000000000000001E-4</v>
      </c>
    </row>
    <row r="6" spans="2:22" x14ac:dyDescent="0.3">
      <c r="B6" s="283">
        <v>46129</v>
      </c>
      <c r="C6" s="282">
        <v>11886</v>
      </c>
      <c r="D6" s="282">
        <v>24353.55</v>
      </c>
      <c r="E6" s="22">
        <f t="shared" si="0"/>
        <v>2.6081103819619589E-3</v>
      </c>
      <c r="F6" s="22">
        <f t="shared" si="0"/>
        <v>4.6399806188412995E-4</v>
      </c>
      <c r="G6" s="282"/>
      <c r="K6" s="282">
        <v>11820</v>
      </c>
      <c r="L6" s="282">
        <v>11930</v>
      </c>
      <c r="M6" s="282">
        <v>11737</v>
      </c>
      <c r="N6" t="s">
        <v>427</v>
      </c>
      <c r="O6" s="95">
        <v>5.1000000000000004E-3</v>
      </c>
      <c r="P6" s="283">
        <v>46129</v>
      </c>
      <c r="R6" s="282">
        <v>24165.9</v>
      </c>
      <c r="S6" s="282">
        <v>24371.9</v>
      </c>
      <c r="T6" s="282">
        <v>24096.05</v>
      </c>
      <c r="U6" t="s">
        <v>692</v>
      </c>
      <c r="V6" s="95">
        <v>6.4999999999999997E-3</v>
      </c>
    </row>
    <row r="7" spans="2:22" x14ac:dyDescent="0.3">
      <c r="B7" s="283">
        <v>46128</v>
      </c>
      <c r="C7" s="282">
        <v>11826</v>
      </c>
      <c r="D7" s="282">
        <v>24196.75</v>
      </c>
      <c r="E7" s="22">
        <f t="shared" si="0"/>
        <v>5.0735667174024446E-3</v>
      </c>
      <c r="F7" s="22">
        <f t="shared" si="0"/>
        <v>6.4802091189932742E-3</v>
      </c>
      <c r="G7" s="282"/>
      <c r="K7" s="282">
        <v>11840</v>
      </c>
      <c r="L7" s="282">
        <v>11859</v>
      </c>
      <c r="M7" s="282">
        <v>11710</v>
      </c>
      <c r="N7" t="s">
        <v>428</v>
      </c>
      <c r="O7" s="95">
        <v>3.5000000000000001E-3</v>
      </c>
      <c r="P7" s="283">
        <v>46128</v>
      </c>
      <c r="R7" s="282">
        <v>24385.200000000001</v>
      </c>
      <c r="S7" s="282">
        <v>24400.95</v>
      </c>
      <c r="T7" s="282">
        <v>24102.799999999999</v>
      </c>
      <c r="U7" t="s">
        <v>693</v>
      </c>
      <c r="V7" s="95">
        <v>-1.4E-3</v>
      </c>
    </row>
    <row r="8" spans="2:22" x14ac:dyDescent="0.3">
      <c r="B8" s="283">
        <v>46127</v>
      </c>
      <c r="C8" s="282">
        <v>11785</v>
      </c>
      <c r="D8" s="282">
        <v>24231.3</v>
      </c>
      <c r="E8" s="22">
        <f t="shared" si="0"/>
        <v>3.4789987271954814E-3</v>
      </c>
      <c r="F8" s="22">
        <f t="shared" si="0"/>
        <v>-1.4258417831481962E-3</v>
      </c>
      <c r="G8" s="282"/>
      <c r="K8" s="282">
        <v>11840</v>
      </c>
      <c r="L8" s="282">
        <v>11950</v>
      </c>
      <c r="M8" s="282">
        <v>11711</v>
      </c>
      <c r="N8" t="s">
        <v>429</v>
      </c>
      <c r="O8" s="95">
        <v>2.46E-2</v>
      </c>
      <c r="P8" s="283">
        <v>46127</v>
      </c>
      <c r="R8" s="282">
        <v>24163.8</v>
      </c>
      <c r="S8" s="282">
        <v>24280.9</v>
      </c>
      <c r="T8" s="282">
        <v>24145.8</v>
      </c>
      <c r="U8" t="s">
        <v>694</v>
      </c>
      <c r="V8" s="95">
        <v>1.6299999999999999E-2</v>
      </c>
    </row>
    <row r="9" spans="2:22" x14ac:dyDescent="0.3">
      <c r="B9" s="283">
        <v>46125</v>
      </c>
      <c r="C9" s="282">
        <v>11502</v>
      </c>
      <c r="D9" s="282">
        <v>23842.65</v>
      </c>
      <c r="E9" s="22">
        <f t="shared" si="0"/>
        <v>2.4604416623196013E-2</v>
      </c>
      <c r="F9" s="22">
        <f t="shared" si="0"/>
        <v>1.6300620946077649E-2</v>
      </c>
      <c r="G9" s="282"/>
      <c r="K9" s="282">
        <v>11366</v>
      </c>
      <c r="L9" s="282">
        <v>11522</v>
      </c>
      <c r="M9" s="282">
        <v>11282</v>
      </c>
      <c r="N9" t="s">
        <v>430</v>
      </c>
      <c r="O9" s="95">
        <v>-7.4999999999999997E-3</v>
      </c>
      <c r="P9" s="283">
        <v>46125</v>
      </c>
      <c r="R9" s="282">
        <v>23589.599999999999</v>
      </c>
      <c r="S9" s="282">
        <v>23907.4</v>
      </c>
      <c r="T9" s="282">
        <v>23555.599999999999</v>
      </c>
      <c r="U9" t="s">
        <v>695</v>
      </c>
      <c r="V9" s="95">
        <v>-8.6E-3</v>
      </c>
    </row>
    <row r="10" spans="2:22" x14ac:dyDescent="0.3">
      <c r="B10" s="283">
        <v>46122</v>
      </c>
      <c r="C10" s="282">
        <v>11589</v>
      </c>
      <c r="D10" s="282">
        <v>24050.6</v>
      </c>
      <c r="E10" s="22">
        <f t="shared" si="0"/>
        <v>-7.5071188195703353E-3</v>
      </c>
      <c r="F10" s="22">
        <f t="shared" si="0"/>
        <v>-8.6463539371157694E-3</v>
      </c>
      <c r="G10" s="282"/>
      <c r="K10" s="282">
        <v>11500</v>
      </c>
      <c r="L10" s="282">
        <v>11643</v>
      </c>
      <c r="M10" s="282">
        <v>11476</v>
      </c>
      <c r="N10" t="s">
        <v>431</v>
      </c>
      <c r="O10" s="95">
        <v>1.23E-2</v>
      </c>
      <c r="P10" s="283">
        <v>46122</v>
      </c>
      <c r="R10" s="282">
        <v>23880.55</v>
      </c>
      <c r="S10" s="282">
        <v>24074.05</v>
      </c>
      <c r="T10" s="282">
        <v>23856.35</v>
      </c>
      <c r="U10" t="s">
        <v>696</v>
      </c>
      <c r="V10" s="95">
        <v>1.1599999999999999E-2</v>
      </c>
    </row>
    <row r="11" spans="2:22" x14ac:dyDescent="0.3">
      <c r="B11" s="283">
        <v>46121</v>
      </c>
      <c r="C11" s="282">
        <v>11448</v>
      </c>
      <c r="D11" s="282">
        <v>23775.1</v>
      </c>
      <c r="E11" s="22">
        <f t="shared" si="0"/>
        <v>1.2316561844863738E-2</v>
      </c>
      <c r="F11" s="22">
        <f t="shared" si="0"/>
        <v>1.1587753574117565E-2</v>
      </c>
      <c r="G11" s="282"/>
      <c r="K11" s="282">
        <v>11425</v>
      </c>
      <c r="L11" s="282">
        <v>11562</v>
      </c>
      <c r="M11" s="282">
        <v>11390</v>
      </c>
      <c r="N11" t="s">
        <v>432</v>
      </c>
      <c r="O11" s="95">
        <v>-1.34E-2</v>
      </c>
      <c r="P11" s="283">
        <v>46121</v>
      </c>
      <c r="R11" s="282">
        <v>23909.05</v>
      </c>
      <c r="S11" s="282">
        <v>23990.75</v>
      </c>
      <c r="T11" s="282">
        <v>23682.799999999999</v>
      </c>
      <c r="U11" t="s">
        <v>697</v>
      </c>
      <c r="V11" s="95">
        <v>-9.2999999999999992E-3</v>
      </c>
    </row>
    <row r="12" spans="2:22" x14ac:dyDescent="0.3">
      <c r="B12" s="283">
        <v>46120</v>
      </c>
      <c r="C12" s="282">
        <v>11603</v>
      </c>
      <c r="D12" s="282">
        <v>23997.35</v>
      </c>
      <c r="E12" s="22">
        <f t="shared" si="0"/>
        <v>-1.3358614151512516E-2</v>
      </c>
      <c r="F12" s="22">
        <f t="shared" si="0"/>
        <v>-9.2614392839209803E-3</v>
      </c>
      <c r="G12" s="282"/>
      <c r="K12" s="282">
        <v>11400</v>
      </c>
      <c r="L12" s="282">
        <v>11776</v>
      </c>
      <c r="M12" s="282">
        <v>11349</v>
      </c>
      <c r="N12" t="s">
        <v>433</v>
      </c>
      <c r="O12" s="95">
        <v>6.0999999999999999E-2</v>
      </c>
      <c r="P12" s="283">
        <v>46120</v>
      </c>
      <c r="R12" s="282">
        <v>23855.15</v>
      </c>
      <c r="S12" s="282">
        <v>24025.15</v>
      </c>
      <c r="T12" s="282">
        <v>23828.5</v>
      </c>
      <c r="U12" t="s">
        <v>698</v>
      </c>
      <c r="V12" s="95">
        <v>3.78E-2</v>
      </c>
    </row>
    <row r="13" spans="2:22" x14ac:dyDescent="0.3">
      <c r="B13" s="283">
        <v>46119</v>
      </c>
      <c r="C13" s="282">
        <v>10936</v>
      </c>
      <c r="D13" s="282">
        <v>23123.65</v>
      </c>
      <c r="E13" s="22">
        <f t="shared" si="0"/>
        <v>6.0991221653255323E-2</v>
      </c>
      <c r="F13" s="22">
        <f t="shared" si="0"/>
        <v>3.7783827380192925E-2</v>
      </c>
      <c r="G13" s="282"/>
      <c r="K13" s="282">
        <v>10922</v>
      </c>
      <c r="L13" s="282">
        <v>10954</v>
      </c>
      <c r="M13" s="282">
        <v>10765</v>
      </c>
      <c r="N13" t="s">
        <v>434</v>
      </c>
      <c r="O13" s="95">
        <v>-1.6999999999999999E-3</v>
      </c>
      <c r="P13" s="283">
        <v>46119</v>
      </c>
      <c r="R13" s="282">
        <v>22838.7</v>
      </c>
      <c r="S13" s="282">
        <v>23153.85</v>
      </c>
      <c r="T13" s="282">
        <v>22719.3</v>
      </c>
      <c r="U13" t="s">
        <v>699</v>
      </c>
      <c r="V13" s="95">
        <v>6.7999999999999996E-3</v>
      </c>
    </row>
    <row r="14" spans="2:22" x14ac:dyDescent="0.3">
      <c r="B14" s="283">
        <v>46118</v>
      </c>
      <c r="C14" s="282">
        <v>10955</v>
      </c>
      <c r="D14" s="282">
        <v>22968.25</v>
      </c>
      <c r="E14" s="22">
        <f t="shared" si="0"/>
        <v>-1.7343678685531883E-3</v>
      </c>
      <c r="F14" s="22">
        <f t="shared" si="0"/>
        <v>6.7658615697756552E-3</v>
      </c>
      <c r="G14" s="282"/>
      <c r="K14" s="282">
        <v>10611</v>
      </c>
      <c r="L14" s="282">
        <v>10976</v>
      </c>
      <c r="M14" s="282">
        <v>10540</v>
      </c>
      <c r="N14" t="s">
        <v>435</v>
      </c>
      <c r="O14" s="95">
        <v>3.15E-2</v>
      </c>
      <c r="P14" s="283">
        <v>46118</v>
      </c>
      <c r="R14" s="282">
        <v>22780.3</v>
      </c>
      <c r="S14" s="282">
        <v>22998.35</v>
      </c>
      <c r="T14" s="282">
        <v>22542.95</v>
      </c>
      <c r="U14" t="s">
        <v>700</v>
      </c>
      <c r="V14" s="95">
        <v>1.12E-2</v>
      </c>
    </row>
    <row r="15" spans="2:22" x14ac:dyDescent="0.3">
      <c r="B15" s="283">
        <v>46114</v>
      </c>
      <c r="C15" s="282">
        <v>10620</v>
      </c>
      <c r="D15" s="282">
        <v>22713.1</v>
      </c>
      <c r="E15" s="22">
        <f t="shared" si="0"/>
        <v>3.1544256120527248E-2</v>
      </c>
      <c r="F15" s="22">
        <f t="shared" si="0"/>
        <v>1.123360527625028E-2</v>
      </c>
      <c r="G15" s="282"/>
      <c r="K15" s="282">
        <v>10639</v>
      </c>
      <c r="L15" s="282">
        <v>10663</v>
      </c>
      <c r="M15" s="282">
        <v>10365</v>
      </c>
      <c r="N15" t="s">
        <v>436</v>
      </c>
      <c r="O15" s="95">
        <v>-8.8000000000000005E-3</v>
      </c>
      <c r="P15" s="283">
        <v>46114</v>
      </c>
      <c r="R15" s="282">
        <v>22383.4</v>
      </c>
      <c r="S15" s="282">
        <v>22782.3</v>
      </c>
      <c r="T15" s="282">
        <v>22182.55</v>
      </c>
      <c r="U15" t="s">
        <v>701</v>
      </c>
      <c r="V15" s="95">
        <v>1.5E-3</v>
      </c>
    </row>
    <row r="16" spans="2:22" x14ac:dyDescent="0.3">
      <c r="B16" s="283">
        <v>46113</v>
      </c>
      <c r="C16" s="282">
        <v>10714</v>
      </c>
      <c r="D16" s="282">
        <v>22679.4</v>
      </c>
      <c r="E16" s="22">
        <f t="shared" si="0"/>
        <v>-8.7735672951279042E-3</v>
      </c>
      <c r="F16" s="22">
        <f t="shared" si="0"/>
        <v>1.4859299628737777E-3</v>
      </c>
      <c r="G16" s="282"/>
      <c r="K16" s="282">
        <v>10802</v>
      </c>
      <c r="L16" s="282">
        <v>11112</v>
      </c>
      <c r="M16" s="282">
        <v>10643</v>
      </c>
      <c r="N16" t="s">
        <v>437</v>
      </c>
      <c r="O16" s="95">
        <v>-2.8999999999999998E-3</v>
      </c>
      <c r="P16" s="283">
        <v>46113</v>
      </c>
      <c r="R16" s="282">
        <v>22899</v>
      </c>
      <c r="S16" s="282">
        <v>22941.3</v>
      </c>
      <c r="T16" s="282">
        <v>22618.6</v>
      </c>
      <c r="U16" t="s">
        <v>702</v>
      </c>
      <c r="V16" s="95">
        <v>1.5599999999999999E-2</v>
      </c>
    </row>
    <row r="17" spans="2:22" x14ac:dyDescent="0.3">
      <c r="B17" s="283">
        <v>46111</v>
      </c>
      <c r="C17" s="282">
        <v>10745</v>
      </c>
      <c r="D17" s="282">
        <v>22331.4</v>
      </c>
      <c r="E17" s="22">
        <f t="shared" si="0"/>
        <v>-2.8850628199162953E-3</v>
      </c>
      <c r="F17" s="22">
        <f t="shared" si="0"/>
        <v>1.5583438566323604E-2</v>
      </c>
      <c r="G17" s="282"/>
      <c r="K17" s="282">
        <v>10985</v>
      </c>
      <c r="L17" s="282">
        <v>10990</v>
      </c>
      <c r="M17" s="282">
        <v>10687</v>
      </c>
      <c r="N17" t="s">
        <v>438</v>
      </c>
      <c r="O17" s="95">
        <v>-2.75E-2</v>
      </c>
      <c r="P17" s="283">
        <v>46111</v>
      </c>
      <c r="R17" s="282">
        <v>22549.65</v>
      </c>
      <c r="S17" s="282">
        <v>22714.1</v>
      </c>
      <c r="T17" s="282">
        <v>22283.85</v>
      </c>
      <c r="U17" t="s">
        <v>703</v>
      </c>
      <c r="V17" s="95">
        <v>-2.1399999999999999E-2</v>
      </c>
    </row>
    <row r="18" spans="2:22" x14ac:dyDescent="0.3">
      <c r="B18" s="283">
        <v>46108</v>
      </c>
      <c r="C18" s="282">
        <v>11049</v>
      </c>
      <c r="D18" s="282">
        <v>22819.599999999999</v>
      </c>
      <c r="E18" s="22">
        <f t="shared" si="0"/>
        <v>-2.7513802154041089E-2</v>
      </c>
      <c r="F18" s="22">
        <f t="shared" si="0"/>
        <v>-2.1393889463443561E-2</v>
      </c>
      <c r="G18" s="282"/>
      <c r="K18" s="282">
        <v>11174</v>
      </c>
      <c r="L18" s="282">
        <v>11174</v>
      </c>
      <c r="M18" s="282">
        <v>10970</v>
      </c>
      <c r="N18" t="s">
        <v>439</v>
      </c>
      <c r="O18" s="95">
        <v>-1.38E-2</v>
      </c>
      <c r="P18" s="283">
        <v>46108</v>
      </c>
      <c r="R18" s="282">
        <v>23173.55</v>
      </c>
      <c r="S18" s="282">
        <v>23186.1</v>
      </c>
      <c r="T18" s="282">
        <v>22804.55</v>
      </c>
      <c r="U18" t="s">
        <v>704</v>
      </c>
      <c r="V18" s="95">
        <v>-2.0899999999999998E-2</v>
      </c>
    </row>
    <row r="19" spans="2:22" x14ac:dyDescent="0.3">
      <c r="B19" s="283">
        <v>46106</v>
      </c>
      <c r="C19" s="282">
        <v>11204</v>
      </c>
      <c r="D19" s="282">
        <v>23306.45</v>
      </c>
      <c r="E19" s="22">
        <f t="shared" si="0"/>
        <v>-1.3834344876829663E-2</v>
      </c>
      <c r="F19" s="22">
        <f t="shared" si="0"/>
        <v>-2.0889067189554966E-2</v>
      </c>
      <c r="G19" s="282"/>
      <c r="K19" s="282">
        <v>10801</v>
      </c>
      <c r="L19" s="282">
        <v>11236</v>
      </c>
      <c r="M19" s="282">
        <v>10801</v>
      </c>
      <c r="N19" t="s">
        <v>440</v>
      </c>
      <c r="O19" s="95">
        <v>4.0899999999999999E-2</v>
      </c>
      <c r="P19" s="283">
        <v>46106</v>
      </c>
      <c r="R19" s="282">
        <v>23064.400000000001</v>
      </c>
      <c r="S19" s="282">
        <v>23465.35</v>
      </c>
      <c r="T19" s="282">
        <v>23063.200000000001</v>
      </c>
      <c r="U19" t="s">
        <v>705</v>
      </c>
      <c r="V19" s="95">
        <v>1.72E-2</v>
      </c>
    </row>
    <row r="20" spans="2:22" x14ac:dyDescent="0.3">
      <c r="B20" s="283">
        <v>46105</v>
      </c>
      <c r="C20" s="282">
        <v>10764</v>
      </c>
      <c r="D20" s="282">
        <v>22912.400000000001</v>
      </c>
      <c r="E20" s="22">
        <f t="shared" si="0"/>
        <v>4.0876997398736625E-2</v>
      </c>
      <c r="F20" s="22">
        <f t="shared" si="0"/>
        <v>1.7198111066496713E-2</v>
      </c>
      <c r="G20" s="282"/>
      <c r="K20" s="282">
        <v>10650</v>
      </c>
      <c r="L20" s="282">
        <v>10867</v>
      </c>
      <c r="M20" s="282">
        <v>10472</v>
      </c>
      <c r="N20" t="s">
        <v>441</v>
      </c>
      <c r="O20" s="95">
        <v>3.8800000000000001E-2</v>
      </c>
      <c r="P20" s="283">
        <v>46105</v>
      </c>
      <c r="R20" s="282">
        <v>22878.45</v>
      </c>
      <c r="S20" s="282">
        <v>23057.3</v>
      </c>
      <c r="T20" s="282">
        <v>22624.2</v>
      </c>
      <c r="U20" t="s">
        <v>706</v>
      </c>
      <c r="V20" s="95">
        <v>1.78E-2</v>
      </c>
    </row>
    <row r="21" spans="2:22" x14ac:dyDescent="0.3">
      <c r="B21" s="283">
        <v>46104</v>
      </c>
      <c r="C21" s="282">
        <v>10362</v>
      </c>
      <c r="D21" s="282">
        <v>22512.65</v>
      </c>
      <c r="E21" s="22">
        <f t="shared" si="0"/>
        <v>3.8795599305153416E-2</v>
      </c>
      <c r="F21" s="22">
        <f t="shared" si="0"/>
        <v>1.7756683464629885E-2</v>
      </c>
      <c r="G21" s="282"/>
      <c r="K21" s="282">
        <v>10877</v>
      </c>
      <c r="L21" s="282">
        <v>10877</v>
      </c>
      <c r="M21" s="282">
        <v>10325</v>
      </c>
      <c r="N21" t="s">
        <v>442</v>
      </c>
      <c r="O21" s="95">
        <v>-5.2299999999999999E-2</v>
      </c>
      <c r="P21" s="283">
        <v>46104</v>
      </c>
      <c r="R21" s="282">
        <v>22824.35</v>
      </c>
      <c r="S21" s="282">
        <v>22851.7</v>
      </c>
      <c r="T21" s="282">
        <v>22471.25</v>
      </c>
      <c r="U21" t="s">
        <v>707</v>
      </c>
      <c r="V21" s="95">
        <v>-2.5999999999999999E-2</v>
      </c>
    </row>
    <row r="22" spans="2:22" x14ac:dyDescent="0.3">
      <c r="B22" s="283">
        <v>46101</v>
      </c>
      <c r="C22" s="282">
        <v>10934</v>
      </c>
      <c r="D22" s="282">
        <v>23114.5</v>
      </c>
      <c r="E22" s="22">
        <f t="shared" si="0"/>
        <v>-5.2313883299798802E-2</v>
      </c>
      <c r="F22" s="22">
        <f t="shared" si="0"/>
        <v>-2.6037768500291936E-2</v>
      </c>
      <c r="G22" s="282"/>
      <c r="K22" s="282">
        <v>10920</v>
      </c>
      <c r="L22" s="282">
        <v>10974</v>
      </c>
      <c r="M22" s="282">
        <v>10853</v>
      </c>
      <c r="N22" t="s">
        <v>443</v>
      </c>
      <c r="O22" s="95">
        <v>1.11E-2</v>
      </c>
      <c r="P22" s="283">
        <v>46101</v>
      </c>
      <c r="R22" s="282">
        <v>23110.15</v>
      </c>
      <c r="S22" s="282">
        <v>23345.15</v>
      </c>
      <c r="T22" s="282">
        <v>23067.599999999999</v>
      </c>
      <c r="U22" t="s">
        <v>708</v>
      </c>
      <c r="V22" s="95">
        <v>4.8999999999999998E-3</v>
      </c>
    </row>
    <row r="23" spans="2:22" x14ac:dyDescent="0.3">
      <c r="B23" s="283">
        <v>46100</v>
      </c>
      <c r="C23" s="282">
        <v>10814</v>
      </c>
      <c r="D23" s="282">
        <v>23002.15</v>
      </c>
      <c r="E23" s="22">
        <f t="shared" si="0"/>
        <v>1.1096726465692708E-2</v>
      </c>
      <c r="F23" s="22">
        <f t="shared" si="0"/>
        <v>4.8843260303927938E-3</v>
      </c>
      <c r="G23" s="282"/>
      <c r="K23" s="282">
        <v>11080</v>
      </c>
      <c r="L23" s="282">
        <v>11132</v>
      </c>
      <c r="M23" s="282">
        <v>10778</v>
      </c>
      <c r="N23" t="s">
        <v>444</v>
      </c>
      <c r="O23" s="95">
        <v>-3.85E-2</v>
      </c>
      <c r="P23" s="283">
        <v>46100</v>
      </c>
      <c r="R23" s="282">
        <v>23197.75</v>
      </c>
      <c r="S23" s="282">
        <v>23378.7</v>
      </c>
      <c r="T23" s="282">
        <v>22930.35</v>
      </c>
      <c r="U23" t="s">
        <v>709</v>
      </c>
      <c r="V23" s="95">
        <v>-3.2599999999999997E-2</v>
      </c>
    </row>
    <row r="24" spans="2:22" x14ac:dyDescent="0.3">
      <c r="B24" s="283">
        <v>46099</v>
      </c>
      <c r="C24" s="282">
        <v>11247</v>
      </c>
      <c r="D24" s="282">
        <v>23777.8</v>
      </c>
      <c r="E24" s="22">
        <f t="shared" si="0"/>
        <v>-3.8499155330310342E-2</v>
      </c>
      <c r="F24" s="22">
        <f t="shared" si="0"/>
        <v>-3.2620763905828021E-2</v>
      </c>
      <c r="G24" s="282"/>
      <c r="K24" s="282">
        <v>11124</v>
      </c>
      <c r="L24" s="282">
        <v>11287</v>
      </c>
      <c r="M24" s="282">
        <v>11116</v>
      </c>
      <c r="N24" t="s">
        <v>445</v>
      </c>
      <c r="O24" s="95">
        <v>1.18E-2</v>
      </c>
      <c r="P24" s="283">
        <v>46099</v>
      </c>
      <c r="R24" s="282">
        <v>23632.9</v>
      </c>
      <c r="S24" s="282">
        <v>23862.25</v>
      </c>
      <c r="T24" s="282">
        <v>23618.45</v>
      </c>
      <c r="U24" t="s">
        <v>710</v>
      </c>
      <c r="V24" s="95">
        <v>8.3000000000000001E-3</v>
      </c>
    </row>
    <row r="25" spans="2:22" x14ac:dyDescent="0.3">
      <c r="B25" s="283">
        <v>46098</v>
      </c>
      <c r="C25" s="282">
        <v>11116</v>
      </c>
      <c r="D25" s="282">
        <v>23581.15</v>
      </c>
      <c r="E25" s="22">
        <f t="shared" si="0"/>
        <v>1.1784814681540023E-2</v>
      </c>
      <c r="F25" s="22">
        <f t="shared" si="0"/>
        <v>8.3392879482127036E-3</v>
      </c>
      <c r="G25" s="282"/>
      <c r="K25" s="282">
        <v>11090</v>
      </c>
      <c r="L25" s="282">
        <v>11160</v>
      </c>
      <c r="M25" s="282">
        <v>10991</v>
      </c>
      <c r="N25" t="s">
        <v>446</v>
      </c>
      <c r="O25" s="95">
        <v>1.5E-3</v>
      </c>
      <c r="P25" s="283">
        <v>46098</v>
      </c>
      <c r="R25" s="282">
        <v>23493.200000000001</v>
      </c>
      <c r="S25" s="282">
        <v>23656.799999999999</v>
      </c>
      <c r="T25" s="282">
        <v>23346.6</v>
      </c>
      <c r="U25" t="s">
        <v>711</v>
      </c>
      <c r="V25" s="95">
        <v>7.4000000000000003E-3</v>
      </c>
    </row>
    <row r="26" spans="2:22" x14ac:dyDescent="0.3">
      <c r="B26" s="283">
        <v>46097</v>
      </c>
      <c r="C26" s="282">
        <v>11099</v>
      </c>
      <c r="D26" s="282">
        <v>23408.799999999999</v>
      </c>
      <c r="E26" s="22">
        <f t="shared" si="0"/>
        <v>1.5316695197764574E-3</v>
      </c>
      <c r="F26" s="22">
        <f t="shared" si="0"/>
        <v>7.3626157684290039E-3</v>
      </c>
      <c r="G26" s="282"/>
      <c r="K26" s="282">
        <v>10670</v>
      </c>
      <c r="L26" s="282">
        <v>11151</v>
      </c>
      <c r="M26" s="282">
        <v>10652</v>
      </c>
      <c r="N26" t="s">
        <v>447</v>
      </c>
      <c r="O26" s="95">
        <v>4.5499999999999999E-2</v>
      </c>
      <c r="P26" s="283">
        <v>46097</v>
      </c>
      <c r="R26" s="282">
        <v>23116.1</v>
      </c>
      <c r="S26" s="282">
        <v>23502</v>
      </c>
      <c r="T26" s="282">
        <v>22955.25</v>
      </c>
      <c r="U26" t="s">
        <v>712</v>
      </c>
      <c r="V26" s="95">
        <v>1.11E-2</v>
      </c>
    </row>
    <row r="27" spans="2:22" x14ac:dyDescent="0.3">
      <c r="B27" s="283">
        <v>46094</v>
      </c>
      <c r="C27" s="282">
        <v>10616</v>
      </c>
      <c r="D27" s="282">
        <v>23151.1</v>
      </c>
      <c r="E27" s="22">
        <f t="shared" si="0"/>
        <v>4.5497362471740743E-2</v>
      </c>
      <c r="F27" s="22">
        <f t="shared" si="0"/>
        <v>1.1131220546755971E-2</v>
      </c>
      <c r="G27" s="282"/>
      <c r="K27" s="282">
        <v>11000</v>
      </c>
      <c r="L27" s="282">
        <v>11000</v>
      </c>
      <c r="M27" s="282">
        <v>10573</v>
      </c>
      <c r="N27" t="s">
        <v>448</v>
      </c>
      <c r="O27" s="95">
        <v>-4.2700000000000002E-2</v>
      </c>
      <c r="P27" s="283">
        <v>46094</v>
      </c>
      <c r="R27" s="282">
        <v>23462.5</v>
      </c>
      <c r="S27" s="282">
        <v>23492.400000000001</v>
      </c>
      <c r="T27" s="282">
        <v>23112</v>
      </c>
      <c r="U27" t="s">
        <v>713</v>
      </c>
      <c r="V27" s="95">
        <v>-2.06E-2</v>
      </c>
    </row>
    <row r="28" spans="2:22" x14ac:dyDescent="0.3">
      <c r="B28" s="283">
        <v>46093</v>
      </c>
      <c r="C28" s="282">
        <v>11089</v>
      </c>
      <c r="D28" s="282">
        <v>23639.15</v>
      </c>
      <c r="E28" s="22">
        <f t="shared" si="0"/>
        <v>-4.2654883217603023E-2</v>
      </c>
      <c r="F28" s="22">
        <f t="shared" si="0"/>
        <v>-2.0645835404403456E-2</v>
      </c>
      <c r="G28" s="282"/>
      <c r="K28" s="282">
        <v>11401</v>
      </c>
      <c r="L28" s="282">
        <v>11405</v>
      </c>
      <c r="M28" s="282">
        <v>11059</v>
      </c>
      <c r="N28" t="s">
        <v>449</v>
      </c>
      <c r="O28" s="95">
        <v>-3.2500000000000001E-2</v>
      </c>
      <c r="P28" s="283">
        <v>46093</v>
      </c>
      <c r="R28" s="282">
        <v>23674.85</v>
      </c>
      <c r="S28" s="282">
        <v>23833.15</v>
      </c>
      <c r="T28" s="282">
        <v>23556.3</v>
      </c>
      <c r="U28" t="s">
        <v>714</v>
      </c>
      <c r="V28" s="95">
        <v>-9.4999999999999998E-3</v>
      </c>
    </row>
    <row r="29" spans="2:22" x14ac:dyDescent="0.3">
      <c r="B29" s="283">
        <v>46092</v>
      </c>
      <c r="C29" s="282">
        <v>11462</v>
      </c>
      <c r="D29" s="282">
        <v>23866.85</v>
      </c>
      <c r="E29" s="22">
        <f t="shared" si="0"/>
        <v>-3.2542313732332961E-2</v>
      </c>
      <c r="F29" s="22">
        <f t="shared" si="0"/>
        <v>-9.5404295078738155E-3</v>
      </c>
      <c r="G29" s="282"/>
      <c r="K29" s="282">
        <v>11650</v>
      </c>
      <c r="L29" s="282">
        <v>11663</v>
      </c>
      <c r="M29" s="282">
        <v>11430</v>
      </c>
      <c r="N29" t="s">
        <v>450</v>
      </c>
      <c r="O29" s="95">
        <v>-1.6500000000000001E-2</v>
      </c>
      <c r="P29" s="283">
        <v>46092</v>
      </c>
      <c r="R29" s="282">
        <v>24231.85</v>
      </c>
      <c r="S29" s="282">
        <v>24299</v>
      </c>
      <c r="T29" s="282">
        <v>23834.3</v>
      </c>
      <c r="U29" t="s">
        <v>715</v>
      </c>
      <c r="V29" s="95">
        <v>-1.6299999999999999E-2</v>
      </c>
    </row>
    <row r="30" spans="2:22" x14ac:dyDescent="0.3">
      <c r="B30" s="283">
        <v>46091</v>
      </c>
      <c r="C30" s="282">
        <v>11654</v>
      </c>
      <c r="D30" s="282">
        <v>24261.599999999999</v>
      </c>
      <c r="E30" s="22">
        <f t="shared" si="0"/>
        <v>-1.6475030032606863E-2</v>
      </c>
      <c r="F30" s="22">
        <f t="shared" si="0"/>
        <v>-1.6270567481122433E-2</v>
      </c>
      <c r="G30" s="282"/>
      <c r="K30" s="282">
        <v>11606</v>
      </c>
      <c r="L30" s="282">
        <v>11759</v>
      </c>
      <c r="M30" s="282">
        <v>11531</v>
      </c>
      <c r="N30" t="s">
        <v>451</v>
      </c>
      <c r="O30" s="95">
        <v>2.4299999999999999E-2</v>
      </c>
      <c r="P30" s="283">
        <v>46091</v>
      </c>
      <c r="R30" s="282">
        <v>24280.799999999999</v>
      </c>
      <c r="S30" s="282">
        <v>24303.8</v>
      </c>
      <c r="T30" s="282">
        <v>24079.95</v>
      </c>
      <c r="U30" t="s">
        <v>716</v>
      </c>
      <c r="V30" s="95">
        <v>9.7000000000000003E-3</v>
      </c>
    </row>
    <row r="31" spans="2:22" x14ac:dyDescent="0.3">
      <c r="B31" s="283">
        <v>46090</v>
      </c>
      <c r="C31" s="282">
        <v>11378</v>
      </c>
      <c r="D31" s="282">
        <v>24028.05</v>
      </c>
      <c r="E31" s="22">
        <f t="shared" si="0"/>
        <v>2.4257338723852939E-2</v>
      </c>
      <c r="F31" s="22">
        <f t="shared" si="0"/>
        <v>9.7198898787043131E-3</v>
      </c>
      <c r="G31" s="282"/>
      <c r="K31" s="282">
        <v>11766</v>
      </c>
      <c r="L31" s="282">
        <v>11808</v>
      </c>
      <c r="M31" s="282">
        <v>11329</v>
      </c>
      <c r="N31" t="s">
        <v>452</v>
      </c>
      <c r="O31" s="95">
        <v>-5.0799999999999998E-2</v>
      </c>
      <c r="P31" s="283">
        <v>46090</v>
      </c>
      <c r="R31" s="282">
        <v>23868.05</v>
      </c>
      <c r="S31" s="282">
        <v>24078.15</v>
      </c>
      <c r="T31" s="282">
        <v>23697.8</v>
      </c>
      <c r="U31" t="s">
        <v>717</v>
      </c>
      <c r="V31" s="95">
        <v>-1.7299999999999999E-2</v>
      </c>
    </row>
    <row r="32" spans="2:22" x14ac:dyDescent="0.3">
      <c r="B32" s="283">
        <v>46087</v>
      </c>
      <c r="C32" s="282">
        <v>11987</v>
      </c>
      <c r="D32" s="282">
        <v>24450.45</v>
      </c>
      <c r="E32" s="22">
        <f t="shared" si="0"/>
        <v>-5.0805038792024693E-2</v>
      </c>
      <c r="F32" s="22">
        <f t="shared" si="0"/>
        <v>-1.7275755660938863E-2</v>
      </c>
      <c r="G32" s="282"/>
      <c r="K32" s="282">
        <v>12160</v>
      </c>
      <c r="L32" s="282">
        <v>12208</v>
      </c>
      <c r="M32" s="282">
        <v>11948</v>
      </c>
      <c r="N32" t="s">
        <v>453</v>
      </c>
      <c r="O32" s="95">
        <v>-2.4500000000000001E-2</v>
      </c>
      <c r="P32" s="283">
        <v>46087</v>
      </c>
      <c r="R32" s="282">
        <v>24656.400000000001</v>
      </c>
      <c r="S32" s="282">
        <v>24700.9</v>
      </c>
      <c r="T32" s="282">
        <v>24415.75</v>
      </c>
      <c r="U32" t="s">
        <v>718</v>
      </c>
      <c r="V32" s="95">
        <v>-1.2699999999999999E-2</v>
      </c>
    </row>
    <row r="33" spans="2:22" x14ac:dyDescent="0.3">
      <c r="B33" s="283">
        <v>46086</v>
      </c>
      <c r="C33" s="282">
        <v>12288</v>
      </c>
      <c r="D33" s="282">
        <v>24765.9</v>
      </c>
      <c r="E33" s="22">
        <f t="shared" si="0"/>
        <v>-2.449544270833337E-2</v>
      </c>
      <c r="F33" s="22">
        <f t="shared" si="0"/>
        <v>-1.2737271813259343E-2</v>
      </c>
      <c r="G33" s="282"/>
      <c r="K33" s="282">
        <v>12107</v>
      </c>
      <c r="L33" s="282">
        <v>12330</v>
      </c>
      <c r="M33" s="282">
        <v>12030</v>
      </c>
      <c r="N33" t="s">
        <v>454</v>
      </c>
      <c r="O33" s="95">
        <v>1.4999999999999999E-2</v>
      </c>
      <c r="P33" s="283">
        <v>46086</v>
      </c>
      <c r="R33" s="282">
        <v>24615.95</v>
      </c>
      <c r="S33" s="282">
        <v>24854.2</v>
      </c>
      <c r="T33" s="282">
        <v>24529.4</v>
      </c>
      <c r="U33" t="s">
        <v>719</v>
      </c>
      <c r="V33" s="95">
        <v>1.17E-2</v>
      </c>
    </row>
    <row r="34" spans="2:22" x14ac:dyDescent="0.3">
      <c r="B34" s="283">
        <v>46085</v>
      </c>
      <c r="C34" s="282">
        <v>12107</v>
      </c>
      <c r="D34" s="282">
        <v>24480.5</v>
      </c>
      <c r="E34" s="22">
        <f t="shared" si="0"/>
        <v>1.4950028908895741E-2</v>
      </c>
      <c r="F34" s="22">
        <f t="shared" si="0"/>
        <v>1.1658258613999051E-2</v>
      </c>
      <c r="G34" s="282"/>
      <c r="K34" s="282">
        <v>12175</v>
      </c>
      <c r="L34" s="282">
        <v>12500</v>
      </c>
      <c r="M34" s="282">
        <v>11888</v>
      </c>
      <c r="N34" t="s">
        <v>455</v>
      </c>
      <c r="O34" s="95">
        <v>-3.3099999999999997E-2</v>
      </c>
      <c r="P34" s="283">
        <v>46085</v>
      </c>
      <c r="R34" s="282">
        <v>24388.799999999999</v>
      </c>
      <c r="S34" s="282">
        <v>24602.45</v>
      </c>
      <c r="T34" s="282">
        <v>24305.4</v>
      </c>
      <c r="U34" t="s">
        <v>720</v>
      </c>
      <c r="V34" s="95">
        <v>-1.55E-2</v>
      </c>
    </row>
    <row r="35" spans="2:22" x14ac:dyDescent="0.3">
      <c r="B35" s="283">
        <v>46083</v>
      </c>
      <c r="C35" s="282">
        <v>12521</v>
      </c>
      <c r="D35" s="282">
        <v>24865.7</v>
      </c>
      <c r="E35" s="22">
        <f t="shared" si="0"/>
        <v>-3.3064451721108501E-2</v>
      </c>
      <c r="F35" s="22">
        <f t="shared" si="0"/>
        <v>-1.5491218827541564E-2</v>
      </c>
      <c r="G35" s="282"/>
      <c r="K35" s="282">
        <v>12375</v>
      </c>
      <c r="L35" s="282">
        <v>12622</v>
      </c>
      <c r="M35" s="282">
        <v>12325</v>
      </c>
      <c r="N35" t="s">
        <v>456</v>
      </c>
      <c r="O35" s="95">
        <v>-1.23E-2</v>
      </c>
      <c r="P35" s="283">
        <v>46083</v>
      </c>
      <c r="R35" s="282">
        <v>24659.25</v>
      </c>
      <c r="S35" s="282">
        <v>24989.35</v>
      </c>
      <c r="T35" s="282">
        <v>24603.5</v>
      </c>
      <c r="U35" t="s">
        <v>721</v>
      </c>
      <c r="V35" s="95">
        <v>-1.24E-2</v>
      </c>
    </row>
    <row r="36" spans="2:22" x14ac:dyDescent="0.3">
      <c r="B36" s="283">
        <v>46080</v>
      </c>
      <c r="C36" s="282">
        <v>12677</v>
      </c>
      <c r="D36" s="282">
        <v>25178.65</v>
      </c>
      <c r="E36" s="22">
        <f t="shared" si="0"/>
        <v>-1.2305750571901863E-2</v>
      </c>
      <c r="F36" s="22">
        <f t="shared" si="0"/>
        <v>-1.2429181072059148E-2</v>
      </c>
      <c r="G36" s="282"/>
      <c r="K36" s="282">
        <v>12895</v>
      </c>
      <c r="L36" s="282">
        <v>12897</v>
      </c>
      <c r="M36" s="282">
        <v>12640</v>
      </c>
      <c r="N36" t="s">
        <v>457</v>
      </c>
      <c r="O36" s="95">
        <v>-2.01E-2</v>
      </c>
      <c r="P36" s="283">
        <v>46080</v>
      </c>
      <c r="R36" s="282">
        <v>25459.85</v>
      </c>
      <c r="S36" s="282">
        <v>25476.400000000001</v>
      </c>
      <c r="T36" s="282">
        <v>25141.3</v>
      </c>
      <c r="U36" t="s">
        <v>722</v>
      </c>
      <c r="V36" s="95">
        <v>-1.2500000000000001E-2</v>
      </c>
    </row>
    <row r="37" spans="2:22" x14ac:dyDescent="0.3">
      <c r="B37" s="283">
        <v>46079</v>
      </c>
      <c r="C37" s="282">
        <v>12937</v>
      </c>
      <c r="D37" s="282">
        <v>25496.55</v>
      </c>
      <c r="E37" s="22">
        <f t="shared" si="0"/>
        <v>-2.0097395068408463E-2</v>
      </c>
      <c r="F37" s="22">
        <f t="shared" si="0"/>
        <v>-1.2468353561560175E-2</v>
      </c>
      <c r="G37" s="282"/>
      <c r="K37" s="282">
        <v>13089</v>
      </c>
      <c r="L37" s="282">
        <v>13089</v>
      </c>
      <c r="M37" s="282">
        <v>12830</v>
      </c>
      <c r="N37" t="s">
        <v>458</v>
      </c>
      <c r="O37" s="95">
        <v>-8.0000000000000002E-3</v>
      </c>
      <c r="P37" s="283">
        <v>46079</v>
      </c>
      <c r="R37" s="282">
        <v>25556.3</v>
      </c>
      <c r="S37" s="282">
        <v>25572.95</v>
      </c>
      <c r="T37" s="282">
        <v>25400.95</v>
      </c>
      <c r="U37" t="s">
        <v>723</v>
      </c>
      <c r="V37" s="95">
        <v>5.9999999999999995E-4</v>
      </c>
    </row>
    <row r="38" spans="2:22" x14ac:dyDescent="0.3">
      <c r="B38" s="283">
        <v>46078</v>
      </c>
      <c r="C38" s="282">
        <v>13041</v>
      </c>
      <c r="D38" s="282">
        <v>25482.5</v>
      </c>
      <c r="E38" s="22">
        <f t="shared" si="0"/>
        <v>-7.9748485545586556E-3</v>
      </c>
      <c r="F38" s="22">
        <f t="shared" si="0"/>
        <v>5.5135877563028401E-4</v>
      </c>
      <c r="G38" s="282"/>
      <c r="K38" s="282">
        <v>12961</v>
      </c>
      <c r="L38" s="282">
        <v>13061</v>
      </c>
      <c r="M38" s="282">
        <v>12866</v>
      </c>
      <c r="N38" t="s">
        <v>459</v>
      </c>
      <c r="O38" s="95">
        <v>6.3E-3</v>
      </c>
      <c r="P38" s="283">
        <v>46078</v>
      </c>
      <c r="R38" s="282">
        <v>25512.6</v>
      </c>
      <c r="S38" s="282">
        <v>25652.6</v>
      </c>
      <c r="T38" s="282">
        <v>25428.2</v>
      </c>
      <c r="U38" t="s">
        <v>724</v>
      </c>
      <c r="V38" s="95">
        <v>2.3E-3</v>
      </c>
    </row>
    <row r="39" spans="2:22" x14ac:dyDescent="0.3">
      <c r="B39" s="283">
        <v>46077</v>
      </c>
      <c r="C39" s="282">
        <v>12960</v>
      </c>
      <c r="D39" s="282">
        <v>25424.65</v>
      </c>
      <c r="E39" s="22">
        <f t="shared" si="0"/>
        <v>6.2500000000000888E-3</v>
      </c>
      <c r="F39" s="22">
        <f t="shared" si="0"/>
        <v>2.275350889786143E-3</v>
      </c>
      <c r="G39" s="282"/>
      <c r="K39" s="282">
        <v>12972</v>
      </c>
      <c r="L39" s="282">
        <v>13010</v>
      </c>
      <c r="M39" s="282">
        <v>12900</v>
      </c>
      <c r="N39" t="s">
        <v>460</v>
      </c>
      <c r="O39" s="95">
        <v>-1.1999999999999999E-3</v>
      </c>
      <c r="P39" s="283">
        <v>46077</v>
      </c>
      <c r="R39" s="282">
        <v>25641.8</v>
      </c>
      <c r="S39" s="282">
        <v>25641.8</v>
      </c>
      <c r="T39" s="282">
        <v>25327.599999999999</v>
      </c>
      <c r="U39" t="s">
        <v>725</v>
      </c>
      <c r="V39" s="95">
        <v>-1.12E-2</v>
      </c>
    </row>
    <row r="40" spans="2:22" x14ac:dyDescent="0.3">
      <c r="B40" s="283">
        <v>46076</v>
      </c>
      <c r="C40" s="282">
        <v>12976</v>
      </c>
      <c r="D40" s="282">
        <v>25713</v>
      </c>
      <c r="E40" s="22">
        <f t="shared" si="0"/>
        <v>-1.2330456226880004E-3</v>
      </c>
      <c r="F40" s="22">
        <f t="shared" si="0"/>
        <v>-1.1214171819702079E-2</v>
      </c>
      <c r="G40" s="282"/>
      <c r="K40" s="282">
        <v>12830</v>
      </c>
      <c r="L40" s="282">
        <v>12996</v>
      </c>
      <c r="M40" s="282">
        <v>12759</v>
      </c>
      <c r="N40" t="s">
        <v>461</v>
      </c>
      <c r="O40" s="95">
        <v>1.6400000000000001E-2</v>
      </c>
      <c r="P40" s="283">
        <v>46076</v>
      </c>
      <c r="R40" s="282">
        <v>25678.400000000001</v>
      </c>
      <c r="S40" s="282">
        <v>25771.45</v>
      </c>
      <c r="T40" s="282">
        <v>25609.35</v>
      </c>
      <c r="U40" t="s">
        <v>726</v>
      </c>
      <c r="V40" s="95">
        <v>5.4999999999999997E-3</v>
      </c>
    </row>
    <row r="41" spans="2:22" x14ac:dyDescent="0.3">
      <c r="B41" s="283">
        <v>46073</v>
      </c>
      <c r="C41" s="282">
        <v>12766</v>
      </c>
      <c r="D41" s="282">
        <v>25571.25</v>
      </c>
      <c r="E41" s="22">
        <f t="shared" si="0"/>
        <v>1.6449945166849389E-2</v>
      </c>
      <c r="F41" s="22">
        <f t="shared" si="0"/>
        <v>5.5433347998239402E-3</v>
      </c>
      <c r="G41" s="282"/>
      <c r="K41" s="282">
        <v>12650</v>
      </c>
      <c r="L41" s="282">
        <v>12838</v>
      </c>
      <c r="M41" s="282">
        <v>12578</v>
      </c>
      <c r="N41" t="s">
        <v>462</v>
      </c>
      <c r="O41" s="95">
        <v>6.1000000000000004E-3</v>
      </c>
      <c r="P41" s="283">
        <v>46073</v>
      </c>
      <c r="R41" s="282">
        <v>25406.55</v>
      </c>
      <c r="S41" s="282">
        <v>25663.55</v>
      </c>
      <c r="T41" s="282">
        <v>25379.75</v>
      </c>
      <c r="U41" t="s">
        <v>727</v>
      </c>
      <c r="V41" s="95">
        <v>4.5999999999999999E-3</v>
      </c>
    </row>
    <row r="42" spans="2:22" x14ac:dyDescent="0.3">
      <c r="B42" s="283">
        <v>46072</v>
      </c>
      <c r="C42" s="282">
        <v>12688</v>
      </c>
      <c r="D42" s="282">
        <v>25454.35</v>
      </c>
      <c r="E42" s="22">
        <f t="shared" si="0"/>
        <v>6.1475409836064809E-3</v>
      </c>
      <c r="F42" s="22">
        <f t="shared" si="0"/>
        <v>4.5925352641100758E-3</v>
      </c>
      <c r="G42" s="282"/>
      <c r="K42" s="282">
        <v>13039</v>
      </c>
      <c r="L42" s="282">
        <v>13059</v>
      </c>
      <c r="M42" s="282">
        <v>12637</v>
      </c>
      <c r="N42" t="s">
        <v>463</v>
      </c>
      <c r="O42" s="95">
        <v>-2.7900000000000001E-2</v>
      </c>
      <c r="P42" s="283">
        <v>46072</v>
      </c>
      <c r="R42" s="282">
        <v>25873.35</v>
      </c>
      <c r="S42" s="282">
        <v>25885.3</v>
      </c>
      <c r="T42" s="282">
        <v>25388.75</v>
      </c>
      <c r="U42" t="s">
        <v>728</v>
      </c>
      <c r="V42" s="95">
        <v>-1.41E-2</v>
      </c>
    </row>
    <row r="43" spans="2:22" x14ac:dyDescent="0.3">
      <c r="B43" s="283">
        <v>46071</v>
      </c>
      <c r="C43" s="282">
        <v>13052</v>
      </c>
      <c r="D43" s="282">
        <v>25819.35</v>
      </c>
      <c r="E43" s="22">
        <f t="shared" si="0"/>
        <v>-2.7888446215139417E-2</v>
      </c>
      <c r="F43" s="22">
        <f t="shared" si="0"/>
        <v>-1.4136684308474035E-2</v>
      </c>
      <c r="G43" s="282"/>
      <c r="K43" s="282">
        <v>12986</v>
      </c>
      <c r="L43" s="282">
        <v>13095</v>
      </c>
      <c r="M43" s="282">
        <v>12986</v>
      </c>
      <c r="N43" t="s">
        <v>464</v>
      </c>
      <c r="O43" s="95">
        <v>5.1999999999999998E-3</v>
      </c>
      <c r="P43" s="283">
        <v>46071</v>
      </c>
      <c r="R43" s="282">
        <v>25752.65</v>
      </c>
      <c r="S43" s="282">
        <v>25828.05</v>
      </c>
      <c r="T43" s="282">
        <v>25645.15</v>
      </c>
      <c r="U43" t="s">
        <v>729</v>
      </c>
      <c r="V43" s="95">
        <v>3.7000000000000002E-3</v>
      </c>
    </row>
    <row r="44" spans="2:22" x14ac:dyDescent="0.3">
      <c r="B44" s="283">
        <v>46070</v>
      </c>
      <c r="C44" s="282">
        <v>12984</v>
      </c>
      <c r="D44" s="282">
        <v>25725.4</v>
      </c>
      <c r="E44" s="22">
        <f t="shared" si="0"/>
        <v>5.2372150338879653E-3</v>
      </c>
      <c r="F44" s="22">
        <f t="shared" si="0"/>
        <v>3.6520326214557475E-3</v>
      </c>
      <c r="G44" s="282"/>
      <c r="K44" s="282">
        <v>12955</v>
      </c>
      <c r="L44" s="282">
        <v>13008</v>
      </c>
      <c r="M44" s="282">
        <v>12838</v>
      </c>
      <c r="N44" t="s">
        <v>465</v>
      </c>
      <c r="O44" s="95">
        <v>2.0000000000000001E-4</v>
      </c>
      <c r="P44" s="283">
        <v>46070</v>
      </c>
      <c r="R44" s="282">
        <v>25637.95</v>
      </c>
      <c r="S44" s="282">
        <v>25764.400000000001</v>
      </c>
      <c r="T44" s="282">
        <v>25570.3</v>
      </c>
      <c r="U44" t="s">
        <v>730</v>
      </c>
      <c r="V44" s="95">
        <v>1.6999999999999999E-3</v>
      </c>
    </row>
    <row r="45" spans="2:22" x14ac:dyDescent="0.3">
      <c r="B45" s="283">
        <v>46069</v>
      </c>
      <c r="C45" s="282">
        <v>12981</v>
      </c>
      <c r="D45" s="282">
        <v>25682.75</v>
      </c>
      <c r="E45" s="22">
        <f t="shared" si="0"/>
        <v>2.3110700254225236E-4</v>
      </c>
      <c r="F45" s="22">
        <f t="shared" si="0"/>
        <v>1.6606477110123752E-3</v>
      </c>
      <c r="G45" s="282"/>
      <c r="K45" s="282">
        <v>12897</v>
      </c>
      <c r="L45" s="282">
        <v>12997</v>
      </c>
      <c r="M45" s="282">
        <v>12861</v>
      </c>
      <c r="N45" t="s">
        <v>466</v>
      </c>
      <c r="O45" s="95">
        <v>1.4E-3</v>
      </c>
      <c r="P45" s="283">
        <v>46069</v>
      </c>
      <c r="R45" s="282">
        <v>25423.599999999999</v>
      </c>
      <c r="S45" s="282">
        <v>25697</v>
      </c>
      <c r="T45" s="282">
        <v>25372.7</v>
      </c>
      <c r="U45" t="s">
        <v>731</v>
      </c>
      <c r="V45" s="95">
        <v>8.3000000000000001E-3</v>
      </c>
    </row>
    <row r="46" spans="2:22" x14ac:dyDescent="0.3">
      <c r="B46" s="283">
        <v>46066</v>
      </c>
      <c r="C46" s="282">
        <v>12963</v>
      </c>
      <c r="D46" s="282">
        <v>25471.1</v>
      </c>
      <c r="E46" s="22">
        <f t="shared" si="0"/>
        <v>1.3885674612357235E-3</v>
      </c>
      <c r="F46" s="22">
        <f t="shared" si="0"/>
        <v>8.3094173396516258E-3</v>
      </c>
      <c r="G46" s="282"/>
      <c r="K46" s="282">
        <v>13012</v>
      </c>
      <c r="L46" s="282">
        <v>13025</v>
      </c>
      <c r="M46" s="282">
        <v>12873</v>
      </c>
      <c r="N46" t="s">
        <v>467</v>
      </c>
      <c r="O46" s="95">
        <v>-5.1000000000000004E-3</v>
      </c>
      <c r="P46" s="283">
        <v>46066</v>
      </c>
      <c r="R46" s="282">
        <v>25571.15</v>
      </c>
      <c r="S46" s="282">
        <v>25630.35</v>
      </c>
      <c r="T46" s="282">
        <v>25444.3</v>
      </c>
      <c r="U46" t="s">
        <v>732</v>
      </c>
      <c r="V46" s="95">
        <v>-1.2999999999999999E-2</v>
      </c>
    </row>
    <row r="47" spans="2:22" x14ac:dyDescent="0.3">
      <c r="B47" s="283">
        <v>46065</v>
      </c>
      <c r="C47" s="282">
        <v>13029</v>
      </c>
      <c r="D47" s="282">
        <v>25807.200000000001</v>
      </c>
      <c r="E47" s="22">
        <f t="shared" si="0"/>
        <v>-5.0656228413539228E-3</v>
      </c>
      <c r="F47" s="22">
        <f t="shared" si="0"/>
        <v>-1.3023497318577881E-2</v>
      </c>
      <c r="G47" s="282"/>
      <c r="K47" s="282">
        <v>12969</v>
      </c>
      <c r="L47" s="282">
        <v>13071</v>
      </c>
      <c r="M47" s="282">
        <v>12900</v>
      </c>
      <c r="N47" t="s">
        <v>468</v>
      </c>
      <c r="O47" s="95">
        <v>4.5999999999999999E-3</v>
      </c>
      <c r="P47" s="283">
        <v>46065</v>
      </c>
      <c r="R47" s="282">
        <v>25906.7</v>
      </c>
      <c r="S47" s="282">
        <v>25906.7</v>
      </c>
      <c r="T47" s="282">
        <v>25752.400000000001</v>
      </c>
      <c r="U47" t="s">
        <v>733</v>
      </c>
      <c r="V47" s="95">
        <v>-5.7000000000000002E-3</v>
      </c>
    </row>
    <row r="48" spans="2:22" x14ac:dyDescent="0.3">
      <c r="B48" s="283">
        <v>46064</v>
      </c>
      <c r="C48" s="282">
        <v>12969</v>
      </c>
      <c r="D48" s="282">
        <v>25953.85</v>
      </c>
      <c r="E48" s="22">
        <f t="shared" si="0"/>
        <v>4.6264168401572991E-3</v>
      </c>
      <c r="F48" s="22">
        <f t="shared" si="0"/>
        <v>-5.6504141004127817E-3</v>
      </c>
      <c r="G48" s="282"/>
      <c r="K48" s="282">
        <v>13087</v>
      </c>
      <c r="L48" s="282">
        <v>13087</v>
      </c>
      <c r="M48" s="282">
        <v>12907</v>
      </c>
      <c r="N48" t="s">
        <v>469</v>
      </c>
      <c r="O48" s="95">
        <v>-4.1000000000000003E-3</v>
      </c>
      <c r="P48" s="283">
        <v>46064</v>
      </c>
      <c r="R48" s="282">
        <v>25997.45</v>
      </c>
      <c r="S48" s="282">
        <v>26009.4</v>
      </c>
      <c r="T48" s="282">
        <v>25899.8</v>
      </c>
      <c r="U48" t="s">
        <v>734</v>
      </c>
      <c r="V48" s="95">
        <v>6.9999999999999999E-4</v>
      </c>
    </row>
    <row r="49" spans="2:22" x14ac:dyDescent="0.3">
      <c r="B49" s="283">
        <v>46063</v>
      </c>
      <c r="C49" s="282">
        <v>13023</v>
      </c>
      <c r="D49" s="282">
        <v>25935.15</v>
      </c>
      <c r="E49" s="22">
        <f t="shared" si="0"/>
        <v>-4.146510020732519E-3</v>
      </c>
      <c r="F49" s="22">
        <f t="shared" si="0"/>
        <v>7.2102918240291025E-4</v>
      </c>
      <c r="G49" s="282"/>
      <c r="K49" s="282">
        <v>13060</v>
      </c>
      <c r="L49" s="282">
        <v>13110</v>
      </c>
      <c r="M49" s="282">
        <v>12968</v>
      </c>
      <c r="N49" t="s">
        <v>470</v>
      </c>
      <c r="O49" s="95">
        <v>-1.9E-3</v>
      </c>
      <c r="P49" s="283">
        <v>46063</v>
      </c>
      <c r="R49" s="282">
        <v>25922.65</v>
      </c>
      <c r="S49" s="282">
        <v>25989.45</v>
      </c>
      <c r="T49" s="282">
        <v>25870.45</v>
      </c>
      <c r="U49" t="s">
        <v>735</v>
      </c>
      <c r="V49" s="95">
        <v>2.5999999999999999E-3</v>
      </c>
    </row>
    <row r="50" spans="2:22" x14ac:dyDescent="0.3">
      <c r="B50" s="283">
        <v>46062</v>
      </c>
      <c r="C50" s="282">
        <v>13048</v>
      </c>
      <c r="D50" s="282">
        <v>25867.3</v>
      </c>
      <c r="E50" s="22">
        <f t="shared" si="0"/>
        <v>-1.9160024524831343E-3</v>
      </c>
      <c r="F50" s="22">
        <f t="shared" si="0"/>
        <v>2.6230027873028749E-3</v>
      </c>
      <c r="G50" s="282"/>
      <c r="K50" s="282">
        <v>12809</v>
      </c>
      <c r="L50" s="282">
        <v>13071</v>
      </c>
      <c r="M50" s="282">
        <v>12722</v>
      </c>
      <c r="N50" t="s">
        <v>471</v>
      </c>
      <c r="O50" s="95">
        <v>2.5600000000000001E-2</v>
      </c>
      <c r="P50" s="283">
        <v>46062</v>
      </c>
      <c r="R50" s="282">
        <v>25888.7</v>
      </c>
      <c r="S50" s="282">
        <v>25922.25</v>
      </c>
      <c r="T50" s="282">
        <v>25780.9</v>
      </c>
      <c r="U50" t="s">
        <v>736</v>
      </c>
      <c r="V50" s="95">
        <v>6.7999999999999996E-3</v>
      </c>
    </row>
    <row r="51" spans="2:22" x14ac:dyDescent="0.3">
      <c r="B51" s="283">
        <v>46059</v>
      </c>
      <c r="C51" s="282">
        <v>12722</v>
      </c>
      <c r="D51" s="282">
        <v>25693.7</v>
      </c>
      <c r="E51" s="22">
        <f t="shared" si="0"/>
        <v>2.5624901745008755E-2</v>
      </c>
      <c r="F51" s="22">
        <f t="shared" si="0"/>
        <v>6.7565200807979675E-3</v>
      </c>
      <c r="G51" s="282"/>
      <c r="K51" s="282">
        <v>12725</v>
      </c>
      <c r="L51" s="282">
        <v>12775</v>
      </c>
      <c r="M51" s="282">
        <v>12622</v>
      </c>
      <c r="N51" t="s">
        <v>472</v>
      </c>
      <c r="O51" s="95">
        <v>-4.0000000000000001E-3</v>
      </c>
      <c r="P51" s="283">
        <v>46059</v>
      </c>
      <c r="R51" s="282">
        <v>25605.8</v>
      </c>
      <c r="S51" s="282">
        <v>25703.95</v>
      </c>
      <c r="T51" s="282">
        <v>25491.9</v>
      </c>
      <c r="U51" t="s">
        <v>737</v>
      </c>
      <c r="V51" s="95">
        <v>2E-3</v>
      </c>
    </row>
    <row r="52" spans="2:22" x14ac:dyDescent="0.3">
      <c r="B52" s="283">
        <v>46058</v>
      </c>
      <c r="C52" s="282">
        <v>12773</v>
      </c>
      <c r="D52" s="282">
        <v>25642.799999999999</v>
      </c>
      <c r="E52" s="22">
        <f t="shared" si="0"/>
        <v>-3.992797306819118E-3</v>
      </c>
      <c r="F52" s="22">
        <f t="shared" si="0"/>
        <v>1.9849626405852305E-3</v>
      </c>
      <c r="G52" s="282"/>
      <c r="K52" s="282">
        <v>12762</v>
      </c>
      <c r="L52" s="282">
        <v>12834</v>
      </c>
      <c r="M52" s="282">
        <v>12732</v>
      </c>
      <c r="N52" t="s">
        <v>473</v>
      </c>
      <c r="O52" s="95">
        <v>-2.5999999999999999E-3</v>
      </c>
      <c r="P52" s="283">
        <v>46058</v>
      </c>
      <c r="R52" s="282">
        <v>25755.9</v>
      </c>
      <c r="S52" s="282">
        <v>25757.65</v>
      </c>
      <c r="T52" s="282">
        <v>25579.5</v>
      </c>
      <c r="U52" t="s">
        <v>738</v>
      </c>
      <c r="V52" s="95">
        <v>-5.1999999999999998E-3</v>
      </c>
    </row>
    <row r="53" spans="2:22" x14ac:dyDescent="0.3">
      <c r="B53" s="283">
        <v>46057</v>
      </c>
      <c r="C53" s="282">
        <v>12806</v>
      </c>
      <c r="D53" s="282">
        <v>25776</v>
      </c>
      <c r="E53" s="22">
        <f t="shared" si="0"/>
        <v>-2.576917070123419E-3</v>
      </c>
      <c r="F53" s="22">
        <f t="shared" si="0"/>
        <v>-5.16759776536313E-3</v>
      </c>
      <c r="G53" s="282"/>
      <c r="K53" s="282">
        <v>12600</v>
      </c>
      <c r="L53" s="282">
        <v>12839</v>
      </c>
      <c r="M53" s="282">
        <v>12585</v>
      </c>
      <c r="N53" t="s">
        <v>474</v>
      </c>
      <c r="O53" s="95">
        <v>1.72E-2</v>
      </c>
      <c r="P53" s="283">
        <v>46057</v>
      </c>
      <c r="R53" s="282">
        <v>25675.05</v>
      </c>
      <c r="S53" s="282">
        <v>25818.55</v>
      </c>
      <c r="T53" s="282">
        <v>25563.95</v>
      </c>
      <c r="U53" t="s">
        <v>739</v>
      </c>
      <c r="V53" s="95">
        <v>1.9E-3</v>
      </c>
    </row>
    <row r="54" spans="2:22" x14ac:dyDescent="0.3">
      <c r="B54" s="283">
        <v>46056</v>
      </c>
      <c r="C54" s="282">
        <v>12590</v>
      </c>
      <c r="D54" s="282">
        <v>25727.55</v>
      </c>
      <c r="E54" s="22">
        <f t="shared" si="0"/>
        <v>1.7156473391580551E-2</v>
      </c>
      <c r="F54" s="22">
        <f t="shared" si="0"/>
        <v>1.8831952517825989E-3</v>
      </c>
      <c r="G54" s="282"/>
      <c r="K54" s="282">
        <v>12800</v>
      </c>
      <c r="L54" s="282">
        <v>12952</v>
      </c>
      <c r="M54" s="282">
        <v>12575</v>
      </c>
      <c r="N54" t="s">
        <v>475</v>
      </c>
      <c r="O54" s="95">
        <v>4.4000000000000003E-3</v>
      </c>
      <c r="P54" s="283">
        <v>46056</v>
      </c>
      <c r="R54" s="282">
        <v>26308.05</v>
      </c>
      <c r="S54" s="282">
        <v>26341.200000000001</v>
      </c>
      <c r="T54" s="282">
        <v>25641.3</v>
      </c>
      <c r="U54" t="s">
        <v>740</v>
      </c>
      <c r="V54" s="95">
        <v>2.5499999999999998E-2</v>
      </c>
    </row>
    <row r="55" spans="2:22" x14ac:dyDescent="0.3">
      <c r="B55" s="283">
        <v>46055</v>
      </c>
      <c r="C55" s="282">
        <v>12535</v>
      </c>
      <c r="D55" s="282">
        <v>25088.400000000001</v>
      </c>
      <c r="E55" s="22">
        <f t="shared" ref="E55:E118" si="1">C54/C55-1</f>
        <v>4.3877143996808865E-3</v>
      </c>
      <c r="F55" s="22">
        <f t="shared" ref="F55:F118" si="2">D54/D55-1</f>
        <v>2.5475917156932981E-2</v>
      </c>
      <c r="K55" s="282">
        <v>12380</v>
      </c>
      <c r="L55" s="282">
        <v>12600</v>
      </c>
      <c r="M55" s="282">
        <v>12191</v>
      </c>
      <c r="N55" t="s">
        <v>476</v>
      </c>
      <c r="O55" s="95">
        <v>2.0400000000000001E-2</v>
      </c>
      <c r="P55" s="283">
        <v>46055</v>
      </c>
      <c r="R55" s="282">
        <v>24796.5</v>
      </c>
      <c r="S55" s="282">
        <v>25108.1</v>
      </c>
      <c r="T55" s="282">
        <v>24679.4</v>
      </c>
      <c r="U55" t="s">
        <v>741</v>
      </c>
      <c r="V55" s="95">
        <v>1.06E-2</v>
      </c>
    </row>
    <row r="56" spans="2:22" x14ac:dyDescent="0.3">
      <c r="B56" s="283">
        <v>46054</v>
      </c>
      <c r="C56" s="282">
        <v>12284</v>
      </c>
      <c r="D56" s="282">
        <v>24825.45</v>
      </c>
      <c r="E56" s="22">
        <f t="shared" si="1"/>
        <v>2.0433083686095754E-2</v>
      </c>
      <c r="F56" s="22">
        <f t="shared" si="2"/>
        <v>1.05919530159575E-2</v>
      </c>
      <c r="K56" s="282">
        <v>12758</v>
      </c>
      <c r="L56" s="282">
        <v>12799</v>
      </c>
      <c r="M56" s="282">
        <v>12238</v>
      </c>
      <c r="N56" t="s">
        <v>477</v>
      </c>
      <c r="O56" s="95">
        <v>-3.2300000000000002E-2</v>
      </c>
      <c r="P56" s="283">
        <v>46054</v>
      </c>
      <c r="R56" s="282">
        <v>25333.75</v>
      </c>
      <c r="S56" s="282">
        <v>25440.9</v>
      </c>
      <c r="T56" s="282">
        <v>24571.75</v>
      </c>
      <c r="U56" t="s">
        <v>742</v>
      </c>
      <c r="V56" s="95">
        <v>-1.9599999999999999E-2</v>
      </c>
    </row>
    <row r="57" spans="2:22" x14ac:dyDescent="0.3">
      <c r="B57" s="283">
        <v>46052</v>
      </c>
      <c r="C57" s="282">
        <v>12694</v>
      </c>
      <c r="D57" s="282">
        <v>25320.65</v>
      </c>
      <c r="E57" s="22">
        <f t="shared" si="1"/>
        <v>-3.2298723806522767E-2</v>
      </c>
      <c r="F57" s="22">
        <f t="shared" si="2"/>
        <v>-1.955715986753892E-2</v>
      </c>
      <c r="K57" s="282">
        <v>12649</v>
      </c>
      <c r="L57" s="282">
        <v>12725</v>
      </c>
      <c r="M57" s="282">
        <v>12536</v>
      </c>
      <c r="N57" t="s">
        <v>478</v>
      </c>
      <c r="O57" s="95">
        <v>-1.8E-3</v>
      </c>
      <c r="P57" s="283">
        <v>46052</v>
      </c>
      <c r="R57" s="282">
        <v>25247.55</v>
      </c>
      <c r="S57" s="282">
        <v>25370.7</v>
      </c>
      <c r="T57" s="282">
        <v>25213.65</v>
      </c>
      <c r="U57" t="s">
        <v>743</v>
      </c>
      <c r="V57" s="95">
        <v>-3.8999999999999998E-3</v>
      </c>
    </row>
    <row r="58" spans="2:22" x14ac:dyDescent="0.3">
      <c r="B58" s="283">
        <v>46051</v>
      </c>
      <c r="C58" s="282">
        <v>12717</v>
      </c>
      <c r="D58" s="282">
        <v>25418.9</v>
      </c>
      <c r="E58" s="22">
        <f t="shared" si="1"/>
        <v>-1.8086026578595371E-3</v>
      </c>
      <c r="F58" s="22">
        <f t="shared" si="2"/>
        <v>-3.8652341368037302E-3</v>
      </c>
      <c r="K58" s="282">
        <v>12758</v>
      </c>
      <c r="L58" s="282">
        <v>12758</v>
      </c>
      <c r="M58" s="282">
        <v>12554</v>
      </c>
      <c r="N58" t="s">
        <v>479</v>
      </c>
      <c r="O58" s="95">
        <v>-3.8999999999999998E-3</v>
      </c>
      <c r="P58" s="283">
        <v>46051</v>
      </c>
      <c r="R58" s="282">
        <v>25345</v>
      </c>
      <c r="S58" s="282">
        <v>25458.15</v>
      </c>
      <c r="T58" s="282">
        <v>25159.8</v>
      </c>
      <c r="U58" t="s">
        <v>744</v>
      </c>
      <c r="V58" s="95">
        <v>3.0000000000000001E-3</v>
      </c>
    </row>
    <row r="59" spans="2:22" x14ac:dyDescent="0.3">
      <c r="B59" s="283">
        <v>46050</v>
      </c>
      <c r="C59" s="282">
        <v>12767</v>
      </c>
      <c r="D59" s="282">
        <v>25342.75</v>
      </c>
      <c r="E59" s="22">
        <f t="shared" si="1"/>
        <v>-3.9163468316754102E-3</v>
      </c>
      <c r="F59" s="22">
        <f t="shared" si="2"/>
        <v>3.004804135305017E-3</v>
      </c>
      <c r="K59" s="282">
        <v>12640</v>
      </c>
      <c r="L59" s="282">
        <v>12790</v>
      </c>
      <c r="M59" s="282">
        <v>12561</v>
      </c>
      <c r="N59" t="s">
        <v>480</v>
      </c>
      <c r="O59" s="95">
        <v>1.41E-2</v>
      </c>
      <c r="P59" s="283">
        <v>46050</v>
      </c>
      <c r="R59" s="282">
        <v>25258.85</v>
      </c>
      <c r="S59" s="282">
        <v>25372.1</v>
      </c>
      <c r="T59" s="282">
        <v>25187.65</v>
      </c>
      <c r="U59" t="s">
        <v>745</v>
      </c>
      <c r="V59" s="95">
        <v>6.6E-3</v>
      </c>
    </row>
    <row r="60" spans="2:22" x14ac:dyDescent="0.3">
      <c r="B60" s="283">
        <v>46049</v>
      </c>
      <c r="C60" s="282">
        <v>12589</v>
      </c>
      <c r="D60" s="282">
        <v>25175.4</v>
      </c>
      <c r="E60" s="22">
        <f t="shared" si="1"/>
        <v>1.4139327984748595E-2</v>
      </c>
      <c r="F60" s="22">
        <f t="shared" si="2"/>
        <v>6.6473621074540912E-3</v>
      </c>
      <c r="K60" s="282">
        <v>12544</v>
      </c>
      <c r="L60" s="282">
        <v>12825</v>
      </c>
      <c r="M60" s="282">
        <v>12500</v>
      </c>
      <c r="N60" t="s">
        <v>481</v>
      </c>
      <c r="O60" s="95">
        <v>1.78E-2</v>
      </c>
      <c r="P60" s="283">
        <v>46049</v>
      </c>
      <c r="R60" s="282">
        <v>25063.35</v>
      </c>
      <c r="S60" s="282">
        <v>25246.65</v>
      </c>
      <c r="T60" s="282">
        <v>24932.55</v>
      </c>
      <c r="U60" t="s">
        <v>746</v>
      </c>
      <c r="V60" s="95">
        <v>5.1000000000000004E-3</v>
      </c>
    </row>
    <row r="61" spans="2:22" x14ac:dyDescent="0.3">
      <c r="B61" s="283">
        <v>46045</v>
      </c>
      <c r="C61" s="282">
        <v>12369</v>
      </c>
      <c r="D61" s="282">
        <v>25048.65</v>
      </c>
      <c r="E61" s="22">
        <f t="shared" si="1"/>
        <v>1.778640148758992E-2</v>
      </c>
      <c r="F61" s="22">
        <f t="shared" si="2"/>
        <v>5.0601529423741631E-3</v>
      </c>
      <c r="K61" s="282">
        <v>12375</v>
      </c>
      <c r="L61" s="282">
        <v>12554</v>
      </c>
      <c r="M61" s="282">
        <v>12283</v>
      </c>
      <c r="N61" t="s">
        <v>482</v>
      </c>
      <c r="O61" s="95">
        <v>4.0000000000000002E-4</v>
      </c>
      <c r="P61" s="283">
        <v>46045</v>
      </c>
      <c r="R61" s="282">
        <v>25344.6</v>
      </c>
      <c r="S61" s="282">
        <v>25347.95</v>
      </c>
      <c r="T61" s="282">
        <v>25025.3</v>
      </c>
      <c r="U61" t="s">
        <v>747</v>
      </c>
      <c r="V61" s="95">
        <v>-9.4999999999999998E-3</v>
      </c>
    </row>
    <row r="62" spans="2:22" x14ac:dyDescent="0.3">
      <c r="B62" s="283">
        <v>46044</v>
      </c>
      <c r="C62" s="282">
        <v>12364</v>
      </c>
      <c r="D62" s="282">
        <v>25289.9</v>
      </c>
      <c r="E62" s="22">
        <f t="shared" si="1"/>
        <v>4.0439987059204263E-4</v>
      </c>
      <c r="F62" s="22">
        <f t="shared" si="2"/>
        <v>-9.5393813340503009E-3</v>
      </c>
      <c r="K62" s="282">
        <v>12293</v>
      </c>
      <c r="L62" s="282">
        <v>12400</v>
      </c>
      <c r="M62" s="282">
        <v>12165</v>
      </c>
      <c r="N62" t="s">
        <v>483</v>
      </c>
      <c r="O62" s="95">
        <v>1.09E-2</v>
      </c>
      <c r="P62" s="283">
        <v>46044</v>
      </c>
      <c r="R62" s="282">
        <v>25344.15</v>
      </c>
      <c r="S62" s="282">
        <v>25435.75</v>
      </c>
      <c r="T62" s="282">
        <v>25168.5</v>
      </c>
      <c r="U62" t="s">
        <v>748</v>
      </c>
      <c r="V62" s="95">
        <v>5.3E-3</v>
      </c>
    </row>
    <row r="63" spans="2:22" x14ac:dyDescent="0.3">
      <c r="B63" s="283">
        <v>46043</v>
      </c>
      <c r="C63" s="282">
        <v>12231</v>
      </c>
      <c r="D63" s="282">
        <v>25157.5</v>
      </c>
      <c r="E63" s="22">
        <f t="shared" si="1"/>
        <v>1.0874008666503121E-2</v>
      </c>
      <c r="F63" s="22">
        <f t="shared" si="2"/>
        <v>5.2628440822817257E-3</v>
      </c>
      <c r="K63" s="282">
        <v>12059</v>
      </c>
      <c r="L63" s="282">
        <v>12280</v>
      </c>
      <c r="M63" s="282">
        <v>11984</v>
      </c>
      <c r="N63" t="s">
        <v>484</v>
      </c>
      <c r="O63" s="95">
        <v>1.43E-2</v>
      </c>
      <c r="P63" s="283">
        <v>46043</v>
      </c>
      <c r="R63" s="282">
        <v>25141</v>
      </c>
      <c r="S63" s="282">
        <v>25300.95</v>
      </c>
      <c r="T63" s="282">
        <v>24919.8</v>
      </c>
      <c r="U63" t="s">
        <v>749</v>
      </c>
      <c r="V63" s="95">
        <v>-3.0000000000000001E-3</v>
      </c>
    </row>
    <row r="64" spans="2:22" x14ac:dyDescent="0.3">
      <c r="B64" s="283">
        <v>46042</v>
      </c>
      <c r="C64" s="282">
        <v>12059</v>
      </c>
      <c r="D64" s="282">
        <v>25232.5</v>
      </c>
      <c r="E64" s="22">
        <f t="shared" si="1"/>
        <v>1.4263205904303744E-2</v>
      </c>
      <c r="F64" s="22">
        <f t="shared" si="2"/>
        <v>-2.9723570791637677E-3</v>
      </c>
      <c r="K64" s="282">
        <v>12225</v>
      </c>
      <c r="L64" s="282">
        <v>12399</v>
      </c>
      <c r="M64" s="282">
        <v>11995</v>
      </c>
      <c r="N64" t="s">
        <v>485</v>
      </c>
      <c r="O64" s="95">
        <v>-1.9400000000000001E-2</v>
      </c>
      <c r="P64" s="283">
        <v>46042</v>
      </c>
      <c r="R64" s="282">
        <v>25580.3</v>
      </c>
      <c r="S64" s="282">
        <v>25585</v>
      </c>
      <c r="T64" s="282">
        <v>25171.35</v>
      </c>
      <c r="U64" t="s">
        <v>750</v>
      </c>
      <c r="V64" s="95">
        <v>-1.38E-2</v>
      </c>
    </row>
    <row r="65" spans="2:22" x14ac:dyDescent="0.3">
      <c r="B65" s="283">
        <v>46041</v>
      </c>
      <c r="C65" s="282">
        <v>12297</v>
      </c>
      <c r="D65" s="282">
        <v>25585.5</v>
      </c>
      <c r="E65" s="22">
        <f t="shared" si="1"/>
        <v>-1.9354314060339939E-2</v>
      </c>
      <c r="F65" s="22">
        <f t="shared" si="2"/>
        <v>-1.3796877137441155E-2</v>
      </c>
      <c r="K65" s="282">
        <v>12350</v>
      </c>
      <c r="L65" s="282">
        <v>12395</v>
      </c>
      <c r="M65" s="282">
        <v>12233</v>
      </c>
      <c r="N65" t="s">
        <v>486</v>
      </c>
      <c r="O65" s="95">
        <v>-6.4999999999999997E-3</v>
      </c>
      <c r="P65" s="283">
        <v>46041</v>
      </c>
      <c r="R65" s="282">
        <v>25653.1</v>
      </c>
      <c r="S65" s="282">
        <v>25653.3</v>
      </c>
      <c r="T65" s="282">
        <v>25494.35</v>
      </c>
      <c r="U65" t="s">
        <v>751</v>
      </c>
      <c r="V65" s="95">
        <v>-4.1999999999999997E-3</v>
      </c>
    </row>
    <row r="66" spans="2:22" x14ac:dyDescent="0.3">
      <c r="B66" s="283">
        <v>46038</v>
      </c>
      <c r="C66" s="282">
        <v>12378</v>
      </c>
      <c r="D66" s="282">
        <v>25694.35</v>
      </c>
      <c r="E66" s="22">
        <f t="shared" si="1"/>
        <v>-6.5438681531749809E-3</v>
      </c>
      <c r="F66" s="22">
        <f t="shared" si="2"/>
        <v>-4.2363398957357967E-3</v>
      </c>
      <c r="K66" s="282">
        <v>11800</v>
      </c>
      <c r="L66" s="282">
        <v>12405</v>
      </c>
      <c r="M66" s="282">
        <v>11800</v>
      </c>
      <c r="N66" t="s">
        <v>487</v>
      </c>
      <c r="O66" s="95">
        <v>0.01</v>
      </c>
      <c r="P66" s="283">
        <v>46038</v>
      </c>
      <c r="R66" s="282">
        <v>25696.05</v>
      </c>
      <c r="S66" s="282">
        <v>25873.5</v>
      </c>
      <c r="T66" s="282">
        <v>25662.400000000001</v>
      </c>
      <c r="U66" t="s">
        <v>752</v>
      </c>
      <c r="V66" s="95">
        <v>1.1000000000000001E-3</v>
      </c>
    </row>
    <row r="67" spans="2:22" x14ac:dyDescent="0.3">
      <c r="B67" s="283">
        <v>46036</v>
      </c>
      <c r="C67" s="282">
        <v>12255</v>
      </c>
      <c r="D67" s="282">
        <v>25665.599999999999</v>
      </c>
      <c r="E67" s="22">
        <f t="shared" si="1"/>
        <v>1.0036719706242314E-2</v>
      </c>
      <c r="F67" s="22">
        <f t="shared" si="2"/>
        <v>1.1201764229162858E-3</v>
      </c>
      <c r="K67" s="282">
        <v>12074</v>
      </c>
      <c r="L67" s="282">
        <v>12323</v>
      </c>
      <c r="M67" s="282">
        <v>11942</v>
      </c>
      <c r="N67" t="s">
        <v>488</v>
      </c>
      <c r="O67" s="95">
        <v>1.7500000000000002E-2</v>
      </c>
      <c r="P67" s="283">
        <v>46036</v>
      </c>
      <c r="R67" s="282">
        <v>25648.55</v>
      </c>
      <c r="S67" s="282">
        <v>25791.75</v>
      </c>
      <c r="T67" s="282">
        <v>25603.95</v>
      </c>
      <c r="U67" t="s">
        <v>753</v>
      </c>
      <c r="V67" s="95">
        <v>-2.5999999999999999E-3</v>
      </c>
    </row>
    <row r="68" spans="2:22" x14ac:dyDescent="0.3">
      <c r="B68" s="283">
        <v>46035</v>
      </c>
      <c r="C68" s="282">
        <v>12044</v>
      </c>
      <c r="D68" s="282">
        <v>25732.3</v>
      </c>
      <c r="E68" s="22">
        <f t="shared" si="1"/>
        <v>1.751909664563267E-2</v>
      </c>
      <c r="F68" s="22">
        <f t="shared" si="2"/>
        <v>-2.5920729977498835E-3</v>
      </c>
      <c r="K68" s="282">
        <v>12050</v>
      </c>
      <c r="L68" s="282">
        <v>12199</v>
      </c>
      <c r="M68" s="282">
        <v>11936</v>
      </c>
      <c r="N68" t="s">
        <v>489</v>
      </c>
      <c r="O68" s="95">
        <v>-4.4999999999999997E-3</v>
      </c>
      <c r="P68" s="283">
        <v>46035</v>
      </c>
      <c r="R68" s="282">
        <v>25897.35</v>
      </c>
      <c r="S68" s="282">
        <v>25899.8</v>
      </c>
      <c r="T68" s="282">
        <v>25603.3</v>
      </c>
      <c r="U68" t="s">
        <v>754</v>
      </c>
      <c r="V68" s="95">
        <v>-2.2000000000000001E-3</v>
      </c>
    </row>
    <row r="69" spans="2:22" x14ac:dyDescent="0.3">
      <c r="B69" s="283">
        <v>46034</v>
      </c>
      <c r="C69" s="282">
        <v>12098</v>
      </c>
      <c r="D69" s="282">
        <v>25790.25</v>
      </c>
      <c r="E69" s="22">
        <f t="shared" si="1"/>
        <v>-4.4635476938337248E-3</v>
      </c>
      <c r="F69" s="22">
        <f t="shared" si="2"/>
        <v>-2.2469731778482771E-3</v>
      </c>
      <c r="K69" s="282">
        <v>11870</v>
      </c>
      <c r="L69" s="282">
        <v>12124</v>
      </c>
      <c r="M69" s="282">
        <v>11786</v>
      </c>
      <c r="N69" t="s">
        <v>490</v>
      </c>
      <c r="O69" s="95">
        <v>1.35E-2</v>
      </c>
      <c r="P69" s="283">
        <v>46034</v>
      </c>
      <c r="R69" s="282">
        <v>25669.05</v>
      </c>
      <c r="S69" s="282">
        <v>25813.15</v>
      </c>
      <c r="T69" s="282">
        <v>25473.4</v>
      </c>
      <c r="U69" t="s">
        <v>755</v>
      </c>
      <c r="V69" s="95">
        <v>4.1999999999999997E-3</v>
      </c>
    </row>
    <row r="70" spans="2:22" x14ac:dyDescent="0.3">
      <c r="B70" s="283">
        <v>46031</v>
      </c>
      <c r="C70" s="282">
        <v>11937</v>
      </c>
      <c r="D70" s="282">
        <v>25683.3</v>
      </c>
      <c r="E70" s="22">
        <f t="shared" si="1"/>
        <v>1.3487475915221481E-2</v>
      </c>
      <c r="F70" s="22">
        <f t="shared" si="2"/>
        <v>4.164184509000135E-3</v>
      </c>
      <c r="K70" s="282">
        <v>12058</v>
      </c>
      <c r="L70" s="282">
        <v>12065</v>
      </c>
      <c r="M70" s="282">
        <v>11852</v>
      </c>
      <c r="N70" t="s">
        <v>491</v>
      </c>
      <c r="O70" s="95">
        <v>-1.0500000000000001E-2</v>
      </c>
      <c r="P70" s="283">
        <v>46031</v>
      </c>
      <c r="R70" s="282">
        <v>25840.400000000001</v>
      </c>
      <c r="S70" s="282">
        <v>25940.6</v>
      </c>
      <c r="T70" s="282">
        <v>25623</v>
      </c>
      <c r="U70" t="s">
        <v>756</v>
      </c>
      <c r="V70" s="95">
        <v>-7.4999999999999997E-3</v>
      </c>
    </row>
    <row r="71" spans="2:22" x14ac:dyDescent="0.3">
      <c r="B71" s="283">
        <v>46030</v>
      </c>
      <c r="C71" s="282">
        <v>12064</v>
      </c>
      <c r="D71" s="282">
        <v>25876.85</v>
      </c>
      <c r="E71" s="22">
        <f t="shared" si="1"/>
        <v>-1.0527188328912418E-2</v>
      </c>
      <c r="F71" s="22">
        <f t="shared" si="2"/>
        <v>-7.4796584592019544E-3</v>
      </c>
      <c r="K71" s="282">
        <v>12165</v>
      </c>
      <c r="L71" s="282">
        <v>12188</v>
      </c>
      <c r="M71" s="282">
        <v>12034</v>
      </c>
      <c r="N71" t="s">
        <v>492</v>
      </c>
      <c r="O71" s="95">
        <v>-9.7999999999999997E-3</v>
      </c>
      <c r="P71" s="283">
        <v>46030</v>
      </c>
      <c r="R71" s="282">
        <v>26106.5</v>
      </c>
      <c r="S71" s="282">
        <v>26133.200000000001</v>
      </c>
      <c r="T71" s="282">
        <v>25858.45</v>
      </c>
      <c r="U71" t="s">
        <v>757</v>
      </c>
      <c r="V71" s="95">
        <v>-1.01E-2</v>
      </c>
    </row>
    <row r="72" spans="2:22" x14ac:dyDescent="0.3">
      <c r="B72" s="283">
        <v>46029</v>
      </c>
      <c r="C72" s="282">
        <v>12184</v>
      </c>
      <c r="D72" s="282">
        <v>26140.75</v>
      </c>
      <c r="E72" s="22">
        <f t="shared" si="1"/>
        <v>-9.848982271831952E-3</v>
      </c>
      <c r="F72" s="22">
        <f t="shared" si="2"/>
        <v>-1.0095349215305638E-2</v>
      </c>
      <c r="K72" s="282">
        <v>12230</v>
      </c>
      <c r="L72" s="282">
        <v>12250</v>
      </c>
      <c r="M72" s="282">
        <v>12078</v>
      </c>
      <c r="N72" t="s">
        <v>493</v>
      </c>
      <c r="O72" s="95">
        <v>-1.6000000000000001E-3</v>
      </c>
      <c r="P72" s="283">
        <v>46029</v>
      </c>
      <c r="R72" s="282">
        <v>26143.1</v>
      </c>
      <c r="S72" s="282">
        <v>26187.15</v>
      </c>
      <c r="T72" s="282">
        <v>26067.9</v>
      </c>
      <c r="U72" t="s">
        <v>758</v>
      </c>
      <c r="V72" s="95">
        <v>-1.4E-3</v>
      </c>
    </row>
    <row r="73" spans="2:22" x14ac:dyDescent="0.3">
      <c r="B73" s="283">
        <v>46028</v>
      </c>
      <c r="C73" s="282">
        <v>12204</v>
      </c>
      <c r="D73" s="282">
        <v>26178.7</v>
      </c>
      <c r="E73" s="22">
        <f t="shared" si="1"/>
        <v>-1.6388069485414603E-3</v>
      </c>
      <c r="F73" s="22">
        <f t="shared" si="2"/>
        <v>-1.4496518161711824E-3</v>
      </c>
      <c r="K73" s="282">
        <v>12100</v>
      </c>
      <c r="L73" s="282">
        <v>12225</v>
      </c>
      <c r="M73" s="282">
        <v>12066</v>
      </c>
      <c r="N73" t="s">
        <v>494</v>
      </c>
      <c r="O73" s="95">
        <v>9.7000000000000003E-3</v>
      </c>
      <c r="P73" s="283">
        <v>46028</v>
      </c>
      <c r="R73" s="282">
        <v>26189.7</v>
      </c>
      <c r="S73" s="282">
        <v>26273.95</v>
      </c>
      <c r="T73" s="282">
        <v>26124.75</v>
      </c>
      <c r="U73" t="s">
        <v>759</v>
      </c>
      <c r="V73" s="95">
        <v>-2.7000000000000001E-3</v>
      </c>
    </row>
    <row r="74" spans="2:22" x14ac:dyDescent="0.3">
      <c r="B74" s="283">
        <v>46027</v>
      </c>
      <c r="C74" s="282">
        <v>12087</v>
      </c>
      <c r="D74" s="282">
        <v>26250.3</v>
      </c>
      <c r="E74" s="22">
        <f t="shared" si="1"/>
        <v>9.6798212956068497E-3</v>
      </c>
      <c r="F74" s="22">
        <f t="shared" si="2"/>
        <v>-2.7275878751861216E-3</v>
      </c>
      <c r="K74" s="282">
        <v>11931</v>
      </c>
      <c r="L74" s="282">
        <v>12114</v>
      </c>
      <c r="M74" s="282">
        <v>11860</v>
      </c>
      <c r="N74" t="s">
        <v>495</v>
      </c>
      <c r="O74" s="95">
        <v>1.5800000000000002E-2</v>
      </c>
      <c r="P74" s="283">
        <v>46027</v>
      </c>
      <c r="R74" s="282">
        <v>26333.7</v>
      </c>
      <c r="S74" s="282">
        <v>26373.200000000001</v>
      </c>
      <c r="T74" s="282">
        <v>26210.05</v>
      </c>
      <c r="U74" t="s">
        <v>760</v>
      </c>
      <c r="V74" s="95">
        <v>-3.0000000000000001E-3</v>
      </c>
    </row>
    <row r="75" spans="2:22" x14ac:dyDescent="0.3">
      <c r="B75" s="283">
        <v>46024</v>
      </c>
      <c r="C75" s="282">
        <v>11899</v>
      </c>
      <c r="D75" s="282">
        <v>26328.55</v>
      </c>
      <c r="E75" s="22">
        <f t="shared" si="1"/>
        <v>1.5799647029162145E-2</v>
      </c>
      <c r="F75" s="22">
        <f t="shared" si="2"/>
        <v>-2.9720588486642496E-3</v>
      </c>
      <c r="K75" s="282">
        <v>11903</v>
      </c>
      <c r="L75" s="282">
        <v>11970</v>
      </c>
      <c r="M75" s="282">
        <v>11821</v>
      </c>
      <c r="N75" t="s">
        <v>496</v>
      </c>
      <c r="O75" s="95">
        <v>-2.0000000000000001E-4</v>
      </c>
      <c r="P75" s="283">
        <v>46024</v>
      </c>
      <c r="R75" s="282">
        <v>26155.1</v>
      </c>
      <c r="S75" s="282">
        <v>26340</v>
      </c>
      <c r="T75" s="282">
        <v>26118.400000000001</v>
      </c>
      <c r="U75" t="s">
        <v>761</v>
      </c>
      <c r="V75" s="95">
        <v>7.0000000000000001E-3</v>
      </c>
    </row>
    <row r="76" spans="2:22" x14ac:dyDescent="0.3">
      <c r="B76" s="283">
        <v>46023</v>
      </c>
      <c r="C76" s="282">
        <v>11901</v>
      </c>
      <c r="D76" s="282">
        <v>26146.55</v>
      </c>
      <c r="E76" s="22">
        <f t="shared" si="1"/>
        <v>-1.6805310478107405E-4</v>
      </c>
      <c r="F76" s="22">
        <f t="shared" si="2"/>
        <v>6.9607653782239876E-3</v>
      </c>
      <c r="K76" s="282">
        <v>11792</v>
      </c>
      <c r="L76" s="282">
        <v>11915</v>
      </c>
      <c r="M76" s="282">
        <v>11784</v>
      </c>
      <c r="N76" t="s">
        <v>497</v>
      </c>
      <c r="O76" s="95">
        <v>9.9000000000000008E-3</v>
      </c>
      <c r="P76" s="283">
        <v>46023</v>
      </c>
      <c r="R76" s="282">
        <v>26173.3</v>
      </c>
      <c r="S76" s="282">
        <v>26197.55</v>
      </c>
      <c r="T76" s="282">
        <v>26113.4</v>
      </c>
      <c r="U76" t="s">
        <v>762</v>
      </c>
      <c r="V76" s="95">
        <v>5.9999999999999995E-4</v>
      </c>
    </row>
    <row r="77" spans="2:22" x14ac:dyDescent="0.3">
      <c r="B77" s="283">
        <v>46022</v>
      </c>
      <c r="C77" s="282">
        <v>11784</v>
      </c>
      <c r="D77" s="282">
        <v>26129.599999999999</v>
      </c>
      <c r="E77" s="22">
        <f t="shared" si="1"/>
        <v>9.9287169042769907E-3</v>
      </c>
      <c r="F77" s="22">
        <f t="shared" si="2"/>
        <v>6.4868960871966586E-4</v>
      </c>
      <c r="K77" s="282">
        <v>11681</v>
      </c>
      <c r="L77" s="282">
        <v>11794</v>
      </c>
      <c r="M77" s="282">
        <v>11680</v>
      </c>
      <c r="N77" t="s">
        <v>498</v>
      </c>
      <c r="O77" s="95">
        <v>6.7000000000000002E-3</v>
      </c>
      <c r="P77" s="283">
        <v>46022</v>
      </c>
      <c r="R77" s="282">
        <v>25971.05</v>
      </c>
      <c r="S77" s="282">
        <v>26187.95</v>
      </c>
      <c r="T77" s="282">
        <v>25969</v>
      </c>
      <c r="U77" t="s">
        <v>763</v>
      </c>
      <c r="V77" s="95">
        <v>7.4000000000000003E-3</v>
      </c>
    </row>
    <row r="78" spans="2:22" x14ac:dyDescent="0.3">
      <c r="B78" s="283">
        <v>46021</v>
      </c>
      <c r="C78" s="282">
        <v>11705</v>
      </c>
      <c r="D78" s="282">
        <v>25938.85</v>
      </c>
      <c r="E78" s="22">
        <f t="shared" si="1"/>
        <v>6.7492524562153822E-3</v>
      </c>
      <c r="F78" s="22">
        <f t="shared" si="2"/>
        <v>7.3538341136942798E-3</v>
      </c>
      <c r="K78" s="282">
        <v>11810</v>
      </c>
      <c r="L78" s="282">
        <v>11811</v>
      </c>
      <c r="M78" s="282">
        <v>11651</v>
      </c>
      <c r="N78" t="s">
        <v>499</v>
      </c>
      <c r="O78" s="95">
        <v>-8.0000000000000002E-3</v>
      </c>
      <c r="P78" s="283">
        <v>46021</v>
      </c>
      <c r="R78" s="282">
        <v>25940.9</v>
      </c>
      <c r="S78" s="282">
        <v>25976.75</v>
      </c>
      <c r="T78" s="282">
        <v>25878</v>
      </c>
      <c r="U78" t="s">
        <v>764</v>
      </c>
      <c r="V78" s="95">
        <v>-1E-4</v>
      </c>
    </row>
    <row r="79" spans="2:22" x14ac:dyDescent="0.3">
      <c r="B79" s="283">
        <v>46020</v>
      </c>
      <c r="C79" s="282">
        <v>11799</v>
      </c>
      <c r="D79" s="282">
        <v>25942.1</v>
      </c>
      <c r="E79" s="22">
        <f t="shared" si="1"/>
        <v>-7.9667768454954047E-3</v>
      </c>
      <c r="F79" s="22">
        <f t="shared" si="2"/>
        <v>-1.2527898666647719E-4</v>
      </c>
      <c r="K79" s="282">
        <v>11778</v>
      </c>
      <c r="L79" s="282">
        <v>11820</v>
      </c>
      <c r="M79" s="282">
        <v>11731</v>
      </c>
      <c r="N79" t="s">
        <v>500</v>
      </c>
      <c r="O79" s="95">
        <v>4.0000000000000002E-4</v>
      </c>
      <c r="P79" s="283">
        <v>46020</v>
      </c>
      <c r="R79" s="282">
        <v>26063.35</v>
      </c>
      <c r="S79" s="282">
        <v>26106.799999999999</v>
      </c>
      <c r="T79" s="282">
        <v>25920.3</v>
      </c>
      <c r="U79" t="s">
        <v>765</v>
      </c>
      <c r="V79" s="95">
        <v>-3.8E-3</v>
      </c>
    </row>
    <row r="80" spans="2:22" x14ac:dyDescent="0.3">
      <c r="B80" s="283">
        <v>46017</v>
      </c>
      <c r="C80" s="282">
        <v>11794</v>
      </c>
      <c r="D80" s="282">
        <v>26042.3</v>
      </c>
      <c r="E80" s="22">
        <f t="shared" si="1"/>
        <v>4.2394437849746502E-4</v>
      </c>
      <c r="F80" s="22">
        <f t="shared" si="2"/>
        <v>-3.8475864266981352E-3</v>
      </c>
      <c r="K80" s="282">
        <v>11766</v>
      </c>
      <c r="L80" s="282">
        <v>11855</v>
      </c>
      <c r="M80" s="282">
        <v>11743</v>
      </c>
      <c r="N80" t="s">
        <v>501</v>
      </c>
      <c r="O80" s="95">
        <v>2.5999999999999999E-3</v>
      </c>
      <c r="P80" s="283">
        <v>46017</v>
      </c>
      <c r="R80" s="282">
        <v>26121.25</v>
      </c>
      <c r="S80" s="282">
        <v>26144.2</v>
      </c>
      <c r="T80" s="282">
        <v>26008.6</v>
      </c>
      <c r="U80" t="s">
        <v>766</v>
      </c>
      <c r="V80" s="95">
        <v>-3.8E-3</v>
      </c>
    </row>
    <row r="81" spans="2:22" x14ac:dyDescent="0.3">
      <c r="B81" s="283">
        <v>46015</v>
      </c>
      <c r="C81" s="282">
        <v>11764</v>
      </c>
      <c r="D81" s="282">
        <v>26142.1</v>
      </c>
      <c r="E81" s="22">
        <f t="shared" si="1"/>
        <v>2.5501530091804891E-3</v>
      </c>
      <c r="F81" s="22">
        <f t="shared" si="2"/>
        <v>-3.8175969030797008E-3</v>
      </c>
      <c r="K81" s="282">
        <v>11715</v>
      </c>
      <c r="L81" s="282">
        <v>11790</v>
      </c>
      <c r="M81" s="282">
        <v>11671</v>
      </c>
      <c r="N81" t="s">
        <v>502</v>
      </c>
      <c r="O81" s="95">
        <v>7.4000000000000003E-3</v>
      </c>
      <c r="P81" s="283">
        <v>46015</v>
      </c>
      <c r="R81" s="282">
        <v>26170.65</v>
      </c>
      <c r="S81" s="282">
        <v>26236.400000000001</v>
      </c>
      <c r="T81" s="282">
        <v>26123</v>
      </c>
      <c r="U81" t="s">
        <v>767</v>
      </c>
      <c r="V81" s="95">
        <v>-1.2999999999999999E-3</v>
      </c>
    </row>
    <row r="82" spans="2:22" x14ac:dyDescent="0.3">
      <c r="B82" s="283">
        <v>46014</v>
      </c>
      <c r="C82" s="282">
        <v>11678</v>
      </c>
      <c r="D82" s="282">
        <v>26177.15</v>
      </c>
      <c r="E82" s="22">
        <f t="shared" si="1"/>
        <v>7.364274704572793E-3</v>
      </c>
      <c r="F82" s="22">
        <f t="shared" si="2"/>
        <v>-1.3389540114184806E-3</v>
      </c>
      <c r="K82" s="282">
        <v>11550</v>
      </c>
      <c r="L82" s="282">
        <v>11750</v>
      </c>
      <c r="M82" s="282">
        <v>11530</v>
      </c>
      <c r="N82" t="s">
        <v>503</v>
      </c>
      <c r="O82" s="95">
        <v>1.2699999999999999E-2</v>
      </c>
      <c r="P82" s="283">
        <v>46014</v>
      </c>
      <c r="R82" s="282">
        <v>26205.200000000001</v>
      </c>
      <c r="S82" s="282">
        <v>26233.55</v>
      </c>
      <c r="T82" s="282">
        <v>26119.05</v>
      </c>
      <c r="U82" t="s">
        <v>768</v>
      </c>
      <c r="V82" s="95">
        <v>2.0000000000000001E-4</v>
      </c>
    </row>
    <row r="83" spans="2:22" x14ac:dyDescent="0.3">
      <c r="B83" s="283">
        <v>46013</v>
      </c>
      <c r="C83" s="282">
        <v>11532</v>
      </c>
      <c r="D83" s="282">
        <v>26172.400000000001</v>
      </c>
      <c r="E83" s="22">
        <f t="shared" si="1"/>
        <v>1.2660423170308688E-2</v>
      </c>
      <c r="F83" s="22">
        <f t="shared" si="2"/>
        <v>1.8148889670044355E-4</v>
      </c>
      <c r="K83" s="282">
        <v>11496</v>
      </c>
      <c r="L83" s="282">
        <v>11548</v>
      </c>
      <c r="M83" s="282">
        <v>11431</v>
      </c>
      <c r="N83" t="s">
        <v>504</v>
      </c>
      <c r="O83" s="95">
        <v>3.0999999999999999E-3</v>
      </c>
      <c r="P83" s="283">
        <v>46013</v>
      </c>
      <c r="R83" s="282">
        <v>26055.85</v>
      </c>
      <c r="S83" s="282">
        <v>26180.7</v>
      </c>
      <c r="T83" s="282">
        <v>26047.8</v>
      </c>
      <c r="U83" t="s">
        <v>769</v>
      </c>
      <c r="V83" s="95">
        <v>7.9000000000000008E-3</v>
      </c>
    </row>
    <row r="84" spans="2:22" x14ac:dyDescent="0.3">
      <c r="B84" s="283">
        <v>46010</v>
      </c>
      <c r="C84" s="282">
        <v>11496</v>
      </c>
      <c r="D84" s="282">
        <v>25966.400000000001</v>
      </c>
      <c r="E84" s="22">
        <f t="shared" si="1"/>
        <v>3.1315240083507057E-3</v>
      </c>
      <c r="F84" s="22">
        <f t="shared" si="2"/>
        <v>7.9333292254606391E-3</v>
      </c>
      <c r="K84" s="282">
        <v>11503</v>
      </c>
      <c r="L84" s="282">
        <v>11529</v>
      </c>
      <c r="M84" s="282">
        <v>11442</v>
      </c>
      <c r="N84" t="s">
        <v>505</v>
      </c>
      <c r="O84" s="95">
        <v>3.0999999999999999E-3</v>
      </c>
      <c r="P84" s="283">
        <v>46010</v>
      </c>
      <c r="R84" s="282">
        <v>25911.5</v>
      </c>
      <c r="S84" s="282">
        <v>25993.35</v>
      </c>
      <c r="T84" s="282">
        <v>25880.45</v>
      </c>
      <c r="U84" t="s">
        <v>770</v>
      </c>
      <c r="V84" s="95">
        <v>5.7999999999999996E-3</v>
      </c>
    </row>
    <row r="85" spans="2:22" x14ac:dyDescent="0.3">
      <c r="B85" s="283">
        <v>46009</v>
      </c>
      <c r="C85" s="282">
        <v>11461</v>
      </c>
      <c r="D85" s="282">
        <v>25815.55</v>
      </c>
      <c r="E85" s="22">
        <f t="shared" si="1"/>
        <v>3.0538347439141855E-3</v>
      </c>
      <c r="F85" s="22">
        <f t="shared" si="2"/>
        <v>5.8433773442752024E-3</v>
      </c>
      <c r="K85" s="282">
        <v>11545</v>
      </c>
      <c r="L85" s="282">
        <v>11565</v>
      </c>
      <c r="M85" s="282">
        <v>11412</v>
      </c>
      <c r="N85" t="s">
        <v>506</v>
      </c>
      <c r="O85" s="95">
        <v>-6.7999999999999996E-3</v>
      </c>
      <c r="P85" s="283">
        <v>46009</v>
      </c>
      <c r="R85" s="282">
        <v>25764.7</v>
      </c>
      <c r="S85" s="282">
        <v>25902.35</v>
      </c>
      <c r="T85" s="282">
        <v>25726.3</v>
      </c>
      <c r="U85" t="s">
        <v>771</v>
      </c>
      <c r="V85" s="95">
        <v>-1E-4</v>
      </c>
    </row>
    <row r="86" spans="2:22" x14ac:dyDescent="0.3">
      <c r="B86" s="283">
        <v>46008</v>
      </c>
      <c r="C86" s="282">
        <v>11540</v>
      </c>
      <c r="D86" s="282">
        <v>25818.55</v>
      </c>
      <c r="E86" s="22">
        <f t="shared" si="1"/>
        <v>-6.845753899480056E-3</v>
      </c>
      <c r="F86" s="22">
        <f t="shared" si="2"/>
        <v>-1.1619552608488348E-4</v>
      </c>
      <c r="K86" s="282">
        <v>11505</v>
      </c>
      <c r="L86" s="282">
        <v>11591</v>
      </c>
      <c r="M86" s="282">
        <v>11495</v>
      </c>
      <c r="N86" t="s">
        <v>507</v>
      </c>
      <c r="O86" s="95">
        <v>1E-3</v>
      </c>
      <c r="P86" s="283">
        <v>46008</v>
      </c>
      <c r="R86" s="282">
        <v>25902.400000000001</v>
      </c>
      <c r="S86" s="282">
        <v>25929.15</v>
      </c>
      <c r="T86" s="282">
        <v>25770.35</v>
      </c>
      <c r="U86" t="s">
        <v>772</v>
      </c>
      <c r="V86" s="95">
        <v>-1.6000000000000001E-3</v>
      </c>
    </row>
    <row r="87" spans="2:22" x14ac:dyDescent="0.3">
      <c r="B87" s="283">
        <v>46007</v>
      </c>
      <c r="C87" s="282">
        <v>11528</v>
      </c>
      <c r="D87" s="282">
        <v>25860.1</v>
      </c>
      <c r="E87" s="22">
        <f t="shared" si="1"/>
        <v>1.0409437890352979E-3</v>
      </c>
      <c r="F87" s="22">
        <f t="shared" si="2"/>
        <v>-1.6067223251263751E-3</v>
      </c>
      <c r="K87" s="282">
        <v>11700</v>
      </c>
      <c r="L87" s="282">
        <v>11700</v>
      </c>
      <c r="M87" s="282">
        <v>11510</v>
      </c>
      <c r="N87" t="s">
        <v>508</v>
      </c>
      <c r="O87" s="95">
        <v>-1.7100000000000001E-2</v>
      </c>
      <c r="P87" s="283">
        <v>46007</v>
      </c>
      <c r="R87" s="282">
        <v>25951.5</v>
      </c>
      <c r="S87" s="282">
        <v>25980.75</v>
      </c>
      <c r="T87" s="282">
        <v>25834.35</v>
      </c>
      <c r="U87" t="s">
        <v>773</v>
      </c>
      <c r="V87" s="95">
        <v>-6.4000000000000003E-3</v>
      </c>
    </row>
    <row r="88" spans="2:22" x14ac:dyDescent="0.3">
      <c r="B88" s="283">
        <v>46006</v>
      </c>
      <c r="C88" s="282">
        <v>11728</v>
      </c>
      <c r="D88" s="282">
        <v>26027.3</v>
      </c>
      <c r="E88" s="22">
        <f t="shared" si="1"/>
        <v>-1.7053206002728527E-2</v>
      </c>
      <c r="F88" s="22">
        <f t="shared" si="2"/>
        <v>-6.4240240055634112E-3</v>
      </c>
      <c r="K88" s="282">
        <v>11658</v>
      </c>
      <c r="L88" s="282">
        <v>11804</v>
      </c>
      <c r="M88" s="282">
        <v>11658</v>
      </c>
      <c r="N88" t="s">
        <v>509</v>
      </c>
      <c r="O88" s="95">
        <v>4.0000000000000002E-4</v>
      </c>
      <c r="P88" s="283">
        <v>46006</v>
      </c>
      <c r="R88" s="282">
        <v>25930.05</v>
      </c>
      <c r="S88" s="282">
        <v>26047.15</v>
      </c>
      <c r="T88" s="282">
        <v>25904.75</v>
      </c>
      <c r="U88" t="s">
        <v>774</v>
      </c>
      <c r="V88" s="95">
        <v>-8.0000000000000004E-4</v>
      </c>
    </row>
    <row r="89" spans="2:22" x14ac:dyDescent="0.3">
      <c r="B89" s="283">
        <v>46003</v>
      </c>
      <c r="C89" s="282">
        <v>11723</v>
      </c>
      <c r="D89" s="282">
        <v>26046.95</v>
      </c>
      <c r="E89" s="22">
        <f t="shared" si="1"/>
        <v>4.2651198498688814E-4</v>
      </c>
      <c r="F89" s="22">
        <f t="shared" si="2"/>
        <v>-7.5440694591888402E-4</v>
      </c>
      <c r="K89" s="282">
        <v>11491</v>
      </c>
      <c r="L89" s="282">
        <v>11738</v>
      </c>
      <c r="M89" s="282">
        <v>11481</v>
      </c>
      <c r="N89" t="s">
        <v>510</v>
      </c>
      <c r="O89" s="95">
        <v>2.1899999999999999E-2</v>
      </c>
      <c r="P89" s="283">
        <v>46003</v>
      </c>
      <c r="R89" s="282">
        <v>25971.200000000001</v>
      </c>
      <c r="S89" s="282">
        <v>26057.599999999999</v>
      </c>
      <c r="T89" s="282">
        <v>25938.45</v>
      </c>
      <c r="U89" t="s">
        <v>775</v>
      </c>
      <c r="V89" s="95">
        <v>5.7000000000000002E-3</v>
      </c>
    </row>
    <row r="90" spans="2:22" x14ac:dyDescent="0.3">
      <c r="B90" s="283">
        <v>46002</v>
      </c>
      <c r="C90" s="282">
        <v>11472</v>
      </c>
      <c r="D90" s="282">
        <v>25898.55</v>
      </c>
      <c r="E90" s="22">
        <f t="shared" si="1"/>
        <v>2.1879358437935759E-2</v>
      </c>
      <c r="F90" s="22">
        <f t="shared" si="2"/>
        <v>5.7300505240640565E-3</v>
      </c>
      <c r="K90" s="282">
        <v>11340</v>
      </c>
      <c r="L90" s="282">
        <v>11484</v>
      </c>
      <c r="M90" s="282">
        <v>11266</v>
      </c>
      <c r="N90" t="s">
        <v>511</v>
      </c>
      <c r="O90" s="95">
        <v>1.37E-2</v>
      </c>
      <c r="P90" s="283">
        <v>46002</v>
      </c>
      <c r="R90" s="282">
        <v>25771.4</v>
      </c>
      <c r="S90" s="282">
        <v>25922.799999999999</v>
      </c>
      <c r="T90" s="282">
        <v>25693.25</v>
      </c>
      <c r="U90" t="s">
        <v>776</v>
      </c>
      <c r="V90" s="95">
        <v>5.4999999999999997E-3</v>
      </c>
    </row>
    <row r="91" spans="2:22" x14ac:dyDescent="0.3">
      <c r="B91" s="283">
        <v>46001</v>
      </c>
      <c r="C91" s="282">
        <v>11317</v>
      </c>
      <c r="D91" s="282">
        <v>25758</v>
      </c>
      <c r="E91" s="22">
        <f t="shared" si="1"/>
        <v>1.3696209242732182E-2</v>
      </c>
      <c r="F91" s="22">
        <f t="shared" si="2"/>
        <v>5.4565571861169282E-3</v>
      </c>
      <c r="K91" s="282">
        <v>11425</v>
      </c>
      <c r="L91" s="282">
        <v>11499</v>
      </c>
      <c r="M91" s="282">
        <v>11297</v>
      </c>
      <c r="N91" t="s">
        <v>457</v>
      </c>
      <c r="O91" s="95">
        <v>-8.5000000000000006E-3</v>
      </c>
      <c r="P91" s="283">
        <v>46001</v>
      </c>
      <c r="R91" s="282">
        <v>25864.05</v>
      </c>
      <c r="S91" s="282">
        <v>25947.65</v>
      </c>
      <c r="T91" s="282">
        <v>25734.55</v>
      </c>
      <c r="U91" t="s">
        <v>777</v>
      </c>
      <c r="V91" s="95">
        <v>-3.2000000000000002E-3</v>
      </c>
    </row>
    <row r="92" spans="2:22" x14ac:dyDescent="0.3">
      <c r="B92" s="283">
        <v>46000</v>
      </c>
      <c r="C92" s="282">
        <v>11414</v>
      </c>
      <c r="D92" s="282">
        <v>25839.65</v>
      </c>
      <c r="E92" s="22">
        <f t="shared" si="1"/>
        <v>-8.4983353776064696E-3</v>
      </c>
      <c r="F92" s="22">
        <f t="shared" si="2"/>
        <v>-3.15987252149319E-3</v>
      </c>
      <c r="K92" s="282">
        <v>11500</v>
      </c>
      <c r="L92" s="282">
        <v>11525</v>
      </c>
      <c r="M92" s="282">
        <v>11379</v>
      </c>
      <c r="N92" t="s">
        <v>512</v>
      </c>
      <c r="O92" s="95">
        <v>-1.09E-2</v>
      </c>
      <c r="P92" s="283">
        <v>46000</v>
      </c>
      <c r="R92" s="282">
        <v>25867.1</v>
      </c>
      <c r="S92" s="282">
        <v>25923.65</v>
      </c>
      <c r="T92" s="282">
        <v>25728</v>
      </c>
      <c r="U92" t="s">
        <v>778</v>
      </c>
      <c r="V92" s="95">
        <v>-4.7000000000000002E-3</v>
      </c>
    </row>
    <row r="93" spans="2:22" x14ac:dyDescent="0.3">
      <c r="B93" s="283">
        <v>45999</v>
      </c>
      <c r="C93" s="282">
        <v>11540</v>
      </c>
      <c r="D93" s="282">
        <v>25960.55</v>
      </c>
      <c r="E93" s="22">
        <f t="shared" si="1"/>
        <v>-1.0918544194107427E-2</v>
      </c>
      <c r="F93" s="22">
        <f t="shared" si="2"/>
        <v>-4.6570662023723841E-3</v>
      </c>
      <c r="K93" s="282">
        <v>11610</v>
      </c>
      <c r="L93" s="282">
        <v>11632</v>
      </c>
      <c r="M93" s="282">
        <v>11490</v>
      </c>
      <c r="N93" t="s">
        <v>513</v>
      </c>
      <c r="O93" s="95">
        <v>-4.8999999999999998E-3</v>
      </c>
      <c r="P93" s="283">
        <v>45999</v>
      </c>
      <c r="R93" s="282">
        <v>26159.8</v>
      </c>
      <c r="S93" s="282">
        <v>26178.7</v>
      </c>
      <c r="T93" s="282">
        <v>25892.25</v>
      </c>
      <c r="U93" t="s">
        <v>779</v>
      </c>
      <c r="V93" s="95">
        <v>-8.6E-3</v>
      </c>
    </row>
    <row r="94" spans="2:22" x14ac:dyDescent="0.3">
      <c r="B94" s="283">
        <v>45996</v>
      </c>
      <c r="C94" s="282">
        <v>11597</v>
      </c>
      <c r="D94" s="282">
        <v>26186.45</v>
      </c>
      <c r="E94" s="22">
        <f t="shared" si="1"/>
        <v>-4.9150642407519429E-3</v>
      </c>
      <c r="F94" s="22">
        <f t="shared" si="2"/>
        <v>-8.626598870790092E-3</v>
      </c>
      <c r="K94" s="282">
        <v>11630</v>
      </c>
      <c r="L94" s="282">
        <v>11665</v>
      </c>
      <c r="M94" s="282">
        <v>11561</v>
      </c>
      <c r="N94" t="s">
        <v>514</v>
      </c>
      <c r="O94" s="95">
        <v>-8.9999999999999998E-4</v>
      </c>
      <c r="P94" s="283">
        <v>45996</v>
      </c>
      <c r="R94" s="282">
        <v>25999.8</v>
      </c>
      <c r="S94" s="282">
        <v>26202.6</v>
      </c>
      <c r="T94" s="282">
        <v>25985.35</v>
      </c>
      <c r="U94" t="s">
        <v>780</v>
      </c>
      <c r="V94" s="95">
        <v>5.8999999999999999E-3</v>
      </c>
    </row>
    <row r="95" spans="2:22" x14ac:dyDescent="0.3">
      <c r="B95" s="283">
        <v>45995</v>
      </c>
      <c r="C95" s="282">
        <v>11608</v>
      </c>
      <c r="D95" s="282">
        <v>26033.75</v>
      </c>
      <c r="E95" s="22">
        <f t="shared" si="1"/>
        <v>-9.4762232942802171E-4</v>
      </c>
      <c r="F95" s="22">
        <f t="shared" si="2"/>
        <v>5.8654631007826197E-3</v>
      </c>
      <c r="K95" s="282">
        <v>11580</v>
      </c>
      <c r="L95" s="282">
        <v>11631</v>
      </c>
      <c r="M95" s="282">
        <v>11524</v>
      </c>
      <c r="N95" t="s">
        <v>515</v>
      </c>
      <c r="O95" s="95">
        <v>1.5E-3</v>
      </c>
      <c r="P95" s="283">
        <v>45995</v>
      </c>
      <c r="R95" s="282">
        <v>25981.85</v>
      </c>
      <c r="S95" s="282">
        <v>26098.25</v>
      </c>
      <c r="T95" s="282">
        <v>25938.95</v>
      </c>
      <c r="U95" t="s">
        <v>781</v>
      </c>
      <c r="V95" s="95">
        <v>1.8E-3</v>
      </c>
    </row>
    <row r="96" spans="2:22" x14ac:dyDescent="0.3">
      <c r="B96" s="283">
        <v>45994</v>
      </c>
      <c r="C96" s="282">
        <v>11591</v>
      </c>
      <c r="D96" s="282">
        <v>25986</v>
      </c>
      <c r="E96" s="22">
        <f t="shared" si="1"/>
        <v>1.4666551634889835E-3</v>
      </c>
      <c r="F96" s="22">
        <f t="shared" si="2"/>
        <v>1.8375278996383138E-3</v>
      </c>
      <c r="K96" s="282">
        <v>11700</v>
      </c>
      <c r="L96" s="282">
        <v>11702</v>
      </c>
      <c r="M96" s="282">
        <v>11520</v>
      </c>
      <c r="N96" t="s">
        <v>516</v>
      </c>
      <c r="O96" s="95">
        <v>-6.4000000000000003E-3</v>
      </c>
      <c r="P96" s="283">
        <v>45994</v>
      </c>
      <c r="R96" s="282">
        <v>26004.9</v>
      </c>
      <c r="S96" s="282">
        <v>26066.45</v>
      </c>
      <c r="T96" s="282">
        <v>25891</v>
      </c>
      <c r="U96" t="s">
        <v>782</v>
      </c>
      <c r="V96" s="95">
        <v>-1.8E-3</v>
      </c>
    </row>
    <row r="97" spans="2:22" x14ac:dyDescent="0.3">
      <c r="B97" s="283">
        <v>45993</v>
      </c>
      <c r="C97" s="282">
        <v>11666</v>
      </c>
      <c r="D97" s="282">
        <v>26032.2</v>
      </c>
      <c r="E97" s="22">
        <f t="shared" si="1"/>
        <v>-6.4289387965026368E-3</v>
      </c>
      <c r="F97" s="22">
        <f t="shared" si="2"/>
        <v>-1.7747251480858539E-3</v>
      </c>
      <c r="K97" s="282">
        <v>11702</v>
      </c>
      <c r="L97" s="282">
        <v>11713</v>
      </c>
      <c r="M97" s="282">
        <v>11590</v>
      </c>
      <c r="N97" t="s">
        <v>517</v>
      </c>
      <c r="O97" s="95">
        <v>2.9999999999999997E-4</v>
      </c>
      <c r="P97" s="283">
        <v>45993</v>
      </c>
      <c r="R97" s="282">
        <v>26087.95</v>
      </c>
      <c r="S97" s="282">
        <v>26154.6</v>
      </c>
      <c r="T97" s="282">
        <v>25997.85</v>
      </c>
      <c r="U97" t="s">
        <v>783</v>
      </c>
      <c r="V97" s="95">
        <v>-5.4999999999999997E-3</v>
      </c>
    </row>
    <row r="98" spans="2:22" x14ac:dyDescent="0.3">
      <c r="B98" s="283">
        <v>45992</v>
      </c>
      <c r="C98" s="282">
        <v>11662</v>
      </c>
      <c r="D98" s="282">
        <v>26175.75</v>
      </c>
      <c r="E98" s="22">
        <f t="shared" si="1"/>
        <v>3.4299434059348322E-4</v>
      </c>
      <c r="F98" s="22">
        <f t="shared" si="2"/>
        <v>-5.4840835506145824E-3</v>
      </c>
      <c r="K98" s="282">
        <v>11620</v>
      </c>
      <c r="L98" s="282">
        <v>12021</v>
      </c>
      <c r="M98" s="282">
        <v>11556</v>
      </c>
      <c r="N98" t="s">
        <v>518</v>
      </c>
      <c r="O98" s="95">
        <v>5.3E-3</v>
      </c>
      <c r="P98" s="283">
        <v>45992</v>
      </c>
      <c r="R98" s="282">
        <v>26325.8</v>
      </c>
      <c r="S98" s="282">
        <v>26325.8</v>
      </c>
      <c r="T98" s="282">
        <v>26124.2</v>
      </c>
      <c r="U98" t="s">
        <v>784</v>
      </c>
      <c r="V98" s="95">
        <v>-1E-3</v>
      </c>
    </row>
    <row r="99" spans="2:22" x14ac:dyDescent="0.3">
      <c r="B99" s="283">
        <v>45989</v>
      </c>
      <c r="C99" s="282">
        <v>11600</v>
      </c>
      <c r="D99" s="282">
        <v>26202.95</v>
      </c>
      <c r="E99" s="22">
        <f t="shared" si="1"/>
        <v>5.3448275862069128E-3</v>
      </c>
      <c r="F99" s="22">
        <f t="shared" si="2"/>
        <v>-1.0380510591364578E-3</v>
      </c>
      <c r="K99" s="282">
        <v>11620</v>
      </c>
      <c r="L99" s="282">
        <v>11640</v>
      </c>
      <c r="M99" s="282">
        <v>11557</v>
      </c>
      <c r="N99" t="s">
        <v>519</v>
      </c>
      <c r="O99" s="95">
        <v>-1.5E-3</v>
      </c>
      <c r="P99" s="283">
        <v>45989</v>
      </c>
      <c r="R99" s="282">
        <v>26237.45</v>
      </c>
      <c r="S99" s="282">
        <v>26280.75</v>
      </c>
      <c r="T99" s="282">
        <v>26172.400000000001</v>
      </c>
      <c r="U99" t="s">
        <v>785</v>
      </c>
      <c r="V99" s="95">
        <v>-5.0000000000000001E-4</v>
      </c>
    </row>
    <row r="100" spans="2:22" x14ac:dyDescent="0.3">
      <c r="B100" s="283">
        <v>45988</v>
      </c>
      <c r="C100" s="282">
        <v>11617</v>
      </c>
      <c r="D100" s="282">
        <v>26215.55</v>
      </c>
      <c r="E100" s="22">
        <f t="shared" si="1"/>
        <v>-1.4633726435396843E-3</v>
      </c>
      <c r="F100" s="22">
        <f t="shared" si="2"/>
        <v>-4.806307706685109E-4</v>
      </c>
      <c r="K100" s="282">
        <v>11776</v>
      </c>
      <c r="L100" s="282">
        <v>11787</v>
      </c>
      <c r="M100" s="282">
        <v>11599</v>
      </c>
      <c r="N100" t="s">
        <v>520</v>
      </c>
      <c r="O100" s="95">
        <v>-1.21E-2</v>
      </c>
      <c r="P100" s="283">
        <v>45988</v>
      </c>
      <c r="R100" s="282">
        <v>26261.25</v>
      </c>
      <c r="S100" s="282">
        <v>26310.45</v>
      </c>
      <c r="T100" s="282">
        <v>26141.9</v>
      </c>
      <c r="U100" t="s">
        <v>786</v>
      </c>
      <c r="V100" s="95">
        <v>4.0000000000000002E-4</v>
      </c>
    </row>
    <row r="101" spans="2:22" x14ac:dyDescent="0.3">
      <c r="B101" s="283">
        <v>45987</v>
      </c>
      <c r="C101" s="282">
        <v>11759</v>
      </c>
      <c r="D101" s="282">
        <v>26205.3</v>
      </c>
      <c r="E101" s="22">
        <f t="shared" si="1"/>
        <v>-1.207585679054346E-2</v>
      </c>
      <c r="F101" s="22">
        <f t="shared" si="2"/>
        <v>3.9114224985015156E-4</v>
      </c>
      <c r="K101" s="282">
        <v>11589</v>
      </c>
      <c r="L101" s="282">
        <v>11773</v>
      </c>
      <c r="M101" s="282">
        <v>11585</v>
      </c>
      <c r="N101" t="s">
        <v>521</v>
      </c>
      <c r="O101" s="95">
        <v>1.55E-2</v>
      </c>
      <c r="P101" s="283">
        <v>45987</v>
      </c>
      <c r="R101" s="282">
        <v>25842.95</v>
      </c>
      <c r="S101" s="282">
        <v>26215.15</v>
      </c>
      <c r="T101" s="282">
        <v>25842.95</v>
      </c>
      <c r="U101" t="s">
        <v>787</v>
      </c>
      <c r="V101" s="95">
        <v>1.24E-2</v>
      </c>
    </row>
    <row r="102" spans="2:22" x14ac:dyDescent="0.3">
      <c r="B102" s="283">
        <v>45986</v>
      </c>
      <c r="C102" s="282">
        <v>11580</v>
      </c>
      <c r="D102" s="282">
        <v>25884.799999999999</v>
      </c>
      <c r="E102" s="22">
        <f t="shared" si="1"/>
        <v>1.5457685664939547E-2</v>
      </c>
      <c r="F102" s="22">
        <f t="shared" si="2"/>
        <v>1.238178390406719E-2</v>
      </c>
      <c r="K102" s="282">
        <v>11600</v>
      </c>
      <c r="L102" s="282">
        <v>11647</v>
      </c>
      <c r="M102" s="282">
        <v>11538</v>
      </c>
      <c r="N102" t="s">
        <v>522</v>
      </c>
      <c r="O102" s="95">
        <v>-2.9999999999999997E-4</v>
      </c>
      <c r="P102" s="283">
        <v>45986</v>
      </c>
      <c r="R102" s="282">
        <v>25998.5</v>
      </c>
      <c r="S102" s="282">
        <v>26032.6</v>
      </c>
      <c r="T102" s="282">
        <v>25857.5</v>
      </c>
      <c r="U102" t="s">
        <v>788</v>
      </c>
      <c r="V102" s="95">
        <v>-2.8999999999999998E-3</v>
      </c>
    </row>
    <row r="103" spans="2:22" x14ac:dyDescent="0.3">
      <c r="B103" s="283">
        <v>45985</v>
      </c>
      <c r="C103" s="282">
        <v>11584</v>
      </c>
      <c r="D103" s="282">
        <v>25959.5</v>
      </c>
      <c r="E103" s="22">
        <f t="shared" si="1"/>
        <v>-3.4530386740327934E-4</v>
      </c>
      <c r="F103" s="22">
        <f t="shared" si="2"/>
        <v>-2.8775592750245327E-3</v>
      </c>
      <c r="K103" s="282">
        <v>11738</v>
      </c>
      <c r="L103" s="282">
        <v>11738</v>
      </c>
      <c r="M103" s="282">
        <v>11561</v>
      </c>
      <c r="N103" t="s">
        <v>523</v>
      </c>
      <c r="O103" s="95">
        <v>-1.24E-2</v>
      </c>
      <c r="P103" s="283">
        <v>45985</v>
      </c>
      <c r="R103" s="282">
        <v>26122.799999999999</v>
      </c>
      <c r="S103" s="282">
        <v>26142.799999999999</v>
      </c>
      <c r="T103" s="282">
        <v>25912.15</v>
      </c>
      <c r="U103" t="s">
        <v>789</v>
      </c>
      <c r="V103" s="95">
        <v>-4.1999999999999997E-3</v>
      </c>
    </row>
    <row r="104" spans="2:22" x14ac:dyDescent="0.3">
      <c r="B104" s="283">
        <v>45982</v>
      </c>
      <c r="C104" s="282">
        <v>11729</v>
      </c>
      <c r="D104" s="282">
        <v>26068.15</v>
      </c>
      <c r="E104" s="22">
        <f t="shared" si="1"/>
        <v>-1.2362520248955566E-2</v>
      </c>
      <c r="F104" s="22">
        <f t="shared" si="2"/>
        <v>-4.1679213906625767E-3</v>
      </c>
      <c r="K104" s="282">
        <v>11758</v>
      </c>
      <c r="L104" s="282">
        <v>11788</v>
      </c>
      <c r="M104" s="282">
        <v>11691</v>
      </c>
      <c r="N104" t="s">
        <v>524</v>
      </c>
      <c r="O104" s="95">
        <v>-2E-3</v>
      </c>
      <c r="P104" s="283">
        <v>45982</v>
      </c>
      <c r="R104" s="282">
        <v>26109.55</v>
      </c>
      <c r="S104" s="282">
        <v>26179.200000000001</v>
      </c>
      <c r="T104" s="282">
        <v>26052.2</v>
      </c>
      <c r="U104" t="s">
        <v>790</v>
      </c>
      <c r="V104" s="95">
        <v>-4.7000000000000002E-3</v>
      </c>
    </row>
    <row r="105" spans="2:22" x14ac:dyDescent="0.3">
      <c r="B105" s="283">
        <v>45981</v>
      </c>
      <c r="C105" s="282">
        <v>11753</v>
      </c>
      <c r="D105" s="282">
        <v>26192.15</v>
      </c>
      <c r="E105" s="22">
        <f t="shared" si="1"/>
        <v>-2.0420318216625155E-3</v>
      </c>
      <c r="F105" s="22">
        <f t="shared" si="2"/>
        <v>-4.7342428933859759E-3</v>
      </c>
      <c r="K105" s="282">
        <v>11720</v>
      </c>
      <c r="L105" s="282">
        <v>11773</v>
      </c>
      <c r="M105" s="282">
        <v>11661</v>
      </c>
      <c r="N105" t="s">
        <v>525</v>
      </c>
      <c r="O105" s="95">
        <v>7.4999999999999997E-3</v>
      </c>
      <c r="P105" s="283">
        <v>45981</v>
      </c>
      <c r="R105" s="282">
        <v>26132.1</v>
      </c>
      <c r="S105" s="282">
        <v>26246.65</v>
      </c>
      <c r="T105" s="282">
        <v>26063.200000000001</v>
      </c>
      <c r="U105" t="s">
        <v>791</v>
      </c>
      <c r="V105" s="95">
        <v>5.4000000000000003E-3</v>
      </c>
    </row>
    <row r="106" spans="2:22" x14ac:dyDescent="0.3">
      <c r="B106" s="283">
        <v>45980</v>
      </c>
      <c r="C106" s="282">
        <v>11666</v>
      </c>
      <c r="D106" s="282">
        <v>26052.65</v>
      </c>
      <c r="E106" s="22">
        <f t="shared" si="1"/>
        <v>7.4575690039431208E-3</v>
      </c>
      <c r="F106" s="22">
        <f t="shared" si="2"/>
        <v>5.3545416685059077E-3</v>
      </c>
      <c r="K106" s="282">
        <v>11707</v>
      </c>
      <c r="L106" s="282">
        <v>11754</v>
      </c>
      <c r="M106" s="282">
        <v>11638</v>
      </c>
      <c r="N106" t="s">
        <v>526</v>
      </c>
      <c r="O106" s="95">
        <v>-3.5000000000000001E-3</v>
      </c>
      <c r="P106" s="283">
        <v>45980</v>
      </c>
      <c r="R106" s="282">
        <v>25918.1</v>
      </c>
      <c r="S106" s="282">
        <v>26074.65</v>
      </c>
      <c r="T106" s="282">
        <v>25856.2</v>
      </c>
      <c r="U106" t="s">
        <v>792</v>
      </c>
      <c r="V106" s="95">
        <v>5.4999999999999997E-3</v>
      </c>
    </row>
    <row r="107" spans="2:22" x14ac:dyDescent="0.3">
      <c r="B107" s="283">
        <v>45979</v>
      </c>
      <c r="C107" s="282">
        <v>11707</v>
      </c>
      <c r="D107" s="282">
        <v>25910.05</v>
      </c>
      <c r="E107" s="22">
        <f t="shared" si="1"/>
        <v>-3.5021781839924548E-3</v>
      </c>
      <c r="F107" s="22">
        <f t="shared" si="2"/>
        <v>5.5036559172985111E-3</v>
      </c>
      <c r="K107" s="282">
        <v>11888</v>
      </c>
      <c r="L107" s="282">
        <v>11888</v>
      </c>
      <c r="M107" s="282">
        <v>11688</v>
      </c>
      <c r="N107" t="s">
        <v>527</v>
      </c>
      <c r="O107" s="95">
        <v>-6.0000000000000001E-3</v>
      </c>
      <c r="P107" s="283">
        <v>45979</v>
      </c>
      <c r="R107" s="282">
        <v>26021.8</v>
      </c>
      <c r="S107" s="282">
        <v>26029.85</v>
      </c>
      <c r="T107" s="282">
        <v>25876.5</v>
      </c>
      <c r="U107" t="s">
        <v>793</v>
      </c>
      <c r="V107" s="95">
        <v>-4.0000000000000001E-3</v>
      </c>
    </row>
    <row r="108" spans="2:22" x14ac:dyDescent="0.3">
      <c r="B108" s="283">
        <v>45978</v>
      </c>
      <c r="C108" s="282">
        <v>11778</v>
      </c>
      <c r="D108" s="282">
        <v>26013.45</v>
      </c>
      <c r="E108" s="22">
        <f t="shared" si="1"/>
        <v>-6.0281881473934762E-3</v>
      </c>
      <c r="F108" s="22">
        <f t="shared" si="2"/>
        <v>-3.9748668477268545E-3</v>
      </c>
      <c r="K108" s="282">
        <v>11810</v>
      </c>
      <c r="L108" s="282">
        <v>11855</v>
      </c>
      <c r="M108" s="282">
        <v>11745</v>
      </c>
      <c r="N108" t="s">
        <v>528</v>
      </c>
      <c r="O108" s="95">
        <v>-8.0999999999999996E-3</v>
      </c>
      <c r="P108" s="283">
        <v>45978</v>
      </c>
      <c r="R108" s="282">
        <v>25948.2</v>
      </c>
      <c r="S108" s="282">
        <v>26024.2</v>
      </c>
      <c r="T108" s="282">
        <v>25906.35</v>
      </c>
      <c r="U108" t="s">
        <v>794</v>
      </c>
      <c r="V108" s="95">
        <v>4.0000000000000001E-3</v>
      </c>
    </row>
    <row r="109" spans="2:22" x14ac:dyDescent="0.3">
      <c r="B109" s="283">
        <v>45975</v>
      </c>
      <c r="C109" s="282">
        <v>11874</v>
      </c>
      <c r="D109" s="282">
        <v>25910.05</v>
      </c>
      <c r="E109" s="22">
        <f t="shared" si="1"/>
        <v>-8.0848913592723726E-3</v>
      </c>
      <c r="F109" s="22">
        <f t="shared" si="2"/>
        <v>3.9907294659795589E-3</v>
      </c>
      <c r="K109" s="282">
        <v>11941</v>
      </c>
      <c r="L109" s="282">
        <v>11941</v>
      </c>
      <c r="M109" s="282">
        <v>11786</v>
      </c>
      <c r="N109" t="s">
        <v>529</v>
      </c>
      <c r="O109" s="95">
        <v>-5.0000000000000001E-3</v>
      </c>
      <c r="P109" s="283">
        <v>45975</v>
      </c>
      <c r="R109" s="282">
        <v>25767.9</v>
      </c>
      <c r="S109" s="282">
        <v>25940.2</v>
      </c>
      <c r="T109" s="282">
        <v>25740.799999999999</v>
      </c>
      <c r="U109" t="s">
        <v>795</v>
      </c>
      <c r="V109" s="95">
        <v>1.1999999999999999E-3</v>
      </c>
    </row>
    <row r="110" spans="2:22" x14ac:dyDescent="0.3">
      <c r="B110" s="283">
        <v>45974</v>
      </c>
      <c r="C110" s="282">
        <v>11934</v>
      </c>
      <c r="D110" s="282">
        <v>25879.15</v>
      </c>
      <c r="E110" s="22">
        <f t="shared" si="1"/>
        <v>-5.027652086475598E-3</v>
      </c>
      <c r="F110" s="22">
        <f t="shared" si="2"/>
        <v>1.194011395273753E-3</v>
      </c>
      <c r="K110" s="282">
        <v>11921</v>
      </c>
      <c r="L110" s="282">
        <v>12016</v>
      </c>
      <c r="M110" s="282">
        <v>11907</v>
      </c>
      <c r="N110" t="s">
        <v>530</v>
      </c>
      <c r="O110" s="95">
        <v>1.1000000000000001E-3</v>
      </c>
      <c r="P110" s="283">
        <v>45974</v>
      </c>
      <c r="R110" s="282">
        <v>25906.1</v>
      </c>
      <c r="S110" s="282">
        <v>26010.7</v>
      </c>
      <c r="T110" s="282">
        <v>25808.400000000001</v>
      </c>
      <c r="U110" t="s">
        <v>796</v>
      </c>
      <c r="V110" s="95">
        <v>1E-4</v>
      </c>
    </row>
    <row r="111" spans="2:22" x14ac:dyDescent="0.3">
      <c r="B111" s="283">
        <v>45973</v>
      </c>
      <c r="C111" s="282">
        <v>11921</v>
      </c>
      <c r="D111" s="282">
        <v>25875.8</v>
      </c>
      <c r="E111" s="22">
        <f t="shared" si="1"/>
        <v>1.0905125408942062E-3</v>
      </c>
      <c r="F111" s="22">
        <f t="shared" si="2"/>
        <v>1.2946459626372864E-4</v>
      </c>
      <c r="K111" s="282">
        <v>11861</v>
      </c>
      <c r="L111" s="282">
        <v>11949</v>
      </c>
      <c r="M111" s="282">
        <v>11831</v>
      </c>
      <c r="N111" t="s">
        <v>531</v>
      </c>
      <c r="O111" s="95">
        <v>8.0999999999999996E-3</v>
      </c>
      <c r="P111" s="283">
        <v>45973</v>
      </c>
      <c r="R111" s="282">
        <v>25834.3</v>
      </c>
      <c r="S111" s="282">
        <v>25934.55</v>
      </c>
      <c r="T111" s="282">
        <v>25781.15</v>
      </c>
      <c r="U111" t="s">
        <v>797</v>
      </c>
      <c r="V111" s="95">
        <v>7.0000000000000001E-3</v>
      </c>
    </row>
    <row r="112" spans="2:22" x14ac:dyDescent="0.3">
      <c r="B112" s="283">
        <v>45972</v>
      </c>
      <c r="C112" s="282">
        <v>11825</v>
      </c>
      <c r="D112" s="282">
        <v>25694.95</v>
      </c>
      <c r="E112" s="22">
        <f t="shared" si="1"/>
        <v>8.1183932346722276E-3</v>
      </c>
      <c r="F112" s="22">
        <f t="shared" si="2"/>
        <v>7.0383480022337963E-3</v>
      </c>
      <c r="K112" s="282">
        <v>11750</v>
      </c>
      <c r="L112" s="282">
        <v>11849</v>
      </c>
      <c r="M112" s="282">
        <v>11720</v>
      </c>
      <c r="N112" t="s">
        <v>532</v>
      </c>
      <c r="O112" s="95">
        <v>8.3000000000000001E-3</v>
      </c>
      <c r="P112" s="283">
        <v>45972</v>
      </c>
      <c r="R112" s="282">
        <v>25617</v>
      </c>
      <c r="S112" s="282">
        <v>25715.8</v>
      </c>
      <c r="T112" s="282">
        <v>25449.25</v>
      </c>
      <c r="U112" t="s">
        <v>798</v>
      </c>
      <c r="V112" s="95">
        <v>4.7000000000000002E-3</v>
      </c>
    </row>
    <row r="113" spans="2:22" x14ac:dyDescent="0.3">
      <c r="B113" s="283">
        <v>45971</v>
      </c>
      <c r="C113" s="282">
        <v>11728</v>
      </c>
      <c r="D113" s="282">
        <v>25574.35</v>
      </c>
      <c r="E113" s="22">
        <f t="shared" si="1"/>
        <v>8.2708049113233706E-3</v>
      </c>
      <c r="F113" s="22">
        <f t="shared" si="2"/>
        <v>4.7156623726507529E-3</v>
      </c>
      <c r="K113" s="282">
        <v>11851</v>
      </c>
      <c r="L113" s="282">
        <v>11890</v>
      </c>
      <c r="M113" s="282">
        <v>11701</v>
      </c>
      <c r="N113" t="s">
        <v>533</v>
      </c>
      <c r="O113" s="95">
        <v>-1.0200000000000001E-2</v>
      </c>
      <c r="P113" s="283">
        <v>45971</v>
      </c>
      <c r="R113" s="282">
        <v>25503.5</v>
      </c>
      <c r="S113" s="282">
        <v>25653.45</v>
      </c>
      <c r="T113" s="282">
        <v>25503.5</v>
      </c>
      <c r="U113" t="s">
        <v>799</v>
      </c>
      <c r="V113" s="95">
        <v>3.2000000000000002E-3</v>
      </c>
    </row>
    <row r="114" spans="2:22" x14ac:dyDescent="0.3">
      <c r="B114" s="283">
        <v>45968</v>
      </c>
      <c r="C114" s="282">
        <v>11849</v>
      </c>
      <c r="D114" s="282">
        <v>25492.3</v>
      </c>
      <c r="E114" s="22">
        <f t="shared" si="1"/>
        <v>-1.0211832222128403E-2</v>
      </c>
      <c r="F114" s="22">
        <f t="shared" si="2"/>
        <v>3.2186189555276634E-3</v>
      </c>
      <c r="K114" s="282">
        <v>11871</v>
      </c>
      <c r="L114" s="282">
        <v>11951</v>
      </c>
      <c r="M114" s="282">
        <v>11834</v>
      </c>
      <c r="N114" t="s">
        <v>534</v>
      </c>
      <c r="O114" s="95">
        <v>-5.1000000000000004E-3</v>
      </c>
      <c r="P114" s="283">
        <v>45968</v>
      </c>
      <c r="R114" s="282">
        <v>25433.8</v>
      </c>
      <c r="S114" s="282">
        <v>25551.25</v>
      </c>
      <c r="T114" s="282">
        <v>25318.45</v>
      </c>
      <c r="U114" t="s">
        <v>800</v>
      </c>
      <c r="V114" s="95">
        <v>-6.9999999999999999E-4</v>
      </c>
    </row>
    <row r="115" spans="2:22" x14ac:dyDescent="0.3">
      <c r="B115" s="283">
        <v>45967</v>
      </c>
      <c r="C115" s="282">
        <v>11910</v>
      </c>
      <c r="D115" s="282">
        <v>25509.7</v>
      </c>
      <c r="E115" s="22">
        <f t="shared" si="1"/>
        <v>-5.1217464315701511E-3</v>
      </c>
      <c r="F115" s="22">
        <f t="shared" si="2"/>
        <v>-6.8209347816716726E-4</v>
      </c>
      <c r="K115" s="282">
        <v>11800</v>
      </c>
      <c r="L115" s="282">
        <v>11985</v>
      </c>
      <c r="M115" s="282">
        <v>11798</v>
      </c>
      <c r="N115" t="s">
        <v>535</v>
      </c>
      <c r="O115" s="95">
        <v>7.7000000000000002E-3</v>
      </c>
      <c r="P115" s="283">
        <v>45967</v>
      </c>
      <c r="R115" s="282">
        <v>25593.35</v>
      </c>
      <c r="S115" s="282">
        <v>25679.15</v>
      </c>
      <c r="T115" s="282">
        <v>25491.55</v>
      </c>
      <c r="U115" t="s">
        <v>801</v>
      </c>
      <c r="V115" s="95">
        <v>-3.3999999999999998E-3</v>
      </c>
    </row>
    <row r="116" spans="2:22" x14ac:dyDescent="0.3">
      <c r="B116" s="283">
        <v>45965</v>
      </c>
      <c r="C116" s="282">
        <v>11819</v>
      </c>
      <c r="D116" s="282">
        <v>25597.65</v>
      </c>
      <c r="E116" s="22">
        <f t="shared" si="1"/>
        <v>7.699466959979695E-3</v>
      </c>
      <c r="F116" s="22">
        <f t="shared" si="2"/>
        <v>-3.4358622764198987E-3</v>
      </c>
      <c r="K116" s="282">
        <v>11960</v>
      </c>
      <c r="L116" s="282">
        <v>11960</v>
      </c>
      <c r="M116" s="282">
        <v>11785</v>
      </c>
      <c r="N116" t="s">
        <v>536</v>
      </c>
      <c r="O116" s="95">
        <v>-1.0999999999999999E-2</v>
      </c>
      <c r="P116" s="283">
        <v>45965</v>
      </c>
      <c r="R116" s="282">
        <v>25744.75</v>
      </c>
      <c r="S116" s="282">
        <v>25787.4</v>
      </c>
      <c r="T116" s="282">
        <v>25578.400000000001</v>
      </c>
      <c r="U116" t="s">
        <v>802</v>
      </c>
      <c r="V116" s="95">
        <v>-6.4000000000000003E-3</v>
      </c>
    </row>
    <row r="117" spans="2:22" x14ac:dyDescent="0.3">
      <c r="B117" s="283">
        <v>45964</v>
      </c>
      <c r="C117" s="282">
        <v>11950</v>
      </c>
      <c r="D117" s="282">
        <v>25763.35</v>
      </c>
      <c r="E117" s="22">
        <f t="shared" si="1"/>
        <v>-1.0962343096234339E-2</v>
      </c>
      <c r="F117" s="22">
        <f t="shared" si="2"/>
        <v>-6.4316170063286604E-3</v>
      </c>
      <c r="K117" s="282">
        <v>11927</v>
      </c>
      <c r="L117" s="282">
        <v>11984</v>
      </c>
      <c r="M117" s="282">
        <v>11885</v>
      </c>
      <c r="N117" t="s">
        <v>537</v>
      </c>
      <c r="O117" s="95">
        <v>2.9999999999999997E-4</v>
      </c>
      <c r="P117" s="283">
        <v>45964</v>
      </c>
      <c r="R117" s="282">
        <v>25696.85</v>
      </c>
      <c r="S117" s="282">
        <v>25803.1</v>
      </c>
      <c r="T117" s="282">
        <v>25645.5</v>
      </c>
      <c r="U117" t="s">
        <v>803</v>
      </c>
      <c r="V117" s="95">
        <v>1.6000000000000001E-3</v>
      </c>
    </row>
    <row r="118" spans="2:22" x14ac:dyDescent="0.3">
      <c r="B118" s="283">
        <v>45961</v>
      </c>
      <c r="C118" s="282">
        <v>11947</v>
      </c>
      <c r="D118" s="282">
        <v>25722.1</v>
      </c>
      <c r="E118" s="22">
        <f t="shared" si="1"/>
        <v>2.5110906503722497E-4</v>
      </c>
      <c r="F118" s="22">
        <f t="shared" si="2"/>
        <v>1.6036793263380922E-3</v>
      </c>
      <c r="K118" s="282">
        <v>12053</v>
      </c>
      <c r="L118" s="282">
        <v>12102</v>
      </c>
      <c r="M118" s="282">
        <v>11917</v>
      </c>
      <c r="N118" t="s">
        <v>538</v>
      </c>
      <c r="O118" s="95">
        <v>-8.8000000000000005E-3</v>
      </c>
      <c r="P118" s="283">
        <v>45961</v>
      </c>
      <c r="R118" s="282">
        <v>25863.8</v>
      </c>
      <c r="S118" s="282">
        <v>25953.75</v>
      </c>
      <c r="T118" s="282">
        <v>25711.200000000001</v>
      </c>
      <c r="U118" t="s">
        <v>804</v>
      </c>
      <c r="V118" s="95">
        <v>-6.0000000000000001E-3</v>
      </c>
    </row>
    <row r="119" spans="2:22" x14ac:dyDescent="0.3">
      <c r="B119" s="283">
        <v>45960</v>
      </c>
      <c r="C119" s="282">
        <v>12053</v>
      </c>
      <c r="D119" s="282">
        <v>25877.85</v>
      </c>
      <c r="E119" s="22">
        <f t="shared" ref="E119:E182" si="3">C118/C119-1</f>
        <v>-8.7944909980917085E-3</v>
      </c>
      <c r="F119" s="22">
        <f t="shared" ref="F119:F182" si="4">D118/D119-1</f>
        <v>-6.0186607465457787E-3</v>
      </c>
      <c r="K119" s="282">
        <v>12040</v>
      </c>
      <c r="L119" s="282">
        <v>12084</v>
      </c>
      <c r="M119" s="282">
        <v>11950</v>
      </c>
      <c r="N119" t="s">
        <v>539</v>
      </c>
      <c r="O119" s="95">
        <v>4.4999999999999997E-3</v>
      </c>
      <c r="P119" s="283">
        <v>45960</v>
      </c>
      <c r="R119" s="282">
        <v>25984.400000000001</v>
      </c>
      <c r="S119" s="282">
        <v>26032.05</v>
      </c>
      <c r="T119" s="282">
        <v>25845.25</v>
      </c>
      <c r="U119" t="s">
        <v>805</v>
      </c>
      <c r="V119" s="95">
        <v>-6.7999999999999996E-3</v>
      </c>
    </row>
    <row r="120" spans="2:22" x14ac:dyDescent="0.3">
      <c r="B120" s="283">
        <v>45959</v>
      </c>
      <c r="C120" s="282">
        <v>11999</v>
      </c>
      <c r="D120" s="282">
        <v>26053.9</v>
      </c>
      <c r="E120" s="22">
        <f t="shared" si="3"/>
        <v>4.500375031252668E-3</v>
      </c>
      <c r="F120" s="22">
        <f t="shared" si="4"/>
        <v>-6.7571457632064069E-3</v>
      </c>
      <c r="K120" s="282">
        <v>11940</v>
      </c>
      <c r="L120" s="282">
        <v>12060</v>
      </c>
      <c r="M120" s="282">
        <v>11899</v>
      </c>
      <c r="N120" t="s">
        <v>540</v>
      </c>
      <c r="O120" s="95">
        <v>5.7000000000000002E-3</v>
      </c>
      <c r="P120" s="283">
        <v>45959</v>
      </c>
      <c r="R120" s="282">
        <v>25982</v>
      </c>
      <c r="S120" s="282">
        <v>26097.85</v>
      </c>
      <c r="T120" s="282">
        <v>25960.3</v>
      </c>
      <c r="U120" t="s">
        <v>806</v>
      </c>
      <c r="V120" s="95">
        <v>4.4999999999999997E-3</v>
      </c>
    </row>
    <row r="121" spans="2:22" x14ac:dyDescent="0.3">
      <c r="B121" s="283">
        <v>45958</v>
      </c>
      <c r="C121" s="282">
        <v>11931</v>
      </c>
      <c r="D121" s="282">
        <v>25936.2</v>
      </c>
      <c r="E121" s="22">
        <f t="shared" si="3"/>
        <v>5.6994384376833906E-3</v>
      </c>
      <c r="F121" s="22">
        <f t="shared" si="4"/>
        <v>4.5380587749941359E-3</v>
      </c>
      <c r="K121" s="282">
        <v>12025</v>
      </c>
      <c r="L121" s="282">
        <v>12048</v>
      </c>
      <c r="M121" s="282">
        <v>11866</v>
      </c>
      <c r="N121" t="s">
        <v>541</v>
      </c>
      <c r="O121" s="95">
        <v>-7.0000000000000001E-3</v>
      </c>
      <c r="P121" s="283">
        <v>45958</v>
      </c>
      <c r="R121" s="282">
        <v>25939.95</v>
      </c>
      <c r="S121" s="282">
        <v>26041.7</v>
      </c>
      <c r="T121" s="282">
        <v>25810.05</v>
      </c>
      <c r="U121" t="s">
        <v>807</v>
      </c>
      <c r="V121" s="95">
        <v>-1.1000000000000001E-3</v>
      </c>
    </row>
    <row r="122" spans="2:22" x14ac:dyDescent="0.3">
      <c r="B122" s="283">
        <v>45957</v>
      </c>
      <c r="C122" s="282">
        <v>12015</v>
      </c>
      <c r="D122" s="282">
        <v>25966.05</v>
      </c>
      <c r="E122" s="22">
        <f t="shared" si="3"/>
        <v>-6.9912609238451662E-3</v>
      </c>
      <c r="F122" s="22">
        <f t="shared" si="4"/>
        <v>-1.1495780066663741E-3</v>
      </c>
      <c r="K122" s="282">
        <v>11922</v>
      </c>
      <c r="L122" s="282">
        <v>12049</v>
      </c>
      <c r="M122" s="282">
        <v>11920</v>
      </c>
      <c r="N122" t="s">
        <v>542</v>
      </c>
      <c r="O122" s="95">
        <v>8.0999999999999996E-3</v>
      </c>
      <c r="P122" s="283">
        <v>45957</v>
      </c>
      <c r="R122" s="282">
        <v>25843.200000000001</v>
      </c>
      <c r="S122" s="282">
        <v>26005.95</v>
      </c>
      <c r="T122" s="282">
        <v>25827</v>
      </c>
      <c r="U122" t="s">
        <v>808</v>
      </c>
      <c r="V122" s="95">
        <v>6.6E-3</v>
      </c>
    </row>
    <row r="123" spans="2:22" x14ac:dyDescent="0.3">
      <c r="B123" s="283">
        <v>45954</v>
      </c>
      <c r="C123" s="282">
        <v>11918</v>
      </c>
      <c r="D123" s="282">
        <v>25795.15</v>
      </c>
      <c r="E123" s="22">
        <f t="shared" si="3"/>
        <v>8.1389494881691782E-3</v>
      </c>
      <c r="F123" s="22">
        <f t="shared" si="4"/>
        <v>6.6252764570082778E-3</v>
      </c>
      <c r="K123" s="282">
        <v>12149</v>
      </c>
      <c r="L123" s="282">
        <v>12174</v>
      </c>
      <c r="M123" s="282">
        <v>11876</v>
      </c>
      <c r="N123" t="s">
        <v>543</v>
      </c>
      <c r="O123" s="95">
        <v>-1.8700000000000001E-2</v>
      </c>
      <c r="P123" s="283">
        <v>45954</v>
      </c>
      <c r="R123" s="282">
        <v>25935.1</v>
      </c>
      <c r="S123" s="282">
        <v>25944.15</v>
      </c>
      <c r="T123" s="282">
        <v>25718.2</v>
      </c>
      <c r="U123" t="s">
        <v>809</v>
      </c>
      <c r="V123" s="95">
        <v>-3.7000000000000002E-3</v>
      </c>
    </row>
    <row r="124" spans="2:22" x14ac:dyDescent="0.3">
      <c r="B124" s="283">
        <v>45953</v>
      </c>
      <c r="C124" s="282">
        <v>12145</v>
      </c>
      <c r="D124" s="282">
        <v>25891.4</v>
      </c>
      <c r="E124" s="22">
        <f t="shared" si="3"/>
        <v>-1.8690819267188186E-2</v>
      </c>
      <c r="F124" s="22">
        <f t="shared" si="4"/>
        <v>-3.7174505820465331E-3</v>
      </c>
      <c r="K124" s="282">
        <v>12390</v>
      </c>
      <c r="L124" s="282">
        <v>12415</v>
      </c>
      <c r="M124" s="282">
        <v>12112</v>
      </c>
      <c r="N124" t="s">
        <v>544</v>
      </c>
      <c r="O124" s="95">
        <v>-1.6E-2</v>
      </c>
      <c r="P124" s="283">
        <v>45953</v>
      </c>
      <c r="R124" s="282">
        <v>26057.200000000001</v>
      </c>
      <c r="S124" s="282">
        <v>26104.2</v>
      </c>
      <c r="T124" s="282">
        <v>25862.45</v>
      </c>
      <c r="U124" t="s">
        <v>810</v>
      </c>
      <c r="V124" s="95">
        <v>8.9999999999999998E-4</v>
      </c>
    </row>
    <row r="125" spans="2:22" x14ac:dyDescent="0.3">
      <c r="B125" s="283">
        <v>45951</v>
      </c>
      <c r="C125" s="282">
        <v>12342</v>
      </c>
      <c r="D125" s="282">
        <v>25868.6</v>
      </c>
      <c r="E125" s="22">
        <f t="shared" si="3"/>
        <v>-1.596175660346788E-2</v>
      </c>
      <c r="F125" s="22">
        <f t="shared" si="4"/>
        <v>8.8137742282157205E-4</v>
      </c>
      <c r="K125" s="282">
        <v>12371</v>
      </c>
      <c r="L125" s="282">
        <v>12417</v>
      </c>
      <c r="M125" s="282">
        <v>12271</v>
      </c>
      <c r="N125" t="s">
        <v>545</v>
      </c>
      <c r="O125" s="95">
        <v>-2.9999999999999997E-4</v>
      </c>
      <c r="P125" s="283">
        <v>45951</v>
      </c>
      <c r="R125" s="282">
        <v>25901.200000000001</v>
      </c>
      <c r="S125" s="282">
        <v>25934.35</v>
      </c>
      <c r="T125" s="282">
        <v>25825.8</v>
      </c>
      <c r="U125" t="s">
        <v>811</v>
      </c>
      <c r="V125" s="95">
        <v>1E-3</v>
      </c>
    </row>
    <row r="126" spans="2:22" x14ac:dyDescent="0.3">
      <c r="B126" s="283">
        <v>45950</v>
      </c>
      <c r="C126" s="282">
        <v>12346</v>
      </c>
      <c r="D126" s="282">
        <v>25843.15</v>
      </c>
      <c r="E126" s="22">
        <f t="shared" si="3"/>
        <v>-3.2399157621898489E-4</v>
      </c>
      <c r="F126" s="22">
        <f t="shared" si="4"/>
        <v>9.8478707123539344E-4</v>
      </c>
      <c r="K126" s="282">
        <v>12420</v>
      </c>
      <c r="L126" s="282">
        <v>12448</v>
      </c>
      <c r="M126" s="282">
        <v>12175</v>
      </c>
      <c r="N126" t="s">
        <v>546</v>
      </c>
      <c r="O126" s="95">
        <v>-1.9E-3</v>
      </c>
      <c r="P126" s="283">
        <v>45950</v>
      </c>
      <c r="R126" s="282">
        <v>25824.6</v>
      </c>
      <c r="S126" s="282">
        <v>25926.2</v>
      </c>
      <c r="T126" s="282">
        <v>25788.5</v>
      </c>
      <c r="U126" t="s">
        <v>812</v>
      </c>
      <c r="V126" s="95">
        <v>5.1999999999999998E-3</v>
      </c>
    </row>
    <row r="127" spans="2:22" x14ac:dyDescent="0.3">
      <c r="B127" s="283">
        <v>45947</v>
      </c>
      <c r="C127" s="282">
        <v>12370</v>
      </c>
      <c r="D127" s="282">
        <v>25709.85</v>
      </c>
      <c r="E127" s="22">
        <f t="shared" si="3"/>
        <v>-1.9401778496361821E-3</v>
      </c>
      <c r="F127" s="22">
        <f t="shared" si="4"/>
        <v>5.1847832640019575E-3</v>
      </c>
      <c r="K127" s="282">
        <v>12300</v>
      </c>
      <c r="L127" s="282">
        <v>12390</v>
      </c>
      <c r="M127" s="282">
        <v>12259</v>
      </c>
      <c r="N127" t="s">
        <v>547</v>
      </c>
      <c r="O127" s="95">
        <v>1E-3</v>
      </c>
      <c r="P127" s="283">
        <v>45947</v>
      </c>
      <c r="R127" s="282">
        <v>25546.85</v>
      </c>
      <c r="S127" s="282">
        <v>25781.5</v>
      </c>
      <c r="T127" s="282">
        <v>25508.6</v>
      </c>
      <c r="U127" t="s">
        <v>813</v>
      </c>
      <c r="V127" s="95">
        <v>4.8999999999999998E-3</v>
      </c>
    </row>
    <row r="128" spans="2:22" x14ac:dyDescent="0.3">
      <c r="B128" s="283">
        <v>45946</v>
      </c>
      <c r="C128" s="282">
        <v>12358</v>
      </c>
      <c r="D128" s="282">
        <v>25585.3</v>
      </c>
      <c r="E128" s="22">
        <f t="shared" si="3"/>
        <v>9.7103091115058326E-4</v>
      </c>
      <c r="F128" s="22">
        <f t="shared" si="4"/>
        <v>4.8680296889229702E-3</v>
      </c>
      <c r="K128" s="282">
        <v>12306</v>
      </c>
      <c r="L128" s="282">
        <v>12405</v>
      </c>
      <c r="M128" s="282">
        <v>12268</v>
      </c>
      <c r="N128" t="s">
        <v>548</v>
      </c>
      <c r="O128" s="95">
        <v>3.8E-3</v>
      </c>
      <c r="P128" s="283">
        <v>45946</v>
      </c>
      <c r="R128" s="282">
        <v>25394.9</v>
      </c>
      <c r="S128" s="282">
        <v>25625.4</v>
      </c>
      <c r="T128" s="282">
        <v>25376.85</v>
      </c>
      <c r="U128" t="s">
        <v>814</v>
      </c>
      <c r="V128" s="95">
        <v>1.03E-2</v>
      </c>
    </row>
    <row r="129" spans="2:22" x14ac:dyDescent="0.3">
      <c r="B129" s="283">
        <v>45945</v>
      </c>
      <c r="C129" s="282">
        <v>12311</v>
      </c>
      <c r="D129" s="282">
        <v>25323.55</v>
      </c>
      <c r="E129" s="22">
        <f t="shared" si="3"/>
        <v>3.8177239866785673E-3</v>
      </c>
      <c r="F129" s="22">
        <f t="shared" si="4"/>
        <v>1.0336228530360092E-2</v>
      </c>
      <c r="K129" s="282">
        <v>12085</v>
      </c>
      <c r="L129" s="282">
        <v>12325</v>
      </c>
      <c r="M129" s="282">
        <v>12085</v>
      </c>
      <c r="N129" t="s">
        <v>549</v>
      </c>
      <c r="O129" s="95">
        <v>0.02</v>
      </c>
      <c r="P129" s="283">
        <v>45945</v>
      </c>
      <c r="R129" s="282">
        <v>25181.95</v>
      </c>
      <c r="S129" s="282">
        <v>25365.15</v>
      </c>
      <c r="T129" s="282">
        <v>25159.35</v>
      </c>
      <c r="U129" t="s">
        <v>815</v>
      </c>
      <c r="V129" s="95">
        <v>7.1000000000000004E-3</v>
      </c>
    </row>
    <row r="130" spans="2:22" x14ac:dyDescent="0.3">
      <c r="B130" s="283">
        <v>45944</v>
      </c>
      <c r="C130" s="282">
        <v>12070</v>
      </c>
      <c r="D130" s="282">
        <v>25145.5</v>
      </c>
      <c r="E130" s="22">
        <f t="shared" si="3"/>
        <v>1.9966859983429952E-2</v>
      </c>
      <c r="F130" s="22">
        <f t="shared" si="4"/>
        <v>7.0807898033444783E-3</v>
      </c>
      <c r="K130" s="282">
        <v>12172</v>
      </c>
      <c r="L130" s="282">
        <v>12251</v>
      </c>
      <c r="M130" s="282">
        <v>12026</v>
      </c>
      <c r="N130" t="s">
        <v>550</v>
      </c>
      <c r="O130" s="95">
        <v>-8.3999999999999995E-3</v>
      </c>
      <c r="P130" s="283">
        <v>45944</v>
      </c>
      <c r="R130" s="282">
        <v>25277.55</v>
      </c>
      <c r="S130" s="282">
        <v>25310.35</v>
      </c>
      <c r="T130" s="282">
        <v>25060.55</v>
      </c>
      <c r="U130" t="s">
        <v>816</v>
      </c>
      <c r="V130" s="95">
        <v>-3.2000000000000002E-3</v>
      </c>
    </row>
    <row r="131" spans="2:22" x14ac:dyDescent="0.3">
      <c r="B131" s="283">
        <v>45943</v>
      </c>
      <c r="C131" s="282">
        <v>12172</v>
      </c>
      <c r="D131" s="282">
        <v>25227.35</v>
      </c>
      <c r="E131" s="22">
        <f t="shared" si="3"/>
        <v>-8.379888268156388E-3</v>
      </c>
      <c r="F131" s="22">
        <f t="shared" si="4"/>
        <v>-3.2444945664129587E-3</v>
      </c>
      <c r="K131" s="282">
        <v>12225</v>
      </c>
      <c r="L131" s="282">
        <v>12249</v>
      </c>
      <c r="M131" s="282">
        <v>12150</v>
      </c>
      <c r="N131" t="s">
        <v>551</v>
      </c>
      <c r="O131" s="95">
        <v>-8.8999999999999999E-3</v>
      </c>
      <c r="P131" s="283">
        <v>45943</v>
      </c>
      <c r="R131" s="282">
        <v>25177.3</v>
      </c>
      <c r="S131" s="282">
        <v>25267.3</v>
      </c>
      <c r="T131" s="282">
        <v>25152.3</v>
      </c>
      <c r="U131" t="s">
        <v>817</v>
      </c>
      <c r="V131" s="95">
        <v>-2.3E-3</v>
      </c>
    </row>
    <row r="132" spans="2:22" x14ac:dyDescent="0.3">
      <c r="B132" s="283">
        <v>45940</v>
      </c>
      <c r="C132" s="282">
        <v>12281</v>
      </c>
      <c r="D132" s="282">
        <v>25285.35</v>
      </c>
      <c r="E132" s="22">
        <f t="shared" si="3"/>
        <v>-8.8754987378878436E-3</v>
      </c>
      <c r="F132" s="22">
        <f t="shared" si="4"/>
        <v>-2.2938183572701609E-3</v>
      </c>
      <c r="K132" s="282">
        <v>12180</v>
      </c>
      <c r="L132" s="282">
        <v>12324</v>
      </c>
      <c r="M132" s="282">
        <v>12111</v>
      </c>
      <c r="N132" t="s">
        <v>552</v>
      </c>
      <c r="O132" s="95">
        <v>7.3000000000000001E-3</v>
      </c>
      <c r="P132" s="283">
        <v>45940</v>
      </c>
      <c r="R132" s="282">
        <v>25167.65</v>
      </c>
      <c r="S132" s="282">
        <v>25330.75</v>
      </c>
      <c r="T132" s="282">
        <v>25156.85</v>
      </c>
      <c r="U132" t="s">
        <v>818</v>
      </c>
      <c r="V132" s="95">
        <v>4.1000000000000003E-3</v>
      </c>
    </row>
    <row r="133" spans="2:22" x14ac:dyDescent="0.3">
      <c r="B133" s="283">
        <v>45939</v>
      </c>
      <c r="C133" s="282">
        <v>12192</v>
      </c>
      <c r="D133" s="282">
        <v>25181.8</v>
      </c>
      <c r="E133" s="22">
        <f t="shared" si="3"/>
        <v>7.299868766404094E-3</v>
      </c>
      <c r="F133" s="22">
        <f t="shared" si="4"/>
        <v>4.1120968318388851E-3</v>
      </c>
      <c r="K133" s="282">
        <v>11991</v>
      </c>
      <c r="L133" s="282">
        <v>12211</v>
      </c>
      <c r="M133" s="282">
        <v>11973</v>
      </c>
      <c r="N133" t="s">
        <v>553</v>
      </c>
      <c r="O133" s="95">
        <v>1.6799999999999999E-2</v>
      </c>
      <c r="P133" s="283">
        <v>45939</v>
      </c>
      <c r="R133" s="282">
        <v>25074.3</v>
      </c>
      <c r="S133" s="282">
        <v>25199.25</v>
      </c>
      <c r="T133" s="282">
        <v>25024.3</v>
      </c>
      <c r="U133" t="s">
        <v>819</v>
      </c>
      <c r="V133" s="95">
        <v>5.4000000000000003E-3</v>
      </c>
    </row>
    <row r="134" spans="2:22" x14ac:dyDescent="0.3">
      <c r="B134" s="283">
        <v>45938</v>
      </c>
      <c r="C134" s="282">
        <v>11991</v>
      </c>
      <c r="D134" s="282">
        <v>25046.15</v>
      </c>
      <c r="E134" s="22">
        <f t="shared" si="3"/>
        <v>1.6762571928946812E-2</v>
      </c>
      <c r="F134" s="22">
        <f t="shared" si="4"/>
        <v>5.4160020601967673E-3</v>
      </c>
      <c r="K134" s="282">
        <v>12150</v>
      </c>
      <c r="L134" s="282">
        <v>12182</v>
      </c>
      <c r="M134" s="282">
        <v>11940</v>
      </c>
      <c r="N134" t="s">
        <v>554</v>
      </c>
      <c r="O134" s="95">
        <v>-1.5800000000000002E-2</v>
      </c>
      <c r="P134" s="283">
        <v>45938</v>
      </c>
      <c r="R134" s="282">
        <v>25079.75</v>
      </c>
      <c r="S134" s="282">
        <v>25192.5</v>
      </c>
      <c r="T134" s="282">
        <v>25008.5</v>
      </c>
      <c r="U134" t="s">
        <v>820</v>
      </c>
      <c r="V134" s="95">
        <v>-2.5000000000000001E-3</v>
      </c>
    </row>
    <row r="135" spans="2:22" x14ac:dyDescent="0.3">
      <c r="B135" s="283">
        <v>45937</v>
      </c>
      <c r="C135" s="282">
        <v>12184</v>
      </c>
      <c r="D135" s="282">
        <v>25108.3</v>
      </c>
      <c r="E135" s="22">
        <f t="shared" si="3"/>
        <v>-1.5840446487196291E-2</v>
      </c>
      <c r="F135" s="22">
        <f t="shared" si="4"/>
        <v>-2.4752770996043783E-3</v>
      </c>
      <c r="K135" s="282">
        <v>12059</v>
      </c>
      <c r="L135" s="282">
        <v>12210</v>
      </c>
      <c r="M135" s="282">
        <v>12025</v>
      </c>
      <c r="N135" t="s">
        <v>555</v>
      </c>
      <c r="O135" s="95">
        <v>1.0699999999999999E-2</v>
      </c>
      <c r="P135" s="283">
        <v>45937</v>
      </c>
      <c r="R135" s="282">
        <v>25085.3</v>
      </c>
      <c r="S135" s="282">
        <v>25220.9</v>
      </c>
      <c r="T135" s="282">
        <v>25076.3</v>
      </c>
      <c r="U135" t="s">
        <v>821</v>
      </c>
      <c r="V135" s="95">
        <v>1.1999999999999999E-3</v>
      </c>
    </row>
    <row r="136" spans="2:22" x14ac:dyDescent="0.3">
      <c r="B136" s="283">
        <v>45936</v>
      </c>
      <c r="C136" s="282">
        <v>12055</v>
      </c>
      <c r="D136" s="282">
        <v>25077.65</v>
      </c>
      <c r="E136" s="22">
        <f t="shared" si="3"/>
        <v>1.0700953961012116E-2</v>
      </c>
      <c r="F136" s="22">
        <f t="shared" si="4"/>
        <v>1.222203834888802E-3</v>
      </c>
      <c r="K136" s="282">
        <v>12019</v>
      </c>
      <c r="L136" s="282">
        <v>12100</v>
      </c>
      <c r="M136" s="282">
        <v>11991</v>
      </c>
      <c r="N136" t="s">
        <v>556</v>
      </c>
      <c r="O136" s="95">
        <v>3.0000000000000001E-3</v>
      </c>
      <c r="P136" s="283">
        <v>45936</v>
      </c>
      <c r="R136" s="282">
        <v>24916.55</v>
      </c>
      <c r="S136" s="282">
        <v>25095.95</v>
      </c>
      <c r="T136" s="282">
        <v>24881.65</v>
      </c>
      <c r="U136" t="s">
        <v>822</v>
      </c>
      <c r="V136" s="95">
        <v>7.4000000000000003E-3</v>
      </c>
    </row>
    <row r="137" spans="2:22" x14ac:dyDescent="0.3">
      <c r="B137" s="283">
        <v>45933</v>
      </c>
      <c r="C137" s="282">
        <v>12019</v>
      </c>
      <c r="D137" s="282">
        <v>24894.25</v>
      </c>
      <c r="E137" s="22">
        <f t="shared" si="3"/>
        <v>2.995257508944249E-3</v>
      </c>
      <c r="F137" s="22">
        <f t="shared" si="4"/>
        <v>7.3671630999125881E-3</v>
      </c>
      <c r="K137" s="282">
        <v>12095</v>
      </c>
      <c r="L137" s="282">
        <v>12139</v>
      </c>
      <c r="M137" s="282">
        <v>11982</v>
      </c>
      <c r="N137" t="s">
        <v>557</v>
      </c>
      <c r="O137" s="95">
        <v>-6.3E-3</v>
      </c>
      <c r="P137" s="283">
        <v>45933</v>
      </c>
      <c r="R137" s="282">
        <v>24759.55</v>
      </c>
      <c r="S137" s="282">
        <v>24904.799999999999</v>
      </c>
      <c r="T137" s="282">
        <v>24747.55</v>
      </c>
      <c r="U137" t="s">
        <v>823</v>
      </c>
      <c r="V137" s="95">
        <v>2.3E-3</v>
      </c>
    </row>
    <row r="138" spans="2:22" x14ac:dyDescent="0.3">
      <c r="B138" s="283">
        <v>45931</v>
      </c>
      <c r="C138" s="282">
        <v>12095</v>
      </c>
      <c r="D138" s="282">
        <v>24836.3</v>
      </c>
      <c r="E138" s="22">
        <f t="shared" si="3"/>
        <v>-6.2835882596113946E-3</v>
      </c>
      <c r="F138" s="22">
        <f t="shared" si="4"/>
        <v>2.3332783063501061E-3</v>
      </c>
      <c r="K138" s="282">
        <v>12274</v>
      </c>
      <c r="L138" s="282">
        <v>12274</v>
      </c>
      <c r="M138" s="282">
        <v>12071</v>
      </c>
      <c r="N138" t="s">
        <v>558</v>
      </c>
      <c r="O138" s="95">
        <v>-1.04E-2</v>
      </c>
      <c r="P138" s="283">
        <v>45931</v>
      </c>
      <c r="R138" s="282">
        <v>24620.55</v>
      </c>
      <c r="S138" s="282">
        <v>24867.95</v>
      </c>
      <c r="T138" s="282">
        <v>24605.95</v>
      </c>
      <c r="U138" t="s">
        <v>824</v>
      </c>
      <c r="V138" s="95">
        <v>9.1999999999999998E-3</v>
      </c>
    </row>
    <row r="139" spans="2:22" x14ac:dyDescent="0.3">
      <c r="B139" s="283">
        <v>45930</v>
      </c>
      <c r="C139" s="282">
        <v>12222</v>
      </c>
      <c r="D139" s="282">
        <v>24611.1</v>
      </c>
      <c r="E139" s="22">
        <f t="shared" si="3"/>
        <v>-1.0391098019963962E-2</v>
      </c>
      <c r="F139" s="22">
        <f t="shared" si="4"/>
        <v>9.1503427315318131E-3</v>
      </c>
      <c r="K139" s="282">
        <v>12041</v>
      </c>
      <c r="L139" s="282">
        <v>12261</v>
      </c>
      <c r="M139" s="282">
        <v>12041</v>
      </c>
      <c r="N139" t="s">
        <v>559</v>
      </c>
      <c r="O139" s="95">
        <v>1.4999999999999999E-2</v>
      </c>
      <c r="P139" s="283">
        <v>45930</v>
      </c>
      <c r="R139" s="282">
        <v>24691.95</v>
      </c>
      <c r="S139" s="282">
        <v>24731.8</v>
      </c>
      <c r="T139" s="282">
        <v>24587.7</v>
      </c>
      <c r="U139" t="s">
        <v>825</v>
      </c>
      <c r="V139" s="95">
        <v>-1E-3</v>
      </c>
    </row>
    <row r="140" spans="2:22" x14ac:dyDescent="0.3">
      <c r="B140" s="283">
        <v>45929</v>
      </c>
      <c r="C140" s="282">
        <v>12041</v>
      </c>
      <c r="D140" s="282">
        <v>24634.9</v>
      </c>
      <c r="E140" s="22">
        <f t="shared" si="3"/>
        <v>1.5031974088530964E-2</v>
      </c>
      <c r="F140" s="22">
        <f t="shared" si="4"/>
        <v>-9.6610905666361102E-4</v>
      </c>
      <c r="K140" s="282">
        <v>12100</v>
      </c>
      <c r="L140" s="282">
        <v>12146</v>
      </c>
      <c r="M140" s="282">
        <v>11962</v>
      </c>
      <c r="N140" t="s">
        <v>560</v>
      </c>
      <c r="O140" s="95">
        <v>-2.3999999999999998E-3</v>
      </c>
      <c r="P140" s="283">
        <v>45929</v>
      </c>
      <c r="R140" s="282">
        <v>24728.55</v>
      </c>
      <c r="S140" s="282">
        <v>24791.3</v>
      </c>
      <c r="T140" s="282">
        <v>24606.2</v>
      </c>
      <c r="U140" t="s">
        <v>826</v>
      </c>
      <c r="V140" s="95">
        <v>-8.0000000000000004E-4</v>
      </c>
    </row>
    <row r="141" spans="2:22" x14ac:dyDescent="0.3">
      <c r="B141" s="283">
        <v>45926</v>
      </c>
      <c r="C141" s="282">
        <v>12070</v>
      </c>
      <c r="D141" s="282">
        <v>24654.7</v>
      </c>
      <c r="E141" s="22">
        <f t="shared" si="3"/>
        <v>-2.4026512013255452E-3</v>
      </c>
      <c r="F141" s="22">
        <f t="shared" si="4"/>
        <v>-8.0309231099950917E-4</v>
      </c>
      <c r="K141" s="282">
        <v>12140</v>
      </c>
      <c r="L141" s="282">
        <v>12199</v>
      </c>
      <c r="M141" s="282">
        <v>11990</v>
      </c>
      <c r="N141" t="s">
        <v>561</v>
      </c>
      <c r="O141" s="95">
        <v>-5.7999999999999996E-3</v>
      </c>
      <c r="P141" s="283">
        <v>45926</v>
      </c>
      <c r="R141" s="282">
        <v>24818.55</v>
      </c>
      <c r="S141" s="282">
        <v>24868.6</v>
      </c>
      <c r="T141" s="282">
        <v>24629.45</v>
      </c>
      <c r="U141" t="s">
        <v>827</v>
      </c>
      <c r="V141" s="95">
        <v>-9.4999999999999998E-3</v>
      </c>
    </row>
    <row r="142" spans="2:22" x14ac:dyDescent="0.3">
      <c r="B142" s="283">
        <v>45925</v>
      </c>
      <c r="C142" s="282">
        <v>12141</v>
      </c>
      <c r="D142" s="282">
        <v>24890.85</v>
      </c>
      <c r="E142" s="22">
        <f t="shared" si="3"/>
        <v>-5.8479532163743242E-3</v>
      </c>
      <c r="F142" s="22">
        <f t="shared" si="4"/>
        <v>-9.4874220848222279E-3</v>
      </c>
      <c r="K142" s="282">
        <v>12210</v>
      </c>
      <c r="L142" s="282">
        <v>12275</v>
      </c>
      <c r="M142" s="282">
        <v>12120</v>
      </c>
      <c r="N142" t="s">
        <v>562</v>
      </c>
      <c r="O142" s="95">
        <v>-6.0000000000000001E-3</v>
      </c>
      <c r="P142" s="283">
        <v>45925</v>
      </c>
      <c r="R142" s="282">
        <v>25034.5</v>
      </c>
      <c r="S142" s="282">
        <v>25092.7</v>
      </c>
      <c r="T142" s="282">
        <v>24878.3</v>
      </c>
      <c r="U142" t="s">
        <v>828</v>
      </c>
      <c r="V142" s="95">
        <v>-6.6E-3</v>
      </c>
    </row>
    <row r="143" spans="2:22" x14ac:dyDescent="0.3">
      <c r="B143" s="283">
        <v>45924</v>
      </c>
      <c r="C143" s="282">
        <v>12214</v>
      </c>
      <c r="D143" s="282">
        <v>25056.9</v>
      </c>
      <c r="E143" s="22">
        <f t="shared" si="3"/>
        <v>-5.9767479941050805E-3</v>
      </c>
      <c r="F143" s="22">
        <f t="shared" si="4"/>
        <v>-6.6269171365972435E-3</v>
      </c>
      <c r="K143" s="282">
        <v>12427</v>
      </c>
      <c r="L143" s="282">
        <v>12448</v>
      </c>
      <c r="M143" s="282">
        <v>12200</v>
      </c>
      <c r="N143" t="s">
        <v>563</v>
      </c>
      <c r="O143" s="95">
        <v>-1.5100000000000001E-2</v>
      </c>
      <c r="P143" s="283">
        <v>45924</v>
      </c>
      <c r="R143" s="282">
        <v>25108.75</v>
      </c>
      <c r="S143" s="282">
        <v>25149.85</v>
      </c>
      <c r="T143" s="282">
        <v>25027.45</v>
      </c>
      <c r="U143" t="s">
        <v>829</v>
      </c>
      <c r="V143" s="95">
        <v>-4.4999999999999997E-3</v>
      </c>
    </row>
    <row r="144" spans="2:22" x14ac:dyDescent="0.3">
      <c r="B144" s="283">
        <v>45923</v>
      </c>
      <c r="C144" s="282">
        <v>12401</v>
      </c>
      <c r="D144" s="282">
        <v>25169.5</v>
      </c>
      <c r="E144" s="22">
        <f t="shared" si="3"/>
        <v>-1.5079429078300177E-2</v>
      </c>
      <c r="F144" s="22">
        <f t="shared" si="4"/>
        <v>-4.4736685273842891E-3</v>
      </c>
      <c r="K144" s="282">
        <v>12650</v>
      </c>
      <c r="L144" s="282">
        <v>12698</v>
      </c>
      <c r="M144" s="282">
        <v>12361</v>
      </c>
      <c r="N144" t="s">
        <v>564</v>
      </c>
      <c r="O144" s="95">
        <v>-1.9699999999999999E-2</v>
      </c>
      <c r="P144" s="283">
        <v>45923</v>
      </c>
      <c r="R144" s="282">
        <v>25209</v>
      </c>
      <c r="S144" s="282">
        <v>25261.9</v>
      </c>
      <c r="T144" s="282">
        <v>25084.65</v>
      </c>
      <c r="U144" t="s">
        <v>830</v>
      </c>
      <c r="V144" s="95">
        <v>-1.2999999999999999E-3</v>
      </c>
    </row>
    <row r="145" spans="2:22" x14ac:dyDescent="0.3">
      <c r="B145" s="283">
        <v>45922</v>
      </c>
      <c r="C145" s="282">
        <v>12650</v>
      </c>
      <c r="D145" s="282">
        <v>25202.35</v>
      </c>
      <c r="E145" s="22">
        <f t="shared" si="3"/>
        <v>-1.9683794466403115E-2</v>
      </c>
      <c r="F145" s="22">
        <f t="shared" si="4"/>
        <v>-1.3034498766979485E-3</v>
      </c>
      <c r="K145" s="282">
        <v>12547</v>
      </c>
      <c r="L145" s="282">
        <v>12706</v>
      </c>
      <c r="M145" s="282">
        <v>12542</v>
      </c>
      <c r="N145" t="s">
        <v>565</v>
      </c>
      <c r="O145" s="95">
        <v>1.14E-2</v>
      </c>
      <c r="P145" s="283">
        <v>45922</v>
      </c>
      <c r="R145" s="282">
        <v>25238.1</v>
      </c>
      <c r="S145" s="282">
        <v>25331.7</v>
      </c>
      <c r="T145" s="282">
        <v>25151.05</v>
      </c>
      <c r="U145" t="s">
        <v>831</v>
      </c>
      <c r="V145" s="95">
        <v>-4.8999999999999998E-3</v>
      </c>
    </row>
    <row r="146" spans="2:22" x14ac:dyDescent="0.3">
      <c r="B146" s="283">
        <v>45919</v>
      </c>
      <c r="C146" s="282">
        <v>12508</v>
      </c>
      <c r="D146" s="282">
        <v>25327.05</v>
      </c>
      <c r="E146" s="22">
        <f t="shared" si="3"/>
        <v>1.1352734250079877E-2</v>
      </c>
      <c r="F146" s="22">
        <f t="shared" si="4"/>
        <v>-4.9235896008418267E-3</v>
      </c>
      <c r="K146" s="282">
        <v>12602</v>
      </c>
      <c r="L146" s="282">
        <v>12644</v>
      </c>
      <c r="M146" s="282">
        <v>12484</v>
      </c>
      <c r="N146" t="s">
        <v>566</v>
      </c>
      <c r="O146" s="95">
        <v>-9.2999999999999992E-3</v>
      </c>
      <c r="P146" s="283">
        <v>45919</v>
      </c>
      <c r="R146" s="282">
        <v>25410.2</v>
      </c>
      <c r="S146" s="282">
        <v>25428.75</v>
      </c>
      <c r="T146" s="282">
        <v>25286.3</v>
      </c>
      <c r="U146" t="s">
        <v>832</v>
      </c>
      <c r="V146" s="95">
        <v>-3.8E-3</v>
      </c>
    </row>
    <row r="147" spans="2:22" x14ac:dyDescent="0.3">
      <c r="B147" s="283">
        <v>45918</v>
      </c>
      <c r="C147" s="282">
        <v>12626</v>
      </c>
      <c r="D147" s="282">
        <v>25423.599999999999</v>
      </c>
      <c r="E147" s="22">
        <f t="shared" si="3"/>
        <v>-9.3457943925233655E-3</v>
      </c>
      <c r="F147" s="22">
        <f t="shared" si="4"/>
        <v>-3.7976525747730472E-3</v>
      </c>
      <c r="K147" s="282">
        <v>12730</v>
      </c>
      <c r="L147" s="282">
        <v>12749</v>
      </c>
      <c r="M147" s="282">
        <v>12562</v>
      </c>
      <c r="N147" t="s">
        <v>567</v>
      </c>
      <c r="O147" s="95">
        <v>-7.4999999999999997E-3</v>
      </c>
      <c r="P147" s="283">
        <v>45918</v>
      </c>
      <c r="R147" s="282">
        <v>25441.05</v>
      </c>
      <c r="S147" s="282">
        <v>25448.95</v>
      </c>
      <c r="T147" s="282">
        <v>25329.75</v>
      </c>
      <c r="U147" t="s">
        <v>833</v>
      </c>
      <c r="V147" s="95">
        <v>3.7000000000000002E-3</v>
      </c>
    </row>
    <row r="148" spans="2:22" x14ac:dyDescent="0.3">
      <c r="B148" s="283">
        <v>45917</v>
      </c>
      <c r="C148" s="282">
        <v>12721</v>
      </c>
      <c r="D148" s="282">
        <v>25330.25</v>
      </c>
      <c r="E148" s="22">
        <f t="shared" si="3"/>
        <v>-7.4679663548463671E-3</v>
      </c>
      <c r="F148" s="22">
        <f t="shared" si="4"/>
        <v>3.685316962919849E-3</v>
      </c>
      <c r="K148" s="282">
        <v>12678</v>
      </c>
      <c r="L148" s="282">
        <v>12800</v>
      </c>
      <c r="M148" s="282">
        <v>12614</v>
      </c>
      <c r="N148" t="s">
        <v>568</v>
      </c>
      <c r="O148" s="95">
        <v>1.14E-2</v>
      </c>
      <c r="P148" s="283">
        <v>45917</v>
      </c>
      <c r="R148" s="282">
        <v>25276.6</v>
      </c>
      <c r="S148" s="282">
        <v>25346.5</v>
      </c>
      <c r="T148" s="282">
        <v>25275.35</v>
      </c>
      <c r="U148" t="s">
        <v>834</v>
      </c>
      <c r="V148" s="95">
        <v>3.5999999999999999E-3</v>
      </c>
    </row>
    <row r="149" spans="2:22" x14ac:dyDescent="0.3">
      <c r="B149" s="283">
        <v>45916</v>
      </c>
      <c r="C149" s="282">
        <v>12578</v>
      </c>
      <c r="D149" s="282">
        <v>25239.1</v>
      </c>
      <c r="E149" s="22">
        <f t="shared" si="3"/>
        <v>1.1369057083797207E-2</v>
      </c>
      <c r="F149" s="22">
        <f t="shared" si="4"/>
        <v>3.6114599965926253E-3</v>
      </c>
      <c r="K149" s="282">
        <v>12497</v>
      </c>
      <c r="L149" s="282">
        <v>12599</v>
      </c>
      <c r="M149" s="282">
        <v>12446</v>
      </c>
      <c r="N149" t="s">
        <v>569</v>
      </c>
      <c r="O149" s="95">
        <v>1.15E-2</v>
      </c>
      <c r="P149" s="283">
        <v>45916</v>
      </c>
      <c r="R149" s="282">
        <v>25073.599999999999</v>
      </c>
      <c r="S149" s="282">
        <v>25261.4</v>
      </c>
      <c r="T149" s="282">
        <v>25070.45</v>
      </c>
      <c r="U149" t="s">
        <v>835</v>
      </c>
      <c r="V149" s="95">
        <v>6.7999999999999996E-3</v>
      </c>
    </row>
    <row r="150" spans="2:22" x14ac:dyDescent="0.3">
      <c r="B150" s="283">
        <v>45915</v>
      </c>
      <c r="C150" s="282">
        <v>12435</v>
      </c>
      <c r="D150" s="282">
        <v>25069.200000000001</v>
      </c>
      <c r="E150" s="22">
        <f t="shared" si="3"/>
        <v>1.1499798954563767E-2</v>
      </c>
      <c r="F150" s="22">
        <f t="shared" si="4"/>
        <v>6.7772405980246475E-3</v>
      </c>
      <c r="K150" s="282">
        <v>12370</v>
      </c>
      <c r="L150" s="282">
        <v>12481</v>
      </c>
      <c r="M150" s="282">
        <v>12324</v>
      </c>
      <c r="N150" t="s">
        <v>570</v>
      </c>
      <c r="O150" s="95">
        <v>5.3E-3</v>
      </c>
      <c r="P150" s="283">
        <v>45915</v>
      </c>
      <c r="R150" s="282">
        <v>25118.9</v>
      </c>
      <c r="S150" s="282">
        <v>25138.45</v>
      </c>
      <c r="T150" s="282">
        <v>25048.75</v>
      </c>
      <c r="U150" t="s">
        <v>836</v>
      </c>
      <c r="V150" s="95">
        <v>-1.8E-3</v>
      </c>
    </row>
    <row r="151" spans="2:22" x14ac:dyDescent="0.3">
      <c r="B151" s="283">
        <v>45912</v>
      </c>
      <c r="C151" s="282">
        <v>12370</v>
      </c>
      <c r="D151" s="282">
        <v>25114</v>
      </c>
      <c r="E151" s="22">
        <f t="shared" si="3"/>
        <v>5.2546483427646784E-3</v>
      </c>
      <c r="F151" s="22">
        <f t="shared" si="4"/>
        <v>-1.7838655729871533E-3</v>
      </c>
      <c r="K151" s="282">
        <v>12396</v>
      </c>
      <c r="L151" s="282">
        <v>12479</v>
      </c>
      <c r="M151" s="282">
        <v>12343</v>
      </c>
      <c r="N151" t="s">
        <v>571</v>
      </c>
      <c r="O151" s="95">
        <v>-1.8E-3</v>
      </c>
      <c r="P151" s="283">
        <v>45912</v>
      </c>
      <c r="R151" s="282">
        <v>25074.45</v>
      </c>
      <c r="S151" s="282">
        <v>25139.45</v>
      </c>
      <c r="T151" s="282">
        <v>25038.05</v>
      </c>
      <c r="U151" t="s">
        <v>837</v>
      </c>
      <c r="V151" s="95">
        <v>4.3E-3</v>
      </c>
    </row>
    <row r="152" spans="2:22" x14ac:dyDescent="0.3">
      <c r="B152" s="283">
        <v>45911</v>
      </c>
      <c r="C152" s="282">
        <v>12392</v>
      </c>
      <c r="D152" s="282">
        <v>25005.5</v>
      </c>
      <c r="E152" s="22">
        <f t="shared" si="3"/>
        <v>-1.7753389283409193E-3</v>
      </c>
      <c r="F152" s="22">
        <f t="shared" si="4"/>
        <v>4.3390454100098452E-3</v>
      </c>
      <c r="K152" s="282">
        <v>12478</v>
      </c>
      <c r="L152" s="282">
        <v>12517</v>
      </c>
      <c r="M152" s="282">
        <v>12360</v>
      </c>
      <c r="N152" t="s">
        <v>572</v>
      </c>
      <c r="O152" s="95">
        <v>-6.8999999999999999E-3</v>
      </c>
      <c r="P152" s="283">
        <v>45911</v>
      </c>
      <c r="R152" s="282">
        <v>24945.5</v>
      </c>
      <c r="S152" s="282">
        <v>25037.3</v>
      </c>
      <c r="T152" s="282">
        <v>24940.15</v>
      </c>
      <c r="U152" t="s">
        <v>838</v>
      </c>
      <c r="V152" s="95">
        <v>1.2999999999999999E-3</v>
      </c>
    </row>
    <row r="153" spans="2:22" x14ac:dyDescent="0.3">
      <c r="B153" s="283">
        <v>45910</v>
      </c>
      <c r="C153" s="282">
        <v>12478</v>
      </c>
      <c r="D153" s="282">
        <v>24973.1</v>
      </c>
      <c r="E153" s="22">
        <f t="shared" si="3"/>
        <v>-6.8921301490623144E-3</v>
      </c>
      <c r="F153" s="22">
        <f t="shared" si="4"/>
        <v>1.2973959980939753E-3</v>
      </c>
      <c r="K153" s="282">
        <v>12625</v>
      </c>
      <c r="L153" s="282">
        <v>12626</v>
      </c>
      <c r="M153" s="282">
        <v>12420</v>
      </c>
      <c r="N153" t="s">
        <v>573</v>
      </c>
      <c r="O153" s="95">
        <v>-7.4999999999999997E-3</v>
      </c>
      <c r="P153" s="283">
        <v>45910</v>
      </c>
      <c r="R153" s="282">
        <v>24991</v>
      </c>
      <c r="S153" s="282">
        <v>25035.7</v>
      </c>
      <c r="T153" s="282">
        <v>24915.05</v>
      </c>
      <c r="U153" t="s">
        <v>839</v>
      </c>
      <c r="V153" s="95">
        <v>4.1999999999999997E-3</v>
      </c>
    </row>
    <row r="154" spans="2:22" x14ac:dyDescent="0.3">
      <c r="B154" s="283">
        <v>45909</v>
      </c>
      <c r="C154" s="282">
        <v>12572</v>
      </c>
      <c r="D154" s="282">
        <v>24868.6</v>
      </c>
      <c r="E154" s="22">
        <f t="shared" si="3"/>
        <v>-7.4769328666878243E-3</v>
      </c>
      <c r="F154" s="22">
        <f t="shared" si="4"/>
        <v>4.2020861648826013E-3</v>
      </c>
      <c r="K154" s="282">
        <v>12699</v>
      </c>
      <c r="L154" s="282">
        <v>12708</v>
      </c>
      <c r="M154" s="282">
        <v>12533</v>
      </c>
      <c r="N154" t="s">
        <v>574</v>
      </c>
      <c r="O154" s="95">
        <v>-7.3000000000000001E-3</v>
      </c>
      <c r="P154" s="283">
        <v>45909</v>
      </c>
      <c r="R154" s="282">
        <v>24864.1</v>
      </c>
      <c r="S154" s="282">
        <v>24891.8</v>
      </c>
      <c r="T154" s="282">
        <v>24814</v>
      </c>
      <c r="U154" t="s">
        <v>840</v>
      </c>
      <c r="V154" s="95">
        <v>3.8999999999999998E-3</v>
      </c>
    </row>
    <row r="155" spans="2:22" x14ac:dyDescent="0.3">
      <c r="B155" s="283">
        <v>45908</v>
      </c>
      <c r="C155" s="282">
        <v>12664</v>
      </c>
      <c r="D155" s="282">
        <v>24773.15</v>
      </c>
      <c r="E155" s="22">
        <f t="shared" si="3"/>
        <v>-7.2646873025900005E-3</v>
      </c>
      <c r="F155" s="22">
        <f t="shared" si="4"/>
        <v>3.8529617751474898E-3</v>
      </c>
      <c r="K155" s="282">
        <v>12601</v>
      </c>
      <c r="L155" s="282">
        <v>12743</v>
      </c>
      <c r="M155" s="282">
        <v>12601</v>
      </c>
      <c r="N155" t="s">
        <v>575</v>
      </c>
      <c r="O155" s="95">
        <v>5.0000000000000001E-3</v>
      </c>
      <c r="P155" s="283">
        <v>45908</v>
      </c>
      <c r="R155" s="282">
        <v>24802.6</v>
      </c>
      <c r="S155" s="282">
        <v>24885.5</v>
      </c>
      <c r="T155" s="282">
        <v>24751.55</v>
      </c>
      <c r="U155" t="s">
        <v>841</v>
      </c>
      <c r="V155" s="95">
        <v>1.2999999999999999E-3</v>
      </c>
    </row>
    <row r="156" spans="2:22" x14ac:dyDescent="0.3">
      <c r="B156" s="283">
        <v>45905</v>
      </c>
      <c r="C156" s="282">
        <v>12601</v>
      </c>
      <c r="D156" s="282">
        <v>24741</v>
      </c>
      <c r="E156" s="22">
        <f t="shared" si="3"/>
        <v>4.999603206094827E-3</v>
      </c>
      <c r="F156" s="22">
        <f t="shared" si="4"/>
        <v>1.2994624307829383E-3</v>
      </c>
      <c r="K156" s="282">
        <v>12680</v>
      </c>
      <c r="L156" s="282">
        <v>12738</v>
      </c>
      <c r="M156" s="282">
        <v>12530</v>
      </c>
      <c r="N156" t="s">
        <v>576</v>
      </c>
      <c r="O156" s="95">
        <v>-4.0000000000000001E-3</v>
      </c>
      <c r="P156" s="283">
        <v>45905</v>
      </c>
      <c r="R156" s="282">
        <v>24818.85</v>
      </c>
      <c r="S156" s="282">
        <v>24832.35</v>
      </c>
      <c r="T156" s="282">
        <v>24621.599999999999</v>
      </c>
      <c r="U156" t="s">
        <v>842</v>
      </c>
      <c r="V156" s="95">
        <v>2.9999999999999997E-4</v>
      </c>
    </row>
    <row r="157" spans="2:22" x14ac:dyDescent="0.3">
      <c r="B157" s="283">
        <v>45904</v>
      </c>
      <c r="C157" s="282">
        <v>12651</v>
      </c>
      <c r="D157" s="282">
        <v>24734.3</v>
      </c>
      <c r="E157" s="22">
        <f t="shared" si="3"/>
        <v>-3.9522567385977814E-3</v>
      </c>
      <c r="F157" s="22">
        <f t="shared" si="4"/>
        <v>2.7087890095933709E-4</v>
      </c>
      <c r="K157" s="282">
        <v>13000</v>
      </c>
      <c r="L157" s="282">
        <v>13097</v>
      </c>
      <c r="M157" s="282">
        <v>12634</v>
      </c>
      <c r="N157" t="s">
        <v>577</v>
      </c>
      <c r="O157" s="95">
        <v>-6.4000000000000003E-3</v>
      </c>
      <c r="P157" s="283">
        <v>45904</v>
      </c>
      <c r="R157" s="282">
        <v>24980.75</v>
      </c>
      <c r="S157" s="282">
        <v>24980.75</v>
      </c>
      <c r="T157" s="282">
        <v>24708.2</v>
      </c>
      <c r="U157" t="s">
        <v>843</v>
      </c>
      <c r="V157" s="95">
        <v>8.0000000000000004E-4</v>
      </c>
    </row>
    <row r="158" spans="2:22" x14ac:dyDescent="0.3">
      <c r="B158" s="283">
        <v>45903</v>
      </c>
      <c r="C158" s="282">
        <v>12733</v>
      </c>
      <c r="D158" s="282">
        <v>24715.05</v>
      </c>
      <c r="E158" s="22">
        <f t="shared" si="3"/>
        <v>-6.4399591612346319E-3</v>
      </c>
      <c r="F158" s="22">
        <f t="shared" si="4"/>
        <v>7.7887764742534671E-4</v>
      </c>
      <c r="K158" s="282">
        <v>12700</v>
      </c>
      <c r="L158" s="282">
        <v>12770</v>
      </c>
      <c r="M158" s="282">
        <v>12657</v>
      </c>
      <c r="N158" t="s">
        <v>578</v>
      </c>
      <c r="O158" s="95">
        <v>2.0000000000000001E-4</v>
      </c>
      <c r="P158" s="283">
        <v>45903</v>
      </c>
      <c r="R158" s="282">
        <v>24616.5</v>
      </c>
      <c r="S158" s="282">
        <v>24737.05</v>
      </c>
      <c r="T158" s="282">
        <v>24533.200000000001</v>
      </c>
      <c r="U158" t="s">
        <v>844</v>
      </c>
      <c r="V158" s="95">
        <v>5.4999999999999997E-3</v>
      </c>
    </row>
    <row r="159" spans="2:22" x14ac:dyDescent="0.3">
      <c r="B159" s="283">
        <v>45902</v>
      </c>
      <c r="C159" s="282">
        <v>12730</v>
      </c>
      <c r="D159" s="282">
        <v>24579.599999999999</v>
      </c>
      <c r="E159" s="22">
        <f t="shared" si="3"/>
        <v>2.3566378633144147E-4</v>
      </c>
      <c r="F159" s="22">
        <f t="shared" si="4"/>
        <v>5.510667382707668E-3</v>
      </c>
      <c r="K159" s="282">
        <v>12788</v>
      </c>
      <c r="L159" s="282">
        <v>12848</v>
      </c>
      <c r="M159" s="282">
        <v>12687</v>
      </c>
      <c r="N159" t="s">
        <v>579</v>
      </c>
      <c r="O159" s="95">
        <v>-7.4999999999999997E-3</v>
      </c>
      <c r="P159" s="283">
        <v>45902</v>
      </c>
      <c r="R159" s="282">
        <v>24653</v>
      </c>
      <c r="S159" s="282">
        <v>24756.1</v>
      </c>
      <c r="T159" s="282">
        <v>24522.35</v>
      </c>
      <c r="U159" t="s">
        <v>845</v>
      </c>
      <c r="V159" s="95">
        <v>-1.8E-3</v>
      </c>
    </row>
    <row r="160" spans="2:22" x14ac:dyDescent="0.3">
      <c r="B160" s="283">
        <v>45901</v>
      </c>
      <c r="C160" s="282">
        <v>12826</v>
      </c>
      <c r="D160" s="282">
        <v>24625.05</v>
      </c>
      <c r="E160" s="22">
        <f t="shared" si="3"/>
        <v>-7.4847965070949929E-3</v>
      </c>
      <c r="F160" s="22">
        <f t="shared" si="4"/>
        <v>-1.8456815316111319E-3</v>
      </c>
      <c r="K160" s="282">
        <v>12639</v>
      </c>
      <c r="L160" s="282">
        <v>12852</v>
      </c>
      <c r="M160" s="282">
        <v>12636</v>
      </c>
      <c r="N160" t="s">
        <v>580</v>
      </c>
      <c r="O160" s="95">
        <v>1.47E-2</v>
      </c>
      <c r="P160" s="283">
        <v>45901</v>
      </c>
      <c r="R160" s="282">
        <v>24432.7</v>
      </c>
      <c r="S160" s="282">
        <v>24635.599999999999</v>
      </c>
      <c r="T160" s="282">
        <v>24432.7</v>
      </c>
      <c r="U160" t="s">
        <v>846</v>
      </c>
      <c r="V160" s="95">
        <v>8.0999999999999996E-3</v>
      </c>
    </row>
    <row r="161" spans="2:22" x14ac:dyDescent="0.3">
      <c r="B161" s="283">
        <v>45898</v>
      </c>
      <c r="C161" s="282">
        <v>12640</v>
      </c>
      <c r="D161" s="282">
        <v>24426.85</v>
      </c>
      <c r="E161" s="22">
        <f t="shared" si="3"/>
        <v>1.4715189873417689E-2</v>
      </c>
      <c r="F161" s="22">
        <f t="shared" si="4"/>
        <v>8.1140220699762455E-3</v>
      </c>
      <c r="K161" s="282">
        <v>12521</v>
      </c>
      <c r="L161" s="282">
        <v>12729</v>
      </c>
      <c r="M161" s="282">
        <v>12521</v>
      </c>
      <c r="N161" t="s">
        <v>581</v>
      </c>
      <c r="O161" s="95">
        <v>9.4999999999999998E-3</v>
      </c>
      <c r="P161" s="283">
        <v>45898</v>
      </c>
      <c r="R161" s="282">
        <v>24466.7</v>
      </c>
      <c r="S161" s="282">
        <v>24572.45</v>
      </c>
      <c r="T161" s="282">
        <v>24404.7</v>
      </c>
      <c r="U161" t="s">
        <v>847</v>
      </c>
      <c r="V161" s="95">
        <v>-3.0000000000000001E-3</v>
      </c>
    </row>
    <row r="162" spans="2:22" x14ac:dyDescent="0.3">
      <c r="B162" s="283">
        <v>45897</v>
      </c>
      <c r="C162" s="282">
        <v>12521</v>
      </c>
      <c r="D162" s="282">
        <v>24500.9</v>
      </c>
      <c r="E162" s="22">
        <f t="shared" si="3"/>
        <v>9.5040332241833614E-3</v>
      </c>
      <c r="F162" s="22">
        <f t="shared" si="4"/>
        <v>-3.0223379549323415E-3</v>
      </c>
      <c r="K162" s="282">
        <v>12570</v>
      </c>
      <c r="L162" s="282">
        <v>12648</v>
      </c>
      <c r="M162" s="282">
        <v>12472</v>
      </c>
      <c r="N162" t="s">
        <v>582</v>
      </c>
      <c r="O162" s="95">
        <v>-7.1000000000000004E-3</v>
      </c>
      <c r="P162" s="283">
        <v>45897</v>
      </c>
      <c r="R162" s="282">
        <v>24695.8</v>
      </c>
      <c r="S162" s="282">
        <v>24702.65</v>
      </c>
      <c r="T162" s="282">
        <v>24481.599999999999</v>
      </c>
      <c r="U162" t="s">
        <v>848</v>
      </c>
      <c r="V162" s="95">
        <v>-8.5000000000000006E-3</v>
      </c>
    </row>
    <row r="163" spans="2:22" x14ac:dyDescent="0.3">
      <c r="B163" s="283">
        <v>45895</v>
      </c>
      <c r="C163" s="282">
        <v>12610</v>
      </c>
      <c r="D163" s="282">
        <v>24712.05</v>
      </c>
      <c r="E163" s="22">
        <f t="shared" si="3"/>
        <v>-7.0578905630451771E-3</v>
      </c>
      <c r="F163" s="22">
        <f t="shared" si="4"/>
        <v>-8.5444145669824056E-3</v>
      </c>
      <c r="K163" s="282">
        <v>12581</v>
      </c>
      <c r="L163" s="282">
        <v>12770</v>
      </c>
      <c r="M163" s="282">
        <v>12480</v>
      </c>
      <c r="N163" t="s">
        <v>583</v>
      </c>
      <c r="O163" s="95">
        <v>2.9999999999999997E-4</v>
      </c>
      <c r="P163" s="283">
        <v>45895</v>
      </c>
      <c r="R163" s="282">
        <v>24899.5</v>
      </c>
      <c r="S163" s="282">
        <v>24919.65</v>
      </c>
      <c r="T163" s="282">
        <v>24689.599999999999</v>
      </c>
      <c r="U163" t="s">
        <v>849</v>
      </c>
      <c r="V163" s="95">
        <v>-1.0200000000000001E-2</v>
      </c>
    </row>
    <row r="164" spans="2:22" x14ac:dyDescent="0.3">
      <c r="B164" s="283">
        <v>45894</v>
      </c>
      <c r="C164" s="282">
        <v>12606</v>
      </c>
      <c r="D164" s="282">
        <v>24967.75</v>
      </c>
      <c r="E164" s="22">
        <f t="shared" si="3"/>
        <v>3.173092178327952E-4</v>
      </c>
      <c r="F164" s="22">
        <f t="shared" si="4"/>
        <v>-1.0241211162399511E-2</v>
      </c>
      <c r="K164" s="282">
        <v>12648</v>
      </c>
      <c r="L164" s="282">
        <v>12731</v>
      </c>
      <c r="M164" s="282">
        <v>12556</v>
      </c>
      <c r="N164" t="s">
        <v>584</v>
      </c>
      <c r="O164" s="95">
        <v>1.4E-3</v>
      </c>
      <c r="P164" s="283">
        <v>45894</v>
      </c>
      <c r="R164" s="282">
        <v>24949.15</v>
      </c>
      <c r="S164" s="282">
        <v>25021.55</v>
      </c>
      <c r="T164" s="282">
        <v>24894.35</v>
      </c>
      <c r="U164" t="s">
        <v>850</v>
      </c>
      <c r="V164" s="95">
        <v>3.8999999999999998E-3</v>
      </c>
    </row>
    <row r="165" spans="2:22" x14ac:dyDescent="0.3">
      <c r="B165" s="283">
        <v>45891</v>
      </c>
      <c r="C165" s="282">
        <v>12589</v>
      </c>
      <c r="D165" s="282">
        <v>24870.1</v>
      </c>
      <c r="E165" s="22">
        <f t="shared" si="3"/>
        <v>1.3503852569702879E-3</v>
      </c>
      <c r="F165" s="22">
        <f t="shared" si="4"/>
        <v>3.9264015826234733E-3</v>
      </c>
      <c r="K165" s="282">
        <v>12864</v>
      </c>
      <c r="L165" s="282">
        <v>12864</v>
      </c>
      <c r="M165" s="282">
        <v>12563</v>
      </c>
      <c r="N165" t="s">
        <v>585</v>
      </c>
      <c r="O165" s="95">
        <v>-2.18E-2</v>
      </c>
      <c r="P165" s="283">
        <v>45891</v>
      </c>
      <c r="R165" s="282">
        <v>25064.15</v>
      </c>
      <c r="S165" s="282">
        <v>25084.85</v>
      </c>
      <c r="T165" s="282">
        <v>24859.15</v>
      </c>
      <c r="U165" t="s">
        <v>851</v>
      </c>
      <c r="V165" s="95">
        <v>-8.5000000000000006E-3</v>
      </c>
    </row>
    <row r="166" spans="2:22" x14ac:dyDescent="0.3">
      <c r="B166" s="283">
        <v>45890</v>
      </c>
      <c r="C166" s="282">
        <v>12870</v>
      </c>
      <c r="D166" s="282">
        <v>25083.75</v>
      </c>
      <c r="E166" s="22">
        <f t="shared" si="3"/>
        <v>-2.1833721833721786E-2</v>
      </c>
      <c r="F166" s="22">
        <f t="shared" si="4"/>
        <v>-8.5174664872676997E-3</v>
      </c>
      <c r="K166" s="282">
        <v>12890</v>
      </c>
      <c r="L166" s="282">
        <v>12906</v>
      </c>
      <c r="M166" s="282">
        <v>12790</v>
      </c>
      <c r="N166" t="s">
        <v>586</v>
      </c>
      <c r="O166" s="95">
        <v>-2.9999999999999997E-4</v>
      </c>
      <c r="P166" s="283">
        <v>45890</v>
      </c>
      <c r="R166" s="282">
        <v>25142</v>
      </c>
      <c r="S166" s="282">
        <v>25153.65</v>
      </c>
      <c r="T166" s="282">
        <v>25054.9</v>
      </c>
      <c r="U166" t="s">
        <v>852</v>
      </c>
      <c r="V166" s="95">
        <v>1.2999999999999999E-3</v>
      </c>
    </row>
    <row r="167" spans="2:22" x14ac:dyDescent="0.3">
      <c r="B167" s="283">
        <v>45889</v>
      </c>
      <c r="C167" s="282">
        <v>12874</v>
      </c>
      <c r="D167" s="282">
        <v>25050.55</v>
      </c>
      <c r="E167" s="22">
        <f t="shared" si="3"/>
        <v>-3.1070374398012301E-4</v>
      </c>
      <c r="F167" s="22">
        <f t="shared" si="4"/>
        <v>1.3253202025504951E-3</v>
      </c>
      <c r="K167" s="282">
        <v>12850</v>
      </c>
      <c r="L167" s="282">
        <v>12930</v>
      </c>
      <c r="M167" s="282">
        <v>12765</v>
      </c>
      <c r="N167" t="s">
        <v>587</v>
      </c>
      <c r="O167" s="95">
        <v>8.9999999999999998E-4</v>
      </c>
      <c r="P167" s="283">
        <v>45889</v>
      </c>
      <c r="R167" s="282">
        <v>24965.8</v>
      </c>
      <c r="S167" s="282">
        <v>25088.7</v>
      </c>
      <c r="T167" s="282">
        <v>24929.7</v>
      </c>
      <c r="U167" t="s">
        <v>853</v>
      </c>
      <c r="V167" s="95">
        <v>2.8E-3</v>
      </c>
    </row>
    <row r="168" spans="2:22" x14ac:dyDescent="0.3">
      <c r="B168" s="283">
        <v>45888</v>
      </c>
      <c r="C168" s="282">
        <v>12863</v>
      </c>
      <c r="D168" s="282">
        <v>24980.65</v>
      </c>
      <c r="E168" s="22">
        <f t="shared" si="3"/>
        <v>8.5516597994250709E-4</v>
      </c>
      <c r="F168" s="22">
        <f t="shared" si="4"/>
        <v>2.7981657803137772E-3</v>
      </c>
      <c r="K168" s="282">
        <v>12787</v>
      </c>
      <c r="L168" s="282">
        <v>12880</v>
      </c>
      <c r="M168" s="282">
        <v>12629</v>
      </c>
      <c r="N168" t="s">
        <v>588</v>
      </c>
      <c r="O168" s="95">
        <v>7.7000000000000002E-3</v>
      </c>
      <c r="P168" s="283">
        <v>45888</v>
      </c>
      <c r="R168" s="282">
        <v>24891.35</v>
      </c>
      <c r="S168" s="282">
        <v>25012.65</v>
      </c>
      <c r="T168" s="282">
        <v>24873.95</v>
      </c>
      <c r="U168" t="s">
        <v>854</v>
      </c>
      <c r="V168" s="95">
        <v>4.1999999999999997E-3</v>
      </c>
    </row>
    <row r="169" spans="2:22" x14ac:dyDescent="0.3">
      <c r="B169" s="283">
        <v>45887</v>
      </c>
      <c r="C169" s="282">
        <v>12765</v>
      </c>
      <c r="D169" s="282">
        <v>24876.95</v>
      </c>
      <c r="E169" s="22">
        <f t="shared" si="3"/>
        <v>7.6772424598512412E-3</v>
      </c>
      <c r="F169" s="22">
        <f t="shared" si="4"/>
        <v>4.1685174428538474E-3</v>
      </c>
      <c r="K169" s="282">
        <v>12628</v>
      </c>
      <c r="L169" s="282">
        <v>12904</v>
      </c>
      <c r="M169" s="282">
        <v>12556</v>
      </c>
      <c r="N169" t="s">
        <v>589</v>
      </c>
      <c r="O169" s="95">
        <v>3.6400000000000002E-2</v>
      </c>
      <c r="P169" s="283">
        <v>45887</v>
      </c>
      <c r="R169" s="282">
        <v>24938.2</v>
      </c>
      <c r="S169" s="282">
        <v>25022</v>
      </c>
      <c r="T169" s="282">
        <v>24852.85</v>
      </c>
      <c r="U169" t="s">
        <v>855</v>
      </c>
      <c r="V169" s="95">
        <v>0.01</v>
      </c>
    </row>
    <row r="170" spans="2:22" x14ac:dyDescent="0.3">
      <c r="B170" s="283">
        <v>45883</v>
      </c>
      <c r="C170" s="282">
        <v>12317</v>
      </c>
      <c r="D170" s="282">
        <v>24631.3</v>
      </c>
      <c r="E170" s="22">
        <f t="shared" si="3"/>
        <v>3.6372493301940478E-2</v>
      </c>
      <c r="F170" s="22">
        <f t="shared" si="4"/>
        <v>9.9730830285045258E-3</v>
      </c>
      <c r="K170" s="282">
        <v>12413</v>
      </c>
      <c r="L170" s="282">
        <v>12428</v>
      </c>
      <c r="M170" s="282">
        <v>12225</v>
      </c>
      <c r="N170" t="s">
        <v>590</v>
      </c>
      <c r="O170" s="95">
        <v>-6.7999999999999996E-3</v>
      </c>
      <c r="P170" s="283">
        <v>45883</v>
      </c>
      <c r="R170" s="282">
        <v>24607.25</v>
      </c>
      <c r="S170" s="282">
        <v>24673.65</v>
      </c>
      <c r="T170" s="282">
        <v>24596.9</v>
      </c>
      <c r="U170" t="s">
        <v>856</v>
      </c>
      <c r="V170" s="95">
        <v>5.0000000000000001E-4</v>
      </c>
    </row>
    <row r="171" spans="2:22" x14ac:dyDescent="0.3">
      <c r="B171" s="283">
        <v>45882</v>
      </c>
      <c r="C171" s="282">
        <v>12401</v>
      </c>
      <c r="D171" s="282">
        <v>24619.35</v>
      </c>
      <c r="E171" s="22">
        <f t="shared" si="3"/>
        <v>-6.773647286509199E-3</v>
      </c>
      <c r="F171" s="22">
        <f t="shared" si="4"/>
        <v>4.8539055661511732E-4</v>
      </c>
      <c r="K171" s="282">
        <v>12485</v>
      </c>
      <c r="L171" s="282">
        <v>12517</v>
      </c>
      <c r="M171" s="282">
        <v>12388</v>
      </c>
      <c r="N171" t="s">
        <v>591</v>
      </c>
      <c r="O171" s="95">
        <v>-3.8999999999999998E-3</v>
      </c>
      <c r="P171" s="283">
        <v>45882</v>
      </c>
      <c r="R171" s="282">
        <v>24586.2</v>
      </c>
      <c r="S171" s="282">
        <v>24664.55</v>
      </c>
      <c r="T171" s="282">
        <v>24535.25</v>
      </c>
      <c r="U171" t="s">
        <v>857</v>
      </c>
      <c r="V171" s="95">
        <v>5.4000000000000003E-3</v>
      </c>
    </row>
    <row r="172" spans="2:22" x14ac:dyDescent="0.3">
      <c r="B172" s="283">
        <v>45881</v>
      </c>
      <c r="C172" s="282">
        <v>12449</v>
      </c>
      <c r="D172" s="282">
        <v>24487.4</v>
      </c>
      <c r="E172" s="22">
        <f t="shared" si="3"/>
        <v>-3.8557313840469343E-3</v>
      </c>
      <c r="F172" s="22">
        <f t="shared" si="4"/>
        <v>5.3884855068320192E-3</v>
      </c>
      <c r="K172" s="282">
        <v>12447</v>
      </c>
      <c r="L172" s="282">
        <v>12530</v>
      </c>
      <c r="M172" s="282">
        <v>12397</v>
      </c>
      <c r="N172" t="s">
        <v>592</v>
      </c>
      <c r="O172" s="95">
        <v>3.5000000000000001E-3</v>
      </c>
      <c r="P172" s="283">
        <v>45881</v>
      </c>
      <c r="R172" s="282">
        <v>24563.35</v>
      </c>
      <c r="S172" s="282">
        <v>24702.6</v>
      </c>
      <c r="T172" s="282">
        <v>24465.65</v>
      </c>
      <c r="U172" t="s">
        <v>858</v>
      </c>
      <c r="V172" s="95">
        <v>-4.0000000000000001E-3</v>
      </c>
    </row>
    <row r="173" spans="2:22" x14ac:dyDescent="0.3">
      <c r="B173" s="283">
        <v>45880</v>
      </c>
      <c r="C173" s="282">
        <v>12405</v>
      </c>
      <c r="D173" s="282">
        <v>24585.05</v>
      </c>
      <c r="E173" s="22">
        <f t="shared" si="3"/>
        <v>3.5469568722288347E-3</v>
      </c>
      <c r="F173" s="22">
        <f t="shared" si="4"/>
        <v>-3.9719260282162772E-3</v>
      </c>
      <c r="K173" s="282">
        <v>12161</v>
      </c>
      <c r="L173" s="282">
        <v>12425</v>
      </c>
      <c r="M173" s="282">
        <v>12161</v>
      </c>
      <c r="N173" t="s">
        <v>593</v>
      </c>
      <c r="O173" s="95">
        <v>2.0400000000000001E-2</v>
      </c>
      <c r="P173" s="283">
        <v>45880</v>
      </c>
      <c r="R173" s="282">
        <v>24371.5</v>
      </c>
      <c r="S173" s="282">
        <v>24600.85</v>
      </c>
      <c r="T173" s="282">
        <v>24347.45</v>
      </c>
      <c r="U173" t="s">
        <v>859</v>
      </c>
      <c r="V173" s="95">
        <v>9.1000000000000004E-3</v>
      </c>
    </row>
    <row r="174" spans="2:22" x14ac:dyDescent="0.3">
      <c r="B174" s="283">
        <v>45877</v>
      </c>
      <c r="C174" s="282">
        <v>12157</v>
      </c>
      <c r="D174" s="282">
        <v>24363.3</v>
      </c>
      <c r="E174" s="22">
        <f t="shared" si="3"/>
        <v>2.0399769680019775E-2</v>
      </c>
      <c r="F174" s="22">
        <f t="shared" si="4"/>
        <v>9.1018047637225763E-3</v>
      </c>
      <c r="K174" s="282">
        <v>12285</v>
      </c>
      <c r="L174" s="282">
        <v>12315</v>
      </c>
      <c r="M174" s="282">
        <v>12135</v>
      </c>
      <c r="N174" t="s">
        <v>594</v>
      </c>
      <c r="O174" s="95">
        <v>-9.4999999999999998E-3</v>
      </c>
      <c r="P174" s="283">
        <v>45877</v>
      </c>
      <c r="R174" s="282">
        <v>24544.25</v>
      </c>
      <c r="S174" s="282">
        <v>24585.5</v>
      </c>
      <c r="T174" s="282">
        <v>24337.5</v>
      </c>
      <c r="U174" t="s">
        <v>860</v>
      </c>
      <c r="V174" s="95">
        <v>-9.4999999999999998E-3</v>
      </c>
    </row>
    <row r="175" spans="2:22" x14ac:dyDescent="0.3">
      <c r="B175" s="283">
        <v>45876</v>
      </c>
      <c r="C175" s="282">
        <v>12273</v>
      </c>
      <c r="D175" s="282">
        <v>24596.15</v>
      </c>
      <c r="E175" s="22">
        <f t="shared" si="3"/>
        <v>-9.4516418153670623E-3</v>
      </c>
      <c r="F175" s="22">
        <f t="shared" si="4"/>
        <v>-9.4669287673071478E-3</v>
      </c>
      <c r="K175" s="282">
        <v>12204</v>
      </c>
      <c r="L175" s="282">
        <v>12309</v>
      </c>
      <c r="M175" s="282">
        <v>12125</v>
      </c>
      <c r="N175" t="s">
        <v>595</v>
      </c>
      <c r="O175" s="95">
        <v>3.8E-3</v>
      </c>
      <c r="P175" s="283">
        <v>45876</v>
      </c>
      <c r="R175" s="282">
        <v>24464.2</v>
      </c>
      <c r="S175" s="282">
        <v>24634.2</v>
      </c>
      <c r="T175" s="282">
        <v>24344.15</v>
      </c>
      <c r="U175" t="s">
        <v>861</v>
      </c>
      <c r="V175" s="95">
        <v>8.9999999999999998E-4</v>
      </c>
    </row>
    <row r="176" spans="2:22" x14ac:dyDescent="0.3">
      <c r="B176" s="283">
        <v>45875</v>
      </c>
      <c r="C176" s="282">
        <v>12226</v>
      </c>
      <c r="D176" s="282">
        <v>24574.2</v>
      </c>
      <c r="E176" s="22">
        <f t="shared" si="3"/>
        <v>3.8442663176836422E-3</v>
      </c>
      <c r="F176" s="22">
        <f t="shared" si="4"/>
        <v>8.9321320734758736E-4</v>
      </c>
      <c r="K176" s="282">
        <v>12298</v>
      </c>
      <c r="L176" s="282">
        <v>12390</v>
      </c>
      <c r="M176" s="282">
        <v>12208</v>
      </c>
      <c r="N176" t="s">
        <v>596</v>
      </c>
      <c r="O176" s="95">
        <v>-5.8999999999999999E-3</v>
      </c>
      <c r="P176" s="283">
        <v>45875</v>
      </c>
      <c r="R176" s="282">
        <v>24641.35</v>
      </c>
      <c r="S176" s="282">
        <v>24671.4</v>
      </c>
      <c r="T176" s="282">
        <v>24539.200000000001</v>
      </c>
      <c r="U176" t="s">
        <v>862</v>
      </c>
      <c r="V176" s="95">
        <v>-3.0999999999999999E-3</v>
      </c>
    </row>
    <row r="177" spans="2:22" x14ac:dyDescent="0.3">
      <c r="B177" s="283">
        <v>45874</v>
      </c>
      <c r="C177" s="282">
        <v>12298</v>
      </c>
      <c r="D177" s="282">
        <v>24649.55</v>
      </c>
      <c r="E177" s="22">
        <f t="shared" si="3"/>
        <v>-5.8546105057732944E-3</v>
      </c>
      <c r="F177" s="22">
        <f t="shared" si="4"/>
        <v>-3.0568509364268248E-3</v>
      </c>
      <c r="K177" s="282">
        <v>12330</v>
      </c>
      <c r="L177" s="282">
        <v>12378</v>
      </c>
      <c r="M177" s="282">
        <v>12262</v>
      </c>
      <c r="N177" t="s">
        <v>597</v>
      </c>
      <c r="O177" s="95">
        <v>3.3E-3</v>
      </c>
      <c r="P177" s="283">
        <v>45874</v>
      </c>
      <c r="R177" s="282">
        <v>24720.25</v>
      </c>
      <c r="S177" s="282">
        <v>24733.1</v>
      </c>
      <c r="T177" s="282">
        <v>24590.3</v>
      </c>
      <c r="U177" t="s">
        <v>863</v>
      </c>
      <c r="V177" s="95">
        <v>-3.0000000000000001E-3</v>
      </c>
    </row>
    <row r="178" spans="2:22" x14ac:dyDescent="0.3">
      <c r="B178" s="283">
        <v>45873</v>
      </c>
      <c r="C178" s="282">
        <v>12257</v>
      </c>
      <c r="D178" s="282">
        <v>24722.75</v>
      </c>
      <c r="E178" s="22">
        <f t="shared" si="3"/>
        <v>3.3450273313209156E-3</v>
      </c>
      <c r="F178" s="22">
        <f t="shared" si="4"/>
        <v>-2.9608356675532299E-3</v>
      </c>
      <c r="K178" s="282">
        <v>12158</v>
      </c>
      <c r="L178" s="282">
        <v>12290</v>
      </c>
      <c r="M178" s="282">
        <v>12132</v>
      </c>
      <c r="N178" t="s">
        <v>598</v>
      </c>
      <c r="O178" s="95">
        <v>1.1900000000000001E-2</v>
      </c>
      <c r="P178" s="283">
        <v>45873</v>
      </c>
      <c r="R178" s="282">
        <v>24596.05</v>
      </c>
      <c r="S178" s="282">
        <v>24736.25</v>
      </c>
      <c r="T178" s="282">
        <v>24554</v>
      </c>
      <c r="U178" t="s">
        <v>864</v>
      </c>
      <c r="V178" s="95">
        <v>6.4000000000000003E-3</v>
      </c>
    </row>
    <row r="179" spans="2:22" x14ac:dyDescent="0.3">
      <c r="B179" s="283">
        <v>45870</v>
      </c>
      <c r="C179" s="282">
        <v>12113</v>
      </c>
      <c r="D179" s="282">
        <v>24565.35</v>
      </c>
      <c r="E179" s="22">
        <f t="shared" si="3"/>
        <v>1.1888054156691252E-2</v>
      </c>
      <c r="F179" s="22">
        <f t="shared" si="4"/>
        <v>6.4073990397044422E-3</v>
      </c>
      <c r="K179" s="282">
        <v>12181</v>
      </c>
      <c r="L179" s="282">
        <v>12289</v>
      </c>
      <c r="M179" s="282">
        <v>12075</v>
      </c>
      <c r="N179" t="s">
        <v>599</v>
      </c>
      <c r="O179" s="95">
        <v>-1.11E-2</v>
      </c>
      <c r="P179" s="283">
        <v>45870</v>
      </c>
      <c r="R179" s="282">
        <v>24734.9</v>
      </c>
      <c r="S179" s="282">
        <v>24784.15</v>
      </c>
      <c r="T179" s="282">
        <v>24535.05</v>
      </c>
      <c r="U179" t="s">
        <v>865</v>
      </c>
      <c r="V179" s="95">
        <v>-8.2000000000000007E-3</v>
      </c>
    </row>
    <row r="180" spans="2:22" x14ac:dyDescent="0.3">
      <c r="B180" s="283">
        <v>45869</v>
      </c>
      <c r="C180" s="282">
        <v>12249</v>
      </c>
      <c r="D180" s="282">
        <v>24768.35</v>
      </c>
      <c r="E180" s="22">
        <f t="shared" si="3"/>
        <v>-1.1102947179361555E-2</v>
      </c>
      <c r="F180" s="22">
        <f t="shared" si="4"/>
        <v>-8.195943613522938E-3</v>
      </c>
      <c r="K180" s="282">
        <v>12201</v>
      </c>
      <c r="L180" s="282">
        <v>12329</v>
      </c>
      <c r="M180" s="282">
        <v>12155</v>
      </c>
      <c r="N180" t="s">
        <v>600</v>
      </c>
      <c r="O180" s="95">
        <v>-1.5E-3</v>
      </c>
      <c r="P180" s="283">
        <v>45869</v>
      </c>
      <c r="R180" s="282">
        <v>24642.25</v>
      </c>
      <c r="S180" s="282">
        <v>24956.5</v>
      </c>
      <c r="T180" s="282">
        <v>24635</v>
      </c>
      <c r="U180" t="s">
        <v>866</v>
      </c>
      <c r="V180" s="95">
        <v>-3.5000000000000001E-3</v>
      </c>
    </row>
    <row r="181" spans="2:22" x14ac:dyDescent="0.3">
      <c r="B181" s="283">
        <v>45868</v>
      </c>
      <c r="C181" s="282">
        <v>12268</v>
      </c>
      <c r="D181" s="282">
        <v>24855.05</v>
      </c>
      <c r="E181" s="22">
        <f t="shared" si="3"/>
        <v>-1.5487447016628852E-3</v>
      </c>
      <c r="F181" s="22">
        <f t="shared" si="4"/>
        <v>-3.4882247269669708E-3</v>
      </c>
      <c r="K181" s="282">
        <v>12205</v>
      </c>
      <c r="L181" s="282">
        <v>12381</v>
      </c>
      <c r="M181" s="282">
        <v>12201</v>
      </c>
      <c r="N181" t="s">
        <v>601</v>
      </c>
      <c r="O181" s="95">
        <v>3.8E-3</v>
      </c>
      <c r="P181" s="283">
        <v>45868</v>
      </c>
      <c r="R181" s="282">
        <v>24890.400000000001</v>
      </c>
      <c r="S181" s="282">
        <v>24902.3</v>
      </c>
      <c r="T181" s="282">
        <v>24771.95</v>
      </c>
      <c r="U181" t="s">
        <v>867</v>
      </c>
      <c r="V181" s="95">
        <v>1.4E-3</v>
      </c>
    </row>
    <row r="182" spans="2:22" x14ac:dyDescent="0.3">
      <c r="B182" s="283">
        <v>45867</v>
      </c>
      <c r="C182" s="282">
        <v>12221</v>
      </c>
      <c r="D182" s="282">
        <v>24821.1</v>
      </c>
      <c r="E182" s="22">
        <f t="shared" si="3"/>
        <v>3.8458391293674232E-3</v>
      </c>
      <c r="F182" s="22">
        <f t="shared" si="4"/>
        <v>1.3677878901419138E-3</v>
      </c>
      <c r="K182" s="282">
        <v>12200</v>
      </c>
      <c r="L182" s="282">
        <v>12262</v>
      </c>
      <c r="M182" s="282">
        <v>12122</v>
      </c>
      <c r="N182" t="s">
        <v>602</v>
      </c>
      <c r="O182" s="95">
        <v>-1.6000000000000001E-3</v>
      </c>
      <c r="P182" s="283">
        <v>45867</v>
      </c>
      <c r="R182" s="282">
        <v>24609.65</v>
      </c>
      <c r="S182" s="282">
        <v>24847.15</v>
      </c>
      <c r="T182" s="282">
        <v>24598.6</v>
      </c>
      <c r="U182" t="s">
        <v>868</v>
      </c>
      <c r="V182" s="95">
        <v>5.7000000000000002E-3</v>
      </c>
    </row>
    <row r="183" spans="2:22" x14ac:dyDescent="0.3">
      <c r="B183" s="283">
        <v>45866</v>
      </c>
      <c r="C183" s="282">
        <v>12240</v>
      </c>
      <c r="D183" s="282">
        <v>24680.9</v>
      </c>
      <c r="E183" s="22">
        <f t="shared" ref="E183:E246" si="5">C182/C183-1</f>
        <v>-1.5522875816993409E-3</v>
      </c>
      <c r="F183" s="22">
        <f t="shared" ref="F183:F246" si="6">D182/D183-1</f>
        <v>5.6805059783069378E-3</v>
      </c>
      <c r="K183" s="282">
        <v>12274</v>
      </c>
      <c r="L183" s="282">
        <v>12368</v>
      </c>
      <c r="M183" s="282">
        <v>12210</v>
      </c>
      <c r="N183" t="s">
        <v>603</v>
      </c>
      <c r="O183" s="95">
        <v>-8.0000000000000004E-4</v>
      </c>
      <c r="P183" s="283">
        <v>45866</v>
      </c>
      <c r="R183" s="282">
        <v>24782.45</v>
      </c>
      <c r="S183" s="282">
        <v>24889.200000000001</v>
      </c>
      <c r="T183" s="282">
        <v>24646.6</v>
      </c>
      <c r="U183" t="s">
        <v>869</v>
      </c>
      <c r="V183" s="95">
        <v>-6.3E-3</v>
      </c>
    </row>
    <row r="184" spans="2:22" x14ac:dyDescent="0.3">
      <c r="B184" s="283">
        <v>45863</v>
      </c>
      <c r="C184" s="282">
        <v>12250</v>
      </c>
      <c r="D184" s="282">
        <v>24837</v>
      </c>
      <c r="E184" s="22">
        <f t="shared" si="5"/>
        <v>-8.1632653061225469E-4</v>
      </c>
      <c r="F184" s="22">
        <f t="shared" si="6"/>
        <v>-6.2849780569311786E-3</v>
      </c>
      <c r="K184" s="282">
        <v>12245</v>
      </c>
      <c r="L184" s="282">
        <v>12345</v>
      </c>
      <c r="M184" s="282">
        <v>12193</v>
      </c>
      <c r="N184" t="s">
        <v>604</v>
      </c>
      <c r="O184" s="95">
        <v>-4.4000000000000003E-3</v>
      </c>
      <c r="P184" s="283">
        <v>45863</v>
      </c>
      <c r="R184" s="282">
        <v>25010.35</v>
      </c>
      <c r="S184" s="282">
        <v>25010.35</v>
      </c>
      <c r="T184" s="282">
        <v>24806.35</v>
      </c>
      <c r="U184" t="s">
        <v>870</v>
      </c>
      <c r="V184" s="95">
        <v>-8.9999999999999993E-3</v>
      </c>
    </row>
    <row r="185" spans="2:22" x14ac:dyDescent="0.3">
      <c r="B185" s="283">
        <v>45862</v>
      </c>
      <c r="C185" s="282">
        <v>12304</v>
      </c>
      <c r="D185" s="282">
        <v>25062.1</v>
      </c>
      <c r="E185" s="22">
        <f t="shared" si="5"/>
        <v>-4.3888166449934651E-3</v>
      </c>
      <c r="F185" s="22">
        <f t="shared" si="6"/>
        <v>-8.9816894833233407E-3</v>
      </c>
      <c r="K185" s="282">
        <v>12372</v>
      </c>
      <c r="L185" s="282">
        <v>12399</v>
      </c>
      <c r="M185" s="282">
        <v>12230</v>
      </c>
      <c r="N185" t="s">
        <v>605</v>
      </c>
      <c r="O185" s="95">
        <v>-5.4999999999999997E-3</v>
      </c>
      <c r="P185" s="283">
        <v>45862</v>
      </c>
      <c r="R185" s="282">
        <v>25243.3</v>
      </c>
      <c r="S185" s="282">
        <v>25246.25</v>
      </c>
      <c r="T185" s="282">
        <v>25018.7</v>
      </c>
      <c r="U185" t="s">
        <v>871</v>
      </c>
      <c r="V185" s="95">
        <v>-6.3E-3</v>
      </c>
    </row>
    <row r="186" spans="2:22" x14ac:dyDescent="0.3">
      <c r="B186" s="283">
        <v>45861</v>
      </c>
      <c r="C186" s="282">
        <v>12372</v>
      </c>
      <c r="D186" s="282">
        <v>25219.9</v>
      </c>
      <c r="E186" s="22">
        <f t="shared" si="5"/>
        <v>-5.4962819269317453E-3</v>
      </c>
      <c r="F186" s="22">
        <f t="shared" si="6"/>
        <v>-6.2569637468825601E-3</v>
      </c>
      <c r="K186" s="282">
        <v>12460</v>
      </c>
      <c r="L186" s="282">
        <v>12515</v>
      </c>
      <c r="M186" s="282">
        <v>12358</v>
      </c>
      <c r="N186" t="s">
        <v>606</v>
      </c>
      <c r="O186" s="95">
        <v>-6.4000000000000003E-3</v>
      </c>
      <c r="P186" s="283">
        <v>45861</v>
      </c>
      <c r="R186" s="282">
        <v>25139.35</v>
      </c>
      <c r="S186" s="282">
        <v>25233.5</v>
      </c>
      <c r="T186" s="282">
        <v>25085.5</v>
      </c>
      <c r="U186" t="s">
        <v>872</v>
      </c>
      <c r="V186" s="95">
        <v>6.3E-3</v>
      </c>
    </row>
    <row r="187" spans="2:22" x14ac:dyDescent="0.3">
      <c r="B187" s="283">
        <v>45860</v>
      </c>
      <c r="C187" s="282">
        <v>12452</v>
      </c>
      <c r="D187" s="282">
        <v>25060.9</v>
      </c>
      <c r="E187" s="22">
        <f t="shared" si="5"/>
        <v>-6.4246707356248045E-3</v>
      </c>
      <c r="F187" s="22">
        <f t="shared" si="6"/>
        <v>6.3445446891372548E-3</v>
      </c>
      <c r="K187" s="282">
        <v>12649</v>
      </c>
      <c r="L187" s="282">
        <v>12699</v>
      </c>
      <c r="M187" s="282">
        <v>12295</v>
      </c>
      <c r="N187" t="s">
        <v>607</v>
      </c>
      <c r="O187" s="95">
        <v>-9.9000000000000008E-3</v>
      </c>
      <c r="P187" s="283">
        <v>45860</v>
      </c>
      <c r="R187" s="282">
        <v>25166.65</v>
      </c>
      <c r="S187" s="282">
        <v>25182</v>
      </c>
      <c r="T187" s="282">
        <v>25035.55</v>
      </c>
      <c r="U187" t="s">
        <v>873</v>
      </c>
      <c r="V187" s="95">
        <v>-1.1999999999999999E-3</v>
      </c>
    </row>
    <row r="188" spans="2:22" x14ac:dyDescent="0.3">
      <c r="B188" s="283">
        <v>45859</v>
      </c>
      <c r="C188" s="282">
        <v>12577</v>
      </c>
      <c r="D188" s="282">
        <v>25090.7</v>
      </c>
      <c r="E188" s="22">
        <f t="shared" si="5"/>
        <v>-9.9387771328616203E-3</v>
      </c>
      <c r="F188" s="22">
        <f t="shared" si="6"/>
        <v>-1.1876910568456855E-3</v>
      </c>
      <c r="K188" s="282">
        <v>12560</v>
      </c>
      <c r="L188" s="282">
        <v>12714</v>
      </c>
      <c r="M188" s="282">
        <v>12374</v>
      </c>
      <c r="N188" t="s">
        <v>608</v>
      </c>
      <c r="O188" s="95">
        <v>6.3E-3</v>
      </c>
      <c r="P188" s="283">
        <v>45859</v>
      </c>
      <c r="R188" s="282">
        <v>24999</v>
      </c>
      <c r="S188" s="282">
        <v>25111.4</v>
      </c>
      <c r="T188" s="282">
        <v>24882.3</v>
      </c>
      <c r="U188" t="s">
        <v>874</v>
      </c>
      <c r="V188" s="95">
        <v>4.8999999999999998E-3</v>
      </c>
    </row>
    <row r="189" spans="2:22" x14ac:dyDescent="0.3">
      <c r="B189" s="283">
        <v>45856</v>
      </c>
      <c r="C189" s="282">
        <v>12498</v>
      </c>
      <c r="D189" s="282">
        <v>24968.400000000001</v>
      </c>
      <c r="E189" s="22">
        <f t="shared" si="5"/>
        <v>6.321011361817952E-3</v>
      </c>
      <c r="F189" s="22">
        <f t="shared" si="6"/>
        <v>4.8981913138206323E-3</v>
      </c>
      <c r="K189" s="282">
        <v>12520</v>
      </c>
      <c r="L189" s="282">
        <v>12558</v>
      </c>
      <c r="M189" s="282">
        <v>12441</v>
      </c>
      <c r="N189" t="s">
        <v>609</v>
      </c>
      <c r="O189" s="95">
        <v>2.0000000000000001E-4</v>
      </c>
      <c r="P189" s="283">
        <v>45856</v>
      </c>
      <c r="R189" s="282">
        <v>25108.55</v>
      </c>
      <c r="S189" s="282">
        <v>25144.6</v>
      </c>
      <c r="T189" s="282">
        <v>24918.65</v>
      </c>
      <c r="U189" t="s">
        <v>875</v>
      </c>
      <c r="V189" s="95">
        <v>-5.7000000000000002E-3</v>
      </c>
    </row>
    <row r="190" spans="2:22" x14ac:dyDescent="0.3">
      <c r="B190" s="283">
        <v>45855</v>
      </c>
      <c r="C190" s="282">
        <v>12495</v>
      </c>
      <c r="D190" s="282">
        <v>25111.45</v>
      </c>
      <c r="E190" s="22">
        <f t="shared" si="5"/>
        <v>2.4009603841546046E-4</v>
      </c>
      <c r="F190" s="22">
        <f t="shared" si="6"/>
        <v>-5.6966045369741813E-3</v>
      </c>
      <c r="K190" s="282">
        <v>12465</v>
      </c>
      <c r="L190" s="282">
        <v>12548</v>
      </c>
      <c r="M190" s="282">
        <v>12432</v>
      </c>
      <c r="N190" t="s">
        <v>610</v>
      </c>
      <c r="O190" s="95">
        <v>3.3999999999999998E-3</v>
      </c>
      <c r="P190" s="283">
        <v>45855</v>
      </c>
      <c r="R190" s="282">
        <v>25230.75</v>
      </c>
      <c r="S190" s="282">
        <v>25238.35</v>
      </c>
      <c r="T190" s="282">
        <v>25101</v>
      </c>
      <c r="U190" t="s">
        <v>876</v>
      </c>
      <c r="V190" s="95">
        <v>-4.0000000000000001E-3</v>
      </c>
    </row>
    <row r="191" spans="2:22" x14ac:dyDescent="0.3">
      <c r="B191" s="283">
        <v>45854</v>
      </c>
      <c r="C191" s="282">
        <v>12453</v>
      </c>
      <c r="D191" s="282">
        <v>25212.05</v>
      </c>
      <c r="E191" s="22">
        <f t="shared" si="5"/>
        <v>3.3726812816188279E-3</v>
      </c>
      <c r="F191" s="22">
        <f t="shared" si="6"/>
        <v>-3.9901555010400935E-3</v>
      </c>
      <c r="K191" s="282">
        <v>12504</v>
      </c>
      <c r="L191" s="282">
        <v>12515</v>
      </c>
      <c r="M191" s="282">
        <v>12398</v>
      </c>
      <c r="N191" t="s">
        <v>611</v>
      </c>
      <c r="O191" s="95">
        <v>-3.8999999999999998E-3</v>
      </c>
      <c r="P191" s="283">
        <v>45854</v>
      </c>
      <c r="R191" s="282">
        <v>25196.6</v>
      </c>
      <c r="S191" s="282">
        <v>25255.3</v>
      </c>
      <c r="T191" s="282">
        <v>25121.05</v>
      </c>
      <c r="U191" t="s">
        <v>877</v>
      </c>
      <c r="V191" s="95">
        <v>5.9999999999999995E-4</v>
      </c>
    </row>
    <row r="192" spans="2:22" x14ac:dyDescent="0.3">
      <c r="B192" s="283">
        <v>45853</v>
      </c>
      <c r="C192" s="282">
        <v>12502</v>
      </c>
      <c r="D192" s="282">
        <v>25195.8</v>
      </c>
      <c r="E192" s="22">
        <f t="shared" si="5"/>
        <v>-3.919372900335949E-3</v>
      </c>
      <c r="F192" s="22">
        <f t="shared" si="6"/>
        <v>6.4494876130138934E-4</v>
      </c>
      <c r="K192" s="282">
        <v>12545</v>
      </c>
      <c r="L192" s="282">
        <v>12545</v>
      </c>
      <c r="M192" s="282">
        <v>12425</v>
      </c>
      <c r="N192" t="s">
        <v>612</v>
      </c>
      <c r="O192" s="95">
        <v>-1.1000000000000001E-3</v>
      </c>
      <c r="P192" s="283">
        <v>45853</v>
      </c>
      <c r="R192" s="282">
        <v>25089.5</v>
      </c>
      <c r="S192" s="282">
        <v>25245.200000000001</v>
      </c>
      <c r="T192" s="282">
        <v>25088.45</v>
      </c>
      <c r="U192" t="s">
        <v>878</v>
      </c>
      <c r="V192" s="95">
        <v>4.4999999999999997E-3</v>
      </c>
    </row>
    <row r="193" spans="2:22" x14ac:dyDescent="0.3">
      <c r="B193" s="283">
        <v>45852</v>
      </c>
      <c r="C193" s="282">
        <v>12516</v>
      </c>
      <c r="D193" s="282">
        <v>25082.3</v>
      </c>
      <c r="E193" s="22">
        <f t="shared" si="5"/>
        <v>-1.1185682326622093E-3</v>
      </c>
      <c r="F193" s="22">
        <f t="shared" si="6"/>
        <v>4.5251033597397683E-3</v>
      </c>
      <c r="K193" s="282">
        <v>12495</v>
      </c>
      <c r="L193" s="282">
        <v>12579</v>
      </c>
      <c r="M193" s="282">
        <v>12430</v>
      </c>
      <c r="N193" t="s">
        <v>613</v>
      </c>
      <c r="O193" s="95">
        <v>1.6999999999999999E-3</v>
      </c>
      <c r="P193" s="283">
        <v>45852</v>
      </c>
      <c r="R193" s="282">
        <v>25149.5</v>
      </c>
      <c r="S193" s="282">
        <v>25151.1</v>
      </c>
      <c r="T193" s="282">
        <v>25001.95</v>
      </c>
      <c r="U193" t="s">
        <v>879</v>
      </c>
      <c r="V193" s="95">
        <v>-2.7000000000000001E-3</v>
      </c>
    </row>
    <row r="194" spans="2:22" x14ac:dyDescent="0.3">
      <c r="B194" s="283">
        <v>45849</v>
      </c>
      <c r="C194" s="282">
        <v>12495</v>
      </c>
      <c r="D194" s="282">
        <v>25149.85</v>
      </c>
      <c r="E194" s="22">
        <f t="shared" si="5"/>
        <v>1.6806722689075571E-3</v>
      </c>
      <c r="F194" s="22">
        <f t="shared" si="6"/>
        <v>-2.68590071113739E-3</v>
      </c>
      <c r="K194" s="282">
        <v>12516</v>
      </c>
      <c r="L194" s="282">
        <v>12637</v>
      </c>
      <c r="M194" s="282">
        <v>12452</v>
      </c>
      <c r="N194" t="s">
        <v>614</v>
      </c>
      <c r="O194" s="95">
        <v>-1.6999999999999999E-3</v>
      </c>
      <c r="P194" s="283">
        <v>45849</v>
      </c>
      <c r="R194" s="282">
        <v>25255.5</v>
      </c>
      <c r="S194" s="282">
        <v>25322.45</v>
      </c>
      <c r="T194" s="282">
        <v>25129</v>
      </c>
      <c r="U194" t="s">
        <v>880</v>
      </c>
      <c r="V194" s="95">
        <v>-8.0999999999999996E-3</v>
      </c>
    </row>
    <row r="195" spans="2:22" x14ac:dyDescent="0.3">
      <c r="B195" s="283">
        <v>45848</v>
      </c>
      <c r="C195" s="282">
        <v>12516</v>
      </c>
      <c r="D195" s="282">
        <v>25355.25</v>
      </c>
      <c r="E195" s="22">
        <f t="shared" si="5"/>
        <v>-1.6778523489933139E-3</v>
      </c>
      <c r="F195" s="22">
        <f t="shared" si="6"/>
        <v>-8.1008864041963724E-3</v>
      </c>
      <c r="K195" s="282">
        <v>12518</v>
      </c>
      <c r="L195" s="282">
        <v>12667</v>
      </c>
      <c r="M195" s="282">
        <v>12482</v>
      </c>
      <c r="N195" t="s">
        <v>615</v>
      </c>
      <c r="O195" s="95">
        <v>-3.7000000000000002E-3</v>
      </c>
      <c r="P195" s="283">
        <v>45848</v>
      </c>
      <c r="R195" s="282">
        <v>25511.65</v>
      </c>
      <c r="S195" s="282">
        <v>25524.05</v>
      </c>
      <c r="T195" s="282">
        <v>25340.45</v>
      </c>
      <c r="U195" t="s">
        <v>881</v>
      </c>
      <c r="V195" s="95">
        <v>-4.7000000000000002E-3</v>
      </c>
    </row>
    <row r="196" spans="2:22" x14ac:dyDescent="0.3">
      <c r="B196" s="283">
        <v>45847</v>
      </c>
      <c r="C196" s="282">
        <v>12562</v>
      </c>
      <c r="D196" s="282">
        <v>25476.1</v>
      </c>
      <c r="E196" s="22">
        <f t="shared" si="5"/>
        <v>-3.6618372870561577E-3</v>
      </c>
      <c r="F196" s="22">
        <f t="shared" si="6"/>
        <v>-4.7436617064621212E-3</v>
      </c>
      <c r="K196" s="282">
        <v>12410</v>
      </c>
      <c r="L196" s="282">
        <v>12580</v>
      </c>
      <c r="M196" s="282">
        <v>12376</v>
      </c>
      <c r="N196" t="s">
        <v>616</v>
      </c>
      <c r="O196" s="95">
        <v>9.4000000000000004E-3</v>
      </c>
      <c r="P196" s="283">
        <v>45847</v>
      </c>
      <c r="R196" s="282">
        <v>25514.6</v>
      </c>
      <c r="S196" s="282">
        <v>25548.7</v>
      </c>
      <c r="T196" s="282">
        <v>25424.35</v>
      </c>
      <c r="U196" t="s">
        <v>882</v>
      </c>
      <c r="V196" s="95">
        <v>-1.8E-3</v>
      </c>
    </row>
    <row r="197" spans="2:22" x14ac:dyDescent="0.3">
      <c r="B197" s="283">
        <v>45846</v>
      </c>
      <c r="C197" s="282">
        <v>12445</v>
      </c>
      <c r="D197" s="282">
        <v>25522.5</v>
      </c>
      <c r="E197" s="22">
        <f t="shared" si="5"/>
        <v>9.401366010445944E-3</v>
      </c>
      <c r="F197" s="22">
        <f t="shared" si="6"/>
        <v>-1.8180037222059742E-3</v>
      </c>
      <c r="K197" s="282">
        <v>12345</v>
      </c>
      <c r="L197" s="282">
        <v>12495</v>
      </c>
      <c r="M197" s="282">
        <v>12305</v>
      </c>
      <c r="N197" t="s">
        <v>617</v>
      </c>
      <c r="O197" s="95">
        <v>8.0999999999999996E-3</v>
      </c>
      <c r="P197" s="283">
        <v>45846</v>
      </c>
      <c r="R197" s="282">
        <v>25427.85</v>
      </c>
      <c r="S197" s="282">
        <v>25548.05</v>
      </c>
      <c r="T197" s="282">
        <v>25424.15</v>
      </c>
      <c r="U197" t="s">
        <v>883</v>
      </c>
      <c r="V197" s="95">
        <v>2.3999999999999998E-3</v>
      </c>
    </row>
    <row r="198" spans="2:22" x14ac:dyDescent="0.3">
      <c r="B198" s="283">
        <v>45845</v>
      </c>
      <c r="C198" s="282">
        <v>12345</v>
      </c>
      <c r="D198" s="282">
        <v>25461.3</v>
      </c>
      <c r="E198" s="22">
        <f t="shared" si="5"/>
        <v>8.1004455245039519E-3</v>
      </c>
      <c r="F198" s="22">
        <f t="shared" si="6"/>
        <v>2.403647889149374E-3</v>
      </c>
      <c r="K198" s="282">
        <v>12476</v>
      </c>
      <c r="L198" s="282">
        <v>12500</v>
      </c>
      <c r="M198" s="282">
        <v>12306</v>
      </c>
      <c r="N198" t="s">
        <v>618</v>
      </c>
      <c r="O198" s="95">
        <v>-1.29E-2</v>
      </c>
      <c r="P198" s="283">
        <v>45845</v>
      </c>
      <c r="R198" s="282">
        <v>25450.45</v>
      </c>
      <c r="S198" s="282">
        <v>25489.8</v>
      </c>
      <c r="T198" s="282">
        <v>25407.25</v>
      </c>
      <c r="U198" t="s">
        <v>884</v>
      </c>
      <c r="V198" s="95">
        <v>0</v>
      </c>
    </row>
    <row r="199" spans="2:22" x14ac:dyDescent="0.3">
      <c r="B199" s="283">
        <v>45842</v>
      </c>
      <c r="C199" s="282">
        <v>12506</v>
      </c>
      <c r="D199" s="282">
        <v>25461</v>
      </c>
      <c r="E199" s="22">
        <f t="shared" si="5"/>
        <v>-1.2873820566128291E-2</v>
      </c>
      <c r="F199" s="22">
        <f t="shared" si="6"/>
        <v>1.1782726522913123E-5</v>
      </c>
      <c r="K199" s="282">
        <v>12400</v>
      </c>
      <c r="L199" s="282">
        <v>12542</v>
      </c>
      <c r="M199" s="282">
        <v>12341</v>
      </c>
      <c r="N199" t="s">
        <v>619</v>
      </c>
      <c r="O199" s="95">
        <v>8.6999999999999994E-3</v>
      </c>
      <c r="P199" s="283">
        <v>45842</v>
      </c>
      <c r="R199" s="282">
        <v>25428.85</v>
      </c>
      <c r="S199" s="282">
        <v>25470.25</v>
      </c>
      <c r="T199" s="282">
        <v>25331.65</v>
      </c>
      <c r="U199" t="s">
        <v>885</v>
      </c>
      <c r="V199" s="95">
        <v>2.2000000000000001E-3</v>
      </c>
    </row>
    <row r="200" spans="2:22" x14ac:dyDescent="0.3">
      <c r="B200" s="283">
        <v>45841</v>
      </c>
      <c r="C200" s="282">
        <v>12398</v>
      </c>
      <c r="D200" s="282">
        <v>25405.3</v>
      </c>
      <c r="E200" s="22">
        <f t="shared" si="5"/>
        <v>8.7110824326503966E-3</v>
      </c>
      <c r="F200" s="22">
        <f t="shared" si="6"/>
        <v>2.1924559048702719E-3</v>
      </c>
      <c r="K200" s="282">
        <v>12436</v>
      </c>
      <c r="L200" s="282">
        <v>12575</v>
      </c>
      <c r="M200" s="282">
        <v>12376</v>
      </c>
      <c r="N200" t="s">
        <v>620</v>
      </c>
      <c r="O200" s="95">
        <v>-3.0999999999999999E-3</v>
      </c>
      <c r="P200" s="283">
        <v>45841</v>
      </c>
      <c r="R200" s="282">
        <v>25505.1</v>
      </c>
      <c r="S200" s="282">
        <v>25587.5</v>
      </c>
      <c r="T200" s="282">
        <v>25384.35</v>
      </c>
      <c r="U200" t="s">
        <v>886</v>
      </c>
      <c r="V200" s="95">
        <v>-1.9E-3</v>
      </c>
    </row>
    <row r="201" spans="2:22" x14ac:dyDescent="0.3">
      <c r="B201" s="283">
        <v>45840</v>
      </c>
      <c r="C201" s="282">
        <v>12436</v>
      </c>
      <c r="D201" s="282">
        <v>25453.4</v>
      </c>
      <c r="E201" s="22">
        <f t="shared" si="5"/>
        <v>-3.0556449018976917E-3</v>
      </c>
      <c r="F201" s="22">
        <f t="shared" si="6"/>
        <v>-1.8897278948981633E-3</v>
      </c>
      <c r="K201" s="282">
        <v>12210</v>
      </c>
      <c r="L201" s="282">
        <v>12527</v>
      </c>
      <c r="M201" s="282">
        <v>12170</v>
      </c>
      <c r="N201" t="s">
        <v>621</v>
      </c>
      <c r="O201" s="95">
        <v>1.8499999999999999E-2</v>
      </c>
      <c r="P201" s="283">
        <v>45840</v>
      </c>
      <c r="R201" s="282">
        <v>25588.3</v>
      </c>
      <c r="S201" s="282">
        <v>25608.1</v>
      </c>
      <c r="T201" s="282">
        <v>25378.75</v>
      </c>
      <c r="U201" t="s">
        <v>887</v>
      </c>
      <c r="V201" s="95">
        <v>-3.5000000000000001E-3</v>
      </c>
    </row>
    <row r="202" spans="2:22" x14ac:dyDescent="0.3">
      <c r="B202" s="283">
        <v>45839</v>
      </c>
      <c r="C202" s="282">
        <v>12210</v>
      </c>
      <c r="D202" s="282">
        <v>25541.8</v>
      </c>
      <c r="E202" s="22">
        <f t="shared" si="5"/>
        <v>1.8509418509418563E-2</v>
      </c>
      <c r="F202" s="22">
        <f t="shared" si="6"/>
        <v>-3.4609933520737268E-3</v>
      </c>
      <c r="K202" s="282">
        <v>12105</v>
      </c>
      <c r="L202" s="282">
        <v>12225</v>
      </c>
      <c r="M202" s="282">
        <v>12060</v>
      </c>
      <c r="N202" t="s">
        <v>622</v>
      </c>
      <c r="O202" s="95">
        <v>9.7000000000000003E-3</v>
      </c>
      <c r="P202" s="283">
        <v>45839</v>
      </c>
      <c r="R202" s="282">
        <v>25551.35</v>
      </c>
      <c r="S202" s="282">
        <v>25593.4</v>
      </c>
      <c r="T202" s="282">
        <v>25501.8</v>
      </c>
      <c r="U202" t="s">
        <v>888</v>
      </c>
      <c r="V202" s="95">
        <v>1E-3</v>
      </c>
    </row>
    <row r="203" spans="2:22" x14ac:dyDescent="0.3">
      <c r="B203" s="283">
        <v>45838</v>
      </c>
      <c r="C203" s="282">
        <v>12093</v>
      </c>
      <c r="D203" s="282">
        <v>25517.05</v>
      </c>
      <c r="E203" s="22">
        <f t="shared" si="5"/>
        <v>9.675018605804997E-3</v>
      </c>
      <c r="F203" s="22">
        <f t="shared" si="6"/>
        <v>9.6993970698022736E-4</v>
      </c>
      <c r="K203" s="282">
        <v>12215</v>
      </c>
      <c r="L203" s="282">
        <v>12271</v>
      </c>
      <c r="M203" s="282">
        <v>12018</v>
      </c>
      <c r="N203" t="s">
        <v>623</v>
      </c>
      <c r="O203" s="95">
        <v>-9.7999999999999997E-3</v>
      </c>
      <c r="P203" s="283">
        <v>45838</v>
      </c>
      <c r="R203" s="282">
        <v>25661.65</v>
      </c>
      <c r="S203" s="282">
        <v>25669.35</v>
      </c>
      <c r="T203" s="282">
        <v>25473.3</v>
      </c>
      <c r="U203" t="s">
        <v>889</v>
      </c>
      <c r="V203" s="95">
        <v>-4.7000000000000002E-3</v>
      </c>
    </row>
    <row r="204" spans="2:22" x14ac:dyDescent="0.3">
      <c r="B204" s="283">
        <v>45835</v>
      </c>
      <c r="C204" s="282">
        <v>12213</v>
      </c>
      <c r="D204" s="282">
        <v>25637.8</v>
      </c>
      <c r="E204" s="22">
        <f t="shared" si="5"/>
        <v>-9.8255956767379082E-3</v>
      </c>
      <c r="F204" s="22">
        <f t="shared" si="6"/>
        <v>-4.7098424981862896E-3</v>
      </c>
      <c r="K204" s="282">
        <v>11980</v>
      </c>
      <c r="L204" s="282">
        <v>12246</v>
      </c>
      <c r="M204" s="282">
        <v>11917</v>
      </c>
      <c r="N204" t="s">
        <v>624</v>
      </c>
      <c r="O204" s="95">
        <v>2.1899999999999999E-2</v>
      </c>
      <c r="P204" s="283">
        <v>45835</v>
      </c>
      <c r="R204" s="282">
        <v>25576.65</v>
      </c>
      <c r="S204" s="282">
        <v>25654.2</v>
      </c>
      <c r="T204" s="282">
        <v>25523.55</v>
      </c>
      <c r="U204" t="s">
        <v>890</v>
      </c>
      <c r="V204" s="95">
        <v>3.5000000000000001E-3</v>
      </c>
    </row>
    <row r="205" spans="2:22" x14ac:dyDescent="0.3">
      <c r="B205" s="283">
        <v>45834</v>
      </c>
      <c r="C205" s="282">
        <v>11951</v>
      </c>
      <c r="D205" s="282">
        <v>25549</v>
      </c>
      <c r="E205" s="22">
        <f t="shared" si="5"/>
        <v>2.1922851644213814E-2</v>
      </c>
      <c r="F205" s="22">
        <f t="shared" si="6"/>
        <v>3.4756741946846414E-3</v>
      </c>
      <c r="K205" s="282">
        <v>11690</v>
      </c>
      <c r="L205" s="282">
        <v>11986</v>
      </c>
      <c r="M205" s="282">
        <v>11681</v>
      </c>
      <c r="N205" t="s">
        <v>625</v>
      </c>
      <c r="O205" s="95">
        <v>1.8599999999999998E-2</v>
      </c>
      <c r="P205" s="283">
        <v>45834</v>
      </c>
      <c r="R205" s="282">
        <v>25268.95</v>
      </c>
      <c r="S205" s="282">
        <v>25565.3</v>
      </c>
      <c r="T205" s="282">
        <v>25259.9</v>
      </c>
      <c r="U205" t="s">
        <v>891</v>
      </c>
      <c r="V205" s="95">
        <v>1.21E-2</v>
      </c>
    </row>
    <row r="206" spans="2:22" x14ac:dyDescent="0.3">
      <c r="B206" s="283">
        <v>45833</v>
      </c>
      <c r="C206" s="282">
        <v>11733</v>
      </c>
      <c r="D206" s="282">
        <v>25244.75</v>
      </c>
      <c r="E206" s="22">
        <f t="shared" si="5"/>
        <v>1.858007329753697E-2</v>
      </c>
      <c r="F206" s="22">
        <f t="shared" si="6"/>
        <v>1.2052010814129765E-2</v>
      </c>
      <c r="K206" s="282">
        <v>11635</v>
      </c>
      <c r="L206" s="282">
        <v>11771</v>
      </c>
      <c r="M206" s="282">
        <v>11634</v>
      </c>
      <c r="N206" t="s">
        <v>626</v>
      </c>
      <c r="O206" s="95">
        <v>1.3299999999999999E-2</v>
      </c>
      <c r="P206" s="283">
        <v>45833</v>
      </c>
      <c r="R206" s="282">
        <v>25150.35</v>
      </c>
      <c r="S206" s="282">
        <v>25266.799999999999</v>
      </c>
      <c r="T206" s="282">
        <v>25125.05</v>
      </c>
      <c r="U206" t="s">
        <v>892</v>
      </c>
      <c r="V206" s="95">
        <v>8.0000000000000002E-3</v>
      </c>
    </row>
    <row r="207" spans="2:22" x14ac:dyDescent="0.3">
      <c r="B207" s="283">
        <v>45832</v>
      </c>
      <c r="C207" s="282">
        <v>11579</v>
      </c>
      <c r="D207" s="282">
        <v>25044.35</v>
      </c>
      <c r="E207" s="22">
        <f t="shared" si="5"/>
        <v>1.3299939545729389E-2</v>
      </c>
      <c r="F207" s="22">
        <f t="shared" si="6"/>
        <v>8.001804798287937E-3</v>
      </c>
      <c r="K207" s="282">
        <v>11559</v>
      </c>
      <c r="L207" s="282">
        <v>11824</v>
      </c>
      <c r="M207" s="282">
        <v>11514</v>
      </c>
      <c r="N207" t="s">
        <v>627</v>
      </c>
      <c r="O207" s="95">
        <v>1.14E-2</v>
      </c>
      <c r="P207" s="283">
        <v>45832</v>
      </c>
      <c r="R207" s="282">
        <v>25179.9</v>
      </c>
      <c r="S207" s="282">
        <v>25317.7</v>
      </c>
      <c r="T207" s="282">
        <v>24999.7</v>
      </c>
      <c r="U207" t="s">
        <v>893</v>
      </c>
      <c r="V207" s="95">
        <v>2.8999999999999998E-3</v>
      </c>
    </row>
    <row r="208" spans="2:22" x14ac:dyDescent="0.3">
      <c r="B208" s="283">
        <v>45831</v>
      </c>
      <c r="C208" s="282">
        <v>11449</v>
      </c>
      <c r="D208" s="282">
        <v>24971.9</v>
      </c>
      <c r="E208" s="22">
        <f t="shared" si="5"/>
        <v>1.1354703467551852E-2</v>
      </c>
      <c r="F208" s="22">
        <f t="shared" si="6"/>
        <v>2.9012610173835274E-3</v>
      </c>
      <c r="K208" s="282">
        <v>11401</v>
      </c>
      <c r="L208" s="282">
        <v>11490</v>
      </c>
      <c r="M208" s="282">
        <v>11321</v>
      </c>
      <c r="N208" t="s">
        <v>628</v>
      </c>
      <c r="O208" s="95">
        <v>-8.0000000000000004E-4</v>
      </c>
      <c r="P208" s="283">
        <v>45831</v>
      </c>
      <c r="R208" s="282">
        <v>24939.75</v>
      </c>
      <c r="S208" s="282">
        <v>25057</v>
      </c>
      <c r="T208" s="282">
        <v>24824.85</v>
      </c>
      <c r="U208" t="s">
        <v>894</v>
      </c>
      <c r="V208" s="95">
        <v>-5.5999999999999999E-3</v>
      </c>
    </row>
    <row r="209" spans="2:22" x14ac:dyDescent="0.3">
      <c r="B209" s="283">
        <v>45828</v>
      </c>
      <c r="C209" s="282">
        <v>11458</v>
      </c>
      <c r="D209" s="282">
        <v>25112.400000000001</v>
      </c>
      <c r="E209" s="22">
        <f t="shared" si="5"/>
        <v>-7.8547739570600239E-4</v>
      </c>
      <c r="F209" s="22">
        <f t="shared" si="6"/>
        <v>-5.594845574297902E-3</v>
      </c>
      <c r="K209" s="282">
        <v>11420</v>
      </c>
      <c r="L209" s="282">
        <v>11525</v>
      </c>
      <c r="M209" s="282">
        <v>11370</v>
      </c>
      <c r="N209" t="s">
        <v>629</v>
      </c>
      <c r="O209" s="95">
        <v>3.3E-3</v>
      </c>
      <c r="P209" s="283">
        <v>45828</v>
      </c>
      <c r="R209" s="282">
        <v>24787.65</v>
      </c>
      <c r="S209" s="282">
        <v>25136.2</v>
      </c>
      <c r="T209" s="282">
        <v>24783.65</v>
      </c>
      <c r="U209" t="s">
        <v>895</v>
      </c>
      <c r="V209" s="95">
        <v>1.29E-2</v>
      </c>
    </row>
    <row r="210" spans="2:22" x14ac:dyDescent="0.3">
      <c r="B210" s="283">
        <v>45827</v>
      </c>
      <c r="C210" s="282">
        <v>11420</v>
      </c>
      <c r="D210" s="282">
        <v>24793.25</v>
      </c>
      <c r="E210" s="22">
        <f t="shared" si="5"/>
        <v>3.3274956217161922E-3</v>
      </c>
      <c r="F210" s="22">
        <f t="shared" si="6"/>
        <v>1.2872455204541611E-2</v>
      </c>
      <c r="K210" s="282">
        <v>11400</v>
      </c>
      <c r="L210" s="282">
        <v>11485</v>
      </c>
      <c r="M210" s="282">
        <v>11353</v>
      </c>
      <c r="N210" t="s">
        <v>630</v>
      </c>
      <c r="O210" s="95">
        <v>1.1999999999999999E-3</v>
      </c>
      <c r="P210" s="283">
        <v>45827</v>
      </c>
      <c r="R210" s="282">
        <v>24803.25</v>
      </c>
      <c r="S210" s="282">
        <v>24863.1</v>
      </c>
      <c r="T210" s="282">
        <v>24733.4</v>
      </c>
      <c r="U210" t="s">
        <v>896</v>
      </c>
      <c r="V210" s="95">
        <v>-8.0000000000000004E-4</v>
      </c>
    </row>
    <row r="211" spans="2:22" x14ac:dyDescent="0.3">
      <c r="B211" s="283">
        <v>45826</v>
      </c>
      <c r="C211" s="282">
        <v>11406</v>
      </c>
      <c r="D211" s="282">
        <v>24812.05</v>
      </c>
      <c r="E211" s="22">
        <f t="shared" si="5"/>
        <v>1.2274241627214799E-3</v>
      </c>
      <c r="F211" s="22">
        <f t="shared" si="6"/>
        <v>-7.5769636124378703E-4</v>
      </c>
      <c r="K211" s="282">
        <v>11383</v>
      </c>
      <c r="L211" s="282">
        <v>11479</v>
      </c>
      <c r="M211" s="282">
        <v>11343</v>
      </c>
      <c r="N211" t="s">
        <v>631</v>
      </c>
      <c r="O211" s="95">
        <v>2E-3</v>
      </c>
      <c r="P211" s="283">
        <v>45826</v>
      </c>
      <c r="R211" s="282">
        <v>24788.35</v>
      </c>
      <c r="S211" s="282">
        <v>24947.55</v>
      </c>
      <c r="T211" s="282">
        <v>24750.45</v>
      </c>
      <c r="U211" t="s">
        <v>897</v>
      </c>
      <c r="V211" s="95">
        <v>-1.6999999999999999E-3</v>
      </c>
    </row>
    <row r="212" spans="2:22" x14ac:dyDescent="0.3">
      <c r="B212" s="283">
        <v>45825</v>
      </c>
      <c r="C212" s="282">
        <v>11383</v>
      </c>
      <c r="D212" s="282">
        <v>24853.4</v>
      </c>
      <c r="E212" s="22">
        <f t="shared" si="5"/>
        <v>2.0205569709215165E-3</v>
      </c>
      <c r="F212" s="22">
        <f t="shared" si="6"/>
        <v>-1.6637562667483063E-3</v>
      </c>
      <c r="K212" s="282">
        <v>11500</v>
      </c>
      <c r="L212" s="282">
        <v>11509</v>
      </c>
      <c r="M212" s="282">
        <v>11360</v>
      </c>
      <c r="N212" t="s">
        <v>632</v>
      </c>
      <c r="O212" s="95">
        <v>-9.7000000000000003E-3</v>
      </c>
      <c r="P212" s="283">
        <v>45825</v>
      </c>
      <c r="R212" s="282">
        <v>24977.85</v>
      </c>
      <c r="S212" s="282">
        <v>24982.05</v>
      </c>
      <c r="T212" s="282">
        <v>24813.7</v>
      </c>
      <c r="U212" t="s">
        <v>898</v>
      </c>
      <c r="V212" s="95">
        <v>-3.7000000000000002E-3</v>
      </c>
    </row>
    <row r="213" spans="2:22" x14ac:dyDescent="0.3">
      <c r="B213" s="283">
        <v>45824</v>
      </c>
      <c r="C213" s="282">
        <v>11495</v>
      </c>
      <c r="D213" s="282">
        <v>24946.5</v>
      </c>
      <c r="E213" s="22">
        <f t="shared" si="5"/>
        <v>-9.7433666811657105E-3</v>
      </c>
      <c r="F213" s="22">
        <f t="shared" si="6"/>
        <v>-3.7319864510051426E-3</v>
      </c>
      <c r="K213" s="282">
        <v>11270</v>
      </c>
      <c r="L213" s="282">
        <v>11518</v>
      </c>
      <c r="M213" s="282">
        <v>11197</v>
      </c>
      <c r="N213" t="s">
        <v>633</v>
      </c>
      <c r="O213" s="95">
        <v>2.41E-2</v>
      </c>
      <c r="P213" s="283">
        <v>45824</v>
      </c>
      <c r="R213" s="282">
        <v>24732.35</v>
      </c>
      <c r="S213" s="282">
        <v>24967.1</v>
      </c>
      <c r="T213" s="282">
        <v>24703.599999999999</v>
      </c>
      <c r="U213" t="s">
        <v>899</v>
      </c>
      <c r="V213" s="95">
        <v>9.1999999999999998E-3</v>
      </c>
    </row>
    <row r="214" spans="2:22" x14ac:dyDescent="0.3">
      <c r="B214" s="283">
        <v>45821</v>
      </c>
      <c r="C214" s="282">
        <v>11224</v>
      </c>
      <c r="D214" s="282">
        <v>24718.6</v>
      </c>
      <c r="E214" s="22">
        <f t="shared" si="5"/>
        <v>2.414468995010699E-2</v>
      </c>
      <c r="F214" s="22">
        <f t="shared" si="6"/>
        <v>9.2197778191323021E-3</v>
      </c>
      <c r="K214" s="282">
        <v>11111</v>
      </c>
      <c r="L214" s="282">
        <v>11250</v>
      </c>
      <c r="M214" s="282">
        <v>11018</v>
      </c>
      <c r="N214" t="s">
        <v>634</v>
      </c>
      <c r="O214" s="95">
        <v>-8.6999999999999994E-3</v>
      </c>
      <c r="P214" s="283">
        <v>45821</v>
      </c>
      <c r="R214" s="282">
        <v>24473</v>
      </c>
      <c r="S214" s="282">
        <v>24754.35</v>
      </c>
      <c r="T214" s="282">
        <v>24473</v>
      </c>
      <c r="U214" t="s">
        <v>900</v>
      </c>
      <c r="V214" s="95">
        <v>-6.7999999999999996E-3</v>
      </c>
    </row>
    <row r="215" spans="2:22" x14ac:dyDescent="0.3">
      <c r="B215" s="283">
        <v>45820</v>
      </c>
      <c r="C215" s="282">
        <v>11323</v>
      </c>
      <c r="D215" s="282">
        <v>24888.2</v>
      </c>
      <c r="E215" s="22">
        <f t="shared" si="5"/>
        <v>-8.7432659189260464E-3</v>
      </c>
      <c r="F215" s="22">
        <f t="shared" si="6"/>
        <v>-6.8144743292002374E-3</v>
      </c>
      <c r="K215" s="282">
        <v>11475</v>
      </c>
      <c r="L215" s="282">
        <v>11505</v>
      </c>
      <c r="M215" s="282">
        <v>11280</v>
      </c>
      <c r="N215" t="s">
        <v>635</v>
      </c>
      <c r="O215" s="95">
        <v>-1.23E-2</v>
      </c>
      <c r="P215" s="283">
        <v>45820</v>
      </c>
      <c r="R215" s="282">
        <v>25164.45</v>
      </c>
      <c r="S215" s="282">
        <v>25196.2</v>
      </c>
      <c r="T215" s="282">
        <v>24825.9</v>
      </c>
      <c r="U215" t="s">
        <v>901</v>
      </c>
      <c r="V215" s="95">
        <v>-1.01E-2</v>
      </c>
    </row>
    <row r="216" spans="2:22" x14ac:dyDescent="0.3">
      <c r="B216" s="283">
        <v>45819</v>
      </c>
      <c r="C216" s="282">
        <v>11464</v>
      </c>
      <c r="D216" s="282">
        <v>25141.4</v>
      </c>
      <c r="E216" s="22">
        <f t="shared" si="5"/>
        <v>-1.2299371946964399E-2</v>
      </c>
      <c r="F216" s="22">
        <f t="shared" si="6"/>
        <v>-1.0071038207896121E-2</v>
      </c>
      <c r="K216" s="282">
        <v>11380</v>
      </c>
      <c r="L216" s="282">
        <v>11518</v>
      </c>
      <c r="M216" s="282">
        <v>11340</v>
      </c>
      <c r="N216" t="s">
        <v>636</v>
      </c>
      <c r="O216" s="95">
        <v>6.4000000000000003E-3</v>
      </c>
      <c r="P216" s="283">
        <v>45819</v>
      </c>
      <c r="R216" s="282">
        <v>25134.15</v>
      </c>
      <c r="S216" s="282">
        <v>25222.400000000001</v>
      </c>
      <c r="T216" s="282">
        <v>25081.3</v>
      </c>
      <c r="U216" t="s">
        <v>902</v>
      </c>
      <c r="V216" s="95">
        <v>1.5E-3</v>
      </c>
    </row>
    <row r="217" spans="2:22" x14ac:dyDescent="0.3">
      <c r="B217" s="283">
        <v>45818</v>
      </c>
      <c r="C217" s="282">
        <v>11391</v>
      </c>
      <c r="D217" s="282">
        <v>25104.25</v>
      </c>
      <c r="E217" s="22">
        <f t="shared" si="5"/>
        <v>6.4085681678518469E-3</v>
      </c>
      <c r="F217" s="22">
        <f t="shared" si="6"/>
        <v>1.4798291126005836E-3</v>
      </c>
      <c r="K217" s="282">
        <v>11410</v>
      </c>
      <c r="L217" s="282">
        <v>11484</v>
      </c>
      <c r="M217" s="282">
        <v>11335</v>
      </c>
      <c r="N217" t="s">
        <v>637</v>
      </c>
      <c r="O217" s="95">
        <v>1.1599999999999999E-2</v>
      </c>
      <c r="P217" s="283">
        <v>45818</v>
      </c>
      <c r="R217" s="282">
        <v>25196.05</v>
      </c>
      <c r="S217" s="282">
        <v>25199.3</v>
      </c>
      <c r="T217" s="282">
        <v>25055.45</v>
      </c>
      <c r="U217" t="s">
        <v>903</v>
      </c>
      <c r="V217" s="95">
        <v>0</v>
      </c>
    </row>
    <row r="218" spans="2:22" x14ac:dyDescent="0.3">
      <c r="B218" s="283">
        <v>45817</v>
      </c>
      <c r="C218" s="282">
        <v>11260</v>
      </c>
      <c r="D218" s="282">
        <v>25103.200000000001</v>
      </c>
      <c r="E218" s="22">
        <f t="shared" si="5"/>
        <v>1.1634103019538156E-2</v>
      </c>
      <c r="F218" s="22">
        <f t="shared" si="6"/>
        <v>4.1827336753952338E-5</v>
      </c>
      <c r="K218" s="282">
        <v>11260</v>
      </c>
      <c r="L218" s="282">
        <v>11318</v>
      </c>
      <c r="M218" s="282">
        <v>11166</v>
      </c>
      <c r="N218" t="s">
        <v>638</v>
      </c>
      <c r="O218" s="95">
        <v>5.9999999999999995E-4</v>
      </c>
      <c r="P218" s="283">
        <v>45817</v>
      </c>
      <c r="R218" s="282">
        <v>25160.1</v>
      </c>
      <c r="S218" s="282">
        <v>25160.1</v>
      </c>
      <c r="T218" s="282">
        <v>25077.15</v>
      </c>
      <c r="U218" t="s">
        <v>904</v>
      </c>
      <c r="V218" s="95">
        <v>4.0000000000000001E-3</v>
      </c>
    </row>
    <row r="219" spans="2:22" x14ac:dyDescent="0.3">
      <c r="B219" s="283">
        <v>45814</v>
      </c>
      <c r="C219" s="282">
        <v>11253</v>
      </c>
      <c r="D219" s="282">
        <v>25003.05</v>
      </c>
      <c r="E219" s="22">
        <f t="shared" si="5"/>
        <v>6.2205634053147385E-4</v>
      </c>
      <c r="F219" s="22">
        <f t="shared" si="6"/>
        <v>4.0055113276180609E-3</v>
      </c>
      <c r="K219" s="282">
        <v>11180</v>
      </c>
      <c r="L219" s="282">
        <v>11311</v>
      </c>
      <c r="M219" s="282">
        <v>11120</v>
      </c>
      <c r="N219" t="s">
        <v>639</v>
      </c>
      <c r="O219" s="95">
        <v>8.3999999999999995E-3</v>
      </c>
      <c r="P219" s="283">
        <v>45814</v>
      </c>
      <c r="R219" s="282">
        <v>24748.7</v>
      </c>
      <c r="S219" s="282">
        <v>25029.5</v>
      </c>
      <c r="T219" s="282">
        <v>24671.45</v>
      </c>
      <c r="U219" t="s">
        <v>905</v>
      </c>
      <c r="V219" s="95">
        <v>1.0200000000000001E-2</v>
      </c>
    </row>
    <row r="220" spans="2:22" x14ac:dyDescent="0.3">
      <c r="B220" s="283">
        <v>45813</v>
      </c>
      <c r="C220" s="282">
        <v>11159</v>
      </c>
      <c r="D220" s="282">
        <v>24750.9</v>
      </c>
      <c r="E220" s="22">
        <f t="shared" si="5"/>
        <v>8.4236938793798011E-3</v>
      </c>
      <c r="F220" s="22">
        <f t="shared" si="6"/>
        <v>1.0187508333030282E-2</v>
      </c>
      <c r="K220" s="282">
        <v>11038</v>
      </c>
      <c r="L220" s="282">
        <v>11180</v>
      </c>
      <c r="M220" s="282">
        <v>11003</v>
      </c>
      <c r="N220" t="s">
        <v>640</v>
      </c>
      <c r="O220" s="95">
        <v>1.14E-2</v>
      </c>
      <c r="P220" s="283">
        <v>45813</v>
      </c>
      <c r="R220" s="282">
        <v>24691.200000000001</v>
      </c>
      <c r="S220" s="282">
        <v>24899.85</v>
      </c>
      <c r="T220" s="282">
        <v>24613.1</v>
      </c>
      <c r="U220" t="s">
        <v>906</v>
      </c>
      <c r="V220" s="95">
        <v>5.3E-3</v>
      </c>
    </row>
    <row r="221" spans="2:22" x14ac:dyDescent="0.3">
      <c r="B221" s="283">
        <v>45812</v>
      </c>
      <c r="C221" s="282">
        <v>11033</v>
      </c>
      <c r="D221" s="282">
        <v>24620.2</v>
      </c>
      <c r="E221" s="22">
        <f t="shared" si="5"/>
        <v>1.142028460074318E-2</v>
      </c>
      <c r="F221" s="22">
        <f t="shared" si="6"/>
        <v>5.3086489955402882E-3</v>
      </c>
      <c r="K221" s="282">
        <v>11040</v>
      </c>
      <c r="L221" s="282">
        <v>11055</v>
      </c>
      <c r="M221" s="282">
        <v>10920</v>
      </c>
      <c r="N221" t="s">
        <v>641</v>
      </c>
      <c r="O221" s="95">
        <v>-2.0000000000000001E-4</v>
      </c>
      <c r="P221" s="283">
        <v>45812</v>
      </c>
      <c r="R221" s="282">
        <v>24560.45</v>
      </c>
      <c r="S221" s="282">
        <v>24644.25</v>
      </c>
      <c r="T221" s="282">
        <v>24530.45</v>
      </c>
      <c r="U221" t="s">
        <v>907</v>
      </c>
      <c r="V221" s="95">
        <v>3.2000000000000002E-3</v>
      </c>
    </row>
    <row r="222" spans="2:22" x14ac:dyDescent="0.3">
      <c r="B222" s="283">
        <v>45811</v>
      </c>
      <c r="C222" s="282">
        <v>11035</v>
      </c>
      <c r="D222" s="282">
        <v>24542.5</v>
      </c>
      <c r="E222" s="22">
        <f t="shared" si="5"/>
        <v>-1.8124150430454122E-4</v>
      </c>
      <c r="F222" s="22">
        <f t="shared" si="6"/>
        <v>3.1659366405216716E-3</v>
      </c>
      <c r="K222" s="282">
        <v>11280</v>
      </c>
      <c r="L222" s="282">
        <v>11292</v>
      </c>
      <c r="M222" s="282">
        <v>11000</v>
      </c>
      <c r="N222" t="s">
        <v>642</v>
      </c>
      <c r="O222" s="95">
        <v>-1.43E-2</v>
      </c>
      <c r="P222" s="283">
        <v>45811</v>
      </c>
      <c r="R222" s="282">
        <v>24786.3</v>
      </c>
      <c r="S222" s="282">
        <v>24845.1</v>
      </c>
      <c r="T222" s="282">
        <v>24502.15</v>
      </c>
      <c r="U222" t="s">
        <v>908</v>
      </c>
      <c r="V222" s="95">
        <v>-7.0000000000000001E-3</v>
      </c>
    </row>
    <row r="223" spans="2:22" x14ac:dyDescent="0.3">
      <c r="B223" s="283">
        <v>45810</v>
      </c>
      <c r="C223" s="282">
        <v>11195</v>
      </c>
      <c r="D223" s="282">
        <v>24716.6</v>
      </c>
      <c r="E223" s="22">
        <f t="shared" si="5"/>
        <v>-1.4292094685127266E-2</v>
      </c>
      <c r="F223" s="22">
        <f t="shared" si="6"/>
        <v>-7.0438490730925229E-3</v>
      </c>
      <c r="K223" s="282">
        <v>11180</v>
      </c>
      <c r="L223" s="282">
        <v>11219</v>
      </c>
      <c r="M223" s="282">
        <v>11019</v>
      </c>
      <c r="N223" t="s">
        <v>643</v>
      </c>
      <c r="O223" s="95">
        <v>-1.2999999999999999E-3</v>
      </c>
      <c r="P223" s="283">
        <v>45810</v>
      </c>
      <c r="R223" s="282">
        <v>24669.7</v>
      </c>
      <c r="S223" s="282">
        <v>24754.400000000001</v>
      </c>
      <c r="T223" s="282">
        <v>24526.15</v>
      </c>
      <c r="U223" t="s">
        <v>909</v>
      </c>
      <c r="V223" s="95">
        <v>-1.4E-3</v>
      </c>
    </row>
    <row r="224" spans="2:22" x14ac:dyDescent="0.3">
      <c r="B224" s="283">
        <v>45807</v>
      </c>
      <c r="C224" s="282">
        <v>11210</v>
      </c>
      <c r="D224" s="282">
        <v>24750.7</v>
      </c>
      <c r="E224" s="22">
        <f t="shared" si="5"/>
        <v>-1.338090990187335E-3</v>
      </c>
      <c r="F224" s="22">
        <f t="shared" si="6"/>
        <v>-1.3777388114276645E-3</v>
      </c>
      <c r="K224" s="282">
        <v>11265</v>
      </c>
      <c r="L224" s="282">
        <v>11310</v>
      </c>
      <c r="M224" s="282">
        <v>11170</v>
      </c>
      <c r="N224" t="s">
        <v>644</v>
      </c>
      <c r="O224" s="95">
        <v>-5.1999999999999998E-3</v>
      </c>
      <c r="P224" s="283">
        <v>45807</v>
      </c>
      <c r="R224" s="282">
        <v>24812.6</v>
      </c>
      <c r="S224" s="282">
        <v>24863.95</v>
      </c>
      <c r="T224" s="282">
        <v>24717.4</v>
      </c>
      <c r="U224" t="s">
        <v>910</v>
      </c>
      <c r="V224" s="95">
        <v>-3.3E-3</v>
      </c>
    </row>
    <row r="225" spans="2:22" x14ac:dyDescent="0.3">
      <c r="B225" s="283">
        <v>45806</v>
      </c>
      <c r="C225" s="282">
        <v>11269</v>
      </c>
      <c r="D225" s="282">
        <v>24833.599999999999</v>
      </c>
      <c r="E225" s="22">
        <f t="shared" si="5"/>
        <v>-5.2356020942407877E-3</v>
      </c>
      <c r="F225" s="22">
        <f t="shared" si="6"/>
        <v>-3.3382191869080202E-3</v>
      </c>
      <c r="K225" s="282">
        <v>11249</v>
      </c>
      <c r="L225" s="282">
        <v>11337</v>
      </c>
      <c r="M225" s="282">
        <v>11151</v>
      </c>
      <c r="N225" t="s">
        <v>645</v>
      </c>
      <c r="O225" s="95">
        <v>2.8E-3</v>
      </c>
      <c r="P225" s="283">
        <v>45806</v>
      </c>
      <c r="R225" s="282">
        <v>24825.1</v>
      </c>
      <c r="S225" s="282">
        <v>24892.6</v>
      </c>
      <c r="T225" s="282">
        <v>24677.3</v>
      </c>
      <c r="U225" t="s">
        <v>911</v>
      </c>
      <c r="V225" s="95">
        <v>3.3E-3</v>
      </c>
    </row>
    <row r="226" spans="2:22" x14ac:dyDescent="0.3">
      <c r="B226" s="283">
        <v>45805</v>
      </c>
      <c r="C226" s="282">
        <v>11238</v>
      </c>
      <c r="D226" s="282">
        <v>24752.45</v>
      </c>
      <c r="E226" s="22">
        <f t="shared" si="5"/>
        <v>2.758497953372574E-3</v>
      </c>
      <c r="F226" s="22">
        <f t="shared" si="6"/>
        <v>3.2784633440325894E-3</v>
      </c>
      <c r="K226" s="282">
        <v>11455</v>
      </c>
      <c r="L226" s="282">
        <v>11470</v>
      </c>
      <c r="M226" s="282">
        <v>11200</v>
      </c>
      <c r="N226" t="s">
        <v>646</v>
      </c>
      <c r="O226" s="95">
        <v>-1.6E-2</v>
      </c>
      <c r="P226" s="283">
        <v>45805</v>
      </c>
      <c r="R226" s="282">
        <v>24832.5</v>
      </c>
      <c r="S226" s="282">
        <v>24864.25</v>
      </c>
      <c r="T226" s="282">
        <v>24737.05</v>
      </c>
      <c r="U226" t="s">
        <v>912</v>
      </c>
      <c r="V226" s="95">
        <v>-3.0000000000000001E-3</v>
      </c>
    </row>
    <row r="227" spans="2:22" x14ac:dyDescent="0.3">
      <c r="B227" s="283">
        <v>45804</v>
      </c>
      <c r="C227" s="282">
        <v>11421</v>
      </c>
      <c r="D227" s="282">
        <v>24826.2</v>
      </c>
      <c r="E227" s="22">
        <f t="shared" si="5"/>
        <v>-1.6023115313895442E-2</v>
      </c>
      <c r="F227" s="22">
        <f t="shared" si="6"/>
        <v>-2.9706519725128944E-3</v>
      </c>
      <c r="K227" s="282">
        <v>11676</v>
      </c>
      <c r="L227" s="282">
        <v>11722</v>
      </c>
      <c r="M227" s="282">
        <v>11375</v>
      </c>
      <c r="N227" t="s">
        <v>647</v>
      </c>
      <c r="O227" s="95">
        <v>-2.29E-2</v>
      </c>
      <c r="P227" s="283">
        <v>45804</v>
      </c>
      <c r="R227" s="282">
        <v>24956.65</v>
      </c>
      <c r="S227" s="282">
        <v>25062.9</v>
      </c>
      <c r="T227" s="282">
        <v>24704.1</v>
      </c>
      <c r="U227" t="s">
        <v>913</v>
      </c>
      <c r="V227" s="95">
        <v>-7.0000000000000001E-3</v>
      </c>
    </row>
    <row r="228" spans="2:22" x14ac:dyDescent="0.3">
      <c r="B228" s="283">
        <v>45803</v>
      </c>
      <c r="C228" s="282">
        <v>11689</v>
      </c>
      <c r="D228" s="282">
        <v>25001.15</v>
      </c>
      <c r="E228" s="22">
        <f t="shared" si="5"/>
        <v>-2.2927538711609241E-2</v>
      </c>
      <c r="F228" s="22">
        <f t="shared" si="6"/>
        <v>-6.9976781068070704E-3</v>
      </c>
      <c r="K228" s="282">
        <v>11800</v>
      </c>
      <c r="L228" s="282">
        <v>11884</v>
      </c>
      <c r="M228" s="282">
        <v>11645</v>
      </c>
      <c r="N228" t="s">
        <v>648</v>
      </c>
      <c r="O228" s="95">
        <v>-4.8999999999999998E-3</v>
      </c>
      <c r="P228" s="283">
        <v>45803</v>
      </c>
      <c r="R228" s="282">
        <v>24919.35</v>
      </c>
      <c r="S228" s="282">
        <v>25079.200000000001</v>
      </c>
      <c r="T228" s="282">
        <v>24900.5</v>
      </c>
      <c r="U228" t="s">
        <v>914</v>
      </c>
      <c r="V228" s="95">
        <v>6.0000000000000001E-3</v>
      </c>
    </row>
    <row r="229" spans="2:22" x14ac:dyDescent="0.3">
      <c r="B229" s="283">
        <v>45800</v>
      </c>
      <c r="C229" s="282">
        <v>11746</v>
      </c>
      <c r="D229" s="282">
        <v>24853.15</v>
      </c>
      <c r="E229" s="22">
        <f t="shared" si="5"/>
        <v>-4.8527158181508323E-3</v>
      </c>
      <c r="F229" s="22">
        <f t="shared" si="6"/>
        <v>5.954979549875894E-3</v>
      </c>
      <c r="K229" s="282">
        <v>11727</v>
      </c>
      <c r="L229" s="282">
        <v>11875</v>
      </c>
      <c r="M229" s="282">
        <v>11661</v>
      </c>
      <c r="N229" t="s">
        <v>649</v>
      </c>
      <c r="O229" s="95">
        <v>5.7000000000000002E-3</v>
      </c>
      <c r="P229" s="283">
        <v>45800</v>
      </c>
      <c r="R229" s="282">
        <v>24639.5</v>
      </c>
      <c r="S229" s="282">
        <v>24909.05</v>
      </c>
      <c r="T229" s="282">
        <v>24614.05</v>
      </c>
      <c r="U229" t="s">
        <v>915</v>
      </c>
      <c r="V229" s="95">
        <v>9.9000000000000008E-3</v>
      </c>
    </row>
    <row r="230" spans="2:22" x14ac:dyDescent="0.3">
      <c r="B230" s="283">
        <v>45799</v>
      </c>
      <c r="C230" s="282">
        <v>11680</v>
      </c>
      <c r="D230" s="282">
        <v>24609.7</v>
      </c>
      <c r="E230" s="22">
        <f t="shared" si="5"/>
        <v>5.6506849315067775E-3</v>
      </c>
      <c r="F230" s="22">
        <f t="shared" si="6"/>
        <v>9.8924407855438545E-3</v>
      </c>
      <c r="K230" s="282">
        <v>11666</v>
      </c>
      <c r="L230" s="282">
        <v>11700</v>
      </c>
      <c r="M230" s="282">
        <v>11517</v>
      </c>
      <c r="N230" t="s">
        <v>650</v>
      </c>
      <c r="O230" s="95">
        <v>1.1999999999999999E-3</v>
      </c>
      <c r="P230" s="283">
        <v>45799</v>
      </c>
      <c r="R230" s="282">
        <v>24733.95</v>
      </c>
      <c r="S230" s="282">
        <v>24737.5</v>
      </c>
      <c r="T230" s="282">
        <v>24462.400000000001</v>
      </c>
      <c r="U230" t="s">
        <v>916</v>
      </c>
      <c r="V230" s="95">
        <v>-8.2000000000000007E-3</v>
      </c>
    </row>
    <row r="231" spans="2:22" x14ac:dyDescent="0.3">
      <c r="B231" s="283">
        <v>45798</v>
      </c>
      <c r="C231" s="282">
        <v>11666</v>
      </c>
      <c r="D231" s="282">
        <v>24813.45</v>
      </c>
      <c r="E231" s="22">
        <f t="shared" si="5"/>
        <v>1.2000685753472684E-3</v>
      </c>
      <c r="F231" s="22">
        <f t="shared" si="6"/>
        <v>-8.2112725155107924E-3</v>
      </c>
      <c r="K231" s="282">
        <v>11697</v>
      </c>
      <c r="L231" s="282">
        <v>11910</v>
      </c>
      <c r="M231" s="282">
        <v>11634</v>
      </c>
      <c r="N231" t="s">
        <v>651</v>
      </c>
      <c r="O231" s="95">
        <v>-2.7000000000000001E-3</v>
      </c>
      <c r="P231" s="283">
        <v>45798</v>
      </c>
      <c r="R231" s="282">
        <v>24744.25</v>
      </c>
      <c r="S231" s="282">
        <v>24946.2</v>
      </c>
      <c r="T231" s="282">
        <v>24685.35</v>
      </c>
      <c r="U231" t="s">
        <v>917</v>
      </c>
      <c r="V231" s="95">
        <v>5.1999999999999998E-3</v>
      </c>
    </row>
    <row r="232" spans="2:22" x14ac:dyDescent="0.3">
      <c r="B232" s="283">
        <v>45797</v>
      </c>
      <c r="C232" s="282">
        <v>11697</v>
      </c>
      <c r="D232" s="282">
        <v>24683.9</v>
      </c>
      <c r="E232" s="22">
        <f t="shared" si="5"/>
        <v>-2.6502522014191232E-3</v>
      </c>
      <c r="F232" s="22">
        <f t="shared" si="6"/>
        <v>5.2483602672186436E-3</v>
      </c>
      <c r="K232" s="282">
        <v>11969</v>
      </c>
      <c r="L232" s="282">
        <v>11980</v>
      </c>
      <c r="M232" s="282">
        <v>11669</v>
      </c>
      <c r="N232" t="s">
        <v>652</v>
      </c>
      <c r="O232" s="95">
        <v>-1.9400000000000001E-2</v>
      </c>
      <c r="P232" s="283">
        <v>45797</v>
      </c>
      <c r="R232" s="282">
        <v>24996.2</v>
      </c>
      <c r="S232" s="282">
        <v>25010.35</v>
      </c>
      <c r="T232" s="282">
        <v>24669.7</v>
      </c>
      <c r="U232" t="s">
        <v>918</v>
      </c>
      <c r="V232" s="95">
        <v>-1.0500000000000001E-2</v>
      </c>
    </row>
    <row r="233" spans="2:22" x14ac:dyDescent="0.3">
      <c r="B233" s="283">
        <v>45796</v>
      </c>
      <c r="C233" s="282">
        <v>11929</v>
      </c>
      <c r="D233" s="282">
        <v>24945.45</v>
      </c>
      <c r="E233" s="22">
        <f t="shared" si="5"/>
        <v>-1.9448403051387397E-2</v>
      </c>
      <c r="F233" s="22">
        <f t="shared" si="6"/>
        <v>-1.0484878003804265E-2</v>
      </c>
      <c r="K233" s="282">
        <v>11904</v>
      </c>
      <c r="L233" s="282">
        <v>11991</v>
      </c>
      <c r="M233" s="282">
        <v>11880</v>
      </c>
      <c r="N233" t="s">
        <v>653</v>
      </c>
      <c r="O233" s="95">
        <v>2E-3</v>
      </c>
      <c r="P233" s="283">
        <v>45796</v>
      </c>
      <c r="R233" s="282">
        <v>25005.35</v>
      </c>
      <c r="S233" s="282">
        <v>25062.95</v>
      </c>
      <c r="T233" s="282">
        <v>24916.65</v>
      </c>
      <c r="U233" t="s">
        <v>919</v>
      </c>
      <c r="V233" s="95">
        <v>-3.0000000000000001E-3</v>
      </c>
    </row>
    <row r="234" spans="2:22" x14ac:dyDescent="0.3">
      <c r="B234" s="283">
        <v>45793</v>
      </c>
      <c r="C234" s="282">
        <v>11905</v>
      </c>
      <c r="D234" s="282">
        <v>25019.8</v>
      </c>
      <c r="E234" s="22">
        <f t="shared" si="5"/>
        <v>2.0159596808064784E-3</v>
      </c>
      <c r="F234" s="22">
        <f t="shared" si="6"/>
        <v>-2.9716464560067823E-3</v>
      </c>
      <c r="K234" s="282">
        <v>11950</v>
      </c>
      <c r="L234" s="282">
        <v>11990</v>
      </c>
      <c r="M234" s="282">
        <v>11857</v>
      </c>
      <c r="N234" t="s">
        <v>654</v>
      </c>
      <c r="O234" s="95">
        <v>8.9999999999999998E-4</v>
      </c>
      <c r="P234" s="283">
        <v>45793</v>
      </c>
      <c r="R234" s="282">
        <v>25064.65</v>
      </c>
      <c r="S234" s="282">
        <v>25070</v>
      </c>
      <c r="T234" s="282">
        <v>24953.05</v>
      </c>
      <c r="U234" t="s">
        <v>920</v>
      </c>
      <c r="V234" s="95">
        <v>-1.6999999999999999E-3</v>
      </c>
    </row>
    <row r="235" spans="2:22" x14ac:dyDescent="0.3">
      <c r="B235" s="283">
        <v>45792</v>
      </c>
      <c r="C235" s="282">
        <v>11894</v>
      </c>
      <c r="D235" s="282">
        <v>25062.1</v>
      </c>
      <c r="E235" s="22">
        <f t="shared" si="5"/>
        <v>9.2483605179083384E-4</v>
      </c>
      <c r="F235" s="22">
        <f t="shared" si="6"/>
        <v>-1.6878074862042292E-3</v>
      </c>
      <c r="K235" s="282">
        <v>11672</v>
      </c>
      <c r="L235" s="282">
        <v>11932</v>
      </c>
      <c r="M235" s="282">
        <v>11643</v>
      </c>
      <c r="N235" t="s">
        <v>655</v>
      </c>
      <c r="O235" s="95">
        <v>1.9E-2</v>
      </c>
      <c r="P235" s="283">
        <v>45792</v>
      </c>
      <c r="R235" s="282">
        <v>24694.45</v>
      </c>
      <c r="S235" s="282">
        <v>25116.25</v>
      </c>
      <c r="T235" s="282">
        <v>24494.45</v>
      </c>
      <c r="U235" t="s">
        <v>921</v>
      </c>
      <c r="V235" s="95">
        <v>1.6E-2</v>
      </c>
    </row>
    <row r="236" spans="2:22" x14ac:dyDescent="0.3">
      <c r="B236" s="283">
        <v>45791</v>
      </c>
      <c r="C236" s="282">
        <v>11672</v>
      </c>
      <c r="D236" s="282">
        <v>24666.9</v>
      </c>
      <c r="E236" s="22">
        <f t="shared" si="5"/>
        <v>1.9019876627827337E-2</v>
      </c>
      <c r="F236" s="22">
        <f t="shared" si="6"/>
        <v>1.6021470067175025E-2</v>
      </c>
      <c r="K236" s="282">
        <v>11676</v>
      </c>
      <c r="L236" s="282">
        <v>11741</v>
      </c>
      <c r="M236" s="282">
        <v>11624</v>
      </c>
      <c r="N236" t="s">
        <v>656</v>
      </c>
      <c r="O236" s="95">
        <v>8.9999999999999998E-4</v>
      </c>
      <c r="P236" s="283">
        <v>45791</v>
      </c>
      <c r="R236" s="282">
        <v>24613.8</v>
      </c>
      <c r="S236" s="282">
        <v>24767.55</v>
      </c>
      <c r="T236" s="282">
        <v>24535.55</v>
      </c>
      <c r="U236" t="s">
        <v>922</v>
      </c>
      <c r="V236" s="95">
        <v>3.5999999999999999E-3</v>
      </c>
    </row>
    <row r="237" spans="2:22" x14ac:dyDescent="0.3">
      <c r="B237" s="283">
        <v>45790</v>
      </c>
      <c r="C237" s="282">
        <v>11661</v>
      </c>
      <c r="D237" s="282">
        <v>24578.35</v>
      </c>
      <c r="E237" s="22">
        <f t="shared" si="5"/>
        <v>9.4331532458613587E-4</v>
      </c>
      <c r="F237" s="22">
        <f t="shared" si="6"/>
        <v>3.602764221357635E-3</v>
      </c>
      <c r="K237" s="282">
        <v>11700</v>
      </c>
      <c r="L237" s="282">
        <v>11748</v>
      </c>
      <c r="M237" s="282">
        <v>11566</v>
      </c>
      <c r="N237" t="s">
        <v>657</v>
      </c>
      <c r="O237" s="95">
        <v>-6.4000000000000003E-3</v>
      </c>
      <c r="P237" s="283">
        <v>45790</v>
      </c>
      <c r="R237" s="282">
        <v>24864.05</v>
      </c>
      <c r="S237" s="282">
        <v>24973.8</v>
      </c>
      <c r="T237" s="282">
        <v>24547.5</v>
      </c>
      <c r="U237" t="s">
        <v>923</v>
      </c>
      <c r="V237" s="95">
        <v>-1.3899999999999999E-2</v>
      </c>
    </row>
    <row r="238" spans="2:22" x14ac:dyDescent="0.3">
      <c r="B238" s="283">
        <v>45789</v>
      </c>
      <c r="C238" s="282">
        <v>11736</v>
      </c>
      <c r="D238" s="282">
        <v>24924.7</v>
      </c>
      <c r="E238" s="22">
        <f t="shared" si="5"/>
        <v>-6.3905930470347094E-3</v>
      </c>
      <c r="F238" s="22">
        <f t="shared" si="6"/>
        <v>-1.3895854313191403E-2</v>
      </c>
      <c r="K238" s="282">
        <v>11590</v>
      </c>
      <c r="L238" s="282">
        <v>11767</v>
      </c>
      <c r="M238" s="282">
        <v>11565</v>
      </c>
      <c r="N238" t="s">
        <v>658</v>
      </c>
      <c r="O238" s="95">
        <v>3.27E-2</v>
      </c>
      <c r="P238" s="283">
        <v>45789</v>
      </c>
      <c r="R238" s="282">
        <v>24420.1</v>
      </c>
      <c r="S238" s="282">
        <v>24944.799999999999</v>
      </c>
      <c r="T238" s="282">
        <v>24378.85</v>
      </c>
      <c r="U238" t="s">
        <v>924</v>
      </c>
      <c r="V238" s="95">
        <v>3.8199999999999998E-2</v>
      </c>
    </row>
    <row r="239" spans="2:22" x14ac:dyDescent="0.3">
      <c r="B239" s="283">
        <v>45786</v>
      </c>
      <c r="C239" s="282">
        <v>11364</v>
      </c>
      <c r="D239" s="282">
        <v>24008</v>
      </c>
      <c r="E239" s="22">
        <f t="shared" si="5"/>
        <v>3.2734952481520585E-2</v>
      </c>
      <c r="F239" s="22">
        <f t="shared" si="6"/>
        <v>3.8183105631456105E-2</v>
      </c>
      <c r="K239" s="282">
        <v>11480</v>
      </c>
      <c r="L239" s="282">
        <v>11558</v>
      </c>
      <c r="M239" s="282">
        <v>11313</v>
      </c>
      <c r="N239" t="s">
        <v>659</v>
      </c>
      <c r="O239" s="95">
        <v>-2.3E-2</v>
      </c>
      <c r="P239" s="283">
        <v>45786</v>
      </c>
      <c r="R239" s="282">
        <v>23935.75</v>
      </c>
      <c r="S239" s="282">
        <v>24164.25</v>
      </c>
      <c r="T239" s="282">
        <v>23935.75</v>
      </c>
      <c r="U239" t="s">
        <v>925</v>
      </c>
      <c r="V239" s="95">
        <v>-1.0999999999999999E-2</v>
      </c>
    </row>
    <row r="240" spans="2:22" x14ac:dyDescent="0.3">
      <c r="B240" s="283">
        <v>45785</v>
      </c>
      <c r="C240" s="282">
        <v>11631</v>
      </c>
      <c r="D240" s="282">
        <v>24273.8</v>
      </c>
      <c r="E240" s="22">
        <f t="shared" si="5"/>
        <v>-2.2955893732267252E-2</v>
      </c>
      <c r="F240" s="22">
        <f t="shared" si="6"/>
        <v>-1.0950077861727414E-2</v>
      </c>
      <c r="K240" s="282">
        <v>11601</v>
      </c>
      <c r="L240" s="282">
        <v>11740</v>
      </c>
      <c r="M240" s="282">
        <v>11539</v>
      </c>
      <c r="N240" t="s">
        <v>660</v>
      </c>
      <c r="O240" s="95">
        <v>-2.3E-3</v>
      </c>
      <c r="P240" s="283">
        <v>45785</v>
      </c>
      <c r="R240" s="282">
        <v>24431.5</v>
      </c>
      <c r="S240" s="282">
        <v>24447.25</v>
      </c>
      <c r="T240" s="282">
        <v>24150.2</v>
      </c>
      <c r="U240" t="s">
        <v>926</v>
      </c>
      <c r="V240" s="95">
        <v>-5.7999999999999996E-3</v>
      </c>
    </row>
    <row r="241" spans="2:22" x14ac:dyDescent="0.3">
      <c r="B241" s="283">
        <v>45784</v>
      </c>
      <c r="C241" s="282">
        <v>11658</v>
      </c>
      <c r="D241" s="282">
        <v>24414.400000000001</v>
      </c>
      <c r="E241" s="22">
        <f t="shared" si="5"/>
        <v>-2.3160061760164607E-3</v>
      </c>
      <c r="F241" s="22">
        <f t="shared" si="6"/>
        <v>-5.758896389016388E-3</v>
      </c>
      <c r="K241" s="282">
        <v>11651</v>
      </c>
      <c r="L241" s="282">
        <v>11700</v>
      </c>
      <c r="M241" s="282">
        <v>11553</v>
      </c>
      <c r="N241" t="s">
        <v>661</v>
      </c>
      <c r="O241" s="95">
        <v>-3.0000000000000001E-3</v>
      </c>
      <c r="P241" s="283">
        <v>45784</v>
      </c>
      <c r="R241" s="282">
        <v>24233.3</v>
      </c>
      <c r="S241" s="282">
        <v>24449.599999999999</v>
      </c>
      <c r="T241" s="282">
        <v>24220</v>
      </c>
      <c r="U241" t="s">
        <v>927</v>
      </c>
      <c r="V241" s="95">
        <v>1.4E-3</v>
      </c>
    </row>
    <row r="242" spans="2:22" x14ac:dyDescent="0.3">
      <c r="B242" s="283">
        <v>45783</v>
      </c>
      <c r="C242" s="282">
        <v>11693</v>
      </c>
      <c r="D242" s="282">
        <v>24379.599999999999</v>
      </c>
      <c r="E242" s="22">
        <f t="shared" si="5"/>
        <v>-2.993243821089564E-3</v>
      </c>
      <c r="F242" s="22">
        <f t="shared" si="6"/>
        <v>1.4274229273656402E-3</v>
      </c>
      <c r="K242" s="282">
        <v>11699</v>
      </c>
      <c r="L242" s="282">
        <v>11729</v>
      </c>
      <c r="M242" s="282">
        <v>11544</v>
      </c>
      <c r="N242" t="s">
        <v>662</v>
      </c>
      <c r="O242" s="95">
        <v>2E-3</v>
      </c>
      <c r="P242" s="283">
        <v>45783</v>
      </c>
      <c r="R242" s="282">
        <v>24500.75</v>
      </c>
      <c r="S242" s="282">
        <v>24509.65</v>
      </c>
      <c r="T242" s="282">
        <v>24331.8</v>
      </c>
      <c r="U242" t="s">
        <v>928</v>
      </c>
      <c r="V242" s="95">
        <v>-3.3E-3</v>
      </c>
    </row>
    <row r="243" spans="2:22" x14ac:dyDescent="0.3">
      <c r="B243" s="283">
        <v>45782</v>
      </c>
      <c r="C243" s="282">
        <v>11670</v>
      </c>
      <c r="D243" s="282">
        <v>24461.15</v>
      </c>
      <c r="E243" s="22">
        <f t="shared" si="5"/>
        <v>1.9708654670094194E-3</v>
      </c>
      <c r="F243" s="22">
        <f t="shared" si="6"/>
        <v>-3.3338579747886898E-3</v>
      </c>
      <c r="K243" s="282">
        <v>11702</v>
      </c>
      <c r="L243" s="282">
        <v>11728</v>
      </c>
      <c r="M243" s="282">
        <v>11652</v>
      </c>
      <c r="N243" t="s">
        <v>663</v>
      </c>
      <c r="O243" s="95">
        <v>2.2000000000000001E-3</v>
      </c>
      <c r="P243" s="283">
        <v>45782</v>
      </c>
      <c r="R243" s="282">
        <v>24419.5</v>
      </c>
      <c r="S243" s="282">
        <v>24526.400000000001</v>
      </c>
      <c r="T243" s="282">
        <v>24400.65</v>
      </c>
      <c r="U243" t="s">
        <v>929</v>
      </c>
      <c r="V243" s="95">
        <v>4.7000000000000002E-3</v>
      </c>
    </row>
    <row r="244" spans="2:22" x14ac:dyDescent="0.3">
      <c r="B244" s="283">
        <v>45779</v>
      </c>
      <c r="C244" s="282">
        <v>11644</v>
      </c>
      <c r="D244" s="282">
        <v>24346.7</v>
      </c>
      <c r="E244" s="22">
        <f t="shared" si="5"/>
        <v>2.2329096530402381E-3</v>
      </c>
      <c r="F244" s="22">
        <f t="shared" si="6"/>
        <v>4.7008424139616256E-3</v>
      </c>
      <c r="K244" s="282">
        <v>11641</v>
      </c>
      <c r="L244" s="282">
        <v>11750</v>
      </c>
      <c r="M244" s="282">
        <v>11481</v>
      </c>
      <c r="N244" t="s">
        <v>664</v>
      </c>
      <c r="O244" s="95">
        <v>2.9999999999999997E-4</v>
      </c>
      <c r="P244" s="283">
        <v>45779</v>
      </c>
      <c r="R244" s="282">
        <v>24311.9</v>
      </c>
      <c r="S244" s="282">
        <v>24589.15</v>
      </c>
      <c r="T244" s="282">
        <v>24238.5</v>
      </c>
      <c r="U244" t="s">
        <v>930</v>
      </c>
      <c r="V244" s="95">
        <v>5.0000000000000001E-4</v>
      </c>
    </row>
    <row r="245" spans="2:22" x14ac:dyDescent="0.3">
      <c r="B245" s="283">
        <v>45777</v>
      </c>
      <c r="C245" s="282">
        <v>11641</v>
      </c>
      <c r="D245" s="282">
        <v>24334.2</v>
      </c>
      <c r="E245" s="22">
        <f t="shared" si="5"/>
        <v>2.5770981874417842E-4</v>
      </c>
      <c r="F245" s="22">
        <f t="shared" si="6"/>
        <v>5.1368033467302787E-4</v>
      </c>
      <c r="K245" s="282">
        <v>11869</v>
      </c>
      <c r="L245" s="282">
        <v>11925</v>
      </c>
      <c r="M245" s="282">
        <v>11500</v>
      </c>
      <c r="N245" t="s">
        <v>665</v>
      </c>
      <c r="O245" s="95">
        <v>-1.9199999999999998E-2</v>
      </c>
      <c r="P245" s="283">
        <v>45777</v>
      </c>
      <c r="R245" s="282">
        <v>24342.05</v>
      </c>
      <c r="S245" s="282">
        <v>24396.15</v>
      </c>
      <c r="T245" s="282">
        <v>24198.75</v>
      </c>
      <c r="U245" t="s">
        <v>931</v>
      </c>
      <c r="V245" s="95">
        <v>-1E-4</v>
      </c>
    </row>
    <row r="246" spans="2:22" x14ac:dyDescent="0.3">
      <c r="B246" s="283">
        <v>45776</v>
      </c>
      <c r="C246" s="282">
        <v>11869</v>
      </c>
      <c r="D246" s="282">
        <v>24335.95</v>
      </c>
      <c r="E246" s="22">
        <f t="shared" si="5"/>
        <v>-1.9209705956693912E-2</v>
      </c>
      <c r="F246" s="22">
        <f t="shared" si="6"/>
        <v>-7.1910075423398112E-5</v>
      </c>
      <c r="K246" s="282">
        <v>12201</v>
      </c>
      <c r="L246" s="282">
        <v>12222</v>
      </c>
      <c r="M246" s="282">
        <v>11800</v>
      </c>
      <c r="N246" t="s">
        <v>666</v>
      </c>
      <c r="O246" s="95">
        <v>-2.0199999999999999E-2</v>
      </c>
      <c r="P246" s="283">
        <v>45776</v>
      </c>
      <c r="R246" s="282">
        <v>24370.7</v>
      </c>
      <c r="S246" s="282">
        <v>24457.65</v>
      </c>
      <c r="T246" s="282">
        <v>24290.75</v>
      </c>
      <c r="U246" t="s">
        <v>932</v>
      </c>
      <c r="V246" s="95">
        <v>2.9999999999999997E-4</v>
      </c>
    </row>
    <row r="247" spans="2:22" x14ac:dyDescent="0.3">
      <c r="B247" s="283">
        <v>45775</v>
      </c>
      <c r="C247" s="282">
        <v>12114</v>
      </c>
      <c r="D247" s="282">
        <v>24328.5</v>
      </c>
      <c r="E247" s="22">
        <f t="shared" ref="E247:E268" si="7">C246/C247-1</f>
        <v>-2.0224533597490546E-2</v>
      </c>
      <c r="F247" s="22">
        <f t="shared" ref="F247:F268" si="8">D246/D247-1</f>
        <v>3.0622520911682827E-4</v>
      </c>
      <c r="K247" s="282">
        <v>12232</v>
      </c>
      <c r="L247" s="282">
        <v>12339</v>
      </c>
      <c r="M247" s="282">
        <v>12001</v>
      </c>
      <c r="N247" t="s">
        <v>667</v>
      </c>
      <c r="O247" s="95">
        <v>-1.01E-2</v>
      </c>
      <c r="P247" s="283">
        <v>45775</v>
      </c>
      <c r="R247" s="282">
        <v>24070.25</v>
      </c>
      <c r="S247" s="282">
        <v>24355.1</v>
      </c>
      <c r="T247" s="282">
        <v>24054.05</v>
      </c>
      <c r="U247" t="s">
        <v>933</v>
      </c>
      <c r="V247" s="95">
        <v>1.2E-2</v>
      </c>
    </row>
    <row r="248" spans="2:22" x14ac:dyDescent="0.3">
      <c r="B248" s="283">
        <v>45772</v>
      </c>
      <c r="C248" s="282">
        <v>12237</v>
      </c>
      <c r="D248" s="282">
        <v>24039.35</v>
      </c>
      <c r="E248" s="22">
        <f t="shared" si="7"/>
        <v>-1.0051483206668266E-2</v>
      </c>
      <c r="F248" s="22">
        <f t="shared" si="8"/>
        <v>1.2028195437896683E-2</v>
      </c>
      <c r="K248" s="282">
        <v>12149</v>
      </c>
      <c r="L248" s="282">
        <v>12304</v>
      </c>
      <c r="M248" s="282">
        <v>11860</v>
      </c>
      <c r="N248" t="s">
        <v>668</v>
      </c>
      <c r="O248" s="95">
        <v>6.4000000000000003E-3</v>
      </c>
      <c r="P248" s="283">
        <v>45772</v>
      </c>
      <c r="R248" s="282">
        <v>24289</v>
      </c>
      <c r="S248" s="282">
        <v>24365.45</v>
      </c>
      <c r="T248" s="282">
        <v>23847.85</v>
      </c>
      <c r="U248" t="s">
        <v>934</v>
      </c>
      <c r="V248" s="95">
        <v>-8.6E-3</v>
      </c>
    </row>
    <row r="249" spans="2:22" x14ac:dyDescent="0.3">
      <c r="B249" s="283">
        <v>45771</v>
      </c>
      <c r="C249" s="282">
        <v>12159</v>
      </c>
      <c r="D249" s="282">
        <v>24246.7</v>
      </c>
      <c r="E249" s="22">
        <f t="shared" si="7"/>
        <v>6.4150012336541273E-3</v>
      </c>
      <c r="F249" s="22">
        <f t="shared" si="8"/>
        <v>-8.5516791975815964E-3</v>
      </c>
      <c r="K249" s="282">
        <v>11877</v>
      </c>
      <c r="L249" s="282">
        <v>12188</v>
      </c>
      <c r="M249" s="282">
        <v>11870</v>
      </c>
      <c r="N249" t="s">
        <v>669</v>
      </c>
      <c r="O249" s="95">
        <v>1.7600000000000001E-2</v>
      </c>
      <c r="P249" s="283">
        <v>45771</v>
      </c>
      <c r="R249" s="282">
        <v>24277.9</v>
      </c>
      <c r="S249" s="282">
        <v>24347.85</v>
      </c>
      <c r="T249" s="282">
        <v>24216.15</v>
      </c>
      <c r="U249" t="s">
        <v>935</v>
      </c>
      <c r="V249" s="95">
        <v>-3.3999999999999998E-3</v>
      </c>
    </row>
    <row r="250" spans="2:22" x14ac:dyDescent="0.3">
      <c r="B250" s="283">
        <v>45770</v>
      </c>
      <c r="C250" s="282">
        <v>11949</v>
      </c>
      <c r="D250" s="282">
        <v>24328.95</v>
      </c>
      <c r="E250" s="22">
        <f t="shared" si="7"/>
        <v>1.7574692442882345E-2</v>
      </c>
      <c r="F250" s="22">
        <f t="shared" si="8"/>
        <v>-3.380745983694311E-3</v>
      </c>
      <c r="K250" s="282">
        <v>12040</v>
      </c>
      <c r="L250" s="282">
        <v>12040</v>
      </c>
      <c r="M250" s="282">
        <v>11826</v>
      </c>
      <c r="N250" t="s">
        <v>670</v>
      </c>
      <c r="O250" s="95">
        <v>-8.0000000000000004E-4</v>
      </c>
      <c r="P250" s="283">
        <v>45770</v>
      </c>
      <c r="R250" s="282">
        <v>24357.599999999999</v>
      </c>
      <c r="S250" s="282">
        <v>24359.3</v>
      </c>
      <c r="T250" s="282">
        <v>24119.95</v>
      </c>
      <c r="U250" t="s">
        <v>936</v>
      </c>
      <c r="V250" s="95">
        <v>6.7000000000000002E-3</v>
      </c>
    </row>
    <row r="251" spans="2:22" x14ac:dyDescent="0.3">
      <c r="B251" s="283">
        <v>45769</v>
      </c>
      <c r="C251" s="282">
        <v>11959</v>
      </c>
      <c r="D251" s="282">
        <v>24167.25</v>
      </c>
      <c r="E251" s="22">
        <f t="shared" si="7"/>
        <v>-8.361903169161744E-4</v>
      </c>
      <c r="F251" s="22">
        <f t="shared" si="8"/>
        <v>6.6908729789281196E-3</v>
      </c>
      <c r="K251" s="282">
        <v>11934</v>
      </c>
      <c r="L251" s="282">
        <v>12017</v>
      </c>
      <c r="M251" s="282">
        <v>11850</v>
      </c>
      <c r="N251" t="s">
        <v>671</v>
      </c>
      <c r="O251" s="95">
        <v>2.0999999999999999E-3</v>
      </c>
      <c r="P251" s="283">
        <v>45769</v>
      </c>
      <c r="R251" s="282">
        <v>24185.4</v>
      </c>
      <c r="S251" s="282">
        <v>24242.6</v>
      </c>
      <c r="T251" s="282">
        <v>24072</v>
      </c>
      <c r="U251" t="s">
        <v>937</v>
      </c>
      <c r="V251" s="95">
        <v>1.6999999999999999E-3</v>
      </c>
    </row>
    <row r="252" spans="2:22" x14ac:dyDescent="0.3">
      <c r="B252" s="283">
        <v>45768</v>
      </c>
      <c r="C252" s="282">
        <v>11934</v>
      </c>
      <c r="D252" s="282">
        <v>24125.55</v>
      </c>
      <c r="E252" s="22">
        <f t="shared" si="7"/>
        <v>2.0948550360315732E-3</v>
      </c>
      <c r="F252" s="22">
        <f t="shared" si="8"/>
        <v>1.7284580040661801E-3</v>
      </c>
      <c r="K252" s="282">
        <v>11816</v>
      </c>
      <c r="L252" s="282">
        <v>12110</v>
      </c>
      <c r="M252" s="282">
        <v>11781</v>
      </c>
      <c r="N252" t="s">
        <v>672</v>
      </c>
      <c r="O252" s="95">
        <v>2.8E-3</v>
      </c>
      <c r="P252" s="283">
        <v>45768</v>
      </c>
      <c r="R252" s="282">
        <v>23949.15</v>
      </c>
      <c r="S252" s="282">
        <v>24189.55</v>
      </c>
      <c r="T252" s="282">
        <v>23903.65</v>
      </c>
      <c r="U252" t="s">
        <v>938</v>
      </c>
      <c r="V252" s="95">
        <v>1.15E-2</v>
      </c>
    </row>
    <row r="253" spans="2:22" x14ac:dyDescent="0.3">
      <c r="B253" s="283">
        <v>45764</v>
      </c>
      <c r="C253" s="282">
        <v>11901</v>
      </c>
      <c r="D253" s="282">
        <v>23851.65</v>
      </c>
      <c r="E253" s="22">
        <f t="shared" si="7"/>
        <v>2.7728762288883324E-3</v>
      </c>
      <c r="F253" s="22">
        <f t="shared" si="8"/>
        <v>1.1483482274811108E-2</v>
      </c>
      <c r="K253" s="282">
        <v>11667</v>
      </c>
      <c r="L253" s="282">
        <v>11922</v>
      </c>
      <c r="M253" s="282">
        <v>11600</v>
      </c>
      <c r="N253" t="s">
        <v>673</v>
      </c>
      <c r="O253" s="95">
        <v>1.4800000000000001E-2</v>
      </c>
      <c r="P253" s="283">
        <v>45764</v>
      </c>
      <c r="R253" s="282">
        <v>23401.85</v>
      </c>
      <c r="S253" s="282">
        <v>23872.35</v>
      </c>
      <c r="T253" s="282">
        <v>23298.55</v>
      </c>
      <c r="U253" t="s">
        <v>939</v>
      </c>
      <c r="V253" s="95">
        <v>1.77E-2</v>
      </c>
    </row>
    <row r="254" spans="2:22" x14ac:dyDescent="0.3">
      <c r="B254" s="283">
        <v>45763</v>
      </c>
      <c r="C254" s="282">
        <v>11728</v>
      </c>
      <c r="D254" s="282">
        <v>23437.200000000001</v>
      </c>
      <c r="E254" s="22">
        <f t="shared" si="7"/>
        <v>1.4751023192360213E-2</v>
      </c>
      <c r="F254" s="22">
        <f t="shared" si="8"/>
        <v>1.7683426347857356E-2</v>
      </c>
      <c r="K254" s="282">
        <v>11667</v>
      </c>
      <c r="L254" s="282">
        <v>11827</v>
      </c>
      <c r="M254" s="282">
        <v>11667</v>
      </c>
      <c r="N254" t="s">
        <v>674</v>
      </c>
      <c r="O254" s="95">
        <v>8.0000000000000004E-4</v>
      </c>
      <c r="P254" s="283">
        <v>45763</v>
      </c>
      <c r="R254" s="282">
        <v>23344.1</v>
      </c>
      <c r="S254" s="282">
        <v>23452.2</v>
      </c>
      <c r="T254" s="282">
        <v>23273.05</v>
      </c>
      <c r="U254" t="s">
        <v>940</v>
      </c>
      <c r="V254" s="95">
        <v>4.7000000000000002E-3</v>
      </c>
    </row>
    <row r="255" spans="2:22" x14ac:dyDescent="0.3">
      <c r="B255" s="283">
        <v>45762</v>
      </c>
      <c r="C255" s="282">
        <v>11719</v>
      </c>
      <c r="D255" s="282">
        <v>23328.55</v>
      </c>
      <c r="E255" s="22">
        <f t="shared" si="7"/>
        <v>7.6798361634944357E-4</v>
      </c>
      <c r="F255" s="22">
        <f t="shared" si="8"/>
        <v>4.6573833350123106E-3</v>
      </c>
      <c r="K255" s="282">
        <v>11749</v>
      </c>
      <c r="L255" s="282">
        <v>11749</v>
      </c>
      <c r="M255" s="282">
        <v>11581</v>
      </c>
      <c r="N255" t="s">
        <v>675</v>
      </c>
      <c r="O255" s="95">
        <v>1.8800000000000001E-2</v>
      </c>
      <c r="P255" s="283">
        <v>45762</v>
      </c>
      <c r="R255" s="282">
        <v>23368.35</v>
      </c>
      <c r="S255" s="282">
        <v>23368.35</v>
      </c>
      <c r="T255" s="282">
        <v>23207</v>
      </c>
      <c r="U255" t="s">
        <v>941</v>
      </c>
      <c r="V255" s="95">
        <v>2.1899999999999999E-2</v>
      </c>
    </row>
    <row r="256" spans="2:22" x14ac:dyDescent="0.3">
      <c r="B256" s="283">
        <v>45758</v>
      </c>
      <c r="C256" s="282">
        <v>11502.65</v>
      </c>
      <c r="D256" s="282">
        <v>22828.55</v>
      </c>
      <c r="E256" s="22">
        <f t="shared" si="7"/>
        <v>1.8808709297422732E-2</v>
      </c>
      <c r="F256" s="22">
        <f t="shared" si="8"/>
        <v>2.1902398531663314E-2</v>
      </c>
      <c r="K256" s="282">
        <v>11842.35</v>
      </c>
      <c r="L256" s="282">
        <v>11842.35</v>
      </c>
      <c r="M256" s="282">
        <v>11454.05</v>
      </c>
      <c r="N256" t="s">
        <v>676</v>
      </c>
      <c r="O256" s="95">
        <v>9.2999999999999992E-3</v>
      </c>
      <c r="P256" s="283">
        <v>45758</v>
      </c>
      <c r="R256" s="282">
        <v>22695.4</v>
      </c>
      <c r="S256" s="282">
        <v>22923.9</v>
      </c>
      <c r="T256" s="282">
        <v>22695.4</v>
      </c>
      <c r="U256" t="s">
        <v>942</v>
      </c>
      <c r="V256" s="95">
        <v>1.9199999999999998E-2</v>
      </c>
    </row>
    <row r="257" spans="2:22" x14ac:dyDescent="0.3">
      <c r="B257" s="283">
        <v>45756</v>
      </c>
      <c r="C257" s="282">
        <v>11397.05</v>
      </c>
      <c r="D257" s="282">
        <v>22399.15</v>
      </c>
      <c r="E257" s="22">
        <f t="shared" si="7"/>
        <v>9.2655555604301831E-3</v>
      </c>
      <c r="F257" s="22">
        <f t="shared" si="8"/>
        <v>1.91703703042303E-2</v>
      </c>
      <c r="K257" s="282">
        <v>11288.85</v>
      </c>
      <c r="L257" s="282">
        <v>11423</v>
      </c>
      <c r="M257" s="282">
        <v>11180</v>
      </c>
      <c r="N257" t="s">
        <v>677</v>
      </c>
      <c r="O257" s="95">
        <v>1.12E-2</v>
      </c>
      <c r="P257" s="283">
        <v>45756</v>
      </c>
      <c r="R257" s="282">
        <v>22460.3</v>
      </c>
      <c r="S257" s="282">
        <v>22468.7</v>
      </c>
      <c r="T257" s="282">
        <v>22353.25</v>
      </c>
      <c r="U257" t="s">
        <v>943</v>
      </c>
      <c r="V257" s="95">
        <v>-6.1000000000000004E-3</v>
      </c>
    </row>
    <row r="258" spans="2:22" x14ac:dyDescent="0.3">
      <c r="B258" s="283">
        <v>45755</v>
      </c>
      <c r="C258" s="282">
        <v>11270.45</v>
      </c>
      <c r="D258" s="282">
        <v>22535.85</v>
      </c>
      <c r="E258" s="22">
        <f t="shared" si="7"/>
        <v>1.1232914391173354E-2</v>
      </c>
      <c r="F258" s="22">
        <f t="shared" si="8"/>
        <v>-6.0658905699140231E-3</v>
      </c>
      <c r="K258" s="282">
        <v>11317.75</v>
      </c>
      <c r="L258" s="282">
        <v>11542.75</v>
      </c>
      <c r="M258" s="282">
        <v>11240.8</v>
      </c>
      <c r="N258" t="s">
        <v>678</v>
      </c>
      <c r="O258" s="95">
        <v>7.0000000000000001E-3</v>
      </c>
      <c r="P258" s="283">
        <v>45755</v>
      </c>
      <c r="R258" s="282">
        <v>22446.75</v>
      </c>
      <c r="S258" s="282">
        <v>22697.200000000001</v>
      </c>
      <c r="T258" s="282">
        <v>22270.85</v>
      </c>
      <c r="U258" t="s">
        <v>944</v>
      </c>
      <c r="V258" s="95">
        <v>1.6899999999999998E-2</v>
      </c>
    </row>
    <row r="259" spans="2:22" x14ac:dyDescent="0.3">
      <c r="B259" s="283">
        <v>45754</v>
      </c>
      <c r="C259" s="282">
        <v>11191.6</v>
      </c>
      <c r="D259" s="282">
        <v>22161.599999999999</v>
      </c>
      <c r="E259" s="22">
        <f t="shared" si="7"/>
        <v>7.0454626684299804E-3</v>
      </c>
      <c r="F259" s="22">
        <f t="shared" si="8"/>
        <v>1.68873186051548E-2</v>
      </c>
      <c r="K259" s="282">
        <v>11200</v>
      </c>
      <c r="L259" s="282">
        <v>11300.05</v>
      </c>
      <c r="M259" s="282">
        <v>11015.05</v>
      </c>
      <c r="N259" t="s">
        <v>679</v>
      </c>
      <c r="O259" s="95">
        <v>-2.6700000000000002E-2</v>
      </c>
      <c r="P259" s="283">
        <v>45754</v>
      </c>
      <c r="R259" s="282">
        <v>21758.400000000001</v>
      </c>
      <c r="S259" s="282">
        <v>22254</v>
      </c>
      <c r="T259" s="282">
        <v>21743.65</v>
      </c>
      <c r="U259" t="s">
        <v>945</v>
      </c>
      <c r="V259" s="95">
        <v>-3.2399999999999998E-2</v>
      </c>
    </row>
    <row r="260" spans="2:22" x14ac:dyDescent="0.3">
      <c r="B260" s="283">
        <v>45751</v>
      </c>
      <c r="C260" s="282">
        <v>11498.65</v>
      </c>
      <c r="D260" s="282">
        <v>22904.45</v>
      </c>
      <c r="E260" s="22">
        <f t="shared" si="7"/>
        <v>-2.6703134715814425E-2</v>
      </c>
      <c r="F260" s="22">
        <f t="shared" si="8"/>
        <v>-3.2432562231356932E-2</v>
      </c>
      <c r="K260" s="282">
        <v>11599</v>
      </c>
      <c r="L260" s="282">
        <v>11613.5</v>
      </c>
      <c r="M260" s="282">
        <v>11421</v>
      </c>
      <c r="N260" t="s">
        <v>680</v>
      </c>
      <c r="O260" s="95">
        <v>-9.2999999999999992E-3</v>
      </c>
      <c r="P260" s="283">
        <v>45751</v>
      </c>
      <c r="R260" s="282">
        <v>23190.400000000001</v>
      </c>
      <c r="S260" s="282">
        <v>23214.7</v>
      </c>
      <c r="T260" s="282">
        <v>22857.45</v>
      </c>
      <c r="U260" t="s">
        <v>946</v>
      </c>
      <c r="V260" s="95">
        <v>-1.49E-2</v>
      </c>
    </row>
    <row r="261" spans="2:22" x14ac:dyDescent="0.3">
      <c r="B261" s="283">
        <v>45750</v>
      </c>
      <c r="C261" s="282">
        <v>11606.6</v>
      </c>
      <c r="D261" s="282">
        <v>23250.1</v>
      </c>
      <c r="E261" s="22">
        <f t="shared" si="7"/>
        <v>-9.3007426808885407E-3</v>
      </c>
      <c r="F261" s="22">
        <f t="shared" si="8"/>
        <v>-1.4866602724289302E-2</v>
      </c>
      <c r="K261" s="282">
        <v>11189</v>
      </c>
      <c r="L261" s="282">
        <v>11650.05</v>
      </c>
      <c r="M261" s="282">
        <v>11155</v>
      </c>
      <c r="N261" t="s">
        <v>681</v>
      </c>
      <c r="O261" s="95">
        <v>3.1600000000000003E-2</v>
      </c>
      <c r="P261" s="283">
        <v>45750</v>
      </c>
      <c r="R261" s="282">
        <v>23150.3</v>
      </c>
      <c r="S261" s="282">
        <v>23306.5</v>
      </c>
      <c r="T261" s="282">
        <v>23145.8</v>
      </c>
      <c r="U261" t="s">
        <v>947</v>
      </c>
      <c r="V261" s="95">
        <v>-3.5000000000000001E-3</v>
      </c>
    </row>
    <row r="262" spans="2:22" x14ac:dyDescent="0.3">
      <c r="B262" s="283">
        <v>45749</v>
      </c>
      <c r="C262" s="282">
        <v>11250.95</v>
      </c>
      <c r="D262" s="282">
        <v>23332.35</v>
      </c>
      <c r="E262" s="22">
        <f t="shared" si="7"/>
        <v>3.1610663988374199E-2</v>
      </c>
      <c r="F262" s="22">
        <f t="shared" si="8"/>
        <v>-3.5251485598322141E-3</v>
      </c>
      <c r="K262" s="282">
        <v>11360</v>
      </c>
      <c r="L262" s="282">
        <v>11360</v>
      </c>
      <c r="M262" s="282">
        <v>11178.1</v>
      </c>
      <c r="N262" t="s">
        <v>682</v>
      </c>
      <c r="O262" s="95">
        <v>-1.12E-2</v>
      </c>
      <c r="P262" s="283">
        <v>45749</v>
      </c>
      <c r="R262" s="282">
        <v>23192.6</v>
      </c>
      <c r="S262" s="282">
        <v>23350</v>
      </c>
      <c r="T262" s="282">
        <v>23158.45</v>
      </c>
      <c r="U262" t="s">
        <v>948</v>
      </c>
      <c r="V262" s="95">
        <v>7.1999999999999998E-3</v>
      </c>
    </row>
    <row r="263" spans="2:22" x14ac:dyDescent="0.3">
      <c r="B263" s="283">
        <v>45748</v>
      </c>
      <c r="C263" s="282">
        <v>11378.65</v>
      </c>
      <c r="D263" s="282">
        <v>23165.7</v>
      </c>
      <c r="E263" s="22">
        <f t="shared" si="7"/>
        <v>-1.1222772473008513E-2</v>
      </c>
      <c r="F263" s="22">
        <f t="shared" si="8"/>
        <v>7.1938253538634811E-3</v>
      </c>
      <c r="K263" s="282">
        <v>11350</v>
      </c>
      <c r="L263" s="282">
        <v>11565.65</v>
      </c>
      <c r="M263" s="282">
        <v>11337.15</v>
      </c>
      <c r="N263" t="s">
        <v>683</v>
      </c>
      <c r="O263" s="95">
        <v>-1.14E-2</v>
      </c>
      <c r="P263" s="283">
        <v>45748</v>
      </c>
      <c r="R263" s="282">
        <v>23341.1</v>
      </c>
      <c r="S263" s="282">
        <v>23565.15</v>
      </c>
      <c r="T263" s="282">
        <v>23136.400000000001</v>
      </c>
      <c r="U263" t="s">
        <v>949</v>
      </c>
      <c r="V263" s="95">
        <v>-1.4999999999999999E-2</v>
      </c>
    </row>
    <row r="264" spans="2:22" x14ac:dyDescent="0.3">
      <c r="B264" s="283">
        <v>45744</v>
      </c>
      <c r="C264" s="282">
        <v>11509.55</v>
      </c>
      <c r="D264" s="282">
        <v>23519.35</v>
      </c>
      <c r="E264" s="22">
        <f t="shared" si="7"/>
        <v>-1.1373164024657711E-2</v>
      </c>
      <c r="F264" s="22">
        <f t="shared" si="8"/>
        <v>-1.5036555006834651E-2</v>
      </c>
      <c r="K264" s="282">
        <v>11585.5</v>
      </c>
      <c r="L264" s="282">
        <v>11699</v>
      </c>
      <c r="M264" s="282">
        <v>11458.65</v>
      </c>
      <c r="N264" t="s">
        <v>684</v>
      </c>
      <c r="O264" s="95">
        <v>-7.7999999999999996E-3</v>
      </c>
      <c r="P264" s="283">
        <v>45744</v>
      </c>
      <c r="R264" s="282">
        <v>23600.400000000001</v>
      </c>
      <c r="S264" s="282">
        <v>23649.200000000001</v>
      </c>
      <c r="T264" s="282">
        <v>23450.2</v>
      </c>
      <c r="U264" t="s">
        <v>950</v>
      </c>
      <c r="V264" s="95">
        <v>-3.0999999999999999E-3</v>
      </c>
    </row>
    <row r="265" spans="2:22" x14ac:dyDescent="0.3">
      <c r="B265" s="283">
        <v>45743</v>
      </c>
      <c r="C265" s="282">
        <v>11599.6</v>
      </c>
      <c r="D265" s="282">
        <v>23591.95</v>
      </c>
      <c r="E265" s="22">
        <f t="shared" si="7"/>
        <v>-7.7631987309908501E-3</v>
      </c>
      <c r="F265" s="22">
        <f t="shared" si="8"/>
        <v>-3.0773208658039231E-3</v>
      </c>
      <c r="K265" s="282">
        <v>11400.5</v>
      </c>
      <c r="L265" s="282">
        <v>11629.95</v>
      </c>
      <c r="M265" s="282">
        <v>11350</v>
      </c>
      <c r="N265" t="s">
        <v>685</v>
      </c>
      <c r="O265" s="95">
        <v>1.7299999999999999E-2</v>
      </c>
      <c r="P265" s="283">
        <v>45743</v>
      </c>
      <c r="R265" s="282">
        <v>23433.95</v>
      </c>
      <c r="S265" s="282">
        <v>23646.45</v>
      </c>
      <c r="T265" s="282">
        <v>23412.2</v>
      </c>
      <c r="U265" t="s">
        <v>951</v>
      </c>
      <c r="V265" s="95">
        <v>4.4999999999999997E-3</v>
      </c>
    </row>
    <row r="266" spans="2:22" x14ac:dyDescent="0.3">
      <c r="B266" s="283">
        <v>45742</v>
      </c>
      <c r="C266" s="282">
        <v>11402.1</v>
      </c>
      <c r="D266" s="282">
        <v>23486.85</v>
      </c>
      <c r="E266" s="22">
        <f t="shared" si="7"/>
        <v>1.7321370624709509E-2</v>
      </c>
      <c r="F266" s="22">
        <f t="shared" si="8"/>
        <v>4.4748444342259663E-3</v>
      </c>
      <c r="K266" s="282">
        <v>11381</v>
      </c>
      <c r="L266" s="282">
        <v>11487</v>
      </c>
      <c r="M266" s="282">
        <v>11300</v>
      </c>
      <c r="N266" t="s">
        <v>686</v>
      </c>
      <c r="O266" s="95">
        <v>-1.6999999999999999E-3</v>
      </c>
      <c r="P266" s="283">
        <v>45742</v>
      </c>
      <c r="R266" s="282">
        <v>23700.95</v>
      </c>
      <c r="S266" s="282">
        <v>23736.5</v>
      </c>
      <c r="T266" s="282">
        <v>23451.7</v>
      </c>
      <c r="U266" t="s">
        <v>952</v>
      </c>
      <c r="V266" s="95">
        <v>-7.7000000000000002E-3</v>
      </c>
    </row>
    <row r="267" spans="2:22" x14ac:dyDescent="0.3">
      <c r="B267" s="283">
        <v>45741</v>
      </c>
      <c r="C267" s="282">
        <v>11421.2</v>
      </c>
      <c r="D267" s="282">
        <v>23668.65</v>
      </c>
      <c r="E267" s="22">
        <f t="shared" si="7"/>
        <v>-1.6723286519805258E-3</v>
      </c>
      <c r="F267" s="22">
        <f t="shared" si="8"/>
        <v>-7.6810464475161044E-3</v>
      </c>
      <c r="K267" s="282">
        <v>11240</v>
      </c>
      <c r="L267" s="282">
        <v>11478.85</v>
      </c>
      <c r="M267" s="282">
        <v>11204.7</v>
      </c>
      <c r="N267" t="s">
        <v>687</v>
      </c>
      <c r="O267" s="95">
        <v>3.3500000000000002E-2</v>
      </c>
      <c r="P267" s="283">
        <v>45741</v>
      </c>
      <c r="R267" s="282">
        <v>23751.5</v>
      </c>
      <c r="S267" s="282">
        <v>23869.599999999999</v>
      </c>
      <c r="T267" s="282">
        <v>23601.4</v>
      </c>
      <c r="U267" t="s">
        <v>758</v>
      </c>
      <c r="V267" s="95">
        <v>4.0000000000000002E-4</v>
      </c>
    </row>
    <row r="268" spans="2:22" x14ac:dyDescent="0.3">
      <c r="B268" s="283">
        <v>45740</v>
      </c>
      <c r="C268" s="282">
        <v>11051.2</v>
      </c>
      <c r="D268" s="282">
        <v>23658.35</v>
      </c>
      <c r="E268" s="22">
        <f t="shared" si="7"/>
        <v>3.3480527001592542E-2</v>
      </c>
      <c r="F268" s="22">
        <f t="shared" si="8"/>
        <v>4.353642582852757E-4</v>
      </c>
      <c r="K268" s="282">
        <v>11018.95</v>
      </c>
      <c r="L268" s="282">
        <v>11077.95</v>
      </c>
      <c r="M268" s="282">
        <v>10853.85</v>
      </c>
      <c r="N268" t="s">
        <v>688</v>
      </c>
      <c r="O268" s="95">
        <v>6.7999999999999996E-3</v>
      </c>
      <c r="P268" s="283">
        <v>45740</v>
      </c>
      <c r="R268" s="282">
        <v>23515.4</v>
      </c>
      <c r="S268" s="282">
        <v>23708.75</v>
      </c>
      <c r="T268" s="282">
        <v>23433.5</v>
      </c>
      <c r="U268" t="s">
        <v>953</v>
      </c>
      <c r="V268" s="95">
        <v>1.32E-2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A4FD2-AF85-4B76-8595-469908BC3ECB}">
  <sheetPr>
    <tabColor rgb="FF141836"/>
  </sheetPr>
  <dimension ref="A1"/>
  <sheetViews>
    <sheetView workbookViewId="0">
      <selection activeCell="O26" sqref="O26"/>
    </sheetView>
  </sheetViews>
  <sheetFormatPr defaultRowHeight="14.4" x14ac:dyDescent="0.3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538BB-3516-4CA8-AC46-022E3872587E}">
  <sheetPr>
    <pageSetUpPr fitToPage="1"/>
  </sheetPr>
  <dimension ref="D2:P46"/>
  <sheetViews>
    <sheetView showGridLines="0" zoomScale="85" zoomScaleNormal="85" workbookViewId="0">
      <selection activeCell="T44" sqref="T44"/>
    </sheetView>
  </sheetViews>
  <sheetFormatPr defaultRowHeight="14.4" x14ac:dyDescent="0.3"/>
  <cols>
    <col min="1" max="3" width="2.33203125" customWidth="1"/>
    <col min="4" max="4" width="20.77734375" customWidth="1"/>
    <col min="5" max="16" width="10.77734375" customWidth="1"/>
    <col min="17" max="17" width="2.33203125" customWidth="1"/>
  </cols>
  <sheetData>
    <row r="2" spans="4:16" ht="21" x14ac:dyDescent="0.4">
      <c r="D2" s="89" t="s">
        <v>117</v>
      </c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</row>
    <row r="3" spans="4:16" ht="18" x14ac:dyDescent="0.35">
      <c r="D3" s="90" t="s">
        <v>58</v>
      </c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</row>
    <row r="4" spans="4:16" x14ac:dyDescent="0.3">
      <c r="D4" s="91" t="s">
        <v>369</v>
      </c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</row>
    <row r="6" spans="4:16" ht="15.6" x14ac:dyDescent="0.3">
      <c r="D6" s="105" t="s">
        <v>118</v>
      </c>
      <c r="E6" s="92"/>
      <c r="F6" s="92"/>
      <c r="G6" s="92"/>
      <c r="H6" s="92"/>
      <c r="I6" s="92"/>
      <c r="J6" s="92"/>
      <c r="K6" s="92"/>
      <c r="L6" s="92"/>
      <c r="M6" s="92"/>
      <c r="N6" s="92"/>
      <c r="O6" s="92"/>
      <c r="P6" s="92"/>
    </row>
    <row r="7" spans="4:16" x14ac:dyDescent="0.3">
      <c r="D7" s="70"/>
      <c r="E7" s="70"/>
      <c r="F7" s="373" t="s">
        <v>127</v>
      </c>
      <c r="G7" s="374"/>
      <c r="H7" s="374"/>
      <c r="I7" s="374"/>
      <c r="J7" s="374"/>
      <c r="K7" s="374"/>
      <c r="L7" s="374"/>
      <c r="M7" s="374"/>
      <c r="N7" s="374"/>
      <c r="O7" s="375"/>
      <c r="P7" s="75" t="str">
        <f>'Historical FS'!M11</f>
        <v>LTM</v>
      </c>
    </row>
    <row r="8" spans="4:16" x14ac:dyDescent="0.3">
      <c r="D8" s="83" t="s">
        <v>140</v>
      </c>
      <c r="E8" s="72"/>
      <c r="F8" s="236">
        <f>'Historical FS'!C11</f>
        <v>42460</v>
      </c>
      <c r="G8" s="73">
        <f>'Historical FS'!D11</f>
        <v>42825</v>
      </c>
      <c r="H8" s="73">
        <f>'Historical FS'!E11</f>
        <v>43190</v>
      </c>
      <c r="I8" s="73">
        <f>'Historical FS'!F11</f>
        <v>43555</v>
      </c>
      <c r="J8" s="73">
        <f>'Historical FS'!G11</f>
        <v>43921</v>
      </c>
      <c r="K8" s="73">
        <f>'Historical FS'!H11</f>
        <v>44286</v>
      </c>
      <c r="L8" s="73">
        <f>'Historical FS'!I11</f>
        <v>44651</v>
      </c>
      <c r="M8" s="73">
        <f>'Historical FS'!J11</f>
        <v>45016</v>
      </c>
      <c r="N8" s="73">
        <f>'Historical FS'!K11</f>
        <v>45382</v>
      </c>
      <c r="O8" s="76">
        <f>'Historical FS'!L11</f>
        <v>45747</v>
      </c>
      <c r="P8" s="77" t="s">
        <v>128</v>
      </c>
    </row>
    <row r="9" spans="4:16" x14ac:dyDescent="0.3">
      <c r="D9" s="4" t="s">
        <v>61</v>
      </c>
      <c r="E9" s="4"/>
      <c r="F9" s="87">
        <f>'Historical FS'!C14</f>
        <v>25153.24</v>
      </c>
      <c r="G9" s="85">
        <f>'Historical FS'!D14</f>
        <v>25374.94</v>
      </c>
      <c r="H9" s="85">
        <f>'Historical FS'!E14</f>
        <v>30978.62</v>
      </c>
      <c r="I9" s="85">
        <f>'Historical FS'!F14</f>
        <v>41462.26</v>
      </c>
      <c r="J9" s="85">
        <f>'Historical FS'!G14</f>
        <v>42429.89</v>
      </c>
      <c r="K9" s="85">
        <f>'Historical FS'!H14</f>
        <v>44725.8</v>
      </c>
      <c r="L9" s="85">
        <f>'Historical FS'!I14</f>
        <v>52598.83</v>
      </c>
      <c r="M9" s="85">
        <f>'Historical FS'!J14</f>
        <v>63239.98</v>
      </c>
      <c r="N9" s="85">
        <f>'Historical FS'!K14</f>
        <v>70908.14</v>
      </c>
      <c r="O9" s="86">
        <f>'Historical FS'!L14</f>
        <v>75955.13</v>
      </c>
      <c r="P9" s="87">
        <f>'Historical FS'!M14</f>
        <v>62712.060000000005</v>
      </c>
    </row>
    <row r="10" spans="4:16" x14ac:dyDescent="0.3">
      <c r="D10" s="42" t="s">
        <v>120</v>
      </c>
      <c r="E10" s="43"/>
      <c r="F10" s="237" t="s">
        <v>130</v>
      </c>
      <c r="G10" s="54">
        <f>G9/F9-1</f>
        <v>8.8139738657921907E-3</v>
      </c>
      <c r="H10" s="54">
        <f t="shared" ref="H10:P10" si="0">H9/G9-1</f>
        <v>0.22083520197486184</v>
      </c>
      <c r="I10" s="54">
        <f t="shared" si="0"/>
        <v>0.33841533289733383</v>
      </c>
      <c r="J10" s="54">
        <f t="shared" si="0"/>
        <v>2.3337608707291846E-2</v>
      </c>
      <c r="K10" s="54">
        <f t="shared" si="0"/>
        <v>5.4110675281034304E-2</v>
      </c>
      <c r="L10" s="54">
        <f t="shared" si="0"/>
        <v>0.17602882452633595</v>
      </c>
      <c r="M10" s="54">
        <f t="shared" si="0"/>
        <v>0.20230773194004503</v>
      </c>
      <c r="N10" s="54">
        <f t="shared" si="0"/>
        <v>0.12125494030833028</v>
      </c>
      <c r="O10" s="55">
        <f t="shared" si="0"/>
        <v>7.117645449450527E-2</v>
      </c>
      <c r="P10" s="45">
        <f t="shared" si="0"/>
        <v>-0.17435385865312847</v>
      </c>
    </row>
    <row r="11" spans="4:16" x14ac:dyDescent="0.3">
      <c r="D11" t="s">
        <v>119</v>
      </c>
      <c r="F11" s="44">
        <f>'Historical FS'!C15</f>
        <v>12397.13</v>
      </c>
      <c r="G11" s="39">
        <f>'Historical FS'!D15</f>
        <v>12303.62</v>
      </c>
      <c r="H11" s="39">
        <f>'Historical FS'!E15</f>
        <v>15744.189999999999</v>
      </c>
      <c r="I11" s="39">
        <f>'Historical FS'!F15</f>
        <v>21729.719999999998</v>
      </c>
      <c r="J11" s="39">
        <f>'Historical FS'!G15</f>
        <v>20600.87</v>
      </c>
      <c r="K11" s="39">
        <f>'Historical FS'!H15</f>
        <v>20847.700000000004</v>
      </c>
      <c r="L11" s="39">
        <f>'Historical FS'!I15</f>
        <v>26536.920000000002</v>
      </c>
      <c r="M11" s="39">
        <f>'Historical FS'!J15</f>
        <v>35301.93</v>
      </c>
      <c r="N11" s="39">
        <f>'Historical FS'!K15</f>
        <v>38136.400000000001</v>
      </c>
      <c r="O11" s="53">
        <f>'Historical FS'!L15</f>
        <v>41216.74</v>
      </c>
      <c r="P11" s="44">
        <f>'Historical FS'!M15</f>
        <v>51306.600000000006</v>
      </c>
    </row>
    <row r="12" spans="4:16" x14ac:dyDescent="0.3">
      <c r="D12" s="42" t="s">
        <v>121</v>
      </c>
      <c r="E12" s="43"/>
      <c r="F12" s="45">
        <f>ABS(F11/F$9)</f>
        <v>0.49286413996765421</v>
      </c>
      <c r="G12" s="54">
        <f t="shared" ref="G12:P12" si="1">ABS(G11/G$9)</f>
        <v>0.48487287063535922</v>
      </c>
      <c r="H12" s="54">
        <f t="shared" si="1"/>
        <v>0.50822760988062088</v>
      </c>
      <c r="I12" s="54">
        <f t="shared" si="1"/>
        <v>0.5240843118537194</v>
      </c>
      <c r="J12" s="54">
        <f t="shared" si="1"/>
        <v>0.48552730162628277</v>
      </c>
      <c r="K12" s="54">
        <f t="shared" si="1"/>
        <v>0.46612246175585464</v>
      </c>
      <c r="L12" s="54">
        <f t="shared" si="1"/>
        <v>0.50451540462021682</v>
      </c>
      <c r="M12" s="54">
        <f t="shared" si="1"/>
        <v>0.55822171354260386</v>
      </c>
      <c r="N12" s="54">
        <f t="shared" si="1"/>
        <v>0.53782823805560265</v>
      </c>
      <c r="O12" s="55">
        <f t="shared" si="1"/>
        <v>0.54264590160006299</v>
      </c>
      <c r="P12" s="45">
        <f t="shared" si="1"/>
        <v>0.81812971859001282</v>
      </c>
    </row>
    <row r="13" spans="4:16" x14ac:dyDescent="0.3">
      <c r="D13" s="67" t="s">
        <v>122</v>
      </c>
      <c r="F13" s="46">
        <f>F9-F11</f>
        <v>12756.110000000002</v>
      </c>
      <c r="G13" s="40">
        <f t="shared" ref="G13:P13" si="2">G9-G11</f>
        <v>13071.319999999998</v>
      </c>
      <c r="H13" s="40">
        <f t="shared" si="2"/>
        <v>15234.43</v>
      </c>
      <c r="I13" s="40">
        <f t="shared" si="2"/>
        <v>19732.540000000005</v>
      </c>
      <c r="J13" s="40">
        <f t="shared" si="2"/>
        <v>21829.02</v>
      </c>
      <c r="K13" s="40">
        <f t="shared" si="2"/>
        <v>23878.1</v>
      </c>
      <c r="L13" s="40">
        <f t="shared" si="2"/>
        <v>26061.91</v>
      </c>
      <c r="M13" s="40">
        <f t="shared" si="2"/>
        <v>27938.050000000003</v>
      </c>
      <c r="N13" s="40">
        <f t="shared" si="2"/>
        <v>32771.74</v>
      </c>
      <c r="O13" s="56">
        <f t="shared" si="2"/>
        <v>34738.390000000007</v>
      </c>
      <c r="P13" s="46">
        <f t="shared" si="2"/>
        <v>11405.46</v>
      </c>
    </row>
    <row r="14" spans="4:16" x14ac:dyDescent="0.3">
      <c r="D14" s="235" t="s">
        <v>121</v>
      </c>
      <c r="E14" s="43"/>
      <c r="F14" s="45">
        <f>ABS(F13/F$9)</f>
        <v>0.50713586003234579</v>
      </c>
      <c r="G14" s="54">
        <f t="shared" ref="G14" si="3">ABS(G13/G$9)</f>
        <v>0.51512712936464078</v>
      </c>
      <c r="H14" s="54">
        <f t="shared" ref="H14" si="4">ABS(H13/H$9)</f>
        <v>0.49177239011937912</v>
      </c>
      <c r="I14" s="54">
        <f t="shared" ref="I14" si="5">ABS(I13/I$9)</f>
        <v>0.4759156881462806</v>
      </c>
      <c r="J14" s="54">
        <f t="shared" ref="J14" si="6">ABS(J13/J$9)</f>
        <v>0.51447269837371723</v>
      </c>
      <c r="K14" s="54">
        <f t="shared" ref="K14" si="7">ABS(K13/K$9)</f>
        <v>0.53387753824414541</v>
      </c>
      <c r="L14" s="54">
        <f t="shared" ref="L14" si="8">ABS(L13/L$9)</f>
        <v>0.49548459537978312</v>
      </c>
      <c r="M14" s="54">
        <f t="shared" ref="M14" si="9">ABS(M13/M$9)</f>
        <v>0.44177828645739614</v>
      </c>
      <c r="N14" s="54">
        <f t="shared" ref="N14" si="10">ABS(N13/N$9)</f>
        <v>0.46217176194439735</v>
      </c>
      <c r="O14" s="55">
        <f t="shared" ref="O14" si="11">ABS(O13/O$9)</f>
        <v>0.45735409839993696</v>
      </c>
      <c r="P14" s="45">
        <f t="shared" ref="P14" si="12">ABS(P13/P$9)</f>
        <v>0.18187028140998715</v>
      </c>
    </row>
    <row r="15" spans="4:16" x14ac:dyDescent="0.3">
      <c r="D15" s="37"/>
      <c r="F15" s="47"/>
      <c r="G15" s="57"/>
      <c r="H15" s="57"/>
      <c r="I15" s="57"/>
      <c r="J15" s="57"/>
      <c r="K15" s="57"/>
      <c r="L15" s="57"/>
      <c r="M15" s="57"/>
      <c r="N15" s="57"/>
      <c r="O15" s="58"/>
      <c r="P15" s="47"/>
    </row>
    <row r="16" spans="4:16" x14ac:dyDescent="0.3">
      <c r="D16" t="s">
        <v>123</v>
      </c>
      <c r="F16" s="44">
        <f>-'Historical FS'!C17</f>
        <v>-7855.14</v>
      </c>
      <c r="G16" s="39">
        <f>-'Historical FS'!D17</f>
        <v>-7858.88</v>
      </c>
      <c r="H16" s="39">
        <f>-'Historical FS'!E17</f>
        <v>-9089.4000000000015</v>
      </c>
      <c r="I16" s="39">
        <f>-'Historical FS'!F17</f>
        <v>-12385.599999999999</v>
      </c>
      <c r="J16" s="39">
        <f>-'Historical FS'!G17</f>
        <v>-12583.05</v>
      </c>
      <c r="K16" s="39">
        <f>-'Historical FS'!H17</f>
        <v>-12310.19</v>
      </c>
      <c r="L16" s="39">
        <f>-'Historical FS'!I17</f>
        <v>-14547.56</v>
      </c>
      <c r="M16" s="39">
        <f>-'Historical FS'!J17</f>
        <v>-17318.2</v>
      </c>
      <c r="N16" s="39">
        <f>-'Historical FS'!K17</f>
        <v>-19793.18</v>
      </c>
      <c r="O16" s="53">
        <f>-'Historical FS'!L17</f>
        <v>-21941.510000000002</v>
      </c>
      <c r="P16" s="44">
        <f>-'Historical FS'!M17</f>
        <v>0</v>
      </c>
    </row>
    <row r="17" spans="4:16" x14ac:dyDescent="0.3">
      <c r="D17" s="42" t="s">
        <v>121</v>
      </c>
      <c r="E17" s="43"/>
      <c r="F17" s="45">
        <f>ABS(F16/F$9)</f>
        <v>0.31229137876472374</v>
      </c>
      <c r="G17" s="54">
        <f t="shared" ref="G17" si="13">ABS(G16/G$9)</f>
        <v>0.30971028897014141</v>
      </c>
      <c r="H17" s="54">
        <f t="shared" ref="H17" si="14">ABS(H16/H$9)</f>
        <v>0.29340880904314015</v>
      </c>
      <c r="I17" s="54">
        <f t="shared" ref="I17" si="15">ABS(I16/I$9)</f>
        <v>0.29871984788094036</v>
      </c>
      <c r="J17" s="54">
        <f t="shared" ref="J17" si="16">ABS(J16/J$9)</f>
        <v>0.29656098566364419</v>
      </c>
      <c r="K17" s="54">
        <f t="shared" ref="K17" si="17">ABS(K16/K$9)</f>
        <v>0.27523688788126766</v>
      </c>
      <c r="L17" s="54">
        <f t="shared" ref="L17" si="18">ABS(L16/L$9)</f>
        <v>0.27657573371879185</v>
      </c>
      <c r="M17" s="54">
        <f t="shared" ref="M17" si="19">ABS(M16/M$9)</f>
        <v>0.27384891646075787</v>
      </c>
      <c r="N17" s="54">
        <f t="shared" ref="N17" si="20">ABS(N16/N$9)</f>
        <v>0.27913833306021002</v>
      </c>
      <c r="O17" s="55">
        <f t="shared" ref="O17" si="21">ABS(O16/O$9)</f>
        <v>0.28887462900794192</v>
      </c>
      <c r="P17" s="45">
        <f t="shared" ref="P17" si="22">ABS(P16/P$9)</f>
        <v>0</v>
      </c>
    </row>
    <row r="18" spans="4:16" x14ac:dyDescent="0.3">
      <c r="D18" s="67" t="s">
        <v>65</v>
      </c>
      <c r="F18" s="46">
        <f>F13+F16</f>
        <v>4900.9700000000021</v>
      </c>
      <c r="G18" s="40">
        <f t="shared" ref="G18:P18" si="23">G13+G16</f>
        <v>5212.4399999999978</v>
      </c>
      <c r="H18" s="40">
        <f t="shared" si="23"/>
        <v>6145.0299999999988</v>
      </c>
      <c r="I18" s="40">
        <f t="shared" si="23"/>
        <v>7346.940000000006</v>
      </c>
      <c r="J18" s="40">
        <f t="shared" si="23"/>
        <v>9245.9700000000012</v>
      </c>
      <c r="K18" s="40">
        <f t="shared" si="23"/>
        <v>11567.909999999998</v>
      </c>
      <c r="L18" s="40">
        <f t="shared" si="23"/>
        <v>11514.35</v>
      </c>
      <c r="M18" s="40">
        <f t="shared" si="23"/>
        <v>10619.850000000002</v>
      </c>
      <c r="N18" s="40">
        <f t="shared" si="23"/>
        <v>12978.559999999998</v>
      </c>
      <c r="O18" s="56">
        <f t="shared" si="23"/>
        <v>12796.880000000005</v>
      </c>
      <c r="P18" s="46">
        <f t="shared" si="23"/>
        <v>11405.46</v>
      </c>
    </row>
    <row r="19" spans="4:16" x14ac:dyDescent="0.3">
      <c r="D19" s="235" t="s">
        <v>121</v>
      </c>
      <c r="E19" s="43"/>
      <c r="F19" s="45">
        <f>ABS(F18/F$9)</f>
        <v>0.19484448126762205</v>
      </c>
      <c r="G19" s="54">
        <f t="shared" ref="G19" si="24">ABS(G18/G$9)</f>
        <v>0.20541684039449937</v>
      </c>
      <c r="H19" s="54">
        <f t="shared" ref="H19" si="25">ABS(H18/H$9)</f>
        <v>0.198363581076239</v>
      </c>
      <c r="I19" s="54">
        <f t="shared" ref="I19" si="26">ABS(I18/I$9)</f>
        <v>0.17719584026534024</v>
      </c>
      <c r="J19" s="54">
        <f t="shared" ref="J19" si="27">ABS(J18/J$9)</f>
        <v>0.21791171271007304</v>
      </c>
      <c r="K19" s="54">
        <f t="shared" ref="K19" si="28">ABS(K18/K$9)</f>
        <v>0.25864065036287776</v>
      </c>
      <c r="L19" s="54">
        <f t="shared" ref="L19" si="29">ABS(L18/L$9)</f>
        <v>0.21890886166099133</v>
      </c>
      <c r="M19" s="54">
        <f t="shared" ref="M19" si="30">ABS(M18/M$9)</f>
        <v>0.16792936999663824</v>
      </c>
      <c r="N19" s="54">
        <f t="shared" ref="N19" si="31">ABS(N18/N$9)</f>
        <v>0.1830334288841873</v>
      </c>
      <c r="O19" s="55">
        <f t="shared" ref="O19" si="32">ABS(O18/O$9)</f>
        <v>0.16847946939199504</v>
      </c>
      <c r="P19" s="45">
        <f t="shared" ref="P19" si="33">ABS(P18/P$9)</f>
        <v>0.18187028140998715</v>
      </c>
    </row>
    <row r="20" spans="4:16" x14ac:dyDescent="0.3">
      <c r="D20" s="37"/>
      <c r="F20" s="47"/>
      <c r="G20" s="57"/>
      <c r="H20" s="57"/>
      <c r="I20" s="57"/>
      <c r="J20" s="57"/>
      <c r="K20" s="57"/>
      <c r="L20" s="57"/>
      <c r="M20" s="57"/>
      <c r="N20" s="57"/>
      <c r="O20" s="58"/>
      <c r="P20" s="47"/>
    </row>
    <row r="21" spans="4:16" x14ac:dyDescent="0.3">
      <c r="D21" t="s">
        <v>39</v>
      </c>
      <c r="F21" s="44">
        <f>-'Historical FS'!C19</f>
        <v>-1377.17</v>
      </c>
      <c r="G21" s="39">
        <f>-'Historical FS'!D19</f>
        <v>-1348.41</v>
      </c>
      <c r="H21" s="39">
        <f>-'Historical FS'!E19</f>
        <v>-1847.93</v>
      </c>
      <c r="I21" s="39">
        <f>-'Historical FS'!F19</f>
        <v>-2450.73</v>
      </c>
      <c r="J21" s="39">
        <f>-'Historical FS'!G19</f>
        <v>-2722.66</v>
      </c>
      <c r="K21" s="39">
        <f>-'Historical FS'!H19</f>
        <v>-2700.23</v>
      </c>
      <c r="L21" s="39">
        <f>-'Historical FS'!I19</f>
        <v>-2714.75</v>
      </c>
      <c r="M21" s="39">
        <f>-'Historical FS'!J19</f>
        <v>-2887.99</v>
      </c>
      <c r="N21" s="39">
        <f>-'Historical FS'!K19</f>
        <v>-3145.3</v>
      </c>
      <c r="O21" s="53">
        <f>-'Historical FS'!L19</f>
        <v>-4014.95</v>
      </c>
      <c r="P21" s="44">
        <f>-'Historical FS'!M19</f>
        <v>-3436.36</v>
      </c>
    </row>
    <row r="22" spans="4:16" x14ac:dyDescent="0.3">
      <c r="D22" s="42" t="s">
        <v>121</v>
      </c>
      <c r="E22" s="43"/>
      <c r="F22" s="45">
        <f>ABS(F21/F$9)</f>
        <v>5.4751197062485789E-2</v>
      </c>
      <c r="G22" s="54">
        <f t="shared" ref="G22" si="34">ABS(G21/G$9)</f>
        <v>5.3139435994725509E-2</v>
      </c>
      <c r="H22" s="54">
        <f t="shared" ref="H22" si="35">ABS(H21/H$9)</f>
        <v>5.9651785650877934E-2</v>
      </c>
      <c r="I22" s="54">
        <f t="shared" ref="I22" si="36">ABS(I21/I$9)</f>
        <v>5.9107487146142057E-2</v>
      </c>
      <c r="J22" s="54">
        <f t="shared" ref="J22" si="37">ABS(J21/J$9)</f>
        <v>6.4168443519415197E-2</v>
      </c>
      <c r="K22" s="54">
        <f t="shared" ref="K22" si="38">ABS(K21/K$9)</f>
        <v>6.0372983825890202E-2</v>
      </c>
      <c r="L22" s="54">
        <f t="shared" ref="L22" si="39">ABS(L21/L$9)</f>
        <v>5.161236476172569E-2</v>
      </c>
      <c r="M22" s="54">
        <f t="shared" ref="M22" si="40">ABS(M21/M$9)</f>
        <v>4.566715549245904E-2</v>
      </c>
      <c r="N22" s="54">
        <f t="shared" ref="N22" si="41">ABS(N21/N$9)</f>
        <v>4.4357389715764653E-2</v>
      </c>
      <c r="O22" s="55">
        <f t="shared" ref="O22" si="42">ABS(O21/O$9)</f>
        <v>5.285949744276653E-2</v>
      </c>
      <c r="P22" s="45">
        <f t="shared" ref="P22" si="43">ABS(P21/P$9)</f>
        <v>5.4795839907029041E-2</v>
      </c>
    </row>
    <row r="23" spans="4:16" x14ac:dyDescent="0.3">
      <c r="D23" s="67" t="s">
        <v>124</v>
      </c>
      <c r="F23" s="46">
        <f>F18+F21</f>
        <v>3523.800000000002</v>
      </c>
      <c r="G23" s="40">
        <f t="shared" ref="G23:P23" si="44">G18+G21</f>
        <v>3864.0299999999979</v>
      </c>
      <c r="H23" s="40">
        <f t="shared" si="44"/>
        <v>4297.0999999999985</v>
      </c>
      <c r="I23" s="40">
        <f t="shared" si="44"/>
        <v>4896.2100000000064</v>
      </c>
      <c r="J23" s="40">
        <f t="shared" si="44"/>
        <v>6523.3100000000013</v>
      </c>
      <c r="K23" s="40">
        <f t="shared" si="44"/>
        <v>8867.6799999999985</v>
      </c>
      <c r="L23" s="40">
        <f t="shared" si="44"/>
        <v>8799.6</v>
      </c>
      <c r="M23" s="40">
        <f t="shared" si="44"/>
        <v>7731.8600000000024</v>
      </c>
      <c r="N23" s="40">
        <f t="shared" si="44"/>
        <v>9833.2599999999984</v>
      </c>
      <c r="O23" s="56">
        <f t="shared" si="44"/>
        <v>8781.9300000000039</v>
      </c>
      <c r="P23" s="46">
        <f t="shared" si="44"/>
        <v>7969.0999999999985</v>
      </c>
    </row>
    <row r="24" spans="4:16" x14ac:dyDescent="0.3">
      <c r="D24" s="235" t="s">
        <v>121</v>
      </c>
      <c r="E24" s="43"/>
      <c r="F24" s="45">
        <f>ABS(F23/F$9)</f>
        <v>0.14009328420513628</v>
      </c>
      <c r="G24" s="54">
        <f t="shared" ref="G24" si="45">ABS(G23/G$9)</f>
        <v>0.15227740439977389</v>
      </c>
      <c r="H24" s="54">
        <f t="shared" ref="H24" si="46">ABS(H23/H$9)</f>
        <v>0.13871179542536105</v>
      </c>
      <c r="I24" s="54">
        <f t="shared" ref="I24" si="47">ABS(I23/I$9)</f>
        <v>0.11808835311919819</v>
      </c>
      <c r="J24" s="54">
        <f t="shared" ref="J24" si="48">ABS(J23/J$9)</f>
        <v>0.15374326919065784</v>
      </c>
      <c r="K24" s="54">
        <f t="shared" ref="K24" si="49">ABS(K23/K$9)</f>
        <v>0.19826766653698755</v>
      </c>
      <c r="L24" s="54">
        <f t="shared" ref="L24" si="50">ABS(L23/L$9)</f>
        <v>0.16729649689926562</v>
      </c>
      <c r="M24" s="54">
        <f t="shared" ref="M24" si="51">ABS(M23/M$9)</f>
        <v>0.12226221450417919</v>
      </c>
      <c r="N24" s="54">
        <f t="shared" ref="N24" si="52">ABS(N23/N$9)</f>
        <v>0.13867603916842267</v>
      </c>
      <c r="O24" s="55">
        <f t="shared" ref="O24" si="53">ABS(O23/O$9)</f>
        <v>0.11561997194922849</v>
      </c>
      <c r="P24" s="45">
        <f t="shared" ref="P24" si="54">ABS(P23/P$9)</f>
        <v>0.1270744415029581</v>
      </c>
    </row>
    <row r="25" spans="4:16" x14ac:dyDescent="0.3">
      <c r="D25" s="37"/>
      <c r="F25" s="47"/>
      <c r="G25" s="57"/>
      <c r="H25" s="57"/>
      <c r="I25" s="57"/>
      <c r="J25" s="57"/>
      <c r="K25" s="57"/>
      <c r="L25" s="57"/>
      <c r="M25" s="57"/>
      <c r="N25" s="57"/>
      <c r="O25" s="58"/>
      <c r="P25" s="47"/>
    </row>
    <row r="26" spans="4:16" x14ac:dyDescent="0.3">
      <c r="D26" t="s">
        <v>125</v>
      </c>
      <c r="F26" s="44">
        <f>-'Historical FS'!C20</f>
        <v>-566.29999999999995</v>
      </c>
      <c r="G26" s="39">
        <f>-'Historical FS'!D20</f>
        <v>-640.1</v>
      </c>
      <c r="H26" s="39">
        <f>-'Historical FS'!E20</f>
        <v>-1237.5999999999999</v>
      </c>
      <c r="I26" s="39">
        <f>-'Historical FS'!F20</f>
        <v>-1777.86</v>
      </c>
      <c r="J26" s="39">
        <f>-'Historical FS'!G20</f>
        <v>-1991.65</v>
      </c>
      <c r="K26" s="39">
        <f>-'Historical FS'!H20</f>
        <v>-1485.65</v>
      </c>
      <c r="L26" s="39">
        <f>-'Historical FS'!I20</f>
        <v>-944.71</v>
      </c>
      <c r="M26" s="39">
        <f>-'Historical FS'!J20</f>
        <v>-822.72</v>
      </c>
      <c r="N26" s="39">
        <f>-'Historical FS'!K20</f>
        <v>-968</v>
      </c>
      <c r="O26" s="53">
        <f>-'Historical FS'!L20</f>
        <v>-1650.54</v>
      </c>
      <c r="P26" s="44">
        <f>-'Historical FS'!M20</f>
        <v>-1384.79</v>
      </c>
    </row>
    <row r="27" spans="4:16" x14ac:dyDescent="0.3">
      <c r="D27" s="42" t="s">
        <v>121</v>
      </c>
      <c r="E27" s="43"/>
      <c r="F27" s="45">
        <f>ABS(F26/F$9)</f>
        <v>2.2513998196653787E-2</v>
      </c>
      <c r="G27" s="54">
        <f t="shared" ref="G27" si="55">ABS(G26/G$9)</f>
        <v>2.5225675410464027E-2</v>
      </c>
      <c r="H27" s="54">
        <f t="shared" ref="H27" si="56">ABS(H26/H$9)</f>
        <v>3.9950133350033022E-2</v>
      </c>
      <c r="I27" s="54">
        <f t="shared" ref="I27" si="57">ABS(I26/I$9)</f>
        <v>4.2878994053869704E-2</v>
      </c>
      <c r="J27" s="54">
        <f t="shared" ref="J27" si="58">ABS(J26/J$9)</f>
        <v>4.6939787022780406E-2</v>
      </c>
      <c r="K27" s="54">
        <f t="shared" ref="K27" si="59">ABS(K26/K$9)</f>
        <v>3.3216845757929429E-2</v>
      </c>
      <c r="L27" s="54">
        <f t="shared" ref="L27" si="60">ABS(L26/L$9)</f>
        <v>1.7960665664996732E-2</v>
      </c>
      <c r="M27" s="54">
        <f t="shared" ref="M27" si="61">ABS(M26/M$9)</f>
        <v>1.3009491780357931E-2</v>
      </c>
      <c r="N27" s="54">
        <f t="shared" ref="N27" si="62">ABS(N26/N$9)</f>
        <v>1.3651465120929698E-2</v>
      </c>
      <c r="O27" s="55">
        <f t="shared" ref="O27" si="63">ABS(O26/O$9)</f>
        <v>2.1730461128826976E-2</v>
      </c>
      <c r="P27" s="45">
        <f t="shared" ref="P27" si="64">ABS(P26/P$9)</f>
        <v>2.2081717615399652E-2</v>
      </c>
    </row>
    <row r="28" spans="4:16" x14ac:dyDescent="0.3">
      <c r="D28" s="67" t="s">
        <v>126</v>
      </c>
      <c r="F28" s="46">
        <f>F23+F26</f>
        <v>2957.5000000000018</v>
      </c>
      <c r="G28" s="40">
        <f t="shared" ref="G28:P28" si="65">G23+G26</f>
        <v>3223.929999999998</v>
      </c>
      <c r="H28" s="40">
        <f t="shared" si="65"/>
        <v>3059.4999999999986</v>
      </c>
      <c r="I28" s="40">
        <f t="shared" si="65"/>
        <v>3118.3500000000067</v>
      </c>
      <c r="J28" s="40">
        <f t="shared" si="65"/>
        <v>4531.6600000000017</v>
      </c>
      <c r="K28" s="40">
        <f t="shared" si="65"/>
        <v>7382.0299999999988</v>
      </c>
      <c r="L28" s="40">
        <f t="shared" si="65"/>
        <v>7854.89</v>
      </c>
      <c r="M28" s="40">
        <f t="shared" si="65"/>
        <v>6909.1400000000021</v>
      </c>
      <c r="N28" s="40">
        <f t="shared" si="65"/>
        <v>8865.2599999999984</v>
      </c>
      <c r="O28" s="56">
        <f t="shared" si="65"/>
        <v>7131.390000000004</v>
      </c>
      <c r="P28" s="46">
        <f t="shared" si="65"/>
        <v>6584.3099999999986</v>
      </c>
    </row>
    <row r="29" spans="4:16" x14ac:dyDescent="0.3">
      <c r="D29" s="235" t="s">
        <v>121</v>
      </c>
      <c r="E29" s="43"/>
      <c r="F29" s="45">
        <f>ABS(F28/F$9)</f>
        <v>0.11757928600848247</v>
      </c>
      <c r="G29" s="54">
        <f t="shared" ref="G29" si="66">ABS(G28/G$9)</f>
        <v>0.12705172898930986</v>
      </c>
      <c r="H29" s="54">
        <f t="shared" ref="H29" si="67">ABS(H28/H$9)</f>
        <v>9.8761662075328036E-2</v>
      </c>
      <c r="I29" s="54">
        <f t="shared" ref="I29" si="68">ABS(I28/I$9)</f>
        <v>7.5209359065328482E-2</v>
      </c>
      <c r="J29" s="54">
        <f t="shared" ref="J29" si="69">ABS(J28/J$9)</f>
        <v>0.10680348216787745</v>
      </c>
      <c r="K29" s="54">
        <f t="shared" ref="K29" si="70">ABS(K28/K$9)</f>
        <v>0.16505082077905814</v>
      </c>
      <c r="L29" s="54">
        <f t="shared" ref="L29" si="71">ABS(L28/L$9)</f>
        <v>0.14933583123426891</v>
      </c>
      <c r="M29" s="54">
        <f t="shared" ref="M29" si="72">ABS(M28/M$9)</f>
        <v>0.10925272272382126</v>
      </c>
      <c r="N29" s="54">
        <f t="shared" ref="N29" si="73">ABS(N28/N$9)</f>
        <v>0.12502457404749298</v>
      </c>
      <c r="O29" s="55">
        <f t="shared" ref="O29" si="74">ABS(O28/O$9)</f>
        <v>9.3889510820401506E-2</v>
      </c>
      <c r="P29" s="45">
        <f t="shared" ref="P29" si="75">ABS(P28/P$9)</f>
        <v>0.10499272388755844</v>
      </c>
    </row>
    <row r="30" spans="4:16" x14ac:dyDescent="0.3">
      <c r="D30" s="37"/>
      <c r="F30" s="47"/>
      <c r="G30" s="57"/>
      <c r="H30" s="57"/>
      <c r="I30" s="57"/>
      <c r="J30" s="57"/>
      <c r="K30" s="57"/>
      <c r="L30" s="57"/>
      <c r="M30" s="57"/>
      <c r="N30" s="57"/>
      <c r="O30" s="58"/>
      <c r="P30" s="47"/>
    </row>
    <row r="31" spans="4:16" x14ac:dyDescent="0.3">
      <c r="D31" t="s">
        <v>67</v>
      </c>
      <c r="F31" s="44">
        <f>-'Historical FS'!C22</f>
        <v>-941.69</v>
      </c>
      <c r="G31" s="39">
        <f>-'Historical FS'!D22</f>
        <v>-1158.54</v>
      </c>
      <c r="H31" s="39">
        <f>-'Historical FS'!E22</f>
        <v>-1077.01</v>
      </c>
      <c r="I31" s="39">
        <f>-'Historical FS'!F22</f>
        <v>-1068.07</v>
      </c>
      <c r="J31" s="39">
        <f>-'Historical FS'!G22</f>
        <v>568.16</v>
      </c>
      <c r="K31" s="39">
        <f>-'Historical FS'!H22</f>
        <v>-2538.6999999999998</v>
      </c>
      <c r="L31" s="39">
        <f>-'Historical FS'!I22</f>
        <v>-1190.06</v>
      </c>
      <c r="M31" s="39">
        <f>-'Historical FS'!J22</f>
        <v>-2342.85</v>
      </c>
      <c r="N31" s="39">
        <f>-'Historical FS'!K22</f>
        <v>-2418.2600000000002</v>
      </c>
      <c r="O31" s="53">
        <f>-'Historical FS'!L22</f>
        <v>-1488.49</v>
      </c>
      <c r="P31" s="44">
        <f>-'Historical FS'!M22</f>
        <v>-1758.3200000000002</v>
      </c>
    </row>
    <row r="32" spans="4:16" x14ac:dyDescent="0.3">
      <c r="D32" s="42" t="s">
        <v>129</v>
      </c>
      <c r="E32" s="43"/>
      <c r="F32" s="45">
        <f>ABS(F31/F$28)</f>
        <v>0.31840743871513083</v>
      </c>
      <c r="G32" s="54">
        <f t="shared" ref="G32:O32" si="76">ABS(G31/G$28)</f>
        <v>0.35935643763977526</v>
      </c>
      <c r="H32" s="54">
        <f t="shared" si="76"/>
        <v>0.35202157215231261</v>
      </c>
      <c r="I32" s="54">
        <f t="shared" si="76"/>
        <v>0.34251126396972681</v>
      </c>
      <c r="J32" s="54">
        <f t="shared" si="76"/>
        <v>0.12537569014445032</v>
      </c>
      <c r="K32" s="54">
        <f t="shared" si="76"/>
        <v>0.34390269343256535</v>
      </c>
      <c r="L32" s="54">
        <f t="shared" si="76"/>
        <v>0.15150562261215625</v>
      </c>
      <c r="M32" s="54">
        <f t="shared" si="76"/>
        <v>0.33909430117207051</v>
      </c>
      <c r="N32" s="54">
        <f t="shared" si="76"/>
        <v>0.27277936574900236</v>
      </c>
      <c r="O32" s="55">
        <f t="shared" si="76"/>
        <v>0.20872368500390515</v>
      </c>
      <c r="P32" s="45">
        <f t="shared" ref="P32" si="77">ABS(P31/P$9)</f>
        <v>2.8037988227463746E-2</v>
      </c>
    </row>
    <row r="33" spans="4:16" x14ac:dyDescent="0.3">
      <c r="D33" s="67" t="s">
        <v>69</v>
      </c>
      <c r="F33" s="48">
        <f>F28+F31</f>
        <v>2015.8100000000018</v>
      </c>
      <c r="G33" s="41">
        <f t="shared" ref="G33:P33" si="78">G28+G31</f>
        <v>2065.3899999999981</v>
      </c>
      <c r="H33" s="41">
        <f t="shared" si="78"/>
        <v>1982.4899999999986</v>
      </c>
      <c r="I33" s="41">
        <f t="shared" si="78"/>
        <v>2050.280000000007</v>
      </c>
      <c r="J33" s="41">
        <f t="shared" si="78"/>
        <v>5099.8200000000015</v>
      </c>
      <c r="K33" s="41">
        <f t="shared" si="78"/>
        <v>4843.329999999999</v>
      </c>
      <c r="L33" s="41">
        <f t="shared" si="78"/>
        <v>6664.83</v>
      </c>
      <c r="M33" s="41">
        <f t="shared" si="78"/>
        <v>4566.2900000000027</v>
      </c>
      <c r="N33" s="41">
        <f t="shared" si="78"/>
        <v>6446.9999999999982</v>
      </c>
      <c r="O33" s="59">
        <f t="shared" si="78"/>
        <v>5642.9000000000042</v>
      </c>
      <c r="P33" s="48">
        <f t="shared" si="78"/>
        <v>4825.989999999998</v>
      </c>
    </row>
    <row r="34" spans="4:16" x14ac:dyDescent="0.3">
      <c r="D34" s="235" t="s">
        <v>121</v>
      </c>
      <c r="E34" s="43"/>
      <c r="F34" s="45">
        <f>ABS(F33/F$9)</f>
        <v>8.0141166704567751E-2</v>
      </c>
      <c r="G34" s="54">
        <f t="shared" ref="G34" si="79">ABS(G33/G$9)</f>
        <v>8.1394872263737303E-2</v>
      </c>
      <c r="H34" s="54">
        <f t="shared" ref="H34" si="80">ABS(H33/H$9)</f>
        <v>6.3995426523195634E-2</v>
      </c>
      <c r="I34" s="54">
        <f t="shared" ref="I34" si="81">ABS(I33/I$9)</f>
        <v>4.9449306429509801E-2</v>
      </c>
      <c r="J34" s="54">
        <f t="shared" ref="J34" si="82">ABS(J33/J$9)</f>
        <v>0.12019404245450557</v>
      </c>
      <c r="K34" s="54">
        <f t="shared" ref="K34" si="83">ABS(K33/K$9)</f>
        <v>0.10828939895988442</v>
      </c>
      <c r="L34" s="54">
        <f t="shared" ref="L34" si="84">ABS(L33/L$9)</f>
        <v>0.1267106131448171</v>
      </c>
      <c r="M34" s="54">
        <f t="shared" ref="M34" si="85">ABS(M33/M$9)</f>
        <v>7.2205747060641104E-2</v>
      </c>
      <c r="N34" s="54">
        <f t="shared" ref="N34" si="86">ABS(N33/N$9)</f>
        <v>9.0920450035778658E-2</v>
      </c>
      <c r="O34" s="55">
        <f t="shared" ref="O34" si="87">ABS(O33/O$9)</f>
        <v>7.4292546138753288E-2</v>
      </c>
      <c r="P34" s="45">
        <f t="shared" ref="P34" si="88">ABS(P33/P$9)</f>
        <v>7.6954735660094684E-2</v>
      </c>
    </row>
    <row r="35" spans="4:16" x14ac:dyDescent="0.3">
      <c r="F35" s="49"/>
      <c r="O35" s="60"/>
      <c r="P35" s="49"/>
    </row>
    <row r="36" spans="4:16" x14ac:dyDescent="0.3">
      <c r="D36" t="s">
        <v>131</v>
      </c>
      <c r="F36" s="50">
        <f>'Historical FS'!C26</f>
        <v>27.44</v>
      </c>
      <c r="G36" s="61">
        <f>'Historical FS'!D26</f>
        <v>27.45</v>
      </c>
      <c r="H36" s="61">
        <f>'Historical FS'!E26</f>
        <v>27.46</v>
      </c>
      <c r="I36" s="61">
        <f>'Historical FS'!F26</f>
        <v>27.46</v>
      </c>
      <c r="J36" s="61">
        <f>'Historical FS'!G26</f>
        <v>28.86</v>
      </c>
      <c r="K36" s="61">
        <f>'Historical FS'!H26</f>
        <v>28.87</v>
      </c>
      <c r="L36" s="61">
        <f>'Historical FS'!I26</f>
        <v>28.87</v>
      </c>
      <c r="M36" s="61">
        <f>'Historical FS'!J26</f>
        <v>28.87</v>
      </c>
      <c r="N36" s="61">
        <f>'Historical FS'!K26</f>
        <v>28.87</v>
      </c>
      <c r="O36" s="62">
        <f>'Historical FS'!L26</f>
        <v>29.47</v>
      </c>
      <c r="P36" s="50">
        <f>O36</f>
        <v>29.47</v>
      </c>
    </row>
    <row r="37" spans="4:16" x14ac:dyDescent="0.3">
      <c r="F37" s="51"/>
      <c r="G37" s="63"/>
      <c r="H37" s="63"/>
      <c r="I37" s="63"/>
      <c r="J37" s="63"/>
      <c r="K37" s="63"/>
      <c r="L37" s="63"/>
      <c r="M37" s="63"/>
      <c r="N37" s="63"/>
      <c r="O37" s="64"/>
      <c r="P37" s="51"/>
    </row>
    <row r="38" spans="4:16" x14ac:dyDescent="0.3">
      <c r="D38" t="s">
        <v>132</v>
      </c>
      <c r="F38" s="52">
        <f>F33/F36</f>
        <v>73.462463556851375</v>
      </c>
      <c r="G38" s="238">
        <f t="shared" ref="G38:P38" si="89">G33/G36</f>
        <v>75.241894353369688</v>
      </c>
      <c r="H38" s="238">
        <f t="shared" si="89"/>
        <v>72.195557174071325</v>
      </c>
      <c r="I38" s="238">
        <f t="shared" si="89"/>
        <v>74.66423889293543</v>
      </c>
      <c r="J38" s="238">
        <f t="shared" si="89"/>
        <v>176.70893970893977</v>
      </c>
      <c r="K38" s="238">
        <f t="shared" si="89"/>
        <v>167.76342223761685</v>
      </c>
      <c r="L38" s="238">
        <f t="shared" si="89"/>
        <v>230.85659854520262</v>
      </c>
      <c r="M38" s="238">
        <f t="shared" si="89"/>
        <v>158.1673016972637</v>
      </c>
      <c r="N38" s="238">
        <f t="shared" si="89"/>
        <v>223.3113959127121</v>
      </c>
      <c r="O38" s="65">
        <f t="shared" si="89"/>
        <v>191.47947064811689</v>
      </c>
      <c r="P38" s="52">
        <f t="shared" si="89"/>
        <v>163.75941635561583</v>
      </c>
    </row>
    <row r="39" spans="4:16" x14ac:dyDescent="0.3">
      <c r="D39" s="42" t="s">
        <v>133</v>
      </c>
      <c r="E39" s="43"/>
      <c r="F39" s="239" t="s">
        <v>130</v>
      </c>
      <c r="G39" s="54">
        <f>G38/F38-1</f>
        <v>2.4222313142837182E-2</v>
      </c>
      <c r="H39" s="54">
        <f t="shared" ref="H39" si="90">H38/G38-1</f>
        <v>-4.0487247237441903E-2</v>
      </c>
      <c r="I39" s="54">
        <f t="shared" ref="I39" si="91">I38/H38-1</f>
        <v>3.4194371724451722E-2</v>
      </c>
      <c r="J39" s="54">
        <f t="shared" ref="J39" si="92">J38/I38-1</f>
        <v>1.3667145387007968</v>
      </c>
      <c r="K39" s="54">
        <f t="shared" ref="K39" si="93">K38/J38-1</f>
        <v>-5.0622891439772277E-2</v>
      </c>
      <c r="L39" s="54">
        <f t="shared" ref="L39" si="94">L38/K38-1</f>
        <v>0.37608422304488887</v>
      </c>
      <c r="M39" s="54">
        <f t="shared" ref="M39" si="95">M38/L38-1</f>
        <v>-0.31486774606404011</v>
      </c>
      <c r="N39" s="54">
        <f t="shared" ref="N39" si="96">N38/M38-1</f>
        <v>0.41186827818644778</v>
      </c>
      <c r="O39" s="55">
        <f t="shared" ref="O39" si="97">O38/N38-1</f>
        <v>-0.14254501045274759</v>
      </c>
      <c r="P39" s="45">
        <f t="shared" ref="P39" si="98">P38/O38-1</f>
        <v>-0.14476776125751045</v>
      </c>
    </row>
    <row r="40" spans="4:16" x14ac:dyDescent="0.3">
      <c r="F40" s="49"/>
      <c r="O40" s="60"/>
      <c r="P40" s="49"/>
    </row>
    <row r="41" spans="4:16" x14ac:dyDescent="0.3">
      <c r="D41" t="s">
        <v>134</v>
      </c>
      <c r="F41" s="52">
        <f>'Data Sheet'!B31/Inc_Stat!F36</f>
        <v>9.5010932944606399</v>
      </c>
      <c r="G41" s="238">
        <f>'Data Sheet'!C31/Inc_Stat!G36</f>
        <v>10.000364298724955</v>
      </c>
      <c r="H41" s="238">
        <f>'Data Sheet'!D31/Inc_Stat!H36</f>
        <v>10.500364166059722</v>
      </c>
      <c r="I41" s="238">
        <f>'Data Sheet'!E31/Inc_Stat!I36</f>
        <v>11.501820830298614</v>
      </c>
      <c r="J41" s="238">
        <f>'Data Sheet'!F31/Inc_Stat!J36</f>
        <v>13.001386001386003</v>
      </c>
      <c r="K41" s="238">
        <f>'Data Sheet'!G31/Inc_Stat!K36</f>
        <v>36.993418773813644</v>
      </c>
      <c r="L41" s="238">
        <f>'Data Sheet'!H31/Inc_Stat!L36</f>
        <v>37.996189816418429</v>
      </c>
      <c r="M41" s="238">
        <f>'Data Sheet'!I31/Inc_Stat!M36</f>
        <v>37.998614478697611</v>
      </c>
      <c r="N41" s="238">
        <f>'Data Sheet'!J31/Inc_Stat!N36</f>
        <v>69.997575337720818</v>
      </c>
      <c r="O41" s="65">
        <f>'Data Sheet'!K31/Inc_Stat!O36</f>
        <v>77.494740413980324</v>
      </c>
      <c r="P41" s="49"/>
    </row>
    <row r="42" spans="4:16" x14ac:dyDescent="0.3">
      <c r="D42" s="42" t="s">
        <v>135</v>
      </c>
      <c r="E42" s="43"/>
      <c r="F42" s="45">
        <f>F41/F38</f>
        <v>0.12933262559467396</v>
      </c>
      <c r="G42" s="54">
        <f t="shared" ref="G42:O42" si="99">G41/G38</f>
        <v>0.13290952314090815</v>
      </c>
      <c r="H42" s="54">
        <f t="shared" si="99"/>
        <v>0.14544335658691857</v>
      </c>
      <c r="I42" s="54">
        <f t="shared" si="99"/>
        <v>0.15404725208264183</v>
      </c>
      <c r="J42" s="54">
        <f t="shared" si="99"/>
        <v>7.3575145789459215E-2</v>
      </c>
      <c r="K42" s="54">
        <f t="shared" si="99"/>
        <v>0.22050944288330554</v>
      </c>
      <c r="L42" s="54">
        <f t="shared" si="99"/>
        <v>0.16458784395100853</v>
      </c>
      <c r="M42" s="54">
        <f t="shared" si="99"/>
        <v>0.24024317334203463</v>
      </c>
      <c r="N42" s="54">
        <f t="shared" si="99"/>
        <v>0.31345276872964178</v>
      </c>
      <c r="O42" s="55">
        <f t="shared" si="99"/>
        <v>0.40471566038738915</v>
      </c>
      <c r="P42" s="49"/>
    </row>
    <row r="43" spans="4:16" x14ac:dyDescent="0.3">
      <c r="F43" s="49"/>
      <c r="O43" s="60"/>
      <c r="P43" s="49"/>
    </row>
    <row r="44" spans="4:16" x14ac:dyDescent="0.3">
      <c r="D44" s="27" t="s">
        <v>136</v>
      </c>
      <c r="F44" s="47">
        <f>(1-F42)</f>
        <v>0.87066737440532604</v>
      </c>
      <c r="G44" s="57">
        <f t="shared" ref="G44:O44" si="100">(1-G42)</f>
        <v>0.86709047685909191</v>
      </c>
      <c r="H44" s="57">
        <f t="shared" si="100"/>
        <v>0.85455664341308146</v>
      </c>
      <c r="I44" s="57">
        <f t="shared" si="100"/>
        <v>0.84595274791735819</v>
      </c>
      <c r="J44" s="57">
        <f t="shared" si="100"/>
        <v>0.92642485421054077</v>
      </c>
      <c r="K44" s="57">
        <f t="shared" si="100"/>
        <v>0.77949055711669446</v>
      </c>
      <c r="L44" s="57">
        <f t="shared" si="100"/>
        <v>0.83541215604899144</v>
      </c>
      <c r="M44" s="57">
        <f t="shared" si="100"/>
        <v>0.7597568266579654</v>
      </c>
      <c r="N44" s="57">
        <f t="shared" si="100"/>
        <v>0.68654723127035822</v>
      </c>
      <c r="O44" s="58">
        <f t="shared" si="100"/>
        <v>0.59528433961261085</v>
      </c>
      <c r="P44" s="49"/>
    </row>
    <row r="46" spans="4:16" x14ac:dyDescent="0.3">
      <c r="D46" s="92"/>
      <c r="E46" s="92"/>
      <c r="F46" s="92"/>
      <c r="G46" s="92"/>
      <c r="H46" s="92"/>
      <c r="I46" s="92"/>
      <c r="J46" s="92"/>
      <c r="K46" s="92"/>
      <c r="L46" s="92"/>
      <c r="M46" s="92"/>
      <c r="N46" s="92"/>
      <c r="O46" s="92"/>
      <c r="P46" s="92"/>
    </row>
  </sheetData>
  <mergeCells count="1">
    <mergeCell ref="F7:O7"/>
  </mergeCells>
  <pageMargins left="0.70866141732283472" right="0.70866141732283472" top="0.74803149606299213" bottom="0.74803149606299213" header="0.31496062992125984" footer="0.31496062992125984"/>
  <pageSetup scale="7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5FF56-64C7-46DD-BC78-481B5A481A36}">
  <sheetPr>
    <pageSetUpPr fitToPage="1"/>
  </sheetPr>
  <dimension ref="D2:P34"/>
  <sheetViews>
    <sheetView showGridLines="0" workbookViewId="0">
      <selection activeCell="K8" sqref="K8:O8"/>
    </sheetView>
  </sheetViews>
  <sheetFormatPr defaultRowHeight="14.4" x14ac:dyDescent="0.3"/>
  <cols>
    <col min="1" max="3" width="2.33203125" customWidth="1"/>
    <col min="4" max="4" width="20.77734375" customWidth="1"/>
    <col min="5" max="15" width="10.77734375" customWidth="1"/>
    <col min="16" max="16" width="2.33203125" customWidth="1"/>
  </cols>
  <sheetData>
    <row r="2" spans="4:16" ht="21" x14ac:dyDescent="0.4">
      <c r="D2" s="89" t="s">
        <v>117</v>
      </c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</row>
    <row r="3" spans="4:16" ht="18" x14ac:dyDescent="0.35">
      <c r="D3" s="90" t="s">
        <v>76</v>
      </c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</row>
    <row r="4" spans="4:16" x14ac:dyDescent="0.3">
      <c r="D4" s="91" t="s">
        <v>369</v>
      </c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</row>
    <row r="6" spans="4:16" ht="15.6" x14ac:dyDescent="0.3">
      <c r="D6" s="105" t="s">
        <v>137</v>
      </c>
      <c r="E6" s="92"/>
      <c r="F6" s="92"/>
      <c r="G6" s="92"/>
      <c r="H6" s="92"/>
      <c r="I6" s="92"/>
      <c r="J6" s="92"/>
      <c r="K6" s="92"/>
      <c r="L6" s="92"/>
      <c r="M6" s="92"/>
      <c r="N6" s="92"/>
      <c r="O6" s="92"/>
    </row>
    <row r="7" spans="4:16" x14ac:dyDescent="0.3">
      <c r="D7" s="70"/>
      <c r="E7" s="70"/>
      <c r="F7" s="373" t="s">
        <v>127</v>
      </c>
      <c r="G7" s="374"/>
      <c r="H7" s="374"/>
      <c r="I7" s="374"/>
      <c r="J7" s="374"/>
      <c r="K7" s="374"/>
      <c r="L7" s="374"/>
      <c r="M7" s="374"/>
      <c r="N7" s="374"/>
      <c r="O7" s="375"/>
    </row>
    <row r="8" spans="4:16" x14ac:dyDescent="0.3">
      <c r="D8" s="83" t="s">
        <v>140</v>
      </c>
      <c r="E8" s="72"/>
      <c r="F8" s="236">
        <f>'Historical FS'!C11</f>
        <v>42460</v>
      </c>
      <c r="G8" s="73">
        <f>'Historical FS'!D11</f>
        <v>42825</v>
      </c>
      <c r="H8" s="73">
        <f>'Historical FS'!E11</f>
        <v>43190</v>
      </c>
      <c r="I8" s="73">
        <f>'Historical FS'!F11</f>
        <v>43555</v>
      </c>
      <c r="J8" s="73">
        <f>'Historical FS'!G11</f>
        <v>43921</v>
      </c>
      <c r="K8" s="73">
        <f>'Historical FS'!H11</f>
        <v>44286</v>
      </c>
      <c r="L8" s="73">
        <f>'Historical FS'!I11</f>
        <v>44651</v>
      </c>
      <c r="M8" s="73">
        <f>'Historical FS'!J11</f>
        <v>45016</v>
      </c>
      <c r="N8" s="73">
        <f>'Historical FS'!K11</f>
        <v>45382</v>
      </c>
      <c r="O8" s="76">
        <f>'Historical FS'!L11</f>
        <v>45747</v>
      </c>
    </row>
    <row r="9" spans="4:16" x14ac:dyDescent="0.3">
      <c r="D9" s="66" t="s">
        <v>32</v>
      </c>
      <c r="F9" s="44">
        <f>'Historical FS'!C37</f>
        <v>274.43</v>
      </c>
      <c r="G9" s="39">
        <f>'Historical FS'!D37</f>
        <v>274.51</v>
      </c>
      <c r="H9" s="39">
        <f>'Historical FS'!E37</f>
        <v>274.61</v>
      </c>
      <c r="I9" s="39">
        <f>'Historical FS'!F37</f>
        <v>274.64</v>
      </c>
      <c r="J9" s="39">
        <f>'Historical FS'!G37</f>
        <v>288.63</v>
      </c>
      <c r="K9" s="39">
        <f>'Historical FS'!H37</f>
        <v>288.64999999999998</v>
      </c>
      <c r="L9" s="39">
        <f>'Historical FS'!I37</f>
        <v>288.67</v>
      </c>
      <c r="M9" s="39">
        <f>'Historical FS'!J37</f>
        <v>288.69</v>
      </c>
      <c r="N9" s="39">
        <f>'Historical FS'!K37</f>
        <v>288.69</v>
      </c>
      <c r="O9" s="53">
        <f>'Historical FS'!L37</f>
        <v>294.68</v>
      </c>
      <c r="P9" s="66"/>
    </row>
    <row r="10" spans="4:16" x14ac:dyDescent="0.3">
      <c r="D10" s="66" t="s">
        <v>31</v>
      </c>
      <c r="F10" s="44">
        <f>'Historical FS'!C38</f>
        <v>21671.200000000001</v>
      </c>
      <c r="G10" s="39">
        <f>'Historical FS'!D38</f>
        <v>24117.38</v>
      </c>
      <c r="H10" s="39">
        <f>'Historical FS'!E38</f>
        <v>26106.55</v>
      </c>
      <c r="I10" s="39">
        <f>'Historical FS'!F38</f>
        <v>33476.01</v>
      </c>
      <c r="J10" s="39">
        <f>'Historical FS'!G38</f>
        <v>38755.129999999997</v>
      </c>
      <c r="K10" s="39">
        <f>'Historical FS'!H38</f>
        <v>43886.03</v>
      </c>
      <c r="L10" s="39">
        <f>'Historical FS'!I38</f>
        <v>50146.6</v>
      </c>
      <c r="M10" s="39">
        <f>'Historical FS'!J38</f>
        <v>54035.85</v>
      </c>
      <c r="N10" s="39">
        <f>'Historical FS'!K38</f>
        <v>59938.79</v>
      </c>
      <c r="O10" s="53">
        <f>'Historical FS'!L38</f>
        <v>70412.09</v>
      </c>
      <c r="P10" s="66"/>
    </row>
    <row r="11" spans="4:16" x14ac:dyDescent="0.3">
      <c r="D11" s="66" t="s">
        <v>30</v>
      </c>
      <c r="F11" s="44">
        <f>'Historical FS'!C39</f>
        <v>10615.99</v>
      </c>
      <c r="G11" s="39">
        <f>'Historical FS'!D39</f>
        <v>8474.49</v>
      </c>
      <c r="H11" s="39">
        <f>'Historical FS'!E39</f>
        <v>19480.22</v>
      </c>
      <c r="I11" s="39">
        <f>'Historical FS'!F39</f>
        <v>25337</v>
      </c>
      <c r="J11" s="39">
        <f>'Historical FS'!G39</f>
        <v>23018.959999999999</v>
      </c>
      <c r="K11" s="39">
        <f>'Historical FS'!H39</f>
        <v>21719.39</v>
      </c>
      <c r="L11" s="39">
        <f>'Historical FS'!I39</f>
        <v>11298.8</v>
      </c>
      <c r="M11" s="39">
        <f>'Historical FS'!J39</f>
        <v>11057.74</v>
      </c>
      <c r="N11" s="39">
        <f>'Historical FS'!K39</f>
        <v>11402.95</v>
      </c>
      <c r="O11" s="53">
        <f>'Historical FS'!L39</f>
        <v>24102.18</v>
      </c>
      <c r="P11" s="66"/>
    </row>
    <row r="12" spans="4:16" x14ac:dyDescent="0.3">
      <c r="D12" s="66" t="s">
        <v>29</v>
      </c>
      <c r="F12" s="44">
        <f>'Historical FS'!C40</f>
        <v>8631.49</v>
      </c>
      <c r="G12" s="39">
        <f>'Historical FS'!D40</f>
        <v>9342.73</v>
      </c>
      <c r="H12" s="39">
        <f>'Historical FS'!E40</f>
        <v>11279.71</v>
      </c>
      <c r="I12" s="39">
        <f>'Historical FS'!F40</f>
        <v>17437.72</v>
      </c>
      <c r="J12" s="39">
        <f>'Historical FS'!G40</f>
        <v>17151.09</v>
      </c>
      <c r="K12" s="39">
        <f>'Historical FS'!H40</f>
        <v>20282.28</v>
      </c>
      <c r="L12" s="39">
        <f>'Historical FS'!I40</f>
        <v>22077.37</v>
      </c>
      <c r="M12" s="39">
        <f>'Historical FS'!J40</f>
        <v>25998.12</v>
      </c>
      <c r="N12" s="39">
        <f>'Historical FS'!K40</f>
        <v>29166.68</v>
      </c>
      <c r="O12" s="53">
        <f>'Historical FS'!L40</f>
        <v>38823.11</v>
      </c>
      <c r="P12" s="66"/>
    </row>
    <row r="13" spans="4:16" x14ac:dyDescent="0.3">
      <c r="D13" s="88" t="s">
        <v>144</v>
      </c>
      <c r="F13" s="48">
        <f>SUM(F9:F12)</f>
        <v>41193.11</v>
      </c>
      <c r="G13" s="41">
        <f t="shared" ref="G13:O13" si="0">SUM(G9:G12)</f>
        <v>42209.11</v>
      </c>
      <c r="H13" s="41">
        <f t="shared" si="0"/>
        <v>57141.090000000004</v>
      </c>
      <c r="I13" s="41">
        <f t="shared" si="0"/>
        <v>76525.37</v>
      </c>
      <c r="J13" s="41">
        <f t="shared" si="0"/>
        <v>79213.81</v>
      </c>
      <c r="K13" s="41">
        <f t="shared" si="0"/>
        <v>86176.35</v>
      </c>
      <c r="L13" s="41">
        <f t="shared" si="0"/>
        <v>83811.439999999988</v>
      </c>
      <c r="M13" s="41">
        <f t="shared" si="0"/>
        <v>91380.4</v>
      </c>
      <c r="N13" s="41">
        <f t="shared" si="0"/>
        <v>100797.11000000002</v>
      </c>
      <c r="O13" s="59">
        <f t="shared" si="0"/>
        <v>133632.06</v>
      </c>
      <c r="P13" s="66"/>
    </row>
    <row r="14" spans="4:16" x14ac:dyDescent="0.3">
      <c r="D14" s="66"/>
      <c r="F14" s="44"/>
      <c r="G14" s="39"/>
      <c r="H14" s="39"/>
      <c r="I14" s="39"/>
      <c r="J14" s="39"/>
      <c r="K14" s="39"/>
      <c r="L14" s="39"/>
      <c r="M14" s="39"/>
      <c r="N14" s="39"/>
      <c r="O14" s="53"/>
      <c r="P14" s="66"/>
    </row>
    <row r="15" spans="4:16" x14ac:dyDescent="0.3">
      <c r="D15" s="66" t="s">
        <v>77</v>
      </c>
      <c r="F15" s="44">
        <f>'Historical FS'!C43</f>
        <v>25309.42</v>
      </c>
      <c r="G15" s="39">
        <f>'Historical FS'!D43</f>
        <v>25903.75</v>
      </c>
      <c r="H15" s="39">
        <f>'Historical FS'!E43</f>
        <v>39715.300000000003</v>
      </c>
      <c r="I15" s="39">
        <f>'Historical FS'!F43</f>
        <v>56644.62</v>
      </c>
      <c r="J15" s="39">
        <f>'Historical FS'!G43</f>
        <v>57150.96</v>
      </c>
      <c r="K15" s="39">
        <f>'Historical FS'!H43</f>
        <v>55411.61</v>
      </c>
      <c r="L15" s="39">
        <f>'Historical FS'!I43</f>
        <v>55487.57</v>
      </c>
      <c r="M15" s="39">
        <f>'Historical FS'!J43</f>
        <v>59579</v>
      </c>
      <c r="N15" s="39">
        <f>'Historical FS'!K43</f>
        <v>62877.61</v>
      </c>
      <c r="O15" s="53">
        <f>'Historical FS'!L43</f>
        <v>94564.22</v>
      </c>
      <c r="P15" s="66"/>
    </row>
    <row r="16" spans="4:16" x14ac:dyDescent="0.3">
      <c r="D16" s="66" t="s">
        <v>27</v>
      </c>
      <c r="F16" s="44">
        <f>'Historical FS'!C44</f>
        <v>1469.09</v>
      </c>
      <c r="G16" s="39">
        <f>'Historical FS'!D44</f>
        <v>921.48</v>
      </c>
      <c r="H16" s="39">
        <f>'Historical FS'!E44</f>
        <v>1511.21</v>
      </c>
      <c r="I16" s="39">
        <f>'Historical FS'!F44</f>
        <v>1153.32</v>
      </c>
      <c r="J16" s="39">
        <f>'Historical FS'!G44</f>
        <v>919.59</v>
      </c>
      <c r="K16" s="39">
        <f>'Historical FS'!H44</f>
        <v>1686.68</v>
      </c>
      <c r="L16" s="39">
        <f>'Historical FS'!I44</f>
        <v>4784.67</v>
      </c>
      <c r="M16" s="39">
        <f>'Historical FS'!J44</f>
        <v>4040.39</v>
      </c>
      <c r="N16" s="39">
        <f>'Historical FS'!K44</f>
        <v>6811.18</v>
      </c>
      <c r="O16" s="53">
        <f>'Historical FS'!L44</f>
        <v>6234.19</v>
      </c>
      <c r="P16" s="66"/>
    </row>
    <row r="17" spans="4:16" x14ac:dyDescent="0.3">
      <c r="D17" s="66" t="s">
        <v>26</v>
      </c>
      <c r="F17" s="44">
        <f>'Historical FS'!C45</f>
        <v>5095.18</v>
      </c>
      <c r="G17" s="39">
        <f>'Historical FS'!D45</f>
        <v>6690.51</v>
      </c>
      <c r="H17" s="39">
        <f>'Historical FS'!E45</f>
        <v>5446.9</v>
      </c>
      <c r="I17" s="39">
        <f>'Historical FS'!F45</f>
        <v>2921.33</v>
      </c>
      <c r="J17" s="39">
        <f>'Historical FS'!G45</f>
        <v>5928.69</v>
      </c>
      <c r="K17" s="39">
        <f>'Historical FS'!H45</f>
        <v>12178.11</v>
      </c>
      <c r="L17" s="39">
        <f>'Historical FS'!I45</f>
        <v>6335.77</v>
      </c>
      <c r="M17" s="39">
        <f>'Historical FS'!J45</f>
        <v>7296.95</v>
      </c>
      <c r="N17" s="39">
        <f>'Historical FS'!K45</f>
        <v>8248.9500000000007</v>
      </c>
      <c r="O17" s="53">
        <f>'Historical FS'!L45</f>
        <v>5156.47</v>
      </c>
      <c r="P17" s="66"/>
    </row>
    <row r="18" spans="4:16" x14ac:dyDescent="0.3">
      <c r="D18" s="66" t="s">
        <v>25</v>
      </c>
      <c r="F18" s="44">
        <f>'Historical FS'!C46</f>
        <v>2669.67</v>
      </c>
      <c r="G18" s="39">
        <f>'Historical FS'!D46</f>
        <v>2286.8600000000006</v>
      </c>
      <c r="H18" s="39">
        <f>'Historical FS'!E46</f>
        <v>4760.3900000000003</v>
      </c>
      <c r="I18" s="39">
        <f>'Historical FS'!F46</f>
        <v>8180.43</v>
      </c>
      <c r="J18" s="39">
        <f>'Historical FS'!G46</f>
        <v>8108.09</v>
      </c>
      <c r="K18" s="39">
        <f>'Historical FS'!H46</f>
        <v>8302.7000000000007</v>
      </c>
      <c r="L18" s="39">
        <f>'Historical FS'!I46</f>
        <v>8177.0599999999995</v>
      </c>
      <c r="M18" s="39">
        <f>'Historical FS'!J46</f>
        <v>8835.6200000000008</v>
      </c>
      <c r="N18" s="39">
        <f>'Historical FS'!K46</f>
        <v>9468.2599999999984</v>
      </c>
      <c r="O18" s="53">
        <f>'Historical FS'!L46</f>
        <v>10550.630000000001</v>
      </c>
      <c r="P18" s="66"/>
    </row>
    <row r="19" spans="4:16" x14ac:dyDescent="0.3">
      <c r="D19" s="88" t="s">
        <v>79</v>
      </c>
      <c r="F19" s="46">
        <f>SUM(F15:F18)</f>
        <v>34543.360000000001</v>
      </c>
      <c r="G19" s="40">
        <f t="shared" ref="G19:O19" si="1">SUM(G15:G18)</f>
        <v>35802.6</v>
      </c>
      <c r="H19" s="40">
        <f t="shared" si="1"/>
        <v>51433.8</v>
      </c>
      <c r="I19" s="40">
        <f t="shared" si="1"/>
        <v>68899.700000000012</v>
      </c>
      <c r="J19" s="40">
        <f t="shared" si="1"/>
        <v>72107.33</v>
      </c>
      <c r="K19" s="40">
        <f t="shared" si="1"/>
        <v>77579.099999999991</v>
      </c>
      <c r="L19" s="40">
        <f t="shared" si="1"/>
        <v>74785.069999999992</v>
      </c>
      <c r="M19" s="40">
        <f t="shared" si="1"/>
        <v>79751.959999999992</v>
      </c>
      <c r="N19" s="40">
        <f t="shared" si="1"/>
        <v>87406</v>
      </c>
      <c r="O19" s="56">
        <f t="shared" si="1"/>
        <v>116505.51000000001</v>
      </c>
      <c r="P19" s="66"/>
    </row>
    <row r="20" spans="4:16" x14ac:dyDescent="0.3">
      <c r="D20" s="66"/>
      <c r="F20" s="44"/>
      <c r="G20" s="39"/>
      <c r="H20" s="39"/>
      <c r="I20" s="39"/>
      <c r="J20" s="39"/>
      <c r="K20" s="39"/>
      <c r="L20" s="39"/>
      <c r="M20" s="39"/>
      <c r="N20" s="39"/>
      <c r="O20" s="53"/>
      <c r="P20" s="66"/>
    </row>
    <row r="21" spans="4:16" x14ac:dyDescent="0.3">
      <c r="D21" s="66" t="s">
        <v>23</v>
      </c>
      <c r="F21" s="44">
        <f>'Historical FS'!C49</f>
        <v>1928.21</v>
      </c>
      <c r="G21" s="39">
        <f>'Historical FS'!D49</f>
        <v>1757.09</v>
      </c>
      <c r="H21" s="39">
        <f>'Historical FS'!E49</f>
        <v>2220.63</v>
      </c>
      <c r="I21" s="39">
        <f>'Historical FS'!F49</f>
        <v>2787.03</v>
      </c>
      <c r="J21" s="39">
        <f>'Historical FS'!G49</f>
        <v>2383.2199999999998</v>
      </c>
      <c r="K21" s="39">
        <f>'Historical FS'!H49</f>
        <v>2571.73</v>
      </c>
      <c r="L21" s="39">
        <f>'Historical FS'!I49</f>
        <v>3071.61</v>
      </c>
      <c r="M21" s="39">
        <f>'Historical FS'!J49</f>
        <v>3867.02</v>
      </c>
      <c r="N21" s="39">
        <f>'Historical FS'!K49</f>
        <v>4278.16</v>
      </c>
      <c r="O21" s="53">
        <f>'Historical FS'!L49</f>
        <v>5890.25</v>
      </c>
      <c r="P21" s="66"/>
    </row>
    <row r="22" spans="4:16" x14ac:dyDescent="0.3">
      <c r="D22" s="66" t="s">
        <v>22</v>
      </c>
      <c r="F22" s="44">
        <f>'Historical FS'!C50</f>
        <v>2454.58</v>
      </c>
      <c r="G22" s="39">
        <f>'Historical FS'!D50</f>
        <v>2400.64</v>
      </c>
      <c r="H22" s="39">
        <f>'Historical FS'!E50</f>
        <v>3267.59</v>
      </c>
      <c r="I22" s="39">
        <f>'Historical FS'!F50</f>
        <v>4098.96</v>
      </c>
      <c r="J22" s="39">
        <f>'Historical FS'!G50</f>
        <v>4183.3500000000004</v>
      </c>
      <c r="K22" s="39">
        <f>'Historical FS'!H50</f>
        <v>4017.97</v>
      </c>
      <c r="L22" s="39">
        <f>'Historical FS'!I50</f>
        <v>5595.58</v>
      </c>
      <c r="M22" s="39">
        <f>'Historical FS'!J50</f>
        <v>6611.83</v>
      </c>
      <c r="N22" s="39">
        <f>'Historical FS'!K50</f>
        <v>8329.74</v>
      </c>
      <c r="O22" s="53">
        <f>'Historical FS'!L50</f>
        <v>9562.98</v>
      </c>
      <c r="P22" s="66"/>
    </row>
    <row r="23" spans="4:16" x14ac:dyDescent="0.3">
      <c r="D23" s="66" t="s">
        <v>21</v>
      </c>
      <c r="F23" s="44">
        <f>'Historical FS'!C51</f>
        <v>2266.96</v>
      </c>
      <c r="G23" s="39">
        <f>'Historical FS'!D51</f>
        <v>2248.7800000000002</v>
      </c>
      <c r="H23" s="39">
        <f>'Historical FS'!E51</f>
        <v>219.07</v>
      </c>
      <c r="I23" s="39">
        <f>'Historical FS'!F51</f>
        <v>739.68</v>
      </c>
      <c r="J23" s="39">
        <f>'Historical FS'!G51</f>
        <v>539.91</v>
      </c>
      <c r="K23" s="39">
        <f>'Historical FS'!H51</f>
        <v>2007.55</v>
      </c>
      <c r="L23" s="39">
        <f>'Historical FS'!I51</f>
        <v>359.18</v>
      </c>
      <c r="M23" s="39">
        <f>'Historical FS'!J51</f>
        <v>1149.5899999999999</v>
      </c>
      <c r="N23" s="39">
        <f>'Historical FS'!K51</f>
        <v>783.21</v>
      </c>
      <c r="O23" s="53">
        <f>'Historical FS'!L51</f>
        <v>1673.32</v>
      </c>
      <c r="P23" s="66"/>
    </row>
    <row r="24" spans="4:16" x14ac:dyDescent="0.3">
      <c r="D24" s="88" t="s">
        <v>80</v>
      </c>
      <c r="F24" s="46">
        <f>SUM(F21:F23)</f>
        <v>6649.75</v>
      </c>
      <c r="G24" s="40">
        <f t="shared" ref="G24:O24" si="2">SUM(G21:G23)</f>
        <v>6406.51</v>
      </c>
      <c r="H24" s="40">
        <f t="shared" si="2"/>
        <v>5707.29</v>
      </c>
      <c r="I24" s="40">
        <f t="shared" si="2"/>
        <v>7625.67</v>
      </c>
      <c r="J24" s="40">
        <f t="shared" si="2"/>
        <v>7106.48</v>
      </c>
      <c r="K24" s="40">
        <f t="shared" si="2"/>
        <v>8597.25</v>
      </c>
      <c r="L24" s="40">
        <f t="shared" si="2"/>
        <v>9026.3700000000008</v>
      </c>
      <c r="M24" s="40">
        <f t="shared" si="2"/>
        <v>11628.44</v>
      </c>
      <c r="N24" s="40">
        <f t="shared" si="2"/>
        <v>13391.11</v>
      </c>
      <c r="O24" s="56">
        <f t="shared" si="2"/>
        <v>17126.55</v>
      </c>
      <c r="P24" s="66"/>
    </row>
    <row r="25" spans="4:16" x14ac:dyDescent="0.3">
      <c r="D25" s="88" t="s">
        <v>78</v>
      </c>
      <c r="F25" s="48">
        <f>F24+F19</f>
        <v>41193.11</v>
      </c>
      <c r="G25" s="41">
        <f t="shared" ref="G25:O25" si="3">G24+G19</f>
        <v>42209.11</v>
      </c>
      <c r="H25" s="41">
        <f t="shared" si="3"/>
        <v>57141.090000000004</v>
      </c>
      <c r="I25" s="41">
        <f t="shared" si="3"/>
        <v>76525.37000000001</v>
      </c>
      <c r="J25" s="41">
        <f t="shared" si="3"/>
        <v>79213.81</v>
      </c>
      <c r="K25" s="41">
        <f t="shared" si="3"/>
        <v>86176.349999999991</v>
      </c>
      <c r="L25" s="41">
        <f t="shared" si="3"/>
        <v>83811.439999999988</v>
      </c>
      <c r="M25" s="41">
        <f t="shared" si="3"/>
        <v>91380.4</v>
      </c>
      <c r="N25" s="41">
        <f t="shared" si="3"/>
        <v>100797.11</v>
      </c>
      <c r="O25" s="59">
        <f t="shared" si="3"/>
        <v>133632.06</v>
      </c>
      <c r="P25" s="66"/>
    </row>
    <row r="26" spans="4:16" x14ac:dyDescent="0.3">
      <c r="D26" s="66"/>
      <c r="F26" s="49"/>
      <c r="O26" s="60"/>
    </row>
    <row r="27" spans="4:16" x14ac:dyDescent="0.3">
      <c r="D27" s="78" t="s">
        <v>138</v>
      </c>
      <c r="E27" s="79"/>
      <c r="F27" s="240" t="b">
        <f>F13=F25</f>
        <v>1</v>
      </c>
      <c r="G27" s="241" t="b">
        <f t="shared" ref="G27:O27" si="4">G13=G25</f>
        <v>1</v>
      </c>
      <c r="H27" s="241" t="b">
        <f t="shared" si="4"/>
        <v>1</v>
      </c>
      <c r="I27" s="241" t="b">
        <f t="shared" si="4"/>
        <v>1</v>
      </c>
      <c r="J27" s="241" t="b">
        <f t="shared" si="4"/>
        <v>1</v>
      </c>
      <c r="K27" s="241" t="b">
        <f t="shared" si="4"/>
        <v>1</v>
      </c>
      <c r="L27" s="241" t="b">
        <f t="shared" si="4"/>
        <v>1</v>
      </c>
      <c r="M27" s="241" t="b">
        <f t="shared" si="4"/>
        <v>1</v>
      </c>
      <c r="N27" s="241" t="b">
        <f t="shared" si="4"/>
        <v>1</v>
      </c>
      <c r="O27" s="242" t="b">
        <f t="shared" si="4"/>
        <v>1</v>
      </c>
    </row>
    <row r="28" spans="4:16" x14ac:dyDescent="0.3">
      <c r="D28" s="66"/>
    </row>
    <row r="29" spans="4:16" x14ac:dyDescent="0.3"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</row>
    <row r="30" spans="4:16" x14ac:dyDescent="0.3">
      <c r="D30" s="66"/>
    </row>
    <row r="31" spans="4:16" x14ac:dyDescent="0.3">
      <c r="D31" s="66"/>
    </row>
    <row r="32" spans="4:16" x14ac:dyDescent="0.3">
      <c r="D32" s="66"/>
    </row>
    <row r="33" spans="4:4" x14ac:dyDescent="0.3">
      <c r="D33" s="66"/>
    </row>
    <row r="34" spans="4:4" x14ac:dyDescent="0.3">
      <c r="D34" s="66"/>
    </row>
  </sheetData>
  <mergeCells count="1">
    <mergeCell ref="F7:O7"/>
  </mergeCells>
  <pageMargins left="0.70866141732283472" right="0.70866141732283472" top="0.74803149606299213" bottom="0.74803149606299213" header="0.31496062992125984" footer="0.31496062992125984"/>
  <pageSetup scale="84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29FE7-F60E-4A5D-8637-0D810420AD51}">
  <sheetPr>
    <pageSetUpPr fitToPage="1"/>
  </sheetPr>
  <dimension ref="D2:P47"/>
  <sheetViews>
    <sheetView showGridLines="0" workbookViewId="0">
      <selection activeCell="D4" sqref="D4"/>
    </sheetView>
  </sheetViews>
  <sheetFormatPr defaultRowHeight="14.4" x14ac:dyDescent="0.3"/>
  <cols>
    <col min="1" max="3" width="2.33203125" customWidth="1"/>
    <col min="4" max="4" width="20.77734375" customWidth="1"/>
    <col min="5" max="15" width="10.77734375" customWidth="1"/>
    <col min="16" max="16" width="2.33203125" customWidth="1"/>
  </cols>
  <sheetData>
    <row r="2" spans="4:15" ht="21" x14ac:dyDescent="0.4">
      <c r="D2" s="89" t="s">
        <v>117</v>
      </c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</row>
    <row r="3" spans="4:15" ht="18" x14ac:dyDescent="0.35">
      <c r="D3" s="90" t="s">
        <v>110</v>
      </c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</row>
    <row r="4" spans="4:15" x14ac:dyDescent="0.3">
      <c r="D4" s="91" t="s">
        <v>369</v>
      </c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</row>
    <row r="6" spans="4:15" ht="15.6" x14ac:dyDescent="0.3">
      <c r="D6" s="105" t="s">
        <v>141</v>
      </c>
      <c r="E6" s="92"/>
      <c r="F6" s="92"/>
      <c r="G6" s="92"/>
      <c r="H6" s="92"/>
      <c r="I6" s="92"/>
      <c r="J6" s="92"/>
      <c r="K6" s="92"/>
      <c r="L6" s="92"/>
      <c r="M6" s="92"/>
      <c r="N6" s="92"/>
      <c r="O6" s="92"/>
    </row>
    <row r="7" spans="4:15" x14ac:dyDescent="0.3">
      <c r="D7" s="70"/>
      <c r="E7" s="70"/>
      <c r="F7" s="373" t="s">
        <v>127</v>
      </c>
      <c r="G7" s="374"/>
      <c r="H7" s="374"/>
      <c r="I7" s="374"/>
      <c r="J7" s="374"/>
      <c r="K7" s="374"/>
      <c r="L7" s="374"/>
      <c r="M7" s="374"/>
      <c r="N7" s="374"/>
      <c r="O7" s="375"/>
    </row>
    <row r="8" spans="4:15" x14ac:dyDescent="0.3">
      <c r="D8" s="83" t="s">
        <v>140</v>
      </c>
      <c r="E8" s="72"/>
      <c r="F8" s="236">
        <f>'Historical FS'!C11</f>
        <v>42460</v>
      </c>
      <c r="G8" s="73">
        <f>'Historical FS'!D11</f>
        <v>42825</v>
      </c>
      <c r="H8" s="73">
        <f>'Historical FS'!E11</f>
        <v>43190</v>
      </c>
      <c r="I8" s="73">
        <f>'Historical FS'!F11</f>
        <v>43555</v>
      </c>
      <c r="J8" s="73">
        <f>'Historical FS'!G11</f>
        <v>43921</v>
      </c>
      <c r="K8" s="73">
        <f>'Historical FS'!H11</f>
        <v>44286</v>
      </c>
      <c r="L8" s="73">
        <f>'Historical FS'!I11</f>
        <v>44651</v>
      </c>
      <c r="M8" s="73">
        <f>'Historical FS'!J11</f>
        <v>45016</v>
      </c>
      <c r="N8" s="73">
        <f>'Historical FS'!K11</f>
        <v>45382</v>
      </c>
      <c r="O8" s="76">
        <f>'Historical FS'!L11</f>
        <v>45747</v>
      </c>
    </row>
    <row r="9" spans="4:15" x14ac:dyDescent="0.3">
      <c r="D9" s="4" t="s">
        <v>114</v>
      </c>
      <c r="F9" s="49"/>
      <c r="O9" s="60"/>
    </row>
    <row r="10" spans="4:15" x14ac:dyDescent="0.3">
      <c r="D10" t="s">
        <v>83</v>
      </c>
      <c r="F10" s="44">
        <f>'Historical FS'!C59</f>
        <v>4948</v>
      </c>
      <c r="G10" s="39">
        <f>'Historical FS'!D59</f>
        <v>5220</v>
      </c>
      <c r="H10" s="39">
        <f>'Historical FS'!E59</f>
        <v>5986</v>
      </c>
      <c r="I10" s="39">
        <f>'Historical FS'!F59</f>
        <v>7362</v>
      </c>
      <c r="J10" s="39">
        <f>'Historical FS'!G59</f>
        <v>9348</v>
      </c>
      <c r="K10" s="39">
        <f>'Historical FS'!H59</f>
        <v>11465</v>
      </c>
      <c r="L10" s="39">
        <f>'Historical FS'!I59</f>
        <v>11311</v>
      </c>
      <c r="M10" s="39">
        <f>'Historical FS'!J59</f>
        <v>10530</v>
      </c>
      <c r="N10" s="39">
        <f>'Historical FS'!K59</f>
        <v>13029</v>
      </c>
      <c r="O10" s="53">
        <f>'Historical FS'!L59</f>
        <v>12645</v>
      </c>
    </row>
    <row r="11" spans="4:15" x14ac:dyDescent="0.3">
      <c r="D11" s="36" t="s">
        <v>23</v>
      </c>
      <c r="F11" s="44">
        <f>'Historical FS'!C60</f>
        <v>-287</v>
      </c>
      <c r="G11" s="39">
        <f>'Historical FS'!D60</f>
        <v>156</v>
      </c>
      <c r="H11" s="39">
        <f>'Historical FS'!E60</f>
        <v>-454</v>
      </c>
      <c r="I11" s="39">
        <f>'Historical FS'!F60</f>
        <v>-279</v>
      </c>
      <c r="J11" s="39">
        <f>'Historical FS'!G60</f>
        <v>473</v>
      </c>
      <c r="K11" s="39">
        <f>'Historical FS'!H60</f>
        <v>-201</v>
      </c>
      <c r="L11" s="39">
        <f>'Historical FS'!I60</f>
        <v>-495</v>
      </c>
      <c r="M11" s="39">
        <f>'Historical FS'!J60</f>
        <v>-752</v>
      </c>
      <c r="N11" s="39">
        <f>'Historical FS'!K60</f>
        <v>-421</v>
      </c>
      <c r="O11" s="53">
        <f>'Historical FS'!L60</f>
        <v>-608</v>
      </c>
    </row>
    <row r="12" spans="4:15" x14ac:dyDescent="0.3">
      <c r="D12" s="36" t="s">
        <v>22</v>
      </c>
      <c r="F12" s="44">
        <f>'Historical FS'!C61</f>
        <v>374</v>
      </c>
      <c r="G12" s="39">
        <f>'Historical FS'!D61</f>
        <v>54</v>
      </c>
      <c r="H12" s="39">
        <f>'Historical FS'!E61</f>
        <v>-623</v>
      </c>
      <c r="I12" s="39">
        <f>'Historical FS'!F61</f>
        <v>-15</v>
      </c>
      <c r="J12" s="39">
        <f>'Historical FS'!G61</f>
        <v>-64</v>
      </c>
      <c r="K12" s="39">
        <f>'Historical FS'!H61</f>
        <v>165</v>
      </c>
      <c r="L12" s="39">
        <f>'Historical FS'!I61</f>
        <v>-1579</v>
      </c>
      <c r="M12" s="39">
        <f>'Historical FS'!J61</f>
        <v>-992</v>
      </c>
      <c r="N12" s="39">
        <f>'Historical FS'!K61</f>
        <v>-1712</v>
      </c>
      <c r="O12" s="53">
        <f>'Historical FS'!L61</f>
        <v>-317</v>
      </c>
    </row>
    <row r="13" spans="4:15" x14ac:dyDescent="0.3">
      <c r="D13" s="36" t="s">
        <v>84</v>
      </c>
      <c r="F13" s="44">
        <f>'Historical FS'!C62</f>
        <v>310</v>
      </c>
      <c r="G13" s="39">
        <f>'Historical FS'!D62</f>
        <v>482</v>
      </c>
      <c r="H13" s="39">
        <f>'Historical FS'!E62</f>
        <v>346</v>
      </c>
      <c r="I13" s="39">
        <f>'Historical FS'!F62</f>
        <v>766</v>
      </c>
      <c r="J13" s="39">
        <f>'Historical FS'!G62</f>
        <v>279</v>
      </c>
      <c r="K13" s="39">
        <f>'Historical FS'!H62</f>
        <v>2868</v>
      </c>
      <c r="L13" s="39">
        <f>'Historical FS'!I62</f>
        <v>2077</v>
      </c>
      <c r="M13" s="39">
        <f>'Historical FS'!J62</f>
        <v>1869</v>
      </c>
      <c r="N13" s="39">
        <f>'Historical FS'!K62</f>
        <v>1959</v>
      </c>
      <c r="O13" s="53">
        <f>'Historical FS'!L62</f>
        <v>-476</v>
      </c>
    </row>
    <row r="14" spans="4:15" x14ac:dyDescent="0.3">
      <c r="D14" s="36" t="s">
        <v>85</v>
      </c>
      <c r="F14" s="44">
        <f>'Historical FS'!C63</f>
        <v>0</v>
      </c>
      <c r="G14" s="39">
        <f>'Historical FS'!D63</f>
        <v>0</v>
      </c>
      <c r="H14" s="39">
        <f>'Historical FS'!E63</f>
        <v>0</v>
      </c>
      <c r="I14" s="39">
        <f>'Historical FS'!F63</f>
        <v>0</v>
      </c>
      <c r="J14" s="39">
        <f>'Historical FS'!G63</f>
        <v>0</v>
      </c>
      <c r="K14" s="39">
        <f>'Historical FS'!H63</f>
        <v>0</v>
      </c>
      <c r="L14" s="39">
        <f>'Historical FS'!I63</f>
        <v>0</v>
      </c>
      <c r="M14" s="39">
        <f>'Historical FS'!J63</f>
        <v>0</v>
      </c>
      <c r="N14" s="39">
        <f>'Historical FS'!K63</f>
        <v>0</v>
      </c>
      <c r="O14" s="53">
        <f>'Historical FS'!L63</f>
        <v>0</v>
      </c>
    </row>
    <row r="15" spans="4:15" x14ac:dyDescent="0.3">
      <c r="D15" s="36" t="s">
        <v>86</v>
      </c>
      <c r="F15" s="44">
        <f>'Historical FS'!C64</f>
        <v>32</v>
      </c>
      <c r="G15" s="39">
        <f>'Historical FS'!D64</f>
        <v>-162</v>
      </c>
      <c r="H15" s="39">
        <f>'Historical FS'!E64</f>
        <v>-525</v>
      </c>
      <c r="I15" s="39">
        <f>'Historical FS'!F64</f>
        <v>-1167</v>
      </c>
      <c r="J15" s="39">
        <f>'Historical FS'!G64</f>
        <v>-172</v>
      </c>
      <c r="K15" s="39">
        <f>'Historical FS'!H64</f>
        <v>-505</v>
      </c>
      <c r="L15" s="39">
        <f>'Historical FS'!I64</f>
        <v>-476</v>
      </c>
      <c r="M15" s="39">
        <f>'Historical FS'!J64</f>
        <v>-461</v>
      </c>
      <c r="N15" s="39">
        <f>'Historical FS'!K64</f>
        <v>-308</v>
      </c>
      <c r="O15" s="53">
        <f>'Historical FS'!L64</f>
        <v>729</v>
      </c>
    </row>
    <row r="16" spans="4:15" x14ac:dyDescent="0.3">
      <c r="D16" s="67" t="s">
        <v>87</v>
      </c>
      <c r="E16" s="4"/>
      <c r="F16" s="243">
        <f>SUM(F11:F15)</f>
        <v>429</v>
      </c>
      <c r="G16" s="69">
        <f t="shared" ref="G16:O16" si="0">SUM(G11:G15)</f>
        <v>530</v>
      </c>
      <c r="H16" s="69">
        <f>SUM(H11:H15)</f>
        <v>-1256</v>
      </c>
      <c r="I16" s="69">
        <f t="shared" si="0"/>
        <v>-695</v>
      </c>
      <c r="J16" s="69">
        <f t="shared" si="0"/>
        <v>516</v>
      </c>
      <c r="K16" s="69">
        <f t="shared" si="0"/>
        <v>2327</v>
      </c>
      <c r="L16" s="69">
        <f t="shared" si="0"/>
        <v>-473</v>
      </c>
      <c r="M16" s="69">
        <f t="shared" si="0"/>
        <v>-336</v>
      </c>
      <c r="N16" s="69">
        <f t="shared" si="0"/>
        <v>-482</v>
      </c>
      <c r="O16" s="244">
        <f t="shared" si="0"/>
        <v>-672</v>
      </c>
    </row>
    <row r="17" spans="4:16" x14ac:dyDescent="0.3">
      <c r="D17" t="s">
        <v>88</v>
      </c>
      <c r="F17" s="44">
        <f>'Historical FS'!C66</f>
        <v>-852</v>
      </c>
      <c r="G17" s="39">
        <f>'Historical FS'!D66</f>
        <v>-744</v>
      </c>
      <c r="H17" s="39">
        <f>'Historical FS'!E66</f>
        <v>-843</v>
      </c>
      <c r="I17" s="39">
        <f>'Historical FS'!F66</f>
        <v>-710</v>
      </c>
      <c r="J17" s="39">
        <f>'Historical FS'!G66</f>
        <v>-891</v>
      </c>
      <c r="K17" s="39">
        <f>'Historical FS'!H66</f>
        <v>-1291</v>
      </c>
      <c r="L17" s="39">
        <f>'Historical FS'!I66</f>
        <v>-1555</v>
      </c>
      <c r="M17" s="39">
        <f>'Historical FS'!J66</f>
        <v>-1124</v>
      </c>
      <c r="N17" s="39">
        <f>'Historical FS'!K66</f>
        <v>-1651</v>
      </c>
      <c r="O17" s="53">
        <f>'Historical FS'!L66</f>
        <v>-1301</v>
      </c>
    </row>
    <row r="18" spans="4:16" x14ac:dyDescent="0.3">
      <c r="D18" t="s">
        <v>89</v>
      </c>
      <c r="F18" s="44">
        <f>'Historical FS'!C67</f>
        <v>0</v>
      </c>
      <c r="G18" s="39">
        <f>'Historical FS'!D67</f>
        <v>0</v>
      </c>
      <c r="H18" s="39">
        <f>'Historical FS'!E67</f>
        <v>0</v>
      </c>
      <c r="I18" s="39">
        <f>'Historical FS'!F67</f>
        <v>0</v>
      </c>
      <c r="J18" s="39">
        <f>'Historical FS'!G67</f>
        <v>0</v>
      </c>
      <c r="K18" s="39">
        <f>'Historical FS'!H67</f>
        <v>0</v>
      </c>
      <c r="L18" s="39">
        <f>'Historical FS'!I67</f>
        <v>0</v>
      </c>
      <c r="M18" s="39">
        <f>'Historical FS'!J67</f>
        <v>0</v>
      </c>
      <c r="N18" s="39">
        <f>'Historical FS'!K67</f>
        <v>0</v>
      </c>
      <c r="O18" s="53">
        <f>'Historical FS'!L67</f>
        <v>0</v>
      </c>
    </row>
    <row r="19" spans="4:16" x14ac:dyDescent="0.3">
      <c r="D19" s="4" t="s">
        <v>111</v>
      </c>
      <c r="F19" s="46">
        <f>F10+F16+F17+F18</f>
        <v>4525</v>
      </c>
      <c r="G19" s="40">
        <f t="shared" ref="G19:O19" si="1">G10+G16+G17+G18</f>
        <v>5006</v>
      </c>
      <c r="H19" s="40">
        <f t="shared" si="1"/>
        <v>3887</v>
      </c>
      <c r="I19" s="40">
        <f t="shared" si="1"/>
        <v>5957</v>
      </c>
      <c r="J19" s="40">
        <f t="shared" si="1"/>
        <v>8973</v>
      </c>
      <c r="K19" s="40">
        <f t="shared" si="1"/>
        <v>12501</v>
      </c>
      <c r="L19" s="40">
        <f t="shared" si="1"/>
        <v>9283</v>
      </c>
      <c r="M19" s="40">
        <f t="shared" si="1"/>
        <v>9070</v>
      </c>
      <c r="N19" s="40">
        <f t="shared" si="1"/>
        <v>10896</v>
      </c>
      <c r="O19" s="56">
        <f t="shared" si="1"/>
        <v>10672</v>
      </c>
      <c r="P19" s="38"/>
    </row>
    <row r="20" spans="4:16" x14ac:dyDescent="0.3">
      <c r="D20" s="4"/>
      <c r="F20" s="44"/>
      <c r="G20" s="39"/>
      <c r="H20" s="39"/>
      <c r="I20" s="39"/>
      <c r="J20" s="39"/>
      <c r="K20" s="39"/>
      <c r="L20" s="39"/>
      <c r="M20" s="39"/>
      <c r="N20" s="39"/>
      <c r="O20" s="53"/>
    </row>
    <row r="21" spans="4:16" x14ac:dyDescent="0.3">
      <c r="D21" s="4" t="s">
        <v>115</v>
      </c>
      <c r="F21" s="44"/>
      <c r="G21" s="39"/>
      <c r="H21" s="39"/>
      <c r="I21" s="39"/>
      <c r="J21" s="39"/>
      <c r="K21" s="39"/>
      <c r="L21" s="39"/>
      <c r="M21" s="39"/>
      <c r="N21" s="39"/>
      <c r="O21" s="53"/>
    </row>
    <row r="22" spans="4:16" x14ac:dyDescent="0.3">
      <c r="D22" t="s">
        <v>91</v>
      </c>
      <c r="F22" s="44">
        <f>'Historical FS'!C70</f>
        <v>-2150</v>
      </c>
      <c r="G22" s="39">
        <f>'Historical FS'!D70</f>
        <v>-1402</v>
      </c>
      <c r="H22" s="39">
        <f>'Historical FS'!E70</f>
        <v>-2103</v>
      </c>
      <c r="I22" s="39">
        <f>'Historical FS'!F70</f>
        <v>-1808</v>
      </c>
      <c r="J22" s="39">
        <f>'Historical FS'!G70</f>
        <v>-1766</v>
      </c>
      <c r="K22" s="39">
        <f>'Historical FS'!H70</f>
        <v>-1925</v>
      </c>
      <c r="L22" s="39">
        <f>'Historical FS'!I70</f>
        <v>-5613</v>
      </c>
      <c r="M22" s="39">
        <f>'Historical FS'!J70</f>
        <v>-6200</v>
      </c>
      <c r="N22" s="39">
        <f>'Historical FS'!K70</f>
        <v>-9006</v>
      </c>
      <c r="O22" s="53">
        <f>'Historical FS'!L70</f>
        <v>-9129</v>
      </c>
    </row>
    <row r="23" spans="4:16" x14ac:dyDescent="0.3">
      <c r="D23" t="s">
        <v>92</v>
      </c>
      <c r="F23" s="44">
        <f>'Historical FS'!C71</f>
        <v>18</v>
      </c>
      <c r="G23" s="39">
        <f>'Historical FS'!D71</f>
        <v>35</v>
      </c>
      <c r="H23" s="39">
        <f>'Historical FS'!E71</f>
        <v>220</v>
      </c>
      <c r="I23" s="39">
        <f>'Historical FS'!F71</f>
        <v>160</v>
      </c>
      <c r="J23" s="39">
        <f>'Historical FS'!G71</f>
        <v>79</v>
      </c>
      <c r="K23" s="39">
        <f>'Historical FS'!H71</f>
        <v>86</v>
      </c>
      <c r="L23" s="39">
        <f>'Historical FS'!I71</f>
        <v>73</v>
      </c>
      <c r="M23" s="39">
        <f>'Historical FS'!J71</f>
        <v>95</v>
      </c>
      <c r="N23" s="39">
        <f>'Historical FS'!K71</f>
        <v>122</v>
      </c>
      <c r="O23" s="53">
        <f>'Historical FS'!L71</f>
        <v>179</v>
      </c>
    </row>
    <row r="24" spans="4:16" x14ac:dyDescent="0.3">
      <c r="D24" t="s">
        <v>93</v>
      </c>
      <c r="F24" s="44">
        <f>'Historical FS'!C72</f>
        <v>-2698</v>
      </c>
      <c r="G24" s="39">
        <f>'Historical FS'!D72</f>
        <v>-3377</v>
      </c>
      <c r="H24" s="39">
        <f>'Historical FS'!E72</f>
        <v>-3960</v>
      </c>
      <c r="I24" s="39">
        <f>'Historical FS'!F72</f>
        <v>-1700</v>
      </c>
      <c r="J24" s="39">
        <f>'Historical FS'!G72</f>
        <v>-6086</v>
      </c>
      <c r="K24" s="39">
        <f>'Historical FS'!H72</f>
        <v>-12689</v>
      </c>
      <c r="L24" s="39">
        <f>'Historical FS'!I72</f>
        <v>-7795</v>
      </c>
      <c r="M24" s="39">
        <f>'Historical FS'!J72</f>
        <v>-7260</v>
      </c>
      <c r="N24" s="39">
        <f>'Historical FS'!K72</f>
        <v>-7750</v>
      </c>
      <c r="O24" s="53">
        <f>'Historical FS'!L72</f>
        <v>-15885</v>
      </c>
    </row>
    <row r="25" spans="4:16" x14ac:dyDescent="0.3">
      <c r="D25" t="s">
        <v>94</v>
      </c>
      <c r="F25" s="44">
        <f>'Historical FS'!C73</f>
        <v>2948</v>
      </c>
      <c r="G25" s="39">
        <f>'Historical FS'!D73</f>
        <v>2228</v>
      </c>
      <c r="H25" s="39">
        <f>'Historical FS'!E73</f>
        <v>5588</v>
      </c>
      <c r="I25" s="39">
        <f>'Historical FS'!F73</f>
        <v>4478</v>
      </c>
      <c r="J25" s="39">
        <f>'Historical FS'!G73</f>
        <v>3443</v>
      </c>
      <c r="K25" s="39">
        <f>'Historical FS'!H73</f>
        <v>7101</v>
      </c>
      <c r="L25" s="39">
        <f>'Historical FS'!I73</f>
        <v>13965</v>
      </c>
      <c r="M25" s="39">
        <f>'Historical FS'!J73</f>
        <v>7156</v>
      </c>
      <c r="N25" s="39">
        <f>'Historical FS'!K73</f>
        <v>7164</v>
      </c>
      <c r="O25" s="53">
        <f>'Historical FS'!L73</f>
        <v>19115</v>
      </c>
    </row>
    <row r="26" spans="4:16" x14ac:dyDescent="0.3">
      <c r="D26" t="s">
        <v>95</v>
      </c>
      <c r="F26" s="44">
        <f>'Historical FS'!C74</f>
        <v>59</v>
      </c>
      <c r="G26" s="39">
        <f>'Historical FS'!D74</f>
        <v>47</v>
      </c>
      <c r="H26" s="39">
        <f>'Historical FS'!E74</f>
        <v>67</v>
      </c>
      <c r="I26" s="39">
        <f>'Historical FS'!F74</f>
        <v>78</v>
      </c>
      <c r="J26" s="39">
        <f>'Historical FS'!G74</f>
        <v>89</v>
      </c>
      <c r="K26" s="39">
        <f>'Historical FS'!H74</f>
        <v>77</v>
      </c>
      <c r="L26" s="39">
        <f>'Historical FS'!I74</f>
        <v>174</v>
      </c>
      <c r="M26" s="39">
        <f>'Historical FS'!J74</f>
        <v>283</v>
      </c>
      <c r="N26" s="39">
        <f>'Historical FS'!K74</f>
        <v>161</v>
      </c>
      <c r="O26" s="53">
        <f>'Historical FS'!L74</f>
        <v>342</v>
      </c>
    </row>
    <row r="27" spans="4:16" x14ac:dyDescent="0.3">
      <c r="D27" t="s">
        <v>96</v>
      </c>
      <c r="F27" s="44">
        <f>'Historical FS'!C75</f>
        <v>0</v>
      </c>
      <c r="G27" s="39">
        <f>'Historical FS'!D75</f>
        <v>0</v>
      </c>
      <c r="H27" s="39">
        <f>'Historical FS'!E75</f>
        <v>0</v>
      </c>
      <c r="I27" s="39">
        <f>'Historical FS'!F75</f>
        <v>22</v>
      </c>
      <c r="J27" s="39">
        <f>'Historical FS'!G75</f>
        <v>32</v>
      </c>
      <c r="K27" s="39">
        <f>'Historical FS'!H75</f>
        <v>0</v>
      </c>
      <c r="L27" s="39">
        <f>'Historical FS'!I75</f>
        <v>0</v>
      </c>
      <c r="M27" s="39">
        <f>'Historical FS'!J75</f>
        <v>0</v>
      </c>
      <c r="N27" s="39">
        <f>'Historical FS'!K75</f>
        <v>0</v>
      </c>
      <c r="O27" s="53">
        <f>'Historical FS'!L75</f>
        <v>1</v>
      </c>
    </row>
    <row r="28" spans="4:16" x14ac:dyDescent="0.3">
      <c r="D28" t="s">
        <v>97</v>
      </c>
      <c r="F28" s="44">
        <f>'Historical FS'!C76</f>
        <v>-13</v>
      </c>
      <c r="G28" s="39">
        <f>'Historical FS'!D76</f>
        <v>0</v>
      </c>
      <c r="H28" s="39">
        <f>'Historical FS'!E76</f>
        <v>0</v>
      </c>
      <c r="I28" s="39">
        <f>'Historical FS'!F76</f>
        <v>0</v>
      </c>
      <c r="J28" s="39">
        <f>'Historical FS'!G76</f>
        <v>0</v>
      </c>
      <c r="K28" s="39">
        <f>'Historical FS'!H76</f>
        <v>0</v>
      </c>
      <c r="L28" s="39">
        <f>'Historical FS'!I76</f>
        <v>0</v>
      </c>
      <c r="M28" s="39">
        <f>'Historical FS'!J76</f>
        <v>0</v>
      </c>
      <c r="N28" s="39">
        <f>'Historical FS'!K76</f>
        <v>0</v>
      </c>
      <c r="O28" s="53">
        <f>'Historical FS'!L76</f>
        <v>0</v>
      </c>
    </row>
    <row r="29" spans="4:16" x14ac:dyDescent="0.3">
      <c r="D29" t="s">
        <v>98</v>
      </c>
      <c r="F29" s="44">
        <f>'Historical FS'!C77</f>
        <v>0</v>
      </c>
      <c r="G29" s="39">
        <f>'Historical FS'!D77</f>
        <v>0</v>
      </c>
      <c r="H29" s="39">
        <f>'Historical FS'!E77</f>
        <v>-1</v>
      </c>
      <c r="I29" s="39">
        <f>'Historical FS'!F77</f>
        <v>-8</v>
      </c>
      <c r="J29" s="39">
        <f>'Historical FS'!G77</f>
        <v>-6</v>
      </c>
      <c r="K29" s="39">
        <f>'Historical FS'!H77</f>
        <v>-3</v>
      </c>
      <c r="L29" s="39">
        <f>'Historical FS'!I77</f>
        <v>0</v>
      </c>
      <c r="M29" s="39">
        <f>'Historical FS'!J77</f>
        <v>0</v>
      </c>
      <c r="N29" s="39">
        <f>'Historical FS'!K77</f>
        <v>0</v>
      </c>
      <c r="O29" s="53">
        <f>'Historical FS'!L77</f>
        <v>0</v>
      </c>
    </row>
    <row r="30" spans="4:16" x14ac:dyDescent="0.3">
      <c r="D30" t="s">
        <v>99</v>
      </c>
      <c r="F30" s="44">
        <f>'Historical FS'!C78</f>
        <v>0</v>
      </c>
      <c r="G30" s="39">
        <f>'Historical FS'!D78</f>
        <v>0</v>
      </c>
      <c r="H30" s="39">
        <f>'Historical FS'!E78</f>
        <v>0</v>
      </c>
      <c r="I30" s="39">
        <f>'Historical FS'!F78</f>
        <v>0</v>
      </c>
      <c r="J30" s="39">
        <f>'Historical FS'!G78</f>
        <v>0</v>
      </c>
      <c r="K30" s="39">
        <f>'Historical FS'!H78</f>
        <v>0</v>
      </c>
      <c r="L30" s="39">
        <f>'Historical FS'!I78</f>
        <v>0</v>
      </c>
      <c r="M30" s="39">
        <f>'Historical FS'!J78</f>
        <v>3</v>
      </c>
      <c r="N30" s="39">
        <f>'Historical FS'!K78</f>
        <v>0</v>
      </c>
      <c r="O30" s="53">
        <f>'Historical FS'!L78</f>
        <v>36</v>
      </c>
    </row>
    <row r="31" spans="4:16" x14ac:dyDescent="0.3">
      <c r="D31" t="s">
        <v>100</v>
      </c>
      <c r="F31" s="44">
        <f>'Historical FS'!C79</f>
        <v>0</v>
      </c>
      <c r="G31" s="39">
        <f>'Historical FS'!D79</f>
        <v>0</v>
      </c>
      <c r="H31" s="39">
        <f>'Historical FS'!E79</f>
        <v>0</v>
      </c>
      <c r="I31" s="39">
        <f>'Historical FS'!F79</f>
        <v>0</v>
      </c>
      <c r="J31" s="39">
        <f>'Historical FS'!G79</f>
        <v>0</v>
      </c>
      <c r="K31" s="39">
        <f>'Historical FS'!H79</f>
        <v>0</v>
      </c>
      <c r="L31" s="39">
        <f>'Historical FS'!I79</f>
        <v>0</v>
      </c>
      <c r="M31" s="39">
        <f>'Historical FS'!J79</f>
        <v>-847</v>
      </c>
      <c r="N31" s="39">
        <f>'Historical FS'!K79</f>
        <v>-60</v>
      </c>
      <c r="O31" s="53">
        <f>'Historical FS'!L79</f>
        <v>-10262</v>
      </c>
    </row>
    <row r="32" spans="4:16" x14ac:dyDescent="0.3">
      <c r="D32" t="s">
        <v>101</v>
      </c>
      <c r="F32" s="44">
        <f>'Historical FS'!C80</f>
        <v>-1839</v>
      </c>
      <c r="G32" s="39">
        <f>'Historical FS'!D80</f>
        <v>-32</v>
      </c>
      <c r="H32" s="39">
        <f>'Historical FS'!E80</f>
        <v>2055</v>
      </c>
      <c r="I32" s="39">
        <f>'Historical FS'!F80</f>
        <v>-58</v>
      </c>
      <c r="J32" s="39">
        <f>'Historical FS'!G80</f>
        <v>22</v>
      </c>
      <c r="K32" s="39">
        <f>'Historical FS'!H80</f>
        <v>-1503</v>
      </c>
      <c r="L32" s="39">
        <f>'Historical FS'!I80</f>
        <v>1518</v>
      </c>
      <c r="M32" s="39">
        <f>'Historical FS'!J80</f>
        <v>-417</v>
      </c>
      <c r="N32" s="39">
        <f>'Historical FS'!K80</f>
        <v>581</v>
      </c>
      <c r="O32" s="53">
        <f>'Historical FS'!L80</f>
        <v>-232</v>
      </c>
    </row>
    <row r="33" spans="4:15" x14ac:dyDescent="0.3">
      <c r="D33" s="4" t="s">
        <v>112</v>
      </c>
      <c r="F33" s="46">
        <f>SUM(F22:F32)</f>
        <v>-3675</v>
      </c>
      <c r="G33" s="40">
        <f t="shared" ref="G33:O33" si="2">SUM(G22:G32)</f>
        <v>-2501</v>
      </c>
      <c r="H33" s="40">
        <f t="shared" si="2"/>
        <v>1866</v>
      </c>
      <c r="I33" s="40">
        <f t="shared" si="2"/>
        <v>1164</v>
      </c>
      <c r="J33" s="40">
        <f t="shared" si="2"/>
        <v>-4193</v>
      </c>
      <c r="K33" s="40">
        <f t="shared" si="2"/>
        <v>-8856</v>
      </c>
      <c r="L33" s="40">
        <f t="shared" si="2"/>
        <v>2322</v>
      </c>
      <c r="M33" s="40">
        <f t="shared" si="2"/>
        <v>-7187</v>
      </c>
      <c r="N33" s="40">
        <f t="shared" si="2"/>
        <v>-8788</v>
      </c>
      <c r="O33" s="56">
        <f t="shared" si="2"/>
        <v>-15835</v>
      </c>
    </row>
    <row r="34" spans="4:15" x14ac:dyDescent="0.3">
      <c r="F34" s="44"/>
      <c r="G34" s="39"/>
      <c r="H34" s="39"/>
      <c r="I34" s="39"/>
      <c r="J34" s="39"/>
      <c r="K34" s="39"/>
      <c r="L34" s="39"/>
      <c r="M34" s="39"/>
      <c r="N34" s="39"/>
      <c r="O34" s="53"/>
    </row>
    <row r="35" spans="4:15" x14ac:dyDescent="0.3">
      <c r="D35" s="4" t="s">
        <v>116</v>
      </c>
      <c r="F35" s="44"/>
      <c r="G35" s="39"/>
      <c r="H35" s="39"/>
      <c r="I35" s="39"/>
      <c r="J35" s="39"/>
      <c r="K35" s="39"/>
      <c r="L35" s="39"/>
      <c r="M35" s="39"/>
      <c r="N35" s="39"/>
      <c r="O35" s="53"/>
    </row>
    <row r="36" spans="4:15" x14ac:dyDescent="0.3">
      <c r="D36" t="s">
        <v>103</v>
      </c>
      <c r="F36" s="44">
        <f>'Historical FS'!C83</f>
        <v>3</v>
      </c>
      <c r="G36" s="39">
        <f>'Historical FS'!D83</f>
        <v>7</v>
      </c>
      <c r="H36" s="39">
        <f>'Historical FS'!E83</f>
        <v>16</v>
      </c>
      <c r="I36" s="39">
        <f>'Historical FS'!F83</f>
        <v>5</v>
      </c>
      <c r="J36" s="39">
        <f>'Historical FS'!G83</f>
        <v>3</v>
      </c>
      <c r="K36" s="39">
        <f>'Historical FS'!H83</f>
        <v>14</v>
      </c>
      <c r="L36" s="39">
        <f>'Historical FS'!I83</f>
        <v>13</v>
      </c>
      <c r="M36" s="39">
        <f>'Historical FS'!J83</f>
        <v>13</v>
      </c>
      <c r="N36" s="39">
        <f>'Historical FS'!K83</f>
        <v>18</v>
      </c>
      <c r="O36" s="53">
        <f>'Historical FS'!L83</f>
        <v>33</v>
      </c>
    </row>
    <row r="37" spans="4:15" x14ac:dyDescent="0.3">
      <c r="D37" t="s">
        <v>104</v>
      </c>
      <c r="F37" s="44">
        <f>'Historical FS'!C84</f>
        <v>2821</v>
      </c>
      <c r="G37" s="39">
        <f>'Historical FS'!D84</f>
        <v>3656</v>
      </c>
      <c r="H37" s="39">
        <f>'Historical FS'!E84</f>
        <v>15775</v>
      </c>
      <c r="I37" s="39">
        <f>'Historical FS'!F84</f>
        <v>9772</v>
      </c>
      <c r="J37" s="39">
        <f>'Historical FS'!G84</f>
        <v>1510</v>
      </c>
      <c r="K37" s="39">
        <f>'Historical FS'!H84</f>
        <v>4103</v>
      </c>
      <c r="L37" s="39">
        <f>'Historical FS'!I84</f>
        <v>175</v>
      </c>
      <c r="M37" s="39">
        <f>'Historical FS'!J84</f>
        <v>1032</v>
      </c>
      <c r="N37" s="39">
        <f>'Historical FS'!K84</f>
        <v>1399</v>
      </c>
      <c r="O37" s="53">
        <f>'Historical FS'!L84</f>
        <v>9410</v>
      </c>
    </row>
    <row r="38" spans="4:15" x14ac:dyDescent="0.3">
      <c r="D38" t="s">
        <v>105</v>
      </c>
      <c r="F38" s="44">
        <f>'Historical FS'!C85</f>
        <v>-2775</v>
      </c>
      <c r="G38" s="39">
        <f>'Historical FS'!D85</f>
        <v>-5272</v>
      </c>
      <c r="H38" s="39">
        <f>'Historical FS'!E85</f>
        <v>-19982</v>
      </c>
      <c r="I38" s="39">
        <f>'Historical FS'!F85</f>
        <v>-14420</v>
      </c>
      <c r="J38" s="39">
        <f>'Historical FS'!G85</f>
        <v>-4154</v>
      </c>
      <c r="K38" s="39">
        <f>'Historical FS'!H85</f>
        <v>-6499</v>
      </c>
      <c r="L38" s="39">
        <f>'Historical FS'!I85</f>
        <v>-10346</v>
      </c>
      <c r="M38" s="39">
        <f>'Historical FS'!J85</f>
        <v>-579</v>
      </c>
      <c r="N38" s="39">
        <f>'Historical FS'!K85</f>
        <v>-1069</v>
      </c>
      <c r="O38" s="53">
        <f>'Historical FS'!L85</f>
        <v>-550</v>
      </c>
    </row>
    <row r="39" spans="4:15" x14ac:dyDescent="0.3">
      <c r="D39" t="s">
        <v>106</v>
      </c>
      <c r="F39" s="44">
        <f>'Historical FS'!C86</f>
        <v>-596</v>
      </c>
      <c r="G39" s="39">
        <f>'Historical FS'!D86</f>
        <v>-614</v>
      </c>
      <c r="H39" s="39">
        <f>'Historical FS'!E86</f>
        <v>-1210</v>
      </c>
      <c r="I39" s="39">
        <f>'Historical FS'!F86</f>
        <v>-1685</v>
      </c>
      <c r="J39" s="39">
        <f>'Historical FS'!G86</f>
        <v>-1950</v>
      </c>
      <c r="K39" s="39">
        <f>'Historical FS'!H86</f>
        <v>-1481</v>
      </c>
      <c r="L39" s="39">
        <f>'Historical FS'!I86</f>
        <v>-1026</v>
      </c>
      <c r="M39" s="39">
        <f>'Historical FS'!J86</f>
        <v>-765</v>
      </c>
      <c r="N39" s="39">
        <f>'Historical FS'!K86</f>
        <v>-917</v>
      </c>
      <c r="O39" s="53">
        <f>'Historical FS'!L86</f>
        <v>-1540</v>
      </c>
    </row>
    <row r="40" spans="4:15" x14ac:dyDescent="0.3">
      <c r="D40" t="s">
        <v>107</v>
      </c>
      <c r="F40" s="44">
        <f>'Historical FS'!C87</f>
        <v>-297</v>
      </c>
      <c r="G40" s="39">
        <f>'Historical FS'!D87</f>
        <v>-312</v>
      </c>
      <c r="H40" s="39">
        <f>'Historical FS'!E87</f>
        <v>-334</v>
      </c>
      <c r="I40" s="39">
        <f>'Historical FS'!F87</f>
        <v>-346</v>
      </c>
      <c r="J40" s="39">
        <f>'Historical FS'!G87</f>
        <v>-380</v>
      </c>
      <c r="K40" s="39">
        <f>'Historical FS'!H87</f>
        <v>-375</v>
      </c>
      <c r="L40" s="39">
        <f>'Historical FS'!I87</f>
        <v>-1065</v>
      </c>
      <c r="M40" s="39">
        <f>'Historical FS'!J87</f>
        <v>-1091</v>
      </c>
      <c r="N40" s="39">
        <f>'Historical FS'!K87</f>
        <v>-1094</v>
      </c>
      <c r="O40" s="53">
        <f>'Historical FS'!L87</f>
        <v>-2012</v>
      </c>
    </row>
    <row r="41" spans="4:15" x14ac:dyDescent="0.3">
      <c r="D41" t="s">
        <v>108</v>
      </c>
      <c r="F41" s="44">
        <f>'Historical FS'!C88</f>
        <v>0</v>
      </c>
      <c r="G41" s="39">
        <f>'Historical FS'!D88</f>
        <v>0</v>
      </c>
      <c r="H41" s="39">
        <f>'Historical FS'!E88</f>
        <v>0</v>
      </c>
      <c r="I41" s="39">
        <f>'Historical FS'!F88</f>
        <v>0</v>
      </c>
      <c r="J41" s="39">
        <f>'Historical FS'!G88</f>
        <v>-101</v>
      </c>
      <c r="K41" s="39">
        <f>'Historical FS'!H88</f>
        <v>-118</v>
      </c>
      <c r="L41" s="39">
        <f>'Historical FS'!I88</f>
        <v>-157</v>
      </c>
      <c r="M41" s="39">
        <f>'Historical FS'!J88</f>
        <v>-126</v>
      </c>
      <c r="N41" s="39">
        <f>'Historical FS'!K88</f>
        <v>-162</v>
      </c>
      <c r="O41" s="53">
        <f>'Historical FS'!L88</f>
        <v>-165</v>
      </c>
    </row>
    <row r="42" spans="4:15" x14ac:dyDescent="0.3">
      <c r="D42" t="s">
        <v>109</v>
      </c>
      <c r="F42" s="44">
        <f>'Historical FS'!C89</f>
        <v>1</v>
      </c>
      <c r="G42" s="39">
        <f>'Historical FS'!D89</f>
        <v>0</v>
      </c>
      <c r="H42" s="39">
        <f>'Historical FS'!E89</f>
        <v>0</v>
      </c>
      <c r="I42" s="39">
        <f>'Historical FS'!F89</f>
        <v>-83</v>
      </c>
      <c r="J42" s="39">
        <f>'Historical FS'!G89</f>
        <v>-4</v>
      </c>
      <c r="K42" s="39">
        <f>'Historical FS'!H89</f>
        <v>0</v>
      </c>
      <c r="L42" s="39">
        <f>'Historical FS'!I89</f>
        <v>-91</v>
      </c>
      <c r="M42" s="39">
        <f>'Historical FS'!J89</f>
        <v>-115</v>
      </c>
      <c r="N42" s="39">
        <f>'Historical FS'!K89</f>
        <v>-100</v>
      </c>
      <c r="O42" s="53">
        <f>'Historical FS'!L89</f>
        <v>-100</v>
      </c>
    </row>
    <row r="43" spans="4:15" x14ac:dyDescent="0.3">
      <c r="D43" s="4" t="s">
        <v>113</v>
      </c>
      <c r="F43" s="46">
        <f>SUM(F36:F42)</f>
        <v>-843</v>
      </c>
      <c r="G43" s="40">
        <f t="shared" ref="G43:O43" si="3">SUM(G36:G42)</f>
        <v>-2535</v>
      </c>
      <c r="H43" s="40">
        <f t="shared" si="3"/>
        <v>-5735</v>
      </c>
      <c r="I43" s="40">
        <f t="shared" si="3"/>
        <v>-6757</v>
      </c>
      <c r="J43" s="40">
        <f t="shared" si="3"/>
        <v>-5076</v>
      </c>
      <c r="K43" s="40">
        <f t="shared" si="3"/>
        <v>-4356</v>
      </c>
      <c r="L43" s="40">
        <f t="shared" si="3"/>
        <v>-12497</v>
      </c>
      <c r="M43" s="40">
        <f t="shared" si="3"/>
        <v>-1631</v>
      </c>
      <c r="N43" s="40">
        <f t="shared" si="3"/>
        <v>-1925</v>
      </c>
      <c r="O43" s="56">
        <f t="shared" si="3"/>
        <v>5076</v>
      </c>
    </row>
    <row r="44" spans="4:15" x14ac:dyDescent="0.3">
      <c r="F44" s="49"/>
      <c r="O44" s="60"/>
    </row>
    <row r="45" spans="4:15" x14ac:dyDescent="0.3">
      <c r="D45" s="68" t="s">
        <v>12</v>
      </c>
      <c r="F45" s="48">
        <f>F19+F33+F43</f>
        <v>7</v>
      </c>
      <c r="G45" s="41">
        <f t="shared" ref="G45:O45" si="4">G19+G33+G43</f>
        <v>-30</v>
      </c>
      <c r="H45" s="41">
        <f t="shared" si="4"/>
        <v>18</v>
      </c>
      <c r="I45" s="41">
        <f t="shared" si="4"/>
        <v>364</v>
      </c>
      <c r="J45" s="41">
        <f t="shared" si="4"/>
        <v>-296</v>
      </c>
      <c r="K45" s="41">
        <f t="shared" si="4"/>
        <v>-711</v>
      </c>
      <c r="L45" s="41">
        <f t="shared" si="4"/>
        <v>-892</v>
      </c>
      <c r="M45" s="41">
        <f t="shared" si="4"/>
        <v>252</v>
      </c>
      <c r="N45" s="41">
        <f t="shared" si="4"/>
        <v>183</v>
      </c>
      <c r="O45" s="59">
        <f t="shared" si="4"/>
        <v>-87</v>
      </c>
    </row>
    <row r="47" spans="4:15" x14ac:dyDescent="0.3">
      <c r="D47" s="92"/>
      <c r="E47" s="92"/>
      <c r="F47" s="92"/>
      <c r="G47" s="92"/>
      <c r="H47" s="92"/>
      <c r="I47" s="92"/>
      <c r="J47" s="92"/>
      <c r="K47" s="92"/>
      <c r="L47" s="92"/>
      <c r="M47" s="92"/>
      <c r="N47" s="92"/>
      <c r="O47" s="92"/>
    </row>
  </sheetData>
  <mergeCells count="1">
    <mergeCell ref="F7:O7"/>
  </mergeCells>
  <pageMargins left="0.70866141732283472" right="0.70866141732283472" top="0.74803149606299213" bottom="0.74803149606299213" header="0.31496062992125984" footer="0.31496062992125984"/>
  <pageSetup scale="73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E1527-0C1E-4853-B299-6F1757A6185C}">
  <sheetPr>
    <pageSetUpPr fitToPage="1"/>
  </sheetPr>
  <dimension ref="D2:O45"/>
  <sheetViews>
    <sheetView showGridLines="0" workbookViewId="0">
      <selection activeCell="T13" sqref="T13"/>
    </sheetView>
  </sheetViews>
  <sheetFormatPr defaultRowHeight="14.4" x14ac:dyDescent="0.3"/>
  <cols>
    <col min="1" max="3" width="2.33203125" customWidth="1"/>
    <col min="4" max="4" width="20.77734375" customWidth="1"/>
    <col min="5" max="15" width="10.77734375" customWidth="1"/>
    <col min="16" max="16" width="2.33203125" customWidth="1"/>
  </cols>
  <sheetData>
    <row r="2" spans="4:15" ht="21" x14ac:dyDescent="0.4">
      <c r="D2" s="89" t="s">
        <v>117</v>
      </c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</row>
    <row r="3" spans="4:15" ht="18" x14ac:dyDescent="0.35">
      <c r="D3" s="90" t="s">
        <v>139</v>
      </c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</row>
    <row r="4" spans="4:15" x14ac:dyDescent="0.3">
      <c r="D4" s="91" t="s">
        <v>369</v>
      </c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</row>
    <row r="6" spans="4:15" ht="15.6" x14ac:dyDescent="0.3">
      <c r="D6" s="105" t="s">
        <v>142</v>
      </c>
      <c r="E6" s="92"/>
      <c r="F6" s="92"/>
      <c r="G6" s="92"/>
      <c r="H6" s="92"/>
      <c r="I6" s="92"/>
      <c r="J6" s="92"/>
      <c r="K6" s="92"/>
      <c r="L6" s="92"/>
      <c r="M6" s="92"/>
      <c r="N6" s="92"/>
      <c r="O6" s="92"/>
    </row>
    <row r="7" spans="4:15" x14ac:dyDescent="0.3">
      <c r="D7" s="70"/>
      <c r="E7" s="70"/>
      <c r="F7" s="373" t="s">
        <v>127</v>
      </c>
      <c r="G7" s="374"/>
      <c r="H7" s="374"/>
      <c r="I7" s="374"/>
      <c r="J7" s="374"/>
      <c r="K7" s="374"/>
      <c r="L7" s="374"/>
      <c r="M7" s="374"/>
      <c r="N7" s="374"/>
      <c r="O7" s="375"/>
    </row>
    <row r="8" spans="4:15" x14ac:dyDescent="0.3">
      <c r="D8" s="83" t="s">
        <v>140</v>
      </c>
      <c r="E8" s="72"/>
      <c r="F8" s="236">
        <f>'Historical FS'!C11</f>
        <v>42460</v>
      </c>
      <c r="G8" s="73">
        <f>'Historical FS'!D11</f>
        <v>42825</v>
      </c>
      <c r="H8" s="73">
        <f>'Historical FS'!E11</f>
        <v>43190</v>
      </c>
      <c r="I8" s="73">
        <f>'Historical FS'!F11</f>
        <v>43555</v>
      </c>
      <c r="J8" s="73">
        <f>'Historical FS'!G11</f>
        <v>43921</v>
      </c>
      <c r="K8" s="73">
        <f>'Historical FS'!H11</f>
        <v>44286</v>
      </c>
      <c r="L8" s="73">
        <f>'Historical FS'!I11</f>
        <v>44651</v>
      </c>
      <c r="M8" s="73">
        <f>'Historical FS'!J11</f>
        <v>45016</v>
      </c>
      <c r="N8" s="73">
        <f>'Historical FS'!K11</f>
        <v>45382</v>
      </c>
      <c r="O8" s="76">
        <f>'Historical FS'!L11</f>
        <v>45747</v>
      </c>
    </row>
    <row r="9" spans="4:15" x14ac:dyDescent="0.3">
      <c r="D9" s="33" t="s">
        <v>61</v>
      </c>
      <c r="E9" s="4"/>
      <c r="F9" s="245">
        <f>'Data Sheet'!B17/'Data Sheet'!B$17</f>
        <v>1</v>
      </c>
      <c r="G9" s="246">
        <f>'Data Sheet'!C17/'Data Sheet'!C$17</f>
        <v>1</v>
      </c>
      <c r="H9" s="246">
        <f>'Data Sheet'!D17/'Data Sheet'!D$17</f>
        <v>1</v>
      </c>
      <c r="I9" s="246">
        <f>'Data Sheet'!E17/'Data Sheet'!E$17</f>
        <v>1</v>
      </c>
      <c r="J9" s="246">
        <f>'Data Sheet'!F17/'Data Sheet'!F$17</f>
        <v>1</v>
      </c>
      <c r="K9" s="246">
        <f>'Data Sheet'!G17/'Data Sheet'!G$17</f>
        <v>1</v>
      </c>
      <c r="L9" s="246">
        <f>'Data Sheet'!H17/'Data Sheet'!H$17</f>
        <v>1</v>
      </c>
      <c r="M9" s="246">
        <f>'Data Sheet'!I17/'Data Sheet'!I$17</f>
        <v>1</v>
      </c>
      <c r="N9" s="246">
        <f>'Data Sheet'!J17/'Data Sheet'!J$17</f>
        <v>1</v>
      </c>
      <c r="O9" s="247">
        <f>'Data Sheet'!K17/'Data Sheet'!K$17</f>
        <v>1</v>
      </c>
    </row>
    <row r="10" spans="4:15" x14ac:dyDescent="0.3">
      <c r="D10" s="84" t="str">
        <f>'Data Sheet'!A18</f>
        <v>Raw Material Cost</v>
      </c>
      <c r="F10" s="47">
        <f>'Data Sheet'!B18/'Data Sheet'!B$17</f>
        <v>0.17636376069245949</v>
      </c>
      <c r="G10" s="57">
        <f>'Data Sheet'!C18/'Data Sheet'!C$17</f>
        <v>0.17406543621383933</v>
      </c>
      <c r="H10" s="57">
        <f>'Data Sheet'!D18/'Data Sheet'!D$17</f>
        <v>0.1743131230506717</v>
      </c>
      <c r="I10" s="57">
        <f>'Data Sheet'!E18/'Data Sheet'!E$17</f>
        <v>0.1673025059415478</v>
      </c>
      <c r="J10" s="57">
        <f>'Data Sheet'!F18/'Data Sheet'!F$17</f>
        <v>0.16205297727616075</v>
      </c>
      <c r="K10" s="57">
        <f>'Data Sheet'!G18/'Data Sheet'!G$17</f>
        <v>0.1483631371602073</v>
      </c>
      <c r="L10" s="57">
        <f>'Data Sheet'!H18/'Data Sheet'!H$17</f>
        <v>0.1587136063672899</v>
      </c>
      <c r="M10" s="57">
        <f>'Data Sheet'!I18/'Data Sheet'!I$17</f>
        <v>0.1618148835594192</v>
      </c>
      <c r="N10" s="57">
        <f>'Data Sheet'!J18/'Data Sheet'!J$17</f>
        <v>0.16903940788744423</v>
      </c>
      <c r="O10" s="58">
        <f>'Data Sheet'!K18/'Data Sheet'!K$17</f>
        <v>0.18025721238315304</v>
      </c>
    </row>
    <row r="11" spans="4:15" x14ac:dyDescent="0.3">
      <c r="D11" s="84" t="str">
        <f>'Data Sheet'!A19</f>
        <v>Change in Inventory</v>
      </c>
      <c r="F11" s="47">
        <f>'Data Sheet'!B19/'Data Sheet'!B$17</f>
        <v>7.3986492396208199E-4</v>
      </c>
      <c r="G11" s="57">
        <f>'Data Sheet'!C19/'Data Sheet'!C$17</f>
        <v>-2.9828641959350447E-3</v>
      </c>
      <c r="H11" s="57">
        <f>'Data Sheet'!D19/'Data Sheet'!D$17</f>
        <v>3.5895724212376152E-3</v>
      </c>
      <c r="I11" s="57">
        <f>'Data Sheet'!E19/'Data Sheet'!E$17</f>
        <v>-1.1178840709599525E-3</v>
      </c>
      <c r="J11" s="57">
        <f>'Data Sheet'!F19/'Data Sheet'!F$17</f>
        <v>8.433441613918867E-3</v>
      </c>
      <c r="K11" s="57">
        <f>'Data Sheet'!G19/'Data Sheet'!G$17</f>
        <v>-1.0064660665656063E-2</v>
      </c>
      <c r="L11" s="57">
        <f>'Data Sheet'!H19/'Data Sheet'!H$17</f>
        <v>7.2845726796584645E-3</v>
      </c>
      <c r="M11" s="57">
        <f>'Data Sheet'!I19/'Data Sheet'!I$17</f>
        <v>8.1943416174388422E-3</v>
      </c>
      <c r="N11" s="57">
        <f>'Data Sheet'!J19/'Data Sheet'!J$17</f>
        <v>1.1754644812288122E-3</v>
      </c>
      <c r="O11" s="58">
        <f>'Data Sheet'!K19/'Data Sheet'!K$17</f>
        <v>-1.6154274240594413E-4</v>
      </c>
    </row>
    <row r="12" spans="4:15" x14ac:dyDescent="0.3">
      <c r="D12" s="84" t="str">
        <f>'Data Sheet'!A20</f>
        <v>Power and Fuel</v>
      </c>
      <c r="F12" s="47">
        <f>'Data Sheet'!B20/'Data Sheet'!B$17</f>
        <v>0.18205408130324363</v>
      </c>
      <c r="G12" s="57">
        <f>'Data Sheet'!C20/'Data Sheet'!C$17</f>
        <v>0.16835428970472441</v>
      </c>
      <c r="H12" s="57">
        <f>'Data Sheet'!D20/'Data Sheet'!D$17</f>
        <v>0.20446585419234298</v>
      </c>
      <c r="I12" s="57">
        <f>'Data Sheet'!E20/'Data Sheet'!E$17</f>
        <v>0.22758383165799451</v>
      </c>
      <c r="J12" s="57">
        <f>'Data Sheet'!F20/'Data Sheet'!F$17</f>
        <v>0.2007280716494905</v>
      </c>
      <c r="K12" s="57">
        <f>'Data Sheet'!G20/'Data Sheet'!G$17</f>
        <v>0.18627235287015548</v>
      </c>
      <c r="L12" s="57">
        <f>'Data Sheet'!H20/'Data Sheet'!H$17</f>
        <v>0.23075152051861228</v>
      </c>
      <c r="M12" s="57">
        <f>'Data Sheet'!I20/'Data Sheet'!I$17</f>
        <v>0.29239920695737093</v>
      </c>
      <c r="N12" s="57">
        <f>'Data Sheet'!J20/'Data Sheet'!J$17</f>
        <v>0.25784515007726899</v>
      </c>
      <c r="O12" s="58">
        <f>'Data Sheet'!K20/'Data Sheet'!K$17</f>
        <v>0.24250040780655632</v>
      </c>
    </row>
    <row r="13" spans="4:15" x14ac:dyDescent="0.3">
      <c r="D13" s="84" t="str">
        <f>'Data Sheet'!A21</f>
        <v>Other Mfr. Exp</v>
      </c>
      <c r="F13" s="47">
        <f>'Data Sheet'!B21/'Data Sheet'!B$17</f>
        <v>7.6883932248887218E-2</v>
      </c>
      <c r="G13" s="57">
        <f>'Data Sheet'!C21/'Data Sheet'!C$17</f>
        <v>7.8474274224884871E-2</v>
      </c>
      <c r="H13" s="57">
        <f>'Data Sheet'!D21/'Data Sheet'!D$17</f>
        <v>7.3906778287735231E-2</v>
      </c>
      <c r="I13" s="57">
        <f>'Data Sheet'!E21/'Data Sheet'!E$17</f>
        <v>7.2380521466991907E-2</v>
      </c>
      <c r="J13" s="57">
        <f>'Data Sheet'!F21/'Data Sheet'!F$17</f>
        <v>7.1725380386326726E-2</v>
      </c>
      <c r="K13" s="57">
        <f>'Data Sheet'!G21/'Data Sheet'!G$17</f>
        <v>6.8581892330601121E-2</v>
      </c>
      <c r="L13" s="57">
        <f>'Data Sheet'!H21/'Data Sheet'!H$17</f>
        <v>7.3949743749052971E-2</v>
      </c>
      <c r="M13" s="57">
        <f>'Data Sheet'!I21/'Data Sheet'!I$17</f>
        <v>6.8696100156894424E-2</v>
      </c>
      <c r="N13" s="57">
        <f>'Data Sheet'!J21/'Data Sheet'!J$17</f>
        <v>6.9077682759694448E-2</v>
      </c>
      <c r="O13" s="58">
        <f>'Data Sheet'!K21/'Data Sheet'!K$17</f>
        <v>7.2076895925265339E-2</v>
      </c>
    </row>
    <row r="14" spans="4:15" x14ac:dyDescent="0.3">
      <c r="D14" s="84" t="str">
        <f>'Data Sheet'!A22</f>
        <v>Employee Cost</v>
      </c>
      <c r="F14" s="47">
        <f>'Data Sheet'!B22/'Data Sheet'!B$17</f>
        <v>5.8302230647025985E-2</v>
      </c>
      <c r="G14" s="57">
        <f>'Data Sheet'!C22/'Data Sheet'!C$17</f>
        <v>6.0996006295975479E-2</v>
      </c>
      <c r="H14" s="57">
        <f>'Data Sheet'!D22/'Data Sheet'!D$17</f>
        <v>5.9131426771108588E-2</v>
      </c>
      <c r="I14" s="57">
        <f>'Data Sheet'!E22/'Data Sheet'!E$17</f>
        <v>5.5699568716225306E-2</v>
      </c>
      <c r="J14" s="57">
        <f>'Data Sheet'!F22/'Data Sheet'!F$17</f>
        <v>5.9454313928223708E-2</v>
      </c>
      <c r="K14" s="57">
        <f>'Data Sheet'!G22/'Data Sheet'!G$17</f>
        <v>5.2840418729234576E-2</v>
      </c>
      <c r="L14" s="57">
        <f>'Data Sheet'!H22/'Data Sheet'!H$17</f>
        <v>4.8385106664920109E-2</v>
      </c>
      <c r="M14" s="57">
        <f>'Data Sheet'!I22/'Data Sheet'!I$17</f>
        <v>4.3505864486358153E-2</v>
      </c>
      <c r="N14" s="57">
        <f>'Data Sheet'!J22/'Data Sheet'!J$17</f>
        <v>4.3041461812423791E-2</v>
      </c>
      <c r="O14" s="58">
        <f>'Data Sheet'!K22/'Data Sheet'!K$17</f>
        <v>4.764984274268242E-2</v>
      </c>
    </row>
    <row r="15" spans="4:15" x14ac:dyDescent="0.3">
      <c r="D15" s="84" t="str">
        <f>'Data Sheet'!A23</f>
        <v>Selling and admin</v>
      </c>
      <c r="F15" s="47">
        <f>'Data Sheet'!B23/'Data Sheet'!B$17</f>
        <v>0.28626411547776748</v>
      </c>
      <c r="G15" s="57">
        <f>'Data Sheet'!C23/'Data Sheet'!C$17</f>
        <v>0.28173938539362064</v>
      </c>
      <c r="H15" s="57">
        <f>'Data Sheet'!D23/'Data Sheet'!D$17</f>
        <v>0.26858136353394702</v>
      </c>
      <c r="I15" s="57">
        <f>'Data Sheet'!E23/'Data Sheet'!E$17</f>
        <v>0.2788994135871995</v>
      </c>
      <c r="J15" s="57">
        <f>'Data Sheet'!F23/'Data Sheet'!F$17</f>
        <v>0.26484442924551538</v>
      </c>
      <c r="K15" s="57">
        <f>'Data Sheet'!G23/'Data Sheet'!G$17</f>
        <v>0.25189085494278468</v>
      </c>
      <c r="L15" s="57">
        <f>'Data Sheet'!H23/'Data Sheet'!H$17</f>
        <v>0.25251930508720438</v>
      </c>
      <c r="M15" s="57">
        <f>'Data Sheet'!I23/'Data Sheet'!I$17</f>
        <v>0.25078439303744243</v>
      </c>
      <c r="N15" s="57">
        <f>'Data Sheet'!J23/'Data Sheet'!J$17</f>
        <v>0.25479373736217026</v>
      </c>
      <c r="O15" s="58">
        <f>'Data Sheet'!K23/'Data Sheet'!K$17</f>
        <v>0.257677789505462</v>
      </c>
    </row>
    <row r="16" spans="4:15" x14ac:dyDescent="0.3">
      <c r="D16" s="84" t="str">
        <f>'Data Sheet'!A24</f>
        <v>Other Expenses</v>
      </c>
      <c r="F16" s="47">
        <f>'Data Sheet'!B24/'Data Sheet'!B$17</f>
        <v>2.602726328695627E-2</v>
      </c>
      <c r="G16" s="57">
        <f>'Data Sheet'!C24/'Data Sheet'!C$17</f>
        <v>2.7970903576520774E-2</v>
      </c>
      <c r="H16" s="57">
        <f>'Data Sheet'!D24/'Data Sheet'!D$17</f>
        <v>2.4827445509193115E-2</v>
      </c>
      <c r="I16" s="57">
        <f>'Data Sheet'!E24/'Data Sheet'!E$17</f>
        <v>1.9820434293740859E-2</v>
      </c>
      <c r="J16" s="57">
        <f>'Data Sheet'!F24/'Data Sheet'!F$17</f>
        <v>3.1716556418128823E-2</v>
      </c>
      <c r="K16" s="57">
        <f>'Data Sheet'!G24/'Data Sheet'!G$17</f>
        <v>2.3346032938482933E-2</v>
      </c>
      <c r="L16" s="57">
        <f>'Data Sheet'!H24/'Data Sheet'!H$17</f>
        <v>2.4056428631587429E-2</v>
      </c>
      <c r="M16" s="57">
        <f>'Data Sheet'!I24/'Data Sheet'!I$17</f>
        <v>2.3064523423315438E-2</v>
      </c>
      <c r="N16" s="57">
        <f>'Data Sheet'!J24/'Data Sheet'!J$17</f>
        <v>2.4344595698039748E-2</v>
      </c>
      <c r="O16" s="58">
        <f>'Data Sheet'!K24/'Data Sheet'!K$17</f>
        <v>3.1196839502479947E-2</v>
      </c>
    </row>
    <row r="17" spans="4:15" x14ac:dyDescent="0.3">
      <c r="D17" s="84" t="str">
        <f>'Data Sheet'!A25</f>
        <v>Other Income</v>
      </c>
      <c r="F17" s="47">
        <f>'Data Sheet'!B25/'Data Sheet'!B$17</f>
        <v>1.8439374013049611E-2</v>
      </c>
      <c r="G17" s="57">
        <f>'Data Sheet'!C25/'Data Sheet'!C$17</f>
        <v>2.5541735271098178E-2</v>
      </c>
      <c r="H17" s="57">
        <f>'Data Sheet'!D25/'Data Sheet'!D$17</f>
        <v>7.8108708522200152E-3</v>
      </c>
      <c r="I17" s="57">
        <f>'Data Sheet'!E25/'Data Sheet'!E$17</f>
        <v>8.4438233709402243E-3</v>
      </c>
      <c r="J17" s="57">
        <f>'Data Sheet'!F25/'Data Sheet'!F$17</f>
        <v>1.5344371621043561E-2</v>
      </c>
      <c r="K17" s="57">
        <f>'Data Sheet'!G25/'Data Sheet'!G$17</f>
        <v>1.3829154537202239E-2</v>
      </c>
      <c r="L17" s="57">
        <f>'Data Sheet'!H25/'Data Sheet'!H$17</f>
        <v>1.2727089176698415E-2</v>
      </c>
      <c r="M17" s="57">
        <f>'Data Sheet'!I25/'Data Sheet'!I$17</f>
        <v>8.0188197402971985E-3</v>
      </c>
      <c r="N17" s="57">
        <f>'Data Sheet'!J25/'Data Sheet'!J$17</f>
        <v>7.8546694356952541E-3</v>
      </c>
      <c r="O17" s="58">
        <f>'Data Sheet'!K25/'Data Sheet'!K$17</f>
        <v>5.223346994468971E-3</v>
      </c>
    </row>
    <row r="18" spans="4:15" x14ac:dyDescent="0.3">
      <c r="D18" s="84" t="str">
        <f>'Data Sheet'!A26</f>
        <v>Depreciation</v>
      </c>
      <c r="F18" s="47">
        <f>'Data Sheet'!B26/'Data Sheet'!B$17</f>
        <v>5.4751197062485789E-2</v>
      </c>
      <c r="G18" s="57">
        <f>'Data Sheet'!C26/'Data Sheet'!C$17</f>
        <v>5.3139435994725509E-2</v>
      </c>
      <c r="H18" s="57">
        <f>'Data Sheet'!D26/'Data Sheet'!D$17</f>
        <v>5.9651785650877934E-2</v>
      </c>
      <c r="I18" s="57">
        <f>'Data Sheet'!E26/'Data Sheet'!E$17</f>
        <v>5.9107487146142057E-2</v>
      </c>
      <c r="J18" s="57">
        <f>'Data Sheet'!F26/'Data Sheet'!F$17</f>
        <v>6.4168443519415197E-2</v>
      </c>
      <c r="K18" s="57">
        <f>'Data Sheet'!G26/'Data Sheet'!G$17</f>
        <v>6.0372983825890202E-2</v>
      </c>
      <c r="L18" s="57">
        <f>'Data Sheet'!H26/'Data Sheet'!H$17</f>
        <v>5.161236476172569E-2</v>
      </c>
      <c r="M18" s="57">
        <f>'Data Sheet'!I26/'Data Sheet'!I$17</f>
        <v>4.566715549245904E-2</v>
      </c>
      <c r="N18" s="57">
        <f>'Data Sheet'!J26/'Data Sheet'!J$17</f>
        <v>4.4357389715764653E-2</v>
      </c>
      <c r="O18" s="58">
        <f>'Data Sheet'!K26/'Data Sheet'!K$17</f>
        <v>5.285949744276653E-2</v>
      </c>
    </row>
    <row r="19" spans="4:15" x14ac:dyDescent="0.3">
      <c r="D19" s="84" t="str">
        <f>'Data Sheet'!A27</f>
        <v>Interest</v>
      </c>
      <c r="F19" s="47">
        <f>'Data Sheet'!B27/'Data Sheet'!B$17</f>
        <v>2.2513998196653787E-2</v>
      </c>
      <c r="G19" s="57">
        <f>'Data Sheet'!C27/'Data Sheet'!C$17</f>
        <v>2.5225675410464027E-2</v>
      </c>
      <c r="H19" s="57">
        <f>'Data Sheet'!D27/'Data Sheet'!D$17</f>
        <v>3.9950133350033022E-2</v>
      </c>
      <c r="I19" s="57">
        <f>'Data Sheet'!E27/'Data Sheet'!E$17</f>
        <v>4.2878994053869704E-2</v>
      </c>
      <c r="J19" s="57">
        <f>'Data Sheet'!F27/'Data Sheet'!F$17</f>
        <v>4.6939787022780406E-2</v>
      </c>
      <c r="K19" s="57">
        <f>'Data Sheet'!G27/'Data Sheet'!G$17</f>
        <v>3.3216845757929429E-2</v>
      </c>
      <c r="L19" s="57">
        <f>'Data Sheet'!H27/'Data Sheet'!H$17</f>
        <v>1.7960665664996732E-2</v>
      </c>
      <c r="M19" s="57">
        <f>'Data Sheet'!I27/'Data Sheet'!I$17</f>
        <v>1.3009491780357931E-2</v>
      </c>
      <c r="N19" s="57">
        <f>'Data Sheet'!J27/'Data Sheet'!J$17</f>
        <v>1.3651465120929698E-2</v>
      </c>
      <c r="O19" s="58">
        <f>'Data Sheet'!K27/'Data Sheet'!K$17</f>
        <v>2.1730461128826976E-2</v>
      </c>
    </row>
    <row r="20" spans="4:15" x14ac:dyDescent="0.3">
      <c r="D20" s="33" t="str">
        <f>'Data Sheet'!A28</f>
        <v>Profit before tax</v>
      </c>
      <c r="E20" s="4"/>
      <c r="F20" s="245">
        <f>'Data Sheet'!B28/'Data Sheet'!B$17</f>
        <v>0.13601866002153201</v>
      </c>
      <c r="G20" s="246">
        <f>'Data Sheet'!C28/'Data Sheet'!C$17</f>
        <v>0.15259346426040812</v>
      </c>
      <c r="H20" s="246">
        <f>'Data Sheet'!D28/'Data Sheet'!D$17</f>
        <v>0.10657253292754809</v>
      </c>
      <c r="I20" s="246">
        <f>'Data Sheet'!E28/'Data Sheet'!E$17</f>
        <v>8.3653182436268542E-2</v>
      </c>
      <c r="J20" s="246">
        <f>'Data Sheet'!F28/'Data Sheet'!F$17</f>
        <v>0.12214785378892098</v>
      </c>
      <c r="K20" s="246">
        <f>'Data Sheet'!G28/'Data Sheet'!G$17</f>
        <v>0.1788799753162604</v>
      </c>
      <c r="L20" s="246">
        <f>'Data Sheet'!H28/'Data Sheet'!H$17</f>
        <v>0.16206292041096731</v>
      </c>
      <c r="M20" s="246">
        <f>'Data Sheet'!I28/'Data Sheet'!I$17</f>
        <v>0.11727154246411842</v>
      </c>
      <c r="N20" s="246">
        <f>'Data Sheet'!J28/'Data Sheet'!J$17</f>
        <v>0.13287924348318825</v>
      </c>
      <c r="O20" s="247">
        <f>'Data Sheet'!K28/'Data Sheet'!K$17</f>
        <v>9.9112857814870434E-2</v>
      </c>
    </row>
    <row r="21" spans="4:15" x14ac:dyDescent="0.3">
      <c r="D21" s="84" t="str">
        <f>'Data Sheet'!A29</f>
        <v>Tax</v>
      </c>
      <c r="F21" s="47">
        <f>'Data Sheet'!B29/'Data Sheet'!B$17</f>
        <v>3.7438119303914726E-2</v>
      </c>
      <c r="G21" s="57">
        <f>'Data Sheet'!C29/'Data Sheet'!C$17</f>
        <v>4.5656856725572556E-2</v>
      </c>
      <c r="H21" s="57">
        <f>'Data Sheet'!D29/'Data Sheet'!D$17</f>
        <v>3.4766235552132409E-2</v>
      </c>
      <c r="I21" s="57">
        <f>'Data Sheet'!E29/'Data Sheet'!E$17</f>
        <v>2.5760052635818691E-2</v>
      </c>
      <c r="J21" s="57">
        <f>'Data Sheet'!F29/'Data Sheet'!F$17</f>
        <v>-1.3390560286628128E-2</v>
      </c>
      <c r="K21" s="57">
        <f>'Data Sheet'!G29/'Data Sheet'!G$17</f>
        <v>5.6761421819173714E-2</v>
      </c>
      <c r="L21" s="57">
        <f>'Data Sheet'!H29/'Data Sheet'!H$17</f>
        <v>2.2625218089451799E-2</v>
      </c>
      <c r="M21" s="57">
        <f>'Data Sheet'!I29/'Data Sheet'!I$17</f>
        <v>3.7046975663180153E-2</v>
      </c>
      <c r="N21" s="57">
        <f>'Data Sheet'!J29/'Data Sheet'!J$17</f>
        <v>3.4104124011714317E-2</v>
      </c>
      <c r="O21" s="58">
        <f>'Data Sheet'!K29/'Data Sheet'!K$17</f>
        <v>1.9596964681648229E-2</v>
      </c>
    </row>
    <row r="22" spans="4:15" x14ac:dyDescent="0.3">
      <c r="D22" s="33" t="str">
        <f>'Data Sheet'!A30</f>
        <v>Net profit</v>
      </c>
      <c r="E22" s="4"/>
      <c r="F22" s="245">
        <f>'Data Sheet'!B30/'Data Sheet'!B$17</f>
        <v>9.8517725748253501E-2</v>
      </c>
      <c r="G22" s="246">
        <f>'Data Sheet'!C30/'Data Sheet'!C$17</f>
        <v>0.1069921741686877</v>
      </c>
      <c r="H22" s="246">
        <f>'Data Sheet'!D30/'Data Sheet'!D$17</f>
        <v>7.1732375425374015E-2</v>
      </c>
      <c r="I22" s="246">
        <f>'Data Sheet'!E30/'Data Sheet'!E$17</f>
        <v>5.7968620137927841E-2</v>
      </c>
      <c r="J22" s="246">
        <f>'Data Sheet'!F30/'Data Sheet'!F$17</f>
        <v>0.1356416431906847</v>
      </c>
      <c r="K22" s="246">
        <f>'Data Sheet'!G30/'Data Sheet'!G$17</f>
        <v>0.12214650157179972</v>
      </c>
      <c r="L22" s="246">
        <f>'Data Sheet'!H30/'Data Sheet'!H$17</f>
        <v>0.1396287712103102</v>
      </c>
      <c r="M22" s="246">
        <f>'Data Sheet'!I30/'Data Sheet'!I$17</f>
        <v>8.0075294141459238E-2</v>
      </c>
      <c r="N22" s="246">
        <f>'Data Sheet'!J30/'Data Sheet'!J$17</f>
        <v>9.8789786334827004E-2</v>
      </c>
      <c r="O22" s="247">
        <f>'Data Sheet'!K30/'Data Sheet'!K$17</f>
        <v>7.9508915329352989E-2</v>
      </c>
    </row>
    <row r="23" spans="4:15" x14ac:dyDescent="0.3">
      <c r="D23" s="33"/>
      <c r="E23" s="4"/>
      <c r="F23" s="245"/>
      <c r="G23" s="246"/>
      <c r="H23" s="246"/>
      <c r="I23" s="246"/>
      <c r="J23" s="246"/>
      <c r="K23" s="246"/>
      <c r="L23" s="246"/>
      <c r="M23" s="246"/>
      <c r="N23" s="246"/>
      <c r="O23" s="247"/>
    </row>
    <row r="24" spans="4:15" x14ac:dyDescent="0.3">
      <c r="D24" s="66" t="str">
        <f>'Data Sheet'!A31</f>
        <v>Dividend Amount</v>
      </c>
      <c r="F24" s="47">
        <f>'Data Sheet'!B31/'Data Sheet'!B$17</f>
        <v>1.0364867508122213E-2</v>
      </c>
      <c r="G24" s="57">
        <f>'Data Sheet'!C31/'Data Sheet'!C$17</f>
        <v>1.0818153658688455E-2</v>
      </c>
      <c r="H24" s="57">
        <f>'Data Sheet'!D31/'Data Sheet'!D$17</f>
        <v>9.3077096397450876E-3</v>
      </c>
      <c r="I24" s="57">
        <f>'Data Sheet'!E31/'Data Sheet'!E$17</f>
        <v>7.6175297728584973E-3</v>
      </c>
      <c r="J24" s="57">
        <f>'Data Sheet'!F31/'Data Sheet'!F$17</f>
        <v>8.8432941966146983E-3</v>
      </c>
      <c r="K24" s="57">
        <f>'Data Sheet'!G31/'Data Sheet'!G$17</f>
        <v>2.3878835034812119E-2</v>
      </c>
      <c r="L24" s="57">
        <f>'Data Sheet'!H31/'Data Sheet'!H$17</f>
        <v>2.0855026623215762E-2</v>
      </c>
      <c r="M24" s="57">
        <f>'Data Sheet'!I31/'Data Sheet'!I$17</f>
        <v>1.7346937807380711E-2</v>
      </c>
      <c r="N24" s="57">
        <f>'Data Sheet'!J31/'Data Sheet'!J$17</f>
        <v>2.8499266797859878E-2</v>
      </c>
      <c r="O24" s="58">
        <f>'Data Sheet'!K31/'Data Sheet'!K$17</f>
        <v>3.0067356872406116E-2</v>
      </c>
    </row>
    <row r="25" spans="4:15" x14ac:dyDescent="0.3">
      <c r="D25" s="33" t="s">
        <v>65</v>
      </c>
      <c r="E25" s="4"/>
      <c r="F25" s="245">
        <f>Inc_Stat!F18/'Data Sheet'!B17</f>
        <v>0.19484448126762205</v>
      </c>
      <c r="G25" s="246">
        <f>Inc_Stat!G18/'Data Sheet'!C17</f>
        <v>0.20541684039449937</v>
      </c>
      <c r="H25" s="246">
        <f>Inc_Stat!H18/'Data Sheet'!D17</f>
        <v>0.198363581076239</v>
      </c>
      <c r="I25" s="246">
        <f>Inc_Stat!I18/'Data Sheet'!E17</f>
        <v>0.17719584026534024</v>
      </c>
      <c r="J25" s="246">
        <f>Inc_Stat!J18/'Data Sheet'!F17</f>
        <v>0.21791171271007304</v>
      </c>
      <c r="K25" s="246">
        <f>Inc_Stat!K18/'Data Sheet'!G17</f>
        <v>0.25864065036287776</v>
      </c>
      <c r="L25" s="246">
        <f>Inc_Stat!L18/'Data Sheet'!H17</f>
        <v>0.21890886166099133</v>
      </c>
      <c r="M25" s="246">
        <f>Inc_Stat!M18/'Data Sheet'!I17</f>
        <v>0.16792936999663824</v>
      </c>
      <c r="N25" s="246">
        <f>Inc_Stat!N18/'Data Sheet'!J17</f>
        <v>0.1830334288841873</v>
      </c>
      <c r="O25" s="247">
        <f>Inc_Stat!O18/'Data Sheet'!K17</f>
        <v>0.16847946939199504</v>
      </c>
    </row>
    <row r="27" spans="4:15" ht="15.6" x14ac:dyDescent="0.3">
      <c r="D27" s="105" t="s">
        <v>143</v>
      </c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</row>
    <row r="28" spans="4:15" x14ac:dyDescent="0.3">
      <c r="D28" s="70"/>
      <c r="E28" s="70"/>
      <c r="F28" s="373" t="s">
        <v>127</v>
      </c>
      <c r="G28" s="374"/>
      <c r="H28" s="374"/>
      <c r="I28" s="374"/>
      <c r="J28" s="374"/>
      <c r="K28" s="374"/>
      <c r="L28" s="374"/>
      <c r="M28" s="374"/>
      <c r="N28" s="374"/>
      <c r="O28" s="375"/>
    </row>
    <row r="29" spans="4:15" x14ac:dyDescent="0.3">
      <c r="D29" s="83" t="s">
        <v>140</v>
      </c>
      <c r="E29" s="72"/>
      <c r="F29" s="236">
        <f>F8</f>
        <v>42460</v>
      </c>
      <c r="G29" s="73">
        <f t="shared" ref="G29:O29" si="0">G8</f>
        <v>42825</v>
      </c>
      <c r="H29" s="73">
        <f t="shared" si="0"/>
        <v>43190</v>
      </c>
      <c r="I29" s="73">
        <f t="shared" si="0"/>
        <v>43555</v>
      </c>
      <c r="J29" s="73">
        <f t="shared" si="0"/>
        <v>43921</v>
      </c>
      <c r="K29" s="73">
        <f t="shared" si="0"/>
        <v>44286</v>
      </c>
      <c r="L29" s="73">
        <f t="shared" si="0"/>
        <v>44651</v>
      </c>
      <c r="M29" s="73">
        <f t="shared" si="0"/>
        <v>45016</v>
      </c>
      <c r="N29" s="73">
        <f t="shared" si="0"/>
        <v>45382</v>
      </c>
      <c r="O29" s="76">
        <f t="shared" si="0"/>
        <v>45747</v>
      </c>
    </row>
    <row r="30" spans="4:15" x14ac:dyDescent="0.3">
      <c r="D30" s="4" t="s">
        <v>145</v>
      </c>
      <c r="F30" s="245">
        <f>'Data Sheet'!B61/'Data Sheet'!B61</f>
        <v>1</v>
      </c>
      <c r="G30" s="246">
        <f>'Data Sheet'!C61/'Data Sheet'!C61</f>
        <v>1</v>
      </c>
      <c r="H30" s="246">
        <f>'Data Sheet'!D61/'Data Sheet'!D61</f>
        <v>1</v>
      </c>
      <c r="I30" s="246">
        <f>'Data Sheet'!E61/'Data Sheet'!E61</f>
        <v>1</v>
      </c>
      <c r="J30" s="246">
        <f>'Data Sheet'!F61/'Data Sheet'!F61</f>
        <v>1</v>
      </c>
      <c r="K30" s="246">
        <f>'Data Sheet'!G61/'Data Sheet'!G61</f>
        <v>1</v>
      </c>
      <c r="L30" s="246">
        <f>'Data Sheet'!H61/'Data Sheet'!H61</f>
        <v>1</v>
      </c>
      <c r="M30" s="246">
        <f>'Data Sheet'!I61/'Data Sheet'!I61</f>
        <v>1</v>
      </c>
      <c r="N30" s="246">
        <f>'Data Sheet'!J61/'Data Sheet'!J61</f>
        <v>1</v>
      </c>
      <c r="O30" s="247">
        <f>'Data Sheet'!K61/'Data Sheet'!K61</f>
        <v>1</v>
      </c>
    </row>
    <row r="31" spans="4:15" x14ac:dyDescent="0.3">
      <c r="D31" s="84" t="str">
        <f>'Data Sheet'!A57</f>
        <v>Equity Share Capital</v>
      </c>
      <c r="F31" s="47">
        <f>'Data Sheet'!B57/'Data Sheet'!B$61</f>
        <v>6.6620364425021561E-3</v>
      </c>
      <c r="G31" s="57">
        <f>'Data Sheet'!C57/'Data Sheet'!C$61</f>
        <v>6.5035723330816499E-3</v>
      </c>
      <c r="H31" s="57">
        <f>'Data Sheet'!D57/'Data Sheet'!D$61</f>
        <v>4.8058236200954523E-3</v>
      </c>
      <c r="I31" s="57">
        <f>'Data Sheet'!E57/'Data Sheet'!E$61</f>
        <v>3.5888751664970714E-3</v>
      </c>
      <c r="J31" s="57">
        <f>'Data Sheet'!F57/'Data Sheet'!F$61</f>
        <v>3.6436828376264188E-3</v>
      </c>
      <c r="K31" s="57">
        <f>'Data Sheet'!G57/'Data Sheet'!G$61</f>
        <v>3.3495268713515944E-3</v>
      </c>
      <c r="L31" s="57">
        <f>'Data Sheet'!H57/'Data Sheet'!H$61</f>
        <v>3.4442792057981586E-3</v>
      </c>
      <c r="M31" s="57">
        <f>'Data Sheet'!I57/'Data Sheet'!I$61</f>
        <v>3.1592113844982075E-3</v>
      </c>
      <c r="N31" s="57">
        <f>'Data Sheet'!J57/'Data Sheet'!J$61</f>
        <v>2.8640702099494717E-3</v>
      </c>
      <c r="O31" s="58">
        <f>'Data Sheet'!K57/'Data Sheet'!K$61</f>
        <v>2.205159450509107E-3</v>
      </c>
    </row>
    <row r="32" spans="4:15" x14ac:dyDescent="0.3">
      <c r="D32" s="84" t="str">
        <f>'Data Sheet'!A58</f>
        <v>Reserves</v>
      </c>
      <c r="F32" s="47">
        <f>'Data Sheet'!B58/'Data Sheet'!B$61</f>
        <v>0.52608797927614592</v>
      </c>
      <c r="G32" s="57">
        <f>'Data Sheet'!C58/'Data Sheet'!C$61</f>
        <v>0.57137854837498347</v>
      </c>
      <c r="H32" s="57">
        <f>'Data Sheet'!D58/'Data Sheet'!D$61</f>
        <v>0.45687875397546673</v>
      </c>
      <c r="I32" s="57">
        <f>'Data Sheet'!E58/'Data Sheet'!E$61</f>
        <v>0.4374498287300016</v>
      </c>
      <c r="J32" s="57">
        <f>'Data Sheet'!F58/'Data Sheet'!F$61</f>
        <v>0.48924714011357362</v>
      </c>
      <c r="K32" s="57">
        <f>'Data Sheet'!G58/'Data Sheet'!G$61</f>
        <v>0.50925839862096733</v>
      </c>
      <c r="L32" s="57">
        <f>'Data Sheet'!H58/'Data Sheet'!H$61</f>
        <v>0.59832643371835637</v>
      </c>
      <c r="M32" s="57">
        <f>'Data Sheet'!I58/'Data Sheet'!I$61</f>
        <v>0.59132866566572262</v>
      </c>
      <c r="N32" s="57">
        <f>'Data Sheet'!J58/'Data Sheet'!J$61</f>
        <v>0.59464790210751084</v>
      </c>
      <c r="O32" s="58">
        <f>'Data Sheet'!K58/'Data Sheet'!K$61</f>
        <v>0.52691015913396833</v>
      </c>
    </row>
    <row r="33" spans="4:15" x14ac:dyDescent="0.3">
      <c r="D33" s="84" t="str">
        <f>'Data Sheet'!A59</f>
        <v>Borrowings</v>
      </c>
      <c r="F33" s="47">
        <f>'Data Sheet'!B59/'Data Sheet'!B$61</f>
        <v>0.25771275827438134</v>
      </c>
      <c r="G33" s="57">
        <f>'Data Sheet'!C59/'Data Sheet'!C$61</f>
        <v>0.20077395614359078</v>
      </c>
      <c r="H33" s="57">
        <f>'Data Sheet'!D59/'Data Sheet'!D$61</f>
        <v>0.34091439277759666</v>
      </c>
      <c r="I33" s="57">
        <f>'Data Sheet'!E59/'Data Sheet'!E$61</f>
        <v>0.3310928127495496</v>
      </c>
      <c r="J33" s="57">
        <f>'Data Sheet'!F59/'Data Sheet'!F$61</f>
        <v>0.29059276406475082</v>
      </c>
      <c r="K33" s="57">
        <f>'Data Sheet'!G59/'Data Sheet'!G$61</f>
        <v>0.25203422980899048</v>
      </c>
      <c r="L33" s="57">
        <f>'Data Sheet'!H59/'Data Sheet'!H$61</f>
        <v>0.13481214497686711</v>
      </c>
      <c r="M33" s="57">
        <f>'Data Sheet'!I59/'Data Sheet'!I$61</f>
        <v>0.12100778722789571</v>
      </c>
      <c r="N33" s="57">
        <f>'Data Sheet'!J59/'Data Sheet'!J$61</f>
        <v>0.11312774741259944</v>
      </c>
      <c r="O33" s="58">
        <f>'Data Sheet'!K59/'Data Sheet'!K$61</f>
        <v>0.18036225738045197</v>
      </c>
    </row>
    <row r="34" spans="4:15" x14ac:dyDescent="0.3">
      <c r="D34" s="84" t="str">
        <f>'Data Sheet'!A60</f>
        <v>Other Liabilities</v>
      </c>
      <c r="F34" s="47">
        <f>'Data Sheet'!B60/'Data Sheet'!B$61</f>
        <v>0.20953722600697058</v>
      </c>
      <c r="G34" s="57">
        <f>'Data Sheet'!C60/'Data Sheet'!C$61</f>
        <v>0.22134392314834403</v>
      </c>
      <c r="H34" s="57">
        <f>'Data Sheet'!D60/'Data Sheet'!D$61</f>
        <v>0.1974010296268412</v>
      </c>
      <c r="I34" s="57">
        <f>'Data Sheet'!E60/'Data Sheet'!E$61</f>
        <v>0.2278684833539518</v>
      </c>
      <c r="J34" s="57">
        <f>'Data Sheet'!F60/'Data Sheet'!F$61</f>
        <v>0.21651641298404914</v>
      </c>
      <c r="K34" s="57">
        <f>'Data Sheet'!G60/'Data Sheet'!G$61</f>
        <v>0.2353578446986905</v>
      </c>
      <c r="L34" s="57">
        <f>'Data Sheet'!H60/'Data Sheet'!H$61</f>
        <v>0.26341714209897837</v>
      </c>
      <c r="M34" s="57">
        <f>'Data Sheet'!I60/'Data Sheet'!I$61</f>
        <v>0.28450433572188349</v>
      </c>
      <c r="N34" s="57">
        <f>'Data Sheet'!J60/'Data Sheet'!J$61</f>
        <v>0.28936028026994026</v>
      </c>
      <c r="O34" s="58">
        <f>'Data Sheet'!K60/'Data Sheet'!K$61</f>
        <v>0.29052242403507061</v>
      </c>
    </row>
    <row r="35" spans="4:15" x14ac:dyDescent="0.3">
      <c r="F35" s="47"/>
      <c r="G35" s="57"/>
      <c r="H35" s="57"/>
      <c r="I35" s="57"/>
      <c r="J35" s="57"/>
      <c r="K35" s="57"/>
      <c r="L35" s="57"/>
      <c r="M35" s="57"/>
      <c r="N35" s="57"/>
      <c r="O35" s="58"/>
    </row>
    <row r="36" spans="4:15" x14ac:dyDescent="0.3">
      <c r="D36" s="4" t="s">
        <v>146</v>
      </c>
      <c r="F36" s="245">
        <f>'Data Sheet'!B66/'Data Sheet'!B66</f>
        <v>1</v>
      </c>
      <c r="G36" s="246">
        <f>'Data Sheet'!C66/'Data Sheet'!C66</f>
        <v>1</v>
      </c>
      <c r="H36" s="246">
        <f>'Data Sheet'!D66/'Data Sheet'!D66</f>
        <v>1</v>
      </c>
      <c r="I36" s="246">
        <f>'Data Sheet'!E66/'Data Sheet'!E66</f>
        <v>1</v>
      </c>
      <c r="J36" s="246">
        <f>'Data Sheet'!F66/'Data Sheet'!F66</f>
        <v>1</v>
      </c>
      <c r="K36" s="246">
        <f>'Data Sheet'!G66/'Data Sheet'!G66</f>
        <v>1</v>
      </c>
      <c r="L36" s="246">
        <f>'Data Sheet'!H66/'Data Sheet'!H66</f>
        <v>1</v>
      </c>
      <c r="M36" s="246">
        <f>'Data Sheet'!I66/'Data Sheet'!I66</f>
        <v>1</v>
      </c>
      <c r="N36" s="246">
        <f>'Data Sheet'!J66/'Data Sheet'!J66</f>
        <v>1</v>
      </c>
      <c r="O36" s="247">
        <f>'Data Sheet'!K66/'Data Sheet'!K66</f>
        <v>1</v>
      </c>
    </row>
    <row r="37" spans="4:15" x14ac:dyDescent="0.3">
      <c r="D37" s="84" t="str">
        <f>'Data Sheet'!A62</f>
        <v>Net Block</v>
      </c>
      <c r="F37" s="47">
        <f>'Data Sheet'!B62/'Data Sheet'!B$66</f>
        <v>0.61440906015593377</v>
      </c>
      <c r="G37" s="57">
        <f>'Data Sheet'!C62/'Data Sheet'!C$66</f>
        <v>0.61370045471226475</v>
      </c>
      <c r="H37" s="57">
        <f>'Data Sheet'!D62/'Data Sheet'!D$66</f>
        <v>0.6950392440886235</v>
      </c>
      <c r="I37" s="57">
        <f>'Data Sheet'!E62/'Data Sheet'!E$66</f>
        <v>0.74020707119743434</v>
      </c>
      <c r="J37" s="57">
        <f>'Data Sheet'!F62/'Data Sheet'!F$66</f>
        <v>0.72147722726630625</v>
      </c>
      <c r="K37" s="57">
        <f>'Data Sheet'!G62/'Data Sheet'!G$66</f>
        <v>0.64300251751205517</v>
      </c>
      <c r="L37" s="57">
        <f>'Data Sheet'!H62/'Data Sheet'!H$66</f>
        <v>0.66205245966421766</v>
      </c>
      <c r="M37" s="57">
        <f>'Data Sheet'!I62/'Data Sheet'!I$66</f>
        <v>0.65198882911433964</v>
      </c>
      <c r="N37" s="57">
        <f>'Data Sheet'!J62/'Data Sheet'!J$66</f>
        <v>0.62380369834016069</v>
      </c>
      <c r="O37" s="58">
        <f>'Data Sheet'!K62/'Data Sheet'!K$66</f>
        <v>0.7076462040621091</v>
      </c>
    </row>
    <row r="38" spans="4:15" x14ac:dyDescent="0.3">
      <c r="D38" s="84" t="str">
        <f>'Data Sheet'!A63</f>
        <v>Capital Work in Progress</v>
      </c>
      <c r="F38" s="47">
        <f>'Data Sheet'!B63/'Data Sheet'!B$66</f>
        <v>3.5663488384343883E-2</v>
      </c>
      <c r="G38" s="57">
        <f>'Data Sheet'!C63/'Data Sheet'!C$66</f>
        <v>2.1831306085345083E-2</v>
      </c>
      <c r="H38" s="57">
        <f>'Data Sheet'!D63/'Data Sheet'!D$66</f>
        <v>2.6446992873254607E-2</v>
      </c>
      <c r="I38" s="57">
        <f>'Data Sheet'!E63/'Data Sheet'!E$66</f>
        <v>1.5071080348909126E-2</v>
      </c>
      <c r="J38" s="57">
        <f>'Data Sheet'!F63/'Data Sheet'!F$66</f>
        <v>1.1608960609267501E-2</v>
      </c>
      <c r="K38" s="57">
        <f>'Data Sheet'!G63/'Data Sheet'!G$66</f>
        <v>1.9572423292469453E-2</v>
      </c>
      <c r="L38" s="57">
        <f>'Data Sheet'!H63/'Data Sheet'!H$66</f>
        <v>5.7088507249129714E-2</v>
      </c>
      <c r="M38" s="57">
        <f>'Data Sheet'!I63/'Data Sheet'!I$66</f>
        <v>4.4215061435493828E-2</v>
      </c>
      <c r="N38" s="57">
        <f>'Data Sheet'!J63/'Data Sheet'!J$66</f>
        <v>6.7573167524346681E-2</v>
      </c>
      <c r="O38" s="58">
        <f>'Data Sheet'!K63/'Data Sheet'!K$66</f>
        <v>4.665190374226065E-2</v>
      </c>
    </row>
    <row r="39" spans="4:15" x14ac:dyDescent="0.3">
      <c r="D39" s="84" t="str">
        <f>'Data Sheet'!A64</f>
        <v>Investments</v>
      </c>
      <c r="F39" s="47">
        <f>'Data Sheet'!B64/'Data Sheet'!B$66</f>
        <v>0.12369010254384775</v>
      </c>
      <c r="G39" s="57">
        <f>'Data Sheet'!C64/'Data Sheet'!C$66</f>
        <v>0.1585086726538418</v>
      </c>
      <c r="H39" s="57">
        <f>'Data Sheet'!D64/'Data Sheet'!D$66</f>
        <v>9.5323697885357106E-2</v>
      </c>
      <c r="I39" s="57">
        <f>'Data Sheet'!E64/'Data Sheet'!E$66</f>
        <v>3.8174660246660684E-2</v>
      </c>
      <c r="J39" s="57">
        <f>'Data Sheet'!F64/'Data Sheet'!F$66</f>
        <v>7.4844146494152969E-2</v>
      </c>
      <c r="K39" s="57">
        <f>'Data Sheet'!G64/'Data Sheet'!G$66</f>
        <v>0.14131614996457845</v>
      </c>
      <c r="L39" s="57">
        <f>'Data Sheet'!H64/'Data Sheet'!H$66</f>
        <v>7.5595527293171441E-2</v>
      </c>
      <c r="M39" s="57">
        <f>'Data Sheet'!I64/'Data Sheet'!I$66</f>
        <v>7.9852462891385909E-2</v>
      </c>
      <c r="N39" s="57">
        <f>'Data Sheet'!J64/'Data Sheet'!J$66</f>
        <v>8.1837167752130999E-2</v>
      </c>
      <c r="O39" s="58">
        <f>'Data Sheet'!K64/'Data Sheet'!K$66</f>
        <v>3.8587072593208552E-2</v>
      </c>
    </row>
    <row r="40" spans="4:15" x14ac:dyDescent="0.3">
      <c r="D40" s="84" t="str">
        <f>'Data Sheet'!A65</f>
        <v>Other Assets</v>
      </c>
      <c r="F40" s="47">
        <f>'Data Sheet'!B65/'Data Sheet'!B$66</f>
        <v>0.22623734891587452</v>
      </c>
      <c r="G40" s="57">
        <f>'Data Sheet'!C65/'Data Sheet'!C$66</f>
        <v>0.20595956654854841</v>
      </c>
      <c r="H40" s="57">
        <f>'Data Sheet'!D65/'Data Sheet'!D$66</f>
        <v>0.18319006515276487</v>
      </c>
      <c r="I40" s="57">
        <f>'Data Sheet'!E65/'Data Sheet'!E$66</f>
        <v>0.20654718820699594</v>
      </c>
      <c r="J40" s="57">
        <f>'Data Sheet'!F65/'Data Sheet'!F$66</f>
        <v>0.19206966563027331</v>
      </c>
      <c r="K40" s="57">
        <f>'Data Sheet'!G65/'Data Sheet'!G$66</f>
        <v>0.19610890923089688</v>
      </c>
      <c r="L40" s="57">
        <f>'Data Sheet'!H65/'Data Sheet'!H$66</f>
        <v>0.20526350579348118</v>
      </c>
      <c r="M40" s="57">
        <f>'Data Sheet'!I65/'Data Sheet'!I$66</f>
        <v>0.22394364655878068</v>
      </c>
      <c r="N40" s="57">
        <f>'Data Sheet'!J65/'Data Sheet'!J$66</f>
        <v>0.22678596638336157</v>
      </c>
      <c r="O40" s="58">
        <f>'Data Sheet'!K65/'Data Sheet'!K$66</f>
        <v>0.20711481960242176</v>
      </c>
    </row>
    <row r="41" spans="4:15" x14ac:dyDescent="0.3">
      <c r="D41" s="84" t="str">
        <f>'Data Sheet'!A67</f>
        <v>Receivables</v>
      </c>
      <c r="F41" s="47">
        <f>'Data Sheet'!B67/'Data Sheet'!B$66</f>
        <v>4.6809041609142892E-2</v>
      </c>
      <c r="G41" s="57">
        <f>'Data Sheet'!C67/'Data Sheet'!C$66</f>
        <v>4.162821722609171E-2</v>
      </c>
      <c r="H41" s="57">
        <f>'Data Sheet'!D67/'Data Sheet'!D$66</f>
        <v>3.8862226814364235E-2</v>
      </c>
      <c r="I41" s="57">
        <f>'Data Sheet'!E67/'Data Sheet'!E$66</f>
        <v>3.6419686699979373E-2</v>
      </c>
      <c r="J41" s="57">
        <f>'Data Sheet'!F67/'Data Sheet'!F$66</f>
        <v>3.0085915574569636E-2</v>
      </c>
      <c r="K41" s="57">
        <f>'Data Sheet'!G67/'Data Sheet'!G$66</f>
        <v>2.9842642441922869E-2</v>
      </c>
      <c r="L41" s="57">
        <f>'Data Sheet'!H67/'Data Sheet'!H$66</f>
        <v>3.6649054114808191E-2</v>
      </c>
      <c r="M41" s="57">
        <f>'Data Sheet'!I67/'Data Sheet'!I$66</f>
        <v>4.2317827455340538E-2</v>
      </c>
      <c r="N41" s="57">
        <f>'Data Sheet'!J67/'Data Sheet'!J$66</f>
        <v>4.244328036785975E-2</v>
      </c>
      <c r="O41" s="58">
        <f>'Data Sheet'!K67/'Data Sheet'!K$66</f>
        <v>4.4078120175652463E-2</v>
      </c>
    </row>
    <row r="42" spans="4:15" x14ac:dyDescent="0.3">
      <c r="D42" s="84" t="str">
        <f>'Data Sheet'!A68</f>
        <v>Inventory</v>
      </c>
      <c r="F42" s="47">
        <f>'Data Sheet'!B68/'Data Sheet'!B$66</f>
        <v>5.9587149404354271E-2</v>
      </c>
      <c r="G42" s="57">
        <f>'Data Sheet'!C68/'Data Sheet'!C$66</f>
        <v>5.6874925815777681E-2</v>
      </c>
      <c r="H42" s="57">
        <f>'Data Sheet'!D68/'Data Sheet'!D$66</f>
        <v>5.7184593433551936E-2</v>
      </c>
      <c r="I42" s="57">
        <f>'Data Sheet'!E68/'Data Sheet'!E$66</f>
        <v>5.3563413022374155E-2</v>
      </c>
      <c r="J42" s="57">
        <f>'Data Sheet'!F68/'Data Sheet'!F$66</f>
        <v>5.28108671960104E-2</v>
      </c>
      <c r="K42" s="57">
        <f>'Data Sheet'!G68/'Data Sheet'!G$66</f>
        <v>4.6624973092965753E-2</v>
      </c>
      <c r="L42" s="57">
        <f>'Data Sheet'!H68/'Data Sheet'!H$66</f>
        <v>6.6763916715904176E-2</v>
      </c>
      <c r="M42" s="57">
        <f>'Data Sheet'!I68/'Data Sheet'!I$66</f>
        <v>7.2355012672301725E-2</v>
      </c>
      <c r="N42" s="57">
        <f>'Data Sheet'!J68/'Data Sheet'!J$66</f>
        <v>8.2638678827200496E-2</v>
      </c>
      <c r="O42" s="58">
        <f>'Data Sheet'!K68/'Data Sheet'!K$66</f>
        <v>7.1562018874811922E-2</v>
      </c>
    </row>
    <row r="43" spans="4:15" x14ac:dyDescent="0.3">
      <c r="D43" s="84" t="str">
        <f>'Data Sheet'!A69</f>
        <v>Cash &amp; Bank</v>
      </c>
      <c r="F43" s="47">
        <f>'Data Sheet'!B69/'Data Sheet'!B$66</f>
        <v>5.5032504222186675E-2</v>
      </c>
      <c r="G43" s="57">
        <f>'Data Sheet'!C69/'Data Sheet'!C$66</f>
        <v>5.3277124298522292E-2</v>
      </c>
      <c r="H43" s="57">
        <f>'Data Sheet'!D69/'Data Sheet'!D$66</f>
        <v>3.833843561612143E-3</v>
      </c>
      <c r="I43" s="57">
        <f>'Data Sheet'!E69/'Data Sheet'!E$66</f>
        <v>9.6658140953777803E-3</v>
      </c>
      <c r="J43" s="57">
        <f>'Data Sheet'!F69/'Data Sheet'!F$66</f>
        <v>6.8158569825135283E-3</v>
      </c>
      <c r="K43" s="57">
        <f>'Data Sheet'!G69/'Data Sheet'!G$66</f>
        <v>2.329583464604848E-2</v>
      </c>
      <c r="L43" s="57">
        <f>'Data Sheet'!H69/'Data Sheet'!H$66</f>
        <v>4.2855724707748727E-3</v>
      </c>
      <c r="M43" s="57">
        <f>'Data Sheet'!I69/'Data Sheet'!I$66</f>
        <v>1.2580268854152532E-2</v>
      </c>
      <c r="N43" s="57">
        <f>'Data Sheet'!J69/'Data Sheet'!J$66</f>
        <v>7.7701632517043397E-3</v>
      </c>
      <c r="O43" s="58">
        <f>'Data Sheet'!K69/'Data Sheet'!K$66</f>
        <v>1.2521845431403212E-2</v>
      </c>
    </row>
    <row r="45" spans="4:15" x14ac:dyDescent="0.3">
      <c r="D45" s="92"/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92"/>
    </row>
  </sheetData>
  <mergeCells count="2">
    <mergeCell ref="F7:O7"/>
    <mergeCell ref="F28:O28"/>
  </mergeCells>
  <pageMargins left="0.70866141732283472" right="0.70866141732283472" top="0.74803149606299213" bottom="0.74803149606299213" header="0.31496062992125984" footer="0.31496062992125984"/>
  <pageSetup scale="77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DACFF-5A86-4F52-9AB4-201B6164FF2B}">
  <sheetPr>
    <pageSetUpPr fitToPage="1"/>
  </sheetPr>
  <dimension ref="D2:P49"/>
  <sheetViews>
    <sheetView showGridLines="0" zoomScale="85" zoomScaleNormal="85" workbookViewId="0">
      <selection activeCell="H13" sqref="H13"/>
    </sheetView>
  </sheetViews>
  <sheetFormatPr defaultRowHeight="14.4" x14ac:dyDescent="0.3"/>
  <cols>
    <col min="1" max="3" width="2.33203125" customWidth="1"/>
    <col min="4" max="4" width="20.77734375" customWidth="1"/>
    <col min="5" max="15" width="10.77734375" customWidth="1"/>
    <col min="16" max="16" width="15.77734375" customWidth="1"/>
    <col min="17" max="17" width="2.33203125" customWidth="1"/>
  </cols>
  <sheetData>
    <row r="2" spans="4:16" ht="21" x14ac:dyDescent="0.4">
      <c r="D2" s="89" t="s">
        <v>117</v>
      </c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</row>
    <row r="3" spans="4:16" ht="18" x14ac:dyDescent="0.35">
      <c r="D3" s="90" t="s">
        <v>306</v>
      </c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</row>
    <row r="4" spans="4:16" x14ac:dyDescent="0.3">
      <c r="D4" s="91" t="s">
        <v>369</v>
      </c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</row>
    <row r="6" spans="4:16" ht="15.6" x14ac:dyDescent="0.3">
      <c r="D6" s="105" t="s">
        <v>316</v>
      </c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</row>
    <row r="7" spans="4:16" x14ac:dyDescent="0.3">
      <c r="D7" s="73"/>
      <c r="E7" s="73"/>
      <c r="F7" s="236">
        <v>42460</v>
      </c>
      <c r="G7" s="73">
        <f>EDATE(F7,12)</f>
        <v>42825</v>
      </c>
      <c r="H7" s="73">
        <f t="shared" ref="H7:O7" si="0">EDATE(G7,12)</f>
        <v>43190</v>
      </c>
      <c r="I7" s="73">
        <f t="shared" si="0"/>
        <v>43555</v>
      </c>
      <c r="J7" s="73">
        <f t="shared" si="0"/>
        <v>43921</v>
      </c>
      <c r="K7" s="73">
        <f t="shared" si="0"/>
        <v>44286</v>
      </c>
      <c r="L7" s="73">
        <f t="shared" si="0"/>
        <v>44651</v>
      </c>
      <c r="M7" s="73">
        <f t="shared" si="0"/>
        <v>45016</v>
      </c>
      <c r="N7" s="73">
        <f t="shared" si="0"/>
        <v>45382</v>
      </c>
      <c r="O7" s="76">
        <f t="shared" si="0"/>
        <v>45747</v>
      </c>
      <c r="P7" s="131" t="s">
        <v>371</v>
      </c>
    </row>
    <row r="8" spans="4:16" x14ac:dyDescent="0.3">
      <c r="D8" t="s">
        <v>307</v>
      </c>
      <c r="F8" s="47">
        <f>Inc_Stat!F13/Inc_Stat!F9</f>
        <v>0.50713586003234579</v>
      </c>
      <c r="G8" s="57">
        <f>Inc_Stat!G13/Inc_Stat!G9</f>
        <v>0.51512712936464078</v>
      </c>
      <c r="H8" s="57">
        <f>Inc_Stat!H13/Inc_Stat!H9</f>
        <v>0.49177239011937912</v>
      </c>
      <c r="I8" s="57">
        <f>Inc_Stat!I13/Inc_Stat!I9</f>
        <v>0.4759156881462806</v>
      </c>
      <c r="J8" s="57">
        <f>Inc_Stat!J13/Inc_Stat!J9</f>
        <v>0.51447269837371723</v>
      </c>
      <c r="K8" s="57">
        <f>Inc_Stat!K13/Inc_Stat!K9</f>
        <v>0.53387753824414541</v>
      </c>
      <c r="L8" s="57">
        <f>Inc_Stat!L13/Inc_Stat!L9</f>
        <v>0.49548459537978312</v>
      </c>
      <c r="M8" s="57">
        <f>Inc_Stat!M13/Inc_Stat!M9</f>
        <v>0.44177828645739614</v>
      </c>
      <c r="N8" s="57">
        <f>Inc_Stat!N13/Inc_Stat!N9</f>
        <v>0.46217176194439735</v>
      </c>
      <c r="O8" s="58">
        <f>Inc_Stat!O13/Inc_Stat!O9</f>
        <v>0.45735409839993696</v>
      </c>
      <c r="P8" s="60"/>
    </row>
    <row r="9" spans="4:16" x14ac:dyDescent="0.3">
      <c r="D9" t="s">
        <v>308</v>
      </c>
      <c r="F9" s="47">
        <f>Inc_Stat!F18/Inc_Stat!F9</f>
        <v>0.19484448126762205</v>
      </c>
      <c r="G9" s="57">
        <f>Inc_Stat!G18/Inc_Stat!G9</f>
        <v>0.20541684039449937</v>
      </c>
      <c r="H9" s="57">
        <f>Inc_Stat!H18/Inc_Stat!H9</f>
        <v>0.198363581076239</v>
      </c>
      <c r="I9" s="57">
        <f>Inc_Stat!I18/Inc_Stat!I9</f>
        <v>0.17719584026534024</v>
      </c>
      <c r="J9" s="57">
        <f>Inc_Stat!J18/Inc_Stat!J9</f>
        <v>0.21791171271007304</v>
      </c>
      <c r="K9" s="57">
        <f>Inc_Stat!K18/Inc_Stat!K9</f>
        <v>0.25864065036287776</v>
      </c>
      <c r="L9" s="57">
        <f>Inc_Stat!L18/Inc_Stat!L9</f>
        <v>0.21890886166099133</v>
      </c>
      <c r="M9" s="57">
        <f>Inc_Stat!M18/Inc_Stat!M9</f>
        <v>0.16792936999663824</v>
      </c>
      <c r="N9" s="57">
        <f>Inc_Stat!N18/Inc_Stat!N9</f>
        <v>0.1830334288841873</v>
      </c>
      <c r="O9" s="58">
        <f>Inc_Stat!O18/Inc_Stat!O9</f>
        <v>0.16847946939199504</v>
      </c>
      <c r="P9" s="60"/>
    </row>
    <row r="10" spans="4:16" x14ac:dyDescent="0.3">
      <c r="D10" t="s">
        <v>309</v>
      </c>
      <c r="F10" s="47">
        <f>Inc_Stat!F23/Inc_Stat!F9</f>
        <v>0.14009328420513628</v>
      </c>
      <c r="G10" s="57">
        <f>Inc_Stat!G23/Inc_Stat!G9</f>
        <v>0.15227740439977389</v>
      </c>
      <c r="H10" s="57">
        <f>Inc_Stat!H23/Inc_Stat!H9</f>
        <v>0.13871179542536105</v>
      </c>
      <c r="I10" s="57">
        <f>Inc_Stat!I23/Inc_Stat!I9</f>
        <v>0.11808835311919819</v>
      </c>
      <c r="J10" s="57">
        <f>Inc_Stat!J23/Inc_Stat!J9</f>
        <v>0.15374326919065784</v>
      </c>
      <c r="K10" s="57">
        <f>Inc_Stat!K23/Inc_Stat!K9</f>
        <v>0.19826766653698755</v>
      </c>
      <c r="L10" s="57">
        <f>Inc_Stat!L23/Inc_Stat!L9</f>
        <v>0.16729649689926562</v>
      </c>
      <c r="M10" s="57">
        <f>Inc_Stat!M23/Inc_Stat!M9</f>
        <v>0.12226221450417919</v>
      </c>
      <c r="N10" s="57">
        <f>Inc_Stat!N23/Inc_Stat!N9</f>
        <v>0.13867603916842267</v>
      </c>
      <c r="O10" s="58">
        <f>Inc_Stat!O23/Inc_Stat!O9</f>
        <v>0.11561997194922849</v>
      </c>
      <c r="P10" s="60"/>
    </row>
    <row r="11" spans="4:16" x14ac:dyDescent="0.3">
      <c r="D11" t="s">
        <v>310</v>
      </c>
      <c r="F11" s="47">
        <f>Inc_Stat!F28/Inc_Stat!F9</f>
        <v>0.11757928600848247</v>
      </c>
      <c r="G11" s="57">
        <f>Inc_Stat!G28/Inc_Stat!G9</f>
        <v>0.12705172898930986</v>
      </c>
      <c r="H11" s="57">
        <f>Inc_Stat!H28/Inc_Stat!H9</f>
        <v>9.8761662075328036E-2</v>
      </c>
      <c r="I11" s="57">
        <f>Inc_Stat!I28/Inc_Stat!I9</f>
        <v>7.5209359065328482E-2</v>
      </c>
      <c r="J11" s="57">
        <f>Inc_Stat!J28/Inc_Stat!J9</f>
        <v>0.10680348216787745</v>
      </c>
      <c r="K11" s="57">
        <f>Inc_Stat!K28/Inc_Stat!K9</f>
        <v>0.16505082077905814</v>
      </c>
      <c r="L11" s="57">
        <f>Inc_Stat!L28/Inc_Stat!L9</f>
        <v>0.14933583123426891</v>
      </c>
      <c r="M11" s="57">
        <f>Inc_Stat!M28/Inc_Stat!M9</f>
        <v>0.10925272272382126</v>
      </c>
      <c r="N11" s="57">
        <f>Inc_Stat!N28/Inc_Stat!N9</f>
        <v>0.12502457404749298</v>
      </c>
      <c r="O11" s="58">
        <f>Inc_Stat!O28/Inc_Stat!O9</f>
        <v>9.3889510820401506E-2</v>
      </c>
      <c r="P11" s="60"/>
    </row>
    <row r="12" spans="4:16" x14ac:dyDescent="0.3">
      <c r="D12" t="s">
        <v>311</v>
      </c>
      <c r="F12" s="47">
        <f>Inc_Stat!F33/Inc_Stat!F9</f>
        <v>8.0141166704567751E-2</v>
      </c>
      <c r="G12" s="57">
        <f>Inc_Stat!G33/Inc_Stat!G9</f>
        <v>8.1394872263737303E-2</v>
      </c>
      <c r="H12" s="57">
        <f>Inc_Stat!H33/Inc_Stat!H9</f>
        <v>6.3995426523195634E-2</v>
      </c>
      <c r="I12" s="57">
        <f>Inc_Stat!I33/Inc_Stat!I9</f>
        <v>4.9449306429509801E-2</v>
      </c>
      <c r="J12" s="57">
        <f>Inc_Stat!J33/Inc_Stat!J9</f>
        <v>0.12019404245450557</v>
      </c>
      <c r="K12" s="57">
        <f>Inc_Stat!K33/Inc_Stat!K9</f>
        <v>0.10828939895988442</v>
      </c>
      <c r="L12" s="57">
        <f>Inc_Stat!L33/Inc_Stat!L9</f>
        <v>0.1267106131448171</v>
      </c>
      <c r="M12" s="57">
        <f>Inc_Stat!M33/Inc_Stat!M9</f>
        <v>7.2205747060641104E-2</v>
      </c>
      <c r="N12" s="57">
        <f>Inc_Stat!N33/Inc_Stat!N9</f>
        <v>9.0920450035778658E-2</v>
      </c>
      <c r="O12" s="58">
        <f>Inc_Stat!O33/Inc_Stat!O9</f>
        <v>7.4292546138753288E-2</v>
      </c>
      <c r="P12" s="60"/>
    </row>
    <row r="13" spans="4:16" x14ac:dyDescent="0.3">
      <c r="D13" t="s">
        <v>312</v>
      </c>
      <c r="F13" s="47">
        <f>Inc_Stat!F33/(Bal_Sht!F9+Bal_Sht!F10)</f>
        <v>9.1854733721474471E-2</v>
      </c>
      <c r="G13" s="57">
        <f>Inc_Stat!G33/(Bal_Sht!G9+Bal_Sht!G10)</f>
        <v>8.4675275265672242E-2</v>
      </c>
      <c r="H13" s="57">
        <f>Inc_Stat!H33/(Bal_Sht!H9+Bal_Sht!H10)</f>
        <v>7.5147946489085335E-2</v>
      </c>
      <c r="I13" s="57">
        <f>Inc_Stat!I33/(Bal_Sht!I9+Bal_Sht!I10)</f>
        <v>6.074786707811574E-2</v>
      </c>
      <c r="J13" s="57">
        <f>Inc_Stat!J33/(Bal_Sht!J9+Bal_Sht!J10)</f>
        <v>0.13061805522828748</v>
      </c>
      <c r="K13" s="57">
        <f>Inc_Stat!K33/(Bal_Sht!K9+Bal_Sht!K10)</f>
        <v>0.10964040939289202</v>
      </c>
      <c r="L13" s="57">
        <f>Inc_Stat!L33/(Bal_Sht!L9+Bal_Sht!L10)</f>
        <v>0.1321462143456355</v>
      </c>
      <c r="M13" s="57">
        <f>Inc_Stat!M33/(Bal_Sht!M9+Bal_Sht!M10)</f>
        <v>8.405575086323791E-2</v>
      </c>
      <c r="N13" s="57">
        <f>Inc_Stat!N33/(Bal_Sht!N9+Bal_Sht!N10)</f>
        <v>0.10704415990840058</v>
      </c>
      <c r="O13" s="58">
        <f>Inc_Stat!O33/(Bal_Sht!O9+Bal_Sht!O10)</f>
        <v>7.980706797948775E-2</v>
      </c>
      <c r="P13" s="60"/>
    </row>
    <row r="14" spans="4:16" x14ac:dyDescent="0.3">
      <c r="D14" t="s">
        <v>313</v>
      </c>
      <c r="F14" s="47">
        <f>Inc_Stat!F33/Bal_Sht!F25</f>
        <v>4.8935610833947756E-2</v>
      </c>
      <c r="G14" s="57">
        <f>Inc_Stat!G33/Bal_Sht!G25</f>
        <v>4.893232764206585E-2</v>
      </c>
      <c r="H14" s="57">
        <f>Inc_Stat!H33/Bal_Sht!H25</f>
        <v>3.4694647931987274E-2</v>
      </c>
      <c r="I14" s="57">
        <f>Inc_Stat!I33/Bal_Sht!I25</f>
        <v>2.6792160560608944E-2</v>
      </c>
      <c r="J14" s="57">
        <f>Inc_Stat!J33/Bal_Sht!J25</f>
        <v>6.4380440733755914E-2</v>
      </c>
      <c r="K14" s="57">
        <f>Inc_Stat!K33/Bal_Sht!K25</f>
        <v>5.6202542809018943E-2</v>
      </c>
      <c r="L14" s="57">
        <f>Inc_Stat!L33/Bal_Sht!L25</f>
        <v>7.9521721617001218E-2</v>
      </c>
      <c r="M14" s="57">
        <f>Inc_Stat!M33/Bal_Sht!M25</f>
        <v>4.9970124884548578E-2</v>
      </c>
      <c r="N14" s="57">
        <f>Inc_Stat!N33/Bal_Sht!N25</f>
        <v>6.3960167111934044E-2</v>
      </c>
      <c r="O14" s="58">
        <f>Inc_Stat!O33/Bal_Sht!O25</f>
        <v>4.2227142199259701E-2</v>
      </c>
      <c r="P14" s="60"/>
    </row>
    <row r="15" spans="4:16" x14ac:dyDescent="0.3">
      <c r="D15" t="s">
        <v>314</v>
      </c>
      <c r="F15" s="47">
        <f>Inc_Stat!F33/(Bal_Sht!F25-Bal_Sht!F12)</f>
        <v>6.1907546369007485E-2</v>
      </c>
      <c r="G15" s="57">
        <f>Inc_Stat!G33/(Bal_Sht!G25-Bal_Sht!G12)</f>
        <v>6.284202884528195E-2</v>
      </c>
      <c r="H15" s="57">
        <f>Inc_Stat!H33/(Bal_Sht!H25-Bal_Sht!H12)</f>
        <v>4.3227874957098948E-2</v>
      </c>
      <c r="I15" s="57">
        <f>Inc_Stat!I33/(Bal_Sht!I25-Bal_Sht!I12)</f>
        <v>3.4698959934944221E-2</v>
      </c>
      <c r="J15" s="57">
        <f>Inc_Stat!J33/(Bal_Sht!J25-Bal_Sht!J12)</f>
        <v>8.2172034999432861E-2</v>
      </c>
      <c r="K15" s="57">
        <f>Inc_Stat!K33/'Data Sheet'!B140</f>
        <v>6.8503436960764885E-2</v>
      </c>
      <c r="L15" s="57">
        <f>Inc_Stat!L33/'Data Sheet'!C140</f>
        <v>9.9994448778731315E-2</v>
      </c>
      <c r="M15" s="57">
        <f>Inc_Stat!M33/'Data Sheet'!D140</f>
        <v>6.4737931523357231E-2</v>
      </c>
      <c r="N15" s="57">
        <f>Inc_Stat!N33/'Data Sheet'!E140</f>
        <v>8.3700097370983426E-2</v>
      </c>
      <c r="O15" s="57">
        <f>Inc_Stat!O33/'Data Sheet'!F140</f>
        <v>5.3017334523418086E-2</v>
      </c>
      <c r="P15" s="60"/>
    </row>
    <row r="16" spans="4:16" x14ac:dyDescent="0.3">
      <c r="D16" t="s">
        <v>315</v>
      </c>
      <c r="F16" s="47">
        <f>Inc_Stat!F33/(Bal_Sht!F9+Bal_Sht!F10+Bal_Sht!F11)</f>
        <v>6.1907546369007485E-2</v>
      </c>
      <c r="G16" s="57">
        <f>Inc_Stat!G33/(Bal_Sht!G9+Bal_Sht!G10+Bal_Sht!G11)</f>
        <v>6.2842028845281964E-2</v>
      </c>
      <c r="H16" s="57">
        <f>Inc_Stat!H33/(Bal_Sht!H9+Bal_Sht!H10+Bal_Sht!H11)</f>
        <v>4.3227874957098948E-2</v>
      </c>
      <c r="I16" s="57">
        <f>Inc_Stat!I33/(Bal_Sht!I9+Bal_Sht!I10+Bal_Sht!I11)</f>
        <v>3.4698959934944221E-2</v>
      </c>
      <c r="J16" s="57">
        <f>Inc_Stat!J33/(Bal_Sht!J9+Bal_Sht!J10+Bal_Sht!J11)</f>
        <v>8.2172034999432861E-2</v>
      </c>
      <c r="K16" s="57">
        <f>Inc_Stat!K33/(Bal_Sht!K9+Bal_Sht!K10+Bal_Sht!K11)</f>
        <v>7.3501758200699985E-2</v>
      </c>
      <c r="L16" s="57">
        <f>Inc_Stat!L33/(Bal_Sht!L9+Bal_Sht!L10+Bal_Sht!L11)</f>
        <v>0.1079603207758698</v>
      </c>
      <c r="M16" s="57">
        <f>Inc_Stat!M33/(Bal_Sht!M9+Bal_Sht!M10+Bal_Sht!M11)</f>
        <v>6.9839870986450808E-2</v>
      </c>
      <c r="N16" s="57">
        <f>Inc_Stat!N33/(Bal_Sht!N9+Bal_Sht!N10+Bal_Sht!N11)</f>
        <v>9.0003647890987082E-2</v>
      </c>
      <c r="O16" s="58">
        <f>Inc_Stat!O33/(Bal_Sht!O9+Bal_Sht!O10+Bal_Sht!O11)</f>
        <v>5.9518642491030699E-2</v>
      </c>
      <c r="P16" s="60"/>
    </row>
    <row r="18" spans="4:16" ht="15.6" x14ac:dyDescent="0.3">
      <c r="D18" s="105" t="s">
        <v>317</v>
      </c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  <c r="P18" s="104"/>
    </row>
    <row r="19" spans="4:16" x14ac:dyDescent="0.3">
      <c r="D19" s="73"/>
      <c r="E19" s="73"/>
      <c r="F19" s="236">
        <v>42460</v>
      </c>
      <c r="G19" s="73">
        <f>EDATE(F19,12)</f>
        <v>42825</v>
      </c>
      <c r="H19" s="73">
        <f t="shared" ref="H19:O19" si="1">EDATE(G19,12)</f>
        <v>43190</v>
      </c>
      <c r="I19" s="73">
        <f t="shared" si="1"/>
        <v>43555</v>
      </c>
      <c r="J19" s="73">
        <f t="shared" si="1"/>
        <v>43921</v>
      </c>
      <c r="K19" s="73">
        <f t="shared" si="1"/>
        <v>44286</v>
      </c>
      <c r="L19" s="73">
        <f t="shared" si="1"/>
        <v>44651</v>
      </c>
      <c r="M19" s="73">
        <f t="shared" si="1"/>
        <v>45016</v>
      </c>
      <c r="N19" s="73">
        <f t="shared" si="1"/>
        <v>45382</v>
      </c>
      <c r="O19" s="76">
        <f t="shared" si="1"/>
        <v>45747</v>
      </c>
      <c r="P19" s="131" t="s">
        <v>371</v>
      </c>
    </row>
    <row r="20" spans="4:16" x14ac:dyDescent="0.3">
      <c r="D20" t="s">
        <v>318</v>
      </c>
      <c r="F20" s="263">
        <f>('Data Sheet'!D125+'Data Sheet'!D126+'Data Sheet'!D127+'Data Sheet'!D129)/('Data Sheet'!D105+'Data Sheet'!D104+'Data Sheet'!D100+'Data Sheet'!D102)</f>
        <v>1.1999463231347289</v>
      </c>
      <c r="G20" s="264">
        <f>('Data Sheet'!E125+'Data Sheet'!E126+'Data Sheet'!E127+'Data Sheet'!E129)/('Data Sheet'!E105+'Data Sheet'!E104+'Data Sheet'!E100+'Data Sheet'!E102)</f>
        <v>2.0633518425037858</v>
      </c>
      <c r="H20" s="264">
        <f>('Data Sheet'!F125+'Data Sheet'!F126+'Data Sheet'!F127+'Data Sheet'!F129)/('Data Sheet'!F105+'Data Sheet'!F104+'Data Sheet'!F100+'Data Sheet'!F102)</f>
        <v>1.6493269070965597</v>
      </c>
      <c r="I20" s="264">
        <f>('Data Sheet'!G125+'Data Sheet'!G126+'Data Sheet'!G127+'Data Sheet'!G129)/('Data Sheet'!G105+'Data Sheet'!G104+'Data Sheet'!G100+'Data Sheet'!G102)</f>
        <v>1.9160091626368032</v>
      </c>
      <c r="J20" s="264">
        <f>('Data Sheet'!H125+'Data Sheet'!H126+'Data Sheet'!H127+'Data Sheet'!H129)/('Data Sheet'!H105+'Data Sheet'!H104+'Data Sheet'!H100+'Data Sheet'!H102)</f>
        <v>1.5980935491021946</v>
      </c>
      <c r="K20" s="264">
        <f>('Data Sheet'!I125+'Data Sheet'!I126+'Data Sheet'!I127+'Data Sheet'!I129)/('Data Sheet'!I105+'Data Sheet'!I104+'Data Sheet'!I100+'Data Sheet'!I102)</f>
        <v>1.4130340207082572</v>
      </c>
      <c r="L20" s="264">
        <f>('Data Sheet'!J125+'Data Sheet'!J126+'Data Sheet'!J127+'Data Sheet'!J129)/('Data Sheet'!J105+'Data Sheet'!J104+'Data Sheet'!J100+'Data Sheet'!J102)</f>
        <v>1.5177509293680298</v>
      </c>
      <c r="M20" s="264">
        <f>('Data Sheet'!K125+'Data Sheet'!K126+'Data Sheet'!K127+'Data Sheet'!K129)/('Data Sheet'!K105+'Data Sheet'!K104+'Data Sheet'!K100+'Data Sheet'!K102)</f>
        <v>1.652468456262173</v>
      </c>
      <c r="N20" s="264">
        <f>('Data Sheet'!L125+'Data Sheet'!L126+'Data Sheet'!L127+'Data Sheet'!L129)/('Data Sheet'!L105+'Data Sheet'!L104+'Data Sheet'!L100+'Data Sheet'!L102)</f>
        <v>1.6173012939001847</v>
      </c>
      <c r="O20" s="265">
        <f>('Data Sheet'!M125+'Data Sheet'!M126+'Data Sheet'!M127+'Data Sheet'!M129)/('Data Sheet'!M105+'Data Sheet'!M104+'Data Sheet'!M100+'Data Sheet'!M102)</f>
        <v>1.3366727383120827</v>
      </c>
      <c r="P20" s="60"/>
    </row>
    <row r="21" spans="4:16" x14ac:dyDescent="0.3">
      <c r="D21" t="s">
        <v>319</v>
      </c>
      <c r="F21" s="263">
        <f>('Data Sheet'!D126+'Data Sheet'!D127+'Data Sheet'!D128)/('Data Sheet'!D106+'Data Sheet'!D105+'Data Sheet'!D104+'Data Sheet'!D107)</f>
        <v>0.52971845672575602</v>
      </c>
      <c r="G21" s="264">
        <f>('Data Sheet'!E126+'Data Sheet'!E127+'Data Sheet'!E128)/('Data Sheet'!E106+'Data Sheet'!E105+'Data Sheet'!E104+'Data Sheet'!E107)</f>
        <v>0.48431981162367549</v>
      </c>
      <c r="H21" s="264">
        <f>('Data Sheet'!F126+'Data Sheet'!F127+'Data Sheet'!F128)/('Data Sheet'!F106+'Data Sheet'!F105+'Data Sheet'!F104+'Data Sheet'!F107)</f>
        <v>0.26453900709219857</v>
      </c>
      <c r="I21" s="264">
        <f>('Data Sheet'!G126+'Data Sheet'!G127+'Data Sheet'!G128)/('Data Sheet'!G106+'Data Sheet'!G105+'Data Sheet'!G104+'Data Sheet'!G107)</f>
        <v>0.24526895286156669</v>
      </c>
      <c r="J21" s="264">
        <f>('Data Sheet'!H126+'Data Sheet'!H127+'Data Sheet'!H128)/('Data Sheet'!H106+'Data Sheet'!H105+'Data Sheet'!H104+'Data Sheet'!H107)</f>
        <v>0.21683866829922455</v>
      </c>
      <c r="K21" s="264">
        <f>('Data Sheet'!I126+'Data Sheet'!I127+'Data Sheet'!I128)/('Data Sheet'!I106+'Data Sheet'!I105+'Data Sheet'!I104+'Data Sheet'!I107)</f>
        <v>0.25835716398777242</v>
      </c>
      <c r="L21" s="264">
        <f>('Data Sheet'!J126+'Data Sheet'!J127+'Data Sheet'!J128)/('Data Sheet'!J106+'Data Sheet'!J105+'Data Sheet'!J104+'Data Sheet'!J107)</f>
        <v>0.1949451943110789</v>
      </c>
      <c r="M21" s="264">
        <f>('Data Sheet'!K126+'Data Sheet'!K127+'Data Sheet'!K128)/('Data Sheet'!K106+'Data Sheet'!K105+'Data Sheet'!K104+'Data Sheet'!K107)</f>
        <v>0.22955611970151549</v>
      </c>
      <c r="N21" s="264">
        <f>('Data Sheet'!L126+'Data Sheet'!L127+'Data Sheet'!L128)/('Data Sheet'!L106+'Data Sheet'!L105+'Data Sheet'!L104+'Data Sheet'!L107)</f>
        <v>0.2072890595536051</v>
      </c>
      <c r="O21" s="265">
        <f>('Data Sheet'!M126+'Data Sheet'!M127+'Data Sheet'!M128)/('Data Sheet'!M106+'Data Sheet'!M105+'Data Sheet'!M104+'Data Sheet'!M107)</f>
        <v>0.22723643201195168</v>
      </c>
      <c r="P21" s="60"/>
    </row>
    <row r="22" spans="4:16" x14ac:dyDescent="0.3">
      <c r="D22" t="s">
        <v>320</v>
      </c>
      <c r="F22" s="263">
        <f>('Data Sheet'!D127)/('Data Sheet'!D105+'Data Sheet'!D106+'Data Sheet'!D107)</f>
        <v>0.26311513463324049</v>
      </c>
      <c r="G22" s="264">
        <f>('Data Sheet'!E127)/('Data Sheet'!E105+'Data Sheet'!E106+'Data Sheet'!E107)</f>
        <v>0.24097289188899604</v>
      </c>
      <c r="H22" s="264">
        <f>('Data Sheet'!F127)/('Data Sheet'!F105+'Data Sheet'!F106+'Data Sheet'!F107)</f>
        <v>1.9442471590909092E-2</v>
      </c>
      <c r="I22" s="264">
        <f>('Data Sheet'!G127)/('Data Sheet'!G105+'Data Sheet'!G106+'Data Sheet'!G107)</f>
        <v>4.2465281762883049E-2</v>
      </c>
      <c r="J22" s="264">
        <f>('Data Sheet'!H127)/('Data Sheet'!H105+'Data Sheet'!H106+'Data Sheet'!H107)</f>
        <v>3.1499737502187479E-2</v>
      </c>
      <c r="K22" s="264">
        <f>('Data Sheet'!I127)/('Data Sheet'!I105+'Data Sheet'!I106+'Data Sheet'!I107)</f>
        <v>9.9033339909252324E-2</v>
      </c>
      <c r="L22" s="264">
        <f>('Data Sheet'!J127)/('Data Sheet'!J105+'Data Sheet'!J106+'Data Sheet'!J107)</f>
        <v>1.6258321633983969E-2</v>
      </c>
      <c r="M22" s="264">
        <f>('Data Sheet'!K127)/('Data Sheet'!K105+'Data Sheet'!K106+'Data Sheet'!K107)</f>
        <v>4.4329658468892141E-2</v>
      </c>
      <c r="N22" s="264">
        <f>('Data Sheet'!L127)/('Data Sheet'!L105+'Data Sheet'!L106+'Data Sheet'!L107)</f>
        <v>2.6897049225378722E-2</v>
      </c>
      <c r="O22" s="265">
        <f>('Data Sheet'!M127)/('Data Sheet'!M105+'Data Sheet'!M106+'Data Sheet'!M107)</f>
        <v>4.6946907621506342E-2</v>
      </c>
      <c r="P22" s="60"/>
    </row>
    <row r="23" spans="4:16" x14ac:dyDescent="0.3">
      <c r="D23" t="s">
        <v>321</v>
      </c>
      <c r="F23" s="263">
        <f>'Data Sheet'!B82/('Data Sheet'!D105+'Data Sheet'!D106+'Data Sheet'!D107)</f>
        <v>0.5252448932219127</v>
      </c>
      <c r="G23" s="264">
        <f>'Data Sheet'!C82/('Data Sheet'!E105+'Data Sheet'!E106+'Data Sheet'!E107)</f>
        <v>0.53627129540340734</v>
      </c>
      <c r="H23" s="264">
        <f>'Data Sheet'!D82/('Data Sheet'!F105+'Data Sheet'!F106+'Data Sheet'!F107)</f>
        <v>0.3451455965909091</v>
      </c>
      <c r="I23" s="264">
        <f>'Data Sheet'!E82/('Data Sheet'!G105+'Data Sheet'!G106+'Data Sheet'!G107)</f>
        <v>0.34179444508206125</v>
      </c>
      <c r="J23" s="264">
        <f>'Data Sheet'!F82/('Data Sheet'!H105+'Data Sheet'!H106+'Data Sheet'!H107)</f>
        <v>0.52338738843842969</v>
      </c>
      <c r="K23" s="264">
        <f>'Data Sheet'!G82/('Data Sheet'!I105+'Data Sheet'!I106+'Data Sheet'!I107)</f>
        <v>0.61651361215229827</v>
      </c>
      <c r="L23" s="264">
        <f>'Data Sheet'!H82/('Data Sheet'!J105+'Data Sheet'!J106+'Data Sheet'!J107)</f>
        <v>0.42041755355282823</v>
      </c>
      <c r="M23" s="264">
        <f>'Data Sheet'!I82/('Data Sheet'!K105+'Data Sheet'!K106+'Data Sheet'!K107)</f>
        <v>0.34956865314933316</v>
      </c>
      <c r="N23" s="264">
        <f>'Data Sheet'!J82/('Data Sheet'!L105+'Data Sheet'!L106+'Data Sheet'!L107)</f>
        <v>0.37434440589467904</v>
      </c>
      <c r="O23" s="265">
        <f>'Data Sheet'!K82/('Data Sheet'!M105+'Data Sheet'!M106+'Data Sheet'!M107)</f>
        <v>0.29951257155685262</v>
      </c>
      <c r="P23" s="60"/>
    </row>
    <row r="25" spans="4:16" ht="15.6" x14ac:dyDescent="0.3">
      <c r="D25" s="105" t="s">
        <v>351</v>
      </c>
      <c r="E25" s="104"/>
      <c r="F25" s="104"/>
      <c r="G25" s="104"/>
      <c r="H25" s="104"/>
      <c r="I25" s="104"/>
      <c r="J25" s="104"/>
      <c r="K25" s="104"/>
      <c r="L25" s="104"/>
      <c r="M25" s="104"/>
      <c r="N25" s="104"/>
      <c r="O25" s="104"/>
      <c r="P25" s="104"/>
    </row>
    <row r="26" spans="4:16" x14ac:dyDescent="0.3">
      <c r="D26" s="73"/>
      <c r="E26" s="73"/>
      <c r="F26" s="236">
        <v>42460</v>
      </c>
      <c r="G26" s="73">
        <f>EDATE(F26,12)</f>
        <v>42825</v>
      </c>
      <c r="H26" s="73">
        <f t="shared" ref="H26:O26" si="2">EDATE(G26,12)</f>
        <v>43190</v>
      </c>
      <c r="I26" s="73">
        <f t="shared" si="2"/>
        <v>43555</v>
      </c>
      <c r="J26" s="73">
        <f t="shared" si="2"/>
        <v>43921</v>
      </c>
      <c r="K26" s="73">
        <f t="shared" si="2"/>
        <v>44286</v>
      </c>
      <c r="L26" s="73">
        <f t="shared" si="2"/>
        <v>44651</v>
      </c>
      <c r="M26" s="73">
        <f t="shared" si="2"/>
        <v>45016</v>
      </c>
      <c r="N26" s="73">
        <f t="shared" si="2"/>
        <v>45382</v>
      </c>
      <c r="O26" s="76">
        <f t="shared" si="2"/>
        <v>45747</v>
      </c>
      <c r="P26" s="131" t="s">
        <v>371</v>
      </c>
    </row>
    <row r="27" spans="4:16" x14ac:dyDescent="0.3">
      <c r="D27" t="s">
        <v>352</v>
      </c>
      <c r="F27" s="216">
        <f>'Data Sheet'!B17/'Data Sheet'!B66</f>
        <v>0.61061764940787433</v>
      </c>
      <c r="G27" s="217">
        <f>'Data Sheet'!C17/'Data Sheet'!C66</f>
        <v>0.60117211663548453</v>
      </c>
      <c r="H27" s="217">
        <f>'Data Sheet'!D17/'Data Sheet'!D66</f>
        <v>0.54214261576039235</v>
      </c>
      <c r="I27" s="217">
        <f>'Data Sheet'!E17/'Data Sheet'!E66</f>
        <v>0.54181064397336476</v>
      </c>
      <c r="J27" s="217">
        <f>'Data Sheet'!F17/'Data Sheet'!F66</f>
        <v>0.53563753592965668</v>
      </c>
      <c r="K27" s="217">
        <f>'Data Sheet'!G17/'Data Sheet'!G66</f>
        <v>0.51900318358807263</v>
      </c>
      <c r="L27" s="217">
        <f>'Data Sheet'!H17/'Data Sheet'!H66</f>
        <v>0.62758532725365412</v>
      </c>
      <c r="M27" s="217">
        <f>'Data Sheet'!I17/'Data Sheet'!I66</f>
        <v>0.69205190609802547</v>
      </c>
      <c r="N27" s="217">
        <f>'Data Sheet'!J17/'Data Sheet'!J66</f>
        <v>0.70347393888574783</v>
      </c>
      <c r="O27" s="218">
        <f>'Data Sheet'!K17/'Data Sheet'!K66</f>
        <v>0.56839002556721796</v>
      </c>
      <c r="P27" s="60"/>
    </row>
    <row r="28" spans="4:16" x14ac:dyDescent="0.3">
      <c r="D28" t="s">
        <v>353</v>
      </c>
      <c r="F28" s="216">
        <f>'Data Sheet'!B17/('Data Sheet'!B62+'Data Sheet'!B63)</f>
        <v>0.93930692932504467</v>
      </c>
      <c r="G28" s="217">
        <f>'Data Sheet'!C17/('Data Sheet'!C62+'Data Sheet'!C63)</f>
        <v>0.94593559868824983</v>
      </c>
      <c r="H28" s="217">
        <f>'Data Sheet'!D17/('Data Sheet'!D62+'Data Sheet'!D63)</f>
        <v>0.75142475072471571</v>
      </c>
      <c r="I28" s="217">
        <f>'Data Sheet'!E17/('Data Sheet'!E62+'Data Sheet'!E63)</f>
        <v>0.71736570542133504</v>
      </c>
      <c r="J28" s="217">
        <f>'Data Sheet'!F17/('Data Sheet'!F62+'Data Sheet'!F63)</f>
        <v>0.73066106658194219</v>
      </c>
      <c r="K28" s="217">
        <f>'Data Sheet'!G17/('Data Sheet'!G62+'Data Sheet'!G63)</f>
        <v>0.78331242494302378</v>
      </c>
      <c r="L28" s="217">
        <f>'Data Sheet'!H17/('Data Sheet'!H62+'Data Sheet'!H63)</f>
        <v>0.87268749261683332</v>
      </c>
      <c r="M28" s="217">
        <f>'Data Sheet'!I17/('Data Sheet'!I62+'Data Sheet'!I63)</f>
        <v>0.99403625215519986</v>
      </c>
      <c r="N28" s="217">
        <f>'Data Sheet'!J17/('Data Sheet'!J62+'Data Sheet'!J63)</f>
        <v>1.0174970752110919</v>
      </c>
      <c r="O28" s="218">
        <f>'Data Sheet'!K17/('Data Sheet'!K62+'Data Sheet'!K63)</f>
        <v>0.7535350011969435</v>
      </c>
      <c r="P28" s="60"/>
    </row>
    <row r="29" spans="4:16" x14ac:dyDescent="0.3">
      <c r="D29" t="s">
        <v>354</v>
      </c>
      <c r="F29" s="266">
        <f>'Data Sheet'!D126/'Data Sheet'!B17*365</f>
        <v>27.977310278914363</v>
      </c>
      <c r="G29" s="267">
        <f>'Data Sheet'!E126/'Data Sheet'!C17*365</f>
        <v>25.273163207479506</v>
      </c>
      <c r="H29" s="267">
        <f>'Data Sheet'!F126/'Data Sheet'!D17*365</f>
        <v>26.168531716390206</v>
      </c>
      <c r="I29" s="267">
        <f>'Data Sheet'!G126/'Data Sheet'!E17*365</f>
        <v>24.534480271938868</v>
      </c>
      <c r="J29" s="267">
        <f>'Data Sheet'!H126/'Data Sheet'!F17*365</f>
        <v>20.499581780673953</v>
      </c>
      <c r="K29" s="267">
        <f>'Data Sheet'!I126/'Data Sheet'!G17*365</f>
        <v>20.989674863278015</v>
      </c>
      <c r="L29" s="267">
        <f>'Data Sheet'!J126/'Data Sheet'!H17*365</f>
        <v>21.317584440566453</v>
      </c>
      <c r="M29" s="267">
        <f>'Data Sheet'!K126/'Data Sheet'!I17*365</f>
        <v>22.319029828915188</v>
      </c>
      <c r="N29" s="267">
        <f>'Data Sheet'!L126/'Data Sheet'!J17*365</f>
        <v>22.021026076836879</v>
      </c>
      <c r="O29" s="268">
        <f>'Data Sheet'!M126/'Data Sheet'!K17*365</f>
        <v>28.304210657002365</v>
      </c>
      <c r="P29" s="60"/>
    </row>
    <row r="30" spans="4:16" x14ac:dyDescent="0.3">
      <c r="D30" t="s">
        <v>355</v>
      </c>
      <c r="F30" s="266">
        <f>'Data Sheet'!D125/'Data Sheet'!B17*365</f>
        <v>35.624635235858285</v>
      </c>
      <c r="G30" s="267">
        <f>'Data Sheet'!E125/'Data Sheet'!C17*365</f>
        <v>34.536633387113426</v>
      </c>
      <c r="H30" s="267">
        <f>'Data Sheet'!F125/'Data Sheet'!D17*365</f>
        <v>38.504620283279245</v>
      </c>
      <c r="I30" s="267">
        <f>'Data Sheet'!G125/'Data Sheet'!E17*365</f>
        <v>36.08426072288389</v>
      </c>
      <c r="J30" s="267">
        <f>'Data Sheet'!H125/'Data Sheet'!F17*365</f>
        <v>35.983949051010974</v>
      </c>
      <c r="K30" s="267">
        <f>'Data Sheet'!I125/'Data Sheet'!G17*365</f>
        <v>32.79024634550975</v>
      </c>
      <c r="L30" s="267">
        <f>'Data Sheet'!J125/'Data Sheet'!H17*365</f>
        <v>38.832422698375609</v>
      </c>
      <c r="M30" s="267">
        <f>'Data Sheet'!K125/'Data Sheet'!I17*365</f>
        <v>38.162251158207198</v>
      </c>
      <c r="N30" s="267">
        <f>'Data Sheet'!L125/'Data Sheet'!J17*365</f>
        <v>42.878716040217668</v>
      </c>
      <c r="O30" s="268">
        <f>'Data Sheet'!M125/'Data Sheet'!K17*365</f>
        <v>45.954697200834225</v>
      </c>
      <c r="P30" s="60"/>
    </row>
    <row r="31" spans="4:16" x14ac:dyDescent="0.3">
      <c r="D31" t="s">
        <v>356</v>
      </c>
      <c r="F31" s="266">
        <f>'Data Sheet'!D105/('Data Sheet'!B18+'Data Sheet'!B19+'Data Sheet'!B20+'Data Sheet'!B21+'Data Sheet'!B22)*365</f>
        <v>50.401106611925833</v>
      </c>
      <c r="G31" s="267">
        <f>'Data Sheet'!E105/('Data Sheet'!C18+'Data Sheet'!C19+'Data Sheet'!C20+'Data Sheet'!C21+'Data Sheet'!C22)*365</f>
        <v>55.535851826494543</v>
      </c>
      <c r="H31" s="267">
        <f>'Data Sheet'!F105/('Data Sheet'!D18+'Data Sheet'!D19+'Data Sheet'!D20+'Data Sheet'!D21+'Data Sheet'!D22)*365</f>
        <v>54.521660542420143</v>
      </c>
      <c r="I31" s="267">
        <f>'Data Sheet'!G105/('Data Sheet'!E18+'Data Sheet'!E19+'Data Sheet'!E20+'Data Sheet'!E21+'Data Sheet'!E22)*365</f>
        <v>53.306786239509876</v>
      </c>
      <c r="J31" s="267">
        <f>'Data Sheet'!H105/('Data Sheet'!F18+'Data Sheet'!F19+'Data Sheet'!F20+'Data Sheet'!F21+'Data Sheet'!F22)*365</f>
        <v>57.584184667954872</v>
      </c>
      <c r="K31" s="267">
        <f>'Data Sheet'!I105/('Data Sheet'!G18+'Data Sheet'!G19+'Data Sheet'!G20+'Data Sheet'!G21+'Data Sheet'!G22)*365</f>
        <v>83.219868253506718</v>
      </c>
      <c r="L31" s="267">
        <f>'Data Sheet'!J105/('Data Sheet'!H18+'Data Sheet'!H19+'Data Sheet'!H20+'Data Sheet'!H21+'Data Sheet'!H22)*365</f>
        <v>78.378793139568785</v>
      </c>
      <c r="M31" s="267">
        <f>'Data Sheet'!K105/('Data Sheet'!I18+'Data Sheet'!I19+'Data Sheet'!I20+'Data Sheet'!I21+'Data Sheet'!I22)*365</f>
        <v>72.410690083616899</v>
      </c>
      <c r="N31" s="267">
        <f>'Data Sheet'!L105/('Data Sheet'!J18+'Data Sheet'!J19+'Data Sheet'!J20+'Data Sheet'!J21+'Data Sheet'!J22)*365</f>
        <v>80.78902229845626</v>
      </c>
      <c r="O31" s="268">
        <f>'Data Sheet'!M105/('Data Sheet'!K18+'Data Sheet'!K19+'Data Sheet'!K20+'Data Sheet'!K21+'Data Sheet'!K22)*365</f>
        <v>82.645622229451206</v>
      </c>
      <c r="P31" s="60"/>
    </row>
    <row r="33" spans="4:16" ht="15.6" x14ac:dyDescent="0.3">
      <c r="D33" s="105" t="s">
        <v>357</v>
      </c>
      <c r="E33" s="104"/>
      <c r="F33" s="104"/>
      <c r="G33" s="104"/>
      <c r="H33" s="104"/>
      <c r="I33" s="104"/>
      <c r="J33" s="104"/>
      <c r="K33" s="104"/>
      <c r="L33" s="104"/>
      <c r="M33" s="104"/>
      <c r="N33" s="104"/>
      <c r="O33" s="104"/>
      <c r="P33" s="104"/>
    </row>
    <row r="34" spans="4:16" x14ac:dyDescent="0.3">
      <c r="D34" s="73"/>
      <c r="E34" s="73"/>
      <c r="F34" s="236">
        <v>42460</v>
      </c>
      <c r="G34" s="73">
        <f>EDATE(F34,12)</f>
        <v>42825</v>
      </c>
      <c r="H34" s="73">
        <f t="shared" ref="H34:O34" si="3">EDATE(G34,12)</f>
        <v>43190</v>
      </c>
      <c r="I34" s="73">
        <f t="shared" si="3"/>
        <v>43555</v>
      </c>
      <c r="J34" s="73">
        <f t="shared" si="3"/>
        <v>43921</v>
      </c>
      <c r="K34" s="73">
        <f t="shared" si="3"/>
        <v>44286</v>
      </c>
      <c r="L34" s="73">
        <f t="shared" si="3"/>
        <v>44651</v>
      </c>
      <c r="M34" s="73">
        <f t="shared" si="3"/>
        <v>45016</v>
      </c>
      <c r="N34" s="73">
        <f t="shared" si="3"/>
        <v>45382</v>
      </c>
      <c r="O34" s="76">
        <f t="shared" si="3"/>
        <v>45747</v>
      </c>
      <c r="P34" s="131" t="s">
        <v>371</v>
      </c>
    </row>
    <row r="35" spans="4:16" x14ac:dyDescent="0.3">
      <c r="D35" t="s">
        <v>358</v>
      </c>
      <c r="F35" s="269">
        <f>('Data Sheet'!D102+'Data Sheet'!D99+'Data Sheet'!D100+'Data Sheet'!D101)/('Data Sheet'!D96+'Data Sheet'!D97)</f>
        <v>0.48380041011619956</v>
      </c>
      <c r="G35" s="270">
        <f>('Data Sheet'!E102+'Data Sheet'!E99+'Data Sheet'!E100+'Data Sheet'!E101)/('Data Sheet'!E96+'Data Sheet'!E97)</f>
        <v>0.3474089865529682</v>
      </c>
      <c r="H35" s="270">
        <f>('Data Sheet'!F102+'Data Sheet'!F99+'Data Sheet'!F100+'Data Sheet'!F101)/('Data Sheet'!F96+'Data Sheet'!F97)</f>
        <v>0.73834432567659769</v>
      </c>
      <c r="I35" s="270">
        <f>('Data Sheet'!G102+'Data Sheet'!G99+'Data Sheet'!G100+'Data Sheet'!G101)/('Data Sheet'!G96+'Data Sheet'!G97)</f>
        <v>0.75067405410210064</v>
      </c>
      <c r="J35" s="270">
        <f>('Data Sheet'!H102+'Data Sheet'!H99+'Data Sheet'!H100+'Data Sheet'!H101)/('Data Sheet'!H96+'Data Sheet'!H97)</f>
        <v>0.58956561827681586</v>
      </c>
      <c r="K35" s="270">
        <f>('Data Sheet'!I102+'Data Sheet'!I99+'Data Sheet'!I100+'Data Sheet'!I101)/('Data Sheet'!I96+'Data Sheet'!I97)</f>
        <v>0.49165817770232034</v>
      </c>
      <c r="L35" s="270">
        <f>('Data Sheet'!J102+'Data Sheet'!J99+'Data Sheet'!J100+'Data Sheet'!J101)/('Data Sheet'!J96+'Data Sheet'!J97)</f>
        <v>0.22402648901578237</v>
      </c>
      <c r="M35" s="270">
        <f>('Data Sheet'!K102+'Data Sheet'!K99+'Data Sheet'!K100+'Data Sheet'!K101)/('Data Sheet'!K96+'Data Sheet'!K97)</f>
        <v>0.20353428439944776</v>
      </c>
      <c r="N35" s="270">
        <f>('Data Sheet'!L102+'Data Sheet'!L99+'Data Sheet'!L100+'Data Sheet'!L101)/('Data Sheet'!L96+'Data Sheet'!L97)</f>
        <v>0.18934714750614332</v>
      </c>
      <c r="O35" s="271">
        <f>('Data Sheet'!M102+'Data Sheet'!M99+'Data Sheet'!M100+'Data Sheet'!M101)/('Data Sheet'!M96+'Data Sheet'!M97)</f>
        <v>0.34087148372862658</v>
      </c>
      <c r="P35" s="60"/>
    </row>
    <row r="36" spans="4:16" x14ac:dyDescent="0.3">
      <c r="D36" t="s">
        <v>359</v>
      </c>
      <c r="F36" s="216">
        <f>('Data Sheet'!D99+'Data Sheet'!D100+'Data Sheet'!D101+'Data Sheet'!D102)/'Data Sheet'!D130</f>
        <v>0.25773796518826014</v>
      </c>
      <c r="G36" s="217">
        <f>('Data Sheet'!E99+'Data Sheet'!E100+'Data Sheet'!E101+'Data Sheet'!E102)/'Data Sheet'!E130</f>
        <v>0.20076287047786018</v>
      </c>
      <c r="H36" s="217">
        <f>('Data Sheet'!F99+'Data Sheet'!F100+'Data Sheet'!F101+'Data Sheet'!F102)/'Data Sheet'!F130</f>
        <v>0.34089357904131884</v>
      </c>
      <c r="I36" s="217">
        <f>('Data Sheet'!G99+'Data Sheet'!G100+'Data Sheet'!G101+'Data Sheet'!G102)/'Data Sheet'!G130</f>
        <v>0.33108134596537081</v>
      </c>
      <c r="J36" s="217">
        <f>('Data Sheet'!H99+'Data Sheet'!H100+'Data Sheet'!H101+'Data Sheet'!H102)/'Data Sheet'!H130</f>
        <v>0.29059257202009747</v>
      </c>
      <c r="K36" s="217">
        <f>('Data Sheet'!I99+'Data Sheet'!I100+'Data Sheet'!I101+'Data Sheet'!I102)/'Data Sheet'!I130</f>
        <v>0.25203072781284813</v>
      </c>
      <c r="L36" s="217">
        <f>('Data Sheet'!J99+'Data Sheet'!J100+'Data Sheet'!J101+'Data Sheet'!J102)/'Data Sheet'!J130</f>
        <v>0.13481523904976675</v>
      </c>
      <c r="M36" s="217">
        <f>('Data Sheet'!K99+'Data Sheet'!K100+'Data Sheet'!K101+'Data Sheet'!K102)/'Data Sheet'!K130</f>
        <v>0.12100021886627271</v>
      </c>
      <c r="N36" s="217">
        <f>('Data Sheet'!L99+'Data Sheet'!L100+'Data Sheet'!L101+'Data Sheet'!L102)/'Data Sheet'!L130</f>
        <v>0.11313828784586843</v>
      </c>
      <c r="O36" s="218">
        <f>('Data Sheet'!M99+'Data Sheet'!M100+'Data Sheet'!M101+'Data Sheet'!M102)/'Data Sheet'!M130</f>
        <v>0.18036099137931033</v>
      </c>
      <c r="P36" s="60"/>
    </row>
    <row r="37" spans="4:16" x14ac:dyDescent="0.3">
      <c r="D37" t="s">
        <v>360</v>
      </c>
      <c r="F37" s="216">
        <f>('Data Sheet'!D99+'Data Sheet'!D100+'Data Sheet'!D101+'Data Sheet'!D102)/'Historical FS'!C18</f>
        <v>2.1663058537391566</v>
      </c>
      <c r="G37" s="217">
        <f>('Data Sheet'!E99+'Data Sheet'!E100+'Data Sheet'!E101+'Data Sheet'!E102)/'Historical FS'!D18</f>
        <v>1.6257261474472615</v>
      </c>
      <c r="H37" s="217">
        <f>('Data Sheet'!F99+'Data Sheet'!F100+'Data Sheet'!F101+'Data Sheet'!F102)/'Historical FS'!E18</f>
        <v>3.1698787475406962</v>
      </c>
      <c r="I37" s="217">
        <f>('Data Sheet'!G99+'Data Sheet'!G100+'Data Sheet'!G101+'Data Sheet'!G102)/'Historical FS'!F18</f>
        <v>3.4485105363593522</v>
      </c>
      <c r="J37" s="217">
        <f>('Data Sheet'!H99+'Data Sheet'!H100+'Data Sheet'!H101+'Data Sheet'!H102)/'Historical FS'!G18</f>
        <v>2.4896252096859492</v>
      </c>
      <c r="K37" s="217">
        <f>('Data Sheet'!I99+'Data Sheet'!I100+'Data Sheet'!I101+'Data Sheet'!I102)/'Historical FS'!H18</f>
        <v>1.8775215229025817</v>
      </c>
      <c r="L37" s="217">
        <f>('Data Sheet'!J99+'Data Sheet'!J100+'Data Sheet'!J101+'Data Sheet'!J102)/'Historical FS'!I18</f>
        <v>0.98129725082180064</v>
      </c>
      <c r="M37" s="217">
        <f>('Data Sheet'!K99+'Data Sheet'!K100+'Data Sheet'!K101+'Data Sheet'!K102)/'Historical FS'!J18</f>
        <v>1.041163481593431</v>
      </c>
      <c r="N37" s="217">
        <f>('Data Sheet'!L99+'Data Sheet'!L100+'Data Sheet'!L101+'Data Sheet'!L102)/'Historical FS'!K18</f>
        <v>0.87867991518319455</v>
      </c>
      <c r="O37" s="218">
        <f>('Data Sheet'!M99+'Data Sheet'!M100+'Data Sheet'!M101+'Data Sheet'!M102)/'Historical FS'!L18</f>
        <v>1.883427835534911</v>
      </c>
      <c r="P37" s="60"/>
    </row>
    <row r="38" spans="4:16" x14ac:dyDescent="0.3">
      <c r="D38" t="s">
        <v>361</v>
      </c>
      <c r="F38" s="216">
        <f>'Data Sheet'!D130/('Data Sheet'!D96+'Data Sheet'!D97)</f>
        <v>1.877101845522898</v>
      </c>
      <c r="G38" s="217">
        <f>'Data Sheet'!E130/('Data Sheet'!E96+'Data Sheet'!E97)</f>
        <v>1.7304444080026238</v>
      </c>
      <c r="H38" s="217">
        <f>'Data Sheet'!F130/('Data Sheet'!F96+'Data Sheet'!F97)</f>
        <v>2.1659085740277462</v>
      </c>
      <c r="I38" s="217">
        <f>'Data Sheet'!G130/('Data Sheet'!G96+'Data Sheet'!G97)</f>
        <v>2.2673402269562382</v>
      </c>
      <c r="J38" s="217">
        <f>'Data Sheet'!H130/('Data Sheet'!H96+'Data Sheet'!H97)</f>
        <v>2.0288392582727179</v>
      </c>
      <c r="K38" s="217">
        <f>'Data Sheet'!I130/('Data Sheet'!I96+'Data Sheet'!I97)</f>
        <v>1.9507866440294284</v>
      </c>
      <c r="L38" s="217">
        <f>'Data Sheet'!J130/('Data Sheet'!J96+'Data Sheet'!J97)</f>
        <v>1.6617297168689031</v>
      </c>
      <c r="M38" s="217">
        <f>'Data Sheet'!K130/('Data Sheet'!K96+'Data Sheet'!K97)</f>
        <v>1.6820984813621722</v>
      </c>
      <c r="N38" s="217">
        <f>'Data Sheet'!L130/('Data Sheet'!L96+'Data Sheet'!L97)</f>
        <v>1.6735903566447499</v>
      </c>
      <c r="O38" s="218">
        <f>'Data Sheet'!M130/('Data Sheet'!M96+'Data Sheet'!M97)</f>
        <v>1.8899401756544614</v>
      </c>
      <c r="P38" s="60"/>
    </row>
    <row r="39" spans="4:16" x14ac:dyDescent="0.3">
      <c r="D39" t="s">
        <v>362</v>
      </c>
      <c r="F39" s="216">
        <f>'Historical FS'!C21/'Historical FS'!C20</f>
        <v>5.2224969097651455</v>
      </c>
      <c r="G39" s="217">
        <f>'Historical FS'!D21/'Historical FS'!D20</f>
        <v>5.0366036556787961</v>
      </c>
      <c r="H39" s="217">
        <f>'Historical FS'!E21/'Historical FS'!E20</f>
        <v>2.4721234647705232</v>
      </c>
      <c r="I39" s="217">
        <f>'Historical FS'!F21/'Historical FS'!F20</f>
        <v>1.7539907529276804</v>
      </c>
      <c r="J39" s="217">
        <f>'Historical FS'!G21/'Historical FS'!G20</f>
        <v>2.2753295006652783</v>
      </c>
      <c r="K39" s="217">
        <f>'Historical FS'!H21/'Historical FS'!H20</f>
        <v>4.9688890384680091</v>
      </c>
      <c r="L39" s="217">
        <f>'Historical FS'!I21/'Historical FS'!I20</f>
        <v>8.3146044817986464</v>
      </c>
      <c r="M39" s="217">
        <f>'Historical FS'!J21/'Historical FS'!J20</f>
        <v>8.397923959548816</v>
      </c>
      <c r="N39" s="217">
        <f>'Historical FS'!K21/'Historical FS'!K20</f>
        <v>9.1583264462809897</v>
      </c>
      <c r="O39" s="218">
        <f>'Historical FS'!L21/'Historical FS'!L20</f>
        <v>4.3206405176487728</v>
      </c>
      <c r="P39" s="60"/>
    </row>
    <row r="40" spans="4:16" x14ac:dyDescent="0.3">
      <c r="D40" t="s">
        <v>363</v>
      </c>
      <c r="F40" s="216">
        <f>'Historical FS'!C18/'Historical FS'!C20</f>
        <v>8.6543704750132484</v>
      </c>
      <c r="G40" s="217">
        <f>'Historical FS'!D18/'Historical FS'!D20</f>
        <v>8.143165130448363</v>
      </c>
      <c r="H40" s="217">
        <f>'Historical FS'!E18/'Historical FS'!E20</f>
        <v>4.9652795733678081</v>
      </c>
      <c r="I40" s="217">
        <f>'Historical FS'!F18/'Historical FS'!F20</f>
        <v>4.1324626236036623</v>
      </c>
      <c r="J40" s="217">
        <f>'Historical FS'!G18/'Historical FS'!G20</f>
        <v>4.6423668817312285</v>
      </c>
      <c r="K40" s="217">
        <f>'Historical FS'!H18/'Historical FS'!H20</f>
        <v>7.7864301820751844</v>
      </c>
      <c r="L40" s="217">
        <f>'Historical FS'!I18/'Historical FS'!I20</f>
        <v>12.188237660234357</v>
      </c>
      <c r="M40" s="217">
        <f>'Historical FS'!J18/'Historical FS'!J20</f>
        <v>12.908219078179698</v>
      </c>
      <c r="N40" s="217">
        <f>'Historical FS'!K18/'Historical FS'!K20</f>
        <v>13.407603305785122</v>
      </c>
      <c r="O40" s="218">
        <f>'Historical FS'!L18/'Historical FS'!L20</f>
        <v>7.7531474547723809</v>
      </c>
      <c r="P40" s="60"/>
    </row>
    <row r="42" spans="4:16" ht="15.6" x14ac:dyDescent="0.3">
      <c r="D42" s="105" t="s">
        <v>365</v>
      </c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</row>
    <row r="43" spans="4:16" x14ac:dyDescent="0.3">
      <c r="D43" s="73"/>
      <c r="E43" s="73"/>
      <c r="F43" s="236">
        <v>42460</v>
      </c>
      <c r="G43" s="73">
        <f>EDATE(F43,12)</f>
        <v>42825</v>
      </c>
      <c r="H43" s="73">
        <f t="shared" ref="H43:O43" si="4">EDATE(G43,12)</f>
        <v>43190</v>
      </c>
      <c r="I43" s="73">
        <f t="shared" si="4"/>
        <v>43555</v>
      </c>
      <c r="J43" s="73">
        <f t="shared" si="4"/>
        <v>43921</v>
      </c>
      <c r="K43" s="73">
        <f t="shared" si="4"/>
        <v>44286</v>
      </c>
      <c r="L43" s="73">
        <f t="shared" si="4"/>
        <v>44651</v>
      </c>
      <c r="M43" s="73">
        <f t="shared" si="4"/>
        <v>45016</v>
      </c>
      <c r="N43" s="73">
        <f t="shared" si="4"/>
        <v>45382</v>
      </c>
      <c r="O43" s="76">
        <f t="shared" si="4"/>
        <v>45747</v>
      </c>
      <c r="P43" s="131" t="s">
        <v>371</v>
      </c>
    </row>
    <row r="44" spans="4:16" x14ac:dyDescent="0.3">
      <c r="D44" t="s">
        <v>311</v>
      </c>
      <c r="F44" s="272">
        <f>F12</f>
        <v>8.0141166704567751E-2</v>
      </c>
      <c r="G44" s="273">
        <f t="shared" ref="G44:O44" si="5">G12</f>
        <v>8.1394872263737303E-2</v>
      </c>
      <c r="H44" s="273">
        <f t="shared" si="5"/>
        <v>6.3995426523195634E-2</v>
      </c>
      <c r="I44" s="273">
        <f t="shared" si="5"/>
        <v>4.9449306429509801E-2</v>
      </c>
      <c r="J44" s="273">
        <f t="shared" si="5"/>
        <v>0.12019404245450557</v>
      </c>
      <c r="K44" s="273">
        <f t="shared" si="5"/>
        <v>0.10828939895988442</v>
      </c>
      <c r="L44" s="273">
        <f t="shared" si="5"/>
        <v>0.1267106131448171</v>
      </c>
      <c r="M44" s="273">
        <f t="shared" si="5"/>
        <v>7.2205747060641104E-2</v>
      </c>
      <c r="N44" s="273">
        <f t="shared" si="5"/>
        <v>9.0920450035778658E-2</v>
      </c>
      <c r="O44" s="274">
        <f t="shared" si="5"/>
        <v>7.4292546138753288E-2</v>
      </c>
      <c r="P44" s="60"/>
    </row>
    <row r="45" spans="4:16" x14ac:dyDescent="0.3">
      <c r="D45" t="s">
        <v>352</v>
      </c>
      <c r="F45" s="216">
        <f>F27</f>
        <v>0.61061764940787433</v>
      </c>
      <c r="G45" s="217">
        <f t="shared" ref="G45:O45" si="6">G27</f>
        <v>0.60117211663548453</v>
      </c>
      <c r="H45" s="217">
        <f t="shared" si="6"/>
        <v>0.54214261576039235</v>
      </c>
      <c r="I45" s="217">
        <f t="shared" si="6"/>
        <v>0.54181064397336476</v>
      </c>
      <c r="J45" s="217">
        <f t="shared" si="6"/>
        <v>0.53563753592965668</v>
      </c>
      <c r="K45" s="217">
        <f t="shared" si="6"/>
        <v>0.51900318358807263</v>
      </c>
      <c r="L45" s="217">
        <f t="shared" si="6"/>
        <v>0.62758532725365412</v>
      </c>
      <c r="M45" s="217">
        <f t="shared" si="6"/>
        <v>0.69205190609802547</v>
      </c>
      <c r="N45" s="217">
        <f t="shared" si="6"/>
        <v>0.70347393888574783</v>
      </c>
      <c r="O45" s="218">
        <f t="shared" si="6"/>
        <v>0.56839002556721796</v>
      </c>
      <c r="P45" s="60"/>
    </row>
    <row r="46" spans="4:16" x14ac:dyDescent="0.3">
      <c r="D46" t="s">
        <v>361</v>
      </c>
      <c r="F46" s="216">
        <f>F38</f>
        <v>1.877101845522898</v>
      </c>
      <c r="G46" s="217">
        <f t="shared" ref="G46:O46" si="7">G38</f>
        <v>1.7304444080026238</v>
      </c>
      <c r="H46" s="217">
        <f t="shared" si="7"/>
        <v>2.1659085740277462</v>
      </c>
      <c r="I46" s="217">
        <f t="shared" si="7"/>
        <v>2.2673402269562382</v>
      </c>
      <c r="J46" s="217">
        <f t="shared" si="7"/>
        <v>2.0288392582727179</v>
      </c>
      <c r="K46" s="217">
        <f t="shared" si="7"/>
        <v>1.9507866440294284</v>
      </c>
      <c r="L46" s="217">
        <f t="shared" si="7"/>
        <v>1.6617297168689031</v>
      </c>
      <c r="M46" s="217">
        <f t="shared" si="7"/>
        <v>1.6820984813621722</v>
      </c>
      <c r="N46" s="217">
        <f t="shared" si="7"/>
        <v>1.6735903566447499</v>
      </c>
      <c r="O46" s="218">
        <f t="shared" si="7"/>
        <v>1.8899401756544614</v>
      </c>
      <c r="P46" s="60"/>
    </row>
    <row r="47" spans="4:16" x14ac:dyDescent="0.3">
      <c r="D47" s="4" t="s">
        <v>364</v>
      </c>
      <c r="E47" s="4"/>
      <c r="F47" s="275">
        <f>F44*F45*F46</f>
        <v>9.1857125408193671E-2</v>
      </c>
      <c r="G47" s="276">
        <f t="shared" ref="G47:O47" si="8">G44*G45*G46</f>
        <v>8.4674672738765069E-2</v>
      </c>
      <c r="H47" s="276">
        <f t="shared" si="8"/>
        <v>7.5145435428765256E-2</v>
      </c>
      <c r="I47" s="276">
        <f t="shared" si="8"/>
        <v>6.0746943406139071E-2</v>
      </c>
      <c r="J47" s="276">
        <f t="shared" si="8"/>
        <v>0.13061756562554402</v>
      </c>
      <c r="K47" s="276">
        <f t="shared" si="8"/>
        <v>0.10963916987232632</v>
      </c>
      <c r="L47" s="276">
        <f t="shared" si="8"/>
        <v>0.13214360794754715</v>
      </c>
      <c r="M47" s="276">
        <f t="shared" si="8"/>
        <v>8.4054671181777257E-2</v>
      </c>
      <c r="N47" s="276">
        <f t="shared" si="8"/>
        <v>0.10704311888791949</v>
      </c>
      <c r="O47" s="277">
        <f t="shared" si="8"/>
        <v>7.9806772545454804E-2</v>
      </c>
      <c r="P47" s="60"/>
    </row>
    <row r="49" spans="4:16" x14ac:dyDescent="0.3">
      <c r="D49" s="104"/>
      <c r="E49" s="104"/>
      <c r="F49" s="104"/>
      <c r="G49" s="104"/>
      <c r="H49" s="104"/>
      <c r="I49" s="104"/>
      <c r="J49" s="104"/>
      <c r="K49" s="104"/>
      <c r="L49" s="104"/>
      <c r="M49" s="104"/>
      <c r="N49" s="104"/>
      <c r="O49" s="104"/>
      <c r="P49" s="104"/>
    </row>
  </sheetData>
  <pageMargins left="0.70866141732283472" right="0.70866141732283472" top="0.74803149606299213" bottom="0.74803149606299213" header="0.31496062992125984" footer="0.31496062992125984"/>
  <pageSetup scale="70" orientation="landscape"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xr2:uid="{9292CB3F-8F10-4323-9662-12067BCA1E4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Ratio!F20:O20</xm:f>
              <xm:sqref>P20</xm:sqref>
            </x14:sparkline>
            <x14:sparkline>
              <xm:f>Ratio!F21:O21</xm:f>
              <xm:sqref>P21</xm:sqref>
            </x14:sparkline>
            <x14:sparkline>
              <xm:f>Ratio!F22:O22</xm:f>
              <xm:sqref>P22</xm:sqref>
            </x14:sparkline>
            <x14:sparkline>
              <xm:f>Ratio!F23:O23</xm:f>
              <xm:sqref>P23</xm:sqref>
            </x14:sparkline>
          </x14:sparklines>
        </x14:sparklineGroup>
        <x14:sparklineGroup displayEmptyCellsAs="gap" markers="1" xr2:uid="{621C04F0-DD8C-4AAB-881A-6FA82BEDF0A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Ratio!F8:O8</xm:f>
              <xm:sqref>P8</xm:sqref>
            </x14:sparkline>
            <x14:sparkline>
              <xm:f>Ratio!F9:O9</xm:f>
              <xm:sqref>P9</xm:sqref>
            </x14:sparkline>
            <x14:sparkline>
              <xm:f>Ratio!F10:O10</xm:f>
              <xm:sqref>P10</xm:sqref>
            </x14:sparkline>
            <x14:sparkline>
              <xm:f>Ratio!F11:O11</xm:f>
              <xm:sqref>P11</xm:sqref>
            </x14:sparkline>
            <x14:sparkline>
              <xm:f>Ratio!F12:O12</xm:f>
              <xm:sqref>P12</xm:sqref>
            </x14:sparkline>
            <x14:sparkline>
              <xm:f>Ratio!F13:O13</xm:f>
              <xm:sqref>P13</xm:sqref>
            </x14:sparkline>
            <x14:sparkline>
              <xm:f>Ratio!F14:O14</xm:f>
              <xm:sqref>P14</xm:sqref>
            </x14:sparkline>
            <x14:sparkline>
              <xm:f>Ratio!F15:O15</xm:f>
              <xm:sqref>P15</xm:sqref>
            </x14:sparkline>
            <x14:sparkline>
              <xm:f>Ratio!F16:O16</xm:f>
              <xm:sqref>P16</xm:sqref>
            </x14:sparkline>
          </x14:sparklines>
        </x14:sparklineGroup>
        <x14:sparklineGroup displayEmptyCellsAs="gap" markers="1" xr2:uid="{3C8772BF-3E3A-4727-A822-32DBBB05EC5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Ratio!F27:O27</xm:f>
              <xm:sqref>P27</xm:sqref>
            </x14:sparkline>
            <x14:sparkline>
              <xm:f>Ratio!F28:O28</xm:f>
              <xm:sqref>P28</xm:sqref>
            </x14:sparkline>
            <x14:sparkline>
              <xm:f>Ratio!F29:O29</xm:f>
              <xm:sqref>P29</xm:sqref>
            </x14:sparkline>
            <x14:sparkline>
              <xm:f>Ratio!F30:O30</xm:f>
              <xm:sqref>P30</xm:sqref>
            </x14:sparkline>
            <x14:sparkline>
              <xm:f>Ratio!F31:O31</xm:f>
              <xm:sqref>P31</xm:sqref>
            </x14:sparkline>
          </x14:sparklines>
        </x14:sparklineGroup>
        <x14:sparklineGroup displayEmptyCellsAs="gap" markers="1" xr2:uid="{EEF2EC58-2EAB-4924-9949-3DB67CC5548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Ratio!F35:O35</xm:f>
              <xm:sqref>P35</xm:sqref>
            </x14:sparkline>
            <x14:sparkline>
              <xm:f>Ratio!F36:O36</xm:f>
              <xm:sqref>P36</xm:sqref>
            </x14:sparkline>
            <x14:sparkline>
              <xm:f>Ratio!F37:O37</xm:f>
              <xm:sqref>P37</xm:sqref>
            </x14:sparkline>
            <x14:sparkline>
              <xm:f>Ratio!F38:O38</xm:f>
              <xm:sqref>P38</xm:sqref>
            </x14:sparkline>
            <x14:sparkline>
              <xm:f>Ratio!F39:O39</xm:f>
              <xm:sqref>P39</xm:sqref>
            </x14:sparkline>
            <x14:sparkline>
              <xm:f>Ratio!F40:O40</xm:f>
              <xm:sqref>P40</xm:sqref>
            </x14:sparkline>
          </x14:sparklines>
        </x14:sparklineGroup>
        <x14:sparklineGroup displayEmptyCellsAs="gap" markers="1" xr2:uid="{E1F0648B-0485-4702-846F-71566BADD68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Ratio!F47:O47</xm:f>
              <xm:sqref>P47</xm:sqref>
            </x14:sparkline>
          </x14:sparklines>
        </x14:sparklineGroup>
      </x14:sparklineGroup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67154-2716-40ED-8A74-A041C67BB8E2}">
  <sheetPr>
    <tabColor rgb="FF141836"/>
  </sheetPr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D2932-6181-4818-8E87-D8BB38539B61}">
  <sheetPr>
    <pageSetUpPr fitToPage="1"/>
  </sheetPr>
  <dimension ref="D2:M37"/>
  <sheetViews>
    <sheetView showGridLines="0" workbookViewId="0">
      <selection activeCell="O7" sqref="O7"/>
    </sheetView>
  </sheetViews>
  <sheetFormatPr defaultRowHeight="14.4" x14ac:dyDescent="0.3"/>
  <cols>
    <col min="1" max="3" width="2.33203125" customWidth="1"/>
    <col min="4" max="4" width="20.77734375" customWidth="1"/>
    <col min="5" max="13" width="10.77734375" customWidth="1"/>
    <col min="14" max="14" width="2.33203125" customWidth="1"/>
  </cols>
  <sheetData>
    <row r="2" spans="4:13" ht="21" x14ac:dyDescent="0.4">
      <c r="D2" s="89" t="s">
        <v>117</v>
      </c>
      <c r="E2" s="104"/>
      <c r="F2" s="104"/>
      <c r="G2" s="104"/>
      <c r="H2" s="104"/>
      <c r="I2" s="104"/>
      <c r="J2" s="104"/>
      <c r="K2" s="104"/>
      <c r="L2" s="104"/>
      <c r="M2" s="104"/>
    </row>
    <row r="3" spans="4:13" ht="18" x14ac:dyDescent="0.35">
      <c r="D3" s="90" t="s">
        <v>223</v>
      </c>
      <c r="E3" s="104"/>
      <c r="F3" s="104"/>
      <c r="G3" s="104"/>
      <c r="H3" s="104"/>
      <c r="I3" s="104"/>
      <c r="J3" s="104"/>
      <c r="K3" s="104"/>
      <c r="L3" s="104"/>
      <c r="M3" s="104"/>
    </row>
    <row r="4" spans="4:13" x14ac:dyDescent="0.3">
      <c r="D4" s="91" t="s">
        <v>369</v>
      </c>
      <c r="E4" s="104"/>
      <c r="F4" s="104"/>
      <c r="G4" s="104"/>
      <c r="H4" s="104"/>
      <c r="I4" s="104"/>
      <c r="J4" s="104"/>
      <c r="K4" s="104"/>
      <c r="L4" s="104"/>
      <c r="M4" s="104"/>
    </row>
    <row r="5" spans="4:13" x14ac:dyDescent="0.3">
      <c r="F5" s="376" t="s">
        <v>185</v>
      </c>
      <c r="G5" s="377"/>
      <c r="H5" s="378"/>
      <c r="I5" s="376" t="s">
        <v>187</v>
      </c>
      <c r="J5" s="377"/>
      <c r="K5" s="377"/>
      <c r="L5" s="377"/>
      <c r="M5" s="378"/>
    </row>
    <row r="6" spans="4:13" x14ac:dyDescent="0.3">
      <c r="F6" s="212" t="s">
        <v>188</v>
      </c>
      <c r="G6" s="71" t="s">
        <v>189</v>
      </c>
      <c r="H6" s="74" t="s">
        <v>175</v>
      </c>
      <c r="I6" s="109" t="s">
        <v>176</v>
      </c>
      <c r="J6" s="71" t="s">
        <v>177</v>
      </c>
      <c r="K6" s="71" t="s">
        <v>178</v>
      </c>
      <c r="L6" s="71" t="s">
        <v>179</v>
      </c>
      <c r="M6" s="74" t="s">
        <v>180</v>
      </c>
    </row>
    <row r="7" spans="4:13" x14ac:dyDescent="0.3">
      <c r="F7" s="49"/>
      <c r="H7" s="60"/>
      <c r="I7" s="49"/>
      <c r="M7" s="60"/>
    </row>
    <row r="8" spans="4:13" x14ac:dyDescent="0.3">
      <c r="D8" t="s">
        <v>61</v>
      </c>
      <c r="F8" s="44">
        <f>DCF!G8</f>
        <v>63239.98</v>
      </c>
      <c r="G8" s="39">
        <f>DCF!H8</f>
        <v>70908.14</v>
      </c>
      <c r="H8" s="53">
        <f>DCF!I8</f>
        <v>75955.13</v>
      </c>
      <c r="I8" s="44">
        <f>DCF!K8</f>
        <v>88297.838625000019</v>
      </c>
      <c r="J8" s="39">
        <f>DCF!L8</f>
        <v>98937.728179312529</v>
      </c>
      <c r="K8" s="39">
        <f>DCF!M8</f>
        <v>110038.5412810314</v>
      </c>
      <c r="L8" s="39">
        <f>DCF!N8</f>
        <v>119094.71322846028</v>
      </c>
      <c r="M8" s="53">
        <f>DCF!O8</f>
        <v>125895.02135380536</v>
      </c>
    </row>
    <row r="9" spans="4:13" x14ac:dyDescent="0.3">
      <c r="D9" t="s">
        <v>119</v>
      </c>
      <c r="F9" s="44">
        <f>DCF!G10</f>
        <v>35301.93</v>
      </c>
      <c r="G9" s="39">
        <f>DCF!H10</f>
        <v>38136.400000000001</v>
      </c>
      <c r="H9" s="53">
        <f>DCF!I10</f>
        <v>41216.74</v>
      </c>
      <c r="I9" s="44">
        <f>DCF!K10</f>
        <v>46797.854471250015</v>
      </c>
      <c r="J9" s="39">
        <f>DCF!L10</f>
        <v>52436.995935035644</v>
      </c>
      <c r="K9" s="39">
        <f>DCF!M10</f>
        <v>58320.426878946644</v>
      </c>
      <c r="L9" s="39">
        <f>DCF!N10</f>
        <v>63120.198011083958</v>
      </c>
      <c r="M9" s="53">
        <f>DCF!O10</f>
        <v>66724.361317516843</v>
      </c>
    </row>
    <row r="10" spans="4:13" x14ac:dyDescent="0.3">
      <c r="F10" s="51"/>
      <c r="G10" s="63"/>
      <c r="H10" s="64"/>
      <c r="I10" s="51"/>
      <c r="J10" s="63"/>
      <c r="K10" s="63"/>
      <c r="L10" s="63"/>
      <c r="M10" s="64"/>
    </row>
    <row r="11" spans="4:13" x14ac:dyDescent="0.3">
      <c r="D11" s="5" t="s">
        <v>224</v>
      </c>
      <c r="E11" s="5"/>
      <c r="F11" s="130"/>
      <c r="G11" s="108"/>
      <c r="H11" s="131"/>
      <c r="I11" s="130"/>
      <c r="J11" s="108"/>
      <c r="K11" s="108"/>
      <c r="L11" s="108"/>
      <c r="M11" s="131"/>
    </row>
    <row r="12" spans="4:13" x14ac:dyDescent="0.3">
      <c r="D12" t="s">
        <v>225</v>
      </c>
      <c r="F12" s="44">
        <v>3867</v>
      </c>
      <c r="G12" s="39">
        <v>4278</v>
      </c>
      <c r="H12" s="53">
        <v>5890</v>
      </c>
      <c r="I12" s="44">
        <f>I29*I$8/365</f>
        <v>6847.1250000000009</v>
      </c>
      <c r="J12" s="39">
        <f t="shared" ref="J12:M12" si="0">J29*J$8/365</f>
        <v>7672.2035625000026</v>
      </c>
      <c r="K12" s="39">
        <f t="shared" si="0"/>
        <v>8533.0248022125033</v>
      </c>
      <c r="L12" s="39">
        <f t="shared" si="0"/>
        <v>9235.2927434345929</v>
      </c>
      <c r="M12" s="53">
        <f t="shared" si="0"/>
        <v>9762.627959084708</v>
      </c>
    </row>
    <row r="13" spans="4:13" x14ac:dyDescent="0.3">
      <c r="D13" t="s">
        <v>226</v>
      </c>
      <c r="F13" s="44">
        <v>6612</v>
      </c>
      <c r="G13" s="39">
        <v>8330</v>
      </c>
      <c r="H13" s="53">
        <v>9563</v>
      </c>
      <c r="I13" s="44">
        <f t="shared" ref="I13:M13" si="1">I30*I$8/365</f>
        <v>11116.987500000001</v>
      </c>
      <c r="J13" s="39">
        <f t="shared" si="1"/>
        <v>12456.584493750002</v>
      </c>
      <c r="K13" s="39">
        <f t="shared" si="1"/>
        <v>13854.213273948753</v>
      </c>
      <c r="L13" s="39">
        <f t="shared" si="1"/>
        <v>14994.415026394738</v>
      </c>
      <c r="M13" s="53">
        <f t="shared" si="1"/>
        <v>15850.596124401874</v>
      </c>
    </row>
    <row r="14" spans="4:13" x14ac:dyDescent="0.3">
      <c r="D14" t="s">
        <v>227</v>
      </c>
      <c r="F14" s="44">
        <v>951</v>
      </c>
      <c r="G14" s="39">
        <v>985</v>
      </c>
      <c r="H14" s="53">
        <v>1259</v>
      </c>
      <c r="I14" s="44">
        <f>I8*I31</f>
        <v>1463.5875000000003</v>
      </c>
      <c r="J14" s="39">
        <f t="shared" ref="J14:M14" si="2">J8*J31</f>
        <v>1639.9497937500005</v>
      </c>
      <c r="K14" s="39">
        <f t="shared" si="2"/>
        <v>1823.9521606087505</v>
      </c>
      <c r="L14" s="39">
        <f t="shared" si="2"/>
        <v>1974.0634234268507</v>
      </c>
      <c r="M14" s="53">
        <f t="shared" si="2"/>
        <v>2086.7824449045238</v>
      </c>
    </row>
    <row r="15" spans="4:13" x14ac:dyDescent="0.3">
      <c r="D15" s="67" t="s">
        <v>80</v>
      </c>
      <c r="E15" s="4"/>
      <c r="F15" s="46">
        <f>SUM(F12:F14)</f>
        <v>11430</v>
      </c>
      <c r="G15" s="40">
        <f t="shared" ref="G15:M15" si="3">SUM(G12:G14)</f>
        <v>13593</v>
      </c>
      <c r="H15" s="56">
        <f t="shared" si="3"/>
        <v>16712</v>
      </c>
      <c r="I15" s="46">
        <f t="shared" si="3"/>
        <v>19427.700000000004</v>
      </c>
      <c r="J15" s="40">
        <f t="shared" si="3"/>
        <v>21768.737850000009</v>
      </c>
      <c r="K15" s="40">
        <f t="shared" si="3"/>
        <v>24211.19023677001</v>
      </c>
      <c r="L15" s="40">
        <f t="shared" si="3"/>
        <v>26203.77119325618</v>
      </c>
      <c r="M15" s="56">
        <f t="shared" si="3"/>
        <v>27700.006528391103</v>
      </c>
    </row>
    <row r="16" spans="4:13" x14ac:dyDescent="0.3">
      <c r="F16" s="44"/>
      <c r="G16" s="39"/>
      <c r="H16" s="53"/>
      <c r="I16" s="44"/>
      <c r="J16" s="39"/>
      <c r="K16" s="39"/>
      <c r="L16" s="39"/>
      <c r="M16" s="53"/>
    </row>
    <row r="17" spans="4:13" x14ac:dyDescent="0.3">
      <c r="D17" s="5" t="s">
        <v>228</v>
      </c>
      <c r="E17" s="5"/>
      <c r="F17" s="132"/>
      <c r="G17" s="128"/>
      <c r="H17" s="133"/>
      <c r="I17" s="132"/>
      <c r="J17" s="128"/>
      <c r="K17" s="128"/>
      <c r="L17" s="128"/>
      <c r="M17" s="133"/>
    </row>
    <row r="18" spans="4:13" x14ac:dyDescent="0.3">
      <c r="D18" t="s">
        <v>229</v>
      </c>
      <c r="F18" s="44">
        <v>7209</v>
      </c>
      <c r="G18" s="39">
        <v>8478</v>
      </c>
      <c r="H18" s="53">
        <v>9327</v>
      </c>
      <c r="I18" s="44">
        <f>I34*I9/365</f>
        <v>10589.959047060705</v>
      </c>
      <c r="J18" s="39">
        <f t="shared" ref="J18:M18" si="4">J34*J9/365</f>
        <v>11866.049112231522</v>
      </c>
      <c r="K18" s="39">
        <f t="shared" si="4"/>
        <v>13197.4198226239</v>
      </c>
      <c r="L18" s="39">
        <f t="shared" si="4"/>
        <v>14283.567474025847</v>
      </c>
      <c r="M18" s="53">
        <f t="shared" si="4"/>
        <v>15099.15917679272</v>
      </c>
    </row>
    <row r="19" spans="4:13" x14ac:dyDescent="0.3">
      <c r="D19" t="s">
        <v>230</v>
      </c>
      <c r="F19" s="44">
        <v>384</v>
      </c>
      <c r="G19" s="39">
        <v>527</v>
      </c>
      <c r="H19" s="53">
        <v>541</v>
      </c>
      <c r="I19" s="44">
        <f>I8*I35</f>
        <v>628.91250000000002</v>
      </c>
      <c r="J19" s="39">
        <f t="shared" ref="J19:M19" si="5">J8*J35</f>
        <v>704.6964562500001</v>
      </c>
      <c r="K19" s="39">
        <f t="shared" si="5"/>
        <v>783.76339864125021</v>
      </c>
      <c r="L19" s="39">
        <f t="shared" si="5"/>
        <v>848.2671263494251</v>
      </c>
      <c r="M19" s="53">
        <f t="shared" si="5"/>
        <v>896.70317926397718</v>
      </c>
    </row>
    <row r="20" spans="4:13" x14ac:dyDescent="0.3">
      <c r="D20" s="67" t="s">
        <v>231</v>
      </c>
      <c r="F20" s="46">
        <f>SUM(F18:F19)</f>
        <v>7593</v>
      </c>
      <c r="G20" s="129">
        <f t="shared" ref="G20:M20" si="6">SUM(G18:G19)</f>
        <v>9005</v>
      </c>
      <c r="H20" s="134">
        <f t="shared" si="6"/>
        <v>9868</v>
      </c>
      <c r="I20" s="46">
        <f t="shared" si="6"/>
        <v>11218.871547060706</v>
      </c>
      <c r="J20" s="40">
        <f t="shared" si="6"/>
        <v>12570.745568481521</v>
      </c>
      <c r="K20" s="40">
        <f t="shared" si="6"/>
        <v>13981.18322126515</v>
      </c>
      <c r="L20" s="40">
        <f t="shared" si="6"/>
        <v>15131.834600375272</v>
      </c>
      <c r="M20" s="56">
        <f t="shared" si="6"/>
        <v>15995.862356056698</v>
      </c>
    </row>
    <row r="21" spans="4:13" x14ac:dyDescent="0.3">
      <c r="F21" s="51"/>
      <c r="G21" s="63"/>
      <c r="H21" s="64"/>
      <c r="I21" s="51"/>
      <c r="J21" s="63"/>
      <c r="K21" s="63"/>
      <c r="L21" s="63"/>
      <c r="M21" s="64"/>
    </row>
    <row r="22" spans="4:13" x14ac:dyDescent="0.3">
      <c r="D22" s="67" t="s">
        <v>232</v>
      </c>
      <c r="F22" s="87">
        <f>F15-F20</f>
        <v>3837</v>
      </c>
      <c r="G22" s="85">
        <f t="shared" ref="G22:M22" si="7">G15-G20</f>
        <v>4588</v>
      </c>
      <c r="H22" s="86">
        <f t="shared" si="7"/>
        <v>6844</v>
      </c>
      <c r="I22" s="87">
        <f t="shared" si="7"/>
        <v>8208.8284529392986</v>
      </c>
      <c r="J22" s="85">
        <f t="shared" si="7"/>
        <v>9197.9922815184873</v>
      </c>
      <c r="K22" s="85">
        <f t="shared" si="7"/>
        <v>10230.00701550486</v>
      </c>
      <c r="L22" s="85">
        <f t="shared" si="7"/>
        <v>11071.936592880907</v>
      </c>
      <c r="M22" s="86">
        <f t="shared" si="7"/>
        <v>11704.144172334405</v>
      </c>
    </row>
    <row r="23" spans="4:13" x14ac:dyDescent="0.3">
      <c r="D23" s="37" t="s">
        <v>233</v>
      </c>
      <c r="F23" s="47">
        <f>F22/F8</f>
        <v>6.0673643476800591E-2</v>
      </c>
      <c r="G23" s="81">
        <f t="shared" ref="G23:M23" si="8">G22/G8</f>
        <v>6.4703431792175053E-2</v>
      </c>
      <c r="H23" s="58">
        <f t="shared" si="8"/>
        <v>9.0105829586494018E-2</v>
      </c>
      <c r="I23" s="47">
        <f t="shared" si="8"/>
        <v>9.2967490266688241E-2</v>
      </c>
      <c r="J23" s="81">
        <f t="shared" si="8"/>
        <v>9.2967490266688269E-2</v>
      </c>
      <c r="K23" s="81">
        <f t="shared" si="8"/>
        <v>9.2967490266688255E-2</v>
      </c>
      <c r="L23" s="81">
        <f t="shared" si="8"/>
        <v>9.2967490266688227E-2</v>
      </c>
      <c r="M23" s="58">
        <f t="shared" si="8"/>
        <v>9.2967490266688213E-2</v>
      </c>
    </row>
    <row r="24" spans="4:13" x14ac:dyDescent="0.3">
      <c r="F24" s="51"/>
      <c r="G24" s="63"/>
      <c r="H24" s="64"/>
      <c r="I24" s="51"/>
      <c r="J24" s="63"/>
      <c r="K24" s="63"/>
      <c r="L24" s="63"/>
      <c r="M24" s="64"/>
    </row>
    <row r="25" spans="4:13" x14ac:dyDescent="0.3">
      <c r="D25" s="143" t="s">
        <v>234</v>
      </c>
      <c r="E25" s="144"/>
      <c r="F25" s="146">
        <v>0</v>
      </c>
      <c r="G25" s="145">
        <f>F22-G22</f>
        <v>-751</v>
      </c>
      <c r="H25" s="147">
        <f t="shared" ref="H25:M25" si="9">G22-H22</f>
        <v>-2256</v>
      </c>
      <c r="I25" s="146">
        <f t="shared" si="9"/>
        <v>-1364.8284529392986</v>
      </c>
      <c r="J25" s="145">
        <f t="shared" si="9"/>
        <v>-989.1638285791887</v>
      </c>
      <c r="K25" s="145">
        <f t="shared" si="9"/>
        <v>-1032.0147339863724</v>
      </c>
      <c r="L25" s="145">
        <f t="shared" si="9"/>
        <v>-841.92957737604775</v>
      </c>
      <c r="M25" s="147">
        <f t="shared" si="9"/>
        <v>-632.2075794534976</v>
      </c>
    </row>
    <row r="26" spans="4:13" x14ac:dyDescent="0.3">
      <c r="F26" s="49"/>
      <c r="H26" s="60"/>
      <c r="I26" s="49"/>
      <c r="M26" s="60"/>
    </row>
    <row r="27" spans="4:13" x14ac:dyDescent="0.3">
      <c r="D27" s="127" t="s">
        <v>235</v>
      </c>
      <c r="E27" s="3"/>
      <c r="F27" s="135"/>
      <c r="G27" s="3"/>
      <c r="H27" s="136"/>
      <c r="I27" s="135"/>
      <c r="J27" s="3"/>
      <c r="K27" s="3"/>
      <c r="L27" s="3"/>
      <c r="M27" s="136"/>
    </row>
    <row r="28" spans="4:13" x14ac:dyDescent="0.3">
      <c r="D28" s="5" t="s">
        <v>224</v>
      </c>
      <c r="E28" s="3"/>
      <c r="F28" s="49"/>
      <c r="H28" s="60"/>
      <c r="I28" s="49"/>
      <c r="M28" s="60"/>
    </row>
    <row r="29" spans="4:13" x14ac:dyDescent="0.3">
      <c r="D29" t="s">
        <v>225</v>
      </c>
      <c r="F29" s="50">
        <f>F12/F$8*365</f>
        <v>22.319029828915188</v>
      </c>
      <c r="G29" s="61">
        <f t="shared" ref="G29:H30" si="10">G12/G$8*365</f>
        <v>22.021026076836879</v>
      </c>
      <c r="H29" s="62">
        <f t="shared" si="10"/>
        <v>28.304210657002365</v>
      </c>
      <c r="I29" s="50">
        <f>H29</f>
        <v>28.304210657002365</v>
      </c>
      <c r="J29" s="61">
        <f t="shared" ref="J29:M29" si="11">I29</f>
        <v>28.304210657002365</v>
      </c>
      <c r="K29" s="61">
        <f t="shared" si="11"/>
        <v>28.304210657002365</v>
      </c>
      <c r="L29" s="61">
        <f t="shared" si="11"/>
        <v>28.304210657002365</v>
      </c>
      <c r="M29" s="62">
        <f t="shared" si="11"/>
        <v>28.304210657002365</v>
      </c>
    </row>
    <row r="30" spans="4:13" x14ac:dyDescent="0.3">
      <c r="D30" t="s">
        <v>226</v>
      </c>
      <c r="F30" s="50">
        <f>F13/F$8*365</f>
        <v>38.162251158207198</v>
      </c>
      <c r="G30" s="61">
        <f t="shared" si="10"/>
        <v>42.878716040217668</v>
      </c>
      <c r="H30" s="62">
        <f t="shared" si="10"/>
        <v>45.954697200834225</v>
      </c>
      <c r="I30" s="50">
        <f t="shared" ref="I30:M35" si="12">H30</f>
        <v>45.954697200834225</v>
      </c>
      <c r="J30" s="61">
        <f t="shared" si="12"/>
        <v>45.954697200834225</v>
      </c>
      <c r="K30" s="61">
        <f t="shared" si="12"/>
        <v>45.954697200834225</v>
      </c>
      <c r="L30" s="61">
        <f t="shared" si="12"/>
        <v>45.954697200834225</v>
      </c>
      <c r="M30" s="62">
        <f t="shared" si="12"/>
        <v>45.954697200834225</v>
      </c>
    </row>
    <row r="31" spans="4:13" x14ac:dyDescent="0.3">
      <c r="D31" t="s">
        <v>236</v>
      </c>
      <c r="F31" s="137">
        <f>F14/F8</f>
        <v>1.5037955419973251E-2</v>
      </c>
      <c r="G31" s="138">
        <f t="shared" ref="G31:H31" si="13">G14/G8</f>
        <v>1.3891211925739414E-2</v>
      </c>
      <c r="H31" s="139">
        <f t="shared" si="13"/>
        <v>1.6575575606282287E-2</v>
      </c>
      <c r="I31" s="137">
        <f t="shared" si="12"/>
        <v>1.6575575606282287E-2</v>
      </c>
      <c r="J31" s="138">
        <f t="shared" si="12"/>
        <v>1.6575575606282287E-2</v>
      </c>
      <c r="K31" s="138">
        <f t="shared" si="12"/>
        <v>1.6575575606282287E-2</v>
      </c>
      <c r="L31" s="138">
        <f t="shared" si="12"/>
        <v>1.6575575606282287E-2</v>
      </c>
      <c r="M31" s="139">
        <f t="shared" si="12"/>
        <v>1.6575575606282287E-2</v>
      </c>
    </row>
    <row r="32" spans="4:13" x14ac:dyDescent="0.3">
      <c r="F32" s="51"/>
      <c r="G32" s="63"/>
      <c r="H32" s="64"/>
      <c r="I32" s="51"/>
      <c r="J32" s="63"/>
      <c r="K32" s="63"/>
      <c r="L32" s="63"/>
      <c r="M32" s="64"/>
    </row>
    <row r="33" spans="4:13" x14ac:dyDescent="0.3">
      <c r="D33" s="5" t="s">
        <v>228</v>
      </c>
      <c r="E33" s="3"/>
      <c r="F33" s="51"/>
      <c r="G33" s="63"/>
      <c r="H33" s="64"/>
      <c r="I33" s="51"/>
      <c r="J33" s="63"/>
      <c r="K33" s="63"/>
      <c r="L33" s="63"/>
      <c r="M33" s="64"/>
    </row>
    <row r="34" spans="4:13" x14ac:dyDescent="0.3">
      <c r="D34" t="s">
        <v>229</v>
      </c>
      <c r="F34" s="50">
        <f>F18/F9*365</f>
        <v>74.536576328829611</v>
      </c>
      <c r="G34" s="61">
        <f t="shared" ref="G34:H34" si="14">G18/G9*365</f>
        <v>81.142163392454449</v>
      </c>
      <c r="H34" s="62">
        <f t="shared" si="14"/>
        <v>82.596415922268477</v>
      </c>
      <c r="I34" s="50">
        <f t="shared" si="12"/>
        <v>82.596415922268477</v>
      </c>
      <c r="J34" s="61">
        <f t="shared" si="12"/>
        <v>82.596415922268477</v>
      </c>
      <c r="K34" s="61">
        <f t="shared" si="12"/>
        <v>82.596415922268477</v>
      </c>
      <c r="L34" s="61">
        <f t="shared" si="12"/>
        <v>82.596415922268477</v>
      </c>
      <c r="M34" s="62">
        <f t="shared" si="12"/>
        <v>82.596415922268477</v>
      </c>
    </row>
    <row r="35" spans="4:13" x14ac:dyDescent="0.3">
      <c r="D35" t="s">
        <v>237</v>
      </c>
      <c r="F35" s="140">
        <f>F19/F8</f>
        <v>6.0721081821974009E-3</v>
      </c>
      <c r="G35" s="141">
        <f t="shared" ref="G35:H35" si="15">G19/G8</f>
        <v>7.4321509491011893E-3</v>
      </c>
      <c r="H35" s="142">
        <f t="shared" si="15"/>
        <v>7.1226262136606169E-3</v>
      </c>
      <c r="I35" s="140">
        <f t="shared" si="12"/>
        <v>7.1226262136606169E-3</v>
      </c>
      <c r="J35" s="141">
        <f t="shared" si="12"/>
        <v>7.1226262136606169E-3</v>
      </c>
      <c r="K35" s="141">
        <f t="shared" si="12"/>
        <v>7.1226262136606169E-3</v>
      </c>
      <c r="L35" s="141">
        <f t="shared" si="12"/>
        <v>7.1226262136606169E-3</v>
      </c>
      <c r="M35" s="142">
        <f t="shared" si="12"/>
        <v>7.1226262136606169E-3</v>
      </c>
    </row>
    <row r="37" spans="4:13" x14ac:dyDescent="0.3">
      <c r="D37" s="104"/>
      <c r="E37" s="104"/>
      <c r="F37" s="104"/>
      <c r="G37" s="104"/>
      <c r="H37" s="104"/>
      <c r="I37" s="104"/>
      <c r="J37" s="104"/>
      <c r="K37" s="104"/>
      <c r="L37" s="104"/>
      <c r="M37" s="104"/>
    </row>
  </sheetData>
  <mergeCells count="2">
    <mergeCell ref="F5:H5"/>
    <mergeCell ref="I5:M5"/>
  </mergeCells>
  <pageMargins left="0.70866141732283472" right="0.70866141732283472" top="0.74803149606299213" bottom="0.74803149606299213" header="0.31496062992125984" footer="0.31496062992125984"/>
  <pageSetup scale="94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AAADC-00F3-4AD0-B742-6EF215F25CE8}">
  <sheetPr>
    <pageSetUpPr fitToPage="1"/>
  </sheetPr>
  <dimension ref="D2:Q37"/>
  <sheetViews>
    <sheetView showGridLines="0" zoomScale="70" zoomScaleNormal="70" workbookViewId="0">
      <selection activeCell="C1" sqref="C1"/>
    </sheetView>
  </sheetViews>
  <sheetFormatPr defaultRowHeight="14.4" x14ac:dyDescent="0.3"/>
  <cols>
    <col min="1" max="3" width="2.33203125" customWidth="1"/>
    <col min="4" max="4" width="20.77734375" customWidth="1"/>
    <col min="5" max="5" width="11.77734375" customWidth="1"/>
    <col min="6" max="9" width="10.77734375" customWidth="1"/>
    <col min="10" max="10" width="2.33203125" customWidth="1"/>
    <col min="11" max="13" width="10.77734375" customWidth="1"/>
    <col min="14" max="14" width="2.33203125" customWidth="1"/>
    <col min="15" max="17" width="11.77734375" customWidth="1"/>
    <col min="18" max="18" width="2.33203125" customWidth="1"/>
  </cols>
  <sheetData>
    <row r="2" spans="4:17" ht="21" x14ac:dyDescent="0.4">
      <c r="D2" s="89" t="s">
        <v>117</v>
      </c>
      <c r="E2" s="89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</row>
    <row r="3" spans="4:17" ht="18" x14ac:dyDescent="0.35">
      <c r="D3" s="90" t="s">
        <v>282</v>
      </c>
      <c r="E3" s="90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</row>
    <row r="4" spans="4:17" x14ac:dyDescent="0.3">
      <c r="D4" s="91" t="s">
        <v>369</v>
      </c>
      <c r="E4" s="91"/>
      <c r="F4" s="104"/>
      <c r="G4" s="104"/>
      <c r="H4" s="104"/>
      <c r="I4" s="104"/>
      <c r="J4" s="104"/>
      <c r="K4" s="104"/>
      <c r="L4" s="104"/>
      <c r="M4" s="104"/>
      <c r="N4" s="104"/>
      <c r="O4" s="92"/>
      <c r="P4" s="92"/>
      <c r="Q4" s="104"/>
    </row>
    <row r="6" spans="4:17" ht="15.6" x14ac:dyDescent="0.3">
      <c r="D6" s="105" t="s">
        <v>283</v>
      </c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</row>
    <row r="7" spans="4:17" x14ac:dyDescent="0.3">
      <c r="D7" s="70"/>
      <c r="E7" s="374" t="s">
        <v>281</v>
      </c>
      <c r="F7" s="374"/>
      <c r="G7" s="374"/>
      <c r="H7" s="374"/>
      <c r="I7" s="374"/>
      <c r="J7" s="70"/>
      <c r="K7" s="374" t="s">
        <v>280</v>
      </c>
      <c r="L7" s="374"/>
      <c r="M7" s="374"/>
      <c r="N7" s="70"/>
      <c r="O7" s="373" t="s">
        <v>279</v>
      </c>
      <c r="P7" s="374"/>
      <c r="Q7" s="375"/>
    </row>
    <row r="8" spans="4:17" x14ac:dyDescent="0.3">
      <c r="D8" s="99"/>
      <c r="E8" s="102" t="s">
        <v>268</v>
      </c>
      <c r="F8" s="102" t="s">
        <v>271</v>
      </c>
      <c r="G8" s="102" t="s">
        <v>170</v>
      </c>
      <c r="H8" s="102" t="s">
        <v>273</v>
      </c>
      <c r="I8" s="102" t="s">
        <v>275</v>
      </c>
      <c r="J8" s="102"/>
      <c r="K8" s="102"/>
      <c r="L8" s="102"/>
      <c r="M8" s="102"/>
      <c r="N8" s="102"/>
      <c r="O8" s="379" t="s">
        <v>276</v>
      </c>
      <c r="P8" s="380"/>
      <c r="Q8" s="213" t="s">
        <v>277</v>
      </c>
    </row>
    <row r="9" spans="4:17" ht="16.2" x14ac:dyDescent="0.3">
      <c r="D9" s="82" t="s">
        <v>367</v>
      </c>
      <c r="E9" s="71" t="s">
        <v>269</v>
      </c>
      <c r="F9" s="71" t="s">
        <v>270</v>
      </c>
      <c r="G9" s="71" t="s">
        <v>272</v>
      </c>
      <c r="H9" s="71" t="s">
        <v>274</v>
      </c>
      <c r="I9" s="71" t="s">
        <v>272</v>
      </c>
      <c r="J9" s="71"/>
      <c r="K9" s="71" t="s">
        <v>61</v>
      </c>
      <c r="L9" s="71" t="s">
        <v>65</v>
      </c>
      <c r="M9" s="71" t="s">
        <v>69</v>
      </c>
      <c r="N9" s="71"/>
      <c r="O9" s="212" t="s">
        <v>61</v>
      </c>
      <c r="P9" s="71" t="s">
        <v>65</v>
      </c>
      <c r="Q9" s="74" t="s">
        <v>278</v>
      </c>
    </row>
    <row r="10" spans="4:17" x14ac:dyDescent="0.3">
      <c r="D10" s="203" t="s">
        <v>288</v>
      </c>
      <c r="E10" s="204">
        <v>12039</v>
      </c>
      <c r="F10" s="205">
        <v>29.47</v>
      </c>
      <c r="G10" s="206">
        <v>354934.02</v>
      </c>
      <c r="H10" s="206">
        <v>24102.18</v>
      </c>
      <c r="I10" s="206">
        <f>G10+H10</f>
        <v>379036.2</v>
      </c>
      <c r="J10" s="203"/>
      <c r="K10" s="207">
        <v>75955.13</v>
      </c>
      <c r="L10" s="207">
        <v>12796.880000000005</v>
      </c>
      <c r="M10" s="207">
        <v>5642.9000000000042</v>
      </c>
      <c r="N10" s="203"/>
      <c r="O10" s="214">
        <f>I10/K10</f>
        <v>4.9902646470356906</v>
      </c>
      <c r="P10" s="208">
        <f>I10/L10</f>
        <v>29.619422859321951</v>
      </c>
      <c r="Q10" s="215">
        <f>E10/(M10/F10)</f>
        <v>62.873580960144551</v>
      </c>
    </row>
    <row r="11" spans="4:17" ht="2.5499999999999998" customHeight="1" x14ac:dyDescent="0.3">
      <c r="O11" s="49"/>
      <c r="Q11" s="60"/>
    </row>
    <row r="12" spans="4:17" x14ac:dyDescent="0.3">
      <c r="D12" t="s">
        <v>238</v>
      </c>
      <c r="E12" s="196">
        <v>456.25</v>
      </c>
      <c r="F12" s="198">
        <v>248.48</v>
      </c>
      <c r="G12" s="148">
        <v>113469.56</v>
      </c>
      <c r="H12" s="148">
        <v>1270.72</v>
      </c>
      <c r="I12" s="148">
        <f>G12+H12</f>
        <v>114740.28</v>
      </c>
      <c r="K12" s="39">
        <v>39720.76</v>
      </c>
      <c r="L12" s="39">
        <f>4705.74+3428.89</f>
        <v>8134.6299999999992</v>
      </c>
      <c r="M12" s="39">
        <v>3842.1</v>
      </c>
      <c r="O12" s="216">
        <f>I12/K12</f>
        <v>2.8886728249912639</v>
      </c>
      <c r="P12" s="217">
        <f>I12/L12</f>
        <v>14.105162742497201</v>
      </c>
      <c r="Q12" s="218">
        <f>E12/(M12/F12)</f>
        <v>29.507040420603314</v>
      </c>
    </row>
    <row r="13" spans="4:17" x14ac:dyDescent="0.3">
      <c r="D13" t="s">
        <v>239</v>
      </c>
      <c r="E13" s="197">
        <v>25540</v>
      </c>
      <c r="F13" s="198">
        <v>3.61</v>
      </c>
      <c r="G13" s="148">
        <v>92253.2</v>
      </c>
      <c r="H13" s="148">
        <v>2141.96</v>
      </c>
      <c r="I13" s="148">
        <f t="shared" ref="I13:I18" si="0">G13+H13</f>
        <v>94395.16</v>
      </c>
      <c r="K13" s="39">
        <v>20374.490000000002</v>
      </c>
      <c r="L13" s="39">
        <v>5400.04</v>
      </c>
      <c r="M13" s="39">
        <v>1792.19</v>
      </c>
      <c r="O13" s="216">
        <f t="shared" ref="O13:O18" si="1">I13/K13</f>
        <v>4.6330072556417363</v>
      </c>
      <c r="P13" s="217">
        <f t="shared" ref="P13:P18" si="2">I13/L13</f>
        <v>17.480455700328147</v>
      </c>
      <c r="Q13" s="218">
        <f t="shared" ref="Q13:Q18" si="3">E13/(M13/F13)</f>
        <v>51.445103476751903</v>
      </c>
    </row>
    <row r="14" spans="4:17" x14ac:dyDescent="0.3">
      <c r="D14" t="s">
        <v>240</v>
      </c>
      <c r="E14" s="197">
        <v>5920.5</v>
      </c>
      <c r="F14" s="198">
        <v>7.73</v>
      </c>
      <c r="G14" s="148">
        <v>45817.02</v>
      </c>
      <c r="H14" s="148">
        <v>6509.83</v>
      </c>
      <c r="I14" s="148">
        <f t="shared" si="0"/>
        <v>52326.85</v>
      </c>
      <c r="K14" s="39">
        <v>13415.98</v>
      </c>
      <c r="L14" s="39">
        <v>2655.8</v>
      </c>
      <c r="M14" s="39">
        <v>1050.8699999999999</v>
      </c>
      <c r="O14" s="216">
        <f t="shared" si="1"/>
        <v>3.9003375079569289</v>
      </c>
      <c r="P14" s="217">
        <f t="shared" si="2"/>
        <v>19.702857895925895</v>
      </c>
      <c r="Q14" s="218">
        <f t="shared" si="3"/>
        <v>43.550072796825496</v>
      </c>
    </row>
    <row r="15" spans="4:17" x14ac:dyDescent="0.3">
      <c r="D15" t="s">
        <v>242</v>
      </c>
      <c r="E15" s="197">
        <v>1990</v>
      </c>
      <c r="F15" s="198">
        <v>18.760000000000002</v>
      </c>
      <c r="G15" s="148">
        <v>37369.94</v>
      </c>
      <c r="H15" s="148">
        <v>7082</v>
      </c>
      <c r="I15" s="148">
        <f t="shared" si="0"/>
        <v>44451.94</v>
      </c>
      <c r="K15" s="39">
        <v>14650</v>
      </c>
      <c r="L15" s="39">
        <v>3244</v>
      </c>
      <c r="M15" s="39">
        <v>1196.3</v>
      </c>
      <c r="O15" s="216">
        <f t="shared" si="1"/>
        <v>3.034262116040956</v>
      </c>
      <c r="P15" s="217">
        <f t="shared" si="2"/>
        <v>13.702817509247843</v>
      </c>
      <c r="Q15" s="218">
        <f t="shared" si="3"/>
        <v>31.206553540081924</v>
      </c>
    </row>
    <row r="16" spans="4:17" x14ac:dyDescent="0.3">
      <c r="D16" t="s">
        <v>241</v>
      </c>
      <c r="E16" s="197">
        <v>1438</v>
      </c>
      <c r="F16" s="198">
        <v>18.78</v>
      </c>
      <c r="G16" s="148">
        <v>26989.64</v>
      </c>
      <c r="H16" s="148">
        <v>485.44</v>
      </c>
      <c r="I16" s="148">
        <f t="shared" si="0"/>
        <v>27475.079999999998</v>
      </c>
      <c r="K16" s="39">
        <v>24689.33</v>
      </c>
      <c r="L16" s="39">
        <v>3703.66</v>
      </c>
      <c r="M16" s="39">
        <v>2516.29</v>
      </c>
      <c r="O16" s="216">
        <f t="shared" si="1"/>
        <v>1.1128321424680214</v>
      </c>
      <c r="P16" s="217">
        <f t="shared" si="2"/>
        <v>7.4183591366378119</v>
      </c>
      <c r="Q16" s="218">
        <f t="shared" si="3"/>
        <v>10.732324175671327</v>
      </c>
    </row>
    <row r="17" spans="4:17" x14ac:dyDescent="0.3">
      <c r="D17" t="s">
        <v>243</v>
      </c>
      <c r="E17" s="197">
        <v>1003.6</v>
      </c>
      <c r="F17" s="198">
        <v>23.63</v>
      </c>
      <c r="G17" s="148">
        <v>23669.79</v>
      </c>
      <c r="H17" s="148">
        <v>4699.1499999999996</v>
      </c>
      <c r="I17" s="148">
        <f t="shared" si="0"/>
        <v>28368.940000000002</v>
      </c>
      <c r="K17" s="39">
        <v>8815.7099999999991</v>
      </c>
      <c r="L17" s="39">
        <v>1426.6999999999998</v>
      </c>
      <c r="M17" s="39">
        <v>187.73</v>
      </c>
      <c r="O17" s="216">
        <f t="shared" si="1"/>
        <v>3.2179983234475733</v>
      </c>
      <c r="P17" s="217">
        <f t="shared" si="2"/>
        <v>19.884306441438287</v>
      </c>
      <c r="Q17" s="218">
        <f t="shared" si="3"/>
        <v>126.32540350503383</v>
      </c>
    </row>
    <row r="18" spans="4:17" x14ac:dyDescent="0.3">
      <c r="D18" t="s">
        <v>290</v>
      </c>
      <c r="E18" s="197">
        <v>304.8</v>
      </c>
      <c r="F18" s="198">
        <v>1.78159</v>
      </c>
      <c r="G18" s="148">
        <v>10889.65</v>
      </c>
      <c r="H18" s="148">
        <v>4916.1000000000004</v>
      </c>
      <c r="I18" s="148">
        <f t="shared" si="0"/>
        <v>15805.75</v>
      </c>
      <c r="K18" s="39">
        <v>11338.29</v>
      </c>
      <c r="L18" s="39">
        <f>883.98+996.94</f>
        <v>1880.92</v>
      </c>
      <c r="M18" s="39">
        <v>389.84</v>
      </c>
      <c r="O18" s="216">
        <f t="shared" si="1"/>
        <v>1.3940153232983103</v>
      </c>
      <c r="P18" s="217">
        <f t="shared" si="2"/>
        <v>8.4032016247368304</v>
      </c>
      <c r="Q18" s="218">
        <f t="shared" si="3"/>
        <v>1.3929525754155552</v>
      </c>
    </row>
    <row r="19" spans="4:17" x14ac:dyDescent="0.3">
      <c r="D19" s="125"/>
      <c r="E19" s="125"/>
      <c r="F19" s="125"/>
      <c r="G19" s="125"/>
      <c r="H19" s="125"/>
      <c r="I19" s="125"/>
      <c r="J19" s="125"/>
      <c r="K19" s="125"/>
      <c r="L19" s="125"/>
      <c r="M19" s="125"/>
      <c r="N19" s="125"/>
      <c r="O19" s="219"/>
      <c r="P19" s="125"/>
      <c r="Q19" s="220"/>
    </row>
    <row r="20" spans="4:17" x14ac:dyDescent="0.3">
      <c r="D20" s="199" t="s">
        <v>158</v>
      </c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221">
        <f>AVERAGE(O12:O18)</f>
        <v>2.8830179276921126</v>
      </c>
      <c r="P20" s="200">
        <f t="shared" ref="P20" si="4">AVERAGE(P12:P18)</f>
        <v>14.385308721544574</v>
      </c>
      <c r="Q20" s="222">
        <f>AVERAGE(Q12:Q18)</f>
        <v>42.022778641483335</v>
      </c>
    </row>
    <row r="21" spans="4:17" x14ac:dyDescent="0.3">
      <c r="D21" s="201" t="s">
        <v>159</v>
      </c>
      <c r="E21" s="201"/>
      <c r="F21" s="201"/>
      <c r="G21" s="201"/>
      <c r="H21" s="201"/>
      <c r="I21" s="201"/>
      <c r="J21" s="201"/>
      <c r="K21" s="201"/>
      <c r="L21" s="201"/>
      <c r="M21" s="201"/>
      <c r="N21" s="201"/>
      <c r="O21" s="223">
        <f>MEDIAN(O12:O18)</f>
        <v>3.034262116040956</v>
      </c>
      <c r="P21" s="202">
        <f t="shared" ref="P21:Q21" si="5">MEDIAN(P12:P18)</f>
        <v>14.105162742497201</v>
      </c>
      <c r="Q21" s="224">
        <f t="shared" si="5"/>
        <v>31.206553540081924</v>
      </c>
    </row>
    <row r="22" spans="4:17" x14ac:dyDescent="0.3">
      <c r="O22" s="216"/>
      <c r="P22" s="217"/>
      <c r="Q22" s="218"/>
    </row>
    <row r="23" spans="4:17" x14ac:dyDescent="0.3">
      <c r="D23" s="199" t="s">
        <v>284</v>
      </c>
      <c r="E23" s="199"/>
      <c r="F23" s="199"/>
      <c r="G23" s="199"/>
      <c r="H23" s="199"/>
      <c r="I23" s="199"/>
      <c r="J23" s="199"/>
      <c r="K23" s="199"/>
      <c r="L23" s="199"/>
      <c r="M23" s="199"/>
      <c r="N23" s="199"/>
      <c r="O23" s="221">
        <f>MAX(O12:O18)</f>
        <v>4.6330072556417363</v>
      </c>
      <c r="P23" s="200">
        <f t="shared" ref="P23:Q23" si="6">MAX(P12:P18)</f>
        <v>19.884306441438287</v>
      </c>
      <c r="Q23" s="222">
        <f t="shared" si="6"/>
        <v>126.32540350503383</v>
      </c>
    </row>
    <row r="24" spans="4:17" x14ac:dyDescent="0.3">
      <c r="D24" s="201" t="s">
        <v>285</v>
      </c>
      <c r="E24" s="201"/>
      <c r="F24" s="201"/>
      <c r="G24" s="201"/>
      <c r="H24" s="201"/>
      <c r="I24" s="201"/>
      <c r="J24" s="201"/>
      <c r="K24" s="201"/>
      <c r="L24" s="201"/>
      <c r="M24" s="201"/>
      <c r="N24" s="201"/>
      <c r="O24" s="223">
        <f>MIN(O12:O18)</f>
        <v>1.1128321424680214</v>
      </c>
      <c r="P24" s="202">
        <f>MIN(P12:P18)</f>
        <v>7.4183591366378119</v>
      </c>
      <c r="Q24" s="224">
        <f>MIN(Q12:Q18)</f>
        <v>1.3929525754155552</v>
      </c>
    </row>
    <row r="25" spans="4:17" x14ac:dyDescent="0.3">
      <c r="O25" s="49"/>
      <c r="Q25" s="60"/>
    </row>
    <row r="26" spans="4:17" x14ac:dyDescent="0.3">
      <c r="D26" s="92" t="s">
        <v>366</v>
      </c>
      <c r="E26" s="104"/>
      <c r="F26" s="104"/>
      <c r="G26" s="104"/>
      <c r="H26" s="104"/>
      <c r="I26" s="104"/>
      <c r="J26" s="104"/>
      <c r="K26" s="104"/>
      <c r="L26" s="104"/>
      <c r="M26" s="104"/>
      <c r="N26" s="104"/>
      <c r="O26" s="278" t="s">
        <v>299</v>
      </c>
      <c r="P26" s="261" t="s">
        <v>298</v>
      </c>
      <c r="Q26" s="279" t="s">
        <v>300</v>
      </c>
    </row>
    <row r="27" spans="4:17" x14ac:dyDescent="0.3">
      <c r="D27" t="s">
        <v>286</v>
      </c>
      <c r="O27" s="44">
        <f>O20*K$10</f>
        <v>218980.00149018504</v>
      </c>
      <c r="P27" s="39">
        <f>P20*L$10</f>
        <v>184087.06947255938</v>
      </c>
      <c r="Q27" s="53">
        <f>Q20*M$10</f>
        <v>237130.33759602648</v>
      </c>
    </row>
    <row r="28" spans="4:17" x14ac:dyDescent="0.3">
      <c r="D28" t="s">
        <v>287</v>
      </c>
      <c r="O28" s="225">
        <f>$H$10</f>
        <v>24102.18</v>
      </c>
      <c r="P28" s="148">
        <f t="shared" ref="P28:Q28" si="7">$H$10</f>
        <v>24102.18</v>
      </c>
      <c r="Q28" s="226">
        <f t="shared" si="7"/>
        <v>24102.18</v>
      </c>
    </row>
    <row r="29" spans="4:17" x14ac:dyDescent="0.3">
      <c r="D29" t="s">
        <v>207</v>
      </c>
      <c r="O29" s="44">
        <f>O27-O28</f>
        <v>194877.82149018504</v>
      </c>
      <c r="P29" s="39">
        <f t="shared" ref="P29:Q29" si="8">P27-P28</f>
        <v>159984.88947255939</v>
      </c>
      <c r="Q29" s="53">
        <f t="shared" si="8"/>
        <v>213028.15759602649</v>
      </c>
    </row>
    <row r="30" spans="4:17" x14ac:dyDescent="0.3">
      <c r="D30" t="s">
        <v>289</v>
      </c>
      <c r="O30" s="227">
        <f>$F$10</f>
        <v>29.47</v>
      </c>
      <c r="P30" s="198">
        <f t="shared" ref="P30:Q30" si="9">$F$10</f>
        <v>29.47</v>
      </c>
      <c r="Q30" s="228">
        <f t="shared" si="9"/>
        <v>29.47</v>
      </c>
    </row>
    <row r="31" spans="4:17" ht="2.5499999999999998" customHeight="1" x14ac:dyDescent="0.3">
      <c r="O31" s="227"/>
      <c r="P31" s="198"/>
      <c r="Q31" s="228"/>
    </row>
    <row r="32" spans="4:17" x14ac:dyDescent="0.3">
      <c r="D32" s="209" t="s">
        <v>212</v>
      </c>
      <c r="E32" s="210"/>
      <c r="F32" s="210"/>
      <c r="G32" s="210"/>
      <c r="H32" s="210"/>
      <c r="I32" s="210"/>
      <c r="J32" s="210"/>
      <c r="K32" s="210"/>
      <c r="L32" s="210"/>
      <c r="M32" s="210"/>
      <c r="N32" s="210"/>
      <c r="O32" s="229">
        <f>O29/O30</f>
        <v>6612.7526803591809</v>
      </c>
      <c r="P32" s="211">
        <f t="shared" ref="P32:Q32" si="10">P29/P30</f>
        <v>5428.7373421296024</v>
      </c>
      <c r="Q32" s="230">
        <f t="shared" si="10"/>
        <v>7228.6446418739906</v>
      </c>
    </row>
    <row r="33" spans="4:17" x14ac:dyDescent="0.3">
      <c r="D33" t="s">
        <v>291</v>
      </c>
      <c r="O33" s="231" t="str">
        <f>IF(O32&lt;$E$10,"Overvalued","Undervalued")</f>
        <v>Overvalued</v>
      </c>
      <c r="P33" s="232" t="str">
        <f t="shared" ref="P33:Q33" si="11">IF(P32&lt;$E$10,"Overvalued","Undervalued")</f>
        <v>Overvalued</v>
      </c>
      <c r="Q33" s="233" t="str">
        <f t="shared" si="11"/>
        <v>Overvalued</v>
      </c>
    </row>
    <row r="35" spans="4:17" x14ac:dyDescent="0.3">
      <c r="D35" s="3"/>
    </row>
    <row r="36" spans="4:17" x14ac:dyDescent="0.3">
      <c r="D36" s="280" t="s">
        <v>368</v>
      </c>
    </row>
    <row r="37" spans="4:17" x14ac:dyDescent="0.3">
      <c r="D37" s="104"/>
      <c r="E37" s="104"/>
      <c r="F37" s="104"/>
      <c r="G37" s="104"/>
      <c r="H37" s="104"/>
      <c r="I37" s="104"/>
      <c r="J37" s="104"/>
      <c r="K37" s="104"/>
      <c r="L37" s="104"/>
      <c r="M37" s="104"/>
      <c r="N37" s="104"/>
      <c r="O37" s="104"/>
      <c r="P37" s="104"/>
      <c r="Q37" s="104"/>
    </row>
  </sheetData>
  <mergeCells count="4">
    <mergeCell ref="O8:P8"/>
    <mergeCell ref="O7:Q7"/>
    <mergeCell ref="K7:M7"/>
    <mergeCell ref="E7:I7"/>
  </mergeCells>
  <pageMargins left="0.70866141732283472" right="0.70866141732283472" top="0.74803149606299213" bottom="0.74803149606299213" header="0.31496062992125984" footer="0.31496062992125984"/>
  <pageSetup scale="5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5DDEF-907B-4DAA-8881-967A5D9851A7}">
  <sheetPr>
    <pageSetUpPr fitToPage="1"/>
  </sheetPr>
  <dimension ref="D2:N40"/>
  <sheetViews>
    <sheetView showGridLines="0" zoomScale="70" zoomScaleNormal="70" workbookViewId="0">
      <selection activeCell="Q16" sqref="Q16"/>
    </sheetView>
  </sheetViews>
  <sheetFormatPr defaultRowHeight="14.4" x14ac:dyDescent="0.3"/>
  <cols>
    <col min="1" max="3" width="2.33203125" customWidth="1"/>
    <col min="4" max="4" width="25.77734375" customWidth="1"/>
    <col min="5" max="5" width="8.88671875" customWidth="1"/>
    <col min="6" max="7" width="10.77734375" customWidth="1"/>
    <col min="8" max="8" width="25.77734375" customWidth="1"/>
    <col min="9" max="11" width="13.77734375" customWidth="1"/>
    <col min="12" max="14" width="11.77734375" customWidth="1"/>
    <col min="15" max="15" width="2.33203125" customWidth="1"/>
  </cols>
  <sheetData>
    <row r="2" spans="4:14" ht="21" x14ac:dyDescent="0.4">
      <c r="D2" s="89" t="s">
        <v>117</v>
      </c>
      <c r="E2" s="104"/>
      <c r="F2" s="104"/>
      <c r="G2" s="104"/>
      <c r="H2" s="104"/>
      <c r="I2" s="104"/>
      <c r="J2" s="104"/>
      <c r="K2" s="104"/>
      <c r="L2" s="104"/>
      <c r="M2" s="104"/>
      <c r="N2" s="104"/>
    </row>
    <row r="3" spans="4:14" ht="18" x14ac:dyDescent="0.35">
      <c r="D3" s="90" t="s">
        <v>220</v>
      </c>
      <c r="E3" s="104"/>
      <c r="F3" s="104"/>
      <c r="G3" s="104"/>
      <c r="H3" s="104"/>
      <c r="I3" s="104"/>
      <c r="J3" s="104"/>
      <c r="K3" s="104"/>
      <c r="L3" s="104"/>
      <c r="M3" s="104"/>
      <c r="N3" s="104"/>
    </row>
    <row r="4" spans="4:14" x14ac:dyDescent="0.3">
      <c r="D4" s="91" t="s">
        <v>369</v>
      </c>
      <c r="E4" s="104"/>
      <c r="F4" s="104"/>
      <c r="G4" s="104"/>
      <c r="H4" s="104"/>
      <c r="I4" s="104"/>
      <c r="J4" s="104"/>
      <c r="K4" s="104"/>
      <c r="L4" s="104"/>
      <c r="M4" s="104"/>
      <c r="N4" s="104"/>
    </row>
    <row r="7" spans="4:14" ht="15.6" x14ac:dyDescent="0.3">
      <c r="D7" s="105" t="s">
        <v>147</v>
      </c>
      <c r="E7" s="92"/>
      <c r="F7" s="92"/>
      <c r="H7" s="149" t="s">
        <v>156</v>
      </c>
      <c r="I7" s="150"/>
      <c r="J7" s="150"/>
      <c r="K7" s="150"/>
      <c r="L7" s="150"/>
      <c r="M7" s="150"/>
      <c r="N7" s="150"/>
    </row>
    <row r="8" spans="4:14" x14ac:dyDescent="0.3">
      <c r="D8" s="93" t="s">
        <v>148</v>
      </c>
      <c r="H8" s="99"/>
      <c r="I8" s="102" t="s">
        <v>162</v>
      </c>
      <c r="J8" s="102" t="s">
        <v>163</v>
      </c>
      <c r="K8" s="102" t="s">
        <v>163</v>
      </c>
      <c r="L8" s="102" t="s">
        <v>169</v>
      </c>
      <c r="M8" s="102" t="s">
        <v>172</v>
      </c>
      <c r="N8" s="102" t="s">
        <v>173</v>
      </c>
    </row>
    <row r="9" spans="4:14" ht="16.2" x14ac:dyDescent="0.3">
      <c r="D9" t="s">
        <v>149</v>
      </c>
      <c r="F9" s="151">
        <v>0.2</v>
      </c>
      <c r="H9" s="82" t="s">
        <v>157</v>
      </c>
      <c r="I9" s="71" t="s">
        <v>244</v>
      </c>
      <c r="J9" s="71" t="s">
        <v>164</v>
      </c>
      <c r="K9" s="71" t="s">
        <v>166</v>
      </c>
      <c r="L9" s="71" t="s">
        <v>170</v>
      </c>
      <c r="M9" s="71" t="s">
        <v>152</v>
      </c>
      <c r="N9" s="71" t="s">
        <v>168</v>
      </c>
    </row>
    <row r="10" spans="4:14" x14ac:dyDescent="0.3">
      <c r="D10" t="s">
        <v>150</v>
      </c>
      <c r="F10" s="95">
        <f>1-F9</f>
        <v>0.8</v>
      </c>
      <c r="H10" t="s">
        <v>238</v>
      </c>
      <c r="I10" s="252">
        <v>1.1599999999999999</v>
      </c>
      <c r="J10" s="39">
        <v>1270.72</v>
      </c>
      <c r="K10" s="39">
        <v>113469.56</v>
      </c>
      <c r="L10" s="253">
        <f>J10/K10</f>
        <v>1.1198774367328119E-2</v>
      </c>
      <c r="M10" s="254">
        <v>0.3</v>
      </c>
      <c r="N10" s="252">
        <f>I10/(1+L10*(1-M10))</f>
        <v>1.1509773252428857</v>
      </c>
    </row>
    <row r="11" spans="4:14" x14ac:dyDescent="0.3">
      <c r="H11" t="s">
        <v>239</v>
      </c>
      <c r="I11" s="252">
        <v>0.67</v>
      </c>
      <c r="J11" s="39">
        <v>2141.96</v>
      </c>
      <c r="K11" s="39">
        <v>92253.2</v>
      </c>
      <c r="L11" s="253">
        <f t="shared" ref="L11:L16" si="0">J11/K11</f>
        <v>2.3218273187271554E-2</v>
      </c>
      <c r="M11" s="254">
        <v>0.3</v>
      </c>
      <c r="N11" s="252">
        <f t="shared" ref="N11:N16" si="1">I11/(1+L11*(1-M11))</f>
        <v>0.65928478207509866</v>
      </c>
    </row>
    <row r="12" spans="4:14" x14ac:dyDescent="0.3">
      <c r="H12" t="s">
        <v>240</v>
      </c>
      <c r="I12" s="252">
        <v>1.04</v>
      </c>
      <c r="J12" s="39">
        <v>6509.83</v>
      </c>
      <c r="K12" s="39">
        <v>45817.02</v>
      </c>
      <c r="L12" s="253">
        <f t="shared" si="0"/>
        <v>0.14208322584052827</v>
      </c>
      <c r="M12" s="254">
        <v>0.3</v>
      </c>
      <c r="N12" s="252">
        <f t="shared" si="1"/>
        <v>0.94592040429824964</v>
      </c>
    </row>
    <row r="13" spans="4:14" x14ac:dyDescent="0.3">
      <c r="D13" s="93" t="s">
        <v>151</v>
      </c>
      <c r="H13" t="s">
        <v>242</v>
      </c>
      <c r="I13" s="252">
        <v>0.9</v>
      </c>
      <c r="J13" s="39">
        <v>7082</v>
      </c>
      <c r="K13" s="39">
        <v>37369.94</v>
      </c>
      <c r="L13" s="253">
        <f t="shared" si="0"/>
        <v>0.18951060665336897</v>
      </c>
      <c r="M13" s="254">
        <v>0.3</v>
      </c>
      <c r="N13" s="252">
        <f t="shared" si="1"/>
        <v>0.79459153351001988</v>
      </c>
    </row>
    <row r="14" spans="4:14" ht="16.2" x14ac:dyDescent="0.3">
      <c r="D14" t="s">
        <v>246</v>
      </c>
      <c r="F14" s="95">
        <f>'Historical FS'!L20/('Historical FS'!L39)</f>
        <v>6.8480942387784002E-2</v>
      </c>
      <c r="H14" t="s">
        <v>241</v>
      </c>
      <c r="I14" s="252">
        <v>1.1200000000000001</v>
      </c>
      <c r="J14" s="39">
        <v>485.44</v>
      </c>
      <c r="K14" s="39">
        <v>26989.64</v>
      </c>
      <c r="L14" s="253">
        <f t="shared" si="0"/>
        <v>1.7986160615702913E-2</v>
      </c>
      <c r="M14" s="254">
        <v>0.3</v>
      </c>
      <c r="N14" s="252">
        <f t="shared" si="1"/>
        <v>1.1060741804957057</v>
      </c>
    </row>
    <row r="15" spans="4:14" x14ac:dyDescent="0.3">
      <c r="D15" t="s">
        <v>152</v>
      </c>
      <c r="F15" s="95">
        <v>0.3</v>
      </c>
      <c r="H15" t="s">
        <v>243</v>
      </c>
      <c r="I15" s="252">
        <v>0.76</v>
      </c>
      <c r="J15" s="39">
        <v>4699.1499999999996</v>
      </c>
      <c r="K15" s="39">
        <v>23669.79</v>
      </c>
      <c r="L15" s="253">
        <f t="shared" si="0"/>
        <v>0.19852943350997196</v>
      </c>
      <c r="M15" s="254">
        <v>0.3</v>
      </c>
      <c r="N15" s="252">
        <f t="shared" si="1"/>
        <v>0.667269197021647</v>
      </c>
    </row>
    <row r="16" spans="4:14" x14ac:dyDescent="0.3">
      <c r="D16" s="67" t="s">
        <v>247</v>
      </c>
      <c r="F16" s="96">
        <f>F14*(1-F15)</f>
        <v>4.7936659671448799E-2</v>
      </c>
      <c r="H16" t="s">
        <v>290</v>
      </c>
      <c r="I16" s="252">
        <v>0.78</v>
      </c>
      <c r="J16" s="39">
        <v>4916.1000000000004</v>
      </c>
      <c r="K16" s="39">
        <v>10889.65</v>
      </c>
      <c r="L16" s="253">
        <f t="shared" si="0"/>
        <v>0.45144701620345928</v>
      </c>
      <c r="M16" s="254">
        <v>0.3</v>
      </c>
      <c r="N16" s="252">
        <f t="shared" si="1"/>
        <v>0.59269935216999325</v>
      </c>
    </row>
    <row r="17" spans="4:14" x14ac:dyDescent="0.3">
      <c r="D17" s="67"/>
      <c r="F17" s="97"/>
      <c r="I17" s="63"/>
      <c r="J17" s="63"/>
      <c r="K17" s="63"/>
      <c r="L17" s="254"/>
      <c r="M17" s="255"/>
      <c r="N17" s="63"/>
    </row>
    <row r="18" spans="4:14" x14ac:dyDescent="0.3">
      <c r="H18" s="100" t="s">
        <v>158</v>
      </c>
      <c r="I18" s="256">
        <f>AVERAGE(I10:I16)</f>
        <v>0.91857142857142871</v>
      </c>
      <c r="J18" s="257"/>
      <c r="K18" s="257"/>
      <c r="L18" s="258">
        <f>AVERAGE(L10:L16)</f>
        <v>0.14771049862537586</v>
      </c>
      <c r="M18" s="257"/>
      <c r="N18" s="256">
        <f>AVERAGE(N10:N16)</f>
        <v>0.8452595392590857</v>
      </c>
    </row>
    <row r="19" spans="4:14" x14ac:dyDescent="0.3">
      <c r="D19" s="93" t="s">
        <v>153</v>
      </c>
      <c r="H19" s="101" t="s">
        <v>159</v>
      </c>
      <c r="I19" s="259">
        <f>MEDIAN(I10:I16)</f>
        <v>0.9</v>
      </c>
      <c r="J19" s="107"/>
      <c r="K19" s="107"/>
      <c r="L19" s="260">
        <f>MEDIAN(L10:L16)</f>
        <v>0.14208322584052827</v>
      </c>
      <c r="M19" s="107"/>
      <c r="N19" s="259">
        <f>MEDIAN(N10:N16)</f>
        <v>0.79459153351001988</v>
      </c>
    </row>
    <row r="20" spans="4:14" ht="16.2" x14ac:dyDescent="0.3">
      <c r="D20" t="s">
        <v>249</v>
      </c>
      <c r="F20" s="152">
        <v>6.8909999999999999E-2</v>
      </c>
    </row>
    <row r="21" spans="4:14" ht="16.2" x14ac:dyDescent="0.3">
      <c r="D21" t="s">
        <v>250</v>
      </c>
      <c r="F21" s="95">
        <f>7%-2.85%</f>
        <v>4.1500000000000009E-2</v>
      </c>
      <c r="H21" s="149" t="s">
        <v>245</v>
      </c>
      <c r="I21" s="150"/>
      <c r="J21" s="150"/>
      <c r="K21" s="150"/>
      <c r="L21" s="150"/>
      <c r="M21" s="150"/>
      <c r="N21" s="150"/>
    </row>
    <row r="22" spans="4:14" x14ac:dyDescent="0.3">
      <c r="D22" t="s">
        <v>154</v>
      </c>
      <c r="F22" s="98">
        <f>N25</f>
        <v>0.99317995862942576</v>
      </c>
      <c r="K22" s="102" t="s">
        <v>158</v>
      </c>
      <c r="L22" s="102" t="s">
        <v>171</v>
      </c>
      <c r="M22" s="102" t="s">
        <v>171</v>
      </c>
      <c r="N22" s="102"/>
    </row>
    <row r="23" spans="4:14" ht="16.2" x14ac:dyDescent="0.3">
      <c r="D23" t="s">
        <v>251</v>
      </c>
      <c r="F23" s="94">
        <v>2.8500000000000001E-2</v>
      </c>
      <c r="K23" s="102" t="s">
        <v>167</v>
      </c>
      <c r="L23" s="102" t="s">
        <v>169</v>
      </c>
      <c r="M23" s="102" t="s">
        <v>172</v>
      </c>
      <c r="N23" s="102" t="s">
        <v>174</v>
      </c>
    </row>
    <row r="24" spans="4:14" x14ac:dyDescent="0.3">
      <c r="D24" s="67" t="s">
        <v>153</v>
      </c>
      <c r="F24" s="96">
        <f>F20+(F21*F22)+F23</f>
        <v>0.13862696828312118</v>
      </c>
      <c r="K24" s="71" t="s">
        <v>168</v>
      </c>
      <c r="L24" s="71" t="s">
        <v>170</v>
      </c>
      <c r="M24" s="71" t="s">
        <v>152</v>
      </c>
      <c r="N24" s="71" t="s">
        <v>168</v>
      </c>
    </row>
    <row r="25" spans="4:14" x14ac:dyDescent="0.3">
      <c r="H25" s="4" t="s">
        <v>160</v>
      </c>
      <c r="K25" s="252">
        <f>N18</f>
        <v>0.8452595392590857</v>
      </c>
      <c r="L25" s="254">
        <f>F9/F10</f>
        <v>0.25</v>
      </c>
      <c r="M25" s="254">
        <v>0.3</v>
      </c>
      <c r="N25" s="252">
        <f>K25*(1+L25*(1-M25))</f>
        <v>0.99317995862942576</v>
      </c>
    </row>
    <row r="26" spans="4:14" x14ac:dyDescent="0.3">
      <c r="D26" s="67" t="s">
        <v>155</v>
      </c>
      <c r="F26" s="96">
        <f>(F16*F9)+(F24*F10)</f>
        <v>0.12048890656078672</v>
      </c>
    </row>
    <row r="27" spans="4:14" ht="15.6" x14ac:dyDescent="0.3">
      <c r="D27" s="3"/>
      <c r="E27" s="3"/>
      <c r="F27" s="3"/>
      <c r="H27" s="105" t="s">
        <v>161</v>
      </c>
      <c r="I27" s="92"/>
      <c r="J27" s="92"/>
      <c r="K27" s="92"/>
      <c r="L27" s="92"/>
      <c r="M27" s="92"/>
      <c r="N27" s="92"/>
    </row>
    <row r="28" spans="4:14" x14ac:dyDescent="0.3">
      <c r="J28" s="381" t="s">
        <v>165</v>
      </c>
      <c r="K28" s="381"/>
      <c r="L28" s="381"/>
      <c r="M28" s="381"/>
      <c r="N28" s="381"/>
    </row>
    <row r="29" spans="4:14" x14ac:dyDescent="0.3">
      <c r="H29" s="382" t="s">
        <v>254</v>
      </c>
      <c r="I29" s="153">
        <f>F26</f>
        <v>0.12048890656078672</v>
      </c>
      <c r="J29" s="248">
        <v>0.06</v>
      </c>
      <c r="K29" s="248">
        <v>6.5000000000000002E-2</v>
      </c>
      <c r="L29" s="248">
        <v>7.0000000000000007E-2</v>
      </c>
      <c r="M29" s="248">
        <v>7.4999999999999997E-2</v>
      </c>
      <c r="N29" s="248">
        <v>0.08</v>
      </c>
    </row>
    <row r="30" spans="4:14" x14ac:dyDescent="0.3">
      <c r="H30" s="382"/>
      <c r="I30" s="154">
        <v>0.1</v>
      </c>
      <c r="J30" s="249">
        <f t="dataTable" ref="J30:N34" dt2D="1" dtr="1" r1="F14" r2="F9"/>
        <v>0.12589492275287451</v>
      </c>
      <c r="K30" s="249">
        <v>0.12624492275287449</v>
      </c>
      <c r="L30" s="249">
        <v>0.12659492275287448</v>
      </c>
      <c r="M30" s="249">
        <v>0.1269449227528745</v>
      </c>
      <c r="N30" s="249">
        <v>0.12729492275287449</v>
      </c>
    </row>
    <row r="31" spans="4:14" x14ac:dyDescent="0.3">
      <c r="H31" s="382"/>
      <c r="I31" s="154">
        <v>0.15</v>
      </c>
      <c r="J31" s="249">
        <v>0.1225982486896857</v>
      </c>
      <c r="K31" s="250">
        <v>0.1231232486896857</v>
      </c>
      <c r="L31" s="250">
        <v>0.1236482486896857</v>
      </c>
      <c r="M31" s="250">
        <v>0.12417324868968571</v>
      </c>
      <c r="N31" s="249">
        <v>0.12469824868968571</v>
      </c>
    </row>
    <row r="32" spans="4:14" x14ac:dyDescent="0.3">
      <c r="H32" s="382"/>
      <c r="I32" s="154">
        <v>0.2</v>
      </c>
      <c r="J32" s="249">
        <v>0.11930157462649696</v>
      </c>
      <c r="K32" s="250">
        <v>0.12000157462649695</v>
      </c>
      <c r="L32" s="251">
        <v>0.12070157462649696</v>
      </c>
      <c r="M32" s="250">
        <v>0.12140157462649695</v>
      </c>
      <c r="N32" s="249">
        <v>0.12210157462649696</v>
      </c>
    </row>
    <row r="33" spans="4:14" x14ac:dyDescent="0.3">
      <c r="H33" s="382"/>
      <c r="I33" s="154">
        <v>0.25</v>
      </c>
      <c r="J33" s="249">
        <v>0.11600490056330816</v>
      </c>
      <c r="K33" s="250">
        <v>0.11687990056330816</v>
      </c>
      <c r="L33" s="250">
        <v>0.11775490056330816</v>
      </c>
      <c r="M33" s="250">
        <v>0.11862990056330816</v>
      </c>
      <c r="N33" s="249">
        <v>0.11950490056330816</v>
      </c>
    </row>
    <row r="34" spans="4:14" x14ac:dyDescent="0.3">
      <c r="D34" s="3"/>
      <c r="E34" s="3"/>
      <c r="F34" s="3"/>
      <c r="H34" s="382"/>
      <c r="I34" s="154">
        <v>0.3</v>
      </c>
      <c r="J34" s="249">
        <v>0.11270822650011939</v>
      </c>
      <c r="K34" s="249">
        <v>0.11375822650011938</v>
      </c>
      <c r="L34" s="249">
        <v>0.11480822650011939</v>
      </c>
      <c r="M34" s="249">
        <v>0.11585822650011939</v>
      </c>
      <c r="N34" s="249">
        <v>0.11690822650011938</v>
      </c>
    </row>
    <row r="35" spans="4:14" x14ac:dyDescent="0.3">
      <c r="D35" t="s">
        <v>305</v>
      </c>
    </row>
    <row r="36" spans="4:14" x14ac:dyDescent="0.3">
      <c r="D36" t="s">
        <v>248</v>
      </c>
    </row>
    <row r="37" spans="4:14" x14ac:dyDescent="0.3">
      <c r="D37" t="s">
        <v>252</v>
      </c>
    </row>
    <row r="38" spans="4:14" x14ac:dyDescent="0.3">
      <c r="D38" t="s">
        <v>253</v>
      </c>
    </row>
    <row r="40" spans="4:14" x14ac:dyDescent="0.3"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</row>
  </sheetData>
  <mergeCells count="2">
    <mergeCell ref="J28:N28"/>
    <mergeCell ref="H29:H34"/>
  </mergeCells>
  <pageMargins left="0.70866141732283472" right="0.70866141732283472" top="0.74803149606299213" bottom="0.74803149606299213" header="0.31496062992125984" footer="0.31496062992125984"/>
  <pageSetup scale="55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266AA-2B68-4657-B00D-9725B6626333}">
  <sheetPr>
    <pageSetUpPr fitToPage="1"/>
  </sheetPr>
  <dimension ref="D2:R84"/>
  <sheetViews>
    <sheetView showGridLines="0" topLeftCell="A49" zoomScaleNormal="100" workbookViewId="0">
      <selection activeCell="H62" sqref="H62"/>
    </sheetView>
  </sheetViews>
  <sheetFormatPr defaultRowHeight="14.4" x14ac:dyDescent="0.3"/>
  <cols>
    <col min="1" max="3" width="2.33203125" customWidth="1"/>
    <col min="4" max="18" width="10.77734375" customWidth="1"/>
  </cols>
  <sheetData>
    <row r="2" spans="4:16" ht="21" x14ac:dyDescent="0.4">
      <c r="D2" s="89" t="s">
        <v>117</v>
      </c>
      <c r="E2" s="89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92"/>
    </row>
    <row r="3" spans="4:16" ht="18" x14ac:dyDescent="0.35">
      <c r="D3" s="90" t="s">
        <v>221</v>
      </c>
      <c r="E3" s="90"/>
      <c r="F3" s="104"/>
      <c r="G3" s="104"/>
      <c r="H3" s="104"/>
      <c r="I3" s="104"/>
      <c r="J3" s="104"/>
      <c r="K3" s="104"/>
      <c r="L3" s="104"/>
      <c r="M3" s="104"/>
      <c r="N3" s="92" t="s">
        <v>267</v>
      </c>
      <c r="O3" s="104"/>
      <c r="P3" s="106" t="str">
        <f>IF(F7="Y", "EBITDA Multiple", "Terminal Rate")</f>
        <v>Terminal Rate</v>
      </c>
    </row>
    <row r="4" spans="4:16" x14ac:dyDescent="0.3">
      <c r="D4" s="91" t="s">
        <v>222</v>
      </c>
      <c r="E4" s="91"/>
      <c r="F4" s="104"/>
      <c r="G4" s="104"/>
      <c r="H4" s="104"/>
      <c r="I4" s="104"/>
      <c r="J4" s="104"/>
      <c r="K4" s="104"/>
      <c r="L4" s="104"/>
      <c r="M4" s="92"/>
      <c r="N4" s="92" t="s">
        <v>181</v>
      </c>
      <c r="O4" s="104"/>
      <c r="P4" s="106" t="str" cm="1">
        <f t="array" ref="P4">_xlfn.IFS(F5=1,"Base",F5=2,"Upside",F5=3,"Downside")</f>
        <v>Base</v>
      </c>
    </row>
    <row r="5" spans="4:16" x14ac:dyDescent="0.3">
      <c r="D5" s="125" t="s">
        <v>182</v>
      </c>
      <c r="E5" s="125"/>
      <c r="F5" s="126">
        <v>1</v>
      </c>
      <c r="G5" s="125"/>
      <c r="H5" s="125"/>
      <c r="I5" s="125"/>
      <c r="J5" s="125"/>
      <c r="K5" s="125"/>
      <c r="L5" s="125"/>
      <c r="M5" s="125"/>
      <c r="N5" s="125"/>
      <c r="O5" s="125"/>
      <c r="P5" s="125"/>
    </row>
    <row r="6" spans="4:16" x14ac:dyDescent="0.3">
      <c r="D6" t="s">
        <v>183</v>
      </c>
      <c r="F6" s="102" t="s">
        <v>184</v>
      </c>
      <c r="G6" s="377" t="s">
        <v>185</v>
      </c>
      <c r="H6" s="377"/>
      <c r="I6" s="377"/>
      <c r="J6" s="68" t="s">
        <v>186</v>
      </c>
      <c r="K6" s="376" t="s">
        <v>187</v>
      </c>
      <c r="L6" s="377"/>
      <c r="M6" s="377"/>
      <c r="N6" s="377"/>
      <c r="O6" s="378"/>
      <c r="P6" s="68" t="s">
        <v>186</v>
      </c>
    </row>
    <row r="7" spans="4:16" x14ac:dyDescent="0.3">
      <c r="D7" s="3" t="s">
        <v>213</v>
      </c>
      <c r="E7" s="3"/>
      <c r="F7" s="71" t="s">
        <v>1006</v>
      </c>
      <c r="G7" s="71" t="s">
        <v>188</v>
      </c>
      <c r="H7" s="71" t="s">
        <v>189</v>
      </c>
      <c r="I7" s="71" t="s">
        <v>175</v>
      </c>
      <c r="J7" s="108" t="s">
        <v>190</v>
      </c>
      <c r="K7" s="109" t="s">
        <v>176</v>
      </c>
      <c r="L7" s="71" t="s">
        <v>177</v>
      </c>
      <c r="M7" s="71" t="s">
        <v>178</v>
      </c>
      <c r="N7" s="71" t="s">
        <v>179</v>
      </c>
      <c r="O7" s="74" t="s">
        <v>180</v>
      </c>
      <c r="P7" s="108" t="s">
        <v>191</v>
      </c>
    </row>
    <row r="8" spans="4:16" x14ac:dyDescent="0.3">
      <c r="D8" s="4" t="s">
        <v>61</v>
      </c>
      <c r="E8" s="4"/>
      <c r="F8" s="4"/>
      <c r="G8" s="119">
        <f>Inc_Stat!M9</f>
        <v>63239.98</v>
      </c>
      <c r="H8" s="119">
        <f>Inc_Stat!N9</f>
        <v>70908.14</v>
      </c>
      <c r="I8" s="119">
        <f>Inc_Stat!O9</f>
        <v>75955.13</v>
      </c>
      <c r="J8" s="81">
        <f>_xlfn.RRI(2,G8,I8)</f>
        <v>9.5929692792345644E-2</v>
      </c>
      <c r="K8" s="120">
        <f>I8*(1+K9)</f>
        <v>88297.838625000019</v>
      </c>
      <c r="L8" s="119">
        <f>K8*(1+L9)</f>
        <v>98937.728179312529</v>
      </c>
      <c r="M8" s="119">
        <f>L8*(1+M9)</f>
        <v>110038.5412810314</v>
      </c>
      <c r="N8" s="119">
        <f>M8*(1+N9)</f>
        <v>119094.71322846028</v>
      </c>
      <c r="O8" s="158">
        <f>N8*(1+O9)</f>
        <v>125895.02135380536</v>
      </c>
      <c r="P8" s="81">
        <f>_xlfn.RRI(4,K8,O8)</f>
        <v>9.2734413971070184E-2</v>
      </c>
    </row>
    <row r="9" spans="4:16" x14ac:dyDescent="0.3">
      <c r="D9" s="37" t="s">
        <v>120</v>
      </c>
      <c r="E9" s="37"/>
      <c r="F9" s="37"/>
      <c r="G9" s="80">
        <f>G8/Inc_Stat!L9-1</f>
        <v>0.20230773194004503</v>
      </c>
      <c r="H9" s="80">
        <f>H8/G8-1</f>
        <v>0.12125494030833028</v>
      </c>
      <c r="I9" s="80">
        <f>I8/H8-1</f>
        <v>7.117645449450527E-2</v>
      </c>
      <c r="J9" s="63"/>
      <c r="K9" s="110" cm="1">
        <f t="array" ref="K9">_xlfn.IFS(F5=1,16.25%,F5=2,17.5%,F5=3,15%)</f>
        <v>0.16250000000000001</v>
      </c>
      <c r="L9" s="123" cm="1">
        <f t="array" ref="L9">_xlfn.IFS(F5=1,12.05%,F5=2,13%,F5=3,11%)</f>
        <v>0.12050000000000001</v>
      </c>
      <c r="M9" s="123" cm="1">
        <f t="array" ref="M9">_xlfn.IFS(F5=1,11.22%,F5=2,12.2%,F5=3,10.2%)</f>
        <v>0.11220000000000001</v>
      </c>
      <c r="N9" s="123" cm="1">
        <f t="array" ref="N9">_xlfn.IFS(F5=1,8.23%,F5=2,9.2%,F5=3,7.2%)</f>
        <v>8.2299999999999998E-2</v>
      </c>
      <c r="O9" s="159" cm="1">
        <f t="array" ref="O9">_xlfn.IFS(F5=1,5.71%,F5=2,6.7%,F5=3,4.7%)</f>
        <v>5.7099999999999998E-2</v>
      </c>
      <c r="P9" s="63"/>
    </row>
    <row r="10" spans="4:16" x14ac:dyDescent="0.3">
      <c r="D10" t="s">
        <v>119</v>
      </c>
      <c r="G10" s="1">
        <f>Inc_Stat!M11</f>
        <v>35301.93</v>
      </c>
      <c r="H10" s="1">
        <f>Inc_Stat!N11</f>
        <v>38136.400000000001</v>
      </c>
      <c r="I10" s="1">
        <f>Inc_Stat!O11</f>
        <v>41216.74</v>
      </c>
      <c r="J10" s="63"/>
      <c r="K10" s="111">
        <f>K8*K11</f>
        <v>46797.854471250015</v>
      </c>
      <c r="L10" s="103">
        <f>L8*L11</f>
        <v>52436.995935035644</v>
      </c>
      <c r="M10" s="103">
        <f>M8*M11</f>
        <v>58320.426878946644</v>
      </c>
      <c r="N10" s="103">
        <f>N8*N11</f>
        <v>63120.198011083958</v>
      </c>
      <c r="O10" s="160">
        <f>O8*O11</f>
        <v>66724.361317516843</v>
      </c>
      <c r="P10" s="63"/>
    </row>
    <row r="11" spans="4:16" x14ac:dyDescent="0.3">
      <c r="D11" s="37" t="s">
        <v>121</v>
      </c>
      <c r="E11" s="37"/>
      <c r="F11" s="37"/>
      <c r="G11" s="80">
        <f>G10/G8</f>
        <v>0.55822171354260386</v>
      </c>
      <c r="H11" s="80">
        <f>H10/H8</f>
        <v>0.53782823805560265</v>
      </c>
      <c r="I11" s="80">
        <f>I10/I8</f>
        <v>0.54264590160006299</v>
      </c>
      <c r="J11" s="63"/>
      <c r="K11" s="110">
        <v>0.53</v>
      </c>
      <c r="L11" s="123">
        <v>0.53</v>
      </c>
      <c r="M11" s="123">
        <v>0.53</v>
      </c>
      <c r="N11" s="123">
        <v>0.53</v>
      </c>
      <c r="O11" s="159">
        <v>0.53</v>
      </c>
      <c r="P11" s="63"/>
    </row>
    <row r="12" spans="4:16" x14ac:dyDescent="0.3">
      <c r="D12" s="4" t="s">
        <v>122</v>
      </c>
      <c r="E12" s="4"/>
      <c r="F12" s="4"/>
      <c r="G12" s="122">
        <f>G8-G10</f>
        <v>27938.050000000003</v>
      </c>
      <c r="H12" s="122">
        <f>H8-H10</f>
        <v>32771.74</v>
      </c>
      <c r="I12" s="122">
        <f>I8-I10</f>
        <v>34738.390000000007</v>
      </c>
      <c r="J12" s="81">
        <f>_xlfn.RRI(2,G12,I12)</f>
        <v>0.11508198152793536</v>
      </c>
      <c r="K12" s="155">
        <f>K8-K10</f>
        <v>41499.984153750003</v>
      </c>
      <c r="L12" s="122">
        <f>L8-L10</f>
        <v>46500.732244276885</v>
      </c>
      <c r="M12" s="122">
        <f>M8-M10</f>
        <v>51718.114402084757</v>
      </c>
      <c r="N12" s="122">
        <f>N8-N10</f>
        <v>55974.515217376327</v>
      </c>
      <c r="O12" s="161">
        <f>O8-O10</f>
        <v>59170.660036288522</v>
      </c>
      <c r="P12" s="81">
        <f>_xlfn.RRI(4,K12,O12)</f>
        <v>9.2734413971070184E-2</v>
      </c>
    </row>
    <row r="13" spans="4:16" x14ac:dyDescent="0.3">
      <c r="D13" s="37" t="s">
        <v>121</v>
      </c>
      <c r="E13" s="37"/>
      <c r="F13" s="37"/>
      <c r="G13" s="80">
        <f>G12/G10</f>
        <v>0.79140290630002386</v>
      </c>
      <c r="H13" s="80">
        <f>H12/H10</f>
        <v>0.85932966929232957</v>
      </c>
      <c r="I13" s="80">
        <f>I12/I10</f>
        <v>0.8428223581001314</v>
      </c>
      <c r="J13" s="63"/>
      <c r="K13" s="110">
        <f>I13</f>
        <v>0.8428223581001314</v>
      </c>
      <c r="L13" s="123">
        <f>K13</f>
        <v>0.8428223581001314</v>
      </c>
      <c r="M13" s="123">
        <f>L13</f>
        <v>0.8428223581001314</v>
      </c>
      <c r="N13" s="123">
        <f>M13</f>
        <v>0.8428223581001314</v>
      </c>
      <c r="O13" s="159">
        <f>N13</f>
        <v>0.8428223581001314</v>
      </c>
      <c r="P13" s="63"/>
    </row>
    <row r="14" spans="4:16" x14ac:dyDescent="0.3">
      <c r="D14" s="27" t="s">
        <v>123</v>
      </c>
      <c r="E14" s="27"/>
      <c r="F14" s="27"/>
      <c r="G14" s="1">
        <f>-Inc_Stat!M16</f>
        <v>17318.2</v>
      </c>
      <c r="H14" s="1">
        <f>-Inc_Stat!N16</f>
        <v>19793.18</v>
      </c>
      <c r="I14" s="1">
        <f>-Inc_Stat!O16</f>
        <v>21941.510000000002</v>
      </c>
      <c r="J14" s="63"/>
      <c r="K14" s="111">
        <f>K15*K8</f>
        <v>25507.005375000004</v>
      </c>
      <c r="L14" s="103">
        <f>L15*L8</f>
        <v>28580.599522687509</v>
      </c>
      <c r="M14" s="103">
        <f>M15*M8</f>
        <v>31787.342789133047</v>
      </c>
      <c r="N14" s="103">
        <f>N15*N8</f>
        <v>34403.441100678698</v>
      </c>
      <c r="O14" s="160">
        <f>O15*O8</f>
        <v>36367.877587527451</v>
      </c>
      <c r="P14" s="63"/>
    </row>
    <row r="15" spans="4:16" x14ac:dyDescent="0.3">
      <c r="D15" s="37" t="s">
        <v>121</v>
      </c>
      <c r="E15" s="37"/>
      <c r="F15" s="37"/>
      <c r="G15" s="80">
        <f>G14/G8</f>
        <v>0.27384891646075787</v>
      </c>
      <c r="H15" s="80">
        <f>H14/H8</f>
        <v>0.27913833306021002</v>
      </c>
      <c r="I15" s="80">
        <f>I14/I8</f>
        <v>0.28887462900794192</v>
      </c>
      <c r="J15" s="63"/>
      <c r="K15" s="112">
        <f>I15</f>
        <v>0.28887462900794192</v>
      </c>
      <c r="L15" s="123">
        <f>K15</f>
        <v>0.28887462900794192</v>
      </c>
      <c r="M15" s="123">
        <f>L15</f>
        <v>0.28887462900794192</v>
      </c>
      <c r="N15" s="123">
        <f>M15</f>
        <v>0.28887462900794192</v>
      </c>
      <c r="O15" s="159">
        <f>N15</f>
        <v>0.28887462900794192</v>
      </c>
      <c r="P15" s="63"/>
    </row>
    <row r="16" spans="4:16" x14ac:dyDescent="0.3">
      <c r="D16" s="113" t="s">
        <v>65</v>
      </c>
      <c r="E16" s="113"/>
      <c r="F16" s="113"/>
      <c r="G16" s="122">
        <f>G12-G14</f>
        <v>10619.850000000002</v>
      </c>
      <c r="H16" s="122">
        <f>H12-H14</f>
        <v>12978.559999999998</v>
      </c>
      <c r="I16" s="122">
        <f>I12-I14</f>
        <v>12796.880000000005</v>
      </c>
      <c r="J16" s="81">
        <f>_xlfn.RRI(2,G16,I16)</f>
        <v>9.7723236563262317E-2</v>
      </c>
      <c r="K16" s="155">
        <f>K12-K14</f>
        <v>15992.978778749999</v>
      </c>
      <c r="L16" s="122">
        <f>L12-L14</f>
        <v>17920.132721589376</v>
      </c>
      <c r="M16" s="122">
        <f>M12-M14</f>
        <v>19930.77161295171</v>
      </c>
      <c r="N16" s="122">
        <f>N12-N14</f>
        <v>21571.07411669763</v>
      </c>
      <c r="O16" s="161">
        <f>O12-O14</f>
        <v>22802.782448761071</v>
      </c>
      <c r="P16" s="81">
        <f>_xlfn.RRI(4,K16,O16)</f>
        <v>9.2734413971070184E-2</v>
      </c>
    </row>
    <row r="17" spans="4:16" x14ac:dyDescent="0.3">
      <c r="D17" s="37" t="s">
        <v>121</v>
      </c>
      <c r="E17" s="37"/>
      <c r="F17" s="37"/>
      <c r="G17" s="80">
        <f>G16/G8</f>
        <v>0.16792936999663824</v>
      </c>
      <c r="H17" s="80">
        <f>H16/H8</f>
        <v>0.1830334288841873</v>
      </c>
      <c r="I17" s="80">
        <f>I16/I8</f>
        <v>0.16847946939199504</v>
      </c>
      <c r="J17" s="63"/>
      <c r="K17" s="112">
        <f>K16/K8</f>
        <v>0.18112537099205803</v>
      </c>
      <c r="L17" s="123">
        <f>L16/L8</f>
        <v>0.18112537099205803</v>
      </c>
      <c r="M17" s="123">
        <f>M16/M8</f>
        <v>0.18112537099205808</v>
      </c>
      <c r="N17" s="123">
        <f>N16/N8</f>
        <v>0.18112537099205803</v>
      </c>
      <c r="O17" s="159">
        <f>O16/O8</f>
        <v>0.18112537099205808</v>
      </c>
      <c r="P17" s="63"/>
    </row>
    <row r="18" spans="4:16" x14ac:dyDescent="0.3">
      <c r="D18" s="27" t="s">
        <v>214</v>
      </c>
      <c r="G18" s="1">
        <f>-Inc_Stat!M21</f>
        <v>2887.99</v>
      </c>
      <c r="H18" s="1">
        <f>-Inc_Stat!N21</f>
        <v>3145.3</v>
      </c>
      <c r="I18" s="1">
        <f>-Inc_Stat!O21</f>
        <v>4014.95</v>
      </c>
      <c r="J18" s="63"/>
      <c r="K18" s="111">
        <f>K19*K8</f>
        <v>4667.3793750000004</v>
      </c>
      <c r="L18" s="103">
        <f>L19*L8</f>
        <v>5229.7985896875007</v>
      </c>
      <c r="M18" s="103">
        <f>M19*M8</f>
        <v>5816.5819914504382</v>
      </c>
      <c r="N18" s="103">
        <f>N19*N8</f>
        <v>6295.2866893468099</v>
      </c>
      <c r="O18" s="160">
        <f>O19*O8</f>
        <v>6654.7475593085128</v>
      </c>
      <c r="P18" s="63"/>
    </row>
    <row r="19" spans="4:16" x14ac:dyDescent="0.3">
      <c r="D19" s="37" t="s">
        <v>121</v>
      </c>
      <c r="E19" s="37"/>
      <c r="F19" s="37"/>
      <c r="G19" s="80">
        <f>G18/G8</f>
        <v>4.566715549245904E-2</v>
      </c>
      <c r="H19" s="80">
        <f>H18/H8</f>
        <v>4.4357389715764653E-2</v>
      </c>
      <c r="I19" s="80">
        <f>I18/I8</f>
        <v>5.285949744276653E-2</v>
      </c>
      <c r="J19" s="63"/>
      <c r="K19" s="112">
        <f>I19</f>
        <v>5.285949744276653E-2</v>
      </c>
      <c r="L19" s="123">
        <f>K19</f>
        <v>5.285949744276653E-2</v>
      </c>
      <c r="M19" s="123">
        <f>L19</f>
        <v>5.285949744276653E-2</v>
      </c>
      <c r="N19" s="123">
        <f>M19</f>
        <v>5.285949744276653E-2</v>
      </c>
      <c r="O19" s="159">
        <f>N19</f>
        <v>5.285949744276653E-2</v>
      </c>
      <c r="P19" s="63"/>
    </row>
    <row r="20" spans="4:16" x14ac:dyDescent="0.3">
      <c r="D20" s="4" t="s">
        <v>124</v>
      </c>
      <c r="E20" s="4"/>
      <c r="F20" s="4"/>
      <c r="G20" s="122">
        <f>G16-G18</f>
        <v>7731.8600000000024</v>
      </c>
      <c r="H20" s="122">
        <f>H16-H18</f>
        <v>9833.2599999999984</v>
      </c>
      <c r="I20" s="122">
        <f>I16-I18</f>
        <v>8781.9300000000039</v>
      </c>
      <c r="J20" s="81">
        <f>_xlfn.RRI(2,G20,I20)</f>
        <v>6.5744241405882642E-2</v>
      </c>
      <c r="K20" s="155">
        <f>K16-K18</f>
        <v>11325.599403749999</v>
      </c>
      <c r="L20" s="122">
        <f>L16-L18</f>
        <v>12690.334131901876</v>
      </c>
      <c r="M20" s="122">
        <f>M16-M18</f>
        <v>14114.189621501271</v>
      </c>
      <c r="N20" s="122">
        <f>N16-N18</f>
        <v>15275.787427350821</v>
      </c>
      <c r="O20" s="161">
        <f>O16-O18</f>
        <v>16148.034889452558</v>
      </c>
      <c r="P20" s="81">
        <f>_xlfn.RRI(4,K20,O20)</f>
        <v>9.2734413971070184E-2</v>
      </c>
    </row>
    <row r="21" spans="4:16" x14ac:dyDescent="0.3">
      <c r="D21" s="37" t="s">
        <v>121</v>
      </c>
      <c r="E21" s="37"/>
      <c r="F21" s="37"/>
      <c r="G21" s="80">
        <f>G20/G8</f>
        <v>0.12226221450417919</v>
      </c>
      <c r="H21" s="80">
        <f>H20/H8</f>
        <v>0.13867603916842267</v>
      </c>
      <c r="I21" s="80">
        <f>I20/I8</f>
        <v>0.11561997194922849</v>
      </c>
      <c r="J21" s="80"/>
      <c r="K21" s="110">
        <f>K20/K8</f>
        <v>0.1282658735492915</v>
      </c>
      <c r="L21" s="123">
        <f>L20/L8</f>
        <v>0.1282658735492915</v>
      </c>
      <c r="M21" s="123">
        <f>M20/M8</f>
        <v>0.12826587354929153</v>
      </c>
      <c r="N21" s="123">
        <f>N20/N8</f>
        <v>0.1282658735492915</v>
      </c>
      <c r="O21" s="159">
        <f>O20/O8</f>
        <v>0.12826587354929153</v>
      </c>
    </row>
    <row r="22" spans="4:16" x14ac:dyDescent="0.3">
      <c r="D22" s="27" t="s">
        <v>125</v>
      </c>
      <c r="E22" s="37"/>
      <c r="F22" s="37"/>
      <c r="G22" s="124">
        <f>-Inc_Stat!M26</f>
        <v>822.72</v>
      </c>
      <c r="H22" s="124">
        <f>-Inc_Stat!N26</f>
        <v>968</v>
      </c>
      <c r="I22" s="124">
        <f>-Inc_Stat!O26</f>
        <v>1650.54</v>
      </c>
      <c r="K22" s="111">
        <f>K23*K8</f>
        <v>1918.7527500000001</v>
      </c>
      <c r="L22" s="103">
        <f>L23*L8</f>
        <v>2149.9624563750003</v>
      </c>
      <c r="M22" s="103">
        <f>M23*M8</f>
        <v>2391.1882439802753</v>
      </c>
      <c r="N22" s="103">
        <f>N23*N8</f>
        <v>2587.983036459852</v>
      </c>
      <c r="O22" s="160">
        <f>O23*O8</f>
        <v>2735.7568678417097</v>
      </c>
    </row>
    <row r="23" spans="4:16" x14ac:dyDescent="0.3">
      <c r="D23" s="37" t="s">
        <v>121</v>
      </c>
      <c r="G23" s="80">
        <f>G22/G8</f>
        <v>1.3009491780357931E-2</v>
      </c>
      <c r="H23" s="80">
        <f>H22/H8</f>
        <v>1.3651465120929698E-2</v>
      </c>
      <c r="I23" s="80">
        <f>I22/I8</f>
        <v>2.1730461128826976E-2</v>
      </c>
      <c r="K23" s="112">
        <f>I23</f>
        <v>2.1730461128826976E-2</v>
      </c>
      <c r="L23" s="123">
        <f>K23</f>
        <v>2.1730461128826976E-2</v>
      </c>
      <c r="M23" s="123">
        <f>L23</f>
        <v>2.1730461128826976E-2</v>
      </c>
      <c r="N23" s="123">
        <f>M23</f>
        <v>2.1730461128826976E-2</v>
      </c>
      <c r="O23" s="159">
        <f>N23</f>
        <v>2.1730461128826976E-2</v>
      </c>
    </row>
    <row r="24" spans="4:16" x14ac:dyDescent="0.3">
      <c r="D24" s="4" t="s">
        <v>126</v>
      </c>
      <c r="E24" s="4"/>
      <c r="F24" s="4"/>
      <c r="G24" s="122">
        <f>G20-G22</f>
        <v>6909.1400000000021</v>
      </c>
      <c r="H24" s="122">
        <f>H20-H22</f>
        <v>8865.2599999999984</v>
      </c>
      <c r="I24" s="122">
        <f>I20-I22</f>
        <v>7131.390000000004</v>
      </c>
      <c r="J24" s="81">
        <f>_xlfn.RRI(2,G24,I24)</f>
        <v>1.5956462944695549E-2</v>
      </c>
      <c r="K24" s="155">
        <f>K20-K22</f>
        <v>9406.8466537499989</v>
      </c>
      <c r="L24" s="122">
        <f>L20-L22</f>
        <v>10540.371675526876</v>
      </c>
      <c r="M24" s="122">
        <f>M20-M22</f>
        <v>11723.001377520995</v>
      </c>
      <c r="N24" s="122">
        <f>N20-N22</f>
        <v>12687.804390890968</v>
      </c>
      <c r="O24" s="161">
        <f>O20-O22</f>
        <v>13412.278021610848</v>
      </c>
      <c r="P24" s="81">
        <f>_xlfn.RRI(4,K24,O24)</f>
        <v>9.2734413971070184E-2</v>
      </c>
    </row>
    <row r="25" spans="4:16" x14ac:dyDescent="0.3">
      <c r="D25" s="37" t="s">
        <v>121</v>
      </c>
      <c r="E25" s="4"/>
      <c r="F25" s="4"/>
      <c r="G25" s="80">
        <f>G24/G8</f>
        <v>0.10925272272382126</v>
      </c>
      <c r="H25" s="80">
        <f>H24/H8</f>
        <v>0.12502457404749298</v>
      </c>
      <c r="I25" s="80">
        <f>I24/I8</f>
        <v>9.3889510820401506E-2</v>
      </c>
      <c r="K25" s="112">
        <f>K24/K8</f>
        <v>0.10653541242046452</v>
      </c>
      <c r="L25" s="123">
        <f>L24/L8</f>
        <v>0.10653541242046453</v>
      </c>
      <c r="M25" s="123">
        <f>M24/M8</f>
        <v>0.10653541242046456</v>
      </c>
      <c r="N25" s="123">
        <f>N24/N8</f>
        <v>0.10653541242046452</v>
      </c>
      <c r="O25" s="159">
        <f>O24/O8</f>
        <v>0.10653541242046456</v>
      </c>
    </row>
    <row r="26" spans="4:16" x14ac:dyDescent="0.3">
      <c r="D26" s="27" t="s">
        <v>67</v>
      </c>
      <c r="E26" s="4"/>
      <c r="F26" s="4"/>
      <c r="G26" s="38">
        <f>-Inc_Stat!M31</f>
        <v>2342.85</v>
      </c>
      <c r="H26" s="38">
        <f>-Inc_Stat!N31</f>
        <v>2418.2600000000002</v>
      </c>
      <c r="I26" s="38">
        <f>-Inc_Stat!O31</f>
        <v>1488.49</v>
      </c>
      <c r="K26" s="111">
        <f>K27*K24</f>
        <v>1963.431697837354</v>
      </c>
      <c r="L26" s="103">
        <f>L27*L24</f>
        <v>2200.0252174267557</v>
      </c>
      <c r="M26" s="103">
        <f>M27*M24</f>
        <v>2446.8680468220382</v>
      </c>
      <c r="N26" s="103">
        <f>N27*N24</f>
        <v>2648.245287075491</v>
      </c>
      <c r="O26" s="160">
        <f>O27*O24</f>
        <v>2799.4600929675025</v>
      </c>
    </row>
    <row r="27" spans="4:16" x14ac:dyDescent="0.3">
      <c r="D27" s="37" t="s">
        <v>215</v>
      </c>
      <c r="E27" s="4"/>
      <c r="F27" s="4"/>
      <c r="G27" s="80">
        <f>G26/G24</f>
        <v>0.33909430117207051</v>
      </c>
      <c r="H27" s="80">
        <f>H26/H24</f>
        <v>0.27277936574900236</v>
      </c>
      <c r="I27" s="80">
        <f>I26/I24</f>
        <v>0.20872368500390515</v>
      </c>
      <c r="K27" s="112">
        <f>I27</f>
        <v>0.20872368500390515</v>
      </c>
      <c r="L27" s="123">
        <f>K27</f>
        <v>0.20872368500390515</v>
      </c>
      <c r="M27" s="123">
        <f>L27</f>
        <v>0.20872368500390515</v>
      </c>
      <c r="N27" s="123">
        <f>M27</f>
        <v>0.20872368500390515</v>
      </c>
      <c r="O27" s="159">
        <f>N27</f>
        <v>0.20872368500390515</v>
      </c>
    </row>
    <row r="28" spans="4:16" x14ac:dyDescent="0.3">
      <c r="D28" s="113" t="s">
        <v>216</v>
      </c>
      <c r="E28" s="4"/>
      <c r="F28" s="4"/>
      <c r="G28" s="121">
        <f>G24-G26</f>
        <v>4566.2900000000027</v>
      </c>
      <c r="H28" s="121">
        <f>H24-H26</f>
        <v>6446.9999999999982</v>
      </c>
      <c r="I28" s="121">
        <f>I24-I26</f>
        <v>5642.9000000000042</v>
      </c>
      <c r="J28" s="81">
        <f>_xlfn.RRI(2,G28,I28)</f>
        <v>0.11165348090431837</v>
      </c>
      <c r="K28" s="156">
        <f>K24-K26</f>
        <v>7443.4149559126454</v>
      </c>
      <c r="L28" s="121">
        <f>L24-L26</f>
        <v>8340.3464581001208</v>
      </c>
      <c r="M28" s="121">
        <f>M24-M26</f>
        <v>9276.1333306989582</v>
      </c>
      <c r="N28" s="121">
        <f>N24-N26</f>
        <v>10039.559103815476</v>
      </c>
      <c r="O28" s="162">
        <f>O24-O26</f>
        <v>10612.817928643344</v>
      </c>
      <c r="P28" s="81">
        <f>_xlfn.RRI(4,K28,O28)</f>
        <v>9.2734413971070184E-2</v>
      </c>
    </row>
    <row r="29" spans="4:16" x14ac:dyDescent="0.3">
      <c r="D29" s="27"/>
      <c r="E29" s="27"/>
      <c r="F29" s="27"/>
      <c r="G29" s="103"/>
      <c r="H29" s="103"/>
      <c r="I29" s="103"/>
      <c r="J29" s="80"/>
      <c r="K29" s="111"/>
      <c r="L29" s="103"/>
      <c r="M29" s="103"/>
      <c r="N29" s="103"/>
      <c r="O29" s="160"/>
    </row>
    <row r="30" spans="4:16" x14ac:dyDescent="0.3">
      <c r="D30" t="s">
        <v>218</v>
      </c>
      <c r="E30" s="27"/>
      <c r="F30" s="27"/>
      <c r="G30" s="103">
        <f>G18</f>
        <v>2887.99</v>
      </c>
      <c r="H30" s="103">
        <f>H18</f>
        <v>3145.3</v>
      </c>
      <c r="I30" s="103">
        <f>I18</f>
        <v>4014.95</v>
      </c>
      <c r="J30" s="103"/>
      <c r="K30" s="111">
        <f>K18</f>
        <v>4667.3793750000004</v>
      </c>
      <c r="L30" s="103">
        <f>L18</f>
        <v>5229.7985896875007</v>
      </c>
      <c r="M30" s="103">
        <f>M18</f>
        <v>5816.5819914504382</v>
      </c>
      <c r="N30" s="103">
        <f>N18</f>
        <v>6295.2866893468099</v>
      </c>
      <c r="O30" s="160">
        <f>O18</f>
        <v>6654.7475593085128</v>
      </c>
    </row>
    <row r="31" spans="4:16" x14ac:dyDescent="0.3">
      <c r="D31" s="27" t="s">
        <v>217</v>
      </c>
      <c r="G31" s="103">
        <f>Cash_Flow!M22</f>
        <v>-6200</v>
      </c>
      <c r="H31" s="103">
        <f>Cash_Flow!N22</f>
        <v>-9006</v>
      </c>
      <c r="I31" s="103">
        <f>Cash_Flow!O22</f>
        <v>-9129</v>
      </c>
      <c r="K31" s="111">
        <f>I31*(1-0.125)</f>
        <v>-7987.875</v>
      </c>
      <c r="L31" s="103">
        <f>K31*(1-0.1)</f>
        <v>-7189.0875000000005</v>
      </c>
      <c r="M31" s="103">
        <f>L31*(1-0.1)</f>
        <v>-6470.1787500000009</v>
      </c>
      <c r="N31" s="103">
        <f>M31*(1-0.1)</f>
        <v>-5823.1608750000014</v>
      </c>
      <c r="O31" s="160">
        <f>N31*(1+0.1)</f>
        <v>-6405.4769625000017</v>
      </c>
    </row>
    <row r="32" spans="4:16" x14ac:dyDescent="0.3">
      <c r="D32" t="s">
        <v>219</v>
      </c>
      <c r="G32" s="103">
        <f>NWC!F25</f>
        <v>0</v>
      </c>
      <c r="H32" s="103">
        <f>NWC!G25</f>
        <v>-751</v>
      </c>
      <c r="I32" s="103">
        <f>NWC!H25</f>
        <v>-2256</v>
      </c>
      <c r="K32" s="111">
        <f>NWC!I25</f>
        <v>-1364.8284529392986</v>
      </c>
      <c r="L32" s="103">
        <f>NWC!J25</f>
        <v>-989.1638285791887</v>
      </c>
      <c r="M32" s="103">
        <f>NWC!K25</f>
        <v>-1032.0147339863724</v>
      </c>
      <c r="N32" s="103">
        <f>NWC!L25</f>
        <v>-841.92957737604775</v>
      </c>
      <c r="O32" s="160">
        <f>NWC!M25</f>
        <v>-632.2075794534976</v>
      </c>
    </row>
    <row r="33" spans="4:17" x14ac:dyDescent="0.3">
      <c r="K33" s="111"/>
      <c r="L33" s="103"/>
      <c r="M33" s="103"/>
      <c r="N33" s="103"/>
      <c r="O33" s="160"/>
    </row>
    <row r="34" spans="4:17" x14ac:dyDescent="0.3">
      <c r="D34" s="143" t="s">
        <v>192</v>
      </c>
      <c r="E34" s="143"/>
      <c r="F34" s="143"/>
      <c r="G34" s="143"/>
      <c r="H34" s="143"/>
      <c r="I34" s="143"/>
      <c r="J34" s="143"/>
      <c r="K34" s="171">
        <f>SUM(K28:K32)</f>
        <v>2758.0908779733472</v>
      </c>
      <c r="L34" s="172">
        <f>SUM(L28:L32)</f>
        <v>5391.8937192084313</v>
      </c>
      <c r="M34" s="172">
        <f>SUM(M28:M32)</f>
        <v>7590.5218381630239</v>
      </c>
      <c r="N34" s="172">
        <f>SUM(N28:N32)</f>
        <v>9669.7553407862379</v>
      </c>
      <c r="O34" s="173">
        <f>SUM(O28:O32)</f>
        <v>10229.880945998357</v>
      </c>
    </row>
    <row r="35" spans="4:17" x14ac:dyDescent="0.3">
      <c r="D35" s="36" t="s">
        <v>155</v>
      </c>
      <c r="E35" s="36"/>
      <c r="F35" s="178">
        <f>WACC!F26</f>
        <v>0.12048890656078672</v>
      </c>
      <c r="K35" s="49"/>
      <c r="O35" s="60"/>
    </row>
    <row r="36" spans="4:17" x14ac:dyDescent="0.3">
      <c r="D36" s="36" t="s">
        <v>193</v>
      </c>
      <c r="E36" s="36"/>
      <c r="K36" s="49">
        <f>IF(F6="Y",0.5,1)</f>
        <v>0.5</v>
      </c>
      <c r="L36">
        <f>K36+1</f>
        <v>1.5</v>
      </c>
      <c r="M36">
        <f>L36+1</f>
        <v>2.5</v>
      </c>
      <c r="N36">
        <f>M36+1</f>
        <v>3.5</v>
      </c>
      <c r="O36" s="60">
        <f>N36+1</f>
        <v>4.5</v>
      </c>
    </row>
    <row r="37" spans="4:17" x14ac:dyDescent="0.3">
      <c r="D37" s="36" t="s">
        <v>194</v>
      </c>
      <c r="E37" s="36"/>
      <c r="K37" s="157">
        <f>1/(1+$F$35)^K36</f>
        <v>0.94470501194950729</v>
      </c>
      <c r="L37" s="98">
        <f>1/(1+$F$35)^L36</f>
        <v>0.84311857655884503</v>
      </c>
      <c r="M37" s="98">
        <f>1/(1+$F$35)^M36</f>
        <v>0.75245597847702173</v>
      </c>
      <c r="N37" s="98">
        <f>1/(1+$F$35)^N36</f>
        <v>0.67154255081971292</v>
      </c>
      <c r="O37" s="163">
        <f>1/(1+$F$35)^O36</f>
        <v>0.59932994149931962</v>
      </c>
    </row>
    <row r="38" spans="4:17" x14ac:dyDescent="0.3">
      <c r="D38" s="174" t="s">
        <v>195</v>
      </c>
      <c r="E38" s="174"/>
      <c r="F38" s="144"/>
      <c r="G38" s="144"/>
      <c r="H38" s="144"/>
      <c r="I38" s="144"/>
      <c r="J38" s="144"/>
      <c r="K38" s="175">
        <f>K34*K37</f>
        <v>2605.5822758336381</v>
      </c>
      <c r="L38" s="176">
        <f>L34*L37</f>
        <v>4546.0057574955899</v>
      </c>
      <c r="M38" s="176">
        <f>M34*M37</f>
        <v>5711.5335368861597</v>
      </c>
      <c r="N38" s="176">
        <f>N34*N37</f>
        <v>6493.6521673541329</v>
      </c>
      <c r="O38" s="177">
        <f>O34*O37</f>
        <v>6131.0739489101998</v>
      </c>
    </row>
    <row r="41" spans="4:17" x14ac:dyDescent="0.3">
      <c r="D41" s="383" t="s">
        <v>196</v>
      </c>
      <c r="E41" s="383"/>
      <c r="F41" s="383"/>
      <c r="G41" s="383"/>
      <c r="I41" s="383" t="s">
        <v>197</v>
      </c>
      <c r="J41" s="383"/>
      <c r="K41" s="383"/>
      <c r="L41" s="383"/>
      <c r="N41" s="383" t="s">
        <v>198</v>
      </c>
      <c r="O41" s="383"/>
      <c r="P41" s="383"/>
      <c r="Q41" s="383"/>
    </row>
    <row r="42" spans="4:17" x14ac:dyDescent="0.3">
      <c r="D42" s="4" t="s">
        <v>199</v>
      </c>
      <c r="E42" s="4"/>
      <c r="G42" s="164">
        <f>SUM(K38:O38)</f>
        <v>25487.847686479719</v>
      </c>
      <c r="I42" t="s">
        <v>196</v>
      </c>
      <c r="L42" s="167">
        <f>G52</f>
        <v>118218.60197843023</v>
      </c>
      <c r="N42" t="s">
        <v>200</v>
      </c>
      <c r="Q42" s="167">
        <f>O34</f>
        <v>10229.880945998357</v>
      </c>
    </row>
    <row r="43" spans="4:17" x14ac:dyDescent="0.3">
      <c r="I43" t="s">
        <v>201</v>
      </c>
      <c r="L43" s="103">
        <f>-'Historical FS'!L39</f>
        <v>-24102.18</v>
      </c>
      <c r="N43" t="s">
        <v>155</v>
      </c>
      <c r="Q43" s="95">
        <f>F35</f>
        <v>0.12048890656078672</v>
      </c>
    </row>
    <row r="44" spans="4:17" x14ac:dyDescent="0.3">
      <c r="D44" s="5" t="s">
        <v>202</v>
      </c>
      <c r="E44" s="5"/>
      <c r="F44" s="3"/>
      <c r="G44" s="3"/>
      <c r="I44" t="s">
        <v>203</v>
      </c>
      <c r="L44" s="103">
        <v>0</v>
      </c>
      <c r="N44" t="s">
        <v>202</v>
      </c>
      <c r="Q44" s="165">
        <f>G47</f>
        <v>154724.04742531251</v>
      </c>
    </row>
    <row r="45" spans="4:17" x14ac:dyDescent="0.3">
      <c r="D45" t="s">
        <v>255</v>
      </c>
      <c r="G45" s="165">
        <f>O16</f>
        <v>22802.782448761071</v>
      </c>
      <c r="I45" t="s">
        <v>204</v>
      </c>
      <c r="L45" s="103">
        <v>-3187</v>
      </c>
    </row>
    <row r="46" spans="4:17" x14ac:dyDescent="0.3">
      <c r="D46" t="s">
        <v>205</v>
      </c>
      <c r="G46" s="115">
        <v>10</v>
      </c>
      <c r="I46" t="s">
        <v>206</v>
      </c>
      <c r="L46" s="116">
        <f>Bal_Sht!O23</f>
        <v>1673.32</v>
      </c>
      <c r="N46" s="4" t="s">
        <v>198</v>
      </c>
      <c r="Q46" s="166">
        <v>5.0999999999999997E-2</v>
      </c>
    </row>
    <row r="47" spans="4:17" x14ac:dyDescent="0.3">
      <c r="D47" s="67" t="s">
        <v>202</v>
      </c>
      <c r="E47" s="67"/>
      <c r="G47" s="119">
        <f>IF(F7="Y",G45*G46,Q42*(1+Q46)/(F35-Q46))</f>
        <v>154724.04742531251</v>
      </c>
    </row>
    <row r="48" spans="4:17" x14ac:dyDescent="0.3">
      <c r="D48" t="s">
        <v>194</v>
      </c>
      <c r="G48" s="117">
        <f>O37</f>
        <v>0.59932994149931962</v>
      </c>
      <c r="I48" s="67" t="s">
        <v>207</v>
      </c>
      <c r="L48" s="168">
        <f>SUM(L42:L46)</f>
        <v>92602.741978430247</v>
      </c>
      <c r="N48" s="383" t="s">
        <v>208</v>
      </c>
      <c r="O48" s="383"/>
      <c r="P48" s="383"/>
      <c r="Q48" s="383"/>
    </row>
    <row r="49" spans="4:18" x14ac:dyDescent="0.3">
      <c r="D49" s="67" t="s">
        <v>209</v>
      </c>
      <c r="E49" s="67"/>
      <c r="G49" s="119">
        <f>G47*G48</f>
        <v>92730.754291950507</v>
      </c>
      <c r="N49" t="s">
        <v>196</v>
      </c>
      <c r="Q49" s="114">
        <f>G52</f>
        <v>118218.60197843023</v>
      </c>
    </row>
    <row r="50" spans="4:18" x14ac:dyDescent="0.3">
      <c r="D50" s="37" t="s">
        <v>210</v>
      </c>
      <c r="E50" s="37"/>
      <c r="G50" s="80">
        <f>G49/G52</f>
        <v>0.78440070124386896</v>
      </c>
      <c r="I50" t="s">
        <v>211</v>
      </c>
      <c r="L50" s="169">
        <f>Inc_Stat!O36</f>
        <v>29.47</v>
      </c>
      <c r="N50" t="s">
        <v>256</v>
      </c>
      <c r="Q50" s="114">
        <f>I16</f>
        <v>12796.880000000005</v>
      </c>
    </row>
    <row r="52" spans="4:18" x14ac:dyDescent="0.3">
      <c r="D52" s="67" t="s">
        <v>196</v>
      </c>
      <c r="E52" s="67"/>
      <c r="G52" s="168">
        <f>G42+G49</f>
        <v>118218.60197843023</v>
      </c>
      <c r="I52" s="67" t="s">
        <v>212</v>
      </c>
      <c r="L52" s="170">
        <f>L48/L50</f>
        <v>3142.2715296379456</v>
      </c>
      <c r="N52" s="4" t="s">
        <v>208</v>
      </c>
      <c r="Q52" s="118">
        <f>Q49/Q50</f>
        <v>9.2380800615798684</v>
      </c>
    </row>
    <row r="53" spans="4:18" x14ac:dyDescent="0.3">
      <c r="D53" s="179"/>
      <c r="E53" s="179"/>
      <c r="F53" s="179"/>
      <c r="G53" s="179"/>
      <c r="H53" s="179"/>
      <c r="I53" s="179"/>
      <c r="J53" s="179"/>
      <c r="K53" s="179"/>
      <c r="L53" s="179"/>
      <c r="M53" s="179"/>
      <c r="N53" s="179"/>
      <c r="O53" s="179"/>
      <c r="P53" s="179"/>
      <c r="Q53" s="179"/>
    </row>
    <row r="55" spans="4:18" ht="15.6" x14ac:dyDescent="0.3">
      <c r="D55" s="105" t="s">
        <v>257</v>
      </c>
      <c r="E55" s="92"/>
      <c r="F55" s="92"/>
      <c r="G55" s="92"/>
      <c r="H55" s="92"/>
      <c r="I55" s="92"/>
      <c r="J55" s="92"/>
      <c r="K55" s="92"/>
      <c r="L55" s="92"/>
      <c r="M55" s="92"/>
      <c r="N55" s="92"/>
      <c r="O55" s="92"/>
      <c r="P55" s="92"/>
      <c r="Q55" s="92"/>
      <c r="R55" s="92"/>
    </row>
    <row r="57" spans="4:18" x14ac:dyDescent="0.3">
      <c r="D57" s="92" t="s">
        <v>258</v>
      </c>
      <c r="E57" s="92"/>
      <c r="F57" s="92"/>
      <c r="G57" s="92"/>
      <c r="H57" s="92"/>
      <c r="I57" s="92"/>
      <c r="J57" s="92"/>
      <c r="L57" s="92" t="s">
        <v>259</v>
      </c>
      <c r="M57" s="92"/>
      <c r="N57" s="92"/>
      <c r="O57" s="92"/>
      <c r="P57" s="92"/>
      <c r="Q57" s="92"/>
      <c r="R57" s="92"/>
    </row>
    <row r="58" spans="4:18" x14ac:dyDescent="0.3">
      <c r="F58" s="381" t="s">
        <v>260</v>
      </c>
      <c r="G58" s="381"/>
      <c r="H58" s="381"/>
      <c r="I58" s="381"/>
      <c r="J58" s="381"/>
      <c r="N58" s="381" t="s">
        <v>194</v>
      </c>
      <c r="O58" s="381"/>
      <c r="P58" s="381"/>
      <c r="Q58" s="381"/>
      <c r="R58" s="381"/>
    </row>
    <row r="59" spans="4:18" ht="14.4" customHeight="1" x14ac:dyDescent="0.3">
      <c r="D59" s="180"/>
      <c r="E59" s="186">
        <f>G52</f>
        <v>118218.60197843023</v>
      </c>
      <c r="F59" s="185">
        <v>0.115</v>
      </c>
      <c r="G59" s="185">
        <v>0.12</v>
      </c>
      <c r="H59" s="185">
        <v>0.125</v>
      </c>
      <c r="I59" s="185">
        <v>0.13</v>
      </c>
      <c r="J59" s="185">
        <v>0.13500000000000001</v>
      </c>
      <c r="M59" s="186">
        <f>L48</f>
        <v>92602.741978430247</v>
      </c>
      <c r="N59" s="185">
        <v>0.115</v>
      </c>
      <c r="O59" s="185">
        <v>0.12</v>
      </c>
      <c r="P59" s="185">
        <v>0.125</v>
      </c>
      <c r="Q59" s="185">
        <v>0.13</v>
      </c>
      <c r="R59" s="185">
        <v>0.13500000000000001</v>
      </c>
    </row>
    <row r="60" spans="4:18" x14ac:dyDescent="0.3">
      <c r="D60" s="382" t="s">
        <v>261</v>
      </c>
      <c r="E60" s="184">
        <v>0.03</v>
      </c>
      <c r="F60" s="181">
        <v>101802.21398922626</v>
      </c>
      <c r="G60" s="182">
        <v>95824.280870178132</v>
      </c>
      <c r="H60" s="182">
        <v>90480.342420271598</v>
      </c>
      <c r="I60" s="182">
        <v>85675.214481826086</v>
      </c>
      <c r="J60" s="182">
        <v>81331.845120424114</v>
      </c>
      <c r="L60" s="382" t="s">
        <v>262</v>
      </c>
      <c r="M60" s="187">
        <v>8</v>
      </c>
      <c r="N60" s="181">
        <f t="dataTable" ref="N60:R64" dt2D="1" dtr="1" r1="F35" r2="G46"/>
        <v>103165.54597857854</v>
      </c>
      <c r="O60" s="182">
        <v>93475.142545517418</v>
      </c>
      <c r="P60" s="182">
        <v>85099.366493057867</v>
      </c>
      <c r="Q60" s="182">
        <v>77788.517393696558</v>
      </c>
      <c r="R60" s="182">
        <v>71352.349188138032</v>
      </c>
    </row>
    <row r="61" spans="4:18" x14ac:dyDescent="0.3">
      <c r="D61" s="382"/>
      <c r="E61" s="184">
        <v>0.04</v>
      </c>
      <c r="F61" s="183">
        <v>112765.18724204242</v>
      </c>
      <c r="G61" s="188">
        <v>105380.2558439782</v>
      </c>
      <c r="H61" s="188">
        <v>98869.033856608774</v>
      </c>
      <c r="I61" s="188">
        <v>93085.816968798405</v>
      </c>
      <c r="J61" s="39">
        <v>87915.577359461575</v>
      </c>
      <c r="L61" s="382"/>
      <c r="M61" s="187">
        <v>9</v>
      </c>
      <c r="N61" s="183">
        <v>103165.54597857854</v>
      </c>
      <c r="O61" s="188">
        <v>93475.142545517418</v>
      </c>
      <c r="P61" s="188">
        <v>85099.366493057867</v>
      </c>
      <c r="Q61" s="188">
        <v>77788.517393696558</v>
      </c>
      <c r="R61" s="39">
        <v>71352.349188138032</v>
      </c>
    </row>
    <row r="62" spans="4:18" x14ac:dyDescent="0.3">
      <c r="D62" s="382"/>
      <c r="E62" s="184">
        <v>0.05</v>
      </c>
      <c r="F62" s="183">
        <v>127101.38303418661</v>
      </c>
      <c r="G62" s="188">
        <v>117666.50938172115</v>
      </c>
      <c r="H62" s="189">
        <v>109494.70967596919</v>
      </c>
      <c r="I62" s="188">
        <v>102349.07007751378</v>
      </c>
      <c r="J62" s="39">
        <v>96048.423066507807</v>
      </c>
      <c r="L62" s="382"/>
      <c r="M62" s="187">
        <v>10</v>
      </c>
      <c r="N62" s="183">
        <v>103165.54597857854</v>
      </c>
      <c r="O62" s="188">
        <v>93475.142545517418</v>
      </c>
      <c r="P62" s="189">
        <v>85099.366493057867</v>
      </c>
      <c r="Q62" s="188">
        <v>77788.517393696558</v>
      </c>
      <c r="R62" s="39">
        <v>71352.349188138032</v>
      </c>
    </row>
    <row r="63" spans="4:18" x14ac:dyDescent="0.3">
      <c r="D63" s="382"/>
      <c r="E63" s="184">
        <v>0.06</v>
      </c>
      <c r="F63" s="183">
        <v>146650.74093256504</v>
      </c>
      <c r="G63" s="188">
        <v>134048.18076537838</v>
      </c>
      <c r="H63" s="188">
        <v>123389.82420897893</v>
      </c>
      <c r="I63" s="188">
        <v>114258.9669315764</v>
      </c>
      <c r="J63" s="39">
        <v>106350.02762876637</v>
      </c>
      <c r="L63" s="382"/>
      <c r="M63" s="187">
        <v>11</v>
      </c>
      <c r="N63" s="183">
        <v>103165.54597857854</v>
      </c>
      <c r="O63" s="188">
        <v>93475.142545517418</v>
      </c>
      <c r="P63" s="188">
        <v>85099.366493057867</v>
      </c>
      <c r="Q63" s="188">
        <v>77788.517393696558</v>
      </c>
      <c r="R63" s="39">
        <v>71352.349188138032</v>
      </c>
    </row>
    <row r="64" spans="4:18" x14ac:dyDescent="0.3">
      <c r="D64" s="382"/>
      <c r="E64" s="184">
        <v>7.0000000000000007E-2</v>
      </c>
      <c r="F64" s="183">
        <v>174888.70234133396</v>
      </c>
      <c r="G64" s="39">
        <v>156982.52070249856</v>
      </c>
      <c r="H64" s="39">
        <v>142337.70766308316</v>
      </c>
      <c r="I64" s="39">
        <v>130138.82940365994</v>
      </c>
      <c r="J64" s="39">
        <v>119821.35667171993</v>
      </c>
      <c r="L64" s="382"/>
      <c r="M64" s="187">
        <v>12</v>
      </c>
      <c r="N64" s="183">
        <v>103165.54597857854</v>
      </c>
      <c r="O64" s="39">
        <v>93475.142545517418</v>
      </c>
      <c r="P64" s="39">
        <v>85099.366493057867</v>
      </c>
      <c r="Q64" s="39">
        <v>77788.517393696558</v>
      </c>
      <c r="R64" s="39">
        <v>71352.349188138032</v>
      </c>
    </row>
    <row r="66" spans="4:18" x14ac:dyDescent="0.3">
      <c r="D66" s="92" t="s">
        <v>263</v>
      </c>
      <c r="E66" s="92"/>
      <c r="F66" s="92"/>
      <c r="G66" s="92"/>
      <c r="H66" s="92"/>
      <c r="I66" s="92"/>
      <c r="J66" s="92"/>
      <c r="L66" s="92" t="s">
        <v>264</v>
      </c>
      <c r="M66" s="92"/>
      <c r="N66" s="92"/>
      <c r="O66" s="92"/>
      <c r="P66" s="92"/>
      <c r="Q66" s="92"/>
      <c r="R66" s="92"/>
    </row>
    <row r="67" spans="4:18" x14ac:dyDescent="0.3">
      <c r="F67" s="381" t="s">
        <v>260</v>
      </c>
      <c r="G67" s="381"/>
      <c r="H67" s="381"/>
      <c r="I67" s="381"/>
      <c r="J67" s="381"/>
      <c r="N67" s="381" t="s">
        <v>194</v>
      </c>
      <c r="O67" s="381"/>
      <c r="P67" s="381"/>
      <c r="Q67" s="381"/>
      <c r="R67" s="381"/>
    </row>
    <row r="68" spans="4:18" x14ac:dyDescent="0.3">
      <c r="D68" s="180"/>
      <c r="E68" s="186">
        <f>L48</f>
        <v>92602.741978430247</v>
      </c>
      <c r="F68" s="185">
        <v>0.115</v>
      </c>
      <c r="G68" s="185">
        <v>0.12</v>
      </c>
      <c r="H68" s="185">
        <v>0.125</v>
      </c>
      <c r="I68" s="185">
        <v>0.13</v>
      </c>
      <c r="J68" s="185">
        <v>0.13500000000000001</v>
      </c>
      <c r="M68" s="186">
        <f>L48</f>
        <v>92602.741978430247</v>
      </c>
      <c r="N68" s="185">
        <v>0.115</v>
      </c>
      <c r="O68" s="185">
        <v>0.12</v>
      </c>
      <c r="P68" s="185">
        <v>0.125</v>
      </c>
      <c r="Q68" s="185">
        <v>0.13</v>
      </c>
      <c r="R68" s="185">
        <v>0.13500000000000001</v>
      </c>
    </row>
    <row r="69" spans="4:18" x14ac:dyDescent="0.3">
      <c r="D69" s="382" t="s">
        <v>261</v>
      </c>
      <c r="E69" s="184">
        <v>0.03</v>
      </c>
      <c r="F69" s="181">
        <v>76186.353989226278</v>
      </c>
      <c r="G69" s="182">
        <v>70208.420870178146</v>
      </c>
      <c r="H69" s="182">
        <v>64864.482420271604</v>
      </c>
      <c r="I69" s="182">
        <v>60059.354481826085</v>
      </c>
      <c r="J69" s="182">
        <v>55715.985120424113</v>
      </c>
      <c r="L69" s="382" t="s">
        <v>262</v>
      </c>
      <c r="M69" s="187">
        <v>8</v>
      </c>
      <c r="N69" s="181">
        <f t="dataTable" ref="N69:R73" dt2D="1" dtr="1" r1="F35" r2="G46" ca="1"/>
        <v>103165.54597857854</v>
      </c>
      <c r="O69" s="182">
        <v>93475.142545517418</v>
      </c>
      <c r="P69" s="182">
        <v>85099.366493057867</v>
      </c>
      <c r="Q69" s="182">
        <v>77788.517393696558</v>
      </c>
      <c r="R69" s="182">
        <v>71352.349188138032</v>
      </c>
    </row>
    <row r="70" spans="4:18" x14ac:dyDescent="0.3">
      <c r="D70" s="382"/>
      <c r="E70" s="184">
        <v>0.04</v>
      </c>
      <c r="F70" s="183">
        <v>87149.327242042433</v>
      </c>
      <c r="G70" s="188">
        <v>79764.395843978215</v>
      </c>
      <c r="H70" s="188">
        <v>73253.173856608773</v>
      </c>
      <c r="I70" s="188">
        <v>67469.956968798419</v>
      </c>
      <c r="J70" s="39">
        <v>62299.717359461574</v>
      </c>
      <c r="L70" s="382"/>
      <c r="M70" s="187">
        <v>9</v>
      </c>
      <c r="N70" s="183">
        <v>103165.54597857854</v>
      </c>
      <c r="O70" s="188">
        <v>93475.142545517418</v>
      </c>
      <c r="P70" s="188">
        <v>85099.366493057867</v>
      </c>
      <c r="Q70" s="188">
        <v>77788.517393696558</v>
      </c>
      <c r="R70" s="39">
        <v>71352.349188138032</v>
      </c>
    </row>
    <row r="71" spans="4:18" x14ac:dyDescent="0.3">
      <c r="D71" s="382"/>
      <c r="E71" s="184">
        <v>0.05</v>
      </c>
      <c r="F71" s="183">
        <v>101485.52303418663</v>
      </c>
      <c r="G71" s="188">
        <v>92050.649381721159</v>
      </c>
      <c r="H71" s="189">
        <v>83878.849675969192</v>
      </c>
      <c r="I71" s="188">
        <v>76733.210077513795</v>
      </c>
      <c r="J71" s="39">
        <v>70432.563066507806</v>
      </c>
      <c r="L71" s="382"/>
      <c r="M71" s="187">
        <v>10</v>
      </c>
      <c r="N71" s="183">
        <v>103165.54597857854</v>
      </c>
      <c r="O71" s="188">
        <v>93475.142545517418</v>
      </c>
      <c r="P71" s="189">
        <v>85099.366493057867</v>
      </c>
      <c r="Q71" s="188">
        <v>77788.517393696558</v>
      </c>
      <c r="R71" s="39">
        <v>71352.349188138032</v>
      </c>
    </row>
    <row r="72" spans="4:18" x14ac:dyDescent="0.3">
      <c r="D72" s="382"/>
      <c r="E72" s="184">
        <v>0.06</v>
      </c>
      <c r="F72" s="183">
        <v>121034.88093256505</v>
      </c>
      <c r="G72" s="188">
        <v>108432.32076537839</v>
      </c>
      <c r="H72" s="188">
        <v>97773.964208978927</v>
      </c>
      <c r="I72" s="188">
        <v>88643.106931576418</v>
      </c>
      <c r="J72" s="39">
        <v>80734.167628766387</v>
      </c>
      <c r="L72" s="382"/>
      <c r="M72" s="187">
        <v>11</v>
      </c>
      <c r="N72" s="183">
        <v>103165.54597857854</v>
      </c>
      <c r="O72" s="188">
        <v>93475.142545517418</v>
      </c>
      <c r="P72" s="188">
        <v>85099.366493057867</v>
      </c>
      <c r="Q72" s="188">
        <v>77788.517393696558</v>
      </c>
      <c r="R72" s="39">
        <v>71352.349188138032</v>
      </c>
    </row>
    <row r="73" spans="4:18" x14ac:dyDescent="0.3">
      <c r="D73" s="382"/>
      <c r="E73" s="184">
        <v>7.0000000000000007E-2</v>
      </c>
      <c r="F73" s="183">
        <v>149272.84234133398</v>
      </c>
      <c r="G73" s="39">
        <v>131366.66070249857</v>
      </c>
      <c r="H73" s="39">
        <v>116721.84766308317</v>
      </c>
      <c r="I73" s="39">
        <v>104522.96940365995</v>
      </c>
      <c r="J73" s="39">
        <v>94205.496671719942</v>
      </c>
      <c r="L73" s="382"/>
      <c r="M73" s="187">
        <v>12</v>
      </c>
      <c r="N73" s="183">
        <v>103165.54597857854</v>
      </c>
      <c r="O73" s="39">
        <v>93475.142545517418</v>
      </c>
      <c r="P73" s="39">
        <v>85099.366493057867</v>
      </c>
      <c r="Q73" s="39">
        <v>77788.517393696558</v>
      </c>
      <c r="R73" s="39">
        <v>71352.349188138032</v>
      </c>
    </row>
    <row r="76" spans="4:18" x14ac:dyDescent="0.3">
      <c r="D76" s="92" t="s">
        <v>265</v>
      </c>
      <c r="E76" s="92"/>
      <c r="F76" s="92"/>
      <c r="G76" s="92"/>
      <c r="H76" s="92"/>
      <c r="I76" s="92"/>
      <c r="J76" s="92"/>
      <c r="L76" s="92" t="s">
        <v>266</v>
      </c>
      <c r="M76" s="92"/>
      <c r="N76" s="92"/>
      <c r="O76" s="92"/>
      <c r="P76" s="92"/>
      <c r="Q76" s="92"/>
      <c r="R76" s="92"/>
    </row>
    <row r="77" spans="4:18" x14ac:dyDescent="0.3">
      <c r="F77" s="381" t="s">
        <v>260</v>
      </c>
      <c r="G77" s="381"/>
      <c r="H77" s="381"/>
      <c r="I77" s="381"/>
      <c r="J77" s="381"/>
      <c r="N77" s="381" t="s">
        <v>194</v>
      </c>
      <c r="O77" s="381"/>
      <c r="P77" s="381"/>
      <c r="Q77" s="381"/>
      <c r="R77" s="381"/>
    </row>
    <row r="78" spans="4:18" x14ac:dyDescent="0.3">
      <c r="D78" s="180"/>
      <c r="E78" s="186">
        <f>L52</f>
        <v>3142.2715296379456</v>
      </c>
      <c r="F78" s="185">
        <v>0.115</v>
      </c>
      <c r="G78" s="185">
        <v>0.12</v>
      </c>
      <c r="H78" s="185">
        <v>0.125</v>
      </c>
      <c r="I78" s="185">
        <v>0.13</v>
      </c>
      <c r="J78" s="185">
        <v>0.13500000000000001</v>
      </c>
      <c r="M78" s="186">
        <f>L52</f>
        <v>3142.2715296379456</v>
      </c>
      <c r="N78" s="185">
        <v>0.115</v>
      </c>
      <c r="O78" s="185">
        <v>0.12</v>
      </c>
      <c r="P78" s="185">
        <v>0.125</v>
      </c>
      <c r="Q78" s="185">
        <v>0.13</v>
      </c>
      <c r="R78" s="185">
        <v>0.13500000000000001</v>
      </c>
    </row>
    <row r="79" spans="4:18" x14ac:dyDescent="0.3">
      <c r="D79" s="382" t="s">
        <v>261</v>
      </c>
      <c r="E79" s="184">
        <v>0.03</v>
      </c>
      <c r="F79" s="190">
        <v>2585.2173053690626</v>
      </c>
      <c r="G79" s="191">
        <v>2382.3692185333612</v>
      </c>
      <c r="H79" s="191">
        <v>2201.0343542677842</v>
      </c>
      <c r="I79" s="191">
        <v>2037.9828463463214</v>
      </c>
      <c r="J79" s="191">
        <v>1890.600105884768</v>
      </c>
      <c r="L79" s="382" t="s">
        <v>262</v>
      </c>
      <c r="M79" s="187">
        <v>8</v>
      </c>
      <c r="N79" s="190">
        <f t="dataTable" ref="N79:R83" dt2D="1" dtr="1" r1="F35" r2="G46" ca="1"/>
        <v>3500.697182849628</v>
      </c>
      <c r="O79" s="191">
        <v>3171.874534968355</v>
      </c>
      <c r="P79" s="191">
        <v>2887.6608921974166</v>
      </c>
      <c r="Q79" s="191">
        <v>2639.583216616782</v>
      </c>
      <c r="R79" s="191">
        <v>2421.1859242666451</v>
      </c>
    </row>
    <row r="80" spans="4:18" x14ac:dyDescent="0.3">
      <c r="D80" s="382"/>
      <c r="E80" s="184">
        <v>0.04</v>
      </c>
      <c r="F80" s="192">
        <v>2957.2218270119592</v>
      </c>
      <c r="G80" s="193">
        <v>2706.6303306405912</v>
      </c>
      <c r="H80" s="193">
        <v>2485.686252345055</v>
      </c>
      <c r="I80" s="193">
        <v>2289.4454349778903</v>
      </c>
      <c r="J80" s="194">
        <v>2114.0046609929277</v>
      </c>
      <c r="L80" s="382"/>
      <c r="M80" s="187">
        <v>9</v>
      </c>
      <c r="N80" s="192">
        <v>3500.697182849628</v>
      </c>
      <c r="O80" s="193">
        <v>3171.874534968355</v>
      </c>
      <c r="P80" s="193">
        <v>2887.6608921974166</v>
      </c>
      <c r="Q80" s="193">
        <v>2639.583216616782</v>
      </c>
      <c r="R80" s="194">
        <v>2421.1859242666451</v>
      </c>
    </row>
    <row r="81" spans="4:18" x14ac:dyDescent="0.3">
      <c r="D81" s="382"/>
      <c r="E81" s="184">
        <v>0.05</v>
      </c>
      <c r="F81" s="192">
        <v>3443.6892783911312</v>
      </c>
      <c r="G81" s="193">
        <v>3123.5374747784581</v>
      </c>
      <c r="H81" s="195">
        <v>2846.2453232429316</v>
      </c>
      <c r="I81" s="193">
        <v>2603.7736707673498</v>
      </c>
      <c r="J81" s="194">
        <v>2389.9749937735937</v>
      </c>
      <c r="L81" s="382"/>
      <c r="M81" s="187">
        <v>10</v>
      </c>
      <c r="N81" s="192">
        <v>3500.697182849628</v>
      </c>
      <c r="O81" s="193">
        <v>3171.874534968355</v>
      </c>
      <c r="P81" s="195">
        <v>2887.6608921974166</v>
      </c>
      <c r="Q81" s="193">
        <v>2639.583216616782</v>
      </c>
      <c r="R81" s="194">
        <v>2421.1859242666451</v>
      </c>
    </row>
    <row r="82" spans="4:18" x14ac:dyDescent="0.3">
      <c r="D82" s="382"/>
      <c r="E82" s="184">
        <v>0.06</v>
      </c>
      <c r="F82" s="192">
        <v>4107.0539848172739</v>
      </c>
      <c r="G82" s="193">
        <v>3679.4136669622799</v>
      </c>
      <c r="H82" s="193">
        <v>3317.7456467247684</v>
      </c>
      <c r="I82" s="193">
        <v>3007.9099739252265</v>
      </c>
      <c r="J82" s="194">
        <v>2739.5374152957716</v>
      </c>
      <c r="L82" s="382"/>
      <c r="M82" s="187">
        <v>11</v>
      </c>
      <c r="N82" s="192">
        <v>3500.697182849628</v>
      </c>
      <c r="O82" s="193">
        <v>3171.874534968355</v>
      </c>
      <c r="P82" s="193">
        <v>2887.6608921974166</v>
      </c>
      <c r="Q82" s="193">
        <v>2639.583216616782</v>
      </c>
      <c r="R82" s="194">
        <v>2421.1859242666451</v>
      </c>
    </row>
    <row r="83" spans="4:18" x14ac:dyDescent="0.3">
      <c r="D83" s="382"/>
      <c r="E83" s="184">
        <v>7.0000000000000007E-2</v>
      </c>
      <c r="F83" s="192">
        <v>5065.2474496550385</v>
      </c>
      <c r="G83" s="194">
        <v>4457.6403360196327</v>
      </c>
      <c r="H83" s="194">
        <v>3960.7006332909118</v>
      </c>
      <c r="I83" s="194">
        <v>3546.7583781357298</v>
      </c>
      <c r="J83" s="194">
        <v>3196.6575049786206</v>
      </c>
      <c r="L83" s="382"/>
      <c r="M83" s="187">
        <v>12</v>
      </c>
      <c r="N83" s="192">
        <v>3500.697182849628</v>
      </c>
      <c r="O83" s="194">
        <v>3171.874534968355</v>
      </c>
      <c r="P83" s="194">
        <v>2887.6608921974166</v>
      </c>
      <c r="Q83" s="194">
        <v>2639.583216616782</v>
      </c>
      <c r="R83" s="194">
        <v>2421.1859242666451</v>
      </c>
    </row>
    <row r="84" spans="4:18" x14ac:dyDescent="0.3"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</row>
  </sheetData>
  <mergeCells count="18">
    <mergeCell ref="N48:Q48"/>
    <mergeCell ref="G6:I6"/>
    <mergeCell ref="K6:O6"/>
    <mergeCell ref="D41:G41"/>
    <mergeCell ref="I41:L41"/>
    <mergeCell ref="N41:Q41"/>
    <mergeCell ref="D79:D83"/>
    <mergeCell ref="N77:R77"/>
    <mergeCell ref="L79:L83"/>
    <mergeCell ref="F58:J58"/>
    <mergeCell ref="D60:D64"/>
    <mergeCell ref="L60:L64"/>
    <mergeCell ref="N58:R58"/>
    <mergeCell ref="F67:J67"/>
    <mergeCell ref="D69:D73"/>
    <mergeCell ref="N67:R67"/>
    <mergeCell ref="L69:L73"/>
    <mergeCell ref="F77:J77"/>
  </mergeCells>
  <dataValidations count="2">
    <dataValidation type="list" allowBlank="1" showInputMessage="1" showErrorMessage="1" sqref="F5" xr:uid="{3EB1AF3A-20A4-4F1C-9279-2E4922774482}">
      <formula1>"1,2,3"</formula1>
    </dataValidation>
    <dataValidation type="list" allowBlank="1" showInputMessage="1" showErrorMessage="1" sqref="F6:F7" xr:uid="{B5A57AF5-ABF9-4C0C-A4FE-EEF52F0C2C10}">
      <formula1>"Y,N"</formula1>
    </dataValidation>
  </dataValidations>
  <pageMargins left="0.70866141732283472" right="0.70866141732283472" top="0.74803149606299213" bottom="0.74803149606299213" header="0.31496062992125984" footer="0.31496062992125984"/>
  <pageSetup paperSize="9" scale="53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29A60-52A8-4F05-8462-6C7FD64B4AD3}">
  <sheetPr>
    <pageSetUpPr fitToPage="1"/>
  </sheetPr>
  <dimension ref="D2:Q39"/>
  <sheetViews>
    <sheetView showGridLines="0" workbookViewId="0">
      <selection activeCell="V23" sqref="V23"/>
    </sheetView>
  </sheetViews>
  <sheetFormatPr defaultRowHeight="14.4" x14ac:dyDescent="0.3"/>
  <cols>
    <col min="1" max="3" width="2.33203125" customWidth="1"/>
    <col min="11" max="16" width="10.77734375" customWidth="1"/>
    <col min="18" max="18" width="2.33203125" customWidth="1"/>
  </cols>
  <sheetData>
    <row r="2" spans="4:17" ht="21" x14ac:dyDescent="0.4">
      <c r="D2" s="89" t="s">
        <v>117</v>
      </c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</row>
    <row r="3" spans="4:17" ht="18" x14ac:dyDescent="0.35">
      <c r="D3" s="90" t="s">
        <v>292</v>
      </c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</row>
    <row r="4" spans="4:17" x14ac:dyDescent="0.3">
      <c r="D4" s="91" t="s">
        <v>369</v>
      </c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</row>
    <row r="25" spans="4:16" x14ac:dyDescent="0.3">
      <c r="D25" s="4" t="s">
        <v>293</v>
      </c>
    </row>
    <row r="26" spans="4:16" x14ac:dyDescent="0.3">
      <c r="K26" s="384" t="s">
        <v>303</v>
      </c>
      <c r="L26" s="385"/>
      <c r="M26" s="386"/>
      <c r="N26" s="384" t="s">
        <v>304</v>
      </c>
      <c r="O26" s="385"/>
      <c r="P26" s="385"/>
    </row>
    <row r="27" spans="4:16" x14ac:dyDescent="0.3">
      <c r="D27" s="72"/>
      <c r="E27" s="72"/>
      <c r="F27" s="72"/>
      <c r="G27" s="72"/>
      <c r="H27" s="72"/>
      <c r="I27" s="72"/>
      <c r="J27" s="72"/>
      <c r="K27" s="212" t="s">
        <v>301</v>
      </c>
      <c r="L27" s="71" t="s">
        <v>158</v>
      </c>
      <c r="M27" s="74" t="s">
        <v>302</v>
      </c>
      <c r="N27" s="212" t="s">
        <v>301</v>
      </c>
      <c r="O27" s="71" t="s">
        <v>158</v>
      </c>
      <c r="P27" s="71" t="s">
        <v>302</v>
      </c>
    </row>
    <row r="28" spans="4:16" x14ac:dyDescent="0.3">
      <c r="D28" s="4" t="s">
        <v>294</v>
      </c>
      <c r="K28" s="49"/>
      <c r="M28" s="60"/>
      <c r="N28" s="49"/>
    </row>
    <row r="29" spans="4:16" x14ac:dyDescent="0.3">
      <c r="D29" t="s">
        <v>295</v>
      </c>
      <c r="K29" s="49"/>
      <c r="M29" s="60"/>
      <c r="N29" s="234">
        <v>2289.4454349778903</v>
      </c>
      <c r="O29" s="194">
        <v>2846.2453232429316</v>
      </c>
      <c r="P29" s="194">
        <v>3679.4136669622799</v>
      </c>
    </row>
    <row r="30" spans="4:16" x14ac:dyDescent="0.3">
      <c r="D30" t="s">
        <v>296</v>
      </c>
      <c r="K30" s="49"/>
      <c r="M30" s="60"/>
      <c r="N30" s="234">
        <v>3992.981892121662</v>
      </c>
      <c r="O30" s="194">
        <v>4540.1071122780259</v>
      </c>
      <c r="P30" s="194">
        <v>5107.8917142622331</v>
      </c>
    </row>
    <row r="31" spans="4:16" x14ac:dyDescent="0.3">
      <c r="K31" s="49"/>
      <c r="M31" s="60"/>
      <c r="N31" s="49"/>
    </row>
    <row r="32" spans="4:16" x14ac:dyDescent="0.3">
      <c r="D32" s="4" t="s">
        <v>297</v>
      </c>
      <c r="K32" s="49"/>
      <c r="M32" s="60"/>
      <c r="N32" s="49"/>
    </row>
    <row r="33" spans="4:16" x14ac:dyDescent="0.3">
      <c r="D33" t="s">
        <v>299</v>
      </c>
      <c r="K33" s="216">
        <v>1.1128321424680214</v>
      </c>
      <c r="L33" s="217">
        <v>2.8830179276921126</v>
      </c>
      <c r="M33" s="218">
        <v>4.6330072556417363</v>
      </c>
      <c r="N33" s="234">
        <v>2050.326774663627</v>
      </c>
      <c r="O33" s="194">
        <v>6612.7526803591809</v>
      </c>
      <c r="P33" s="194">
        <v>11123.124818229093</v>
      </c>
    </row>
    <row r="34" spans="4:16" x14ac:dyDescent="0.3">
      <c r="D34" t="s">
        <v>298</v>
      </c>
      <c r="K34" s="216">
        <v>7.4183591366378119</v>
      </c>
      <c r="L34" s="217">
        <v>14.385308721544574</v>
      </c>
      <c r="M34" s="218">
        <v>19.884306441438287</v>
      </c>
      <c r="N34" s="234">
        <v>2403.450005716244</v>
      </c>
      <c r="O34" s="194">
        <v>5428.7373421296024</v>
      </c>
      <c r="P34" s="194">
        <v>7816.5898681477065</v>
      </c>
    </row>
    <row r="35" spans="4:16" x14ac:dyDescent="0.3">
      <c r="D35" t="s">
        <v>300</v>
      </c>
      <c r="K35" s="216">
        <v>1.3929525754155552</v>
      </c>
      <c r="L35" s="217">
        <v>42.022778641483335</v>
      </c>
      <c r="M35" s="218">
        <v>126.32540350503383</v>
      </c>
      <c r="N35" s="234">
        <v>-551.13294578172918</v>
      </c>
      <c r="O35" s="194">
        <v>7228.6446418739906</v>
      </c>
      <c r="P35" s="194">
        <v>23370.866624993414</v>
      </c>
    </row>
    <row r="36" spans="4:16" x14ac:dyDescent="0.3">
      <c r="K36" s="216"/>
      <c r="L36" s="217"/>
      <c r="M36" s="218"/>
      <c r="N36" s="234"/>
      <c r="O36" s="194"/>
      <c r="P36" s="194"/>
    </row>
    <row r="37" spans="4:16" x14ac:dyDescent="0.3">
      <c r="D37" t="s">
        <v>370</v>
      </c>
      <c r="K37" s="216"/>
      <c r="L37" s="217"/>
      <c r="M37" s="218"/>
      <c r="N37" s="234">
        <v>10325</v>
      </c>
      <c r="O37" s="194">
        <f>AVERAGE(N37,P37)</f>
        <v>11717.5</v>
      </c>
      <c r="P37" s="194">
        <v>13110</v>
      </c>
    </row>
    <row r="39" spans="4:16" x14ac:dyDescent="0.3">
      <c r="D39" s="125"/>
      <c r="E39" s="125"/>
      <c r="F39" s="125"/>
      <c r="G39" s="125"/>
      <c r="H39" s="125"/>
      <c r="I39" s="125"/>
      <c r="J39" s="125"/>
      <c r="K39" s="125"/>
      <c r="L39" s="125"/>
      <c r="M39" s="125"/>
      <c r="N39" s="125"/>
      <c r="O39" s="125"/>
      <c r="P39" s="125"/>
    </row>
  </sheetData>
  <mergeCells count="2">
    <mergeCell ref="K26:M26"/>
    <mergeCell ref="N26:P26"/>
  </mergeCells>
  <pageMargins left="0.70866141732283472" right="0.70866141732283472" top="0.74803149606299213" bottom="0.74803149606299213" header="0.31496062992125984" footer="0.31496062992125984"/>
  <pageSetup scale="8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12</vt:i4>
      </vt:variant>
    </vt:vector>
  </HeadingPairs>
  <TitlesOfParts>
    <vt:vector size="30" baseType="lpstr">
      <vt:lpstr>Research_Paper</vt:lpstr>
      <vt:lpstr>Data Sheet-&gt;</vt:lpstr>
      <vt:lpstr>Historical FS</vt:lpstr>
      <vt:lpstr>Data Sheet</vt:lpstr>
      <vt:lpstr>CF Data</vt:lpstr>
      <vt:lpstr>StockData</vt:lpstr>
      <vt:lpstr>Historical-&gt;</vt:lpstr>
      <vt:lpstr>Inc_Stat</vt:lpstr>
      <vt:lpstr>Bal_Sht</vt:lpstr>
      <vt:lpstr>Cash_Flow</vt:lpstr>
      <vt:lpstr>Com_Size</vt:lpstr>
      <vt:lpstr>Ratio</vt:lpstr>
      <vt:lpstr>Valuation-&gt;</vt:lpstr>
      <vt:lpstr>NWC</vt:lpstr>
      <vt:lpstr>Comps</vt:lpstr>
      <vt:lpstr>WACC</vt:lpstr>
      <vt:lpstr>DCF</vt:lpstr>
      <vt:lpstr>ValGraph</vt:lpstr>
      <vt:lpstr>Bal_Sht!Print_Area</vt:lpstr>
      <vt:lpstr>Cash_Flow!Print_Area</vt:lpstr>
      <vt:lpstr>Com_Size!Print_Area</vt:lpstr>
      <vt:lpstr>Comps!Print_Area</vt:lpstr>
      <vt:lpstr>DCF!Print_Area</vt:lpstr>
      <vt:lpstr>Inc_Stat!Print_Area</vt:lpstr>
      <vt:lpstr>NWC!Print_Area</vt:lpstr>
      <vt:lpstr>Ratio!Print_Area</vt:lpstr>
      <vt:lpstr>Research_Paper!Print_Area</vt:lpstr>
      <vt:lpstr>ValGraph!Print_Area</vt:lpstr>
      <vt:lpstr>WACC!Print_Area</vt:lpstr>
      <vt:lpstr>UPDATE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Eldric Sequeira</dc:creator>
  <cp:lastModifiedBy>Eldric Sequeira</cp:lastModifiedBy>
  <cp:lastPrinted>2026-04-24T06:28:43Z</cp:lastPrinted>
  <dcterms:created xsi:type="dcterms:W3CDTF">2026-02-12T13:02:31Z</dcterms:created>
  <dcterms:modified xsi:type="dcterms:W3CDTF">2026-04-24T06:34:47Z</dcterms:modified>
</cp:coreProperties>
</file>