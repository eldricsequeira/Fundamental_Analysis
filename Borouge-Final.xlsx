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DCF\"/>
    </mc:Choice>
  </mc:AlternateContent>
  <xr:revisionPtr revIDLastSave="0" documentId="13_ncr:1_{34466D99-7905-4179-9C7B-3E4710514FEB}" xr6:coauthVersionLast="47" xr6:coauthVersionMax="47" xr10:uidLastSave="{00000000-0000-0000-0000-000000000000}"/>
  <bookViews>
    <workbookView xWindow="-108" yWindow="-108" windowWidth="23256" windowHeight="13176" tabRatio="860" xr2:uid="{BCF9BFF9-BCF9-4F21-9E9B-4DD4BB09ACFB}"/>
  </bookViews>
  <sheets>
    <sheet name="Dashboard" sheetId="1" r:id="rId1"/>
    <sheet name="Financials-&gt;" sheetId="4" r:id="rId2"/>
    <sheet name="Statements" sheetId="8" r:id="rId3"/>
    <sheet name="Scenario" sheetId="9" r:id="rId4"/>
    <sheet name="Assumptions" sheetId="2" r:id="rId5"/>
    <sheet name="Schedule" sheetId="3" r:id="rId6"/>
    <sheet name="Valuation-&gt;" sheetId="5" r:id="rId7"/>
    <sheet name="Beta" sheetId="6" r:id="rId8"/>
    <sheet name="WACC" sheetId="10" r:id="rId9"/>
    <sheet name="DCF" sheetId="11" r:id="rId10"/>
    <sheet name="Ratio Analysis" sheetId="13" r:id="rId11"/>
    <sheet name="Analysis" sheetId="16" r:id="rId12"/>
    <sheet name="Report" sheetId="12" r:id="rId13"/>
    <sheet name="Equity Report" sheetId="14" r:id="rId14"/>
    <sheet name="Sheet1" sheetId="15" r:id="rId15"/>
  </sheets>
  <definedNames>
    <definedName name="BS">Statements!$B$45</definedName>
    <definedName name="CF">Statements!$B$102</definedName>
    <definedName name="days">Dashboard!$G$17</definedName>
    <definedName name="Debt">Schedule!$B$73</definedName>
    <definedName name="EF">Scenario!$B$30</definedName>
    <definedName name="Equity">Schedule!$B$86</definedName>
    <definedName name="IS">Statements!$B$17</definedName>
    <definedName name="PPE">Schedule!$B$13</definedName>
    <definedName name="_xlnm.Print_Area" localSheetId="13">'Equity Report'!$B$4:$L$67</definedName>
    <definedName name="RE">Schedule!$B$86</definedName>
    <definedName name="RF">Scenario!$B$13</definedName>
    <definedName name="WC">Schedule!$B$45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6" l="1"/>
  <c r="G34" i="16"/>
  <c r="G35" i="16"/>
  <c r="G36" i="16"/>
  <c r="G37" i="16"/>
  <c r="G40" i="16"/>
  <c r="G41" i="16"/>
  <c r="G42" i="16"/>
  <c r="G47" i="16"/>
  <c r="F34" i="16"/>
  <c r="F35" i="16"/>
  <c r="F36" i="16"/>
  <c r="F37" i="16"/>
  <c r="F40" i="16"/>
  <c r="F41" i="16"/>
  <c r="F42" i="16"/>
  <c r="F47" i="16"/>
  <c r="F30" i="16"/>
  <c r="F8" i="16"/>
  <c r="G8" i="16"/>
  <c r="F12" i="16"/>
  <c r="G12" i="16"/>
  <c r="F13" i="16"/>
  <c r="G13" i="16"/>
  <c r="F14" i="16"/>
  <c r="G14" i="16"/>
  <c r="F15" i="16"/>
  <c r="G15" i="16"/>
  <c r="F18" i="16"/>
  <c r="G18" i="16"/>
  <c r="F19" i="16"/>
  <c r="G19" i="16"/>
  <c r="F20" i="16"/>
  <c r="G20" i="16"/>
  <c r="F25" i="16"/>
  <c r="G25" i="16"/>
  <c r="E25" i="16"/>
  <c r="E20" i="16"/>
  <c r="E19" i="16"/>
  <c r="E15" i="16"/>
  <c r="E14" i="16"/>
  <c r="E13" i="16"/>
  <c r="E12" i="16"/>
  <c r="E18" i="16"/>
  <c r="E8" i="16"/>
  <c r="B4" i="16"/>
  <c r="B2" i="16"/>
  <c r="D65" i="14"/>
  <c r="E36" i="14" l="1"/>
  <c r="G36" i="14"/>
  <c r="C36" i="14"/>
  <c r="C32" i="14"/>
  <c r="C33" i="14"/>
  <c r="C31" i="14"/>
  <c r="L18" i="14"/>
  <c r="E33" i="11" l="1"/>
  <c r="E31" i="11"/>
  <c r="E30" i="11"/>
  <c r="E26" i="11"/>
  <c r="J5" i="13"/>
  <c r="G5" i="13"/>
  <c r="E39" i="11"/>
  <c r="F39" i="11" s="1"/>
  <c r="G39" i="11" s="1"/>
  <c r="H39" i="11" s="1"/>
  <c r="C45" i="11"/>
  <c r="C44" i="11" s="1"/>
  <c r="C43" i="11" s="1"/>
  <c r="C42" i="11" s="1"/>
  <c r="C41" i="11" s="1"/>
  <c r="C40" i="11" s="1"/>
  <c r="L13" i="6"/>
  <c r="P21" i="9"/>
  <c r="O21" i="9"/>
  <c r="B4" i="3"/>
  <c r="B4" i="2"/>
  <c r="B4" i="9"/>
  <c r="G6" i="3"/>
  <c r="J6" i="9"/>
  <c r="G6" i="9"/>
  <c r="C58" i="13"/>
  <c r="C59" i="13"/>
  <c r="C57" i="13"/>
  <c r="H39" i="13"/>
  <c r="I39" i="13"/>
  <c r="C42" i="14" s="1"/>
  <c r="G39" i="13"/>
  <c r="H38" i="13"/>
  <c r="I38" i="13"/>
  <c r="C41" i="14" s="1"/>
  <c r="G38" i="13"/>
  <c r="G6" i="13"/>
  <c r="D18" i="10"/>
  <c r="D20" i="10" s="1"/>
  <c r="L23" i="6"/>
  <c r="L24" i="6" s="1"/>
  <c r="L15" i="6"/>
  <c r="D64" i="6" l="1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15" i="6"/>
  <c r="J122" i="8"/>
  <c r="K122" i="8"/>
  <c r="L122" i="8"/>
  <c r="M122" i="8"/>
  <c r="I122" i="8"/>
  <c r="G32" i="8"/>
  <c r="H32" i="8"/>
  <c r="F32" i="8"/>
  <c r="E21" i="16" s="1"/>
  <c r="J131" i="8"/>
  <c r="K131" i="8"/>
  <c r="L131" i="8"/>
  <c r="M131" i="8"/>
  <c r="I131" i="8"/>
  <c r="F43" i="16" l="1"/>
  <c r="F21" i="16"/>
  <c r="G43" i="16"/>
  <c r="G21" i="16"/>
  <c r="L18" i="6"/>
  <c r="L21" i="6" s="1"/>
  <c r="D13" i="10" s="1"/>
  <c r="D14" i="10" s="1"/>
  <c r="J88" i="3"/>
  <c r="I138" i="8"/>
  <c r="I30" i="8"/>
  <c r="H41" i="16" s="1"/>
  <c r="J130" i="8"/>
  <c r="K130" i="8"/>
  <c r="L130" i="8"/>
  <c r="M130" i="8"/>
  <c r="I130" i="8"/>
  <c r="I90" i="8"/>
  <c r="J90" i="8" s="1"/>
  <c r="K90" i="8" s="1"/>
  <c r="L90" i="8" s="1"/>
  <c r="M90" i="8" s="1"/>
  <c r="I91" i="8"/>
  <c r="J91" i="8" s="1"/>
  <c r="K91" i="8" s="1"/>
  <c r="L91" i="8" s="1"/>
  <c r="M91" i="8" s="1"/>
  <c r="I92" i="8"/>
  <c r="J92" i="8" s="1"/>
  <c r="K92" i="8" s="1"/>
  <c r="L92" i="8" s="1"/>
  <c r="M92" i="8" s="1"/>
  <c r="I93" i="8"/>
  <c r="J93" i="8" s="1"/>
  <c r="K93" i="8" s="1"/>
  <c r="L93" i="8" s="1"/>
  <c r="M93" i="8" s="1"/>
  <c r="I94" i="8"/>
  <c r="J94" i="8" s="1"/>
  <c r="K94" i="8" s="1"/>
  <c r="L94" i="8" s="1"/>
  <c r="M94" i="8" s="1"/>
  <c r="I89" i="8"/>
  <c r="J89" i="8" s="1"/>
  <c r="K89" i="8" s="1"/>
  <c r="L89" i="8" s="1"/>
  <c r="M89" i="8" s="1"/>
  <c r="I88" i="8"/>
  <c r="J88" i="8" s="1"/>
  <c r="K88" i="8" s="1"/>
  <c r="L88" i="8" s="1"/>
  <c r="M88" i="8" s="1"/>
  <c r="G96" i="8"/>
  <c r="H96" i="8"/>
  <c r="D64" i="14" s="1"/>
  <c r="F96" i="8"/>
  <c r="I83" i="3"/>
  <c r="H83" i="3"/>
  <c r="J77" i="3"/>
  <c r="G84" i="8"/>
  <c r="H84" i="8"/>
  <c r="F84" i="8"/>
  <c r="G76" i="8"/>
  <c r="H76" i="8"/>
  <c r="F76" i="8"/>
  <c r="G65" i="8"/>
  <c r="H65" i="8"/>
  <c r="F65" i="8"/>
  <c r="G55" i="8"/>
  <c r="H55" i="8"/>
  <c r="F55" i="8"/>
  <c r="H56" i="3"/>
  <c r="I56" i="3"/>
  <c r="H57" i="3"/>
  <c r="I57" i="3"/>
  <c r="G57" i="3"/>
  <c r="G56" i="3"/>
  <c r="H49" i="3"/>
  <c r="I49" i="3"/>
  <c r="H50" i="3"/>
  <c r="H67" i="3" s="1"/>
  <c r="I50" i="3"/>
  <c r="I67" i="3" s="1"/>
  <c r="J67" i="3" s="1"/>
  <c r="H51" i="3"/>
  <c r="H68" i="3" s="1"/>
  <c r="I51" i="3"/>
  <c r="I68" i="3" s="1"/>
  <c r="J68" i="3" s="1"/>
  <c r="H52" i="3"/>
  <c r="H69" i="3" s="1"/>
  <c r="I52" i="3"/>
  <c r="I69" i="3" s="1"/>
  <c r="J69" i="3" s="1"/>
  <c r="G52" i="3"/>
  <c r="G69" i="3" s="1"/>
  <c r="G50" i="3"/>
  <c r="G67" i="3" s="1"/>
  <c r="G51" i="3"/>
  <c r="G68" i="3" s="1"/>
  <c r="G49" i="3"/>
  <c r="I81" i="8"/>
  <c r="J81" i="8" s="1"/>
  <c r="K81" i="8" s="1"/>
  <c r="L81" i="8" s="1"/>
  <c r="M81" i="8" s="1"/>
  <c r="I82" i="8"/>
  <c r="J82" i="8" s="1"/>
  <c r="K82" i="8" s="1"/>
  <c r="L82" i="8" s="1"/>
  <c r="M82" i="8" s="1"/>
  <c r="I83" i="8"/>
  <c r="J83" i="8" s="1"/>
  <c r="K83" i="8" s="1"/>
  <c r="L83" i="8" s="1"/>
  <c r="M83" i="8" s="1"/>
  <c r="I75" i="8"/>
  <c r="J75" i="8" s="1"/>
  <c r="K75" i="8" s="1"/>
  <c r="L75" i="8" s="1"/>
  <c r="M75" i="8" s="1"/>
  <c r="I74" i="8"/>
  <c r="J74" i="8" s="1"/>
  <c r="K74" i="8" s="1"/>
  <c r="L74" i="8" s="1"/>
  <c r="M74" i="8" s="1"/>
  <c r="I72" i="8"/>
  <c r="J72" i="8" s="1"/>
  <c r="K72" i="8" s="1"/>
  <c r="L72" i="8" s="1"/>
  <c r="M72" i="8" s="1"/>
  <c r="I71" i="8"/>
  <c r="J71" i="8" s="1"/>
  <c r="K71" i="8" s="1"/>
  <c r="L71" i="8" s="1"/>
  <c r="M71" i="8" s="1"/>
  <c r="I70" i="8"/>
  <c r="I63" i="8"/>
  <c r="J63" i="8" s="1"/>
  <c r="K63" i="8" s="1"/>
  <c r="L63" i="8" s="1"/>
  <c r="M63" i="8" s="1"/>
  <c r="I62" i="8"/>
  <c r="J62" i="8" s="1"/>
  <c r="K62" i="8" s="1"/>
  <c r="L62" i="8" s="1"/>
  <c r="M62" i="8" s="1"/>
  <c r="I54" i="8"/>
  <c r="J54" i="8" s="1"/>
  <c r="K54" i="8" s="1"/>
  <c r="L54" i="8" s="1"/>
  <c r="M54" i="8" s="1"/>
  <c r="I53" i="8"/>
  <c r="J53" i="8" s="1"/>
  <c r="K53" i="8" s="1"/>
  <c r="L53" i="8" s="1"/>
  <c r="M53" i="8" s="1"/>
  <c r="I52" i="8"/>
  <c r="J52" i="8" s="1"/>
  <c r="K52" i="8" s="1"/>
  <c r="L52" i="8" s="1"/>
  <c r="M52" i="8" s="1"/>
  <c r="I51" i="8"/>
  <c r="J51" i="8" s="1"/>
  <c r="K51" i="8" s="1"/>
  <c r="L51" i="8" s="1"/>
  <c r="M51" i="8" s="1"/>
  <c r="I50" i="8"/>
  <c r="J50" i="8" s="1"/>
  <c r="K50" i="8" s="1"/>
  <c r="L50" i="8" s="1"/>
  <c r="M50" i="8" s="1"/>
  <c r="G37" i="3"/>
  <c r="G18" i="3"/>
  <c r="G34" i="3"/>
  <c r="I39" i="3"/>
  <c r="I37" i="3" s="1"/>
  <c r="J39" i="3"/>
  <c r="H39" i="3"/>
  <c r="H34" i="3" s="1"/>
  <c r="H21" i="3"/>
  <c r="I21" i="3"/>
  <c r="G21" i="3"/>
  <c r="I23" i="3"/>
  <c r="I18" i="3" s="1"/>
  <c r="H23" i="3"/>
  <c r="H18" i="3" s="1"/>
  <c r="J23" i="3"/>
  <c r="I109" i="8" l="1"/>
  <c r="I125" i="8"/>
  <c r="F85" i="8"/>
  <c r="F98" i="8" s="1"/>
  <c r="G85" i="8"/>
  <c r="G98" i="8" s="1"/>
  <c r="H85" i="8"/>
  <c r="H98" i="8" s="1"/>
  <c r="H60" i="3"/>
  <c r="H66" i="3"/>
  <c r="H59" i="3"/>
  <c r="H61" i="3" s="1"/>
  <c r="I60" i="3"/>
  <c r="I66" i="3"/>
  <c r="J66" i="3" s="1"/>
  <c r="K66" i="3" s="1"/>
  <c r="I59" i="3"/>
  <c r="I61" i="3" s="1"/>
  <c r="I62" i="3" s="1"/>
  <c r="G66" i="3"/>
  <c r="G59" i="3"/>
  <c r="G60" i="3"/>
  <c r="H37" i="3"/>
  <c r="J37" i="3" s="1"/>
  <c r="K37" i="3" s="1"/>
  <c r="L37" i="3" s="1"/>
  <c r="M37" i="3" s="1"/>
  <c r="H66" i="8"/>
  <c r="F66" i="8"/>
  <c r="G66" i="8"/>
  <c r="J80" i="3"/>
  <c r="I73" i="8" s="1"/>
  <c r="I76" i="8" s="1"/>
  <c r="I34" i="3"/>
  <c r="J70" i="8"/>
  <c r="K67" i="3"/>
  <c r="K69" i="3"/>
  <c r="K68" i="3"/>
  <c r="K34" i="3"/>
  <c r="L34" i="3" s="1"/>
  <c r="M34" i="3" s="1"/>
  <c r="J33" i="3"/>
  <c r="J21" i="3"/>
  <c r="K21" i="3" s="1"/>
  <c r="J18" i="3"/>
  <c r="J40" i="3" l="1"/>
  <c r="J41" i="3" s="1"/>
  <c r="I123" i="8"/>
  <c r="G61" i="3"/>
  <c r="K77" i="3"/>
  <c r="K80" i="3" s="1"/>
  <c r="J83" i="3"/>
  <c r="K70" i="8"/>
  <c r="L67" i="3"/>
  <c r="L68" i="3"/>
  <c r="L69" i="3"/>
  <c r="L66" i="3"/>
  <c r="K18" i="3"/>
  <c r="L18" i="3" s="1"/>
  <c r="M18" i="3" s="1"/>
  <c r="J17" i="3"/>
  <c r="L21" i="3"/>
  <c r="G16" i="2"/>
  <c r="G17" i="2" s="1"/>
  <c r="H16" i="2"/>
  <c r="H17" i="2" s="1"/>
  <c r="F16" i="2"/>
  <c r="F17" i="2" s="1"/>
  <c r="G22" i="2"/>
  <c r="H22" i="2"/>
  <c r="F22" i="2"/>
  <c r="G19" i="2"/>
  <c r="H19" i="2"/>
  <c r="F19" i="2"/>
  <c r="G20" i="8"/>
  <c r="H20" i="8"/>
  <c r="G13" i="2"/>
  <c r="G14" i="2" s="1"/>
  <c r="H13" i="2"/>
  <c r="H14" i="2" s="1"/>
  <c r="F13" i="2"/>
  <c r="F14" i="2" s="1"/>
  <c r="G100" i="8"/>
  <c r="H100" i="8"/>
  <c r="F100" i="8"/>
  <c r="H53" i="9"/>
  <c r="I53" i="9"/>
  <c r="G53" i="9"/>
  <c r="H47" i="9"/>
  <c r="I47" i="9"/>
  <c r="G47" i="9"/>
  <c r="I43" i="8"/>
  <c r="J43" i="8" s="1"/>
  <c r="K43" i="8" s="1"/>
  <c r="L43" i="8" s="1"/>
  <c r="M43" i="8" s="1"/>
  <c r="H44" i="9"/>
  <c r="I44" i="9"/>
  <c r="G44" i="9"/>
  <c r="O44" i="9" s="1"/>
  <c r="H33" i="9"/>
  <c r="I33" i="9"/>
  <c r="G33" i="9"/>
  <c r="N27" i="9"/>
  <c r="N25" i="9"/>
  <c r="J25" i="9"/>
  <c r="J27" i="9"/>
  <c r="H21" i="8" l="1"/>
  <c r="G31" i="16"/>
  <c r="G9" i="16"/>
  <c r="G21" i="8"/>
  <c r="G27" i="8" s="1"/>
  <c r="F31" i="16"/>
  <c r="F9" i="16"/>
  <c r="G32" i="16"/>
  <c r="G10" i="16"/>
  <c r="F10" i="16"/>
  <c r="K39" i="3"/>
  <c r="K33" i="3" s="1"/>
  <c r="J36" i="3"/>
  <c r="J42" i="3" s="1"/>
  <c r="J43" i="3" s="1"/>
  <c r="I49" i="8" s="1"/>
  <c r="E23" i="11"/>
  <c r="I121" i="8"/>
  <c r="I45" i="9"/>
  <c r="H45" i="9"/>
  <c r="F20" i="8"/>
  <c r="J35" i="9"/>
  <c r="H27" i="8"/>
  <c r="I19" i="13"/>
  <c r="H19" i="13"/>
  <c r="O53" i="9"/>
  <c r="O47" i="9"/>
  <c r="L77" i="3"/>
  <c r="L80" i="3" s="1"/>
  <c r="J73" i="8"/>
  <c r="J76" i="8" s="1"/>
  <c r="K83" i="3"/>
  <c r="J24" i="3"/>
  <c r="J26" i="3" s="1"/>
  <c r="J20" i="3" s="1"/>
  <c r="H71" i="3"/>
  <c r="H70" i="3"/>
  <c r="L70" i="8"/>
  <c r="I70" i="3"/>
  <c r="J70" i="3" s="1"/>
  <c r="K70" i="3" s="1"/>
  <c r="L70" i="3" s="1"/>
  <c r="M70" i="3" s="1"/>
  <c r="N70" i="3" s="1"/>
  <c r="I71" i="3"/>
  <c r="J71" i="3" s="1"/>
  <c r="K71" i="3" s="1"/>
  <c r="L71" i="3" s="1"/>
  <c r="M71" i="3" s="1"/>
  <c r="N71" i="3" s="1"/>
  <c r="I17" i="2"/>
  <c r="J17" i="2" s="1"/>
  <c r="M67" i="3"/>
  <c r="M66" i="3"/>
  <c r="M69" i="3"/>
  <c r="M68" i="3"/>
  <c r="M21" i="3"/>
  <c r="I14" i="2"/>
  <c r="G71" i="3" l="1"/>
  <c r="E9" i="16"/>
  <c r="F16" i="16"/>
  <c r="C38" i="14"/>
  <c r="G16" i="16"/>
  <c r="G38" i="16"/>
  <c r="K23" i="3"/>
  <c r="K17" i="3" s="1"/>
  <c r="K40" i="3"/>
  <c r="K41" i="3" s="1"/>
  <c r="J123" i="8"/>
  <c r="I107" i="8"/>
  <c r="E21" i="11" s="1"/>
  <c r="G70" i="3"/>
  <c r="J34" i="9"/>
  <c r="J36" i="9"/>
  <c r="G34" i="8"/>
  <c r="H13" i="13"/>
  <c r="H24" i="13" s="1"/>
  <c r="H20" i="13"/>
  <c r="H12" i="13"/>
  <c r="F17" i="11"/>
  <c r="F19" i="11" s="1"/>
  <c r="H34" i="8"/>
  <c r="I13" i="13"/>
  <c r="I24" i="13" s="1"/>
  <c r="D63" i="14" s="1"/>
  <c r="I20" i="13"/>
  <c r="I12" i="13"/>
  <c r="G17" i="11"/>
  <c r="G19" i="11" s="1"/>
  <c r="M77" i="3"/>
  <c r="M80" i="3" s="1"/>
  <c r="K73" i="8"/>
  <c r="K76" i="8" s="1"/>
  <c r="K82" i="3"/>
  <c r="L83" i="3"/>
  <c r="L82" i="3" s="1"/>
  <c r="J27" i="3"/>
  <c r="J28" i="3" s="1"/>
  <c r="M70" i="8"/>
  <c r="N67" i="3"/>
  <c r="N68" i="3"/>
  <c r="N69" i="3"/>
  <c r="N66" i="3"/>
  <c r="N21" i="3"/>
  <c r="K17" i="2"/>
  <c r="J14" i="2"/>
  <c r="G23" i="16" l="1"/>
  <c r="G45" i="16"/>
  <c r="F23" i="16"/>
  <c r="L39" i="3"/>
  <c r="L33" i="3" s="1"/>
  <c r="K36" i="3"/>
  <c r="K42" i="3" s="1"/>
  <c r="K43" i="3" s="1"/>
  <c r="J49" i="8" s="1"/>
  <c r="I48" i="8"/>
  <c r="I55" i="8" s="1"/>
  <c r="F23" i="11"/>
  <c r="J121" i="8"/>
  <c r="H37" i="8"/>
  <c r="I21" i="13"/>
  <c r="G37" i="8"/>
  <c r="H21" i="13"/>
  <c r="M83" i="3"/>
  <c r="M82" i="3" s="1"/>
  <c r="L30" i="8" s="1"/>
  <c r="K30" i="8"/>
  <c r="J30" i="8"/>
  <c r="I41" i="16" s="1"/>
  <c r="N77" i="3"/>
  <c r="N80" i="3" s="1"/>
  <c r="M73" i="8" s="1"/>
  <c r="M76" i="8" s="1"/>
  <c r="L73" i="8"/>
  <c r="L76" i="8" s="1"/>
  <c r="K24" i="3"/>
  <c r="K26" i="3" s="1"/>
  <c r="L23" i="3" s="1"/>
  <c r="L17" i="3" s="1"/>
  <c r="L17" i="2"/>
  <c r="K14" i="2"/>
  <c r="K125" i="8" l="1"/>
  <c r="J41" i="16"/>
  <c r="K41" i="16"/>
  <c r="F26" i="16"/>
  <c r="G26" i="16"/>
  <c r="G48" i="16"/>
  <c r="L40" i="3"/>
  <c r="L41" i="3" s="1"/>
  <c r="K123" i="8"/>
  <c r="G23" i="11"/>
  <c r="K121" i="8"/>
  <c r="G40" i="8"/>
  <c r="H23" i="13"/>
  <c r="H22" i="13"/>
  <c r="H15" i="13"/>
  <c r="H40" i="8"/>
  <c r="C39" i="14" s="1"/>
  <c r="I23" i="13"/>
  <c r="D62" i="14" s="1"/>
  <c r="I22" i="13"/>
  <c r="D40" i="14" s="1"/>
  <c r="I15" i="13"/>
  <c r="N83" i="3"/>
  <c r="N82" i="3" s="1"/>
  <c r="M30" i="8" s="1"/>
  <c r="L41" i="16" s="1"/>
  <c r="J125" i="8"/>
  <c r="L109" i="8"/>
  <c r="L125" i="8"/>
  <c r="K20" i="3"/>
  <c r="K109" i="8"/>
  <c r="J109" i="8"/>
  <c r="L24" i="3"/>
  <c r="L26" i="3" s="1"/>
  <c r="M23" i="3" s="1"/>
  <c r="M17" i="3" s="1"/>
  <c r="M17" i="2"/>
  <c r="L14" i="2"/>
  <c r="L36" i="3" l="1"/>
  <c r="L42" i="3" s="1"/>
  <c r="L43" i="3" s="1"/>
  <c r="K49" i="8" s="1"/>
  <c r="M39" i="3"/>
  <c r="M33" i="3" s="1"/>
  <c r="H23" i="11" s="1"/>
  <c r="K27" i="3"/>
  <c r="K28" i="3" s="1"/>
  <c r="J107" i="8"/>
  <c r="F21" i="11" s="1"/>
  <c r="L121" i="8"/>
  <c r="M109" i="8"/>
  <c r="M125" i="8"/>
  <c r="L20" i="3"/>
  <c r="M24" i="3"/>
  <c r="M26" i="3" s="1"/>
  <c r="N23" i="3" s="1"/>
  <c r="N17" i="3" s="1"/>
  <c r="M14" i="2"/>
  <c r="L27" i="3" l="1"/>
  <c r="L28" i="3" s="1"/>
  <c r="K107" i="8"/>
  <c r="G21" i="11" s="1"/>
  <c r="M121" i="8"/>
  <c r="J48" i="8"/>
  <c r="J55" i="8" s="1"/>
  <c r="M40" i="3"/>
  <c r="M41" i="3" s="1"/>
  <c r="L123" i="8"/>
  <c r="M20" i="3"/>
  <c r="N24" i="3"/>
  <c r="N26" i="3" s="1"/>
  <c r="N20" i="3" s="1"/>
  <c r="N39" i="3"/>
  <c r="N33" i="3" s="1"/>
  <c r="M36" i="3"/>
  <c r="M42" i="3" s="1"/>
  <c r="M43" i="3" s="1"/>
  <c r="L49" i="8" s="1"/>
  <c r="N40" i="3" l="1"/>
  <c r="N41" i="3" s="1"/>
  <c r="N36" i="3" s="1"/>
  <c r="M123" i="8"/>
  <c r="K48" i="8"/>
  <c r="K55" i="8" s="1"/>
  <c r="M27" i="3"/>
  <c r="M28" i="3" s="1"/>
  <c r="L48" i="8" s="1"/>
  <c r="L107" i="8"/>
  <c r="H21" i="11" s="1"/>
  <c r="I23" i="11"/>
  <c r="N27" i="3"/>
  <c r="N28" i="3" s="1"/>
  <c r="M48" i="8" s="1"/>
  <c r="L55" i="8"/>
  <c r="K26" i="9"/>
  <c r="H18" i="9"/>
  <c r="I18" i="9"/>
  <c r="G18" i="9"/>
  <c r="L21" i="9"/>
  <c r="I22" i="9"/>
  <c r="C37" i="14" s="1"/>
  <c r="J22" i="9"/>
  <c r="E37" i="14" s="1"/>
  <c r="K22" i="9"/>
  <c r="G37" i="14" s="1"/>
  <c r="H22" i="9"/>
  <c r="F21" i="8"/>
  <c r="G7" i="3"/>
  <c r="N7" i="2"/>
  <c r="F7" i="2"/>
  <c r="O7" i="9"/>
  <c r="G7" i="9"/>
  <c r="E10" i="16" l="1"/>
  <c r="F32" i="16"/>
  <c r="N42" i="3"/>
  <c r="N43" i="3" s="1"/>
  <c r="M49" i="8" s="1"/>
  <c r="M55" i="8" s="1"/>
  <c r="M107" i="8"/>
  <c r="I21" i="11" s="1"/>
  <c r="L22" i="9"/>
  <c r="I37" i="14" s="1"/>
  <c r="I36" i="14"/>
  <c r="G24" i="9"/>
  <c r="G59" i="13"/>
  <c r="G56" i="13"/>
  <c r="G58" i="13"/>
  <c r="G57" i="13"/>
  <c r="O18" i="9"/>
  <c r="G39" i="9"/>
  <c r="G54" i="9"/>
  <c r="G48" i="9"/>
  <c r="C34" i="14"/>
  <c r="I57" i="13"/>
  <c r="I56" i="13"/>
  <c r="I58" i="13"/>
  <c r="I59" i="13"/>
  <c r="I39" i="9"/>
  <c r="I48" i="9"/>
  <c r="I54" i="9"/>
  <c r="H57" i="13"/>
  <c r="H56" i="13"/>
  <c r="H58" i="13"/>
  <c r="H59" i="13"/>
  <c r="H39" i="9"/>
  <c r="H48" i="9"/>
  <c r="H54" i="9"/>
  <c r="K27" i="9"/>
  <c r="K25" i="9"/>
  <c r="F27" i="8"/>
  <c r="G19" i="13"/>
  <c r="N21" i="8"/>
  <c r="H19" i="9"/>
  <c r="L26" i="9"/>
  <c r="I24" i="9"/>
  <c r="H24" i="9"/>
  <c r="I19" i="9"/>
  <c r="C35" i="14" s="1"/>
  <c r="M21" i="9"/>
  <c r="M22" i="9"/>
  <c r="F26" i="11"/>
  <c r="G26" i="11" s="1"/>
  <c r="H26" i="11" s="1"/>
  <c r="I26" i="11" s="1"/>
  <c r="E16" i="16" l="1"/>
  <c r="F38" i="16"/>
  <c r="J56" i="9"/>
  <c r="J57" i="9" s="1"/>
  <c r="J50" i="9"/>
  <c r="J51" i="9" s="1"/>
  <c r="J41" i="9"/>
  <c r="L27" i="9"/>
  <c r="L25" i="9"/>
  <c r="F34" i="8"/>
  <c r="E17" i="11"/>
  <c r="E19" i="11" s="1"/>
  <c r="G13" i="13"/>
  <c r="G24" i="13" s="1"/>
  <c r="G20" i="13"/>
  <c r="G12" i="13"/>
  <c r="N27" i="8"/>
  <c r="G20" i="2"/>
  <c r="H14" i="13" s="1"/>
  <c r="H20" i="2"/>
  <c r="I14" i="13" s="1"/>
  <c r="M26" i="9"/>
  <c r="N22" i="9"/>
  <c r="H6" i="13"/>
  <c r="I6" i="13" s="1"/>
  <c r="J6" i="13" s="1"/>
  <c r="K6" i="13" s="1"/>
  <c r="L6" i="13" s="1"/>
  <c r="M6" i="13" s="1"/>
  <c r="N6" i="13" s="1"/>
  <c r="D5" i="13"/>
  <c r="B4" i="13"/>
  <c r="B2" i="13"/>
  <c r="D5" i="11"/>
  <c r="D5" i="10"/>
  <c r="D5" i="6"/>
  <c r="D5" i="3"/>
  <c r="D5" i="2"/>
  <c r="H12" i="10"/>
  <c r="H14" i="10" s="1"/>
  <c r="F20" i="2" l="1"/>
  <c r="G14" i="13" s="1"/>
  <c r="E23" i="16"/>
  <c r="F45" i="16"/>
  <c r="J49" i="9"/>
  <c r="J55" i="9"/>
  <c r="M27" i="9"/>
  <c r="M25" i="9"/>
  <c r="J40" i="9"/>
  <c r="J42" i="9"/>
  <c r="H15" i="10"/>
  <c r="H19" i="10" s="1"/>
  <c r="H18" i="10"/>
  <c r="F37" i="8"/>
  <c r="G21" i="13"/>
  <c r="N34" i="8"/>
  <c r="H26" i="2"/>
  <c r="H23" i="2"/>
  <c r="G26" i="2"/>
  <c r="G23" i="2"/>
  <c r="I20" i="2" l="1"/>
  <c r="E26" i="16"/>
  <c r="F48" i="16"/>
  <c r="G22" i="13"/>
  <c r="G15" i="13"/>
  <c r="G23" i="13"/>
  <c r="N37" i="8"/>
  <c r="F40" i="8"/>
  <c r="F23" i="2"/>
  <c r="I23" i="2" s="1"/>
  <c r="J20" i="2"/>
  <c r="K20" i="2" s="1"/>
  <c r="B4" i="11"/>
  <c r="B2" i="11"/>
  <c r="B4" i="10"/>
  <c r="B2" i="10"/>
  <c r="B4" i="6"/>
  <c r="B2" i="6"/>
  <c r="F26" i="2" l="1"/>
  <c r="I26" i="2" s="1"/>
  <c r="J26" i="2" s="1"/>
  <c r="K26" i="2" s="1"/>
  <c r="L26" i="2" s="1"/>
  <c r="N40" i="8"/>
  <c r="L20" i="2"/>
  <c r="M20" i="2" s="1"/>
  <c r="J23" i="2"/>
  <c r="K23" i="2" s="1"/>
  <c r="H7" i="3"/>
  <c r="I7" i="3" s="1"/>
  <c r="J7" i="3" s="1"/>
  <c r="K7" i="3" s="1"/>
  <c r="L7" i="3" s="1"/>
  <c r="M7" i="3" s="1"/>
  <c r="N7" i="3" s="1"/>
  <c r="G7" i="2"/>
  <c r="H7" i="2" s="1"/>
  <c r="I7" i="2" s="1"/>
  <c r="J7" i="2" s="1"/>
  <c r="K7" i="2" s="1"/>
  <c r="L7" i="2" s="1"/>
  <c r="M7" i="2" s="1"/>
  <c r="H20" i="10" l="1"/>
  <c r="E12" i="11" s="1"/>
  <c r="L23" i="2"/>
  <c r="M23" i="2" s="1"/>
  <c r="M26" i="2"/>
  <c r="H7" i="9"/>
  <c r="I7" i="9" s="1"/>
  <c r="J7" i="9" s="1"/>
  <c r="K7" i="9" s="1"/>
  <c r="L7" i="9" s="1"/>
  <c r="M7" i="9" s="1"/>
  <c r="N7" i="9" s="1"/>
  <c r="G8" i="1"/>
  <c r="D5" i="9"/>
  <c r="J33" i="9" s="1"/>
  <c r="J32" i="9" s="1"/>
  <c r="B2" i="9"/>
  <c r="J39" i="9" l="1"/>
  <c r="J54" i="9"/>
  <c r="J48" i="9"/>
  <c r="K35" i="9"/>
  <c r="J24" i="9"/>
  <c r="J18" i="9" s="1"/>
  <c r="K24" i="9"/>
  <c r="K18" i="9" s="1"/>
  <c r="L24" i="9"/>
  <c r="L18" i="9" s="1"/>
  <c r="M24" i="9"/>
  <c r="M18" i="9" s="1"/>
  <c r="M56" i="13" s="1"/>
  <c r="N24" i="9"/>
  <c r="N18" i="9" s="1"/>
  <c r="N56" i="13" s="1"/>
  <c r="B2" i="3"/>
  <c r="B2" i="2"/>
  <c r="D5" i="8"/>
  <c r="B4" i="8"/>
  <c r="B2" i="8"/>
  <c r="G7" i="8"/>
  <c r="H7" i="8" s="1"/>
  <c r="I7" i="8" s="1"/>
  <c r="G14" i="1" s="1"/>
  <c r="L56" i="13" l="1"/>
  <c r="I34" i="14"/>
  <c r="J56" i="13"/>
  <c r="E34" i="14"/>
  <c r="K56" i="13"/>
  <c r="G34" i="14"/>
  <c r="J47" i="9"/>
  <c r="J53" i="9"/>
  <c r="J38" i="9"/>
  <c r="J44" i="9" s="1"/>
  <c r="K19" i="8"/>
  <c r="L16" i="9"/>
  <c r="L17" i="9"/>
  <c r="L19" i="9"/>
  <c r="I35" i="14" s="1"/>
  <c r="L15" i="9"/>
  <c r="L19" i="8"/>
  <c r="M16" i="9"/>
  <c r="M58" i="13" s="1"/>
  <c r="M19" i="9"/>
  <c r="M15" i="9"/>
  <c r="M57" i="13" s="1"/>
  <c r="M17" i="9"/>
  <c r="M59" i="13" s="1"/>
  <c r="M19" i="8"/>
  <c r="N16" i="9"/>
  <c r="N58" i="13" s="1"/>
  <c r="N15" i="9"/>
  <c r="N57" i="13" s="1"/>
  <c r="N17" i="9"/>
  <c r="N59" i="13" s="1"/>
  <c r="N19" i="9"/>
  <c r="J19" i="8"/>
  <c r="K17" i="9"/>
  <c r="K16" i="9"/>
  <c r="K15" i="9"/>
  <c r="P18" i="9"/>
  <c r="I19" i="8"/>
  <c r="H30" i="16" s="1"/>
  <c r="J15" i="9"/>
  <c r="J17" i="9"/>
  <c r="K19" i="9"/>
  <c r="G35" i="14" s="1"/>
  <c r="J19" i="9"/>
  <c r="E35" i="14" s="1"/>
  <c r="J16" i="9"/>
  <c r="K50" i="9"/>
  <c r="K56" i="9"/>
  <c r="K41" i="9"/>
  <c r="K34" i="9"/>
  <c r="K36" i="9"/>
  <c r="J7" i="8"/>
  <c r="K7" i="8" s="1"/>
  <c r="L7" i="8" s="1"/>
  <c r="M7" i="8" s="1"/>
  <c r="G15" i="1" s="1"/>
  <c r="G16" i="1" s="1"/>
  <c r="E15" i="11"/>
  <c r="F15" i="11" s="1"/>
  <c r="G15" i="11" s="1"/>
  <c r="H15" i="11" s="1"/>
  <c r="I15" i="11" s="1"/>
  <c r="J30" i="16" l="1"/>
  <c r="L30" i="16"/>
  <c r="K30" i="16"/>
  <c r="I30" i="16"/>
  <c r="J43" i="13"/>
  <c r="F65" i="14" s="1"/>
  <c r="H8" i="16"/>
  <c r="H19" i="16"/>
  <c r="H15" i="16"/>
  <c r="H20" i="16"/>
  <c r="J20" i="16"/>
  <c r="J8" i="16"/>
  <c r="J19" i="16"/>
  <c r="J15" i="16"/>
  <c r="L20" i="16"/>
  <c r="L8" i="16"/>
  <c r="L19" i="16"/>
  <c r="L15" i="16"/>
  <c r="K20" i="16"/>
  <c r="K8" i="16"/>
  <c r="K19" i="16"/>
  <c r="K15" i="16"/>
  <c r="I20" i="16"/>
  <c r="I8" i="16"/>
  <c r="I19" i="16"/>
  <c r="I15" i="16"/>
  <c r="J58" i="13"/>
  <c r="E32" i="14"/>
  <c r="L59" i="13"/>
  <c r="I33" i="14"/>
  <c r="L58" i="13"/>
  <c r="I32" i="14"/>
  <c r="J59" i="13"/>
  <c r="E33" i="14"/>
  <c r="J57" i="13"/>
  <c r="E31" i="14"/>
  <c r="K57" i="13"/>
  <c r="G31" i="14"/>
  <c r="K58" i="13"/>
  <c r="G32" i="14"/>
  <c r="K59" i="13"/>
  <c r="G33" i="14"/>
  <c r="L57" i="13"/>
  <c r="I31" i="14"/>
  <c r="M43" i="13"/>
  <c r="K43" i="13"/>
  <c r="H65" i="14" s="1"/>
  <c r="L43" i="13"/>
  <c r="J65" i="14" s="1"/>
  <c r="N43" i="13"/>
  <c r="N49" i="3"/>
  <c r="N52" i="3"/>
  <c r="M64" i="8" s="1"/>
  <c r="N51" i="3"/>
  <c r="M61" i="8" s="1"/>
  <c r="N50" i="3"/>
  <c r="M60" i="8" s="1"/>
  <c r="M16" i="2"/>
  <c r="M29" i="8" s="1"/>
  <c r="M13" i="2"/>
  <c r="M23" i="8" s="1"/>
  <c r="M51" i="3"/>
  <c r="L61" i="8" s="1"/>
  <c r="M52" i="3"/>
  <c r="L64" i="8" s="1"/>
  <c r="M49" i="3"/>
  <c r="M50" i="3"/>
  <c r="L60" i="8" s="1"/>
  <c r="L16" i="2"/>
  <c r="L29" i="8" s="1"/>
  <c r="L13" i="2"/>
  <c r="L23" i="8" s="1"/>
  <c r="K50" i="3"/>
  <c r="J60" i="8" s="1"/>
  <c r="K49" i="3"/>
  <c r="K52" i="3"/>
  <c r="J64" i="8" s="1"/>
  <c r="K51" i="3"/>
  <c r="J61" i="8" s="1"/>
  <c r="J16" i="2"/>
  <c r="J29" i="8" s="1"/>
  <c r="J13" i="2"/>
  <c r="J23" i="8" s="1"/>
  <c r="L49" i="3"/>
  <c r="L52" i="3"/>
  <c r="K64" i="8" s="1"/>
  <c r="L51" i="3"/>
  <c r="K61" i="8" s="1"/>
  <c r="L50" i="3"/>
  <c r="K60" i="8" s="1"/>
  <c r="K16" i="2"/>
  <c r="K29" i="8" s="1"/>
  <c r="K13" i="2"/>
  <c r="K23" i="8" s="1"/>
  <c r="J49" i="3"/>
  <c r="J52" i="3"/>
  <c r="I64" i="8" s="1"/>
  <c r="J51" i="3"/>
  <c r="I61" i="8" s="1"/>
  <c r="J50" i="3"/>
  <c r="I60" i="8" s="1"/>
  <c r="I13" i="2"/>
  <c r="I23" i="8" s="1"/>
  <c r="I16" i="2"/>
  <c r="I29" i="8" s="1"/>
  <c r="K33" i="9"/>
  <c r="J45" i="9"/>
  <c r="I20" i="8"/>
  <c r="I24" i="8"/>
  <c r="K40" i="9"/>
  <c r="K42" i="9"/>
  <c r="I25" i="8"/>
  <c r="K55" i="9"/>
  <c r="K57" i="9"/>
  <c r="K49" i="9"/>
  <c r="K51" i="9"/>
  <c r="K12" i="16" l="1"/>
  <c r="K34" i="16"/>
  <c r="H14" i="16"/>
  <c r="H36" i="16"/>
  <c r="J18" i="16"/>
  <c r="J40" i="16"/>
  <c r="H9" i="16"/>
  <c r="H31" i="16"/>
  <c r="H18" i="16"/>
  <c r="H40" i="16"/>
  <c r="I12" i="16"/>
  <c r="I34" i="16"/>
  <c r="L12" i="16"/>
  <c r="L34" i="16"/>
  <c r="J12" i="16"/>
  <c r="J34" i="16"/>
  <c r="K18" i="16"/>
  <c r="K40" i="16"/>
  <c r="H13" i="16"/>
  <c r="H35" i="16"/>
  <c r="H12" i="16"/>
  <c r="H34" i="16"/>
  <c r="I18" i="16"/>
  <c r="I40" i="16"/>
  <c r="L18" i="16"/>
  <c r="L40" i="16"/>
  <c r="M115" i="8"/>
  <c r="M113" i="8"/>
  <c r="L35" i="9"/>
  <c r="M35" i="9" s="1"/>
  <c r="M34" i="9" s="1"/>
  <c r="K32" i="9"/>
  <c r="L113" i="8"/>
  <c r="K108" i="8"/>
  <c r="K124" i="8"/>
  <c r="K126" i="8" s="1"/>
  <c r="K32" i="8"/>
  <c r="L108" i="8"/>
  <c r="L32" i="8"/>
  <c r="L124" i="8"/>
  <c r="L126" i="8" s="1"/>
  <c r="K133" i="8"/>
  <c r="K110" i="8"/>
  <c r="L115" i="8"/>
  <c r="K59" i="8"/>
  <c r="L59" i="3"/>
  <c r="J133" i="8"/>
  <c r="J110" i="8"/>
  <c r="M108" i="8"/>
  <c r="M32" i="8"/>
  <c r="M124" i="8"/>
  <c r="M126" i="8" s="1"/>
  <c r="J59" i="8"/>
  <c r="K59" i="3"/>
  <c r="L133" i="8"/>
  <c r="L110" i="8"/>
  <c r="L59" i="8"/>
  <c r="M59" i="3"/>
  <c r="L114" i="8"/>
  <c r="M114" i="8"/>
  <c r="M133" i="8"/>
  <c r="M110" i="8"/>
  <c r="J108" i="8"/>
  <c r="J124" i="8"/>
  <c r="J126" i="8" s="1"/>
  <c r="J32" i="8"/>
  <c r="K114" i="8"/>
  <c r="K115" i="8"/>
  <c r="K113" i="8"/>
  <c r="M59" i="8"/>
  <c r="N59" i="3"/>
  <c r="I32" i="8"/>
  <c r="I124" i="8"/>
  <c r="I126" i="8" s="1"/>
  <c r="I108" i="8"/>
  <c r="I133" i="8"/>
  <c r="I110" i="8"/>
  <c r="I114" i="8"/>
  <c r="J114" i="8"/>
  <c r="I113" i="8"/>
  <c r="J113" i="8"/>
  <c r="J115" i="8"/>
  <c r="I115" i="8"/>
  <c r="I59" i="8"/>
  <c r="J59" i="3"/>
  <c r="K39" i="9"/>
  <c r="K38" i="9" s="1"/>
  <c r="K54" i="9"/>
  <c r="K53" i="9" s="1"/>
  <c r="J25" i="8" s="1"/>
  <c r="K48" i="9"/>
  <c r="K47" i="9" s="1"/>
  <c r="J24" i="8" s="1"/>
  <c r="I21" i="8"/>
  <c r="J56" i="3"/>
  <c r="J57" i="3"/>
  <c r="I80" i="8" s="1"/>
  <c r="I117" i="8" s="1"/>
  <c r="H10" i="16" l="1"/>
  <c r="H32" i="16"/>
  <c r="L21" i="16"/>
  <c r="L43" i="16"/>
  <c r="J21" i="16"/>
  <c r="J43" i="16"/>
  <c r="I14" i="16"/>
  <c r="I36" i="16"/>
  <c r="I21" i="16"/>
  <c r="I43" i="16"/>
  <c r="K21" i="16"/>
  <c r="K43" i="16"/>
  <c r="H21" i="16"/>
  <c r="H43" i="16"/>
  <c r="I13" i="16"/>
  <c r="I35" i="16"/>
  <c r="N35" i="9"/>
  <c r="N34" i="9" s="1"/>
  <c r="N33" i="9" s="1"/>
  <c r="N32" i="9" s="1"/>
  <c r="I27" i="8"/>
  <c r="J19" i="13"/>
  <c r="L36" i="9"/>
  <c r="K44" i="9"/>
  <c r="K45" i="9" s="1"/>
  <c r="L34" i="9"/>
  <c r="L33" i="9" s="1"/>
  <c r="L32" i="9" s="1"/>
  <c r="M36" i="9"/>
  <c r="M33" i="9" s="1"/>
  <c r="M32" i="9" s="1"/>
  <c r="L112" i="8"/>
  <c r="M112" i="8"/>
  <c r="K112" i="8"/>
  <c r="L41" i="9"/>
  <c r="L40" i="9" s="1"/>
  <c r="I112" i="8"/>
  <c r="J112" i="8"/>
  <c r="L56" i="9"/>
  <c r="L55" i="9" s="1"/>
  <c r="L50" i="9"/>
  <c r="L51" i="9" s="1"/>
  <c r="I79" i="8"/>
  <c r="J60" i="3"/>
  <c r="J61" i="3" s="1"/>
  <c r="J62" i="3" s="1"/>
  <c r="J45" i="13" s="1"/>
  <c r="H16" i="16" l="1"/>
  <c r="H38" i="16"/>
  <c r="J20" i="13"/>
  <c r="E38" i="14"/>
  <c r="N36" i="9"/>
  <c r="E22" i="11"/>
  <c r="I34" i="8"/>
  <c r="H17" i="11"/>
  <c r="H19" i="11" s="1"/>
  <c r="J12" i="13"/>
  <c r="J14" i="13"/>
  <c r="J25" i="13" s="1"/>
  <c r="J13" i="13"/>
  <c r="J20" i="8"/>
  <c r="I31" i="16" s="1"/>
  <c r="L57" i="9"/>
  <c r="L42" i="9"/>
  <c r="L39" i="9" s="1"/>
  <c r="L38" i="9" s="1"/>
  <c r="L44" i="9" s="1"/>
  <c r="M41" i="9"/>
  <c r="M42" i="9" s="1"/>
  <c r="L54" i="9"/>
  <c r="L53" i="9" s="1"/>
  <c r="K25" i="8" s="1"/>
  <c r="M56" i="9"/>
  <c r="N56" i="9" s="1"/>
  <c r="L49" i="9"/>
  <c r="L48" i="9" s="1"/>
  <c r="L47" i="9" s="1"/>
  <c r="K24" i="8" s="1"/>
  <c r="I84" i="8"/>
  <c r="I85" i="8" s="1"/>
  <c r="I116" i="8"/>
  <c r="H23" i="16" l="1"/>
  <c r="H45" i="16"/>
  <c r="J13" i="16"/>
  <c r="J35" i="16"/>
  <c r="J14" i="16"/>
  <c r="J36" i="16"/>
  <c r="K57" i="3"/>
  <c r="J80" i="8" s="1"/>
  <c r="J117" i="8" s="1"/>
  <c r="I9" i="16"/>
  <c r="J21" i="13"/>
  <c r="I19" i="2"/>
  <c r="I36" i="8" s="1"/>
  <c r="H47" i="16" s="1"/>
  <c r="N41" i="9"/>
  <c r="N42" i="9" s="1"/>
  <c r="K56" i="3"/>
  <c r="J21" i="8"/>
  <c r="L45" i="9"/>
  <c r="K20" i="8"/>
  <c r="J31" i="16" s="1"/>
  <c r="M40" i="9"/>
  <c r="M39" i="9" s="1"/>
  <c r="M38" i="9" s="1"/>
  <c r="M44" i="9" s="1"/>
  <c r="L20" i="8" s="1"/>
  <c r="M57" i="9"/>
  <c r="M55" i="9"/>
  <c r="M54" i="9" s="1"/>
  <c r="M53" i="9" s="1"/>
  <c r="L25" i="8" s="1"/>
  <c r="M50" i="9"/>
  <c r="M49" i="9" s="1"/>
  <c r="N57" i="9"/>
  <c r="N55" i="9"/>
  <c r="N54" i="9" s="1"/>
  <c r="N53" i="9" s="1"/>
  <c r="K14" i="16" l="1"/>
  <c r="K36" i="16"/>
  <c r="K9" i="16"/>
  <c r="K31" i="16"/>
  <c r="I10" i="16"/>
  <c r="I32" i="16"/>
  <c r="K60" i="3"/>
  <c r="K61" i="3" s="1"/>
  <c r="K62" i="3" s="1"/>
  <c r="K45" i="13" s="1"/>
  <c r="K21" i="8"/>
  <c r="K27" i="8" s="1"/>
  <c r="J9" i="16"/>
  <c r="I37" i="8"/>
  <c r="H48" i="16" s="1"/>
  <c r="H25" i="16"/>
  <c r="N40" i="9"/>
  <c r="N39" i="9" s="1"/>
  <c r="N38" i="9" s="1"/>
  <c r="N44" i="9" s="1"/>
  <c r="P44" i="9" s="1"/>
  <c r="J27" i="8"/>
  <c r="I38" i="16" s="1"/>
  <c r="K19" i="13"/>
  <c r="M45" i="9"/>
  <c r="J79" i="8"/>
  <c r="J84" i="8" s="1"/>
  <c r="J85" i="8" s="1"/>
  <c r="L57" i="3"/>
  <c r="K80" i="8" s="1"/>
  <c r="K117" i="8" s="1"/>
  <c r="L56" i="3"/>
  <c r="K79" i="8" s="1"/>
  <c r="M51" i="9"/>
  <c r="M48" i="9"/>
  <c r="M47" i="9" s="1"/>
  <c r="L24" i="8" s="1"/>
  <c r="M25" i="8"/>
  <c r="P53" i="9"/>
  <c r="L21" i="8"/>
  <c r="M56" i="3"/>
  <c r="M57" i="3"/>
  <c r="L80" i="8" s="1"/>
  <c r="F22" i="11" l="1"/>
  <c r="J16" i="16"/>
  <c r="J38" i="16"/>
  <c r="I22" i="2"/>
  <c r="I39" i="8" s="1"/>
  <c r="I97" i="8" s="1"/>
  <c r="L14" i="16"/>
  <c r="L36" i="16"/>
  <c r="J15" i="13"/>
  <c r="K13" i="16"/>
  <c r="K35" i="16"/>
  <c r="J10" i="16"/>
  <c r="J32" i="16"/>
  <c r="K32" i="16"/>
  <c r="I105" i="8"/>
  <c r="I118" i="8" s="1"/>
  <c r="L19" i="13"/>
  <c r="J22" i="13"/>
  <c r="F40" i="14" s="1"/>
  <c r="H26" i="16"/>
  <c r="M19" i="13"/>
  <c r="K10" i="16"/>
  <c r="G38" i="14"/>
  <c r="I16" i="16"/>
  <c r="L12" i="13"/>
  <c r="I38" i="14"/>
  <c r="K20" i="13"/>
  <c r="I17" i="11"/>
  <c r="I19" i="11" s="1"/>
  <c r="K13" i="13"/>
  <c r="K14" i="13"/>
  <c r="K25" i="13" s="1"/>
  <c r="K12" i="13"/>
  <c r="J34" i="8"/>
  <c r="I45" i="16" s="1"/>
  <c r="K34" i="8"/>
  <c r="L13" i="13"/>
  <c r="L14" i="13"/>
  <c r="L25" i="13" s="1"/>
  <c r="L20" i="13"/>
  <c r="J116" i="8"/>
  <c r="M20" i="8"/>
  <c r="L31" i="16" s="1"/>
  <c r="L117" i="8"/>
  <c r="L60" i="3"/>
  <c r="L61" i="3" s="1"/>
  <c r="L62" i="3" s="1"/>
  <c r="N45" i="9"/>
  <c r="N50" i="9"/>
  <c r="N51" i="9" s="1"/>
  <c r="L79" i="8"/>
  <c r="M60" i="3"/>
  <c r="M61" i="3" s="1"/>
  <c r="L27" i="8"/>
  <c r="K116" i="8"/>
  <c r="K84" i="8"/>
  <c r="K85" i="8" s="1"/>
  <c r="E24" i="11"/>
  <c r="E28" i="11" s="1"/>
  <c r="K16" i="16" l="1"/>
  <c r="K38" i="16"/>
  <c r="J23" i="16"/>
  <c r="J45" i="16"/>
  <c r="I40" i="8"/>
  <c r="E39" i="14" s="1"/>
  <c r="N57" i="3"/>
  <c r="M80" i="8" s="1"/>
  <c r="M117" i="8" s="1"/>
  <c r="L9" i="16"/>
  <c r="J19" i="2"/>
  <c r="J36" i="8" s="1"/>
  <c r="I47" i="16" s="1"/>
  <c r="I23" i="16"/>
  <c r="M20" i="13"/>
  <c r="J89" i="3"/>
  <c r="I25" i="2"/>
  <c r="J39" i="13" s="1"/>
  <c r="E42" i="14" s="1"/>
  <c r="L21" i="13"/>
  <c r="K21" i="13"/>
  <c r="G22" i="11"/>
  <c r="L45" i="13"/>
  <c r="N56" i="3"/>
  <c r="M79" i="8" s="1"/>
  <c r="M21" i="8"/>
  <c r="L32" i="16" s="1"/>
  <c r="K19" i="2"/>
  <c r="K36" i="8" s="1"/>
  <c r="M62" i="3"/>
  <c r="M45" i="13" s="1"/>
  <c r="M13" i="13"/>
  <c r="M14" i="13"/>
  <c r="M25" i="13" s="1"/>
  <c r="L34" i="8"/>
  <c r="M12" i="13"/>
  <c r="N49" i="9"/>
  <c r="N48" i="9" s="1"/>
  <c r="N47" i="9" s="1"/>
  <c r="M24" i="8" s="1"/>
  <c r="L116" i="8"/>
  <c r="L84" i="8"/>
  <c r="L85" i="8" s="1"/>
  <c r="J49" i="13"/>
  <c r="F24" i="11"/>
  <c r="F28" i="11" s="1"/>
  <c r="J47" i="16" l="1"/>
  <c r="K23" i="16"/>
  <c r="K45" i="16"/>
  <c r="L13" i="16"/>
  <c r="L35" i="16"/>
  <c r="I42" i="8"/>
  <c r="J38" i="13" s="1"/>
  <c r="E41" i="14" s="1"/>
  <c r="K37" i="8"/>
  <c r="K105" i="8" s="1"/>
  <c r="K118" i="8" s="1"/>
  <c r="J25" i="16"/>
  <c r="N19" i="13"/>
  <c r="L10" i="16"/>
  <c r="J37" i="8"/>
  <c r="I48" i="16" s="1"/>
  <c r="I25" i="16"/>
  <c r="J90" i="3"/>
  <c r="I132" i="8" s="1"/>
  <c r="I134" i="8" s="1"/>
  <c r="H22" i="11"/>
  <c r="N60" i="3"/>
  <c r="N61" i="3" s="1"/>
  <c r="N62" i="3" s="1"/>
  <c r="I22" i="11" s="1"/>
  <c r="O21" i="8"/>
  <c r="M27" i="8"/>
  <c r="L38" i="16" s="1"/>
  <c r="L19" i="2"/>
  <c r="L36" i="8" s="1"/>
  <c r="K47" i="16" s="1"/>
  <c r="M21" i="13"/>
  <c r="P47" i="9"/>
  <c r="M116" i="8"/>
  <c r="M84" i="8"/>
  <c r="M85" i="8" s="1"/>
  <c r="J26" i="16" l="1"/>
  <c r="J48" i="16"/>
  <c r="K22" i="2"/>
  <c r="K39" i="8" s="1"/>
  <c r="K40" i="8" s="1"/>
  <c r="K25" i="2" s="1"/>
  <c r="L90" i="3" s="1"/>
  <c r="K132" i="8" s="1"/>
  <c r="K134" i="8" s="1"/>
  <c r="L22" i="13"/>
  <c r="J40" i="14" s="1"/>
  <c r="L15" i="13"/>
  <c r="L37" i="8"/>
  <c r="K25" i="16"/>
  <c r="I26" i="16"/>
  <c r="J22" i="2"/>
  <c r="J39" i="8" s="1"/>
  <c r="K15" i="13"/>
  <c r="K22" i="13"/>
  <c r="J105" i="8"/>
  <c r="J118" i="8" s="1"/>
  <c r="N13" i="13"/>
  <c r="L16" i="16"/>
  <c r="J91" i="3"/>
  <c r="K88" i="3" s="1"/>
  <c r="N45" i="13"/>
  <c r="N20" i="13"/>
  <c r="M34" i="8"/>
  <c r="N14" i="13"/>
  <c r="N25" i="13" s="1"/>
  <c r="O27" i="8"/>
  <c r="N12" i="13"/>
  <c r="G24" i="11"/>
  <c r="G28" i="11" s="1"/>
  <c r="H24" i="11"/>
  <c r="H28" i="11" s="1"/>
  <c r="K42" i="8" l="1"/>
  <c r="L38" i="13" s="1"/>
  <c r="I41" i="14" s="1"/>
  <c r="L89" i="3"/>
  <c r="I39" i="14"/>
  <c r="K26" i="16"/>
  <c r="K48" i="16"/>
  <c r="L23" i="16"/>
  <c r="L45" i="16"/>
  <c r="M22" i="13"/>
  <c r="M49" i="13" s="1"/>
  <c r="M15" i="13"/>
  <c r="L105" i="8"/>
  <c r="L118" i="8" s="1"/>
  <c r="L22" i="2"/>
  <c r="L39" i="8" s="1"/>
  <c r="L40" i="8" s="1"/>
  <c r="H40" i="14"/>
  <c r="K49" i="13"/>
  <c r="J97" i="8"/>
  <c r="K97" i="8" s="1"/>
  <c r="J40" i="8"/>
  <c r="L39" i="13"/>
  <c r="I42" i="14" s="1"/>
  <c r="I95" i="8"/>
  <c r="I96" i="8" s="1"/>
  <c r="J24" i="13" s="1"/>
  <c r="F63" i="14" s="1"/>
  <c r="N21" i="13"/>
  <c r="M19" i="2"/>
  <c r="M36" i="8" s="1"/>
  <c r="L47" i="16" s="1"/>
  <c r="O34" i="8"/>
  <c r="L49" i="13"/>
  <c r="I24" i="11"/>
  <c r="L97" i="8" l="1"/>
  <c r="M37" i="8"/>
  <c r="L48" i="16" s="1"/>
  <c r="L25" i="16"/>
  <c r="G39" i="14"/>
  <c r="J42" i="8"/>
  <c r="K38" i="13" s="1"/>
  <c r="G41" i="14" s="1"/>
  <c r="K89" i="3"/>
  <c r="J25" i="2"/>
  <c r="L25" i="2"/>
  <c r="M90" i="3" s="1"/>
  <c r="L132" i="8" s="1"/>
  <c r="L134" i="8" s="1"/>
  <c r="I27" i="11"/>
  <c r="I28" i="11" s="1"/>
  <c r="E29" i="11" s="1" a="1"/>
  <c r="E29" i="11" s="1"/>
  <c r="E32" i="11" s="1"/>
  <c r="E34" i="11" s="1"/>
  <c r="I98" i="8"/>
  <c r="J30" i="13"/>
  <c r="F64" i="14" s="1"/>
  <c r="J23" i="13"/>
  <c r="F62" i="14" s="1"/>
  <c r="M89" i="3"/>
  <c r="L42" i="8"/>
  <c r="M38" i="13" s="1"/>
  <c r="N15" i="13" l="1"/>
  <c r="L26" i="16"/>
  <c r="M22" i="2"/>
  <c r="M39" i="8" s="1"/>
  <c r="M40" i="8" s="1"/>
  <c r="N89" i="3" s="1"/>
  <c r="K39" i="13"/>
  <c r="G42" i="14" s="1"/>
  <c r="K90" i="3"/>
  <c r="J132" i="8" s="1"/>
  <c r="J134" i="8" s="1"/>
  <c r="M105" i="8"/>
  <c r="M118" i="8" s="1"/>
  <c r="O37" i="8"/>
  <c r="N22" i="13"/>
  <c r="M39" i="13"/>
  <c r="I10" i="11"/>
  <c r="L19" i="14" s="1"/>
  <c r="C39" i="11"/>
  <c r="M42" i="8"/>
  <c r="N38" i="13" s="1"/>
  <c r="M25" i="2" l="1"/>
  <c r="N39" i="13" s="1"/>
  <c r="O40" i="8"/>
  <c r="M97" i="8"/>
  <c r="K91" i="3"/>
  <c r="N90" i="3" l="1"/>
  <c r="M132" i="8" s="1"/>
  <c r="M134" i="8" s="1"/>
  <c r="L88" i="3"/>
  <c r="L91" i="3" s="1"/>
  <c r="J95" i="8"/>
  <c r="J96" i="8" s="1"/>
  <c r="N49" i="13"/>
  <c r="M88" i="3" l="1"/>
  <c r="M91" i="3" s="1"/>
  <c r="K95" i="8"/>
  <c r="K96" i="8" s="1"/>
  <c r="J98" i="8"/>
  <c r="K24" i="13"/>
  <c r="H63" i="14" s="1"/>
  <c r="K23" i="13"/>
  <c r="H62" i="14" s="1"/>
  <c r="K30" i="13"/>
  <c r="H64" i="14" s="1"/>
  <c r="L23" i="13" l="1"/>
  <c r="J62" i="14" s="1"/>
  <c r="L24" i="13"/>
  <c r="J63" i="14" s="1"/>
  <c r="L30" i="13"/>
  <c r="J64" i="14" s="1"/>
  <c r="K98" i="8"/>
  <c r="N88" i="3"/>
  <c r="N91" i="3" s="1"/>
  <c r="M95" i="8" s="1"/>
  <c r="M96" i="8" s="1"/>
  <c r="L95" i="8"/>
  <c r="L96" i="8" s="1"/>
  <c r="I136" i="8"/>
  <c r="I139" i="8" s="1"/>
  <c r="M30" i="13" l="1"/>
  <c r="M24" i="13"/>
  <c r="L98" i="8"/>
  <c r="M23" i="13"/>
  <c r="N24" i="13"/>
  <c r="M98" i="8"/>
  <c r="N23" i="13"/>
  <c r="N30" i="13"/>
  <c r="J138" i="8"/>
  <c r="I58" i="8"/>
  <c r="M136" i="8"/>
  <c r="K136" i="8"/>
  <c r="J136" i="8"/>
  <c r="L136" i="8"/>
  <c r="J33" i="13" l="1"/>
  <c r="J34" i="13"/>
  <c r="I65" i="8"/>
  <c r="I66" i="8" s="1"/>
  <c r="J51" i="13" s="1"/>
  <c r="J139" i="8"/>
  <c r="K138" i="8" s="1"/>
  <c r="K139" i="8" s="1"/>
  <c r="J31" i="13" l="1"/>
  <c r="J44" i="13"/>
  <c r="J50" i="13" s="1"/>
  <c r="J52" i="13" s="1"/>
  <c r="J32" i="13"/>
  <c r="I100" i="8"/>
  <c r="J26" i="13"/>
  <c r="J58" i="8"/>
  <c r="L138" i="8"/>
  <c r="L139" i="8" s="1"/>
  <c r="K58" i="8"/>
  <c r="L33" i="13" l="1"/>
  <c r="L34" i="13"/>
  <c r="K33" i="13"/>
  <c r="K34" i="13"/>
  <c r="K65" i="8"/>
  <c r="L32" i="13" s="1"/>
  <c r="J65" i="8"/>
  <c r="K32" i="13" s="1"/>
  <c r="M138" i="8"/>
  <c r="M139" i="8" s="1"/>
  <c r="M58" i="8" s="1"/>
  <c r="L58" i="8"/>
  <c r="M33" i="13" l="1"/>
  <c r="M34" i="13"/>
  <c r="N33" i="13"/>
  <c r="N34" i="13"/>
  <c r="K66" i="8"/>
  <c r="L51" i="13" s="1"/>
  <c r="J66" i="8"/>
  <c r="K51" i="13" s="1"/>
  <c r="L65" i="8"/>
  <c r="M32" i="13" s="1"/>
  <c r="M65" i="8"/>
  <c r="N32" i="13" s="1"/>
  <c r="K100" i="8" l="1"/>
  <c r="L26" i="13"/>
  <c r="K26" i="13"/>
  <c r="J100" i="8"/>
  <c r="L31" i="13"/>
  <c r="K31" i="13"/>
  <c r="L44" i="13"/>
  <c r="L50" i="13" s="1"/>
  <c r="L52" i="13" s="1"/>
  <c r="K44" i="13"/>
  <c r="K50" i="13" s="1"/>
  <c r="K52" i="13" s="1"/>
  <c r="L66" i="8"/>
  <c r="M66" i="8"/>
  <c r="M100" i="8" l="1"/>
  <c r="N51" i="13"/>
  <c r="M26" i="13"/>
  <c r="M51" i="13"/>
  <c r="M31" i="13"/>
  <c r="N44" i="13"/>
  <c r="N50" i="13" s="1"/>
  <c r="M44" i="13"/>
  <c r="M50" i="13" s="1"/>
  <c r="L100" i="8"/>
  <c r="N31" i="13"/>
  <c r="N26" i="13"/>
  <c r="N52" i="13" l="1"/>
  <c r="M52" i="13"/>
</calcChain>
</file>

<file path=xl/sharedStrings.xml><?xml version="1.0" encoding="utf-8"?>
<sst xmlns="http://schemas.openxmlformats.org/spreadsheetml/2006/main" count="573" uniqueCount="414">
  <si>
    <t>Company Name</t>
  </si>
  <si>
    <t>Date</t>
  </si>
  <si>
    <t>Forecast</t>
  </si>
  <si>
    <t>\</t>
  </si>
  <si>
    <t>Units:</t>
  </si>
  <si>
    <t>Ticker</t>
  </si>
  <si>
    <t>Selected Scenario</t>
  </si>
  <si>
    <t>Model Start Date</t>
  </si>
  <si>
    <t>Model End Date</t>
  </si>
  <si>
    <t>No. of Years Projected</t>
  </si>
  <si>
    <t>Years</t>
  </si>
  <si>
    <t>Days</t>
  </si>
  <si>
    <t>Days in an Year</t>
  </si>
  <si>
    <t>Assumptions</t>
  </si>
  <si>
    <t>Notes</t>
  </si>
  <si>
    <t>Model Assumption</t>
  </si>
  <si>
    <t>Templete:</t>
  </si>
  <si>
    <t>Period type:</t>
  </si>
  <si>
    <t>Source:</t>
  </si>
  <si>
    <t xml:space="preserve">Decimals: </t>
  </si>
  <si>
    <t>Standard</t>
  </si>
  <si>
    <t>Annual</t>
  </si>
  <si>
    <t>Currency:</t>
  </si>
  <si>
    <t>Company Website</t>
  </si>
  <si>
    <t>Default</t>
  </si>
  <si>
    <t>CAGR</t>
  </si>
  <si>
    <t>Dashboard</t>
  </si>
  <si>
    <t>#</t>
  </si>
  <si>
    <t>Income statement</t>
  </si>
  <si>
    <t>Financial statements</t>
  </si>
  <si>
    <t>Scenario</t>
  </si>
  <si>
    <t xml:space="preserve">Revenue Forecast </t>
  </si>
  <si>
    <t>Active Scenario</t>
  </si>
  <si>
    <t>Street</t>
  </si>
  <si>
    <t>25A - 30E</t>
  </si>
  <si>
    <t>26E - 30E</t>
  </si>
  <si>
    <t>Expenses forecast</t>
  </si>
  <si>
    <t>Schedule</t>
  </si>
  <si>
    <t>Working capital schedule</t>
  </si>
  <si>
    <t>Financials</t>
  </si>
  <si>
    <t>Statements</t>
  </si>
  <si>
    <t>&lt;-Back to dashboard</t>
  </si>
  <si>
    <t>Valuation</t>
  </si>
  <si>
    <t>FCFF</t>
  </si>
  <si>
    <t>WACC</t>
  </si>
  <si>
    <t>Beta</t>
  </si>
  <si>
    <t>&lt;- Go back to the top</t>
  </si>
  <si>
    <t>Go to -&gt;</t>
  </si>
  <si>
    <t>Balance statement</t>
  </si>
  <si>
    <t>Revenue forecast</t>
  </si>
  <si>
    <t>Expense forecast</t>
  </si>
  <si>
    <t>PPE and intangibles</t>
  </si>
  <si>
    <t>Working capital</t>
  </si>
  <si>
    <t>Report</t>
  </si>
  <si>
    <t>Price</t>
  </si>
  <si>
    <t>Returns</t>
  </si>
  <si>
    <t>Beta Drifting</t>
  </si>
  <si>
    <t>Levered beta</t>
  </si>
  <si>
    <t xml:space="preserve">Raw beta weight </t>
  </si>
  <si>
    <t>Market beta</t>
  </si>
  <si>
    <t>Raw beta weight</t>
  </si>
  <si>
    <t>Calculated beta</t>
  </si>
  <si>
    <t>Adjusted beta</t>
  </si>
  <si>
    <t>Cost of Equity</t>
  </si>
  <si>
    <t>Risk free rate</t>
  </si>
  <si>
    <t>Total years</t>
  </si>
  <si>
    <r>
      <t xml:space="preserve">Market returns </t>
    </r>
    <r>
      <rPr>
        <b/>
        <i/>
        <sz val="10"/>
        <color theme="1"/>
        <rFont val="Arial"/>
        <family val="2"/>
      </rPr>
      <t>(%)</t>
    </r>
  </si>
  <si>
    <t>Cost of equity</t>
  </si>
  <si>
    <t>Cost of Debt</t>
  </si>
  <si>
    <t>Pre-tax cost of debt</t>
  </si>
  <si>
    <t>Tax Rate</t>
  </si>
  <si>
    <t>Post-tax cost of debt</t>
  </si>
  <si>
    <t>Capital Structure</t>
  </si>
  <si>
    <t>Total Capital</t>
  </si>
  <si>
    <t xml:space="preserve">Cost of Equity </t>
  </si>
  <si>
    <t>EBIT</t>
  </si>
  <si>
    <r>
      <t xml:space="preserve">Tax rate </t>
    </r>
    <r>
      <rPr>
        <i/>
        <sz val="10"/>
        <color theme="1"/>
        <rFont val="Arial"/>
        <family val="2"/>
      </rPr>
      <t>(%)</t>
    </r>
  </si>
  <si>
    <t>NOPAT</t>
  </si>
  <si>
    <t>Add: Depreciation and Amortisation</t>
  </si>
  <si>
    <t>Less: Capital Expenditure</t>
  </si>
  <si>
    <t>Free Cash Flow to Firm</t>
  </si>
  <si>
    <t>Discount Factor</t>
  </si>
  <si>
    <t>Valuation parameters</t>
  </si>
  <si>
    <t>Valuation as on specified date</t>
  </si>
  <si>
    <t>Date of year ending</t>
  </si>
  <si>
    <t xml:space="preserve">Terminal growth rate </t>
  </si>
  <si>
    <t>Less: Debt</t>
  </si>
  <si>
    <t>Add: Cash</t>
  </si>
  <si>
    <t>Current Share Price</t>
  </si>
  <si>
    <t>Sensitivity Analysis</t>
  </si>
  <si>
    <t>Terminal growth rate</t>
  </si>
  <si>
    <t>Table of Contents</t>
  </si>
  <si>
    <t>Particulars</t>
  </si>
  <si>
    <t>Ratio Analysis</t>
  </si>
  <si>
    <t>EBITDA</t>
  </si>
  <si>
    <t>Profitability ratio</t>
  </si>
  <si>
    <t>PBT Margin</t>
  </si>
  <si>
    <t>PAT Margin</t>
  </si>
  <si>
    <t xml:space="preserve">ROE </t>
  </si>
  <si>
    <t>ROCE</t>
  </si>
  <si>
    <t>ROIC</t>
  </si>
  <si>
    <t>ROA</t>
  </si>
  <si>
    <t>Operating Margin (OPM)</t>
  </si>
  <si>
    <t>Gross Margin (GM)</t>
  </si>
  <si>
    <t>PAT</t>
  </si>
  <si>
    <t>Leverage Ratio</t>
  </si>
  <si>
    <t>Debt to Equity</t>
  </si>
  <si>
    <t>Debt to Asset</t>
  </si>
  <si>
    <t>Valuation Ratio</t>
  </si>
  <si>
    <t>Current Ratio</t>
  </si>
  <si>
    <t>Quick Ratio</t>
  </si>
  <si>
    <t>Cash Ratio</t>
  </si>
  <si>
    <t>Operating Ratio</t>
  </si>
  <si>
    <t>Fixed Asset Turnover</t>
  </si>
  <si>
    <t>Total Asset Turnover</t>
  </si>
  <si>
    <t>Working Capital Turnover</t>
  </si>
  <si>
    <t>Dupoint Analysis</t>
  </si>
  <si>
    <t>Profit Margin</t>
  </si>
  <si>
    <t>Asset Turnover</t>
  </si>
  <si>
    <t>Asset Leverage</t>
  </si>
  <si>
    <t>Dupont ROE</t>
  </si>
  <si>
    <t>Equity Report</t>
  </si>
  <si>
    <t>Debt Schedule</t>
  </si>
  <si>
    <t>Equity schedule</t>
  </si>
  <si>
    <t>Revenue</t>
  </si>
  <si>
    <t>Cost of Sales</t>
  </si>
  <si>
    <t>Gross Profit</t>
  </si>
  <si>
    <t>Other Income</t>
  </si>
  <si>
    <t>General and administrative expenses</t>
  </si>
  <si>
    <t>Selling and distribution expenses</t>
  </si>
  <si>
    <t>Impairment loss on PPE &amp; intangible assets</t>
  </si>
  <si>
    <t>Operating Income</t>
  </si>
  <si>
    <t>Finance income</t>
  </si>
  <si>
    <t>Finance costs</t>
  </si>
  <si>
    <t>Foreign exchange loss</t>
  </si>
  <si>
    <t>Net finance loss</t>
  </si>
  <si>
    <t>Profit Before Tax</t>
  </si>
  <si>
    <t>Income tax expense</t>
  </si>
  <si>
    <t>Profit After Tax</t>
  </si>
  <si>
    <t>Non controlling Interest</t>
  </si>
  <si>
    <t>Net Income to Common</t>
  </si>
  <si>
    <t>Diluted EPS</t>
  </si>
  <si>
    <t>No. of Equity Shares</t>
  </si>
  <si>
    <t>Borouge PLC</t>
  </si>
  <si>
    <t>BOROUGE</t>
  </si>
  <si>
    <t>23A - 25A</t>
  </si>
  <si>
    <t>Polyethylene</t>
  </si>
  <si>
    <t>Polypropylene</t>
  </si>
  <si>
    <t>Ethylene and others</t>
  </si>
  <si>
    <t>Net Revenue</t>
  </si>
  <si>
    <t>Sales Volume (ktpa)</t>
  </si>
  <si>
    <t>Sales Volume growth%</t>
  </si>
  <si>
    <t>Price per unit ($/ktpa)</t>
  </si>
  <si>
    <t>Cost of production and other related costs</t>
  </si>
  <si>
    <t>Staff costs</t>
  </si>
  <si>
    <t xml:space="preserve">Optimistic </t>
  </si>
  <si>
    <t>Pessimistic</t>
  </si>
  <si>
    <t>Cost of production as a % of Sales volume</t>
  </si>
  <si>
    <t>Staff costs as a % of revenue</t>
  </si>
  <si>
    <t>Total Cost of Sales</t>
  </si>
  <si>
    <t>yoy Revenue Growth (%)</t>
  </si>
  <si>
    <t>yoy Total cost of sales (%)</t>
  </si>
  <si>
    <t>G&amp;A expenses as a % of revenue</t>
  </si>
  <si>
    <t>S&amp;D expenses as a % of revenue</t>
  </si>
  <si>
    <t>Non Current Assets</t>
  </si>
  <si>
    <t>Property Plant &amp; Equipment</t>
  </si>
  <si>
    <t>Intangible Assets</t>
  </si>
  <si>
    <t>Right-of-use assets</t>
  </si>
  <si>
    <t>Investment in Sublease</t>
  </si>
  <si>
    <t>Amounts due from related parties</t>
  </si>
  <si>
    <t>Loans to employees</t>
  </si>
  <si>
    <t>Deferred tax assets</t>
  </si>
  <si>
    <t>Total Non Curent Assets</t>
  </si>
  <si>
    <t>Current Assets</t>
  </si>
  <si>
    <t>Cash &amp; Cash Equivalents</t>
  </si>
  <si>
    <t>Inventories</t>
  </si>
  <si>
    <t>Trade Receivables</t>
  </si>
  <si>
    <t>Investments in sublease</t>
  </si>
  <si>
    <t>Prepayments and other receivables</t>
  </si>
  <si>
    <t>Total Current Assets</t>
  </si>
  <si>
    <t>Total Assets</t>
  </si>
  <si>
    <t>Shareholder's Equity &amp; Liabilites</t>
  </si>
  <si>
    <t>Non-current liabilities</t>
  </si>
  <si>
    <t>Provision for employees benefits</t>
  </si>
  <si>
    <t>Lease liabilities</t>
  </si>
  <si>
    <t>Deferred tax liability</t>
  </si>
  <si>
    <t>Bank loans</t>
  </si>
  <si>
    <t>Derivative financial instruments</t>
  </si>
  <si>
    <t>Amounts due to related parties</t>
  </si>
  <si>
    <t>Total Non Current liabilites</t>
  </si>
  <si>
    <t>Current Liabilites</t>
  </si>
  <si>
    <t>Trade and other payables</t>
  </si>
  <si>
    <t>Income tax payable</t>
  </si>
  <si>
    <t xml:space="preserve">Provisions for employees </t>
  </si>
  <si>
    <t>Total Current Liabilites</t>
  </si>
  <si>
    <t>Total Liabilites</t>
  </si>
  <si>
    <t>Equity</t>
  </si>
  <si>
    <t>Share capital</t>
  </si>
  <si>
    <t>Merger reserve</t>
  </si>
  <si>
    <t>Restricted reserve</t>
  </si>
  <si>
    <t>Capital reserve</t>
  </si>
  <si>
    <t>Cash flow hedge reserve</t>
  </si>
  <si>
    <t>Actuarial reserve</t>
  </si>
  <si>
    <t>Translation reserve</t>
  </si>
  <si>
    <t>Retained Earnings</t>
  </si>
  <si>
    <t>Total Equity</t>
  </si>
  <si>
    <t>NCI</t>
  </si>
  <si>
    <t>Total Equity &amp; Liabilities</t>
  </si>
  <si>
    <t>Check</t>
  </si>
  <si>
    <t>Other income as a % of revenue</t>
  </si>
  <si>
    <t>Income taxes</t>
  </si>
  <si>
    <t>Income taxes as a % of PBT</t>
  </si>
  <si>
    <t xml:space="preserve">Non-controlling interests </t>
  </si>
  <si>
    <t>NCI as a % of PAT</t>
  </si>
  <si>
    <t>Finance Income</t>
  </si>
  <si>
    <t>Finance income as a % of revenue</t>
  </si>
  <si>
    <t>Dividends issued</t>
  </si>
  <si>
    <t>Dividends issued as a % of Net income</t>
  </si>
  <si>
    <t>CapEx as a % of Gross PPE</t>
  </si>
  <si>
    <t>Depreciation on PPE</t>
  </si>
  <si>
    <t xml:space="preserve">Additions to PPE </t>
  </si>
  <si>
    <t>Disposal of PPE</t>
  </si>
  <si>
    <t>Closing balance of Gross PPE</t>
  </si>
  <si>
    <t>Accumulated depreciation</t>
  </si>
  <si>
    <t>Closing balance of Net PPE block</t>
  </si>
  <si>
    <t>Depreciation as a % of Closing gross PPE</t>
  </si>
  <si>
    <t>Intangible assets</t>
  </si>
  <si>
    <t>Property, plant and equipment</t>
  </si>
  <si>
    <t xml:space="preserve">Capex on intangible assets </t>
  </si>
  <si>
    <t xml:space="preserve">CapEx on PPE </t>
  </si>
  <si>
    <t>Capex as a % of gross intangibles</t>
  </si>
  <si>
    <t>Amortisation of intangible assets</t>
  </si>
  <si>
    <t>Opening balalnce of Gross PPE</t>
  </si>
  <si>
    <t>Opening balance of intangible assets</t>
  </si>
  <si>
    <t>Additions to intangible assets</t>
  </si>
  <si>
    <t>Closing balance of intangible assets</t>
  </si>
  <si>
    <t>Accumulated amortisation</t>
  </si>
  <si>
    <t>Closing balance of Net intangible assets</t>
  </si>
  <si>
    <t>Amortisation as a % of gross closing intangibles</t>
  </si>
  <si>
    <t>Current assets</t>
  </si>
  <si>
    <t>Current liabilities</t>
  </si>
  <si>
    <t>Turnover ratio</t>
  </si>
  <si>
    <t>Operating Activities</t>
  </si>
  <si>
    <t>Net income</t>
  </si>
  <si>
    <t>Add/Less: Non-cash items</t>
  </si>
  <si>
    <t>Depreciation and Amortisation</t>
  </si>
  <si>
    <t>Other income</t>
  </si>
  <si>
    <t>Change in working capital</t>
  </si>
  <si>
    <t>Investing activities</t>
  </si>
  <si>
    <t>Proceeds from purchase of PPE</t>
  </si>
  <si>
    <t>Proceeds from disposal of PPE</t>
  </si>
  <si>
    <t>Cash flow from investing activities</t>
  </si>
  <si>
    <t>Financing activities</t>
  </si>
  <si>
    <t>Proceeds from issuance of new debt</t>
  </si>
  <si>
    <t>Proceeds from repayment of debt</t>
  </si>
  <si>
    <t>Dividends paid for the year</t>
  </si>
  <si>
    <t>Cash flow from financing activities</t>
  </si>
  <si>
    <t>Net cash flow for the year</t>
  </si>
  <si>
    <t>Cash at the beginning of the year</t>
  </si>
  <si>
    <t>Cash at the end of the year</t>
  </si>
  <si>
    <t>Opening balance of debt</t>
  </si>
  <si>
    <t>Issuance of new debt</t>
  </si>
  <si>
    <t>Repayment of debt</t>
  </si>
  <si>
    <t>Closing balance of debt</t>
  </si>
  <si>
    <t>Interest Rate</t>
  </si>
  <si>
    <t>Opening balance of retained earnings</t>
  </si>
  <si>
    <t>Add: Net income</t>
  </si>
  <si>
    <t>Less: Dividends paid for the year</t>
  </si>
  <si>
    <t>Closing balance of retained earnings</t>
  </si>
  <si>
    <t>Revolver (drawn)/Paid</t>
  </si>
  <si>
    <t>Change in WC</t>
  </si>
  <si>
    <t>Total Working capital</t>
  </si>
  <si>
    <t>Cash flow from operating activities</t>
  </si>
  <si>
    <t>FTSE ADX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</si>
  <si>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</si>
  <si>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</si>
  <si>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</si>
  <si>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</si>
  <si>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</si>
  <si>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</si>
  <si>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</si>
  <si>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</si>
  <si>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</si>
  <si>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</si>
  <si>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</si>
  <si>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</si>
  <si>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</si>
  <si>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</si>
  <si>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</si>
  <si>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</si>
  <si>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</si>
  <si>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</si>
  <si>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</si>
  <si>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</si>
  <si>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</si>
  <si>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</si>
  <si>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</si>
  <si>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</si>
  <si>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Date/Year</t>
  </si>
  <si>
    <t>EPS ($)</t>
  </si>
  <si>
    <t>DPS ($)</t>
  </si>
  <si>
    <t>Sales Volume to Revenue</t>
  </si>
  <si>
    <t>Revenue Analysis</t>
  </si>
  <si>
    <t>Historicals</t>
  </si>
  <si>
    <t>Projections</t>
  </si>
  <si>
    <t xml:space="preserve">Year </t>
  </si>
  <si>
    <t>Cash Flow Statement</t>
  </si>
  <si>
    <t>Balance Sheet</t>
  </si>
  <si>
    <t>Income Statement</t>
  </si>
  <si>
    <t>Property, plant, and equipment, Intangible schedule</t>
  </si>
  <si>
    <t>(The historical data starts from 12/06/2022 to 01/03/2026)</t>
  </si>
  <si>
    <t>Equity risk premium</t>
  </si>
  <si>
    <t>Country risk premium</t>
  </si>
  <si>
    <t>(Using Interest expense/Total debt)</t>
  </si>
  <si>
    <t>Equity Value</t>
  </si>
  <si>
    <t>Total Debt</t>
  </si>
  <si>
    <t>Total debt / Total cap</t>
  </si>
  <si>
    <t>Equity value / Total cap</t>
  </si>
  <si>
    <t>Sl.No</t>
  </si>
  <si>
    <t>Add/Less: Change in NWC</t>
  </si>
  <si>
    <t>Terminal Value</t>
  </si>
  <si>
    <t>Enterprise Value</t>
  </si>
  <si>
    <t>PV of Equity</t>
  </si>
  <si>
    <t>PV of FCFF</t>
  </si>
  <si>
    <t>No. of Outstanding Shares</t>
  </si>
  <si>
    <t>Price Per Share</t>
  </si>
  <si>
    <t>Implied Share Price</t>
  </si>
  <si>
    <t>Borouge PLC - Equity Research Paper</t>
  </si>
  <si>
    <t>Company Overview</t>
  </si>
  <si>
    <t>UAE | Manufacturing | Petrochemicals &amp; Polyolefins</t>
  </si>
  <si>
    <t>Key Financial Data</t>
  </si>
  <si>
    <t>Ticker:</t>
  </si>
  <si>
    <t>Sector:</t>
  </si>
  <si>
    <t>Rating:</t>
  </si>
  <si>
    <t>Manufacuting</t>
  </si>
  <si>
    <t>Petrochemicals &amp; Polyolefins</t>
  </si>
  <si>
    <t>Overvalued</t>
  </si>
  <si>
    <t>Market Cap (AEDb):</t>
  </si>
  <si>
    <t>Implied Price (AED):</t>
  </si>
  <si>
    <t>Revenue FY25:</t>
  </si>
  <si>
    <t>Net Profit FY25:</t>
  </si>
  <si>
    <t>Annual Dividends:</t>
  </si>
  <si>
    <t xml:space="preserve">Borouge PLC is a leading petrochemical company that provides innovative and differentiated polyolefin solutions for the energy, infrastructure, </t>
  </si>
  <si>
    <t xml:space="preserve">mobility, advanced, packaging, healthcare and agriculture industries. The business was established in 1998, as a strategic partnership between </t>
  </si>
  <si>
    <t>the Abu Dhabi National Oil Company (ADNOC) and Borealis, one of the world’s leading providers of advanced and sustainable polyolefin solutions.</t>
  </si>
  <si>
    <t>Ownership structure</t>
  </si>
  <si>
    <t>ADNOC (Abu Dhabi)54%</t>
  </si>
  <si>
    <t>Borealis Group (Austria / OMV)36%</t>
  </si>
  <si>
    <t>Public float (ADX-listed)10%</t>
  </si>
  <si>
    <t>IPO raised (June 2022)$2.0B</t>
  </si>
  <si>
    <t>Key operational facts</t>
  </si>
  <si>
    <t>Production complexRuwais, UAE</t>
  </si>
  <si>
    <t>S&amp;M headquartersSingapore</t>
  </si>
  <si>
    <t>Employees~6,000+</t>
  </si>
  <si>
    <t>Current production capacity~5.0M tonnes/yr</t>
  </si>
  <si>
    <t>Target capacity (2028)6.6M tonnes/yr</t>
  </si>
  <si>
    <t>Sales by sector</t>
  </si>
  <si>
    <t>Energy &amp; infrastructure40%</t>
  </si>
  <si>
    <t>Advanced packaging25%</t>
  </si>
  <si>
    <t>Mobility (automotive)15%</t>
  </si>
  <si>
    <t>Healthcare &amp; agriculture12%</t>
  </si>
  <si>
    <t>Other8%</t>
  </si>
  <si>
    <t>Export regions (Q4 FY2024 sales volume)</t>
  </si>
  <si>
    <t>Asia Pacific63%</t>
  </si>
  <si>
    <t>Middle East &amp; Africa30%</t>
  </si>
  <si>
    <t>Europe &amp; other7%</t>
  </si>
  <si>
    <t>Current Share Price (AED):</t>
  </si>
  <si>
    <t>Key Growth Drivers</t>
  </si>
  <si>
    <t>Borouge 4 — 28% capacity addition</t>
  </si>
  <si>
    <t>Borealis merger — transformational scale</t>
  </si>
  <si>
    <t xml:space="preserve">The merger with Borealis Group (announced March 2025) creates Borouge Group International — one of the world's top 3 polyolefin producers. </t>
  </si>
  <si>
    <t>Combined capacity of 13.6M tonnes/year with $500M in annual cost and commercial synergies. The merged entity targets $7B in group EBITDA,</t>
  </si>
  <si>
    <t>nearly 3x Borouge's standalone FY2024 EBITDA.</t>
  </si>
  <si>
    <t>Risks</t>
  </si>
  <si>
    <t>Financial Summary</t>
  </si>
  <si>
    <t>Net Income</t>
  </si>
  <si>
    <t>Sales Growth (YoY%)</t>
  </si>
  <si>
    <t>Volume Growth (YoY%)</t>
  </si>
  <si>
    <t>EPS (AED)</t>
  </si>
  <si>
    <t>DPS (AED)</t>
  </si>
  <si>
    <t>Net Income Growth (YoY%)</t>
  </si>
  <si>
    <t xml:space="preserve">China is by far the largest single market. A sustained slowdown in Chinese manufacturing, construction, or infrastructure spending directly reduces </t>
  </si>
  <si>
    <t xml:space="preserve">Borouge's volumes and forces price concessions to maintain market share. The 2023–2024 period already showed pressure from Chinese domestic </t>
  </si>
  <si>
    <t>overcapacity in polyolefins, with new domestic capacity from Sinopec and PetroChina continuing to come online through 2026.</t>
  </si>
  <si>
    <t xml:space="preserve">flow ($1.57B in FY2024) and ADNOC's balance sheet backing, but it means the dividend is funded partly from working capital and debt rather than </t>
  </si>
  <si>
    <t>purely from earnings. Any cyclical dip in profitability (lower polymer prices) creates dividend sustainability risk.</t>
  </si>
  <si>
    <t>The $1.3B annual dividend exceeds FY2024 net profit of $1.74B — a payout ratio of 106%. This is sustainable short-term given strong free cash</t>
  </si>
  <si>
    <t xml:space="preserve">High Payout Ratio </t>
  </si>
  <si>
    <t>Low float - 10% public shareholding</t>
  </si>
  <si>
    <t>China Concentration - 63% of sales</t>
  </si>
  <si>
    <t xml:space="preserve">Only 10% of shares are in free float (ADNOC 54%, Borealis 36%). This creates thin trading liquidity — large institutional positions are difficult to </t>
  </si>
  <si>
    <t xml:space="preserve">build or exit without moving the price. The low float also explains the relatively muted market response to strong earnings and the stock's </t>
  </si>
  <si>
    <t>underperformance vs the broader ADX market over the past 12 months.</t>
  </si>
  <si>
    <t xml:space="preserve">The Borouge 4 expansion adds 1.4 million tonnes of annual production capacity, bringing total </t>
  </si>
  <si>
    <t xml:space="preserve">capacity from 5.0M to 6.6M tonnes/year by 2026–2027. Construction is on track with Target </t>
  </si>
  <si>
    <t xml:space="preserve">Engineering and Linde as EPC contractors. This is the single largest organic growth event in the </t>
  </si>
  <si>
    <t>company's history.</t>
  </si>
  <si>
    <t>Key Financial Ratio's</t>
  </si>
  <si>
    <t>ROE (%)</t>
  </si>
  <si>
    <t>ROCE (%)</t>
  </si>
  <si>
    <t>Debt to Equity (x)</t>
  </si>
  <si>
    <t>Fixed Asset Turnover (x)</t>
  </si>
  <si>
    <r>
      <t>Disclaimer:</t>
    </r>
    <r>
      <rPr>
        <sz val="11"/>
        <color theme="1"/>
        <rFont val="Calibri"/>
        <family val="2"/>
      </rPr>
      <t xml:space="preserve"> For educational purposes only. Not investment advice or a recommendation to buy/sell securities.</t>
    </r>
  </si>
  <si>
    <t>AED</t>
  </si>
  <si>
    <t>Analysis</t>
  </si>
  <si>
    <t>Horizontal Analysis</t>
  </si>
  <si>
    <t>Trend Analysis</t>
  </si>
  <si>
    <t>Millions</t>
  </si>
  <si>
    <t>Sector</t>
  </si>
  <si>
    <t>Manufacturing</t>
  </si>
  <si>
    <t>End</t>
  </si>
  <si>
    <t>Actuals</t>
  </si>
  <si>
    <t>Actuals / Projections</t>
  </si>
  <si>
    <t>(In Millions AED, except equity share and per equity share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</si>
</sst>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4" formatCode="_ * #,##0.0_ ;_ * \-#,##0.0_ ;_ * &quot;-&quot;??_ ;_ @_ "/>
    <numFmt numFmtId="165" formatCode="mmm/yy\ \A"/>
    <numFmt numFmtId="166" formatCode="mmm/yy\ \E"/>
    <numFmt numFmtId="167" formatCode="#,##0.0"/>
    <numFmt numFmtId="168" formatCode="#,##0;\(#,##0\);\ \-"/>
    <numFmt numFmtId="169" formatCode="0.0%"/>
    <numFmt numFmtId="170" formatCode="0.0"/>
    <numFmt numFmtId="171" formatCode="0.00\x"/>
    <numFmt numFmtId="172" formatCode="#,##0;\(#,##0\)"/>
    <numFmt numFmtId="173" formatCode="#,##0.00;\(#,##0.00\)"/>
    <numFmt numFmtId="174" formatCode="#,##0;\(#,##0\);\-"/>
    <numFmt numFmtId="175" formatCode="0.000"/>
    <numFmt numFmtId="176" formatCode="_-[$$-409]* #,##0.00_ ;_-[$$-409]* \-#,##0.00\ ;_-[$$-409]* &quot;-&quot;??_ ;_-@_ "/>
    <numFmt numFmtId="177" formatCode="_-[$$-409]* #,##0_ ;_-[$$-409]* \-#,##0\ ;_-[$$-409]* &quot;-&quot;??_ ;_-@_ "/>
    <numFmt numFmtId="178" formatCode="_ * #,##0_ ;_ * \-#,##0_ ;_ * &quot;-&quot;??_ ;_ @_ "/>
    <numFmt numFmtId="179" formatCode="&quot;AED&quot;__##0.0"/>
    <numFmt numFmtId="180" formatCode="\$__##0.00\ &quot;B&quot;"/>
    <numFmt numFmtId="181" formatCode="\$____##0.00\ &quot;B&quot;"/>
  </numFmts>
  <fonts count="4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rial"/>
      <family val="2"/>
    </font>
    <font>
      <i/>
      <sz val="9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1"/>
      <color rgb="FFFF0000"/>
      <name val="Calibri"/>
      <family val="2"/>
    </font>
    <font>
      <sz val="10"/>
      <color rgb="FF0000FF"/>
      <name val="Arial"/>
      <family val="2"/>
    </font>
    <font>
      <b/>
      <u/>
      <sz val="10"/>
      <color theme="1"/>
      <name val="Arial"/>
      <family val="2"/>
    </font>
    <font>
      <b/>
      <sz val="9"/>
      <color theme="0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rgb="FF232526"/>
      <name val="Inter"/>
      <family val="2"/>
    </font>
    <font>
      <b/>
      <sz val="11"/>
      <color rgb="FFD91400"/>
      <name val="Inter"/>
      <family val="2"/>
    </font>
    <font>
      <b/>
      <sz val="11"/>
      <color rgb="FF007C32"/>
      <name val="Inter"/>
      <family val="2"/>
    </font>
    <font>
      <sz val="10"/>
      <color rgb="FF232526"/>
      <name val="Arial"/>
      <family val="2"/>
    </font>
    <font>
      <b/>
      <i/>
      <sz val="10"/>
      <color theme="0" tint="-4.9989318521683403E-2"/>
      <name val="Arial"/>
      <family val="2"/>
    </font>
    <font>
      <sz val="9"/>
      <color theme="0"/>
      <name val="Arial"/>
      <family val="2"/>
    </font>
    <font>
      <u/>
      <sz val="10"/>
      <color theme="10"/>
      <name val="Arial"/>
      <family val="2"/>
    </font>
    <font>
      <sz val="18"/>
      <color rgb="FF001440"/>
      <name val="Arial Black"/>
      <family val="2"/>
    </font>
    <font>
      <b/>
      <sz val="11"/>
      <color theme="1"/>
      <name val="Calibri"/>
      <family val="2"/>
    </font>
    <font>
      <i/>
      <sz val="10"/>
      <color theme="0" tint="-0.34998626667073579"/>
      <name val="Arial"/>
      <family val="2"/>
    </font>
    <font>
      <i/>
      <sz val="11"/>
      <color theme="1"/>
      <name val="Calibri"/>
      <family val="2"/>
    </font>
    <font>
      <i/>
      <sz val="11"/>
      <color theme="0" tint="-0.34998626667073579"/>
      <name val="Calibri"/>
      <family val="2"/>
    </font>
    <font>
      <i/>
      <sz val="11"/>
      <color theme="0" tint="-0.249977111117893"/>
      <name val="Calibri"/>
      <family val="2"/>
    </font>
    <font>
      <sz val="10"/>
      <color rgb="FF00B050"/>
      <name val="Arial"/>
      <family val="2"/>
    </font>
    <font>
      <b/>
      <sz val="10"/>
      <color rgb="FF0000FF"/>
      <name val="Arial"/>
      <family val="2"/>
    </font>
    <font>
      <i/>
      <sz val="10"/>
      <color rgb="FF0000FF"/>
      <name val="Arial"/>
      <family val="2"/>
    </font>
    <font>
      <i/>
      <sz val="10"/>
      <color theme="0"/>
      <name val="Arial"/>
      <family val="2"/>
    </font>
    <font>
      <sz val="10"/>
      <color rgb="FFFF0000"/>
      <name val="Arial"/>
      <family val="2"/>
    </font>
    <font>
      <i/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440"/>
        <bgColor indexed="64"/>
      </patternFill>
    </fill>
    <fill>
      <patternFill patternType="solid">
        <fgColor rgb="FF00004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4FFAF"/>
        <bgColor rgb="FFF4FFA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indexed="64"/>
      </right>
      <top style="thin">
        <color theme="1" tint="4.9989318521683403E-2"/>
      </top>
      <bottom style="thin">
        <color indexed="64"/>
      </bottom>
      <diagonal/>
    </border>
    <border>
      <left/>
      <right/>
      <top style="thin">
        <color theme="1" tint="4.9989318521683403E-2"/>
      </top>
      <bottom style="thin">
        <color indexed="64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indexed="64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indexed="64"/>
      </bottom>
      <diagonal/>
    </border>
    <border>
      <left/>
      <right style="thin">
        <color theme="1" tint="4.9989318521683403E-2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</borders>
  <cellStyleXfs count="9">
    <xf numFmtId="0" fontId="0" fillId="0" borderId="0"/>
    <xf numFmtId="0" fontId="1" fillId="2" borderId="3" applyNumberFormat="0" applyFont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6" borderId="0"/>
    <xf numFmtId="0" fontId="17" fillId="0" borderId="0" applyNumberFormat="0" applyFill="0" applyBorder="0" applyAlignment="0" applyProtection="0"/>
    <xf numFmtId="0" fontId="25" fillId="0" borderId="0"/>
    <xf numFmtId="0" fontId="6" fillId="0" borderId="0"/>
    <xf numFmtId="43" fontId="1" fillId="0" borderId="0" applyFont="0" applyFill="0" applyBorder="0" applyAlignment="0" applyProtection="0"/>
  </cellStyleXfs>
  <cellXfs count="440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4" xfId="0" applyFont="1" applyBorder="1"/>
    <xf numFmtId="0" fontId="8" fillId="0" borderId="0" xfId="0" applyFont="1" applyAlignment="1">
      <alignment wrapText="1"/>
    </xf>
    <xf numFmtId="0" fontId="8" fillId="0" borderId="0" xfId="0" applyFont="1"/>
    <xf numFmtId="0" fontId="9" fillId="3" borderId="0" xfId="0" applyFont="1" applyFill="1"/>
    <xf numFmtId="0" fontId="10" fillId="3" borderId="0" xfId="0" applyFont="1" applyFill="1"/>
    <xf numFmtId="0" fontId="4" fillId="3" borderId="0" xfId="0" applyFont="1" applyFill="1"/>
    <xf numFmtId="0" fontId="3" fillId="3" borderId="0" xfId="0" applyFont="1" applyFill="1"/>
    <xf numFmtId="0" fontId="5" fillId="3" borderId="0" xfId="0" applyFont="1" applyFill="1"/>
    <xf numFmtId="0" fontId="10" fillId="5" borderId="0" xfId="0" applyFont="1" applyFill="1"/>
    <xf numFmtId="0" fontId="14" fillId="3" borderId="0" xfId="0" applyFont="1" applyFill="1"/>
    <xf numFmtId="0" fontId="5" fillId="3" borderId="7" xfId="0" applyFont="1" applyFill="1" applyBorder="1"/>
    <xf numFmtId="0" fontId="10" fillId="3" borderId="1" xfId="0" applyFont="1" applyFill="1" applyBorder="1"/>
    <xf numFmtId="0" fontId="7" fillId="0" borderId="0" xfId="0" applyFont="1"/>
    <xf numFmtId="0" fontId="6" fillId="0" borderId="15" xfId="0" applyFont="1" applyBorder="1"/>
    <xf numFmtId="0" fontId="6" fillId="0" borderId="7" xfId="0" applyFont="1" applyBorder="1"/>
    <xf numFmtId="168" fontId="6" fillId="0" borderId="0" xfId="0" applyNumberFormat="1" applyFont="1"/>
    <xf numFmtId="168" fontId="7" fillId="0" borderId="0" xfId="0" applyNumberFormat="1" applyFont="1"/>
    <xf numFmtId="0" fontId="5" fillId="5" borderId="0" xfId="0" applyFont="1" applyFill="1"/>
    <xf numFmtId="0" fontId="13" fillId="0" borderId="0" xfId="0" applyFont="1"/>
    <xf numFmtId="0" fontId="13" fillId="0" borderId="0" xfId="0" applyFont="1" applyAlignment="1">
      <alignment horizontal="center"/>
    </xf>
    <xf numFmtId="169" fontId="6" fillId="0" borderId="0" xfId="0" applyNumberFormat="1" applyFont="1"/>
    <xf numFmtId="0" fontId="6" fillId="0" borderId="0" xfId="0" applyFont="1" applyAlignment="1">
      <alignment horizontal="left"/>
    </xf>
    <xf numFmtId="0" fontId="17" fillId="0" borderId="0" xfId="5"/>
    <xf numFmtId="0" fontId="17" fillId="0" borderId="0" xfId="5" applyAlignment="1">
      <alignment horizontal="left" indent="1"/>
    </xf>
    <xf numFmtId="4" fontId="6" fillId="0" borderId="0" xfId="0" applyNumberFormat="1" applyFont="1"/>
    <xf numFmtId="10" fontId="6" fillId="0" borderId="0" xfId="0" applyNumberFormat="1" applyFont="1"/>
    <xf numFmtId="4" fontId="18" fillId="7" borderId="0" xfId="0" applyNumberFormat="1" applyFont="1" applyFill="1" applyAlignment="1">
      <alignment horizontal="right" vertical="center" wrapText="1"/>
    </xf>
    <xf numFmtId="0" fontId="18" fillId="7" borderId="0" xfId="0" applyFont="1" applyFill="1" applyAlignment="1">
      <alignment horizontal="right" vertical="center" wrapText="1"/>
    </xf>
    <xf numFmtId="10" fontId="19" fillId="7" borderId="0" xfId="0" applyNumberFormat="1" applyFont="1" applyFill="1" applyAlignment="1">
      <alignment horizontal="right" vertical="center" readingOrder="1"/>
    </xf>
    <xf numFmtId="10" fontId="20" fillId="7" borderId="0" xfId="0" applyNumberFormat="1" applyFont="1" applyFill="1" applyAlignment="1">
      <alignment horizontal="right" vertical="center" readingOrder="1"/>
    </xf>
    <xf numFmtId="14" fontId="21" fillId="7" borderId="0" xfId="0" applyNumberFormat="1" applyFont="1" applyFill="1" applyAlignment="1">
      <alignment horizontal="left" vertical="center"/>
    </xf>
    <xf numFmtId="169" fontId="21" fillId="7" borderId="0" xfId="2" applyNumberFormat="1" applyFont="1" applyFill="1" applyAlignment="1">
      <alignment horizontal="right" vertical="center" wrapText="1"/>
    </xf>
    <xf numFmtId="0" fontId="13" fillId="0" borderId="0" xfId="0" applyFont="1" applyAlignment="1">
      <alignment horizontal="left"/>
    </xf>
    <xf numFmtId="4" fontId="6" fillId="7" borderId="0" xfId="0" applyNumberFormat="1" applyFont="1" applyFill="1" applyAlignment="1">
      <alignment horizontal="left" vertical="center" wrapText="1" readingOrder="1"/>
    </xf>
    <xf numFmtId="4" fontId="18" fillId="7" borderId="0" xfId="0" applyNumberFormat="1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 readingOrder="1"/>
    </xf>
    <xf numFmtId="2" fontId="6" fillId="0" borderId="0" xfId="0" applyNumberFormat="1" applyFont="1"/>
    <xf numFmtId="10" fontId="7" fillId="0" borderId="0" xfId="0" applyNumberFormat="1" applyFont="1"/>
    <xf numFmtId="10" fontId="6" fillId="0" borderId="0" xfId="2" applyNumberFormat="1" applyFont="1"/>
    <xf numFmtId="0" fontId="15" fillId="0" borderId="0" xfId="0" applyFont="1"/>
    <xf numFmtId="167" fontId="6" fillId="0" borderId="0" xfId="0" applyNumberFormat="1" applyFont="1"/>
    <xf numFmtId="0" fontId="6" fillId="5" borderId="4" xfId="0" applyFont="1" applyFill="1" applyBorder="1"/>
    <xf numFmtId="14" fontId="6" fillId="2" borderId="3" xfId="1" applyNumberFormat="1" applyFont="1"/>
    <xf numFmtId="10" fontId="6" fillId="2" borderId="3" xfId="1" applyNumberFormat="1" applyFont="1"/>
    <xf numFmtId="0" fontId="23" fillId="3" borderId="0" xfId="0" applyFont="1" applyFill="1"/>
    <xf numFmtId="0" fontId="17" fillId="5" borderId="0" xfId="5" applyFill="1"/>
    <xf numFmtId="0" fontId="24" fillId="0" borderId="0" xfId="5" applyFont="1"/>
    <xf numFmtId="169" fontId="6" fillId="0" borderId="0" xfId="2" applyNumberFormat="1" applyFont="1"/>
    <xf numFmtId="0" fontId="6" fillId="0" borderId="21" xfId="0" applyFont="1" applyBorder="1"/>
    <xf numFmtId="0" fontId="6" fillId="0" borderId="22" xfId="0" applyFont="1" applyBorder="1"/>
    <xf numFmtId="0" fontId="6" fillId="0" borderId="24" xfId="0" applyFont="1" applyBorder="1"/>
    <xf numFmtId="0" fontId="6" fillId="0" borderId="0" xfId="7"/>
    <xf numFmtId="0" fontId="7" fillId="0" borderId="0" xfId="7" applyFont="1"/>
    <xf numFmtId="172" fontId="7" fillId="0" borderId="0" xfId="7" applyNumberFormat="1" applyFont="1"/>
    <xf numFmtId="0" fontId="27" fillId="0" borderId="0" xfId="7" applyFont="1"/>
    <xf numFmtId="10" fontId="29" fillId="0" borderId="0" xfId="0" applyNumberFormat="1" applyFont="1"/>
    <xf numFmtId="0" fontId="29" fillId="0" borderId="0" xfId="0" applyFont="1"/>
    <xf numFmtId="0" fontId="30" fillId="0" borderId="0" xfId="0" applyFont="1"/>
    <xf numFmtId="10" fontId="30" fillId="0" borderId="0" xfId="0" applyNumberFormat="1" applyFont="1"/>
    <xf numFmtId="169" fontId="16" fillId="0" borderId="0" xfId="2" applyNumberFormat="1" applyFont="1"/>
    <xf numFmtId="14" fontId="6" fillId="0" borderId="0" xfId="0" applyNumberFormat="1" applyFont="1"/>
    <xf numFmtId="0" fontId="0" fillId="0" borderId="26" xfId="0" applyBorder="1"/>
    <xf numFmtId="0" fontId="28" fillId="0" borderId="27" xfId="0" applyFont="1" applyBorder="1" applyAlignment="1">
      <alignment horizontal="center"/>
    </xf>
    <xf numFmtId="0" fontId="28" fillId="0" borderId="27" xfId="0" applyFont="1" applyBorder="1" applyAlignment="1">
      <alignment horizontal="centerContinuous"/>
    </xf>
    <xf numFmtId="0" fontId="2" fillId="3" borderId="0" xfId="0" applyFont="1" applyFill="1"/>
    <xf numFmtId="164" fontId="6" fillId="2" borderId="3" xfId="1" applyNumberFormat="1" applyFont="1"/>
    <xf numFmtId="0" fontId="7" fillId="2" borderId="5" xfId="1" applyFont="1" applyBorder="1" applyAlignment="1">
      <alignment horizontal="center"/>
    </xf>
    <xf numFmtId="0" fontId="34" fillId="3" borderId="0" xfId="0" applyFont="1" applyFill="1"/>
    <xf numFmtId="0" fontId="10" fillId="5" borderId="4" xfId="0" applyFont="1" applyFill="1" applyBorder="1"/>
    <xf numFmtId="0" fontId="7" fillId="5" borderId="16" xfId="0" applyFont="1" applyFill="1" applyBorder="1"/>
    <xf numFmtId="0" fontId="5" fillId="5" borderId="4" xfId="0" applyFont="1" applyFill="1" applyBorder="1"/>
    <xf numFmtId="0" fontId="6" fillId="0" borderId="29" xfId="0" applyFont="1" applyBorder="1"/>
    <xf numFmtId="0" fontId="6" fillId="0" borderId="24" xfId="7" applyBorder="1"/>
    <xf numFmtId="0" fontId="7" fillId="0" borderId="24" xfId="7" applyFont="1" applyBorder="1"/>
    <xf numFmtId="0" fontId="6" fillId="0" borderId="32" xfId="7" applyBorder="1"/>
    <xf numFmtId="0" fontId="6" fillId="0" borderId="28" xfId="7" applyBorder="1"/>
    <xf numFmtId="172" fontId="6" fillId="0" borderId="0" xfId="7" applyNumberFormat="1" applyAlignment="1">
      <alignment horizontal="center"/>
    </xf>
    <xf numFmtId="172" fontId="6" fillId="0" borderId="29" xfId="7" applyNumberFormat="1" applyBorder="1" applyAlignment="1">
      <alignment horizontal="center"/>
    </xf>
    <xf numFmtId="172" fontId="7" fillId="0" borderId="25" xfId="7" applyNumberFormat="1" applyFont="1" applyBorder="1" applyAlignment="1">
      <alignment horizontal="center"/>
    </xf>
    <xf numFmtId="172" fontId="7" fillId="0" borderId="34" xfId="7" applyNumberFormat="1" applyFont="1" applyBorder="1" applyAlignment="1">
      <alignment horizontal="center"/>
    </xf>
    <xf numFmtId="172" fontId="7" fillId="0" borderId="33" xfId="7" applyNumberFormat="1" applyFont="1" applyBorder="1" applyAlignment="1">
      <alignment horizontal="center"/>
    </xf>
    <xf numFmtId="0" fontId="6" fillId="0" borderId="0" xfId="7" applyAlignment="1">
      <alignment horizontal="center"/>
    </xf>
    <xf numFmtId="0" fontId="6" fillId="0" borderId="29" xfId="7" applyBorder="1" applyAlignment="1">
      <alignment horizontal="center"/>
    </xf>
    <xf numFmtId="172" fontId="7" fillId="0" borderId="0" xfId="7" applyNumberFormat="1" applyFont="1" applyAlignment="1">
      <alignment horizontal="center"/>
    </xf>
    <xf numFmtId="172" fontId="7" fillId="0" borderId="4" xfId="7" applyNumberFormat="1" applyFont="1" applyBorder="1" applyAlignment="1">
      <alignment horizontal="center"/>
    </xf>
    <xf numFmtId="172" fontId="7" fillId="0" borderId="16" xfId="7" applyNumberFormat="1" applyFont="1" applyBorder="1" applyAlignment="1">
      <alignment horizontal="center"/>
    </xf>
    <xf numFmtId="172" fontId="7" fillId="0" borderId="31" xfId="7" applyNumberFormat="1" applyFont="1" applyBorder="1" applyAlignment="1">
      <alignment horizontal="center"/>
    </xf>
    <xf numFmtId="173" fontId="6" fillId="0" borderId="0" xfId="7" applyNumberFormat="1" applyAlignment="1">
      <alignment horizontal="center"/>
    </xf>
    <xf numFmtId="165" fontId="7" fillId="5" borderId="4" xfId="0" applyNumberFormat="1" applyFont="1" applyFill="1" applyBorder="1" applyAlignment="1">
      <alignment horizontal="center"/>
    </xf>
    <xf numFmtId="166" fontId="7" fillId="5" borderId="4" xfId="0" applyNumberFormat="1" applyFont="1" applyFill="1" applyBorder="1" applyAlignment="1">
      <alignment horizontal="center"/>
    </xf>
    <xf numFmtId="166" fontId="7" fillId="5" borderId="31" xfId="0" applyNumberFormat="1" applyFont="1" applyFill="1" applyBorder="1" applyAlignment="1">
      <alignment horizontal="center"/>
    </xf>
    <xf numFmtId="165" fontId="4" fillId="3" borderId="14" xfId="0" applyNumberFormat="1" applyFont="1" applyFill="1" applyBorder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6" fontId="4" fillId="3" borderId="14" xfId="0" applyNumberFormat="1" applyFont="1" applyFill="1" applyBorder="1" applyAlignment="1">
      <alignment horizontal="center"/>
    </xf>
    <xf numFmtId="166" fontId="4" fillId="3" borderId="8" xfId="0" applyNumberFormat="1" applyFont="1" applyFill="1" applyBorder="1" applyAlignment="1">
      <alignment horizontal="center"/>
    </xf>
    <xf numFmtId="15" fontId="4" fillId="3" borderId="14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72" fontId="6" fillId="0" borderId="24" xfId="7" applyNumberFormat="1" applyBorder="1" applyAlignment="1">
      <alignment horizontal="center"/>
    </xf>
    <xf numFmtId="0" fontId="6" fillId="0" borderId="24" xfId="7" applyBorder="1" applyAlignment="1">
      <alignment horizontal="center"/>
    </xf>
    <xf numFmtId="174" fontId="6" fillId="0" borderId="24" xfId="7" applyNumberFormat="1" applyBorder="1" applyAlignment="1">
      <alignment horizontal="center"/>
    </xf>
    <xf numFmtId="174" fontId="6" fillId="0" borderId="0" xfId="7" applyNumberFormat="1" applyAlignment="1">
      <alignment horizontal="center"/>
    </xf>
    <xf numFmtId="174" fontId="6" fillId="0" borderId="29" xfId="7" applyNumberFormat="1" applyBorder="1" applyAlignment="1">
      <alignment horizontal="center"/>
    </xf>
    <xf numFmtId="173" fontId="6" fillId="0" borderId="24" xfId="7" applyNumberFormat="1" applyBorder="1" applyAlignment="1">
      <alignment horizontal="center"/>
    </xf>
    <xf numFmtId="173" fontId="6" fillId="0" borderId="29" xfId="7" applyNumberFormat="1" applyBorder="1" applyAlignment="1">
      <alignment horizontal="center"/>
    </xf>
    <xf numFmtId="172" fontId="6" fillId="0" borderId="28" xfId="7" applyNumberFormat="1" applyBorder="1" applyAlignment="1">
      <alignment horizontal="center"/>
    </xf>
    <xf numFmtId="172" fontId="6" fillId="0" borderId="32" xfId="7" applyNumberFormat="1" applyBorder="1" applyAlignment="1">
      <alignment horizontal="center"/>
    </xf>
    <xf numFmtId="172" fontId="6" fillId="0" borderId="30" xfId="7" applyNumberFormat="1" applyBorder="1" applyAlignment="1">
      <alignment horizontal="center"/>
    </xf>
    <xf numFmtId="172" fontId="6" fillId="0" borderId="0" xfId="7" applyNumberFormat="1"/>
    <xf numFmtId="168" fontId="6" fillId="0" borderId="0" xfId="7" applyNumberFormat="1"/>
    <xf numFmtId="0" fontId="24" fillId="0" borderId="0" xfId="5" applyFont="1" applyAlignment="1">
      <alignment horizontal="left" indent="1"/>
    </xf>
    <xf numFmtId="0" fontId="35" fillId="0" borderId="0" xfId="3" applyFont="1" applyAlignment="1">
      <alignment horizontal="center"/>
    </xf>
    <xf numFmtId="0" fontId="6" fillId="0" borderId="24" xfId="7" applyBorder="1" applyAlignment="1">
      <alignment horizontal="left" indent="1"/>
    </xf>
    <xf numFmtId="0" fontId="7" fillId="0" borderId="24" xfId="7" applyFont="1" applyBorder="1" applyAlignment="1">
      <alignment horizontal="left" indent="1"/>
    </xf>
    <xf numFmtId="0" fontId="6" fillId="0" borderId="32" xfId="7" applyBorder="1" applyAlignment="1">
      <alignment horizontal="left" indent="1"/>
    </xf>
    <xf numFmtId="0" fontId="7" fillId="0" borderId="24" xfId="7" applyFont="1" applyBorder="1" applyAlignment="1">
      <alignment horizontal="left" indent="2"/>
    </xf>
    <xf numFmtId="0" fontId="6" fillId="0" borderId="24" xfId="7" applyBorder="1" applyAlignment="1">
      <alignment horizontal="left" indent="2"/>
    </xf>
    <xf numFmtId="0" fontId="7" fillId="0" borderId="32" xfId="7" applyFont="1" applyBorder="1" applyAlignment="1">
      <alignment horizontal="left" indent="1"/>
    </xf>
    <xf numFmtId="168" fontId="6" fillId="0" borderId="0" xfId="0" applyNumberFormat="1" applyFont="1" applyAlignment="1">
      <alignment horizontal="center"/>
    </xf>
    <xf numFmtId="168" fontId="6" fillId="0" borderId="29" xfId="0" applyNumberFormat="1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168" fontId="7" fillId="0" borderId="29" xfId="0" applyNumberFormat="1" applyFont="1" applyBorder="1" applyAlignment="1">
      <alignment horizontal="center"/>
    </xf>
    <xf numFmtId="172" fontId="7" fillId="0" borderId="29" xfId="7" applyNumberFormat="1" applyFont="1" applyBorder="1" applyAlignment="1">
      <alignment horizontal="center"/>
    </xf>
    <xf numFmtId="168" fontId="7" fillId="0" borderId="25" xfId="0" applyNumberFormat="1" applyFont="1" applyBorder="1" applyAlignment="1">
      <alignment horizontal="center"/>
    </xf>
    <xf numFmtId="168" fontId="7" fillId="0" borderId="33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8" fontId="7" fillId="0" borderId="31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8" fontId="6" fillId="0" borderId="24" xfId="0" applyNumberFormat="1" applyFont="1" applyBorder="1" applyAlignment="1">
      <alignment horizontal="center"/>
    </xf>
    <xf numFmtId="168" fontId="7" fillId="0" borderId="34" xfId="0" applyNumberFormat="1" applyFont="1" applyBorder="1" applyAlignment="1">
      <alignment horizontal="center"/>
    </xf>
    <xf numFmtId="168" fontId="7" fillId="0" borderId="24" xfId="0" applyNumberFormat="1" applyFont="1" applyBorder="1" applyAlignment="1">
      <alignment horizontal="center"/>
    </xf>
    <xf numFmtId="0" fontId="13" fillId="0" borderId="24" xfId="0" applyFont="1" applyBorder="1"/>
    <xf numFmtId="0" fontId="6" fillId="8" borderId="0" xfId="0" applyFont="1" applyFill="1"/>
    <xf numFmtId="0" fontId="7" fillId="0" borderId="24" xfId="0" applyFont="1" applyBorder="1"/>
    <xf numFmtId="0" fontId="6" fillId="0" borderId="24" xfId="0" applyFont="1" applyBorder="1" applyAlignment="1">
      <alignment horizontal="left"/>
    </xf>
    <xf numFmtId="0" fontId="6" fillId="8" borderId="0" xfId="7" applyFill="1"/>
    <xf numFmtId="0" fontId="13" fillId="0" borderId="24" xfId="7" applyFont="1" applyBorder="1"/>
    <xf numFmtId="0" fontId="6" fillId="8" borderId="28" xfId="7" applyFill="1" applyBorder="1"/>
    <xf numFmtId="0" fontId="13" fillId="0" borderId="24" xfId="0" applyFont="1" applyBorder="1" applyAlignment="1">
      <alignment horizontal="left" indent="1"/>
    </xf>
    <xf numFmtId="0" fontId="6" fillId="0" borderId="24" xfId="0" applyFont="1" applyBorder="1" applyAlignment="1">
      <alignment horizontal="left" indent="1"/>
    </xf>
    <xf numFmtId="0" fontId="7" fillId="0" borderId="24" xfId="0" applyFont="1" applyBorder="1" applyAlignment="1">
      <alignment horizontal="left" indent="1"/>
    </xf>
    <xf numFmtId="0" fontId="13" fillId="0" borderId="24" xfId="7" applyFont="1" applyBorder="1" applyAlignment="1">
      <alignment horizontal="left" indent="1"/>
    </xf>
    <xf numFmtId="172" fontId="6" fillId="0" borderId="24" xfId="0" applyNumberFormat="1" applyFont="1" applyBorder="1" applyAlignment="1">
      <alignment horizontal="center"/>
    </xf>
    <xf numFmtId="172" fontId="6" fillId="0" borderId="0" xfId="0" applyNumberFormat="1" applyFont="1" applyAlignment="1">
      <alignment horizontal="center"/>
    </xf>
    <xf numFmtId="172" fontId="6" fillId="0" borderId="29" xfId="0" applyNumberFormat="1" applyFont="1" applyBorder="1" applyAlignment="1">
      <alignment horizontal="center"/>
    </xf>
    <xf numFmtId="168" fontId="6" fillId="0" borderId="24" xfId="7" applyNumberFormat="1" applyBorder="1" applyAlignment="1">
      <alignment horizontal="center"/>
    </xf>
    <xf numFmtId="168" fontId="6" fillId="0" borderId="0" xfId="7" applyNumberFormat="1" applyAlignment="1">
      <alignment horizontal="center"/>
    </xf>
    <xf numFmtId="168" fontId="6" fillId="0" borderId="29" xfId="7" applyNumberFormat="1" applyBorder="1" applyAlignment="1">
      <alignment horizontal="center"/>
    </xf>
    <xf numFmtId="168" fontId="35" fillId="0" borderId="0" xfId="3" applyNumberFormat="1" applyFont="1" applyAlignment="1">
      <alignment horizontal="center"/>
    </xf>
    <xf numFmtId="172" fontId="7" fillId="0" borderId="24" xfId="7" applyNumberFormat="1" applyFont="1" applyBorder="1" applyAlignment="1">
      <alignment horizontal="center"/>
    </xf>
    <xf numFmtId="0" fontId="24" fillId="8" borderId="0" xfId="5" applyFont="1" applyFill="1"/>
    <xf numFmtId="0" fontId="5" fillId="8" borderId="0" xfId="0" applyFont="1" applyFill="1"/>
    <xf numFmtId="0" fontId="7" fillId="8" borderId="16" xfId="0" applyFont="1" applyFill="1" applyBorder="1"/>
    <xf numFmtId="0" fontId="5" fillId="8" borderId="4" xfId="0" applyFont="1" applyFill="1" applyBorder="1"/>
    <xf numFmtId="165" fontId="7" fillId="8" borderId="4" xfId="0" applyNumberFormat="1" applyFont="1" applyFill="1" applyBorder="1" applyAlignment="1">
      <alignment horizontal="center"/>
    </xf>
    <xf numFmtId="166" fontId="7" fillId="8" borderId="16" xfId="0" applyNumberFormat="1" applyFont="1" applyFill="1" applyBorder="1" applyAlignment="1">
      <alignment horizontal="center"/>
    </xf>
    <xf numFmtId="166" fontId="7" fillId="8" borderId="4" xfId="0" applyNumberFormat="1" applyFont="1" applyFill="1" applyBorder="1" applyAlignment="1">
      <alignment horizontal="center"/>
    </xf>
    <xf numFmtId="166" fontId="7" fillId="8" borderId="31" xfId="0" applyNumberFormat="1" applyFont="1" applyFill="1" applyBorder="1" applyAlignment="1">
      <alignment horizontal="center"/>
    </xf>
    <xf numFmtId="165" fontId="7" fillId="8" borderId="16" xfId="0" applyNumberFormat="1" applyFont="1" applyFill="1" applyBorder="1" applyAlignment="1">
      <alignment horizontal="center"/>
    </xf>
    <xf numFmtId="0" fontId="10" fillId="5" borderId="32" xfId="0" applyFont="1" applyFill="1" applyBorder="1"/>
    <xf numFmtId="0" fontId="10" fillId="5" borderId="28" xfId="0" applyFont="1" applyFill="1" applyBorder="1"/>
    <xf numFmtId="0" fontId="10" fillId="5" borderId="30" xfId="0" applyFont="1" applyFill="1" applyBorder="1"/>
    <xf numFmtId="0" fontId="0" fillId="0" borderId="24" xfId="0" applyBorder="1"/>
    <xf numFmtId="0" fontId="0" fillId="0" borderId="29" xfId="0" applyBorder="1"/>
    <xf numFmtId="0" fontId="26" fillId="0" borderId="0" xfId="0" applyFont="1"/>
    <xf numFmtId="0" fontId="6" fillId="0" borderId="24" xfId="7" applyBorder="1" applyAlignment="1">
      <alignment horizontal="left" indent="3"/>
    </xf>
    <xf numFmtId="0" fontId="26" fillId="0" borderId="24" xfId="0" applyFont="1" applyBorder="1" applyAlignment="1">
      <alignment horizontal="left" indent="1"/>
    </xf>
    <xf numFmtId="0" fontId="0" fillId="0" borderId="24" xfId="0" applyBorder="1" applyAlignment="1">
      <alignment horizontal="left" indent="1"/>
    </xf>
    <xf numFmtId="0" fontId="6" fillId="0" borderId="24" xfId="0" applyFont="1" applyBorder="1" applyAlignment="1">
      <alignment horizontal="left" indent="2"/>
    </xf>
    <xf numFmtId="0" fontId="6" fillId="0" borderId="29" xfId="0" applyFont="1" applyBorder="1" applyAlignment="1">
      <alignment horizontal="center"/>
    </xf>
    <xf numFmtId="172" fontId="12" fillId="0" borderId="0" xfId="7" applyNumberFormat="1" applyFont="1" applyAlignment="1">
      <alignment horizontal="center"/>
    </xf>
    <xf numFmtId="169" fontId="15" fillId="0" borderId="0" xfId="2" applyNumberFormat="1" applyFont="1" applyBorder="1" applyAlignment="1">
      <alignment horizontal="center"/>
    </xf>
    <xf numFmtId="169" fontId="15" fillId="0" borderId="29" xfId="2" applyNumberFormat="1" applyFont="1" applyBorder="1" applyAlignment="1">
      <alignment horizontal="center"/>
    </xf>
    <xf numFmtId="172" fontId="32" fillId="0" borderId="0" xfId="7" applyNumberFormat="1" applyFont="1" applyAlignment="1">
      <alignment horizontal="center"/>
    </xf>
    <xf numFmtId="172" fontId="32" fillId="0" borderId="29" xfId="7" applyNumberFormat="1" applyFont="1" applyBorder="1" applyAlignment="1">
      <alignment horizontal="center"/>
    </xf>
    <xf numFmtId="2" fontId="6" fillId="0" borderId="0" xfId="7" applyNumberFormat="1" applyAlignment="1">
      <alignment horizontal="center"/>
    </xf>
    <xf numFmtId="2" fontId="6" fillId="0" borderId="29" xfId="7" applyNumberFormat="1" applyBorder="1" applyAlignment="1">
      <alignment horizontal="center"/>
    </xf>
    <xf numFmtId="4" fontId="12" fillId="2" borderId="3" xfId="1" applyNumberFormat="1" applyFont="1" applyAlignment="1">
      <alignment horizontal="center"/>
    </xf>
    <xf numFmtId="4" fontId="12" fillId="2" borderId="35" xfId="1" applyNumberFormat="1" applyFont="1" applyBorder="1" applyAlignment="1">
      <alignment horizontal="center"/>
    </xf>
    <xf numFmtId="0" fontId="6" fillId="0" borderId="28" xfId="7" applyBorder="1" applyAlignment="1">
      <alignment horizontal="center"/>
    </xf>
    <xf numFmtId="0" fontId="6" fillId="0" borderId="30" xfId="7" applyBorder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169" fontId="6" fillId="0" borderId="0" xfId="2" applyNumberFormat="1" applyFont="1" applyBorder="1" applyAlignment="1">
      <alignment horizontal="center"/>
    </xf>
    <xf numFmtId="169" fontId="6" fillId="0" borderId="29" xfId="2" applyNumberFormat="1" applyFont="1" applyBorder="1" applyAlignment="1">
      <alignment horizontal="center"/>
    </xf>
    <xf numFmtId="169" fontId="28" fillId="2" borderId="3" xfId="1" applyNumberFormat="1" applyFont="1" applyAlignment="1">
      <alignment horizontal="center"/>
    </xf>
    <xf numFmtId="169" fontId="28" fillId="2" borderId="35" xfId="1" applyNumberFormat="1" applyFont="1" applyBorder="1" applyAlignment="1">
      <alignment horizontal="center"/>
    </xf>
    <xf numFmtId="169" fontId="28" fillId="0" borderId="0" xfId="2" applyNumberFormat="1" applyFont="1" applyBorder="1" applyAlignment="1">
      <alignment horizontal="center"/>
    </xf>
    <xf numFmtId="172" fontId="26" fillId="0" borderId="0" xfId="0" applyNumberFormat="1" applyFont="1" applyAlignment="1">
      <alignment horizontal="center"/>
    </xf>
    <xf numFmtId="172" fontId="26" fillId="0" borderId="29" xfId="0" applyNumberFormat="1" applyFont="1" applyBorder="1" applyAlignment="1">
      <alignment horizontal="center"/>
    </xf>
    <xf numFmtId="169" fontId="28" fillId="0" borderId="29" xfId="2" applyNumberFormat="1" applyFont="1" applyBorder="1" applyAlignment="1">
      <alignment horizontal="center"/>
    </xf>
    <xf numFmtId="172" fontId="31" fillId="0" borderId="0" xfId="7" applyNumberFormat="1" applyFont="1" applyAlignment="1">
      <alignment horizontal="center"/>
    </xf>
    <xf numFmtId="168" fontId="31" fillId="0" borderId="0" xfId="7" applyNumberFormat="1" applyFont="1" applyAlignment="1">
      <alignment horizontal="center"/>
    </xf>
    <xf numFmtId="169" fontId="6" fillId="0" borderId="0" xfId="7" applyNumberFormat="1" applyAlignment="1">
      <alignment horizontal="center"/>
    </xf>
    <xf numFmtId="169" fontId="6" fillId="0" borderId="29" xfId="7" applyNumberFormat="1" applyBorder="1" applyAlignment="1">
      <alignment horizontal="center"/>
    </xf>
    <xf numFmtId="168" fontId="12" fillId="0" borderId="0" xfId="7" applyNumberFormat="1" applyFont="1" applyAlignment="1">
      <alignment horizontal="center"/>
    </xf>
    <xf numFmtId="0" fontId="6" fillId="0" borderId="28" xfId="0" applyFont="1" applyBorder="1"/>
    <xf numFmtId="0" fontId="8" fillId="0" borderId="24" xfId="0" applyFont="1" applyBorder="1"/>
    <xf numFmtId="168" fontId="6" fillId="0" borderId="24" xfId="7" applyNumberFormat="1" applyBorder="1"/>
    <xf numFmtId="0" fontId="9" fillId="3" borderId="24" xfId="0" applyFont="1" applyFill="1" applyBorder="1"/>
    <xf numFmtId="0" fontId="4" fillId="3" borderId="24" xfId="0" applyFont="1" applyFill="1" applyBorder="1"/>
    <xf numFmtId="0" fontId="34" fillId="3" borderId="24" xfId="0" applyFont="1" applyFill="1" applyBorder="1"/>
    <xf numFmtId="0" fontId="17" fillId="0" borderId="24" xfId="5" applyBorder="1"/>
    <xf numFmtId="0" fontId="17" fillId="5" borderId="24" xfId="5" applyFill="1" applyBorder="1"/>
    <xf numFmtId="0" fontId="17" fillId="0" borderId="0" xfId="5" applyFill="1"/>
    <xf numFmtId="169" fontId="15" fillId="0" borderId="0" xfId="2" applyNumberFormat="1" applyFont="1" applyAlignment="1">
      <alignment horizontal="center"/>
    </xf>
    <xf numFmtId="169" fontId="11" fillId="0" borderId="0" xfId="3" applyNumberFormat="1" applyAlignment="1">
      <alignment horizontal="center"/>
    </xf>
    <xf numFmtId="168" fontId="32" fillId="0" borderId="0" xfId="7" applyNumberFormat="1" applyFont="1" applyAlignment="1">
      <alignment horizontal="center"/>
    </xf>
    <xf numFmtId="168" fontId="7" fillId="0" borderId="25" xfId="7" applyNumberFormat="1" applyFont="1" applyBorder="1" applyAlignment="1">
      <alignment horizontal="center"/>
    </xf>
    <xf numFmtId="168" fontId="7" fillId="0" borderId="0" xfId="7" applyNumberFormat="1" applyFont="1" applyAlignment="1">
      <alignment horizontal="center"/>
    </xf>
    <xf numFmtId="169" fontId="33" fillId="0" borderId="0" xfId="2" applyNumberFormat="1" applyFont="1" applyAlignment="1">
      <alignment horizontal="center"/>
    </xf>
    <xf numFmtId="1" fontId="6" fillId="0" borderId="0" xfId="7" applyNumberFormat="1" applyAlignment="1">
      <alignment horizontal="center"/>
    </xf>
    <xf numFmtId="1" fontId="31" fillId="0" borderId="0" xfId="7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9" borderId="0" xfId="0" applyNumberFormat="1" applyFont="1" applyFill="1" applyAlignment="1">
      <alignment horizontal="center"/>
    </xf>
    <xf numFmtId="168" fontId="12" fillId="0" borderId="0" xfId="0" applyNumberFormat="1" applyFont="1" applyAlignment="1">
      <alignment horizontal="center"/>
    </xf>
    <xf numFmtId="0" fontId="6" fillId="9" borderId="0" xfId="0" applyFont="1" applyFill="1" applyAlignment="1">
      <alignment horizontal="center"/>
    </xf>
    <xf numFmtId="168" fontId="32" fillId="0" borderId="25" xfId="7" applyNumberFormat="1" applyFont="1" applyBorder="1" applyAlignment="1">
      <alignment horizontal="center"/>
    </xf>
    <xf numFmtId="1" fontId="12" fillId="0" borderId="0" xfId="7" applyNumberFormat="1" applyFont="1" applyAlignment="1">
      <alignment horizontal="center"/>
    </xf>
    <xf numFmtId="169" fontId="15" fillId="0" borderId="0" xfId="7" applyNumberFormat="1" applyFont="1" applyAlignment="1">
      <alignment horizontal="center"/>
    </xf>
    <xf numFmtId="0" fontId="6" fillId="9" borderId="0" xfId="7" applyFill="1" applyAlignment="1">
      <alignment horizontal="center"/>
    </xf>
    <xf numFmtId="0" fontId="7" fillId="9" borderId="0" xfId="7" applyFont="1" applyFill="1" applyAlignment="1">
      <alignment horizontal="center"/>
    </xf>
    <xf numFmtId="166" fontId="4" fillId="3" borderId="12" xfId="0" applyNumberFormat="1" applyFont="1" applyFill="1" applyBorder="1" applyAlignment="1">
      <alignment horizontal="center"/>
    </xf>
    <xf numFmtId="4" fontId="6" fillId="10" borderId="0" xfId="0" applyNumberFormat="1" applyFont="1" applyFill="1"/>
    <xf numFmtId="0" fontId="6" fillId="10" borderId="0" xfId="0" applyFont="1" applyFill="1"/>
    <xf numFmtId="175" fontId="6" fillId="10" borderId="0" xfId="0" applyNumberFormat="1" applyFont="1" applyFill="1"/>
    <xf numFmtId="2" fontId="6" fillId="10" borderId="0" xfId="0" applyNumberFormat="1" applyFont="1" applyFill="1"/>
    <xf numFmtId="10" fontId="6" fillId="10" borderId="0" xfId="0" applyNumberFormat="1" applyFont="1" applyFill="1"/>
    <xf numFmtId="2" fontId="6" fillId="10" borderId="0" xfId="2" applyNumberFormat="1" applyFont="1" applyFill="1"/>
    <xf numFmtId="4" fontId="7" fillId="8" borderId="0" xfId="0" applyNumberFormat="1" applyFont="1" applyFill="1"/>
    <xf numFmtId="0" fontId="7" fillId="8" borderId="0" xfId="0" applyFont="1" applyFill="1"/>
    <xf numFmtId="2" fontId="7" fillId="8" borderId="0" xfId="0" applyNumberFormat="1" applyFont="1" applyFill="1"/>
    <xf numFmtId="170" fontId="7" fillId="8" borderId="0" xfId="0" applyNumberFormat="1" applyFont="1" applyFill="1"/>
    <xf numFmtId="10" fontId="7" fillId="8" borderId="0" xfId="0" applyNumberFormat="1" applyFont="1" applyFill="1"/>
    <xf numFmtId="0" fontId="7" fillId="0" borderId="28" xfId="0" applyFont="1" applyBorder="1"/>
    <xf numFmtId="0" fontId="36" fillId="0" borderId="0" xfId="0" applyFont="1"/>
    <xf numFmtId="0" fontId="7" fillId="0" borderId="21" xfId="0" applyFont="1" applyBorder="1"/>
    <xf numFmtId="168" fontId="6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0" fontId="15" fillId="0" borderId="0" xfId="2" applyNumberFormat="1" applyFont="1" applyAlignment="1">
      <alignment horizontal="right"/>
    </xf>
    <xf numFmtId="168" fontId="7" fillId="10" borderId="23" xfId="0" applyNumberFormat="1" applyFont="1" applyFill="1" applyBorder="1" applyAlignment="1">
      <alignment horizontal="right"/>
    </xf>
    <xf numFmtId="0" fontId="5" fillId="3" borderId="41" xfId="0" applyFont="1" applyFill="1" applyBorder="1"/>
    <xf numFmtId="0" fontId="5" fillId="3" borderId="22" xfId="0" applyFont="1" applyFill="1" applyBorder="1"/>
    <xf numFmtId="2" fontId="22" fillId="10" borderId="45" xfId="0" applyNumberFormat="1" applyFont="1" applyFill="1" applyBorder="1"/>
    <xf numFmtId="0" fontId="6" fillId="0" borderId="43" xfId="0" applyFont="1" applyBorder="1"/>
    <xf numFmtId="0" fontId="6" fillId="0" borderId="44" xfId="0" applyFont="1" applyBorder="1"/>
    <xf numFmtId="0" fontId="6" fillId="0" borderId="42" xfId="0" applyFont="1" applyBorder="1" applyAlignment="1">
      <alignment horizontal="center"/>
    </xf>
    <xf numFmtId="177" fontId="6" fillId="0" borderId="0" xfId="0" applyNumberFormat="1" applyFont="1" applyAlignment="1">
      <alignment horizontal="center"/>
    </xf>
    <xf numFmtId="177" fontId="6" fillId="0" borderId="42" xfId="0" applyNumberFormat="1" applyFont="1" applyBorder="1" applyAlignment="1">
      <alignment horizontal="center"/>
    </xf>
    <xf numFmtId="169" fontId="6" fillId="0" borderId="42" xfId="2" applyNumberFormat="1" applyFont="1" applyBorder="1" applyAlignment="1">
      <alignment horizontal="center"/>
    </xf>
    <xf numFmtId="0" fontId="6" fillId="5" borderId="0" xfId="0" applyFont="1" applyFill="1" applyAlignment="1">
      <alignment horizontal="center"/>
    </xf>
    <xf numFmtId="171" fontId="6" fillId="0" borderId="0" xfId="0" applyNumberFormat="1" applyFont="1" applyAlignment="1">
      <alignment horizontal="center"/>
    </xf>
    <xf numFmtId="171" fontId="6" fillId="0" borderId="42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42" xfId="0" applyNumberFormat="1" applyFont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69" fontId="6" fillId="0" borderId="42" xfId="0" applyNumberFormat="1" applyFont="1" applyBorder="1" applyAlignment="1">
      <alignment horizontal="center"/>
    </xf>
    <xf numFmtId="169" fontId="7" fillId="0" borderId="20" xfId="2" applyNumberFormat="1" applyFont="1" applyBorder="1" applyAlignment="1">
      <alignment horizontal="center"/>
    </xf>
    <xf numFmtId="169" fontId="7" fillId="0" borderId="49" xfId="2" applyNumberFormat="1" applyFont="1" applyBorder="1" applyAlignment="1">
      <alignment horizontal="center"/>
    </xf>
    <xf numFmtId="0" fontId="10" fillId="4" borderId="0" xfId="0" applyFont="1" applyFill="1"/>
    <xf numFmtId="14" fontId="6" fillId="2" borderId="3" xfId="1" applyNumberFormat="1" applyFont="1" applyAlignment="1">
      <alignment horizontal="right"/>
    </xf>
    <xf numFmtId="0" fontId="7" fillId="0" borderId="16" xfId="0" applyFont="1" applyBorder="1" applyAlignment="1">
      <alignment horizontal="center"/>
    </xf>
    <xf numFmtId="178" fontId="6" fillId="0" borderId="0" xfId="8" applyNumberFormat="1" applyFont="1"/>
    <xf numFmtId="9" fontId="6" fillId="0" borderId="0" xfId="2" applyFont="1"/>
    <xf numFmtId="0" fontId="6" fillId="2" borderId="3" xfId="1" applyFont="1"/>
    <xf numFmtId="179" fontId="6" fillId="2" borderId="3" xfId="1" applyNumberFormat="1" applyFont="1"/>
    <xf numFmtId="0" fontId="37" fillId="0" borderId="0" xfId="0" applyFont="1"/>
    <xf numFmtId="0" fontId="40" fillId="0" borderId="0" xfId="0" applyFont="1"/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0" fontId="39" fillId="10" borderId="34" xfId="0" applyFont="1" applyFill="1" applyBorder="1"/>
    <xf numFmtId="0" fontId="37" fillId="10" borderId="25" xfId="0" applyFont="1" applyFill="1" applyBorder="1"/>
    <xf numFmtId="0" fontId="37" fillId="10" borderId="33" xfId="0" applyFont="1" applyFill="1" applyBorder="1" applyAlignment="1">
      <alignment horizontal="right"/>
    </xf>
    <xf numFmtId="0" fontId="39" fillId="10" borderId="24" xfId="0" applyFont="1" applyFill="1" applyBorder="1"/>
    <xf numFmtId="0" fontId="37" fillId="10" borderId="0" xfId="0" applyFont="1" applyFill="1"/>
    <xf numFmtId="0" fontId="37" fillId="10" borderId="29" xfId="0" applyFont="1" applyFill="1" applyBorder="1" applyAlignment="1">
      <alignment horizontal="right"/>
    </xf>
    <xf numFmtId="180" fontId="37" fillId="10" borderId="29" xfId="8" applyNumberFormat="1" applyFont="1" applyFill="1" applyBorder="1" applyAlignment="1">
      <alignment horizontal="right"/>
    </xf>
    <xf numFmtId="0" fontId="39" fillId="10" borderId="0" xfId="0" applyFont="1" applyFill="1"/>
    <xf numFmtId="181" fontId="37" fillId="10" borderId="29" xfId="8" applyNumberFormat="1" applyFont="1" applyFill="1" applyBorder="1" applyAlignment="1">
      <alignment horizontal="right"/>
    </xf>
    <xf numFmtId="0" fontId="39" fillId="10" borderId="32" xfId="0" applyFont="1" applyFill="1" applyBorder="1"/>
    <xf numFmtId="0" fontId="37" fillId="10" borderId="28" xfId="0" applyFont="1" applyFill="1" applyBorder="1"/>
    <xf numFmtId="181" fontId="37" fillId="10" borderId="30" xfId="8" applyNumberFormat="1" applyFont="1" applyFill="1" applyBorder="1" applyAlignment="1">
      <alignment horizontal="right"/>
    </xf>
    <xf numFmtId="0" fontId="39" fillId="0" borderId="0" xfId="0" applyFont="1"/>
    <xf numFmtId="0" fontId="38" fillId="0" borderId="0" xfId="0" applyFont="1"/>
    <xf numFmtId="176" fontId="37" fillId="10" borderId="29" xfId="0" applyNumberFormat="1" applyFont="1" applyFill="1" applyBorder="1" applyAlignment="1">
      <alignment horizontal="right"/>
    </xf>
    <xf numFmtId="0" fontId="7" fillId="10" borderId="4" xfId="0" applyFont="1" applyFill="1" applyBorder="1"/>
    <xf numFmtId="10" fontId="7" fillId="10" borderId="4" xfId="2" applyNumberFormat="1" applyFont="1" applyFill="1" applyBorder="1"/>
    <xf numFmtId="0" fontId="6" fillId="10" borderId="4" xfId="0" applyFont="1" applyFill="1" applyBorder="1"/>
    <xf numFmtId="167" fontId="7" fillId="10" borderId="4" xfId="0" applyNumberFormat="1" applyFont="1" applyFill="1" applyBorder="1"/>
    <xf numFmtId="10" fontId="7" fillId="10" borderId="4" xfId="0" applyNumberFormat="1" applyFont="1" applyFill="1" applyBorder="1"/>
    <xf numFmtId="0" fontId="7" fillId="8" borderId="38" xfId="0" applyFont="1" applyFill="1" applyBorder="1"/>
    <xf numFmtId="0" fontId="7" fillId="8" borderId="39" xfId="0" applyFont="1" applyFill="1" applyBorder="1"/>
    <xf numFmtId="166" fontId="7" fillId="8" borderId="39" xfId="0" applyNumberFormat="1" applyFont="1" applyFill="1" applyBorder="1" applyAlignment="1">
      <alignment horizontal="right"/>
    </xf>
    <xf numFmtId="166" fontId="7" fillId="8" borderId="40" xfId="0" applyNumberFormat="1" applyFont="1" applyFill="1" applyBorder="1" applyAlignment="1">
      <alignment horizontal="right"/>
    </xf>
    <xf numFmtId="0" fontId="7" fillId="8" borderId="48" xfId="0" applyFont="1" applyFill="1" applyBorder="1"/>
    <xf numFmtId="0" fontId="10" fillId="8" borderId="46" xfId="0" applyFont="1" applyFill="1" applyBorder="1"/>
    <xf numFmtId="165" fontId="7" fillId="8" borderId="46" xfId="0" applyNumberFormat="1" applyFont="1" applyFill="1" applyBorder="1" applyAlignment="1">
      <alignment horizontal="center"/>
    </xf>
    <xf numFmtId="166" fontId="7" fillId="8" borderId="46" xfId="0" applyNumberFormat="1" applyFont="1" applyFill="1" applyBorder="1" applyAlignment="1">
      <alignment horizontal="center"/>
    </xf>
    <xf numFmtId="166" fontId="7" fillId="8" borderId="47" xfId="0" applyNumberFormat="1" applyFont="1" applyFill="1" applyBorder="1" applyAlignment="1">
      <alignment horizontal="center"/>
    </xf>
    <xf numFmtId="0" fontId="37" fillId="0" borderId="0" xfId="0" applyFont="1" applyAlignment="1">
      <alignment vertical="center"/>
    </xf>
    <xf numFmtId="0" fontId="37" fillId="0" borderId="24" xfId="0" applyFont="1" applyBorder="1"/>
    <xf numFmtId="0" fontId="37" fillId="0" borderId="34" xfId="0" applyFont="1" applyBorder="1" applyAlignment="1">
      <alignment horizontal="left" indent="1"/>
    </xf>
    <xf numFmtId="169" fontId="42" fillId="0" borderId="0" xfId="2" applyNumberFormat="1" applyFont="1" applyBorder="1"/>
    <xf numFmtId="169" fontId="42" fillId="0" borderId="29" xfId="2" applyNumberFormat="1" applyFont="1" applyBorder="1"/>
    <xf numFmtId="0" fontId="37" fillId="0" borderId="34" xfId="7" applyFont="1" applyBorder="1"/>
    <xf numFmtId="0" fontId="37" fillId="0" borderId="34" xfId="0" applyFont="1" applyBorder="1"/>
    <xf numFmtId="0" fontId="37" fillId="0" borderId="32" xfId="0" applyFont="1" applyBorder="1"/>
    <xf numFmtId="0" fontId="38" fillId="8" borderId="16" xfId="0" applyFont="1" applyFill="1" applyBorder="1"/>
    <xf numFmtId="171" fontId="42" fillId="0" borderId="0" xfId="0" applyNumberFormat="1" applyFont="1" applyAlignment="1">
      <alignment horizontal="right"/>
    </xf>
    <xf numFmtId="171" fontId="42" fillId="0" borderId="29" xfId="0" applyNumberFormat="1" applyFont="1" applyBorder="1" applyAlignment="1">
      <alignment horizontal="right"/>
    </xf>
    <xf numFmtId="0" fontId="37" fillId="0" borderId="28" xfId="0" applyFont="1" applyBorder="1"/>
    <xf numFmtId="171" fontId="42" fillId="0" borderId="28" xfId="0" applyNumberFormat="1" applyFont="1" applyBorder="1" applyAlignment="1">
      <alignment horizontal="right"/>
    </xf>
    <xf numFmtId="171" fontId="42" fillId="0" borderId="30" xfId="0" applyNumberFormat="1" applyFont="1" applyBorder="1" applyAlignment="1">
      <alignment horizontal="right"/>
    </xf>
    <xf numFmtId="166" fontId="7" fillId="8" borderId="52" xfId="0" applyNumberFormat="1" applyFont="1" applyFill="1" applyBorder="1" applyAlignment="1">
      <alignment horizontal="right"/>
    </xf>
    <xf numFmtId="168" fontId="6" fillId="0" borderId="24" xfId="0" applyNumberFormat="1" applyFont="1" applyBorder="1" applyAlignment="1">
      <alignment horizontal="right"/>
    </xf>
    <xf numFmtId="10" fontId="15" fillId="0" borderId="24" xfId="2" applyNumberFormat="1" applyFont="1" applyBorder="1" applyAlignment="1">
      <alignment horizontal="right"/>
    </xf>
    <xf numFmtId="168" fontId="7" fillId="0" borderId="24" xfId="0" applyNumberFormat="1" applyFont="1" applyBorder="1" applyAlignment="1">
      <alignment horizontal="right"/>
    </xf>
    <xf numFmtId="168" fontId="7" fillId="10" borderId="51" xfId="0" applyNumberFormat="1" applyFont="1" applyFill="1" applyBorder="1" applyAlignment="1">
      <alignment horizontal="right"/>
    </xf>
    <xf numFmtId="178" fontId="6" fillId="0" borderId="24" xfId="8" applyNumberFormat="1" applyFont="1" applyBorder="1"/>
    <xf numFmtId="178" fontId="7" fillId="0" borderId="24" xfId="8" applyNumberFormat="1" applyFont="1" applyBorder="1"/>
    <xf numFmtId="0" fontId="6" fillId="2" borderId="3" xfId="1" applyFont="1" applyAlignment="1">
      <alignment horizontal="right"/>
    </xf>
    <xf numFmtId="0" fontId="6" fillId="0" borderId="4" xfId="0" applyFont="1" applyBorder="1"/>
    <xf numFmtId="179" fontId="7" fillId="0" borderId="16" xfId="0" applyNumberFormat="1" applyFont="1" applyBorder="1"/>
    <xf numFmtId="0" fontId="6" fillId="0" borderId="25" xfId="0" applyFont="1" applyBorder="1"/>
    <xf numFmtId="170" fontId="6" fillId="0" borderId="34" xfId="0" applyNumberFormat="1" applyFont="1" applyBorder="1" applyAlignment="1">
      <alignment horizontal="right"/>
    </xf>
    <xf numFmtId="170" fontId="6" fillId="0" borderId="25" xfId="0" applyNumberFormat="1" applyFont="1" applyBorder="1" applyAlignment="1">
      <alignment horizontal="right"/>
    </xf>
    <xf numFmtId="178" fontId="6" fillId="0" borderId="0" xfId="8" applyNumberFormat="1" applyFont="1" applyBorder="1"/>
    <xf numFmtId="178" fontId="6" fillId="0" borderId="32" xfId="8" applyNumberFormat="1" applyFont="1" applyBorder="1"/>
    <xf numFmtId="178" fontId="6" fillId="0" borderId="28" xfId="8" applyNumberFormat="1" applyFont="1" applyBorder="1"/>
    <xf numFmtId="0" fontId="7" fillId="0" borderId="25" xfId="0" applyFont="1" applyBorder="1"/>
    <xf numFmtId="0" fontId="6" fillId="0" borderId="33" xfId="0" applyFont="1" applyBorder="1"/>
    <xf numFmtId="168" fontId="7" fillId="0" borderId="34" xfId="0" applyNumberFormat="1" applyFont="1" applyBorder="1" applyAlignment="1">
      <alignment horizontal="right"/>
    </xf>
    <xf numFmtId="168" fontId="7" fillId="0" borderId="25" xfId="0" applyNumberFormat="1" applyFont="1" applyBorder="1" applyAlignment="1">
      <alignment horizontal="right"/>
    </xf>
    <xf numFmtId="0" fontId="4" fillId="3" borderId="34" xfId="0" applyFont="1" applyFill="1" applyBorder="1"/>
    <xf numFmtId="0" fontId="34" fillId="3" borderId="25" xfId="0" applyFont="1" applyFill="1" applyBorder="1"/>
    <xf numFmtId="0" fontId="5" fillId="3" borderId="25" xfId="0" applyFont="1" applyFill="1" applyBorder="1"/>
    <xf numFmtId="165" fontId="4" fillId="3" borderId="25" xfId="0" applyNumberFormat="1" applyFont="1" applyFill="1" applyBorder="1"/>
    <xf numFmtId="166" fontId="4" fillId="3" borderId="25" xfId="0" applyNumberFormat="1" applyFont="1" applyFill="1" applyBorder="1"/>
    <xf numFmtId="166" fontId="4" fillId="3" borderId="33" xfId="0" applyNumberFormat="1" applyFont="1" applyFill="1" applyBorder="1"/>
    <xf numFmtId="169" fontId="15" fillId="0" borderId="0" xfId="2" applyNumberFormat="1" applyFont="1" applyBorder="1"/>
    <xf numFmtId="169" fontId="15" fillId="0" borderId="29" xfId="2" applyNumberFormat="1" applyFont="1" applyBorder="1"/>
    <xf numFmtId="169" fontId="16" fillId="0" borderId="0" xfId="2" applyNumberFormat="1" applyFont="1" applyBorder="1"/>
    <xf numFmtId="169" fontId="16" fillId="0" borderId="29" xfId="2" applyNumberFormat="1" applyFont="1" applyBorder="1"/>
    <xf numFmtId="0" fontId="7" fillId="0" borderId="32" xfId="0" applyFont="1" applyBorder="1"/>
    <xf numFmtId="169" fontId="16" fillId="0" borderId="28" xfId="2" applyNumberFormat="1" applyFont="1" applyBorder="1"/>
    <xf numFmtId="169" fontId="16" fillId="0" borderId="30" xfId="2" applyNumberFormat="1" applyFont="1" applyBorder="1"/>
    <xf numFmtId="174" fontId="6" fillId="0" borderId="0" xfId="0" applyNumberFormat="1" applyFont="1" applyAlignment="1">
      <alignment horizontal="center"/>
    </xf>
    <xf numFmtId="174" fontId="7" fillId="0" borderId="0" xfId="0" applyNumberFormat="1" applyFont="1" applyAlignment="1">
      <alignment horizontal="center"/>
    </xf>
    <xf numFmtId="174" fontId="6" fillId="0" borderId="29" xfId="0" applyNumberFormat="1" applyFont="1" applyBorder="1" applyAlignment="1">
      <alignment horizontal="center"/>
    </xf>
    <xf numFmtId="174" fontId="7" fillId="0" borderId="28" xfId="0" applyNumberFormat="1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6" fillId="0" borderId="29" xfId="0" applyFont="1" applyBorder="1" applyAlignment="1">
      <alignment horizontal="left" indent="1"/>
    </xf>
    <xf numFmtId="0" fontId="6" fillId="0" borderId="28" xfId="0" applyFont="1" applyBorder="1" applyAlignment="1">
      <alignment horizontal="left" indent="1"/>
    </xf>
    <xf numFmtId="0" fontId="6" fillId="0" borderId="30" xfId="0" applyFont="1" applyBorder="1" applyAlignment="1">
      <alignment horizontal="left" indent="1"/>
    </xf>
    <xf numFmtId="0" fontId="6" fillId="0" borderId="24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2" fillId="4" borderId="0" xfId="0" applyFont="1" applyFill="1"/>
    <xf numFmtId="0" fontId="34" fillId="4" borderId="0" xfId="0" applyFont="1" applyFill="1"/>
    <xf numFmtId="0" fontId="4" fillId="4" borderId="0" xfId="0" applyFont="1" applyFill="1"/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7" applyFont="1" applyAlignment="1">
      <alignment horizontal="center"/>
    </xf>
    <xf numFmtId="0" fontId="26" fillId="0" borderId="0" xfId="0" applyFont="1" applyAlignment="1">
      <alignment horizontal="center"/>
    </xf>
    <xf numFmtId="10" fontId="15" fillId="10" borderId="22" xfId="0" applyNumberFormat="1" applyFont="1" applyFill="1" applyBorder="1"/>
    <xf numFmtId="10" fontId="16" fillId="10" borderId="22" xfId="0" applyNumberFormat="1" applyFont="1" applyFill="1" applyBorder="1"/>
    <xf numFmtId="10" fontId="15" fillId="10" borderId="43" xfId="0" applyNumberFormat="1" applyFont="1" applyFill="1" applyBorder="1"/>
    <xf numFmtId="10" fontId="15" fillId="10" borderId="23" xfId="0" applyNumberFormat="1" applyFont="1" applyFill="1" applyBorder="1"/>
    <xf numFmtId="10" fontId="16" fillId="10" borderId="23" xfId="0" applyNumberFormat="1" applyFont="1" applyFill="1" applyBorder="1"/>
    <xf numFmtId="10" fontId="15" fillId="10" borderId="53" xfId="0" applyNumberFormat="1" applyFont="1" applyFill="1" applyBorder="1"/>
    <xf numFmtId="179" fontId="6" fillId="0" borderId="34" xfId="0" applyNumberFormat="1" applyFont="1" applyBorder="1"/>
    <xf numFmtId="179" fontId="6" fillId="0" borderId="25" xfId="0" applyNumberFormat="1" applyFont="1" applyBorder="1"/>
    <xf numFmtId="179" fontId="6" fillId="0" borderId="33" xfId="0" applyNumberFormat="1" applyFont="1" applyBorder="1"/>
    <xf numFmtId="179" fontId="6" fillId="0" borderId="24" xfId="0" applyNumberFormat="1" applyFont="1" applyBorder="1"/>
    <xf numFmtId="179" fontId="6" fillId="0" borderId="0" xfId="0" applyNumberFormat="1" applyFont="1"/>
    <xf numFmtId="179" fontId="6" fillId="0" borderId="29" xfId="0" applyNumberFormat="1" applyFont="1" applyBorder="1"/>
    <xf numFmtId="179" fontId="6" fillId="0" borderId="32" xfId="0" applyNumberFormat="1" applyFont="1" applyBorder="1"/>
    <xf numFmtId="179" fontId="6" fillId="0" borderId="28" xfId="0" applyNumberFormat="1" applyFont="1" applyBorder="1"/>
    <xf numFmtId="179" fontId="6" fillId="0" borderId="30" xfId="0" applyNumberFormat="1" applyFont="1" applyBorder="1"/>
    <xf numFmtId="0" fontId="45" fillId="4" borderId="16" xfId="0" applyFont="1" applyFill="1" applyBorder="1"/>
    <xf numFmtId="0" fontId="43" fillId="4" borderId="0" xfId="0" applyFont="1" applyFill="1" applyAlignment="1">
      <alignment horizontal="center"/>
    </xf>
    <xf numFmtId="0" fontId="38" fillId="0" borderId="0" xfId="0" applyFont="1" applyAlignment="1">
      <alignment horizontal="right" vertical="center"/>
    </xf>
    <xf numFmtId="166" fontId="43" fillId="4" borderId="36" xfId="0" applyNumberFormat="1" applyFont="1" applyFill="1" applyBorder="1" applyAlignment="1">
      <alignment horizontal="left"/>
    </xf>
    <xf numFmtId="166" fontId="43" fillId="4" borderId="50" xfId="0" applyNumberFormat="1" applyFont="1" applyFill="1" applyBorder="1" applyAlignment="1">
      <alignment horizontal="left"/>
    </xf>
    <xf numFmtId="166" fontId="43" fillId="4" borderId="37" xfId="0" applyNumberFormat="1" applyFont="1" applyFill="1" applyBorder="1" applyAlignment="1">
      <alignment horizontal="left"/>
    </xf>
    <xf numFmtId="165" fontId="43" fillId="4" borderId="4" xfId="0" applyNumberFormat="1" applyFont="1" applyFill="1" applyBorder="1"/>
    <xf numFmtId="166" fontId="43" fillId="4" borderId="4" xfId="0" applyNumberFormat="1" applyFont="1" applyFill="1" applyBorder="1" applyAlignment="1">
      <alignment horizontal="right"/>
    </xf>
    <xf numFmtId="178" fontId="37" fillId="0" borderId="25" xfId="8" applyNumberFormat="1" applyFont="1" applyBorder="1"/>
    <xf numFmtId="178" fontId="37" fillId="0" borderId="0" xfId="8" applyNumberFormat="1" applyFont="1" applyFill="1" applyBorder="1"/>
    <xf numFmtId="178" fontId="37" fillId="0" borderId="25" xfId="8" applyNumberFormat="1" applyFont="1" applyFill="1" applyBorder="1"/>
    <xf numFmtId="169" fontId="42" fillId="0" borderId="0" xfId="2" applyNumberFormat="1" applyFont="1" applyBorder="1"/>
    <xf numFmtId="166" fontId="43" fillId="4" borderId="31" xfId="0" applyNumberFormat="1" applyFont="1" applyFill="1" applyBorder="1" applyAlignment="1">
      <alignment horizontal="right"/>
    </xf>
    <xf numFmtId="178" fontId="37" fillId="0" borderId="29" xfId="8" applyNumberFormat="1" applyFont="1" applyFill="1" applyBorder="1"/>
    <xf numFmtId="178" fontId="37" fillId="0" borderId="33" xfId="8" applyNumberFormat="1" applyFont="1" applyFill="1" applyBorder="1"/>
    <xf numFmtId="169" fontId="42" fillId="0" borderId="29" xfId="2" applyNumberFormat="1" applyFont="1" applyBorder="1"/>
    <xf numFmtId="178" fontId="37" fillId="0" borderId="33" xfId="8" applyNumberFormat="1" applyFont="1" applyBorder="1"/>
    <xf numFmtId="168" fontId="37" fillId="0" borderId="25" xfId="0" applyNumberFormat="1" applyFont="1" applyBorder="1"/>
    <xf numFmtId="0" fontId="37" fillId="0" borderId="25" xfId="0" applyFont="1" applyBorder="1"/>
    <xf numFmtId="178" fontId="37" fillId="0" borderId="0" xfId="8" applyNumberFormat="1" applyFont="1" applyBorder="1"/>
    <xf numFmtId="176" fontId="37" fillId="0" borderId="0" xfId="0" applyNumberFormat="1" applyFont="1"/>
    <xf numFmtId="176" fontId="37" fillId="0" borderId="28" xfId="0" applyNumberFormat="1" applyFont="1" applyBorder="1"/>
    <xf numFmtId="176" fontId="37" fillId="0" borderId="28" xfId="0" applyNumberFormat="1" applyFont="1" applyBorder="1" applyAlignment="1">
      <alignment horizontal="right"/>
    </xf>
    <xf numFmtId="0" fontId="37" fillId="0" borderId="33" xfId="0" applyFont="1" applyBorder="1"/>
    <xf numFmtId="178" fontId="37" fillId="0" borderId="29" xfId="8" applyNumberFormat="1" applyFont="1" applyBorder="1"/>
    <xf numFmtId="176" fontId="37" fillId="0" borderId="29" xfId="0" applyNumberFormat="1" applyFont="1" applyBorder="1"/>
    <xf numFmtId="176" fontId="37" fillId="0" borderId="30" xfId="0" applyNumberFormat="1" applyFont="1" applyBorder="1"/>
    <xf numFmtId="165" fontId="39" fillId="8" borderId="4" xfId="0" applyNumberFormat="1" applyFont="1" applyFill="1" applyBorder="1"/>
    <xf numFmtId="166" fontId="39" fillId="8" borderId="4" xfId="0" applyNumberFormat="1" applyFont="1" applyFill="1" applyBorder="1" applyAlignment="1">
      <alignment horizontal="right"/>
    </xf>
    <xf numFmtId="166" fontId="39" fillId="8" borderId="31" xfId="0" applyNumberFormat="1" applyFont="1" applyFill="1" applyBorder="1" applyAlignment="1">
      <alignment horizontal="right"/>
    </xf>
    <xf numFmtId="0" fontId="37" fillId="0" borderId="0" xfId="0" applyFont="1"/>
    <xf numFmtId="0" fontId="7" fillId="8" borderId="34" xfId="0" applyFont="1" applyFill="1" applyBorder="1" applyAlignment="1">
      <alignment horizontal="center"/>
    </xf>
    <xf numFmtId="0" fontId="7" fillId="8" borderId="25" xfId="0" applyFont="1" applyFill="1" applyBorder="1" applyAlignment="1">
      <alignment horizontal="center"/>
    </xf>
    <xf numFmtId="0" fontId="7" fillId="8" borderId="33" xfId="0" applyFont="1" applyFill="1" applyBorder="1" applyAlignment="1">
      <alignment horizontal="center"/>
    </xf>
    <xf numFmtId="0" fontId="7" fillId="0" borderId="16" xfId="0" applyFont="1" applyBorder="1" applyAlignment="1">
      <alignment horizontal="left" indent="1"/>
    </xf>
    <xf numFmtId="0" fontId="7" fillId="0" borderId="4" xfId="0" applyFont="1" applyBorder="1" applyAlignment="1">
      <alignment horizontal="left" indent="1"/>
    </xf>
    <xf numFmtId="0" fontId="7" fillId="0" borderId="31" xfId="0" applyFont="1" applyBorder="1" applyAlignment="1">
      <alignment horizontal="left" indent="1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22" xfId="0" applyFont="1" applyFill="1" applyBorder="1" applyAlignment="1">
      <alignment horizontal="center" vertical="center" textRotation="90"/>
    </xf>
    <xf numFmtId="0" fontId="4" fillId="3" borderId="43" xfId="0" applyFont="1" applyFill="1" applyBorder="1" applyAlignment="1">
      <alignment horizontal="center" vertical="center" textRotation="90"/>
    </xf>
    <xf numFmtId="0" fontId="4" fillId="3" borderId="39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6" fillId="2" borderId="17" xfId="1" applyFont="1" applyBorder="1"/>
    <xf numFmtId="0" fontId="6" fillId="2" borderId="18" xfId="1" applyFont="1" applyBorder="1"/>
    <xf numFmtId="0" fontId="6" fillId="2" borderId="19" xfId="1" applyFont="1" applyBorder="1"/>
    <xf numFmtId="0" fontId="8" fillId="0" borderId="24" xfId="0" applyFont="1" applyBorder="1" applyAlignment="1">
      <alignment horizontal="left" indent="1"/>
    </xf>
    <xf numFmtId="0" fontId="8" fillId="0" borderId="24" xfId="0" applyFont="1" applyBorder="1" applyAlignment="1">
      <alignment horizontal="left" indent="2"/>
    </xf>
    <xf numFmtId="0" fontId="8" fillId="0" borderId="32" xfId="0" applyFont="1" applyBorder="1" applyAlignment="1">
      <alignment horizontal="left" indent="2"/>
    </xf>
    <xf numFmtId="0" fontId="46" fillId="0" borderId="24" xfId="0" applyFont="1" applyBorder="1" applyAlignment="1">
      <alignment horizontal="left" indent="1"/>
    </xf>
  </cellXfs>
  <cellStyles count="9">
    <cellStyle name="Assumption" xfId="4" xr:uid="{13E0F060-244A-4114-804B-D04C2B579D70}"/>
    <cellStyle name="Comma" xfId="8" builtinId="3"/>
    <cellStyle name="Hyperlink" xfId="5" builtinId="8"/>
    <cellStyle name="Normal" xfId="0" builtinId="0"/>
    <cellStyle name="Normal_1" xfId="7" xr:uid="{84F30508-1BA6-480D-880A-10F79C0DAE3A}"/>
    <cellStyle name="Note" xfId="1" builtinId="10"/>
    <cellStyle name="Percent" xfId="2" builtinId="5"/>
    <cellStyle name="Title ERP" xfId="6" xr:uid="{77A82A11-F05B-46F3-BC2E-2128335B1F29}"/>
    <cellStyle name="Warning Text" xfId="3" builtinId="11"/>
  </cellStyles>
  <dxfs count="0"/>
  <tableStyles count="0" defaultTableStyle="TableStyleMedium2" defaultPivotStyle="PivotStyleLight16"/>
  <colors>
    <mruColors>
      <color rgb="FF00004D"/>
      <color rgb="FF001440"/>
      <color rgb="FF0000FF"/>
      <color rgb="FF00006C"/>
      <color rgb="FF00B000"/>
      <color rgb="FFF4FFAF"/>
      <color rgb="FF6666CC"/>
      <color rgb="FF8DA9DB"/>
      <color rgb="FF0080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21882</xdr:colOff>
      <xdr:row>3</xdr:row>
      <xdr:rowOff>25131</xdr:rowOff>
    </xdr:from>
    <xdr:to>
      <xdr:col>1</xdr:col>
      <xdr:colOff>871319</xdr:colOff>
      <xdr:row>3</xdr:row>
      <xdr:rowOff>421534</xdr:rowOff>
    </xdr:to>
    <xdr:pic>
      <xdr:nvPicPr>
        <xdr:cNvPr id="2" name="Picture 1" descr="borouge #inspiringtomorrow #innovation ...">
          <a:extLst>
            <a:ext uri="{FF2B5EF4-FFF2-40B4-BE49-F238E27FC236}">
              <a16:creationId xmlns:a16="http://schemas.microsoft.com/office/drawing/2014/main" id="{B7E63448-0A92-5035-EEB0-FE6ED2A17A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52" t="29411" r="24236" b="29412"/>
        <a:stretch>
          <a:fillRect/>
        </a:stretch>
      </xdr:blipFill>
      <xdr:spPr bwMode="auto">
        <a:xfrm>
          <a:off x="220002" y="550911"/>
          <a:ext cx="849437" cy="396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15240</xdr:colOff>
      <xdr:row>8</xdr:row>
      <xdr:rowOff>129540</xdr:rowOff>
    </xdr:from>
    <xdr:ext cx="2819400" cy="11201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9A1DBA-0E94-425F-A8F5-D682F6472281}"/>
            </a:ext>
          </a:extLst>
        </xdr:cNvPr>
        <xdr:cNvSpPr txBox="1"/>
      </xdr:nvSpPr>
      <xdr:spPr>
        <a:xfrm>
          <a:off x="213360" y="1935480"/>
          <a:ext cx="2819400" cy="11201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fontAlgn="b"/>
          <a:r>
            <a:rPr lang="en-IN" sz="11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Products Manufactured </a:t>
          </a:r>
          <a:endParaRPr lang="en-IN" sz="1100" b="0" i="0" u="sng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Polyethylene (PE) Primary product</a:t>
          </a:r>
        </a:p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Polypropylene (PP) Primary product</a:t>
          </a:r>
        </a:p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Ethylene &amp; Propylene</a:t>
          </a:r>
        </a:p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Polyolefin solutions &amp; compounds </a:t>
          </a:r>
        </a:p>
      </xdr:txBody>
    </xdr:sp>
    <xdr:clientData/>
  </xdr:oneCellAnchor>
  <xdr:oneCellAnchor>
    <xdr:from>
      <xdr:col>3</xdr:col>
      <xdr:colOff>464820</xdr:colOff>
      <xdr:row>8</xdr:row>
      <xdr:rowOff>129541</xdr:rowOff>
    </xdr:from>
    <xdr:ext cx="2438400" cy="11201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96FCD6-C376-4CAF-B740-151C04B828FD}"/>
            </a:ext>
          </a:extLst>
        </xdr:cNvPr>
        <xdr:cNvSpPr txBox="1"/>
      </xdr:nvSpPr>
      <xdr:spPr>
        <a:xfrm>
          <a:off x="3108960" y="1935481"/>
          <a:ext cx="2438400" cy="11201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Sales by sector</a:t>
          </a:r>
          <a:r>
            <a:rPr lang="en-IN" b="1" u="sng">
              <a:effectLst/>
              <a:latin typeface="+mn-lt"/>
            </a:rPr>
            <a:t> </a:t>
          </a:r>
        </a:p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Energy &amp; infrastructure       - 40%</a:t>
          </a:r>
        </a:p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Advanced packaging            - 25%</a:t>
          </a:r>
        </a:p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Mobility (automotive)          - 15%</a:t>
          </a:r>
        </a:p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Healthcare &amp; agriculture     - 12%</a:t>
          </a:r>
        </a:p>
        <a:p>
          <a:pPr fontAlgn="b"/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                                      - 8%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26EC-05B6-4765-9112-E5A4EA942541}">
  <dimension ref="B2:T37"/>
  <sheetViews>
    <sheetView showGridLines="0" tabSelected="1" topLeftCell="A13" workbookViewId="0">
      <selection activeCell="C34" sqref="C34"/>
    </sheetView>
  </sheetViews>
  <sheetFormatPr defaultRowHeight="13.2" x14ac:dyDescent="0.25"/>
  <cols>
    <col min="1" max="1" width="2.88671875" style="1" customWidth="1"/>
    <col min="2" max="5" width="8.88671875" style="1"/>
    <col min="6" max="6" width="9.77734375" style="1" customWidth="1"/>
    <col min="7" max="7" width="17.77734375" style="1" customWidth="1"/>
    <col min="8" max="8" width="16.109375" style="1" customWidth="1"/>
    <col min="9" max="9" width="15.33203125" style="1" customWidth="1"/>
    <col min="10" max="10" width="7.88671875" style="1" customWidth="1"/>
    <col min="11" max="11" width="8.44140625" style="1" customWidth="1"/>
    <col min="12" max="12" width="11.33203125" style="1" customWidth="1"/>
    <col min="13" max="13" width="6" style="1" customWidth="1"/>
    <col min="14" max="14" width="9.21875" style="1" bestFit="1" customWidth="1"/>
    <col min="15" max="16384" width="8.88671875" style="1"/>
  </cols>
  <sheetData>
    <row r="2" spans="2:20" ht="13.8" x14ac:dyDescent="0.25">
      <c r="B2" s="359" t="s">
        <v>143</v>
      </c>
      <c r="C2" s="261"/>
      <c r="D2" s="261"/>
      <c r="E2" s="261"/>
      <c r="F2" s="261"/>
      <c r="G2" s="261"/>
      <c r="H2" s="261"/>
    </row>
    <row r="3" spans="2:20" ht="13.8" x14ac:dyDescent="0.25">
      <c r="B3" s="361" t="s">
        <v>26</v>
      </c>
      <c r="C3" s="261"/>
      <c r="D3" s="261"/>
      <c r="E3" s="261"/>
      <c r="F3" s="261"/>
      <c r="G3" s="261"/>
      <c r="H3" s="261"/>
    </row>
    <row r="4" spans="2:20" ht="13.8" x14ac:dyDescent="0.25">
      <c r="B4" s="360" t="s">
        <v>413</v>
      </c>
      <c r="C4" s="261"/>
      <c r="D4" s="261"/>
      <c r="E4" s="261"/>
      <c r="F4" s="261"/>
      <c r="G4" s="261"/>
      <c r="H4" s="261"/>
    </row>
    <row r="6" spans="2:20" x14ac:dyDescent="0.25">
      <c r="B6" s="232" t="s">
        <v>15</v>
      </c>
      <c r="C6" s="232"/>
      <c r="D6" s="232"/>
      <c r="E6" s="232"/>
      <c r="F6" s="232" t="s">
        <v>4</v>
      </c>
      <c r="G6" s="232"/>
      <c r="H6" s="134"/>
    </row>
    <row r="7" spans="2:20" x14ac:dyDescent="0.25">
      <c r="G7" s="24"/>
    </row>
    <row r="8" spans="2:20" x14ac:dyDescent="0.25">
      <c r="B8" s="1" t="s">
        <v>0</v>
      </c>
      <c r="G8" s="323" t="str">
        <f>B2</f>
        <v>Borouge PLC</v>
      </c>
    </row>
    <row r="9" spans="2:20" x14ac:dyDescent="0.25">
      <c r="B9" s="1" t="s">
        <v>5</v>
      </c>
      <c r="G9" s="323" t="s">
        <v>144</v>
      </c>
      <c r="P9" s="2"/>
      <c r="Q9" s="2"/>
      <c r="R9" s="2"/>
      <c r="S9" s="2"/>
      <c r="T9" s="2"/>
    </row>
    <row r="10" spans="2:20" x14ac:dyDescent="0.25">
      <c r="B10" s="1" t="s">
        <v>408</v>
      </c>
      <c r="G10" s="262" t="s">
        <v>409</v>
      </c>
      <c r="P10" s="2"/>
      <c r="Q10" s="2"/>
      <c r="R10" s="2"/>
      <c r="S10" s="2"/>
      <c r="T10" s="2"/>
    </row>
    <row r="11" spans="2:20" x14ac:dyDescent="0.25">
      <c r="P11" s="2"/>
      <c r="Q11" s="2"/>
      <c r="R11" s="2"/>
      <c r="S11" s="2"/>
      <c r="T11" s="2"/>
    </row>
    <row r="12" spans="2:20" x14ac:dyDescent="0.25">
      <c r="B12" s="3" t="s">
        <v>6</v>
      </c>
      <c r="C12" s="3"/>
      <c r="D12" s="3"/>
      <c r="E12" s="3"/>
      <c r="F12" s="3"/>
      <c r="G12" s="69" t="s">
        <v>33</v>
      </c>
      <c r="P12" s="2"/>
      <c r="Q12" s="2"/>
      <c r="R12" s="2"/>
      <c r="S12" s="2"/>
      <c r="T12" s="2"/>
    </row>
    <row r="13" spans="2:20" x14ac:dyDescent="0.25">
      <c r="P13" s="2"/>
      <c r="Q13" s="2"/>
      <c r="R13" s="2"/>
      <c r="S13" s="2"/>
      <c r="T13" s="2"/>
    </row>
    <row r="14" spans="2:20" x14ac:dyDescent="0.25">
      <c r="B14" s="1" t="s">
        <v>7</v>
      </c>
      <c r="F14" s="1" t="s">
        <v>1</v>
      </c>
      <c r="G14" s="45">
        <f>Statements!I7</f>
        <v>46022</v>
      </c>
      <c r="P14" s="2"/>
      <c r="Q14" s="2"/>
      <c r="R14" s="2"/>
      <c r="S14" s="2"/>
      <c r="T14" s="2"/>
    </row>
    <row r="15" spans="2:20" x14ac:dyDescent="0.25">
      <c r="B15" s="1" t="s">
        <v>8</v>
      </c>
      <c r="F15" s="1" t="s">
        <v>1</v>
      </c>
      <c r="G15" s="45">
        <f>Statements!M7</f>
        <v>47483</v>
      </c>
      <c r="P15" s="2"/>
      <c r="Q15" s="2"/>
      <c r="R15" s="2"/>
      <c r="S15" s="2"/>
      <c r="T15" s="2"/>
    </row>
    <row r="16" spans="2:20" x14ac:dyDescent="0.25">
      <c r="B16" s="1" t="s">
        <v>9</v>
      </c>
      <c r="F16" s="1" t="s">
        <v>10</v>
      </c>
      <c r="G16" s="68">
        <f>YEARFRAC(G14,G15,1)</f>
        <v>4.0005476451259581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x14ac:dyDescent="0.25">
      <c r="B17" s="1" t="s">
        <v>12</v>
      </c>
      <c r="F17" s="1" t="s">
        <v>11</v>
      </c>
      <c r="G17" s="68">
        <v>365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x14ac:dyDescent="0.25">
      <c r="K18" s="2"/>
      <c r="L18" s="2"/>
      <c r="M18" s="2"/>
      <c r="N18" s="2"/>
      <c r="O18" s="2"/>
      <c r="P18" s="2"/>
      <c r="Q18" s="2"/>
      <c r="R18" s="2"/>
      <c r="S18" s="2"/>
      <c r="T18" s="2"/>
    </row>
    <row r="20" spans="2:20" ht="14.4" customHeight="1" x14ac:dyDescent="0.25">
      <c r="B20" s="413" t="s">
        <v>91</v>
      </c>
      <c r="C20" s="414"/>
      <c r="D20" s="414"/>
      <c r="E20" s="415"/>
    </row>
    <row r="21" spans="2:20" x14ac:dyDescent="0.25">
      <c r="B21" s="263" t="s">
        <v>318</v>
      </c>
      <c r="C21" s="416" t="s">
        <v>92</v>
      </c>
      <c r="D21" s="417"/>
      <c r="E21" s="418"/>
    </row>
    <row r="22" spans="2:20" ht="13.8" x14ac:dyDescent="0.25">
      <c r="B22" s="357">
        <v>1</v>
      </c>
      <c r="C22" s="436" t="s">
        <v>26</v>
      </c>
      <c r="D22" s="353"/>
      <c r="E22" s="354"/>
    </row>
    <row r="23" spans="2:20" ht="13.8" x14ac:dyDescent="0.25">
      <c r="B23" s="357"/>
      <c r="C23" s="439" t="s">
        <v>39</v>
      </c>
      <c r="D23" s="353"/>
      <c r="E23" s="354"/>
    </row>
    <row r="24" spans="2:20" ht="13.8" x14ac:dyDescent="0.25">
      <c r="B24" s="357">
        <v>2</v>
      </c>
      <c r="C24" s="437" t="s">
        <v>40</v>
      </c>
      <c r="D24" s="353"/>
      <c r="E24" s="354"/>
    </row>
    <row r="25" spans="2:20" ht="13.8" x14ac:dyDescent="0.25">
      <c r="B25" s="357">
        <v>3</v>
      </c>
      <c r="C25" s="437" t="s">
        <v>30</v>
      </c>
      <c r="D25" s="353"/>
      <c r="E25" s="354"/>
    </row>
    <row r="26" spans="2:20" ht="13.8" x14ac:dyDescent="0.25">
      <c r="B26" s="357">
        <v>4</v>
      </c>
      <c r="C26" s="437" t="s">
        <v>13</v>
      </c>
      <c r="D26" s="353"/>
      <c r="E26" s="354"/>
    </row>
    <row r="27" spans="2:20" ht="13.8" x14ac:dyDescent="0.25">
      <c r="B27" s="357">
        <v>5</v>
      </c>
      <c r="C27" s="437" t="s">
        <v>37</v>
      </c>
      <c r="D27" s="353"/>
      <c r="E27" s="354"/>
    </row>
    <row r="28" spans="2:20" ht="13.8" x14ac:dyDescent="0.25">
      <c r="B28" s="357"/>
      <c r="C28" s="439" t="s">
        <v>42</v>
      </c>
      <c r="D28" s="353"/>
      <c r="E28" s="354"/>
    </row>
    <row r="29" spans="2:20" ht="13.8" x14ac:dyDescent="0.25">
      <c r="B29" s="357">
        <v>6</v>
      </c>
      <c r="C29" s="437" t="s">
        <v>45</v>
      </c>
      <c r="D29" s="353"/>
      <c r="E29" s="354"/>
    </row>
    <row r="30" spans="2:20" ht="13.8" x14ac:dyDescent="0.25">
      <c r="B30" s="357">
        <v>7</v>
      </c>
      <c r="C30" s="437" t="s">
        <v>44</v>
      </c>
      <c r="D30" s="353"/>
      <c r="E30" s="354"/>
    </row>
    <row r="31" spans="2:20" ht="13.8" x14ac:dyDescent="0.25">
      <c r="B31" s="357">
        <v>8</v>
      </c>
      <c r="C31" s="437" t="s">
        <v>43</v>
      </c>
      <c r="D31" s="353"/>
      <c r="E31" s="354"/>
    </row>
    <row r="32" spans="2:20" ht="13.8" x14ac:dyDescent="0.25">
      <c r="B32" s="357">
        <v>9</v>
      </c>
      <c r="C32" s="437" t="s">
        <v>93</v>
      </c>
      <c r="D32" s="353"/>
      <c r="E32" s="354"/>
    </row>
    <row r="33" spans="2:5" ht="13.8" x14ac:dyDescent="0.25">
      <c r="B33" s="357">
        <v>10</v>
      </c>
      <c r="C33" s="437" t="s">
        <v>404</v>
      </c>
      <c r="D33" s="353"/>
      <c r="E33" s="354"/>
    </row>
    <row r="34" spans="2:5" ht="13.8" x14ac:dyDescent="0.25">
      <c r="B34" s="357"/>
      <c r="C34" s="439" t="s">
        <v>53</v>
      </c>
      <c r="D34" s="353"/>
      <c r="E34" s="354"/>
    </row>
    <row r="35" spans="2:5" ht="13.8" x14ac:dyDescent="0.25">
      <c r="B35" s="358">
        <v>11</v>
      </c>
      <c r="C35" s="438" t="s">
        <v>121</v>
      </c>
      <c r="D35" s="355"/>
      <c r="E35" s="356"/>
    </row>
    <row r="37" spans="2:5" x14ac:dyDescent="0.25">
      <c r="B37" s="232" t="s">
        <v>410</v>
      </c>
      <c r="C37" s="232"/>
    </row>
  </sheetData>
  <mergeCells count="2">
    <mergeCell ref="B20:E20"/>
    <mergeCell ref="C21:E21"/>
  </mergeCells>
  <hyperlinks>
    <hyperlink ref="C22" location="Dashboard!A1" display="Dashboard" xr:uid="{9C73C154-C68B-454C-852F-D91427F3C438}"/>
    <hyperlink ref="C23" location="'Financials-&gt;'!A1" display="Financials" xr:uid="{9EB1F29F-EE24-4AE6-AFF2-F1CBF4F8C1DE}"/>
    <hyperlink ref="C24" location="Statements!A1" display="Statements" xr:uid="{FF406334-9291-44BC-A10D-46BA488F313D}"/>
    <hyperlink ref="C25" location="Scenario!A1" display="Scenario" xr:uid="{627DCDE0-0927-4D09-AABB-133D7D82A9AD}"/>
    <hyperlink ref="C26" location="Assumptions!A1" display="Assumptions" xr:uid="{B0546597-0306-49E6-8CA2-46F168078804}"/>
    <hyperlink ref="C27" location="Schedule!A1" display="Schedule" xr:uid="{F8C637A0-EADC-4EA0-984D-A00DB590DF2C}"/>
    <hyperlink ref="C28" location="'Valuation-&gt;'!A1" display="Valuation" xr:uid="{285E0536-6BC2-46FA-8BAF-2F6A42DB5126}"/>
    <hyperlink ref="C29" location="Beta!A1" display="Beta" xr:uid="{9EFBD76D-E381-42AC-BD1F-8C26DC615ED0}"/>
    <hyperlink ref="C30" location="WACC!A1" display="WACC" xr:uid="{0415E4CF-6814-493D-A057-79F7E9E7D99F}"/>
    <hyperlink ref="C31" location="FCFF!A1" display="FCFF" xr:uid="{B5AD4E4D-210D-4829-927E-24383B87FBCF}"/>
    <hyperlink ref="C34" location="Report!A1" display="Report" xr:uid="{AE5AD584-FDA9-4512-AFC4-856E2FEB3AAE}"/>
    <hyperlink ref="C35" location="'Equity Report'!A1" display="Equity Report" xr:uid="{0FFC448C-375D-41DE-A8DB-BBD220A9CB46}"/>
    <hyperlink ref="C32" location="'Ratio Analysis'!A1" display="Ratio Analysis" xr:uid="{71B97E50-971D-4837-A6B4-58EF43AF1C7C}"/>
    <hyperlink ref="C33" location="Analysis!A1" display="Analysis" xr:uid="{A549E016-48B0-4D58-85D9-D0297A2DDE7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Scenario" prompt="Optimestic - &quot;Best&quot;_x000a_Street - &quot;Market&quot;_x000a_Pessimestic - &quot;Worst&quot;" xr:uid="{D8C8D7D8-48EB-49CE-BD5A-11487FC86F41}">
          <x14:formula1>
            <xm:f>Scenario!$B$34:$B$36</xm:f>
          </x14:formula1>
          <xm:sqref>G12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CFEF-B378-4225-B4E0-924531738075}">
  <sheetPr>
    <tabColor rgb="FF00004D"/>
  </sheetPr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86AC-83E4-4BFE-86DE-94869AE10D6C}">
  <dimension ref="A1:S142"/>
  <sheetViews>
    <sheetView showGridLines="0" zoomScale="85" zoomScaleNormal="85" workbookViewId="0">
      <selection activeCell="B4" sqref="B4"/>
    </sheetView>
  </sheetViews>
  <sheetFormatPr defaultRowHeight="13.2" outlineLevelRow="1" x14ac:dyDescent="0.25"/>
  <cols>
    <col min="1" max="1" width="2.88671875" style="364" customWidth="1"/>
    <col min="2" max="2" width="12.21875" style="1" customWidth="1"/>
    <col min="3" max="4" width="8.88671875" style="1"/>
    <col min="5" max="5" width="9.77734375" style="1" customWidth="1"/>
    <col min="6" max="13" width="13.109375" style="1" customWidth="1"/>
    <col min="14" max="15" width="12" style="1" customWidth="1"/>
    <col min="16" max="18" width="16" style="1" customWidth="1"/>
    <col min="19" max="16384" width="8.88671875" style="1"/>
  </cols>
  <sheetData>
    <row r="1" spans="1:19" s="5" customFormat="1" ht="13.8" x14ac:dyDescent="0.25">
      <c r="A1" s="362"/>
    </row>
    <row r="2" spans="1:19" s="5" customFormat="1" ht="13.8" x14ac:dyDescent="0.25">
      <c r="A2" s="363"/>
      <c r="B2" s="67" t="str">
        <f>Dashboard!B2</f>
        <v>Borouge PLC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9" s="5" customFormat="1" ht="13.8" x14ac:dyDescent="0.25">
      <c r="A3" s="362"/>
      <c r="B3" s="8" t="s">
        <v>29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9" s="5" customFormat="1" ht="13.8" x14ac:dyDescent="0.25">
      <c r="A4" s="362"/>
      <c r="B4" s="70" t="str">
        <f>Dashboard!B4</f>
        <v>(In Millions AED, except equity share and per equity share data)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9" s="5" customFormat="1" ht="13.8" x14ac:dyDescent="0.25">
      <c r="A5" s="362"/>
      <c r="B5" s="8" t="s">
        <v>32</v>
      </c>
      <c r="C5" s="7"/>
      <c r="D5" s="8" t="str">
        <f>Dashboard!G12</f>
        <v>Street</v>
      </c>
      <c r="E5" s="7"/>
      <c r="F5" s="14"/>
      <c r="G5" s="14"/>
      <c r="H5" s="14"/>
      <c r="I5" s="14"/>
      <c r="J5" s="14"/>
      <c r="K5" s="14"/>
      <c r="L5" s="14"/>
      <c r="M5" s="14"/>
      <c r="N5" s="7"/>
      <c r="O5" s="7"/>
      <c r="P5" s="7"/>
      <c r="Q5" s="7"/>
      <c r="R5" s="7"/>
    </row>
    <row r="6" spans="1:19" s="5" customFormat="1" ht="13.8" x14ac:dyDescent="0.25">
      <c r="A6" s="362"/>
      <c r="B6" s="8" t="s">
        <v>412</v>
      </c>
      <c r="C6" s="10"/>
      <c r="D6" s="10"/>
      <c r="E6" s="10"/>
      <c r="F6" s="419" t="s">
        <v>411</v>
      </c>
      <c r="G6" s="420"/>
      <c r="H6" s="420"/>
      <c r="I6" s="419" t="s">
        <v>304</v>
      </c>
      <c r="J6" s="420"/>
      <c r="K6" s="420"/>
      <c r="L6" s="420"/>
      <c r="M6" s="420"/>
      <c r="N6" s="419" t="s">
        <v>25</v>
      </c>
      <c r="O6" s="421"/>
      <c r="P6" s="422" t="s">
        <v>14</v>
      </c>
      <c r="Q6" s="423"/>
      <c r="R6" s="423"/>
    </row>
    <row r="7" spans="1:19" s="5" customFormat="1" ht="13.8" x14ac:dyDescent="0.25">
      <c r="A7" s="362"/>
      <c r="B7" s="8" t="s">
        <v>305</v>
      </c>
      <c r="C7" s="10"/>
      <c r="D7" s="10"/>
      <c r="E7" s="10"/>
      <c r="F7" s="94">
        <v>44926</v>
      </c>
      <c r="G7" s="94">
        <f t="shared" ref="G7:M7" si="0">EDATE(F7,12)</f>
        <v>45291</v>
      </c>
      <c r="H7" s="95">
        <f t="shared" si="0"/>
        <v>45657</v>
      </c>
      <c r="I7" s="96">
        <f t="shared" si="0"/>
        <v>46022</v>
      </c>
      <c r="J7" s="96">
        <f t="shared" si="0"/>
        <v>46387</v>
      </c>
      <c r="K7" s="97">
        <f t="shared" si="0"/>
        <v>46752</v>
      </c>
      <c r="L7" s="96">
        <f t="shared" si="0"/>
        <v>47118</v>
      </c>
      <c r="M7" s="97">
        <f t="shared" si="0"/>
        <v>47483</v>
      </c>
      <c r="N7" s="98" t="s">
        <v>145</v>
      </c>
      <c r="O7" s="99" t="s">
        <v>34</v>
      </c>
      <c r="P7" s="424"/>
      <c r="Q7" s="425"/>
      <c r="R7" s="425"/>
    </row>
    <row r="8" spans="1:19" x14ac:dyDescent="0.25">
      <c r="F8" s="16"/>
      <c r="G8" s="16"/>
      <c r="K8" s="17"/>
    </row>
    <row r="9" spans="1:19" x14ac:dyDescent="0.25">
      <c r="B9" s="49" t="s">
        <v>41</v>
      </c>
    </row>
    <row r="10" spans="1:19" x14ac:dyDescent="0.25">
      <c r="B10" s="49"/>
      <c r="N10" s="54"/>
      <c r="O10" s="54"/>
      <c r="P10" s="54"/>
      <c r="Q10" s="54"/>
      <c r="R10" s="54"/>
      <c r="S10" s="54"/>
    </row>
    <row r="11" spans="1:19" x14ac:dyDescent="0.25">
      <c r="B11" s="49" t="s">
        <v>47</v>
      </c>
      <c r="C11" s="112" t="s">
        <v>28</v>
      </c>
      <c r="E11" s="112" t="s">
        <v>48</v>
      </c>
      <c r="N11" s="54"/>
      <c r="O11" s="54"/>
      <c r="P11" s="54"/>
      <c r="Q11" s="54"/>
      <c r="R11" s="54"/>
      <c r="S11" s="54"/>
    </row>
    <row r="12" spans="1:19" x14ac:dyDescent="0.25">
      <c r="N12" s="54"/>
      <c r="O12" s="54"/>
      <c r="P12" s="54"/>
      <c r="Q12" s="54"/>
      <c r="R12" s="54"/>
      <c r="S12" s="54"/>
    </row>
    <row r="13" spans="1:19" x14ac:dyDescent="0.25">
      <c r="B13" s="15" t="s">
        <v>16</v>
      </c>
      <c r="C13" s="1" t="s">
        <v>20</v>
      </c>
      <c r="E13" s="15" t="s">
        <v>22</v>
      </c>
      <c r="F13" s="1" t="s">
        <v>403</v>
      </c>
      <c r="N13" s="54"/>
      <c r="O13" s="54"/>
      <c r="P13" s="54"/>
      <c r="Q13" s="54"/>
      <c r="R13" s="54"/>
      <c r="S13" s="54"/>
    </row>
    <row r="14" spans="1:19" x14ac:dyDescent="0.25">
      <c r="B14" s="15" t="s">
        <v>17</v>
      </c>
      <c r="C14" s="1" t="s">
        <v>21</v>
      </c>
      <c r="E14" s="15" t="s">
        <v>4</v>
      </c>
      <c r="F14" s="1" t="s">
        <v>407</v>
      </c>
      <c r="N14" s="54"/>
      <c r="O14" s="54"/>
      <c r="P14" s="54"/>
      <c r="Q14" s="54"/>
      <c r="R14" s="54"/>
      <c r="S14" s="54"/>
    </row>
    <row r="15" spans="1:19" x14ac:dyDescent="0.25">
      <c r="B15" s="15" t="s">
        <v>18</v>
      </c>
      <c r="C15" s="24" t="s">
        <v>23</v>
      </c>
      <c r="E15" s="15" t="s">
        <v>19</v>
      </c>
      <c r="F15" s="1" t="s">
        <v>24</v>
      </c>
      <c r="N15" s="54"/>
      <c r="O15" s="54"/>
      <c r="P15" s="54"/>
      <c r="Q15" s="54"/>
      <c r="R15" s="54"/>
      <c r="S15" s="54"/>
    </row>
    <row r="16" spans="1:19" x14ac:dyDescent="0.25">
      <c r="N16" s="54"/>
      <c r="O16" s="54"/>
      <c r="P16" s="54"/>
      <c r="Q16" s="54"/>
      <c r="R16" s="54"/>
      <c r="S16" s="54"/>
    </row>
    <row r="17" spans="1:19" x14ac:dyDescent="0.25">
      <c r="A17" s="364" t="s">
        <v>27</v>
      </c>
      <c r="B17" s="154" t="s">
        <v>308</v>
      </c>
      <c r="C17" s="155"/>
      <c r="D17" s="155"/>
      <c r="E17" s="155"/>
      <c r="F17" s="160">
        <v>44926</v>
      </c>
      <c r="G17" s="156">
        <v>45291</v>
      </c>
      <c r="H17" s="156">
        <v>45657</v>
      </c>
      <c r="I17" s="157">
        <v>46022</v>
      </c>
      <c r="J17" s="158">
        <v>46387</v>
      </c>
      <c r="K17" s="158">
        <v>46752</v>
      </c>
      <c r="L17" s="158">
        <v>47118</v>
      </c>
      <c r="M17" s="159">
        <v>47483</v>
      </c>
      <c r="N17" s="54"/>
      <c r="O17" s="54"/>
      <c r="P17" s="54"/>
      <c r="Q17" s="54"/>
      <c r="R17" s="54"/>
      <c r="S17" s="54"/>
    </row>
    <row r="18" spans="1:19" hidden="1" outlineLevel="1" x14ac:dyDescent="0.25">
      <c r="B18" s="53"/>
      <c r="F18" s="53"/>
      <c r="I18" s="53"/>
      <c r="M18" s="74"/>
      <c r="N18" s="54"/>
      <c r="O18" s="54"/>
      <c r="P18" s="54"/>
      <c r="Q18" s="54"/>
      <c r="R18" s="54"/>
      <c r="S18" s="54"/>
    </row>
    <row r="19" spans="1:19" s="54" customFormat="1" hidden="1" outlineLevel="1" x14ac:dyDescent="0.25">
      <c r="A19" s="364"/>
      <c r="B19" s="114" t="s">
        <v>124</v>
      </c>
      <c r="F19" s="100">
        <v>3997.1509999999998</v>
      </c>
      <c r="G19" s="79">
        <v>5791.3450000000003</v>
      </c>
      <c r="H19" s="79">
        <v>6026.1229999999996</v>
      </c>
      <c r="I19" s="100">
        <f ca="1">Scenario!J18</f>
        <v>5937.12</v>
      </c>
      <c r="J19" s="79">
        <f ca="1">Scenario!K18</f>
        <v>7622.9999999999991</v>
      </c>
      <c r="K19" s="79">
        <f ca="1">Scenario!L18</f>
        <v>7877.9999999999991</v>
      </c>
      <c r="L19" s="79">
        <f ca="1">Scenario!M18</f>
        <v>8137</v>
      </c>
      <c r="M19" s="80">
        <f ca="1">Scenario!N18</f>
        <v>8400</v>
      </c>
    </row>
    <row r="20" spans="1:19" s="54" customFormat="1" hidden="1" outlineLevel="1" x14ac:dyDescent="0.25">
      <c r="A20" s="364"/>
      <c r="B20" s="114" t="s">
        <v>125</v>
      </c>
      <c r="F20" s="100">
        <f>-Scenario!G44</f>
        <v>-2111.9110000000001</v>
      </c>
      <c r="G20" s="79">
        <f>-Scenario!H44</f>
        <v>-3100.6800000000003</v>
      </c>
      <c r="H20" s="79">
        <f>-Scenario!I44</f>
        <v>-2971.44</v>
      </c>
      <c r="I20" s="100">
        <f ca="1">-Scenario!J44</f>
        <v>-2771.3811030016936</v>
      </c>
      <c r="J20" s="79">
        <f ca="1">-Scenario!K44</f>
        <v>-3737.0796754398757</v>
      </c>
      <c r="K20" s="79">
        <f ca="1">-Scenario!L44</f>
        <v>-3725.8097373600685</v>
      </c>
      <c r="L20" s="79">
        <f ca="1">-Scenario!M44</f>
        <v>-3791.6427662662136</v>
      </c>
      <c r="M20" s="80">
        <f ca="1">-Scenario!N44</f>
        <v>-3912.1900452302216</v>
      </c>
    </row>
    <row r="21" spans="1:19" s="54" customFormat="1" hidden="1" outlineLevel="1" x14ac:dyDescent="0.25">
      <c r="A21" s="364"/>
      <c r="B21" s="117" t="s">
        <v>126</v>
      </c>
      <c r="C21" s="55"/>
      <c r="D21" s="55"/>
      <c r="E21" s="55"/>
      <c r="F21" s="82">
        <f>SUM(F19:F20)</f>
        <v>1885.2399999999998</v>
      </c>
      <c r="G21" s="81">
        <f t="shared" ref="G21:M21" si="1">SUM(G19:G20)</f>
        <v>2690.665</v>
      </c>
      <c r="H21" s="81">
        <f t="shared" si="1"/>
        <v>3054.6829999999995</v>
      </c>
      <c r="I21" s="82">
        <f t="shared" ca="1" si="1"/>
        <v>3165.7388969983062</v>
      </c>
      <c r="J21" s="81">
        <f t="shared" ca="1" si="1"/>
        <v>3885.9203245601234</v>
      </c>
      <c r="K21" s="81">
        <f t="shared" ca="1" si="1"/>
        <v>4152.1902626399306</v>
      </c>
      <c r="L21" s="81">
        <f t="shared" ca="1" si="1"/>
        <v>4345.3572337337864</v>
      </c>
      <c r="M21" s="83">
        <f t="shared" ca="1" si="1"/>
        <v>4487.8099547697784</v>
      </c>
      <c r="N21" s="62">
        <f>_xlfn.RRI(2,F21,H21)</f>
        <v>0.27291601660694531</v>
      </c>
      <c r="O21" s="62">
        <f ca="1">_xlfn.RRI(4,I21,M21)</f>
        <v>9.1163527954868817E-2</v>
      </c>
    </row>
    <row r="22" spans="1:19" s="54" customFormat="1" hidden="1" outlineLevel="1" x14ac:dyDescent="0.25">
      <c r="A22" s="364"/>
      <c r="B22" s="114"/>
      <c r="F22" s="100"/>
      <c r="G22" s="79"/>
      <c r="H22" s="79"/>
      <c r="I22" s="101"/>
      <c r="J22" s="84"/>
      <c r="K22" s="84"/>
      <c r="L22" s="84"/>
      <c r="M22" s="85"/>
    </row>
    <row r="23" spans="1:19" s="54" customFormat="1" hidden="1" outlineLevel="1" x14ac:dyDescent="0.25">
      <c r="A23" s="364"/>
      <c r="B23" s="114" t="s">
        <v>127</v>
      </c>
      <c r="F23" s="100">
        <v>26.707000000000001</v>
      </c>
      <c r="G23" s="79">
        <v>17.350000000000001</v>
      </c>
      <c r="H23" s="79">
        <v>53.951000000000001</v>
      </c>
      <c r="I23" s="100">
        <f ca="1">Assumptions!I13</f>
        <v>36.869936428554325</v>
      </c>
      <c r="J23" s="79">
        <f ca="1">Assumptions!J13</f>
        <v>46.14144699160596</v>
      </c>
      <c r="K23" s="79">
        <f ca="1">Assumptions!K13</f>
        <v>55.712822125868307</v>
      </c>
      <c r="L23" s="79">
        <f ca="1">Assumptions!L13</f>
        <v>52.442818301836859</v>
      </c>
      <c r="M23" s="80">
        <f ca="1">Assumptions!M13</f>
        <v>54.795599425211805</v>
      </c>
    </row>
    <row r="24" spans="1:19" s="54" customFormat="1" hidden="1" outlineLevel="1" x14ac:dyDescent="0.25">
      <c r="A24" s="364"/>
      <c r="B24" s="114" t="s">
        <v>128</v>
      </c>
      <c r="F24" s="100">
        <v>-112.583</v>
      </c>
      <c r="G24" s="79">
        <v>-182.91499999999999</v>
      </c>
      <c r="H24" s="79">
        <v>-193.12100000000001</v>
      </c>
      <c r="I24" s="100">
        <f ca="1">-Scenario!J47</f>
        <v>-181.67056030574267</v>
      </c>
      <c r="J24" s="79">
        <f ca="1">-Scenario!K47</f>
        <v>-239.43998068961557</v>
      </c>
      <c r="K24" s="79">
        <f ca="1">-Scenario!L47</f>
        <v>-246.99266698255207</v>
      </c>
      <c r="L24" s="79">
        <f ca="1">-Scenario!M47</f>
        <v>-253.2275444530685</v>
      </c>
      <c r="M24" s="80">
        <f ca="1">-Scenario!N47</f>
        <v>-262.87215453034327</v>
      </c>
    </row>
    <row r="25" spans="1:19" s="54" customFormat="1" hidden="1" outlineLevel="1" x14ac:dyDescent="0.25">
      <c r="A25" s="364"/>
      <c r="B25" s="114" t="s">
        <v>129</v>
      </c>
      <c r="F25" s="100">
        <v>-414.15199999999999</v>
      </c>
      <c r="G25" s="79">
        <v>-399.495</v>
      </c>
      <c r="H25" s="79">
        <v>-471.96300000000002</v>
      </c>
      <c r="I25" s="100">
        <f ca="1">-Scenario!J53</f>
        <v>-496.56625509003237</v>
      </c>
      <c r="J25" s="79">
        <f ca="1">-Scenario!K53</f>
        <v>-586.81462494916354</v>
      </c>
      <c r="K25" s="79">
        <f ca="1">-Scenario!L53</f>
        <v>-627.44740790138155</v>
      </c>
      <c r="L25" s="79">
        <f ca="1">-Scenario!M53</f>
        <v>-651.67217946257404</v>
      </c>
      <c r="M25" s="80">
        <f ca="1">-Scenario!N53</f>
        <v>-662.7950844972496</v>
      </c>
    </row>
    <row r="26" spans="1:19" s="54" customFormat="1" hidden="1" outlineLevel="1" x14ac:dyDescent="0.25">
      <c r="A26" s="364"/>
      <c r="B26" s="114" t="s">
        <v>130</v>
      </c>
      <c r="F26" s="100">
        <v>-13.483000000000001</v>
      </c>
      <c r="G26" s="79">
        <v>-1.7310000000000001</v>
      </c>
      <c r="H26" s="79">
        <v>-3.0819999999999999</v>
      </c>
      <c r="I26" s="100">
        <v>0</v>
      </c>
      <c r="J26" s="79">
        <v>0</v>
      </c>
      <c r="K26" s="79">
        <v>0</v>
      </c>
      <c r="L26" s="79">
        <v>0</v>
      </c>
      <c r="M26" s="80">
        <v>0</v>
      </c>
    </row>
    <row r="27" spans="1:19" s="54" customFormat="1" hidden="1" outlineLevel="1" x14ac:dyDescent="0.25">
      <c r="A27" s="364"/>
      <c r="B27" s="117" t="s">
        <v>131</v>
      </c>
      <c r="C27" s="55"/>
      <c r="D27" s="55"/>
      <c r="E27" s="55"/>
      <c r="F27" s="82">
        <f>F21+SUM(F23:F26)</f>
        <v>1371.7289999999998</v>
      </c>
      <c r="G27" s="81">
        <f t="shared" ref="G27:M27" si="2">G21+SUM(G23:G26)</f>
        <v>2123.8739999999998</v>
      </c>
      <c r="H27" s="81">
        <f t="shared" si="2"/>
        <v>2440.4679999999994</v>
      </c>
      <c r="I27" s="82">
        <f t="shared" ca="1" si="2"/>
        <v>2524.3720180310856</v>
      </c>
      <c r="J27" s="81">
        <f t="shared" ca="1" si="2"/>
        <v>3105.80716591295</v>
      </c>
      <c r="K27" s="81">
        <f t="shared" ca="1" si="2"/>
        <v>3333.4630098818652</v>
      </c>
      <c r="L27" s="81">
        <f t="shared" ca="1" si="2"/>
        <v>3492.9003281199807</v>
      </c>
      <c r="M27" s="83">
        <f t="shared" ca="1" si="2"/>
        <v>3616.9383151673974</v>
      </c>
      <c r="N27" s="62">
        <f>_xlfn.RRI(2,F27,H27)</f>
        <v>0.33383588892737071</v>
      </c>
      <c r="O27" s="62">
        <f ca="1">_xlfn.RRI(4,I27,M27)</f>
        <v>9.4074601478621789E-2</v>
      </c>
    </row>
    <row r="28" spans="1:19" s="54" customFormat="1" hidden="1" outlineLevel="1" x14ac:dyDescent="0.25">
      <c r="A28" s="364"/>
      <c r="B28" s="114"/>
      <c r="F28" s="100"/>
      <c r="G28" s="79"/>
      <c r="H28" s="79"/>
      <c r="I28" s="101"/>
      <c r="J28" s="84"/>
      <c r="K28" s="84"/>
      <c r="L28" s="84"/>
      <c r="M28" s="85"/>
    </row>
    <row r="29" spans="1:19" s="54" customFormat="1" hidden="1" outlineLevel="1" x14ac:dyDescent="0.25">
      <c r="A29" s="364"/>
      <c r="B29" s="114" t="s">
        <v>132</v>
      </c>
      <c r="F29" s="100">
        <v>19.744</v>
      </c>
      <c r="G29" s="79">
        <v>26.815000000000001</v>
      </c>
      <c r="H29" s="79">
        <v>28.553999999999998</v>
      </c>
      <c r="I29" s="100">
        <f ca="1">Assumptions!I16</f>
        <v>28.316249413171086</v>
      </c>
      <c r="J29" s="79">
        <f ca="1">Assumptions!J16</f>
        <v>35.924436716379951</v>
      </c>
      <c r="K29" s="79">
        <f ca="1">Assumptions!K16</f>
        <v>37.342679374851429</v>
      </c>
      <c r="L29" s="79">
        <f ca="1">Assumptions!L16</f>
        <v>38.575122521966712</v>
      </c>
      <c r="M29" s="80">
        <f ca="1">Assumptions!M16</f>
        <v>39.741702411213559</v>
      </c>
    </row>
    <row r="30" spans="1:19" s="54" customFormat="1" hidden="1" outlineLevel="1" x14ac:dyDescent="0.25">
      <c r="A30" s="364"/>
      <c r="B30" s="114" t="s">
        <v>133</v>
      </c>
      <c r="F30" s="100">
        <v>-95.840999999999994</v>
      </c>
      <c r="G30" s="79">
        <v>-220.90899999999999</v>
      </c>
      <c r="H30" s="79">
        <v>-202.02500000000001</v>
      </c>
      <c r="I30" s="100">
        <f>-Schedule!J82</f>
        <v>-176</v>
      </c>
      <c r="J30" s="79">
        <f>-Schedule!K82</f>
        <v>-148.14224755153319</v>
      </c>
      <c r="K30" s="79">
        <f>-Schedule!L82</f>
        <v>-94.949974545070475</v>
      </c>
      <c r="L30" s="79">
        <f>-Schedule!M82</f>
        <v>-165.70128168597873</v>
      </c>
      <c r="M30" s="80">
        <f>-Schedule!N82</f>
        <v>-112.25873369314805</v>
      </c>
    </row>
    <row r="31" spans="1:19" s="54" customFormat="1" hidden="1" outlineLevel="1" x14ac:dyDescent="0.25">
      <c r="A31" s="364"/>
      <c r="B31" s="114" t="s">
        <v>134</v>
      </c>
      <c r="F31" s="100">
        <v>-2.6219999999999999</v>
      </c>
      <c r="G31" s="79">
        <v>-2.0739999999999998</v>
      </c>
      <c r="H31" s="79">
        <v>-2.1389999999999998</v>
      </c>
      <c r="I31" s="102">
        <v>0</v>
      </c>
      <c r="J31" s="103">
        <v>0</v>
      </c>
      <c r="K31" s="103">
        <v>0</v>
      </c>
      <c r="L31" s="103">
        <v>0</v>
      </c>
      <c r="M31" s="104">
        <v>0</v>
      </c>
    </row>
    <row r="32" spans="1:19" s="54" customFormat="1" hidden="1" outlineLevel="1" x14ac:dyDescent="0.25">
      <c r="A32" s="364"/>
      <c r="B32" s="117" t="s">
        <v>135</v>
      </c>
      <c r="C32" s="55"/>
      <c r="D32" s="55"/>
      <c r="E32" s="55"/>
      <c r="F32" s="82">
        <f>SUM(F29:F31)</f>
        <v>-78.718999999999994</v>
      </c>
      <c r="G32" s="81">
        <f t="shared" ref="G32:M32" si="3">SUM(G29:G31)</f>
        <v>-196.16800000000001</v>
      </c>
      <c r="H32" s="81">
        <f t="shared" si="3"/>
        <v>-175.61</v>
      </c>
      <c r="I32" s="82">
        <f t="shared" ca="1" si="3"/>
        <v>-147.68375058682892</v>
      </c>
      <c r="J32" s="81">
        <f t="shared" ca="1" si="3"/>
        <v>-112.21781083515324</v>
      </c>
      <c r="K32" s="81">
        <f t="shared" ca="1" si="3"/>
        <v>-57.607295170219047</v>
      </c>
      <c r="L32" s="81">
        <f t="shared" ca="1" si="3"/>
        <v>-127.12615916401202</v>
      </c>
      <c r="M32" s="83">
        <f t="shared" ca="1" si="3"/>
        <v>-72.517031281934493</v>
      </c>
      <c r="N32" s="56"/>
    </row>
    <row r="33" spans="1:18" s="54" customFormat="1" hidden="1" outlineLevel="1" x14ac:dyDescent="0.25">
      <c r="A33" s="364"/>
      <c r="B33" s="115"/>
      <c r="C33" s="55"/>
      <c r="D33" s="55"/>
      <c r="E33" s="55"/>
      <c r="F33" s="151"/>
      <c r="G33" s="86"/>
      <c r="H33" s="86"/>
      <c r="I33" s="101"/>
      <c r="J33" s="84"/>
      <c r="K33" s="84"/>
      <c r="L33" s="84"/>
      <c r="M33" s="85"/>
    </row>
    <row r="34" spans="1:18" s="54" customFormat="1" hidden="1" outlineLevel="1" x14ac:dyDescent="0.25">
      <c r="A34" s="364"/>
      <c r="B34" s="115" t="s">
        <v>136</v>
      </c>
      <c r="C34" s="55"/>
      <c r="D34" s="55"/>
      <c r="E34" s="55"/>
      <c r="F34" s="82">
        <f>F27+F32</f>
        <v>1293.0099999999998</v>
      </c>
      <c r="G34" s="81">
        <f t="shared" ref="G34:M34" si="4">G27+G32</f>
        <v>1927.7059999999997</v>
      </c>
      <c r="H34" s="81">
        <f t="shared" si="4"/>
        <v>2264.8579999999993</v>
      </c>
      <c r="I34" s="82">
        <f t="shared" ca="1" si="4"/>
        <v>2376.6882674442568</v>
      </c>
      <c r="J34" s="81">
        <f t="shared" ca="1" si="4"/>
        <v>2993.5893550777969</v>
      </c>
      <c r="K34" s="81">
        <f t="shared" ca="1" si="4"/>
        <v>3275.8557147116462</v>
      </c>
      <c r="L34" s="81">
        <f t="shared" ca="1" si="4"/>
        <v>3365.7741689559689</v>
      </c>
      <c r="M34" s="83">
        <f t="shared" ca="1" si="4"/>
        <v>3544.4212838854628</v>
      </c>
      <c r="N34" s="62">
        <f>_xlfn.RRI(2,F34,H34)</f>
        <v>0.32348659614365727</v>
      </c>
      <c r="O34" s="62">
        <f ca="1">_xlfn.RRI(4,I34,M34)</f>
        <v>0.10507887877166833</v>
      </c>
    </row>
    <row r="35" spans="1:18" s="54" customFormat="1" hidden="1" outlineLevel="1" x14ac:dyDescent="0.25">
      <c r="A35" s="364"/>
      <c r="B35" s="114"/>
      <c r="F35" s="100"/>
      <c r="G35" s="79"/>
      <c r="H35" s="79"/>
      <c r="I35" s="101"/>
      <c r="J35" s="84"/>
      <c r="K35" s="84"/>
      <c r="L35" s="84"/>
      <c r="M35" s="85"/>
    </row>
    <row r="36" spans="1:18" s="54" customFormat="1" hidden="1" outlineLevel="1" x14ac:dyDescent="0.25">
      <c r="A36" s="364"/>
      <c r="B36" s="114" t="s">
        <v>137</v>
      </c>
      <c r="F36" s="100">
        <v>-284.83499999999998</v>
      </c>
      <c r="G36" s="79">
        <v>-400.33300000000003</v>
      </c>
      <c r="H36" s="79">
        <v>-506.36099999999999</v>
      </c>
      <c r="I36" s="100">
        <f ca="1">-Assumptions!I19</f>
        <v>-516.16483387468247</v>
      </c>
      <c r="J36" s="79">
        <f ca="1">-Assumptions!J19</f>
        <v>-647.03879685968923</v>
      </c>
      <c r="K36" s="79">
        <f ca="1">-Assumptions!K19</f>
        <v>-717.29513158752479</v>
      </c>
      <c r="L36" s="79">
        <f ca="1">-Assumptions!L19</f>
        <v>-731.81337779596163</v>
      </c>
      <c r="M36" s="80">
        <f ca="1">-Assumptions!M19</f>
        <v>-770.95134974344705</v>
      </c>
    </row>
    <row r="37" spans="1:18" s="54" customFormat="1" hidden="1" outlineLevel="1" x14ac:dyDescent="0.25">
      <c r="A37" s="364"/>
      <c r="B37" s="117" t="s">
        <v>138</v>
      </c>
      <c r="C37" s="55"/>
      <c r="D37" s="55"/>
      <c r="E37" s="55"/>
      <c r="F37" s="82">
        <f>F34+F36</f>
        <v>1008.1749999999997</v>
      </c>
      <c r="G37" s="81">
        <f t="shared" ref="G37:M37" si="5">G34+G36</f>
        <v>1527.3729999999996</v>
      </c>
      <c r="H37" s="81">
        <f t="shared" si="5"/>
        <v>1758.4969999999994</v>
      </c>
      <c r="I37" s="82">
        <f t="shared" ca="1" si="5"/>
        <v>1860.5234335695743</v>
      </c>
      <c r="J37" s="81">
        <f t="shared" ca="1" si="5"/>
        <v>2346.5505582181077</v>
      </c>
      <c r="K37" s="81">
        <f t="shared" ca="1" si="5"/>
        <v>2558.5605831241214</v>
      </c>
      <c r="L37" s="81">
        <f t="shared" ca="1" si="5"/>
        <v>2633.9607911600074</v>
      </c>
      <c r="M37" s="83">
        <f t="shared" ca="1" si="5"/>
        <v>2773.4699341420155</v>
      </c>
      <c r="N37" s="62">
        <f>_xlfn.RRI(2,F37,H37)</f>
        <v>0.32069597392096028</v>
      </c>
      <c r="O37" s="62">
        <f ca="1">_xlfn.RRI(4,I37,M37)</f>
        <v>0.10496133013524922</v>
      </c>
    </row>
    <row r="38" spans="1:18" s="54" customFormat="1" hidden="1" outlineLevel="1" x14ac:dyDescent="0.25">
      <c r="A38" s="364"/>
      <c r="B38" s="114"/>
      <c r="F38" s="100"/>
      <c r="G38" s="79"/>
      <c r="H38" s="79"/>
      <c r="I38" s="101"/>
      <c r="J38" s="84"/>
      <c r="K38" s="84"/>
      <c r="L38" s="84"/>
      <c r="M38" s="85"/>
    </row>
    <row r="39" spans="1:18" s="54" customFormat="1" hidden="1" outlineLevel="1" x14ac:dyDescent="0.25">
      <c r="A39" s="364"/>
      <c r="B39" s="114" t="s">
        <v>139</v>
      </c>
      <c r="F39" s="100">
        <v>-9.4779999999999998</v>
      </c>
      <c r="G39" s="79">
        <v>-9.5449999999999999</v>
      </c>
      <c r="H39" s="79">
        <v>-13.675000000000001</v>
      </c>
      <c r="I39" s="100">
        <f ca="1">-Assumptions!I22</f>
        <v>-14.528805824377843</v>
      </c>
      <c r="J39" s="79">
        <f ca="1">-Assumptions!J22</f>
        <v>-17.078826794940358</v>
      </c>
      <c r="K39" s="79">
        <f ca="1">-Assumptions!K22</f>
        <v>-19.49945965552341</v>
      </c>
      <c r="L39" s="79">
        <f ca="1">-Assumptions!L22</f>
        <v>-19.937783123326767</v>
      </c>
      <c r="M39" s="80">
        <f ca="1">-Assumptions!M22</f>
        <v>-20.77239983108807</v>
      </c>
    </row>
    <row r="40" spans="1:18" s="54" customFormat="1" hidden="1" outlineLevel="1" x14ac:dyDescent="0.25">
      <c r="A40" s="364"/>
      <c r="B40" s="117" t="s">
        <v>140</v>
      </c>
      <c r="C40" s="55"/>
      <c r="D40" s="55"/>
      <c r="E40" s="55"/>
      <c r="F40" s="88">
        <f>F37+F39</f>
        <v>998.69699999999978</v>
      </c>
      <c r="G40" s="87">
        <f t="shared" ref="G40:M40" si="6">G37+G39</f>
        <v>1517.8279999999995</v>
      </c>
      <c r="H40" s="87">
        <f t="shared" si="6"/>
        <v>1744.8219999999994</v>
      </c>
      <c r="I40" s="88">
        <f t="shared" ca="1" si="6"/>
        <v>1845.9946277451966</v>
      </c>
      <c r="J40" s="87">
        <f t="shared" ca="1" si="6"/>
        <v>2329.4717314231675</v>
      </c>
      <c r="K40" s="87">
        <f t="shared" ca="1" si="6"/>
        <v>2539.061123468598</v>
      </c>
      <c r="L40" s="87">
        <f t="shared" ca="1" si="6"/>
        <v>2614.0230080366805</v>
      </c>
      <c r="M40" s="89">
        <f t="shared" ca="1" si="6"/>
        <v>2752.6975343109275</v>
      </c>
      <c r="N40" s="62">
        <f>_xlfn.RRI(2,F40,H40)</f>
        <v>0.32177852505837934</v>
      </c>
      <c r="O40" s="62">
        <f ca="1">_xlfn.RRI(4,I40,M40)</f>
        <v>0.10505021972130635</v>
      </c>
    </row>
    <row r="41" spans="1:18" s="54" customFormat="1" hidden="1" outlineLevel="1" x14ac:dyDescent="0.25">
      <c r="A41" s="364"/>
      <c r="B41" s="114"/>
      <c r="F41" s="100"/>
      <c r="G41" s="79"/>
      <c r="H41" s="79"/>
      <c r="I41" s="101"/>
      <c r="J41" s="84"/>
      <c r="K41" s="84"/>
      <c r="L41" s="84"/>
      <c r="M41" s="85"/>
    </row>
    <row r="42" spans="1:18" s="54" customFormat="1" hidden="1" outlineLevel="1" x14ac:dyDescent="0.25">
      <c r="A42" s="364"/>
      <c r="B42" s="114" t="s">
        <v>141</v>
      </c>
      <c r="F42" s="105">
        <v>0.02</v>
      </c>
      <c r="G42" s="90">
        <v>0.03</v>
      </c>
      <c r="H42" s="90">
        <v>0.04</v>
      </c>
      <c r="I42" s="105">
        <f ca="1">I40/I43</f>
        <v>6.1415049876593068E-2</v>
      </c>
      <c r="J42" s="90">
        <f t="shared" ref="J42:M42" ca="1" si="7">J40/J43</f>
        <v>7.7500021084143E-2</v>
      </c>
      <c r="K42" s="90">
        <f t="shared" ca="1" si="7"/>
        <v>8.4472924890367757E-2</v>
      </c>
      <c r="L42" s="90">
        <f t="shared" ca="1" si="7"/>
        <v>8.6966858410215273E-2</v>
      </c>
      <c r="M42" s="106">
        <f t="shared" ca="1" si="7"/>
        <v>9.1580470400055458E-2</v>
      </c>
    </row>
    <row r="43" spans="1:18" s="54" customFormat="1" hidden="1" outlineLevel="1" x14ac:dyDescent="0.25">
      <c r="A43" s="364"/>
      <c r="B43" s="116" t="s">
        <v>142</v>
      </c>
      <c r="C43" s="78"/>
      <c r="D43" s="78"/>
      <c r="E43" s="78"/>
      <c r="F43" s="108">
        <v>30057.691583</v>
      </c>
      <c r="G43" s="107">
        <v>30057.691583</v>
      </c>
      <c r="H43" s="107">
        <v>30057.691583</v>
      </c>
      <c r="I43" s="108">
        <f>H43</f>
        <v>30057.691583</v>
      </c>
      <c r="J43" s="107">
        <f t="shared" ref="J43:M43" si="8">I43</f>
        <v>30057.691583</v>
      </c>
      <c r="K43" s="107">
        <f t="shared" si="8"/>
        <v>30057.691583</v>
      </c>
      <c r="L43" s="107">
        <f t="shared" si="8"/>
        <v>30057.691583</v>
      </c>
      <c r="M43" s="109">
        <f t="shared" si="8"/>
        <v>30057.691583</v>
      </c>
      <c r="N43" s="1"/>
      <c r="O43" s="1"/>
      <c r="P43" s="1"/>
      <c r="Q43" s="1"/>
      <c r="R43" s="1"/>
    </row>
    <row r="44" spans="1:18" s="54" customFormat="1" collapsed="1" x14ac:dyDescent="0.25">
      <c r="A44" s="364"/>
      <c r="N44" s="1"/>
      <c r="O44" s="1"/>
      <c r="P44" s="1"/>
      <c r="Q44" s="1"/>
      <c r="R44" s="1"/>
    </row>
    <row r="45" spans="1:18" x14ac:dyDescent="0.25">
      <c r="A45" s="364" t="s">
        <v>27</v>
      </c>
      <c r="B45" s="154" t="s">
        <v>307</v>
      </c>
      <c r="C45" s="155"/>
      <c r="D45" s="155"/>
      <c r="E45" s="155"/>
      <c r="F45" s="160">
        <v>44926</v>
      </c>
      <c r="G45" s="156">
        <v>45291</v>
      </c>
      <c r="H45" s="156">
        <v>45657</v>
      </c>
      <c r="I45" s="157">
        <v>46022</v>
      </c>
      <c r="J45" s="158">
        <v>46387</v>
      </c>
      <c r="K45" s="158">
        <v>46752</v>
      </c>
      <c r="L45" s="158">
        <v>47118</v>
      </c>
      <c r="M45" s="159">
        <v>47483</v>
      </c>
    </row>
    <row r="46" spans="1:18" hidden="1" outlineLevel="1" x14ac:dyDescent="0.25">
      <c r="B46" s="53"/>
      <c r="F46" s="53"/>
      <c r="I46" s="53"/>
      <c r="M46" s="74"/>
    </row>
    <row r="47" spans="1:18" hidden="1" outlineLevel="1" x14ac:dyDescent="0.25">
      <c r="B47" s="115" t="s">
        <v>164</v>
      </c>
      <c r="C47" s="54"/>
      <c r="D47" s="54"/>
      <c r="E47" s="54"/>
      <c r="F47" s="75"/>
      <c r="G47" s="54"/>
      <c r="H47" s="54"/>
      <c r="I47" s="53"/>
      <c r="M47" s="74"/>
    </row>
    <row r="48" spans="1:18" hidden="1" outlineLevel="1" x14ac:dyDescent="0.25">
      <c r="B48" s="118" t="s">
        <v>165</v>
      </c>
      <c r="C48" s="54"/>
      <c r="D48" s="54"/>
      <c r="E48" s="54"/>
      <c r="F48" s="130">
        <v>7053.1959999999999</v>
      </c>
      <c r="G48" s="120">
        <v>6677.3549999999996</v>
      </c>
      <c r="H48" s="120">
        <v>6292.5020000000004</v>
      </c>
      <c r="I48" s="130">
        <f>Schedule!J28</f>
        <v>5954.0387058565675</v>
      </c>
      <c r="J48" s="120">
        <f>Schedule!K28</f>
        <v>5588.6134931720298</v>
      </c>
      <c r="K48" s="120">
        <f>Schedule!L28</f>
        <v>5260.2503517139248</v>
      </c>
      <c r="L48" s="120">
        <f>Schedule!M28</f>
        <v>4981.1108291668115</v>
      </c>
      <c r="M48" s="121">
        <f>Schedule!N28</f>
        <v>4731.0510577348414</v>
      </c>
    </row>
    <row r="49" spans="2:14" hidden="1" outlineLevel="1" x14ac:dyDescent="0.25">
      <c r="B49" s="118" t="s">
        <v>166</v>
      </c>
      <c r="C49" s="54"/>
      <c r="D49" s="54"/>
      <c r="E49" s="54"/>
      <c r="F49" s="130">
        <v>55.616</v>
      </c>
      <c r="G49" s="120">
        <v>60.125999999999998</v>
      </c>
      <c r="H49" s="120">
        <v>60.643000000000001</v>
      </c>
      <c r="I49" s="130">
        <f>Schedule!J43</f>
        <v>45.256994705485454</v>
      </c>
      <c r="J49" s="120">
        <f>Schedule!K43</f>
        <v>34.014071186485921</v>
      </c>
      <c r="K49" s="120">
        <f>Schedule!L43</f>
        <v>27.119235783653778</v>
      </c>
      <c r="L49" s="120">
        <f>Schedule!M43</f>
        <v>24.872840803823976</v>
      </c>
      <c r="M49" s="121">
        <f>Schedule!N43</f>
        <v>27.682553637965441</v>
      </c>
    </row>
    <row r="50" spans="2:14" hidden="1" outlineLevel="1" x14ac:dyDescent="0.25">
      <c r="B50" s="118" t="s">
        <v>167</v>
      </c>
      <c r="C50" s="54"/>
      <c r="D50" s="54"/>
      <c r="E50" s="54"/>
      <c r="F50" s="130">
        <v>25.207999999999998</v>
      </c>
      <c r="G50" s="120">
        <v>27.303999999999998</v>
      </c>
      <c r="H50" s="120">
        <v>24.797000000000001</v>
      </c>
      <c r="I50" s="130">
        <f>H50</f>
        <v>24.797000000000001</v>
      </c>
      <c r="J50" s="120">
        <f t="shared" ref="J50:M50" si="9">I50</f>
        <v>24.797000000000001</v>
      </c>
      <c r="K50" s="120">
        <f t="shared" si="9"/>
        <v>24.797000000000001</v>
      </c>
      <c r="L50" s="120">
        <f t="shared" si="9"/>
        <v>24.797000000000001</v>
      </c>
      <c r="M50" s="121">
        <f t="shared" si="9"/>
        <v>24.797000000000001</v>
      </c>
    </row>
    <row r="51" spans="2:14" hidden="1" outlineLevel="1" x14ac:dyDescent="0.25">
      <c r="B51" s="118" t="s">
        <v>168</v>
      </c>
      <c r="C51" s="54"/>
      <c r="D51" s="54"/>
      <c r="E51" s="54"/>
      <c r="F51" s="130">
        <v>135.05199999999999</v>
      </c>
      <c r="G51" s="120">
        <v>138.40799999999999</v>
      </c>
      <c r="H51" s="120">
        <v>135.78899999999999</v>
      </c>
      <c r="I51" s="130">
        <f>H51</f>
        <v>135.78899999999999</v>
      </c>
      <c r="J51" s="120">
        <f t="shared" ref="J51:M51" si="10">I51</f>
        <v>135.78899999999999</v>
      </c>
      <c r="K51" s="120">
        <f t="shared" si="10"/>
        <v>135.78899999999999</v>
      </c>
      <c r="L51" s="120">
        <f t="shared" si="10"/>
        <v>135.78899999999999</v>
      </c>
      <c r="M51" s="121">
        <f t="shared" si="10"/>
        <v>135.78899999999999</v>
      </c>
    </row>
    <row r="52" spans="2:14" hidden="1" outlineLevel="1" x14ac:dyDescent="0.25">
      <c r="B52" s="118" t="s">
        <v>169</v>
      </c>
      <c r="C52" s="54"/>
      <c r="D52" s="54"/>
      <c r="E52" s="54"/>
      <c r="F52" s="130">
        <v>2.6059999999999999</v>
      </c>
      <c r="G52" s="120">
        <v>0</v>
      </c>
      <c r="H52" s="120">
        <v>0</v>
      </c>
      <c r="I52" s="130">
        <f>H52</f>
        <v>0</v>
      </c>
      <c r="J52" s="120">
        <f t="shared" ref="J52:M52" si="11">I52</f>
        <v>0</v>
      </c>
      <c r="K52" s="120">
        <f t="shared" si="11"/>
        <v>0</v>
      </c>
      <c r="L52" s="120">
        <f t="shared" si="11"/>
        <v>0</v>
      </c>
      <c r="M52" s="121">
        <f t="shared" si="11"/>
        <v>0</v>
      </c>
    </row>
    <row r="53" spans="2:14" hidden="1" outlineLevel="1" x14ac:dyDescent="0.25">
      <c r="B53" s="118" t="s">
        <v>170</v>
      </c>
      <c r="C53" s="54"/>
      <c r="D53" s="54"/>
      <c r="E53" s="54"/>
      <c r="F53" s="130">
        <v>22.664999999999999</v>
      </c>
      <c r="G53" s="120">
        <v>22.768999999999998</v>
      </c>
      <c r="H53" s="120">
        <v>20.509</v>
      </c>
      <c r="I53" s="130">
        <f>H53</f>
        <v>20.509</v>
      </c>
      <c r="J53" s="120">
        <f t="shared" ref="J53:M53" si="12">I53</f>
        <v>20.509</v>
      </c>
      <c r="K53" s="120">
        <f t="shared" si="12"/>
        <v>20.509</v>
      </c>
      <c r="L53" s="120">
        <f t="shared" si="12"/>
        <v>20.509</v>
      </c>
      <c r="M53" s="121">
        <f t="shared" si="12"/>
        <v>20.509</v>
      </c>
    </row>
    <row r="54" spans="2:14" hidden="1" outlineLevel="1" x14ac:dyDescent="0.25">
      <c r="B54" s="118" t="s">
        <v>171</v>
      </c>
      <c r="C54" s="54"/>
      <c r="D54" s="54"/>
      <c r="E54" s="54"/>
      <c r="F54" s="130">
        <v>0</v>
      </c>
      <c r="G54" s="120">
        <v>3.45</v>
      </c>
      <c r="H54" s="120">
        <v>2.3969999999999998</v>
      </c>
      <c r="I54" s="130">
        <f>H54</f>
        <v>2.3969999999999998</v>
      </c>
      <c r="J54" s="120">
        <f t="shared" ref="J54:M54" si="13">I54</f>
        <v>2.3969999999999998</v>
      </c>
      <c r="K54" s="120">
        <f t="shared" si="13"/>
        <v>2.3969999999999998</v>
      </c>
      <c r="L54" s="120">
        <f t="shared" si="13"/>
        <v>2.3969999999999998</v>
      </c>
      <c r="M54" s="121">
        <f t="shared" si="13"/>
        <v>2.3969999999999998</v>
      </c>
    </row>
    <row r="55" spans="2:14" hidden="1" outlineLevel="1" x14ac:dyDescent="0.25">
      <c r="B55" s="115" t="s">
        <v>172</v>
      </c>
      <c r="C55" s="54"/>
      <c r="D55" s="54"/>
      <c r="E55" s="54"/>
      <c r="F55" s="131">
        <f>SUM(F48:F54)</f>
        <v>7294.3429999999989</v>
      </c>
      <c r="G55" s="125">
        <f t="shared" ref="G55:H55" si="14">SUM(G48:G54)</f>
        <v>6929.4120000000003</v>
      </c>
      <c r="H55" s="125">
        <f t="shared" si="14"/>
        <v>6536.6369999999997</v>
      </c>
      <c r="I55" s="131">
        <f>SUM(I48:I54)</f>
        <v>6182.7877005620521</v>
      </c>
      <c r="J55" s="125">
        <f t="shared" ref="J55:M55" si="15">SUM(J48:J54)</f>
        <v>5806.1195643585152</v>
      </c>
      <c r="K55" s="125">
        <f t="shared" si="15"/>
        <v>5470.8615874975776</v>
      </c>
      <c r="L55" s="125">
        <f t="shared" si="15"/>
        <v>5189.475669970635</v>
      </c>
      <c r="M55" s="126">
        <f t="shared" si="15"/>
        <v>4942.2256113728063</v>
      </c>
    </row>
    <row r="56" spans="2:14" hidden="1" outlineLevel="1" x14ac:dyDescent="0.25">
      <c r="B56" s="114"/>
      <c r="C56" s="54"/>
      <c r="D56" s="54"/>
      <c r="E56" s="54"/>
      <c r="F56" s="130"/>
      <c r="G56" s="120"/>
      <c r="H56" s="120"/>
      <c r="I56" s="130"/>
      <c r="J56" s="120"/>
      <c r="K56" s="120"/>
      <c r="L56" s="120"/>
      <c r="M56" s="121"/>
    </row>
    <row r="57" spans="2:14" hidden="1" outlineLevel="1" x14ac:dyDescent="0.25">
      <c r="B57" s="115" t="s">
        <v>173</v>
      </c>
      <c r="C57" s="54"/>
      <c r="D57" s="54"/>
      <c r="E57" s="54"/>
      <c r="F57" s="130"/>
      <c r="G57" s="120"/>
      <c r="H57" s="120"/>
      <c r="I57" s="130"/>
      <c r="J57" s="120"/>
      <c r="K57" s="120"/>
      <c r="L57" s="120"/>
      <c r="M57" s="121"/>
    </row>
    <row r="58" spans="2:14" hidden="1" outlineLevel="1" x14ac:dyDescent="0.25">
      <c r="B58" s="118" t="s">
        <v>174</v>
      </c>
      <c r="C58" s="54"/>
      <c r="D58" s="54"/>
      <c r="E58" s="54"/>
      <c r="F58" s="130">
        <v>1143.8399999999999</v>
      </c>
      <c r="G58" s="120">
        <v>353.92099999999999</v>
      </c>
      <c r="H58" s="120">
        <v>418.50599999999997</v>
      </c>
      <c r="I58" s="130">
        <f ca="1">I139</f>
        <v>913.977846724306</v>
      </c>
      <c r="J58" s="120">
        <f t="shared" ref="J58:M58" ca="1" si="16">J139</f>
        <v>1445.3770526098042</v>
      </c>
      <c r="K58" s="120">
        <f t="shared" ca="1" si="16"/>
        <v>1655.6862525389383</v>
      </c>
      <c r="L58" s="120">
        <f t="shared" ca="1" si="16"/>
        <v>3684.7751211806635</v>
      </c>
      <c r="M58" s="121">
        <f t="shared" ca="1" si="16"/>
        <v>3933.548497033255</v>
      </c>
    </row>
    <row r="59" spans="2:14" hidden="1" outlineLevel="1" x14ac:dyDescent="0.25">
      <c r="B59" s="118" t="s">
        <v>175</v>
      </c>
      <c r="C59" s="54"/>
      <c r="D59" s="54"/>
      <c r="E59" s="54"/>
      <c r="F59" s="130">
        <v>654.63900000000001</v>
      </c>
      <c r="G59" s="120">
        <v>645.18399999999997</v>
      </c>
      <c r="H59" s="120">
        <v>640.505</v>
      </c>
      <c r="I59" s="130">
        <f ca="1">Schedule!J49</f>
        <v>631.045042658439</v>
      </c>
      <c r="J59" s="120">
        <f ca="1">Schedule!K49</f>
        <v>810.23397879532172</v>
      </c>
      <c r="K59" s="120">
        <f ca="1">Schedule!L49</f>
        <v>837.33743735400037</v>
      </c>
      <c r="L59" s="120">
        <f ca="1">Schedule!M49</f>
        <v>864.86604820379557</v>
      </c>
      <c r="M59" s="121">
        <f ca="1">Schedule!N49</f>
        <v>892.81981134470709</v>
      </c>
      <c r="N59" s="18"/>
    </row>
    <row r="60" spans="2:14" hidden="1" outlineLevel="1" x14ac:dyDescent="0.25">
      <c r="B60" s="118" t="s">
        <v>169</v>
      </c>
      <c r="C60" s="54"/>
      <c r="D60" s="54"/>
      <c r="E60" s="54"/>
      <c r="F60" s="130">
        <v>193.762</v>
      </c>
      <c r="G60" s="120">
        <v>181.54900000000001</v>
      </c>
      <c r="H60" s="120">
        <v>209.93700000000001</v>
      </c>
      <c r="I60" s="130">
        <f ca="1">Schedule!J50</f>
        <v>206.83632933479788</v>
      </c>
      <c r="J60" s="120">
        <f ca="1">Schedule!K50</f>
        <v>265.56871656950915</v>
      </c>
      <c r="K60" s="120">
        <f ca="1">Schedule!L50</f>
        <v>274.45236116156275</v>
      </c>
      <c r="L60" s="120">
        <f ca="1">Schedule!M50</f>
        <v>283.47535704133492</v>
      </c>
      <c r="M60" s="121">
        <f ca="1">Schedule!N50</f>
        <v>292.63770420882554</v>
      </c>
      <c r="N60" s="18"/>
    </row>
    <row r="61" spans="2:14" hidden="1" outlineLevel="1" x14ac:dyDescent="0.25">
      <c r="B61" s="118" t="s">
        <v>176</v>
      </c>
      <c r="C61" s="54"/>
      <c r="D61" s="54"/>
      <c r="E61" s="54"/>
      <c r="F61" s="130">
        <v>890.33900000000006</v>
      </c>
      <c r="G61" s="120">
        <v>796.68200000000002</v>
      </c>
      <c r="H61" s="120">
        <v>858.76800000000003</v>
      </c>
      <c r="I61" s="130">
        <f ca="1">Schedule!J51</f>
        <v>846.08440089258067</v>
      </c>
      <c r="J61" s="120">
        <f ca="1">Schedule!K51</f>
        <v>1086.3350223684449</v>
      </c>
      <c r="K61" s="120">
        <f ca="1">Schedule!L51</f>
        <v>1122.674446572033</v>
      </c>
      <c r="L61" s="120">
        <f ca="1">Schedule!M51</f>
        <v>1159.5839009592071</v>
      </c>
      <c r="M61" s="121">
        <f ca="1">Schedule!N51</f>
        <v>1197.063385529967</v>
      </c>
      <c r="N61" s="18"/>
    </row>
    <row r="62" spans="2:14" hidden="1" outlineLevel="1" x14ac:dyDescent="0.25">
      <c r="B62" s="118" t="s">
        <v>170</v>
      </c>
      <c r="C62" s="54"/>
      <c r="D62" s="54"/>
      <c r="E62" s="54"/>
      <c r="F62" s="130">
        <v>11.276</v>
      </c>
      <c r="G62" s="120">
        <v>12.57</v>
      </c>
      <c r="H62" s="120">
        <v>13.454000000000001</v>
      </c>
      <c r="I62" s="130">
        <f>H62</f>
        <v>13.454000000000001</v>
      </c>
      <c r="J62" s="120">
        <f t="shared" ref="J62:M62" si="17">I62</f>
        <v>13.454000000000001</v>
      </c>
      <c r="K62" s="120">
        <f t="shared" si="17"/>
        <v>13.454000000000001</v>
      </c>
      <c r="L62" s="120">
        <f t="shared" si="17"/>
        <v>13.454000000000001</v>
      </c>
      <c r="M62" s="121">
        <f t="shared" si="17"/>
        <v>13.454000000000001</v>
      </c>
    </row>
    <row r="63" spans="2:14" hidden="1" outlineLevel="1" x14ac:dyDescent="0.25">
      <c r="B63" s="118" t="s">
        <v>177</v>
      </c>
      <c r="C63" s="54"/>
      <c r="D63" s="54"/>
      <c r="E63" s="54"/>
      <c r="F63" s="130">
        <v>0</v>
      </c>
      <c r="G63" s="120">
        <v>4.2329999999999997</v>
      </c>
      <c r="H63" s="120">
        <v>5.7409999999999997</v>
      </c>
      <c r="I63" s="130">
        <f>H63</f>
        <v>5.7409999999999997</v>
      </c>
      <c r="J63" s="120">
        <f t="shared" ref="J63:M63" si="18">I63</f>
        <v>5.7409999999999997</v>
      </c>
      <c r="K63" s="120">
        <f t="shared" si="18"/>
        <v>5.7409999999999997</v>
      </c>
      <c r="L63" s="120">
        <f t="shared" si="18"/>
        <v>5.7409999999999997</v>
      </c>
      <c r="M63" s="121">
        <f t="shared" si="18"/>
        <v>5.7409999999999997</v>
      </c>
    </row>
    <row r="64" spans="2:14" hidden="1" outlineLevel="1" x14ac:dyDescent="0.25">
      <c r="B64" s="118" t="s">
        <v>178</v>
      </c>
      <c r="C64" s="54"/>
      <c r="D64" s="54"/>
      <c r="E64" s="54"/>
      <c r="F64" s="130">
        <v>47.058999999999997</v>
      </c>
      <c r="G64" s="120">
        <v>20.344999999999999</v>
      </c>
      <c r="H64" s="120">
        <v>23.917000000000002</v>
      </c>
      <c r="I64" s="130">
        <f ca="1">Schedule!J52</f>
        <v>23.56375716858086</v>
      </c>
      <c r="J64" s="120">
        <f ca="1">Schedule!K52</f>
        <v>30.254824038606579</v>
      </c>
      <c r="K64" s="120">
        <f ca="1">Schedule!L52</f>
        <v>31.266890171342332</v>
      </c>
      <c r="L64" s="120">
        <f ca="1">Schedule!M52</f>
        <v>32.294831851258259</v>
      </c>
      <c r="M64" s="121">
        <f ca="1">Schedule!N52</f>
        <v>33.338649078354358</v>
      </c>
    </row>
    <row r="65" spans="2:13" hidden="1" outlineLevel="1" x14ac:dyDescent="0.25">
      <c r="B65" s="115" t="s">
        <v>179</v>
      </c>
      <c r="C65" s="54"/>
      <c r="D65" s="54"/>
      <c r="E65" s="54"/>
      <c r="F65" s="129">
        <f>SUM(F58:F64)</f>
        <v>2940.915</v>
      </c>
      <c r="G65" s="127">
        <f t="shared" ref="G65:H65" si="19">SUM(G58:G64)</f>
        <v>2014.4839999999999</v>
      </c>
      <c r="H65" s="127">
        <f t="shared" si="19"/>
        <v>2170.828</v>
      </c>
      <c r="I65" s="129">
        <f ca="1">SUM(I58:I64)</f>
        <v>2640.7023767787045</v>
      </c>
      <c r="J65" s="127">
        <f t="shared" ref="J65:M65" ca="1" si="20">SUM(J58:J64)</f>
        <v>3656.9645943816863</v>
      </c>
      <c r="K65" s="127">
        <f t="shared" ca="1" si="20"/>
        <v>3940.6123877978771</v>
      </c>
      <c r="L65" s="127">
        <f t="shared" ca="1" si="20"/>
        <v>6044.1902592362594</v>
      </c>
      <c r="M65" s="128">
        <f t="shared" ca="1" si="20"/>
        <v>6368.603047195109</v>
      </c>
    </row>
    <row r="66" spans="2:13" hidden="1" outlineLevel="1" x14ac:dyDescent="0.25">
      <c r="B66" s="115" t="s">
        <v>180</v>
      </c>
      <c r="C66" s="54"/>
      <c r="D66" s="54"/>
      <c r="E66" s="54"/>
      <c r="F66" s="129">
        <f>F55+F65</f>
        <v>10235.257999999998</v>
      </c>
      <c r="G66" s="127">
        <f t="shared" ref="G66:H66" si="21">G55+G65</f>
        <v>8943.8960000000006</v>
      </c>
      <c r="H66" s="127">
        <f t="shared" si="21"/>
        <v>8707.4650000000001</v>
      </c>
      <c r="I66" s="88">
        <f t="shared" ref="I66" ca="1" si="22">I55+I65</f>
        <v>8823.4900773407571</v>
      </c>
      <c r="J66" s="87">
        <f t="shared" ref="J66" ca="1" si="23">J55+J65</f>
        <v>9463.084158740201</v>
      </c>
      <c r="K66" s="87">
        <f t="shared" ref="K66" ca="1" si="24">K55+K65</f>
        <v>9411.4739752954556</v>
      </c>
      <c r="L66" s="87">
        <f t="shared" ref="L66" ca="1" si="25">L55+L65</f>
        <v>11233.665929206894</v>
      </c>
      <c r="M66" s="89">
        <f t="shared" ref="M66" ca="1" si="26">M55+M65</f>
        <v>11310.828658567916</v>
      </c>
    </row>
    <row r="67" spans="2:13" hidden="1" outlineLevel="1" x14ac:dyDescent="0.25">
      <c r="B67" s="114"/>
      <c r="C67" s="54"/>
      <c r="D67" s="54"/>
      <c r="E67" s="54"/>
      <c r="F67" s="130"/>
      <c r="G67" s="120"/>
      <c r="H67" s="120"/>
      <c r="I67" s="130"/>
      <c r="J67" s="120"/>
      <c r="K67" s="120"/>
      <c r="L67" s="120"/>
      <c r="M67" s="121"/>
    </row>
    <row r="68" spans="2:13" hidden="1" outlineLevel="1" x14ac:dyDescent="0.25">
      <c r="B68" s="115" t="s">
        <v>181</v>
      </c>
      <c r="C68" s="54"/>
      <c r="D68" s="54"/>
      <c r="E68" s="54"/>
      <c r="F68" s="130"/>
      <c r="G68" s="120"/>
      <c r="H68" s="120"/>
      <c r="I68" s="130"/>
      <c r="J68" s="120"/>
      <c r="K68" s="120"/>
      <c r="L68" s="120"/>
      <c r="M68" s="121"/>
    </row>
    <row r="69" spans="2:13" hidden="1" outlineLevel="1" x14ac:dyDescent="0.25">
      <c r="B69" s="115" t="s">
        <v>182</v>
      </c>
      <c r="C69" s="54"/>
      <c r="D69" s="54"/>
      <c r="E69" s="54"/>
      <c r="F69" s="130"/>
      <c r="G69" s="120"/>
      <c r="H69" s="120"/>
      <c r="I69" s="130"/>
      <c r="J69" s="120"/>
      <c r="K69" s="120"/>
      <c r="L69" s="120"/>
      <c r="M69" s="121"/>
    </row>
    <row r="70" spans="2:13" hidden="1" outlineLevel="1" x14ac:dyDescent="0.25">
      <c r="B70" s="118" t="s">
        <v>183</v>
      </c>
      <c r="C70" s="54"/>
      <c r="D70" s="54"/>
      <c r="E70" s="54"/>
      <c r="F70" s="130">
        <v>93.926000000000002</v>
      </c>
      <c r="G70" s="120">
        <v>93.018000000000001</v>
      </c>
      <c r="H70" s="120">
        <v>97.584999999999994</v>
      </c>
      <c r="I70" s="130">
        <f>H70</f>
        <v>97.584999999999994</v>
      </c>
      <c r="J70" s="120">
        <f t="shared" ref="J70:M70" si="27">I70</f>
        <v>97.584999999999994</v>
      </c>
      <c r="K70" s="120">
        <f t="shared" si="27"/>
        <v>97.584999999999994</v>
      </c>
      <c r="L70" s="120">
        <f t="shared" si="27"/>
        <v>97.584999999999994</v>
      </c>
      <c r="M70" s="121">
        <f t="shared" si="27"/>
        <v>97.584999999999994</v>
      </c>
    </row>
    <row r="71" spans="2:13" hidden="1" outlineLevel="1" x14ac:dyDescent="0.25">
      <c r="B71" s="118" t="s">
        <v>184</v>
      </c>
      <c r="C71" s="54"/>
      <c r="D71" s="54"/>
      <c r="E71" s="54"/>
      <c r="F71" s="130">
        <v>158.88399999999999</v>
      </c>
      <c r="G71" s="120">
        <v>162.286</v>
      </c>
      <c r="H71" s="120">
        <v>158.08199999999999</v>
      </c>
      <c r="I71" s="130">
        <f>H71</f>
        <v>158.08199999999999</v>
      </c>
      <c r="J71" s="120">
        <f t="shared" ref="J71:M71" si="28">I71</f>
        <v>158.08199999999999</v>
      </c>
      <c r="K71" s="120">
        <f t="shared" si="28"/>
        <v>158.08199999999999</v>
      </c>
      <c r="L71" s="120">
        <f t="shared" si="28"/>
        <v>158.08199999999999</v>
      </c>
      <c r="M71" s="121">
        <f t="shared" si="28"/>
        <v>158.08199999999999</v>
      </c>
    </row>
    <row r="72" spans="2:13" hidden="1" outlineLevel="1" x14ac:dyDescent="0.25">
      <c r="B72" s="118" t="s">
        <v>185</v>
      </c>
      <c r="C72" s="54"/>
      <c r="D72" s="54"/>
      <c r="E72" s="54"/>
      <c r="F72" s="130">
        <v>33.265000000000001</v>
      </c>
      <c r="G72" s="120">
        <v>54.506999999999998</v>
      </c>
      <c r="H72" s="120">
        <v>85.135999999999996</v>
      </c>
      <c r="I72" s="130">
        <f>H72</f>
        <v>85.135999999999996</v>
      </c>
      <c r="J72" s="120">
        <f t="shared" ref="J72:M72" si="29">I72</f>
        <v>85.135999999999996</v>
      </c>
      <c r="K72" s="120">
        <f t="shared" si="29"/>
        <v>85.135999999999996</v>
      </c>
      <c r="L72" s="120">
        <f t="shared" si="29"/>
        <v>85.135999999999996</v>
      </c>
      <c r="M72" s="121">
        <f t="shared" si="29"/>
        <v>85.135999999999996</v>
      </c>
    </row>
    <row r="73" spans="2:13" hidden="1" outlineLevel="1" x14ac:dyDescent="0.25">
      <c r="B73" s="118" t="s">
        <v>186</v>
      </c>
      <c r="C73" s="54"/>
      <c r="D73" s="54"/>
      <c r="E73" s="54"/>
      <c r="F73" s="130">
        <v>3983.9989999999998</v>
      </c>
      <c r="G73" s="120">
        <v>3140.7249999999999</v>
      </c>
      <c r="H73" s="120">
        <v>2944.1</v>
      </c>
      <c r="I73" s="130">
        <f>Schedule!J80</f>
        <v>2444.1</v>
      </c>
      <c r="J73" s="120">
        <f>Schedule!K80</f>
        <v>2194.1</v>
      </c>
      <c r="K73" s="120">
        <f>Schedule!L80</f>
        <v>1394.1</v>
      </c>
      <c r="L73" s="120">
        <f>Schedule!M80</f>
        <v>2394.1</v>
      </c>
      <c r="M73" s="121">
        <f>Schedule!N80</f>
        <v>1644.1</v>
      </c>
    </row>
    <row r="74" spans="2:13" hidden="1" outlineLevel="1" x14ac:dyDescent="0.25">
      <c r="B74" s="118" t="s">
        <v>187</v>
      </c>
      <c r="C74" s="54"/>
      <c r="D74" s="54"/>
      <c r="E74" s="54"/>
      <c r="F74" s="130">
        <v>0</v>
      </c>
      <c r="G74" s="120">
        <v>12.608000000000001</v>
      </c>
      <c r="H74" s="120">
        <v>5.9930000000000003</v>
      </c>
      <c r="I74" s="130">
        <f>H74</f>
        <v>5.9930000000000003</v>
      </c>
      <c r="J74" s="120">
        <f t="shared" ref="J74:M74" si="30">I74</f>
        <v>5.9930000000000003</v>
      </c>
      <c r="K74" s="120">
        <f t="shared" si="30"/>
        <v>5.9930000000000003</v>
      </c>
      <c r="L74" s="120">
        <f t="shared" si="30"/>
        <v>5.9930000000000003</v>
      </c>
      <c r="M74" s="121">
        <f t="shared" si="30"/>
        <v>5.9930000000000003</v>
      </c>
    </row>
    <row r="75" spans="2:13" hidden="1" outlineLevel="1" x14ac:dyDescent="0.25">
      <c r="B75" s="118" t="s">
        <v>188</v>
      </c>
      <c r="C75" s="54"/>
      <c r="D75" s="54"/>
      <c r="E75" s="54"/>
      <c r="F75" s="130">
        <v>67.441000000000003</v>
      </c>
      <c r="G75" s="120">
        <v>34.389000000000003</v>
      </c>
      <c r="H75" s="120">
        <v>0</v>
      </c>
      <c r="I75" s="130">
        <f>H75</f>
        <v>0</v>
      </c>
      <c r="J75" s="120">
        <f t="shared" ref="J75:M75" si="31">I75</f>
        <v>0</v>
      </c>
      <c r="K75" s="120">
        <f t="shared" si="31"/>
        <v>0</v>
      </c>
      <c r="L75" s="120">
        <f t="shared" si="31"/>
        <v>0</v>
      </c>
      <c r="M75" s="121">
        <f t="shared" si="31"/>
        <v>0</v>
      </c>
    </row>
    <row r="76" spans="2:13" hidden="1" outlineLevel="1" x14ac:dyDescent="0.25">
      <c r="B76" s="115" t="s">
        <v>189</v>
      </c>
      <c r="C76" s="54"/>
      <c r="D76" s="54"/>
      <c r="E76" s="54"/>
      <c r="F76" s="131">
        <f>SUM(F70:F75)</f>
        <v>4337.5149999999994</v>
      </c>
      <c r="G76" s="125">
        <f t="shared" ref="G76:H76" si="32">SUM(G70:G75)</f>
        <v>3497.5330000000004</v>
      </c>
      <c r="H76" s="125">
        <f t="shared" si="32"/>
        <v>3290.8959999999997</v>
      </c>
      <c r="I76" s="82">
        <f>SUM(I70:I75)</f>
        <v>2790.8959999999997</v>
      </c>
      <c r="J76" s="81">
        <f t="shared" ref="J76" si="33">SUM(J70:J75)</f>
        <v>2540.8959999999997</v>
      </c>
      <c r="K76" s="81">
        <f t="shared" ref="K76" si="34">SUM(K70:K75)</f>
        <v>1740.8959999999997</v>
      </c>
      <c r="L76" s="81">
        <f t="shared" ref="L76" si="35">SUM(L70:L75)</f>
        <v>2740.8959999999997</v>
      </c>
      <c r="M76" s="83">
        <f t="shared" ref="M76" si="36">SUM(M70:M75)</f>
        <v>1990.8959999999997</v>
      </c>
    </row>
    <row r="77" spans="2:13" hidden="1" outlineLevel="1" x14ac:dyDescent="0.25">
      <c r="B77" s="114"/>
      <c r="C77" s="54"/>
      <c r="D77" s="54"/>
      <c r="E77" s="54"/>
      <c r="F77" s="130"/>
      <c r="G77" s="120"/>
      <c r="H77" s="120"/>
      <c r="I77" s="132"/>
      <c r="J77" s="122"/>
      <c r="K77" s="122"/>
      <c r="L77" s="122"/>
      <c r="M77" s="123"/>
    </row>
    <row r="78" spans="2:13" hidden="1" outlineLevel="1" x14ac:dyDescent="0.25">
      <c r="B78" s="115" t="s">
        <v>190</v>
      </c>
      <c r="C78" s="54"/>
      <c r="D78" s="54"/>
      <c r="E78" s="54"/>
      <c r="F78" s="130"/>
      <c r="G78" s="120"/>
      <c r="H78" s="120"/>
      <c r="I78" s="130"/>
      <c r="J78" s="120"/>
      <c r="K78" s="120"/>
      <c r="L78" s="120"/>
      <c r="M78" s="121"/>
    </row>
    <row r="79" spans="2:13" hidden="1" outlineLevel="1" x14ac:dyDescent="0.25">
      <c r="B79" s="118" t="s">
        <v>191</v>
      </c>
      <c r="C79" s="54"/>
      <c r="D79" s="54"/>
      <c r="E79" s="54"/>
      <c r="F79" s="130">
        <v>369.76100000000002</v>
      </c>
      <c r="G79" s="120">
        <v>308.33300000000003</v>
      </c>
      <c r="H79" s="120">
        <v>356.66</v>
      </c>
      <c r="I79" s="130">
        <f ca="1">Schedule!J56</f>
        <v>332.64706142361416</v>
      </c>
      <c r="J79" s="120">
        <f ca="1">Schedule!K56</f>
        <v>448.55922954607405</v>
      </c>
      <c r="K79" s="120">
        <f ca="1">Schedule!L56</f>
        <v>447.20650624843245</v>
      </c>
      <c r="L79" s="120">
        <f ca="1">Schedule!M56</f>
        <v>455.10840165593379</v>
      </c>
      <c r="M79" s="121">
        <f ca="1">Schedule!N56</f>
        <v>469.57761271700281</v>
      </c>
    </row>
    <row r="80" spans="2:13" hidden="1" outlineLevel="1" x14ac:dyDescent="0.25">
      <c r="B80" s="118" t="s">
        <v>188</v>
      </c>
      <c r="C80" s="54"/>
      <c r="D80" s="54"/>
      <c r="E80" s="54"/>
      <c r="F80" s="130">
        <v>613.62099999999998</v>
      </c>
      <c r="G80" s="120">
        <v>532.64499999999998</v>
      </c>
      <c r="H80" s="120">
        <v>520.26</v>
      </c>
      <c r="I80" s="130">
        <f ca="1">Schedule!J57</f>
        <v>485.23232259364522</v>
      </c>
      <c r="J80" s="120">
        <f ca="1">Schedule!K57</f>
        <v>654.31342108349816</v>
      </c>
      <c r="K80" s="120">
        <f ca="1">Schedule!L57</f>
        <v>652.3402033892487</v>
      </c>
      <c r="L80" s="120">
        <f ca="1">Schedule!M57</f>
        <v>663.86669950517603</v>
      </c>
      <c r="M80" s="121">
        <f ca="1">Schedule!N57</f>
        <v>684.9729400329386</v>
      </c>
    </row>
    <row r="81" spans="2:13" hidden="1" outlineLevel="1" x14ac:dyDescent="0.25">
      <c r="B81" s="118" t="s">
        <v>184</v>
      </c>
      <c r="C81" s="54"/>
      <c r="D81" s="54"/>
      <c r="E81" s="54"/>
      <c r="F81" s="130">
        <v>4.4939999999999998</v>
      </c>
      <c r="G81" s="120">
        <v>8.327</v>
      </c>
      <c r="H81" s="120">
        <v>9.0419999999999998</v>
      </c>
      <c r="I81" s="130">
        <f>H81</f>
        <v>9.0419999999999998</v>
      </c>
      <c r="J81" s="120">
        <f t="shared" ref="J81:M81" si="37">I81</f>
        <v>9.0419999999999998</v>
      </c>
      <c r="K81" s="120">
        <f t="shared" si="37"/>
        <v>9.0419999999999998</v>
      </c>
      <c r="L81" s="120">
        <f t="shared" si="37"/>
        <v>9.0419999999999998</v>
      </c>
      <c r="M81" s="121">
        <f t="shared" si="37"/>
        <v>9.0419999999999998</v>
      </c>
    </row>
    <row r="82" spans="2:13" hidden="1" outlineLevel="1" x14ac:dyDescent="0.25">
      <c r="B82" s="118" t="s">
        <v>192</v>
      </c>
      <c r="C82" s="54"/>
      <c r="D82" s="54"/>
      <c r="E82" s="54"/>
      <c r="F82" s="130">
        <v>40.267000000000003</v>
      </c>
      <c r="G82" s="120">
        <v>49.871000000000002</v>
      </c>
      <c r="H82" s="120">
        <v>47.308999999999997</v>
      </c>
      <c r="I82" s="130">
        <f>H82</f>
        <v>47.308999999999997</v>
      </c>
      <c r="J82" s="120">
        <f t="shared" ref="J82:M82" si="38">I82</f>
        <v>47.308999999999997</v>
      </c>
      <c r="K82" s="120">
        <f t="shared" si="38"/>
        <v>47.308999999999997</v>
      </c>
      <c r="L82" s="120">
        <f t="shared" si="38"/>
        <v>47.308999999999997</v>
      </c>
      <c r="M82" s="121">
        <f t="shared" si="38"/>
        <v>47.308999999999997</v>
      </c>
    </row>
    <row r="83" spans="2:13" hidden="1" outlineLevel="1" x14ac:dyDescent="0.25">
      <c r="B83" s="118" t="s">
        <v>193</v>
      </c>
      <c r="C83" s="54"/>
      <c r="D83" s="54"/>
      <c r="E83" s="54"/>
      <c r="F83" s="130">
        <v>0</v>
      </c>
      <c r="G83" s="120">
        <v>1.351</v>
      </c>
      <c r="H83" s="120">
        <v>1.2350000000000001</v>
      </c>
      <c r="I83" s="130">
        <f>H83</f>
        <v>1.2350000000000001</v>
      </c>
      <c r="J83" s="120">
        <f t="shared" ref="J83:M83" si="39">I83</f>
        <v>1.2350000000000001</v>
      </c>
      <c r="K83" s="120">
        <f t="shared" si="39"/>
        <v>1.2350000000000001</v>
      </c>
      <c r="L83" s="120">
        <f t="shared" si="39"/>
        <v>1.2350000000000001</v>
      </c>
      <c r="M83" s="121">
        <f t="shared" si="39"/>
        <v>1.2350000000000001</v>
      </c>
    </row>
    <row r="84" spans="2:13" hidden="1" outlineLevel="1" x14ac:dyDescent="0.25">
      <c r="B84" s="115" t="s">
        <v>194</v>
      </c>
      <c r="C84" s="54"/>
      <c r="D84" s="54"/>
      <c r="E84" s="54"/>
      <c r="F84" s="131">
        <f>SUM(F79:F83)</f>
        <v>1028.143</v>
      </c>
      <c r="G84" s="125">
        <f t="shared" ref="G84:M84" si="40">SUM(G79:G83)</f>
        <v>900.52700000000004</v>
      </c>
      <c r="H84" s="125">
        <f t="shared" si="40"/>
        <v>934.50600000000009</v>
      </c>
      <c r="I84" s="82">
        <f t="shared" ca="1" si="40"/>
        <v>875.46538401725934</v>
      </c>
      <c r="J84" s="81">
        <f t="shared" ca="1" si="40"/>
        <v>1160.458650629572</v>
      </c>
      <c r="K84" s="81">
        <f t="shared" ca="1" si="40"/>
        <v>1157.1327096376808</v>
      </c>
      <c r="L84" s="81">
        <f t="shared" ca="1" si="40"/>
        <v>1176.5611011611095</v>
      </c>
      <c r="M84" s="83">
        <f t="shared" ca="1" si="40"/>
        <v>1212.1365527499411</v>
      </c>
    </row>
    <row r="85" spans="2:13" hidden="1" outlineLevel="1" x14ac:dyDescent="0.25">
      <c r="B85" s="115" t="s">
        <v>195</v>
      </c>
      <c r="C85" s="54"/>
      <c r="D85" s="54"/>
      <c r="E85" s="54"/>
      <c r="F85" s="129">
        <f>F84+F76</f>
        <v>5365.6579999999994</v>
      </c>
      <c r="G85" s="127">
        <f t="shared" ref="G85:M85" si="41">G84+G76</f>
        <v>4398.0600000000004</v>
      </c>
      <c r="H85" s="127">
        <f t="shared" si="41"/>
        <v>4225.402</v>
      </c>
      <c r="I85" s="129">
        <f t="shared" ca="1" si="41"/>
        <v>3666.3613840172593</v>
      </c>
      <c r="J85" s="127">
        <f t="shared" ca="1" si="41"/>
        <v>3701.3546506295716</v>
      </c>
      <c r="K85" s="127">
        <f t="shared" ca="1" si="41"/>
        <v>2898.0287096376805</v>
      </c>
      <c r="L85" s="127">
        <f t="shared" ca="1" si="41"/>
        <v>3917.4571011611092</v>
      </c>
      <c r="M85" s="128">
        <f t="shared" ca="1" si="41"/>
        <v>3203.0325527499408</v>
      </c>
    </row>
    <row r="86" spans="2:13" hidden="1" outlineLevel="1" x14ac:dyDescent="0.25">
      <c r="B86" s="75"/>
      <c r="C86" s="54"/>
      <c r="D86" s="54"/>
      <c r="E86" s="54"/>
      <c r="F86" s="130"/>
      <c r="G86" s="120"/>
      <c r="H86" s="120"/>
      <c r="I86" s="130"/>
      <c r="J86" s="120"/>
      <c r="K86" s="120"/>
      <c r="L86" s="120"/>
      <c r="M86" s="121"/>
    </row>
    <row r="87" spans="2:13" hidden="1" outlineLevel="1" x14ac:dyDescent="0.25">
      <c r="B87" s="115" t="s">
        <v>196</v>
      </c>
      <c r="C87" s="54"/>
      <c r="D87" s="54"/>
      <c r="E87" s="54"/>
      <c r="F87" s="130"/>
      <c r="G87" s="120"/>
      <c r="H87" s="120"/>
      <c r="I87" s="130"/>
      <c r="J87" s="120"/>
      <c r="K87" s="120"/>
      <c r="L87" s="120"/>
      <c r="M87" s="121"/>
    </row>
    <row r="88" spans="2:13" hidden="1" outlineLevel="1" x14ac:dyDescent="0.25">
      <c r="B88" s="118" t="s">
        <v>197</v>
      </c>
      <c r="C88" s="54"/>
      <c r="D88" s="54"/>
      <c r="E88" s="54"/>
      <c r="F88" s="130">
        <v>4809.2309999999998</v>
      </c>
      <c r="G88" s="120">
        <v>4809.2309999999998</v>
      </c>
      <c r="H88" s="120">
        <v>4809.2309999999998</v>
      </c>
      <c r="I88" s="130">
        <f>H88</f>
        <v>4809.2309999999998</v>
      </c>
      <c r="J88" s="120">
        <f t="shared" ref="J88:M88" si="42">I88</f>
        <v>4809.2309999999998</v>
      </c>
      <c r="K88" s="120">
        <f t="shared" si="42"/>
        <v>4809.2309999999998</v>
      </c>
      <c r="L88" s="120">
        <f t="shared" si="42"/>
        <v>4809.2309999999998</v>
      </c>
      <c r="M88" s="121">
        <f t="shared" si="42"/>
        <v>4809.2309999999998</v>
      </c>
    </row>
    <row r="89" spans="2:13" hidden="1" outlineLevel="1" x14ac:dyDescent="0.25">
      <c r="B89" s="118" t="s">
        <v>198</v>
      </c>
      <c r="C89" s="54"/>
      <c r="D89" s="54"/>
      <c r="E89" s="54"/>
      <c r="F89" s="130">
        <v>-4446.4669999999996</v>
      </c>
      <c r="G89" s="120">
        <v>-4446.4669999999996</v>
      </c>
      <c r="H89" s="120">
        <v>-4446.4669999999996</v>
      </c>
      <c r="I89" s="130">
        <f>H89</f>
        <v>-4446.4669999999996</v>
      </c>
      <c r="J89" s="120">
        <f t="shared" ref="J89:M89" si="43">I89</f>
        <v>-4446.4669999999996</v>
      </c>
      <c r="K89" s="120">
        <f t="shared" si="43"/>
        <v>-4446.4669999999996</v>
      </c>
      <c r="L89" s="120">
        <f t="shared" si="43"/>
        <v>-4446.4669999999996</v>
      </c>
      <c r="M89" s="121">
        <f t="shared" si="43"/>
        <v>-4446.4669999999996</v>
      </c>
    </row>
    <row r="90" spans="2:13" hidden="1" outlineLevel="1" x14ac:dyDescent="0.25">
      <c r="B90" s="118" t="s">
        <v>199</v>
      </c>
      <c r="C90" s="54"/>
      <c r="D90" s="54"/>
      <c r="E90" s="54"/>
      <c r="F90" s="130">
        <v>186.322</v>
      </c>
      <c r="G90" s="120">
        <v>186.48599999999999</v>
      </c>
      <c r="H90" s="120">
        <v>186.77</v>
      </c>
      <c r="I90" s="130">
        <f t="shared" ref="I90:M94" si="44">H90</f>
        <v>186.77</v>
      </c>
      <c r="J90" s="120">
        <f t="shared" si="44"/>
        <v>186.77</v>
      </c>
      <c r="K90" s="120">
        <f t="shared" si="44"/>
        <v>186.77</v>
      </c>
      <c r="L90" s="120">
        <f t="shared" si="44"/>
        <v>186.77</v>
      </c>
      <c r="M90" s="121">
        <f t="shared" si="44"/>
        <v>186.77</v>
      </c>
    </row>
    <row r="91" spans="2:13" hidden="1" outlineLevel="1" x14ac:dyDescent="0.25">
      <c r="B91" s="118" t="s">
        <v>200</v>
      </c>
      <c r="C91" s="54"/>
      <c r="D91" s="54"/>
      <c r="E91" s="54"/>
      <c r="F91" s="130">
        <v>12.49</v>
      </c>
      <c r="G91" s="120">
        <v>12.49</v>
      </c>
      <c r="H91" s="120">
        <v>12.49</v>
      </c>
      <c r="I91" s="130">
        <f t="shared" si="44"/>
        <v>12.49</v>
      </c>
      <c r="J91" s="120">
        <f t="shared" si="44"/>
        <v>12.49</v>
      </c>
      <c r="K91" s="120">
        <f t="shared" si="44"/>
        <v>12.49</v>
      </c>
      <c r="L91" s="120">
        <f t="shared" si="44"/>
        <v>12.49</v>
      </c>
      <c r="M91" s="121">
        <f t="shared" si="44"/>
        <v>12.49</v>
      </c>
    </row>
    <row r="92" spans="2:13" hidden="1" outlineLevel="1" x14ac:dyDescent="0.25">
      <c r="B92" s="118" t="s">
        <v>201</v>
      </c>
      <c r="C92" s="54"/>
      <c r="D92" s="54"/>
      <c r="E92" s="54"/>
      <c r="F92" s="130">
        <v>0</v>
      </c>
      <c r="G92" s="120">
        <v>-12.608000000000001</v>
      </c>
      <c r="H92" s="120">
        <v>-5.9930000000000003</v>
      </c>
      <c r="I92" s="130">
        <f t="shared" si="44"/>
        <v>-5.9930000000000003</v>
      </c>
      <c r="J92" s="120">
        <f t="shared" si="44"/>
        <v>-5.9930000000000003</v>
      </c>
      <c r="K92" s="120">
        <f t="shared" si="44"/>
        <v>-5.9930000000000003</v>
      </c>
      <c r="L92" s="120">
        <f t="shared" si="44"/>
        <v>-5.9930000000000003</v>
      </c>
      <c r="M92" s="121">
        <f t="shared" si="44"/>
        <v>-5.9930000000000003</v>
      </c>
    </row>
    <row r="93" spans="2:13" hidden="1" outlineLevel="1" x14ac:dyDescent="0.25">
      <c r="B93" s="118" t="s">
        <v>202</v>
      </c>
      <c r="C93" s="54"/>
      <c r="D93" s="54"/>
      <c r="E93" s="54"/>
      <c r="F93" s="130">
        <v>10.846</v>
      </c>
      <c r="G93" s="120">
        <v>17.992999999999999</v>
      </c>
      <c r="H93" s="120">
        <v>18.32</v>
      </c>
      <c r="I93" s="130">
        <f t="shared" si="44"/>
        <v>18.32</v>
      </c>
      <c r="J93" s="120">
        <f t="shared" si="44"/>
        <v>18.32</v>
      </c>
      <c r="K93" s="120">
        <f t="shared" si="44"/>
        <v>18.32</v>
      </c>
      <c r="L93" s="120">
        <f t="shared" si="44"/>
        <v>18.32</v>
      </c>
      <c r="M93" s="121">
        <f t="shared" si="44"/>
        <v>18.32</v>
      </c>
    </row>
    <row r="94" spans="2:13" hidden="1" outlineLevel="1" x14ac:dyDescent="0.25">
      <c r="B94" s="118" t="s">
        <v>203</v>
      </c>
      <c r="C94" s="54"/>
      <c r="D94" s="54"/>
      <c r="E94" s="54"/>
      <c r="F94" s="130">
        <v>-3.9820000000000002</v>
      </c>
      <c r="G94" s="120">
        <v>-5.4740000000000002</v>
      </c>
      <c r="H94" s="120">
        <v>-7.7409999999999997</v>
      </c>
      <c r="I94" s="130">
        <f t="shared" si="44"/>
        <v>-7.7409999999999997</v>
      </c>
      <c r="J94" s="120">
        <f t="shared" si="44"/>
        <v>-7.7409999999999997</v>
      </c>
      <c r="K94" s="120">
        <f t="shared" si="44"/>
        <v>-7.7409999999999997</v>
      </c>
      <c r="L94" s="120">
        <f t="shared" si="44"/>
        <v>-7.7409999999999997</v>
      </c>
      <c r="M94" s="121">
        <f t="shared" si="44"/>
        <v>-7.7409999999999997</v>
      </c>
    </row>
    <row r="95" spans="2:13" hidden="1" outlineLevel="1" x14ac:dyDescent="0.25">
      <c r="B95" s="118" t="s">
        <v>204</v>
      </c>
      <c r="C95" s="54"/>
      <c r="D95" s="54"/>
      <c r="E95" s="54"/>
      <c r="F95" s="130">
        <v>4279.5739999999996</v>
      </c>
      <c r="G95" s="120">
        <v>3970.8310000000001</v>
      </c>
      <c r="H95" s="120">
        <v>3896.116</v>
      </c>
      <c r="I95" s="130">
        <f ca="1">Schedule!J91</f>
        <v>4556.65288749912</v>
      </c>
      <c r="J95" s="120">
        <f ca="1">Schedule!K91</f>
        <v>5144.1748754913124</v>
      </c>
      <c r="K95" s="120">
        <f ca="1">Schedule!L91</f>
        <v>5876.3911733829318</v>
      </c>
      <c r="L95" s="120">
        <f ca="1">Schedule!M91</f>
        <v>6659.2169526476146</v>
      </c>
      <c r="M95" s="121">
        <f ca="1">Schedule!N91</f>
        <v>7430.0318305887158</v>
      </c>
    </row>
    <row r="96" spans="2:13" hidden="1" outlineLevel="1" x14ac:dyDescent="0.25">
      <c r="B96" s="115" t="s">
        <v>205</v>
      </c>
      <c r="C96" s="54"/>
      <c r="D96" s="54"/>
      <c r="E96" s="54"/>
      <c r="F96" s="131">
        <f>SUM(F88:F95)</f>
        <v>4848.0140000000001</v>
      </c>
      <c r="G96" s="125">
        <f t="shared" ref="G96:H96" si="45">SUM(G88:G95)</f>
        <v>4532.482</v>
      </c>
      <c r="H96" s="125">
        <f t="shared" si="45"/>
        <v>4462.7260000000006</v>
      </c>
      <c r="I96" s="131">
        <f t="shared" ref="I96" ca="1" si="46">SUM(I88:I95)</f>
        <v>5123.2628874991206</v>
      </c>
      <c r="J96" s="125">
        <f t="shared" ref="J96" ca="1" si="47">SUM(J88:J95)</f>
        <v>5710.7848754913121</v>
      </c>
      <c r="K96" s="125">
        <f t="shared" ref="K96" ca="1" si="48">SUM(K88:K95)</f>
        <v>6443.0011733829324</v>
      </c>
      <c r="L96" s="125">
        <f t="shared" ref="L96" ca="1" si="49">SUM(L88:L95)</f>
        <v>7225.8269526476142</v>
      </c>
      <c r="M96" s="126">
        <f t="shared" ref="M96" ca="1" si="50">SUM(M88:M95)</f>
        <v>7996.6418305887164</v>
      </c>
    </row>
    <row r="97" spans="1:15" hidden="1" outlineLevel="1" x14ac:dyDescent="0.25">
      <c r="B97" s="118" t="s">
        <v>206</v>
      </c>
      <c r="C97" s="54"/>
      <c r="D97" s="54"/>
      <c r="E97" s="54"/>
      <c r="F97" s="130">
        <v>21.585999999999999</v>
      </c>
      <c r="G97" s="120">
        <v>13.353999999999999</v>
      </c>
      <c r="H97" s="120">
        <v>19.337</v>
      </c>
      <c r="I97" s="130">
        <f ca="1">H97-I39</f>
        <v>33.865805824377844</v>
      </c>
      <c r="J97" s="120">
        <f ca="1">I97-J39</f>
        <v>50.944632619318199</v>
      </c>
      <c r="K97" s="120">
        <f ca="1">J97-K39</f>
        <v>70.444092274841609</v>
      </c>
      <c r="L97" s="120">
        <f ca="1">K97-L39</f>
        <v>90.381875398168376</v>
      </c>
      <c r="M97" s="121">
        <f ca="1">L97-M39</f>
        <v>111.15427522925644</v>
      </c>
    </row>
    <row r="98" spans="1:15" hidden="1" outlineLevel="1" x14ac:dyDescent="0.25">
      <c r="B98" s="119" t="s">
        <v>207</v>
      </c>
      <c r="C98" s="78"/>
      <c r="D98" s="78"/>
      <c r="E98" s="78"/>
      <c r="F98" s="129">
        <f>F96+F97+F85</f>
        <v>10235.258</v>
      </c>
      <c r="G98" s="127">
        <f t="shared" ref="G98:H98" si="51">G96+G97+G85</f>
        <v>8943.8960000000006</v>
      </c>
      <c r="H98" s="127">
        <f t="shared" si="51"/>
        <v>8707.4650000000001</v>
      </c>
      <c r="I98" s="129">
        <f t="shared" ref="I98" ca="1" si="52">I96+I97+I85</f>
        <v>8823.4900773407571</v>
      </c>
      <c r="J98" s="127">
        <f t="shared" ref="J98" ca="1" si="53">J96+J97+J85</f>
        <v>9463.0841587402028</v>
      </c>
      <c r="K98" s="127">
        <f t="shared" ref="K98" ca="1" si="54">K96+K97+K85</f>
        <v>9411.4739752954556</v>
      </c>
      <c r="L98" s="127">
        <f t="shared" ref="L98" ca="1" si="55">L96+L97+L85</f>
        <v>11233.665929206893</v>
      </c>
      <c r="M98" s="128">
        <f t="shared" ref="M98" ca="1" si="56">M96+M97+M85</f>
        <v>11310.828658567912</v>
      </c>
    </row>
    <row r="99" spans="1:15" hidden="1" outlineLevel="1" x14ac:dyDescent="0.25">
      <c r="B99" s="55"/>
      <c r="C99" s="54"/>
      <c r="D99" s="54"/>
      <c r="E99" s="54"/>
      <c r="F99" s="55"/>
      <c r="G99" s="55"/>
      <c r="H99" s="55"/>
    </row>
    <row r="100" spans="1:15" hidden="1" outlineLevel="1" x14ac:dyDescent="0.25">
      <c r="B100" s="113" t="s">
        <v>208</v>
      </c>
      <c r="C100" s="113"/>
      <c r="D100" s="113"/>
      <c r="E100" s="113"/>
      <c r="F100" s="113" t="str">
        <f>IF(F98=F66,"TRUE",F66-F98)</f>
        <v>TRUE</v>
      </c>
      <c r="G100" s="113" t="str">
        <f t="shared" ref="G100:L100" si="57">IF(G98=G66,"TRUE",G66-G98)</f>
        <v>TRUE</v>
      </c>
      <c r="H100" s="113" t="str">
        <f t="shared" si="57"/>
        <v>TRUE</v>
      </c>
      <c r="I100" s="150" t="str">
        <f t="shared" ca="1" si="57"/>
        <v>TRUE</v>
      </c>
      <c r="J100" s="150" t="str">
        <f t="shared" ca="1" si="57"/>
        <v>TRUE</v>
      </c>
      <c r="K100" s="150" t="str">
        <f t="shared" ca="1" si="57"/>
        <v>TRUE</v>
      </c>
      <c r="L100" s="150" t="str">
        <f t="shared" ca="1" si="57"/>
        <v>TRUE</v>
      </c>
      <c r="M100" s="150" t="str">
        <f ca="1">IF(M98=M66,"TRUE",M66-M98)</f>
        <v>TRUE</v>
      </c>
    </row>
    <row r="101" spans="1:15" collapsed="1" x14ac:dyDescent="0.25"/>
    <row r="102" spans="1:15" x14ac:dyDescent="0.25">
      <c r="A102" s="364" t="s">
        <v>27</v>
      </c>
      <c r="B102" s="154" t="s">
        <v>306</v>
      </c>
      <c r="C102" s="155"/>
      <c r="D102" s="155"/>
      <c r="E102" s="155"/>
      <c r="F102" s="160">
        <v>44926</v>
      </c>
      <c r="G102" s="156">
        <v>45291</v>
      </c>
      <c r="H102" s="156">
        <v>45657</v>
      </c>
      <c r="I102" s="157">
        <v>46022</v>
      </c>
      <c r="J102" s="158">
        <v>46387</v>
      </c>
      <c r="K102" s="158">
        <v>46752</v>
      </c>
      <c r="L102" s="158">
        <v>47118</v>
      </c>
      <c r="M102" s="159">
        <v>47483</v>
      </c>
    </row>
    <row r="103" spans="1:15" hidden="1" outlineLevel="1" x14ac:dyDescent="0.25">
      <c r="B103" s="53"/>
      <c r="I103" s="53"/>
      <c r="M103" s="74"/>
    </row>
    <row r="104" spans="1:15" hidden="1" outlineLevel="1" x14ac:dyDescent="0.25">
      <c r="B104" s="140" t="s">
        <v>242</v>
      </c>
      <c r="F104" s="134"/>
      <c r="G104" s="134"/>
      <c r="H104" s="134"/>
      <c r="I104" s="53"/>
      <c r="M104" s="74"/>
    </row>
    <row r="105" spans="1:15" hidden="1" outlineLevel="1" x14ac:dyDescent="0.25">
      <c r="B105" s="141" t="s">
        <v>243</v>
      </c>
      <c r="F105" s="134"/>
      <c r="G105" s="134"/>
      <c r="H105" s="134"/>
      <c r="I105" s="144">
        <f ca="1">I37</f>
        <v>1860.5234335695743</v>
      </c>
      <c r="J105" s="145">
        <f ca="1">J37</f>
        <v>2346.5505582181077</v>
      </c>
      <c r="K105" s="145">
        <f ca="1">K37</f>
        <v>2558.5605831241214</v>
      </c>
      <c r="L105" s="145">
        <f ca="1">L37</f>
        <v>2633.9607911600074</v>
      </c>
      <c r="M105" s="146">
        <f ca="1">M37</f>
        <v>2773.4699341420155</v>
      </c>
    </row>
    <row r="106" spans="1:15" hidden="1" outlineLevel="1" x14ac:dyDescent="0.25">
      <c r="B106" s="142" t="s">
        <v>244</v>
      </c>
      <c r="F106" s="134"/>
      <c r="G106" s="134"/>
      <c r="H106" s="134"/>
      <c r="I106" s="130"/>
      <c r="J106" s="120"/>
      <c r="K106" s="120"/>
      <c r="L106" s="120"/>
      <c r="M106" s="121"/>
    </row>
    <row r="107" spans="1:15" hidden="1" outlineLevel="1" x14ac:dyDescent="0.25">
      <c r="B107" s="141" t="s">
        <v>245</v>
      </c>
      <c r="F107" s="134"/>
      <c r="G107" s="134"/>
      <c r="H107" s="134"/>
      <c r="I107" s="130">
        <f>Schedule!J20+Schedule!J36</f>
        <v>485.27463167006761</v>
      </c>
      <c r="J107" s="120">
        <f>Schedule!K20+Schedule!K36</f>
        <v>541.01269224550424</v>
      </c>
      <c r="K107" s="120">
        <f>Schedule!L20+Schedule!L36</f>
        <v>533.81089730791007</v>
      </c>
      <c r="L107" s="120">
        <f>Schedule!M20+Schedule!M36</f>
        <v>530.7331585311041</v>
      </c>
      <c r="M107" s="121">
        <f>Schedule!N20+Schedule!N36</f>
        <v>549.61284025214513</v>
      </c>
    </row>
    <row r="108" spans="1:15" hidden="1" outlineLevel="1" x14ac:dyDescent="0.25">
      <c r="B108" s="141" t="s">
        <v>132</v>
      </c>
      <c r="F108" s="134"/>
      <c r="G108" s="134"/>
      <c r="H108" s="134"/>
      <c r="I108" s="130">
        <f t="shared" ref="I108:M109" ca="1" si="58">-I29</f>
        <v>-28.316249413171086</v>
      </c>
      <c r="J108" s="120">
        <f t="shared" ca="1" si="58"/>
        <v>-35.924436716379951</v>
      </c>
      <c r="K108" s="120">
        <f t="shared" ca="1" si="58"/>
        <v>-37.342679374851429</v>
      </c>
      <c r="L108" s="120">
        <f t="shared" ca="1" si="58"/>
        <v>-38.575122521966712</v>
      </c>
      <c r="M108" s="121">
        <f t="shared" ca="1" si="58"/>
        <v>-39.741702411213559</v>
      </c>
      <c r="N108" s="18"/>
      <c r="O108" s="18"/>
    </row>
    <row r="109" spans="1:15" s="54" customFormat="1" hidden="1" outlineLevel="1" x14ac:dyDescent="0.25">
      <c r="A109" s="364"/>
      <c r="B109" s="141" t="s">
        <v>133</v>
      </c>
      <c r="F109" s="137"/>
      <c r="G109" s="137"/>
      <c r="H109" s="137"/>
      <c r="I109" s="100">
        <f t="shared" si="58"/>
        <v>176</v>
      </c>
      <c r="J109" s="79">
        <f t="shared" si="58"/>
        <v>148.14224755153319</v>
      </c>
      <c r="K109" s="79">
        <f t="shared" si="58"/>
        <v>94.949974545070475</v>
      </c>
      <c r="L109" s="79">
        <f t="shared" si="58"/>
        <v>165.70128168597873</v>
      </c>
      <c r="M109" s="80">
        <f t="shared" si="58"/>
        <v>112.25873369314805</v>
      </c>
      <c r="N109" s="110"/>
    </row>
    <row r="110" spans="1:15" s="54" customFormat="1" hidden="1" outlineLevel="1" x14ac:dyDescent="0.25">
      <c r="A110" s="364"/>
      <c r="B110" s="114" t="s">
        <v>246</v>
      </c>
      <c r="F110" s="137"/>
      <c r="G110" s="137"/>
      <c r="H110" s="137"/>
      <c r="I110" s="100">
        <f ca="1">-I23</f>
        <v>-36.869936428554325</v>
      </c>
      <c r="J110" s="79">
        <f ca="1">-J23</f>
        <v>-46.14144699160596</v>
      </c>
      <c r="K110" s="79">
        <f ca="1">-K23</f>
        <v>-55.712822125868307</v>
      </c>
      <c r="L110" s="79">
        <f ca="1">-L23</f>
        <v>-52.442818301836859</v>
      </c>
      <c r="M110" s="80">
        <f ca="1">-M23</f>
        <v>-54.795599425211805</v>
      </c>
      <c r="N110" s="110"/>
    </row>
    <row r="111" spans="1:15" s="54" customFormat="1" hidden="1" outlineLevel="1" x14ac:dyDescent="0.25">
      <c r="A111" s="364"/>
      <c r="B111" s="115" t="s">
        <v>247</v>
      </c>
      <c r="F111" s="137"/>
      <c r="G111" s="137"/>
      <c r="H111" s="137"/>
      <c r="I111" s="101"/>
      <c r="J111" s="84"/>
      <c r="K111" s="84"/>
      <c r="L111" s="84"/>
      <c r="M111" s="85"/>
    </row>
    <row r="112" spans="1:15" s="54" customFormat="1" hidden="1" outlineLevel="1" x14ac:dyDescent="0.25">
      <c r="A112" s="364"/>
      <c r="B112" s="118" t="s">
        <v>175</v>
      </c>
      <c r="F112" s="137"/>
      <c r="G112" s="137"/>
      <c r="H112" s="137"/>
      <c r="I112" s="100">
        <f t="shared" ref="I112:M114" ca="1" si="59">H59-I59</f>
        <v>9.4599573415609939</v>
      </c>
      <c r="J112" s="79">
        <f t="shared" ca="1" si="59"/>
        <v>-179.18893613688272</v>
      </c>
      <c r="K112" s="79">
        <f t="shared" ca="1" si="59"/>
        <v>-27.103458558678653</v>
      </c>
      <c r="L112" s="79">
        <f t="shared" ca="1" si="59"/>
        <v>-27.5286108497952</v>
      </c>
      <c r="M112" s="80">
        <f t="shared" ca="1" si="59"/>
        <v>-27.953763140911519</v>
      </c>
      <c r="N112" s="110"/>
      <c r="O112" s="110"/>
    </row>
    <row r="113" spans="1:15" s="54" customFormat="1" hidden="1" outlineLevel="1" x14ac:dyDescent="0.25">
      <c r="A113" s="364"/>
      <c r="B113" s="118" t="s">
        <v>169</v>
      </c>
      <c r="F113" s="137"/>
      <c r="G113" s="137"/>
      <c r="H113" s="137"/>
      <c r="I113" s="100">
        <f t="shared" ca="1" si="59"/>
        <v>3.1006706652021307</v>
      </c>
      <c r="J113" s="79">
        <f t="shared" ca="1" si="59"/>
        <v>-58.732387234711268</v>
      </c>
      <c r="K113" s="79">
        <f t="shared" ca="1" si="59"/>
        <v>-8.8836445920535994</v>
      </c>
      <c r="L113" s="79">
        <f t="shared" ca="1" si="59"/>
        <v>-9.0229958797721679</v>
      </c>
      <c r="M113" s="80">
        <f t="shared" ca="1" si="59"/>
        <v>-9.1623471674906227</v>
      </c>
      <c r="N113" s="110"/>
      <c r="O113" s="110"/>
    </row>
    <row r="114" spans="1:15" s="54" customFormat="1" hidden="1" outlineLevel="1" x14ac:dyDescent="0.25">
      <c r="A114" s="364"/>
      <c r="B114" s="118" t="s">
        <v>176</v>
      </c>
      <c r="F114" s="137"/>
      <c r="G114" s="137"/>
      <c r="H114" s="137"/>
      <c r="I114" s="100">
        <f t="shared" ca="1" si="59"/>
        <v>12.683599107419354</v>
      </c>
      <c r="J114" s="79">
        <f t="shared" ca="1" si="59"/>
        <v>-240.25062147586425</v>
      </c>
      <c r="K114" s="79">
        <f t="shared" ca="1" si="59"/>
        <v>-36.339424203588123</v>
      </c>
      <c r="L114" s="79">
        <f t="shared" ca="1" si="59"/>
        <v>-36.909454387174037</v>
      </c>
      <c r="M114" s="80">
        <f t="shared" ca="1" si="59"/>
        <v>-37.479484570759951</v>
      </c>
      <c r="N114" s="110"/>
      <c r="O114" s="110"/>
    </row>
    <row r="115" spans="1:15" s="54" customFormat="1" hidden="1" outlineLevel="1" x14ac:dyDescent="0.25">
      <c r="A115" s="364"/>
      <c r="B115" s="118" t="s">
        <v>178</v>
      </c>
      <c r="F115" s="137"/>
      <c r="G115" s="137"/>
      <c r="H115" s="137"/>
      <c r="I115" s="100">
        <f ca="1">H64-I64</f>
        <v>0.35324283141914137</v>
      </c>
      <c r="J115" s="79">
        <f ca="1">I64-J64</f>
        <v>-6.6910668700257183</v>
      </c>
      <c r="K115" s="79">
        <f ca="1">J64-K64</f>
        <v>-1.0120661327357539</v>
      </c>
      <c r="L115" s="79">
        <f ca="1">K64-L64</f>
        <v>-1.0279416799159264</v>
      </c>
      <c r="M115" s="80">
        <f ca="1">L64-M64</f>
        <v>-1.043817227096099</v>
      </c>
      <c r="N115" s="110"/>
      <c r="O115" s="110"/>
    </row>
    <row r="116" spans="1:15" s="54" customFormat="1" hidden="1" outlineLevel="1" x14ac:dyDescent="0.25">
      <c r="A116" s="364"/>
      <c r="B116" s="118" t="s">
        <v>191</v>
      </c>
      <c r="F116" s="137"/>
      <c r="G116" s="137"/>
      <c r="H116" s="137"/>
      <c r="I116" s="147">
        <f t="shared" ref="I116:M117" ca="1" si="60">I79-H79</f>
        <v>-24.012938576385864</v>
      </c>
      <c r="J116" s="148">
        <f t="shared" ca="1" si="60"/>
        <v>115.91216812245989</v>
      </c>
      <c r="K116" s="148">
        <f t="shared" ca="1" si="60"/>
        <v>-1.352723297641603</v>
      </c>
      <c r="L116" s="148">
        <f t="shared" ca="1" si="60"/>
        <v>7.9018954075013426</v>
      </c>
      <c r="M116" s="149">
        <f t="shared" ca="1" si="60"/>
        <v>14.469211061069018</v>
      </c>
      <c r="N116" s="111"/>
      <c r="O116" s="111"/>
    </row>
    <row r="117" spans="1:15" s="54" customFormat="1" hidden="1" outlineLevel="1" x14ac:dyDescent="0.25">
      <c r="A117" s="364"/>
      <c r="B117" s="118" t="s">
        <v>188</v>
      </c>
      <c r="F117" s="137"/>
      <c r="G117" s="137"/>
      <c r="H117" s="137"/>
      <c r="I117" s="147">
        <f t="shared" ca="1" si="60"/>
        <v>-35.027677406354769</v>
      </c>
      <c r="J117" s="148">
        <f t="shared" ca="1" si="60"/>
        <v>169.08109848985293</v>
      </c>
      <c r="K117" s="148">
        <f t="shared" ca="1" si="60"/>
        <v>-1.9732176942494561</v>
      </c>
      <c r="L117" s="148">
        <f t="shared" ca="1" si="60"/>
        <v>11.52649611592733</v>
      </c>
      <c r="M117" s="149">
        <f t="shared" ca="1" si="60"/>
        <v>21.106240527762566</v>
      </c>
      <c r="N117" s="111"/>
      <c r="O117" s="111"/>
    </row>
    <row r="118" spans="1:15" s="54" customFormat="1" hidden="1" outlineLevel="1" x14ac:dyDescent="0.25">
      <c r="A118" s="364"/>
      <c r="B118" s="115" t="s">
        <v>272</v>
      </c>
      <c r="F118" s="137"/>
      <c r="G118" s="137"/>
      <c r="H118" s="137"/>
      <c r="I118" s="82">
        <f ca="1">SUM(I105:I117)</f>
        <v>2423.1687333607779</v>
      </c>
      <c r="J118" s="81">
        <f ca="1">SUM(J105:J117)</f>
        <v>2753.7698692019881</v>
      </c>
      <c r="K118" s="81">
        <f ca="1">SUM(K105:K117)</f>
        <v>3017.6014189974358</v>
      </c>
      <c r="L118" s="81">
        <f ca="1">SUM(L105:L117)</f>
        <v>3184.316679280058</v>
      </c>
      <c r="M118" s="83">
        <f ca="1">SUM(M105:M117)</f>
        <v>3300.740245733456</v>
      </c>
      <c r="N118" s="110"/>
    </row>
    <row r="119" spans="1:15" s="54" customFormat="1" hidden="1" outlineLevel="1" x14ac:dyDescent="0.25">
      <c r="A119" s="364"/>
      <c r="B119" s="114"/>
      <c r="F119" s="137"/>
      <c r="G119" s="137"/>
      <c r="H119" s="137"/>
      <c r="I119" s="101"/>
      <c r="J119" s="84"/>
      <c r="K119" s="84"/>
      <c r="L119" s="79"/>
      <c r="M119" s="85"/>
    </row>
    <row r="120" spans="1:15" s="54" customFormat="1" hidden="1" outlineLevel="1" x14ac:dyDescent="0.25">
      <c r="A120" s="364"/>
      <c r="B120" s="143" t="s">
        <v>248</v>
      </c>
      <c r="F120" s="137"/>
      <c r="G120" s="137"/>
      <c r="H120" s="137"/>
      <c r="I120" s="101"/>
      <c r="J120" s="84"/>
      <c r="K120" s="84"/>
      <c r="L120" s="84"/>
      <c r="M120" s="85"/>
    </row>
    <row r="121" spans="1:15" s="54" customFormat="1" hidden="1" outlineLevel="1" x14ac:dyDescent="0.25">
      <c r="A121" s="364"/>
      <c r="B121" s="114" t="s">
        <v>249</v>
      </c>
      <c r="F121" s="137"/>
      <c r="G121" s="137"/>
      <c r="H121" s="137"/>
      <c r="I121" s="100">
        <f>-Schedule!J17</f>
        <v>-157.595657232121</v>
      </c>
      <c r="J121" s="79">
        <f>-Schedule!K17</f>
        <v>-193.03153494821726</v>
      </c>
      <c r="K121" s="79">
        <f>-Schedule!L17</f>
        <v>-229.55305684345748</v>
      </c>
      <c r="L121" s="79">
        <f>-Schedule!M17</f>
        <v>-267.40157276740467</v>
      </c>
      <c r="M121" s="80">
        <f>-Schedule!N17</f>
        <v>-307.14902025761523</v>
      </c>
    </row>
    <row r="122" spans="1:15" s="54" customFormat="1" hidden="1" outlineLevel="1" x14ac:dyDescent="0.25">
      <c r="A122" s="364"/>
      <c r="B122" s="114" t="s">
        <v>250</v>
      </c>
      <c r="F122" s="137"/>
      <c r="G122" s="137"/>
      <c r="H122" s="137"/>
      <c r="I122" s="100">
        <f>-Schedule!J25</f>
        <v>35</v>
      </c>
      <c r="J122" s="79">
        <f>-Schedule!K25</f>
        <v>40</v>
      </c>
      <c r="K122" s="79">
        <f>-Schedule!L25</f>
        <v>45</v>
      </c>
      <c r="L122" s="79">
        <f>-Schedule!M25</f>
        <v>35</v>
      </c>
      <c r="M122" s="80">
        <f>-Schedule!N25</f>
        <v>25</v>
      </c>
    </row>
    <row r="123" spans="1:15" s="54" customFormat="1" hidden="1" outlineLevel="1" x14ac:dyDescent="0.25">
      <c r="A123" s="364"/>
      <c r="B123" s="114" t="s">
        <v>234</v>
      </c>
      <c r="F123" s="137"/>
      <c r="G123" s="137"/>
      <c r="H123" s="137"/>
      <c r="I123" s="100">
        <f>-Schedule!J33</f>
        <v>-8.8296749999999999</v>
      </c>
      <c r="J123" s="79">
        <f>-Schedule!K33</f>
        <v>-11.313021093750001</v>
      </c>
      <c r="K123" s="79">
        <f>-Schedule!L33</f>
        <v>-13.999863603515626</v>
      </c>
      <c r="L123" s="79">
        <f>-Schedule!M33</f>
        <v>-16.94566823675537</v>
      </c>
      <c r="M123" s="80">
        <f>-Schedule!N33</f>
        <v>-20.213761396701052</v>
      </c>
    </row>
    <row r="124" spans="1:15" s="54" customFormat="1" hidden="1" outlineLevel="1" x14ac:dyDescent="0.25">
      <c r="A124" s="364"/>
      <c r="B124" s="114" t="s">
        <v>132</v>
      </c>
      <c r="F124" s="137"/>
      <c r="G124" s="137"/>
      <c r="H124" s="137"/>
      <c r="I124" s="100">
        <f t="shared" ref="I124:M125" ca="1" si="61">I29</f>
        <v>28.316249413171086</v>
      </c>
      <c r="J124" s="79">
        <f t="shared" ca="1" si="61"/>
        <v>35.924436716379951</v>
      </c>
      <c r="K124" s="79">
        <f t="shared" ca="1" si="61"/>
        <v>37.342679374851429</v>
      </c>
      <c r="L124" s="79">
        <f t="shared" ca="1" si="61"/>
        <v>38.575122521966712</v>
      </c>
      <c r="M124" s="80">
        <f t="shared" ca="1" si="61"/>
        <v>39.741702411213559</v>
      </c>
    </row>
    <row r="125" spans="1:15" s="54" customFormat="1" hidden="1" outlineLevel="1" x14ac:dyDescent="0.25">
      <c r="A125" s="364"/>
      <c r="B125" s="114" t="s">
        <v>133</v>
      </c>
      <c r="F125" s="137"/>
      <c r="G125" s="137"/>
      <c r="H125" s="137"/>
      <c r="I125" s="102">
        <f t="shared" si="61"/>
        <v>-176</v>
      </c>
      <c r="J125" s="103">
        <f t="shared" si="61"/>
        <v>-148.14224755153319</v>
      </c>
      <c r="K125" s="103">
        <f t="shared" si="61"/>
        <v>-94.949974545070475</v>
      </c>
      <c r="L125" s="103">
        <f t="shared" si="61"/>
        <v>-165.70128168597873</v>
      </c>
      <c r="M125" s="104">
        <f t="shared" si="61"/>
        <v>-112.25873369314805</v>
      </c>
    </row>
    <row r="126" spans="1:15" s="54" customFormat="1" hidden="1" outlineLevel="1" x14ac:dyDescent="0.25">
      <c r="A126" s="364"/>
      <c r="B126" s="115" t="s">
        <v>251</v>
      </c>
      <c r="F126" s="137"/>
      <c r="G126" s="137"/>
      <c r="H126" s="137"/>
      <c r="I126" s="82">
        <f ca="1">SUM(I121:I125)</f>
        <v>-279.1090828189499</v>
      </c>
      <c r="J126" s="81">
        <f t="shared" ref="J126:M126" ca="1" si="62">SUM(J121:J125)</f>
        <v>-276.5623668771205</v>
      </c>
      <c r="K126" s="81">
        <f t="shared" ca="1" si="62"/>
        <v>-256.16021561719214</v>
      </c>
      <c r="L126" s="81">
        <f t="shared" ca="1" si="62"/>
        <v>-376.47340016817208</v>
      </c>
      <c r="M126" s="83">
        <f t="shared" ca="1" si="62"/>
        <v>-374.87981293625074</v>
      </c>
    </row>
    <row r="127" spans="1:15" s="54" customFormat="1" hidden="1" outlineLevel="1" x14ac:dyDescent="0.25">
      <c r="A127" s="364"/>
      <c r="B127" s="114"/>
      <c r="F127" s="137"/>
      <c r="G127" s="137"/>
      <c r="H127" s="137"/>
      <c r="I127" s="101"/>
      <c r="J127" s="84"/>
      <c r="K127" s="84"/>
      <c r="L127" s="84"/>
      <c r="M127" s="85"/>
    </row>
    <row r="128" spans="1:15" s="54" customFormat="1" hidden="1" outlineLevel="1" x14ac:dyDescent="0.25">
      <c r="A128" s="364"/>
      <c r="B128" s="143" t="s">
        <v>252</v>
      </c>
      <c r="F128" s="137"/>
      <c r="G128" s="137"/>
      <c r="H128" s="137"/>
      <c r="I128" s="101"/>
      <c r="J128" s="84"/>
      <c r="K128" s="84"/>
      <c r="L128" s="84"/>
      <c r="M128" s="85"/>
    </row>
    <row r="129" spans="1:19" s="54" customFormat="1" hidden="1" outlineLevel="1" x14ac:dyDescent="0.25">
      <c r="A129" s="364"/>
      <c r="B129" s="114" t="s">
        <v>269</v>
      </c>
      <c r="F129" s="137"/>
      <c r="G129" s="137"/>
      <c r="H129" s="137"/>
      <c r="I129" s="102">
        <v>0</v>
      </c>
      <c r="J129" s="103">
        <v>0</v>
      </c>
      <c r="K129" s="103">
        <v>0</v>
      </c>
      <c r="L129" s="103">
        <v>0</v>
      </c>
      <c r="M129" s="104">
        <v>0</v>
      </c>
    </row>
    <row r="130" spans="1:19" s="54" customFormat="1" hidden="1" outlineLevel="1" x14ac:dyDescent="0.25">
      <c r="A130" s="364"/>
      <c r="B130" s="114" t="s">
        <v>253</v>
      </c>
      <c r="F130" s="137"/>
      <c r="G130" s="137"/>
      <c r="H130" s="137"/>
      <c r="I130" s="102">
        <f>Schedule!J78</f>
        <v>0</v>
      </c>
      <c r="J130" s="103">
        <f>Schedule!K78</f>
        <v>500</v>
      </c>
      <c r="K130" s="103">
        <f>Schedule!L78</f>
        <v>0</v>
      </c>
      <c r="L130" s="103">
        <f>Schedule!M78</f>
        <v>1500</v>
      </c>
      <c r="M130" s="104">
        <f>Schedule!N78</f>
        <v>0</v>
      </c>
    </row>
    <row r="131" spans="1:19" s="54" customFormat="1" hidden="1" outlineLevel="1" x14ac:dyDescent="0.25">
      <c r="A131" s="364"/>
      <c r="B131" s="114" t="s">
        <v>254</v>
      </c>
      <c r="F131" s="137"/>
      <c r="G131" s="137"/>
      <c r="H131" s="137"/>
      <c r="I131" s="102">
        <f>Schedule!J79</f>
        <v>-500</v>
      </c>
      <c r="J131" s="103">
        <f>Schedule!K79</f>
        <v>-750</v>
      </c>
      <c r="K131" s="103">
        <f>Schedule!L79</f>
        <v>-800</v>
      </c>
      <c r="L131" s="103">
        <f>Schedule!M79</f>
        <v>-500</v>
      </c>
      <c r="M131" s="104">
        <f>Schedule!N79</f>
        <v>-750</v>
      </c>
    </row>
    <row r="132" spans="1:19" s="54" customFormat="1" hidden="1" outlineLevel="1" x14ac:dyDescent="0.25">
      <c r="A132" s="364"/>
      <c r="B132" s="114" t="s">
        <v>255</v>
      </c>
      <c r="F132" s="137"/>
      <c r="G132" s="137"/>
      <c r="H132" s="137"/>
      <c r="I132" s="100">
        <f ca="1">Schedule!J90</f>
        <v>-1185.4577402460764</v>
      </c>
      <c r="J132" s="79">
        <f ca="1">Schedule!K90</f>
        <v>-1741.9497434309753</v>
      </c>
      <c r="K132" s="79">
        <f ca="1">Schedule!L90</f>
        <v>-1806.8448255769777</v>
      </c>
      <c r="L132" s="79">
        <f ca="1">Schedule!M90</f>
        <v>-1831.1972287719973</v>
      </c>
      <c r="M132" s="80">
        <f ca="1">Schedule!N90</f>
        <v>-1981.882656369826</v>
      </c>
    </row>
    <row r="133" spans="1:19" s="54" customFormat="1" hidden="1" outlineLevel="1" x14ac:dyDescent="0.25">
      <c r="A133" s="364"/>
      <c r="B133" s="114" t="s">
        <v>246</v>
      </c>
      <c r="F133" s="137"/>
      <c r="G133" s="137"/>
      <c r="H133" s="137"/>
      <c r="I133" s="100">
        <f ca="1">I23</f>
        <v>36.869936428554325</v>
      </c>
      <c r="J133" s="79">
        <f ca="1">J23</f>
        <v>46.14144699160596</v>
      </c>
      <c r="K133" s="79">
        <f ca="1">K23</f>
        <v>55.712822125868307</v>
      </c>
      <c r="L133" s="79">
        <f ca="1">L23</f>
        <v>52.442818301836859</v>
      </c>
      <c r="M133" s="80">
        <f ca="1">M23</f>
        <v>54.795599425211805</v>
      </c>
      <c r="N133" s="1"/>
      <c r="O133" s="1"/>
      <c r="P133" s="1"/>
      <c r="Q133" s="1"/>
      <c r="R133" s="1"/>
      <c r="S133" s="1"/>
    </row>
    <row r="134" spans="1:19" s="54" customFormat="1" hidden="1" outlineLevel="1" x14ac:dyDescent="0.25">
      <c r="A134" s="364"/>
      <c r="B134" s="115" t="s">
        <v>256</v>
      </c>
      <c r="F134" s="137"/>
      <c r="G134" s="137"/>
      <c r="H134" s="137"/>
      <c r="I134" s="82">
        <f ca="1">SUM(I129:I133)</f>
        <v>-1648.5878038175219</v>
      </c>
      <c r="J134" s="81">
        <f t="shared" ref="J134:M134" ca="1" si="63">SUM(J129:J133)</f>
        <v>-1945.8082964393693</v>
      </c>
      <c r="K134" s="81">
        <f t="shared" ca="1" si="63"/>
        <v>-2551.1320034511095</v>
      </c>
      <c r="L134" s="81">
        <f t="shared" ca="1" si="63"/>
        <v>-778.75441047016045</v>
      </c>
      <c r="M134" s="83">
        <f t="shared" ca="1" si="63"/>
        <v>-2677.0870569446138</v>
      </c>
      <c r="N134" s="1"/>
      <c r="O134" s="1"/>
      <c r="P134" s="1"/>
      <c r="Q134" s="1"/>
      <c r="R134" s="1"/>
      <c r="S134" s="1"/>
    </row>
    <row r="135" spans="1:19" s="54" customFormat="1" hidden="1" outlineLevel="1" x14ac:dyDescent="0.25">
      <c r="A135" s="364"/>
      <c r="B135" s="114"/>
      <c r="F135" s="137"/>
      <c r="G135" s="137"/>
      <c r="H135" s="137"/>
      <c r="I135" s="100"/>
      <c r="J135" s="79"/>
      <c r="K135" s="79"/>
      <c r="L135" s="79"/>
      <c r="M135" s="80"/>
      <c r="N135" s="1"/>
      <c r="O135" s="1"/>
      <c r="P135" s="1"/>
      <c r="Q135" s="1"/>
      <c r="R135" s="1"/>
      <c r="S135" s="1"/>
    </row>
    <row r="136" spans="1:19" s="54" customFormat="1" hidden="1" outlineLevel="1" x14ac:dyDescent="0.25">
      <c r="A136" s="364"/>
      <c r="B136" s="115" t="s">
        <v>257</v>
      </c>
      <c r="F136" s="137"/>
      <c r="G136" s="137"/>
      <c r="H136" s="137"/>
      <c r="I136" s="88">
        <f ca="1">I118+I126+I134</f>
        <v>495.47184672430603</v>
      </c>
      <c r="J136" s="87">
        <f ca="1">J118+J126+J134</f>
        <v>531.3992058854983</v>
      </c>
      <c r="K136" s="87">
        <f ca="1">K118+K126+K134</f>
        <v>210.30919992913414</v>
      </c>
      <c r="L136" s="87">
        <f ca="1">L118+L126+L134</f>
        <v>2029.0888686417252</v>
      </c>
      <c r="M136" s="89">
        <f ca="1">M118+M126+M134</f>
        <v>248.77337585259147</v>
      </c>
      <c r="N136" s="1"/>
      <c r="O136" s="1"/>
      <c r="P136" s="1"/>
      <c r="Q136" s="1"/>
      <c r="R136" s="1"/>
      <c r="S136" s="1"/>
    </row>
    <row r="137" spans="1:19" s="54" customFormat="1" hidden="1" outlineLevel="1" x14ac:dyDescent="0.25">
      <c r="A137" s="364"/>
      <c r="B137" s="114"/>
      <c r="F137" s="137"/>
      <c r="G137" s="137"/>
      <c r="H137" s="137"/>
      <c r="I137" s="100"/>
      <c r="J137" s="79"/>
      <c r="K137" s="79"/>
      <c r="L137" s="79"/>
      <c r="M137" s="80"/>
      <c r="N137" s="1"/>
      <c r="O137" s="1"/>
      <c r="P137" s="1"/>
      <c r="Q137" s="1"/>
      <c r="R137" s="1"/>
      <c r="S137" s="1"/>
    </row>
    <row r="138" spans="1:19" s="54" customFormat="1" hidden="1" outlineLevel="1" x14ac:dyDescent="0.25">
      <c r="A138" s="364"/>
      <c r="B138" s="114" t="s">
        <v>258</v>
      </c>
      <c r="F138" s="137"/>
      <c r="G138" s="137"/>
      <c r="H138" s="137"/>
      <c r="I138" s="100">
        <f>H58</f>
        <v>418.50599999999997</v>
      </c>
      <c r="J138" s="79">
        <f ca="1">I139</f>
        <v>913.977846724306</v>
      </c>
      <c r="K138" s="79">
        <f t="shared" ref="K138:M138" ca="1" si="64">J139</f>
        <v>1445.3770526098042</v>
      </c>
      <c r="L138" s="79">
        <f t="shared" ca="1" si="64"/>
        <v>1655.6862525389383</v>
      </c>
      <c r="M138" s="80">
        <f t="shared" ca="1" si="64"/>
        <v>3684.7751211806635</v>
      </c>
      <c r="N138" s="1"/>
      <c r="O138" s="1"/>
      <c r="P138" s="1"/>
      <c r="Q138" s="1"/>
      <c r="R138" s="1"/>
      <c r="S138" s="1"/>
    </row>
    <row r="139" spans="1:19" s="54" customFormat="1" hidden="1" outlineLevel="1" x14ac:dyDescent="0.25">
      <c r="A139" s="364"/>
      <c r="B139" s="119" t="s">
        <v>259</v>
      </c>
      <c r="C139" s="78"/>
      <c r="D139" s="78"/>
      <c r="E139" s="78"/>
      <c r="F139" s="139"/>
      <c r="G139" s="139"/>
      <c r="H139" s="139"/>
      <c r="I139" s="88">
        <f ca="1">I136+I138</f>
        <v>913.977846724306</v>
      </c>
      <c r="J139" s="87">
        <f t="shared" ref="J139:M139" ca="1" si="65">J136+J138</f>
        <v>1445.3770526098042</v>
      </c>
      <c r="K139" s="87">
        <f t="shared" ca="1" si="65"/>
        <v>1655.6862525389383</v>
      </c>
      <c r="L139" s="87">
        <f t="shared" ca="1" si="65"/>
        <v>3684.7751211806635</v>
      </c>
      <c r="M139" s="89">
        <f t="shared" ca="1" si="65"/>
        <v>3933.548497033255</v>
      </c>
      <c r="N139" s="1"/>
      <c r="O139" s="1"/>
      <c r="P139" s="1"/>
      <c r="Q139" s="1"/>
      <c r="R139" s="1"/>
      <c r="S139" s="1"/>
    </row>
    <row r="140" spans="1:19" s="54" customFormat="1" collapsed="1" x14ac:dyDescent="0.25">
      <c r="A140" s="364"/>
      <c r="N140" s="1"/>
      <c r="O140" s="1"/>
      <c r="P140" s="1"/>
      <c r="Q140" s="1"/>
      <c r="R140" s="1"/>
      <c r="S140" s="1"/>
    </row>
    <row r="141" spans="1:19" s="54" customFormat="1" x14ac:dyDescent="0.25">
      <c r="A141" s="364"/>
      <c r="N141" s="1"/>
      <c r="O141" s="1"/>
      <c r="P141" s="1"/>
      <c r="Q141" s="1"/>
      <c r="R141" s="1"/>
      <c r="S141" s="1"/>
    </row>
    <row r="142" spans="1:19" x14ac:dyDescent="0.25">
      <c r="B142" s="152" t="s">
        <v>46</v>
      </c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</row>
  </sheetData>
  <mergeCells count="4">
    <mergeCell ref="F6:H6"/>
    <mergeCell ref="I6:M6"/>
    <mergeCell ref="N6:O6"/>
    <mergeCell ref="P6:R7"/>
  </mergeCells>
  <hyperlinks>
    <hyperlink ref="B9" location="Dashboard!A1" display="&lt;-Back to dashboard" xr:uid="{344A16CC-67D3-41F6-BC16-98B2BE8FE9C8}"/>
    <hyperlink ref="C11" location="IS" display="Income statement" xr:uid="{D38B6B31-CE04-4CD4-9AD4-16C97AFD996F}"/>
    <hyperlink ref="E11" location="BS" display="Balance statement" xr:uid="{4D342354-E44F-4C26-B18E-5323D72A4B93}"/>
    <hyperlink ref="B142" location="Statements!A8" display="&lt;- Go back to the top" xr:uid="{01C862AD-BBFF-44E1-A1C3-BBE9E7A273D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C779-B767-4076-B300-FA107F1CBF6C}">
  <sheetPr>
    <pageSetUpPr autoPageBreaks="0"/>
  </sheetPr>
  <dimension ref="A1:U123"/>
  <sheetViews>
    <sheetView showGridLines="0" zoomScaleNormal="100" workbookViewId="0">
      <selection activeCell="D65" sqref="D65:F72"/>
    </sheetView>
  </sheetViews>
  <sheetFormatPr defaultRowHeight="13.2" outlineLevelRow="1" x14ac:dyDescent="0.25"/>
  <cols>
    <col min="1" max="1" width="2.88671875" style="364" customWidth="1"/>
    <col min="2" max="2" width="8.88671875" style="1"/>
    <col min="3" max="3" width="7.109375" style="1" customWidth="1"/>
    <col min="4" max="4" width="12.5546875" style="1" bestFit="1" customWidth="1"/>
    <col min="5" max="6" width="8.88671875" style="1"/>
    <col min="7" max="14" width="11.6640625" style="1" customWidth="1"/>
    <col min="15" max="16" width="10" style="1" customWidth="1"/>
    <col min="17" max="19" width="13.88671875" style="1" customWidth="1"/>
    <col min="20" max="16384" width="8.88671875" style="1"/>
  </cols>
  <sheetData>
    <row r="1" spans="1:21" s="5" customFormat="1" ht="13.8" x14ac:dyDescent="0.25">
      <c r="A1" s="362"/>
    </row>
    <row r="2" spans="1:21" s="5" customFormat="1" ht="15.6" x14ac:dyDescent="0.3">
      <c r="A2" s="363"/>
      <c r="B2" s="6" t="str">
        <f>Dashboard!B2</f>
        <v>Borouge PLC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1" s="5" customFormat="1" ht="13.8" x14ac:dyDescent="0.25">
      <c r="A3" s="362"/>
      <c r="B3" s="67" t="s">
        <v>30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21" s="5" customFormat="1" ht="13.8" x14ac:dyDescent="0.25">
      <c r="A4" s="362"/>
      <c r="B4" s="70" t="str">
        <f>Dashboard!B4</f>
        <v>(In Millions AED, except equity share and per equity share data)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21" s="5" customFormat="1" ht="13.8" x14ac:dyDescent="0.25">
      <c r="A5" s="362"/>
      <c r="B5" s="8" t="s">
        <v>32</v>
      </c>
      <c r="C5" s="7"/>
      <c r="D5" s="8" t="str">
        <f>Dashboard!G12</f>
        <v>Street</v>
      </c>
      <c r="E5" s="7"/>
      <c r="F5" s="7"/>
      <c r="G5" s="14"/>
      <c r="H5" s="14"/>
      <c r="I5" s="14"/>
      <c r="J5" s="7"/>
      <c r="K5" s="7"/>
      <c r="L5" s="7"/>
      <c r="M5" s="7"/>
      <c r="N5" s="7"/>
      <c r="O5" s="7"/>
      <c r="P5" s="7"/>
      <c r="Q5" s="7"/>
      <c r="R5" s="7"/>
      <c r="S5" s="7"/>
    </row>
    <row r="6" spans="1:21" s="5" customFormat="1" ht="13.8" x14ac:dyDescent="0.25">
      <c r="A6" s="362"/>
      <c r="B6" s="8" t="s">
        <v>412</v>
      </c>
      <c r="C6" s="10"/>
      <c r="D6" s="10"/>
      <c r="E6" s="10"/>
      <c r="F6" s="13"/>
      <c r="G6" s="426" t="str">
        <f>Statements!F6</f>
        <v>Actuals</v>
      </c>
      <c r="H6" s="426"/>
      <c r="I6" s="427"/>
      <c r="J6" s="419" t="str">
        <f>Statements!I6</f>
        <v>Projections</v>
      </c>
      <c r="K6" s="420"/>
      <c r="L6" s="420"/>
      <c r="M6" s="420"/>
      <c r="N6" s="420"/>
      <c r="O6" s="419" t="s">
        <v>25</v>
      </c>
      <c r="P6" s="421"/>
      <c r="Q6" s="422" t="s">
        <v>14</v>
      </c>
      <c r="R6" s="423"/>
      <c r="S6" s="423"/>
    </row>
    <row r="7" spans="1:21" s="5" customFormat="1" ht="13.8" x14ac:dyDescent="0.25">
      <c r="A7" s="362"/>
      <c r="B7" s="8" t="s">
        <v>305</v>
      </c>
      <c r="C7" s="10"/>
      <c r="D7" s="10"/>
      <c r="E7" s="10"/>
      <c r="F7" s="10"/>
      <c r="G7" s="94">
        <f>Statements!F7</f>
        <v>44926</v>
      </c>
      <c r="H7" s="94">
        <f t="shared" ref="H7:N7" si="0">EDATE(G7,12)</f>
        <v>45291</v>
      </c>
      <c r="I7" s="95">
        <f t="shared" si="0"/>
        <v>45657</v>
      </c>
      <c r="J7" s="96">
        <f t="shared" si="0"/>
        <v>46022</v>
      </c>
      <c r="K7" s="96">
        <f t="shared" si="0"/>
        <v>46387</v>
      </c>
      <c r="L7" s="97">
        <f t="shared" si="0"/>
        <v>46752</v>
      </c>
      <c r="M7" s="96">
        <f t="shared" si="0"/>
        <v>47118</v>
      </c>
      <c r="N7" s="97">
        <f t="shared" si="0"/>
        <v>47483</v>
      </c>
      <c r="O7" s="98" t="str">
        <f>Statements!N7</f>
        <v>23A - 25A</v>
      </c>
      <c r="P7" s="99" t="s">
        <v>35</v>
      </c>
      <c r="Q7" s="424"/>
      <c r="R7" s="425"/>
      <c r="S7" s="425"/>
    </row>
    <row r="9" spans="1:21" ht="14.4" x14ac:dyDescent="0.3">
      <c r="B9" s="25" t="s">
        <v>41</v>
      </c>
    </row>
    <row r="10" spans="1:21" ht="14.4" x14ac:dyDescent="0.3">
      <c r="B10" s="25"/>
    </row>
    <row r="11" spans="1:21" ht="14.4" x14ac:dyDescent="0.3">
      <c r="B11" s="25" t="s">
        <v>47</v>
      </c>
      <c r="C11" s="26" t="s">
        <v>49</v>
      </c>
      <c r="E11" s="26" t="s">
        <v>50</v>
      </c>
      <c r="O11" s="54"/>
      <c r="P11" s="54"/>
      <c r="Q11" s="54"/>
      <c r="R11" s="54"/>
      <c r="S11" s="54"/>
      <c r="T11" s="54"/>
      <c r="U11" s="54"/>
    </row>
    <row r="12" spans="1:21" x14ac:dyDescent="0.25">
      <c r="O12" s="54"/>
      <c r="P12" s="54"/>
      <c r="Q12" s="54"/>
      <c r="R12" s="54"/>
      <c r="S12" s="54"/>
      <c r="T12" s="54"/>
      <c r="U12" s="54"/>
    </row>
    <row r="13" spans="1:21" x14ac:dyDescent="0.25">
      <c r="A13" s="364" t="s">
        <v>27</v>
      </c>
      <c r="B13" s="72" t="s">
        <v>31</v>
      </c>
      <c r="C13" s="73"/>
      <c r="D13" s="73"/>
      <c r="E13" s="73"/>
      <c r="F13" s="73"/>
      <c r="G13" s="91">
        <v>44926</v>
      </c>
      <c r="H13" s="91">
        <v>45291</v>
      </c>
      <c r="I13" s="91">
        <v>45657</v>
      </c>
      <c r="J13" s="92">
        <v>46022</v>
      </c>
      <c r="K13" s="92">
        <v>46387</v>
      </c>
      <c r="L13" s="92">
        <v>46752</v>
      </c>
      <c r="M13" s="92">
        <v>47118</v>
      </c>
      <c r="N13" s="93">
        <v>47483</v>
      </c>
      <c r="O13" s="54"/>
      <c r="P13" s="54"/>
      <c r="Q13" s="54"/>
      <c r="R13" s="54"/>
      <c r="S13" s="54"/>
      <c r="T13" s="54"/>
      <c r="U13" s="54"/>
    </row>
    <row r="14" spans="1:21" hidden="1" outlineLevel="1" x14ac:dyDescent="0.25">
      <c r="B14" s="53"/>
      <c r="G14" s="2"/>
      <c r="H14" s="2"/>
      <c r="I14" s="2"/>
      <c r="J14" s="2"/>
      <c r="K14" s="2"/>
      <c r="L14" s="2"/>
      <c r="M14" s="2"/>
      <c r="N14" s="171"/>
      <c r="O14" s="54"/>
      <c r="P14" s="54"/>
      <c r="Q14" s="54"/>
      <c r="R14" s="54"/>
      <c r="S14" s="54"/>
      <c r="T14" s="54"/>
      <c r="U14" s="54"/>
    </row>
    <row r="15" spans="1:21" s="54" customFormat="1" hidden="1" outlineLevel="1" x14ac:dyDescent="0.25">
      <c r="A15" s="365"/>
      <c r="B15" s="114" t="s">
        <v>146</v>
      </c>
      <c r="G15" s="172">
        <v>2245.241</v>
      </c>
      <c r="H15" s="172">
        <v>2409.2579999999998</v>
      </c>
      <c r="I15" s="172">
        <v>2431.35</v>
      </c>
      <c r="J15" s="79">
        <f ca="1">($I15/$I$18)*J$18</f>
        <v>2395.4401050227484</v>
      </c>
      <c r="K15" s="79">
        <f t="shared" ref="K15:N15" ca="1" si="1">($I15/$I$18)*K$18</f>
        <v>3075.6393538598531</v>
      </c>
      <c r="L15" s="79">
        <f t="shared" ca="1" si="1"/>
        <v>3178.5237871845625</v>
      </c>
      <c r="M15" s="79">
        <f t="shared" ca="1" si="1"/>
        <v>3283.0220939731898</v>
      </c>
      <c r="N15" s="80">
        <f t="shared" ca="1" si="1"/>
        <v>3389.1342742257339</v>
      </c>
    </row>
    <row r="16" spans="1:21" s="54" customFormat="1" hidden="1" outlineLevel="1" x14ac:dyDescent="0.25">
      <c r="A16" s="365"/>
      <c r="B16" s="114" t="s">
        <v>147</v>
      </c>
      <c r="G16" s="172">
        <v>1603.3689999999999</v>
      </c>
      <c r="H16" s="172">
        <v>3268.596</v>
      </c>
      <c r="I16" s="172">
        <v>3547.5160000000001</v>
      </c>
      <c r="J16" s="79">
        <f t="shared" ref="J16:N17" ca="1" si="2">($I16/$I$18)*J$18</f>
        <v>3495.1208586217044</v>
      </c>
      <c r="K16" s="79">
        <f t="shared" ca="1" si="2"/>
        <v>4487.5808986972215</v>
      </c>
      <c r="L16" s="79">
        <f t="shared" ca="1" si="2"/>
        <v>4637.6967493029924</v>
      </c>
      <c r="M16" s="79">
        <f t="shared" ca="1" si="2"/>
        <v>4790.1673583496386</v>
      </c>
      <c r="N16" s="80">
        <f t="shared" ca="1" si="2"/>
        <v>4944.9927258371599</v>
      </c>
    </row>
    <row r="17" spans="1:20" s="54" customFormat="1" hidden="1" outlineLevel="1" x14ac:dyDescent="0.25">
      <c r="A17" s="365"/>
      <c r="B17" s="114" t="s">
        <v>148</v>
      </c>
      <c r="G17" s="172">
        <v>148.541</v>
      </c>
      <c r="H17" s="172">
        <v>113.491</v>
      </c>
      <c r="I17" s="172">
        <v>47.256999999999998</v>
      </c>
      <c r="J17" s="79">
        <f t="shared" ca="1" si="2"/>
        <v>46.559036355547342</v>
      </c>
      <c r="K17" s="79">
        <f t="shared" ca="1" si="2"/>
        <v>59.779747442924744</v>
      </c>
      <c r="L17" s="79">
        <f t="shared" ca="1" si="2"/>
        <v>61.779463512444075</v>
      </c>
      <c r="M17" s="79">
        <f t="shared" ca="1" si="2"/>
        <v>63.810547677171549</v>
      </c>
      <c r="N17" s="80">
        <f t="shared" ca="1" si="2"/>
        <v>65.872999937107167</v>
      </c>
    </row>
    <row r="18" spans="1:20" s="54" customFormat="1" hidden="1" outlineLevel="1" x14ac:dyDescent="0.25">
      <c r="A18" s="365"/>
      <c r="B18" s="117" t="s">
        <v>149</v>
      </c>
      <c r="C18" s="55"/>
      <c r="D18" s="55"/>
      <c r="E18" s="55"/>
      <c r="F18" s="55"/>
      <c r="G18" s="86">
        <f>SUM(G15:G17)</f>
        <v>3997.1509999999998</v>
      </c>
      <c r="H18" s="86">
        <f t="shared" ref="H18:I18" si="3">SUM(H15:H17)</f>
        <v>5791.3449999999993</v>
      </c>
      <c r="I18" s="86">
        <f t="shared" si="3"/>
        <v>6026.1229999999996</v>
      </c>
      <c r="J18" s="86">
        <f ca="1">J21*J24</f>
        <v>5937.12</v>
      </c>
      <c r="K18" s="86">
        <f t="shared" ref="K18:N18" ca="1" si="4">K21*K24</f>
        <v>7622.9999999999991</v>
      </c>
      <c r="L18" s="86">
        <f t="shared" ca="1" si="4"/>
        <v>7877.9999999999991</v>
      </c>
      <c r="M18" s="86">
        <f t="shared" ca="1" si="4"/>
        <v>8137</v>
      </c>
      <c r="N18" s="124">
        <f t="shared" ca="1" si="4"/>
        <v>8400</v>
      </c>
      <c r="O18" s="62">
        <f>_xlfn.RRI(2,G18,I18)</f>
        <v>0.22784548756533929</v>
      </c>
      <c r="P18" s="62">
        <f ca="1">_xlfn.RRI(4,J18,N18)</f>
        <v>9.0626045065180127E-2</v>
      </c>
    </row>
    <row r="19" spans="1:20" s="54" customFormat="1" hidden="1" outlineLevel="1" x14ac:dyDescent="0.25">
      <c r="A19" s="365"/>
      <c r="B19" s="167" t="s">
        <v>160</v>
      </c>
      <c r="G19" s="84"/>
      <c r="H19" s="173">
        <f>H18/G18-1</f>
        <v>0.44886820637999403</v>
      </c>
      <c r="I19" s="173">
        <f t="shared" ref="I19:N19" si="5">I18/H18-1</f>
        <v>4.0539460177212661E-2</v>
      </c>
      <c r="J19" s="173">
        <f t="shared" ca="1" si="5"/>
        <v>-1.4769529264503811E-2</v>
      </c>
      <c r="K19" s="173">
        <f t="shared" ca="1" si="5"/>
        <v>0.28395585738539886</v>
      </c>
      <c r="L19" s="173">
        <f t="shared" ca="1" si="5"/>
        <v>3.3451397087760792E-2</v>
      </c>
      <c r="M19" s="173">
        <f t="shared" ca="1" si="5"/>
        <v>3.2876364559532911E-2</v>
      </c>
      <c r="N19" s="174">
        <f t="shared" ca="1" si="5"/>
        <v>3.23214944082586E-2</v>
      </c>
    </row>
    <row r="20" spans="1:20" s="54" customFormat="1" hidden="1" outlineLevel="1" x14ac:dyDescent="0.25">
      <c r="A20" s="365"/>
      <c r="B20" s="114"/>
      <c r="G20" s="84"/>
      <c r="H20" s="84"/>
      <c r="I20" s="84"/>
      <c r="J20" s="84"/>
      <c r="K20" s="84"/>
      <c r="L20" s="84"/>
      <c r="M20" s="84"/>
      <c r="N20" s="85"/>
    </row>
    <row r="21" spans="1:20" s="54" customFormat="1" hidden="1" outlineLevel="1" x14ac:dyDescent="0.25">
      <c r="A21" s="365"/>
      <c r="B21" s="115" t="s">
        <v>150</v>
      </c>
      <c r="C21" s="55"/>
      <c r="D21" s="55"/>
      <c r="E21" s="55"/>
      <c r="F21" s="55"/>
      <c r="G21" s="175">
        <v>5083</v>
      </c>
      <c r="H21" s="175">
        <v>5116</v>
      </c>
      <c r="I21" s="175">
        <v>5335</v>
      </c>
      <c r="J21" s="175">
        <v>5208</v>
      </c>
      <c r="K21" s="175">
        <v>6600</v>
      </c>
      <c r="L21" s="86">
        <f>K21+($N$21-$K$21)/3</f>
        <v>6733.333333333333</v>
      </c>
      <c r="M21" s="86">
        <f>L21+($N$21-$K$21)/3</f>
        <v>6866.6666666666661</v>
      </c>
      <c r="N21" s="176">
        <v>7000</v>
      </c>
      <c r="O21" s="62">
        <f>_xlfn.RRI(2,G21,I21)</f>
        <v>2.4488663404348854E-2</v>
      </c>
      <c r="P21" s="62">
        <f>_xlfn.RRI(4,J21,N21)</f>
        <v>7.6729882282655204E-2</v>
      </c>
    </row>
    <row r="22" spans="1:20" s="54" customFormat="1" hidden="1" outlineLevel="1" x14ac:dyDescent="0.25">
      <c r="A22" s="365"/>
      <c r="B22" s="118" t="s">
        <v>151</v>
      </c>
      <c r="G22" s="84"/>
      <c r="H22" s="173">
        <f>H21/G21-1</f>
        <v>6.4922289986228954E-3</v>
      </c>
      <c r="I22" s="173">
        <f t="shared" ref="I22:N22" si="6">I21/H21-1</f>
        <v>4.2806880375293233E-2</v>
      </c>
      <c r="J22" s="173">
        <f t="shared" si="6"/>
        <v>-2.3805060918463017E-2</v>
      </c>
      <c r="K22" s="173">
        <f t="shared" si="6"/>
        <v>0.26728110599078336</v>
      </c>
      <c r="L22" s="173">
        <f t="shared" si="6"/>
        <v>2.020202020202011E-2</v>
      </c>
      <c r="M22" s="173">
        <f t="shared" si="6"/>
        <v>1.980198019801982E-2</v>
      </c>
      <c r="N22" s="174">
        <f t="shared" si="6"/>
        <v>1.9417475728155331E-2</v>
      </c>
    </row>
    <row r="23" spans="1:20" s="54" customFormat="1" hidden="1" outlineLevel="1" x14ac:dyDescent="0.25">
      <c r="A23" s="365"/>
      <c r="B23" s="114"/>
      <c r="G23" s="84"/>
      <c r="H23" s="84"/>
      <c r="I23" s="84"/>
      <c r="J23" s="84"/>
      <c r="K23" s="84"/>
      <c r="L23" s="84"/>
      <c r="M23" s="84"/>
      <c r="N23" s="85"/>
    </row>
    <row r="24" spans="1:20" s="54" customFormat="1" hidden="1" outlineLevel="1" x14ac:dyDescent="0.25">
      <c r="A24" s="365"/>
      <c r="B24" s="114" t="s">
        <v>152</v>
      </c>
      <c r="G24" s="90">
        <f>G18/G21</f>
        <v>0.78637635254770799</v>
      </c>
      <c r="H24" s="90">
        <f t="shared" ref="H24:I24" si="7">H18/H21</f>
        <v>1.1320064503518372</v>
      </c>
      <c r="I24" s="90">
        <f t="shared" si="7"/>
        <v>1.1295450796626054</v>
      </c>
      <c r="J24" s="177">
        <f ca="1">OFFSET(J24,MATCH($D$5,$B25:$B27,0),0)</f>
        <v>1.1399999999999999</v>
      </c>
      <c r="K24" s="177">
        <f t="shared" ref="K24:N24" ca="1" si="8">OFFSET(K24,MATCH($D$5,$B25:$B27,0),0)</f>
        <v>1.1549999999999998</v>
      </c>
      <c r="L24" s="177">
        <f t="shared" ca="1" si="8"/>
        <v>1.17</v>
      </c>
      <c r="M24" s="177">
        <f t="shared" ca="1" si="8"/>
        <v>1.1850000000000001</v>
      </c>
      <c r="N24" s="178">
        <f t="shared" ca="1" si="8"/>
        <v>1.2</v>
      </c>
    </row>
    <row r="25" spans="1:20" s="54" customFormat="1" hidden="1" outlineLevel="1" x14ac:dyDescent="0.25">
      <c r="A25" s="365"/>
      <c r="B25" s="118" t="s">
        <v>155</v>
      </c>
      <c r="G25" s="84"/>
      <c r="H25" s="84"/>
      <c r="I25" s="84"/>
      <c r="J25" s="179">
        <f>J26+$Q$25</f>
        <v>1.18</v>
      </c>
      <c r="K25" s="179">
        <f t="shared" ref="K25:N25" si="9">K26+$Q$25</f>
        <v>1.1949999999999998</v>
      </c>
      <c r="L25" s="179">
        <f t="shared" si="9"/>
        <v>1.21</v>
      </c>
      <c r="M25" s="179">
        <f t="shared" si="9"/>
        <v>1.2250000000000001</v>
      </c>
      <c r="N25" s="180">
        <f t="shared" si="9"/>
        <v>1.24</v>
      </c>
      <c r="Q25" s="57">
        <v>0.04</v>
      </c>
    </row>
    <row r="26" spans="1:20" s="54" customFormat="1" hidden="1" outlineLevel="1" x14ac:dyDescent="0.25">
      <c r="A26" s="365"/>
      <c r="B26" s="118" t="s">
        <v>33</v>
      </c>
      <c r="G26" s="84"/>
      <c r="H26" s="84"/>
      <c r="I26" s="84"/>
      <c r="J26" s="179">
        <v>1.1399999999999999</v>
      </c>
      <c r="K26" s="179">
        <f>J26+($N$26-$J$26)/4</f>
        <v>1.1549999999999998</v>
      </c>
      <c r="L26" s="179">
        <f>K26+($N$26-$J$26)/4</f>
        <v>1.17</v>
      </c>
      <c r="M26" s="179">
        <f>L26+($N$26-$J$26)/4</f>
        <v>1.1850000000000001</v>
      </c>
      <c r="N26" s="180">
        <v>1.2</v>
      </c>
      <c r="Q26" s="57"/>
    </row>
    <row r="27" spans="1:20" s="54" customFormat="1" hidden="1" outlineLevel="1" x14ac:dyDescent="0.25">
      <c r="A27" s="365"/>
      <c r="B27" s="118" t="s">
        <v>156</v>
      </c>
      <c r="G27" s="84"/>
      <c r="H27" s="84"/>
      <c r="I27" s="84"/>
      <c r="J27" s="179">
        <f>J26+$Q$27</f>
        <v>1.1099999999999999</v>
      </c>
      <c r="K27" s="179">
        <f t="shared" ref="K27:N27" si="10">K26+$Q$27</f>
        <v>1.1249999999999998</v>
      </c>
      <c r="L27" s="179">
        <f t="shared" si="10"/>
        <v>1.1399999999999999</v>
      </c>
      <c r="M27" s="179">
        <f t="shared" si="10"/>
        <v>1.155</v>
      </c>
      <c r="N27" s="180">
        <f t="shared" si="10"/>
        <v>1.17</v>
      </c>
      <c r="Q27" s="57">
        <v>-0.03</v>
      </c>
    </row>
    <row r="28" spans="1:20" s="54" customFormat="1" hidden="1" outlineLevel="1" x14ac:dyDescent="0.25">
      <c r="A28" s="365"/>
      <c r="B28" s="77"/>
      <c r="C28" s="78"/>
      <c r="D28" s="78"/>
      <c r="E28" s="78"/>
      <c r="F28" s="78"/>
      <c r="G28" s="181"/>
      <c r="H28" s="181"/>
      <c r="I28" s="181"/>
      <c r="J28" s="181"/>
      <c r="K28" s="181"/>
      <c r="L28" s="181"/>
      <c r="M28" s="181"/>
      <c r="N28" s="182"/>
    </row>
    <row r="29" spans="1:20" s="54" customFormat="1" collapsed="1" x14ac:dyDescent="0.25">
      <c r="A29" s="365"/>
      <c r="G29" s="84"/>
      <c r="H29" s="84"/>
      <c r="I29" s="84"/>
      <c r="J29" s="84"/>
      <c r="K29" s="84"/>
      <c r="L29" s="84"/>
      <c r="M29" s="84"/>
      <c r="N29" s="84"/>
    </row>
    <row r="30" spans="1:20" ht="13.8" x14ac:dyDescent="0.25">
      <c r="A30" s="362" t="s">
        <v>27</v>
      </c>
      <c r="B30" s="72" t="s">
        <v>36</v>
      </c>
      <c r="C30" s="71"/>
      <c r="D30" s="44"/>
      <c r="E30" s="71"/>
      <c r="F30" s="71"/>
      <c r="G30" s="91">
        <v>44926</v>
      </c>
      <c r="H30" s="91">
        <v>45291</v>
      </c>
      <c r="I30" s="91">
        <v>45657</v>
      </c>
      <c r="J30" s="92">
        <v>46022</v>
      </c>
      <c r="K30" s="92">
        <v>46387</v>
      </c>
      <c r="L30" s="92">
        <v>46752</v>
      </c>
      <c r="M30" s="92">
        <v>47118</v>
      </c>
      <c r="N30" s="93">
        <v>47483</v>
      </c>
      <c r="O30" s="54"/>
      <c r="P30" s="54"/>
      <c r="Q30" s="54"/>
      <c r="R30" s="54"/>
      <c r="S30" s="54"/>
      <c r="T30" s="54"/>
    </row>
    <row r="31" spans="1:20" customFormat="1" ht="14.4" hidden="1" outlineLevel="1" x14ac:dyDescent="0.3">
      <c r="A31" s="366"/>
      <c r="B31" s="164"/>
      <c r="G31" s="183"/>
      <c r="H31" s="183"/>
      <c r="I31" s="183"/>
      <c r="J31" s="183"/>
      <c r="K31" s="183"/>
      <c r="L31" s="183"/>
      <c r="M31" s="183"/>
      <c r="N31" s="184"/>
      <c r="O31" s="54"/>
      <c r="P31" s="54"/>
      <c r="Q31" s="54"/>
      <c r="R31" s="54"/>
      <c r="S31" s="54"/>
      <c r="T31" s="54"/>
    </row>
    <row r="32" spans="1:20" customFormat="1" ht="14.4" hidden="1" outlineLevel="1" x14ac:dyDescent="0.3">
      <c r="A32" s="366"/>
      <c r="B32" s="168" t="s">
        <v>153</v>
      </c>
      <c r="F32" s="1"/>
      <c r="G32" s="172">
        <v>1921.335</v>
      </c>
      <c r="H32" s="172">
        <v>2782.3110000000001</v>
      </c>
      <c r="I32" s="172">
        <v>2633.07</v>
      </c>
      <c r="J32" s="79">
        <f ca="1">J33*J21</f>
        <v>2457.1061296028279</v>
      </c>
      <c r="K32" s="79">
        <f t="shared" ref="K32:N32" ca="1" si="11">K33*K21</f>
        <v>3320.2091110751362</v>
      </c>
      <c r="L32" s="79">
        <f t="shared" ca="1" si="11"/>
        <v>3295.7488433680037</v>
      </c>
      <c r="M32" s="79">
        <f t="shared" ca="1" si="11"/>
        <v>3351.6754100356875</v>
      </c>
      <c r="N32" s="80">
        <f t="shared" ca="1" si="11"/>
        <v>3454.8213138935016</v>
      </c>
    </row>
    <row r="33" spans="1:17" customFormat="1" ht="14.4" hidden="1" outlineLevel="1" x14ac:dyDescent="0.3">
      <c r="A33" s="366"/>
      <c r="B33" s="170" t="s">
        <v>157</v>
      </c>
      <c r="C33" s="1"/>
      <c r="D33" s="1"/>
      <c r="E33" s="1"/>
      <c r="F33" s="1"/>
      <c r="G33" s="185">
        <f>G32/G21</f>
        <v>0.37799232736572891</v>
      </c>
      <c r="H33" s="185">
        <f t="shared" ref="H33:I33" si="12">H32/H21</f>
        <v>0.54384499609069592</v>
      </c>
      <c r="I33" s="185">
        <f t="shared" si="12"/>
        <v>0.49354639175257736</v>
      </c>
      <c r="J33" s="185">
        <f ca="1">OFFSET(J33,MATCH($D$5,$B34:$B36,0),0)</f>
        <v>0.47179457173633405</v>
      </c>
      <c r="K33" s="185">
        <f t="shared" ref="K33:N33" ca="1" si="13">OFFSET(K33,MATCH($D$5,$B34:$B36,0),0)</f>
        <v>0.50306198652653578</v>
      </c>
      <c r="L33" s="185">
        <f t="shared" ca="1" si="13"/>
        <v>0.48946765000514908</v>
      </c>
      <c r="M33" s="185">
        <f t="shared" ca="1" si="13"/>
        <v>0.48810806942267299</v>
      </c>
      <c r="N33" s="186">
        <f t="shared" ca="1" si="13"/>
        <v>0.49354590198478593</v>
      </c>
    </row>
    <row r="34" spans="1:17" customFormat="1" ht="14.4" hidden="1" outlineLevel="1" x14ac:dyDescent="0.3">
      <c r="A34" s="366"/>
      <c r="B34" s="167" t="s">
        <v>155</v>
      </c>
      <c r="G34" s="183"/>
      <c r="H34" s="183"/>
      <c r="I34" s="183"/>
      <c r="J34" s="187">
        <f>J35+$Q$34</f>
        <v>0.45179457173633403</v>
      </c>
      <c r="K34" s="187">
        <f t="shared" ref="K34:N34" ca="1" si="14">K35+$Q$34</f>
        <v>0.48306198652653576</v>
      </c>
      <c r="L34" s="187">
        <f t="shared" ca="1" si="14"/>
        <v>0.46946765000514906</v>
      </c>
      <c r="M34" s="187">
        <f t="shared" ca="1" si="14"/>
        <v>0.46810806942267297</v>
      </c>
      <c r="N34" s="188">
        <f t="shared" ca="1" si="14"/>
        <v>0.47354590198478591</v>
      </c>
      <c r="Q34" s="58">
        <v>-0.02</v>
      </c>
    </row>
    <row r="35" spans="1:17" customFormat="1" ht="14.4" hidden="1" outlineLevel="1" x14ac:dyDescent="0.3">
      <c r="A35" s="366"/>
      <c r="B35" s="167" t="s">
        <v>33</v>
      </c>
      <c r="G35" s="183"/>
      <c r="H35" s="183"/>
      <c r="I35" s="183"/>
      <c r="J35" s="187">
        <f>AVERAGE(G33:I33)</f>
        <v>0.47179457173633405</v>
      </c>
      <c r="K35" s="187">
        <f ca="1">AVERAGE(H33:J33)</f>
        <v>0.50306198652653578</v>
      </c>
      <c r="L35" s="187">
        <f ca="1">AVERAGE(I33:K33)</f>
        <v>0.48946765000514908</v>
      </c>
      <c r="M35" s="187">
        <f ca="1">AVERAGE(J35:L35)</f>
        <v>0.48810806942267299</v>
      </c>
      <c r="N35" s="188">
        <f ca="1">AVERAGE(K35:M35)</f>
        <v>0.49354590198478593</v>
      </c>
      <c r="Q35" s="59"/>
    </row>
    <row r="36" spans="1:17" customFormat="1" ht="14.4" hidden="1" outlineLevel="1" x14ac:dyDescent="0.3">
      <c r="A36" s="366"/>
      <c r="B36" s="167" t="s">
        <v>156</v>
      </c>
      <c r="C36" s="1"/>
      <c r="D36" s="1"/>
      <c r="E36" s="1"/>
      <c r="F36" s="1"/>
      <c r="G36" s="2"/>
      <c r="H36" s="2"/>
      <c r="I36" s="2"/>
      <c r="J36" s="187">
        <f>J35+$Q$36</f>
        <v>0.49579457173633407</v>
      </c>
      <c r="K36" s="187">
        <f t="shared" ref="K36:N36" ca="1" si="15">K35+$Q$36</f>
        <v>0.5270619865265358</v>
      </c>
      <c r="L36" s="187">
        <f t="shared" ca="1" si="15"/>
        <v>0.51346765000514905</v>
      </c>
      <c r="M36" s="187">
        <f t="shared" ca="1" si="15"/>
        <v>0.51210806942267295</v>
      </c>
      <c r="N36" s="188">
        <f t="shared" ca="1" si="15"/>
        <v>0.51754590198478589</v>
      </c>
      <c r="Q36" s="58">
        <v>2.4E-2</v>
      </c>
    </row>
    <row r="37" spans="1:17" customFormat="1" ht="14.4" hidden="1" outlineLevel="1" x14ac:dyDescent="0.3">
      <c r="A37" s="366"/>
      <c r="B37" s="169"/>
      <c r="G37" s="183"/>
      <c r="H37" s="183"/>
      <c r="I37" s="183"/>
      <c r="J37" s="183"/>
      <c r="K37" s="183"/>
      <c r="L37" s="183"/>
      <c r="M37" s="183"/>
      <c r="N37" s="184"/>
    </row>
    <row r="38" spans="1:17" customFormat="1" ht="14.4" hidden="1" outlineLevel="1" x14ac:dyDescent="0.3">
      <c r="A38" s="366"/>
      <c r="B38" s="168" t="s">
        <v>154</v>
      </c>
      <c r="F38" s="1"/>
      <c r="G38" s="172">
        <v>190.57599999999999</v>
      </c>
      <c r="H38" s="172">
        <v>318.36900000000003</v>
      </c>
      <c r="I38" s="172">
        <v>338.37</v>
      </c>
      <c r="J38" s="79">
        <f ca="1">J39*J18</f>
        <v>314.2749733988656</v>
      </c>
      <c r="K38" s="79">
        <f t="shared" ref="K38:N38" ca="1" si="16">K39*K18</f>
        <v>416.87056436473938</v>
      </c>
      <c r="L38" s="79">
        <f t="shared" ca="1" si="16"/>
        <v>430.06089399206508</v>
      </c>
      <c r="M38" s="79">
        <f t="shared" ca="1" si="16"/>
        <v>439.96735623052632</v>
      </c>
      <c r="N38" s="80">
        <f t="shared" ca="1" si="16"/>
        <v>457.3687313367198</v>
      </c>
    </row>
    <row r="39" spans="1:17" customFormat="1" ht="14.4" hidden="1" outlineLevel="1" x14ac:dyDescent="0.3">
      <c r="A39" s="366"/>
      <c r="B39" s="170" t="s">
        <v>158</v>
      </c>
      <c r="G39" s="189">
        <f>G38/G18</f>
        <v>4.7677958626031393E-2</v>
      </c>
      <c r="H39" s="189">
        <f t="shared" ref="H39:I39" si="17">H38/H18</f>
        <v>5.4973240240393219E-2</v>
      </c>
      <c r="I39" s="189">
        <f t="shared" si="17"/>
        <v>5.6150529951014945E-2</v>
      </c>
      <c r="J39" s="185">
        <f ca="1">OFFSET(J39,MATCH($D$5,$B40:$B42,0),0)</f>
        <v>5.2933909605813186E-2</v>
      </c>
      <c r="K39" s="185">
        <f t="shared" ref="K39" ca="1" si="18">OFFSET(K39,MATCH($D$5,$B40:$B42,0),0)</f>
        <v>5.468589326574045E-2</v>
      </c>
      <c r="L39" s="185">
        <f t="shared" ref="L39" ca="1" si="19">OFFSET(L39,MATCH($D$5,$B40:$B42,0),0)</f>
        <v>5.4590110940856196E-2</v>
      </c>
      <c r="M39" s="185">
        <f t="shared" ref="M39" ca="1" si="20">OFFSET(M39,MATCH($D$5,$B40:$B42,0),0)</f>
        <v>5.4069971270803284E-2</v>
      </c>
      <c r="N39" s="186">
        <f t="shared" ref="N39" ca="1" si="21">OFFSET(N39,MATCH($D$5,$B40:$B42,0),0)</f>
        <v>5.4448658492466641E-2</v>
      </c>
    </row>
    <row r="40" spans="1:17" customFormat="1" ht="14.4" hidden="1" outlineLevel="1" x14ac:dyDescent="0.3">
      <c r="A40" s="366"/>
      <c r="B40" s="167" t="s">
        <v>155</v>
      </c>
      <c r="G40" s="183"/>
      <c r="H40" s="183"/>
      <c r="I40" s="183"/>
      <c r="J40" s="187">
        <f>J41+$Q$34</f>
        <v>3.2933909605813189E-2</v>
      </c>
      <c r="K40" s="187">
        <f t="shared" ref="K40" ca="1" si="22">K41+$Q$34</f>
        <v>3.4685893265740453E-2</v>
      </c>
      <c r="L40" s="187">
        <f t="shared" ref="L40" ca="1" si="23">L41+$Q$34</f>
        <v>3.4590110940856192E-2</v>
      </c>
      <c r="M40" s="187">
        <f t="shared" ref="M40" ca="1" si="24">M41+$Q$34</f>
        <v>3.4069971270803287E-2</v>
      </c>
      <c r="N40" s="188">
        <f t="shared" ref="N40" ca="1" si="25">N41+$Q$34</f>
        <v>3.4448658492466644E-2</v>
      </c>
      <c r="Q40" s="58">
        <v>-0.02</v>
      </c>
    </row>
    <row r="41" spans="1:17" customFormat="1" ht="14.4" hidden="1" outlineLevel="1" x14ac:dyDescent="0.3">
      <c r="A41" s="366"/>
      <c r="B41" s="167" t="s">
        <v>33</v>
      </c>
      <c r="G41" s="183"/>
      <c r="H41" s="183"/>
      <c r="I41" s="183"/>
      <c r="J41" s="187">
        <f>AVERAGE(G39:I39)</f>
        <v>5.2933909605813186E-2</v>
      </c>
      <c r="K41" s="187">
        <f ca="1">AVERAGE(H39:J39)</f>
        <v>5.468589326574045E-2</v>
      </c>
      <c r="L41" s="187">
        <f ca="1">AVERAGE(I39:K39)</f>
        <v>5.4590110940856196E-2</v>
      </c>
      <c r="M41" s="187">
        <f ca="1">AVERAGE(J41:L41)</f>
        <v>5.4069971270803284E-2</v>
      </c>
      <c r="N41" s="188">
        <f ca="1">AVERAGE(K41:M41)</f>
        <v>5.4448658492466641E-2</v>
      </c>
      <c r="Q41" s="59"/>
    </row>
    <row r="42" spans="1:17" customFormat="1" ht="14.4" hidden="1" outlineLevel="1" x14ac:dyDescent="0.3">
      <c r="A42" s="366"/>
      <c r="B42" s="167" t="s">
        <v>156</v>
      </c>
      <c r="G42" s="183"/>
      <c r="H42" s="183"/>
      <c r="I42" s="183"/>
      <c r="J42" s="187">
        <f>J41+$Q$36</f>
        <v>7.6933909605813186E-2</v>
      </c>
      <c r="K42" s="187">
        <f t="shared" ref="K42" ca="1" si="26">K41+$Q$36</f>
        <v>7.868589326574045E-2</v>
      </c>
      <c r="L42" s="187">
        <f t="shared" ref="L42" ca="1" si="27">L41+$Q$36</f>
        <v>7.8590110940856189E-2</v>
      </c>
      <c r="M42" s="187">
        <f t="shared" ref="M42" ca="1" si="28">M41+$Q$36</f>
        <v>7.8069971270803284E-2</v>
      </c>
      <c r="N42" s="188">
        <f t="shared" ref="N42" ca="1" si="29">N41+$Q$36</f>
        <v>7.8448658492466641E-2</v>
      </c>
      <c r="Q42" s="58">
        <v>2.4E-2</v>
      </c>
    </row>
    <row r="43" spans="1:17" customFormat="1" ht="14.4" hidden="1" outlineLevel="1" x14ac:dyDescent="0.3">
      <c r="A43" s="366"/>
      <c r="B43" s="169"/>
      <c r="G43" s="183"/>
      <c r="H43" s="183"/>
      <c r="I43" s="183"/>
      <c r="J43" s="183"/>
      <c r="K43" s="183"/>
      <c r="L43" s="183"/>
      <c r="M43" s="183"/>
      <c r="N43" s="184"/>
    </row>
    <row r="44" spans="1:17" customFormat="1" ht="14.4" hidden="1" outlineLevel="1" x14ac:dyDescent="0.3">
      <c r="A44" s="366"/>
      <c r="B44" s="115" t="s">
        <v>159</v>
      </c>
      <c r="C44" s="166"/>
      <c r="D44" s="166"/>
      <c r="E44" s="166"/>
      <c r="F44" s="166"/>
      <c r="G44" s="190">
        <f>G32+G38</f>
        <v>2111.9110000000001</v>
      </c>
      <c r="H44" s="190">
        <f t="shared" ref="H44:N44" si="30">H32+H38</f>
        <v>3100.6800000000003</v>
      </c>
      <c r="I44" s="190">
        <f t="shared" si="30"/>
        <v>2971.44</v>
      </c>
      <c r="J44" s="190">
        <f t="shared" ca="1" si="30"/>
        <v>2771.3811030016936</v>
      </c>
      <c r="K44" s="190">
        <f t="shared" ca="1" si="30"/>
        <v>3737.0796754398757</v>
      </c>
      <c r="L44" s="190">
        <f t="shared" ca="1" si="30"/>
        <v>3725.8097373600685</v>
      </c>
      <c r="M44" s="190">
        <f t="shared" ca="1" si="30"/>
        <v>3791.6427662662136</v>
      </c>
      <c r="N44" s="191">
        <f t="shared" ca="1" si="30"/>
        <v>3912.1900452302216</v>
      </c>
      <c r="O44" s="62">
        <f>_xlfn.RRI(2,G44,I44)</f>
        <v>0.18616656039543278</v>
      </c>
      <c r="P44" s="62">
        <f ca="1">_xlfn.RRI(4,J44,N44)</f>
        <v>9.0011106342644309E-2</v>
      </c>
    </row>
    <row r="45" spans="1:17" customFormat="1" ht="14.4" hidden="1" outlineLevel="1" x14ac:dyDescent="0.3">
      <c r="A45" s="366"/>
      <c r="B45" s="118" t="s">
        <v>161</v>
      </c>
      <c r="G45" s="183"/>
      <c r="H45" s="189">
        <f>H44/G44-1</f>
        <v>0.46818686961713829</v>
      </c>
      <c r="I45" s="189">
        <f t="shared" ref="I45:N45" si="31">I44/H44-1</f>
        <v>-4.1681179612214181E-2</v>
      </c>
      <c r="J45" s="189">
        <f t="shared" ca="1" si="31"/>
        <v>-6.73272544619129E-2</v>
      </c>
      <c r="K45" s="189">
        <f t="shared" ca="1" si="31"/>
        <v>0.3484539067514858</v>
      </c>
      <c r="L45" s="189">
        <f t="shared" ca="1" si="31"/>
        <v>-3.0157071988251571E-3</v>
      </c>
      <c r="M45" s="189">
        <f t="shared" ca="1" si="31"/>
        <v>1.7669455379326848E-2</v>
      </c>
      <c r="N45" s="192">
        <f t="shared" ca="1" si="31"/>
        <v>3.1792889360912957E-2</v>
      </c>
    </row>
    <row r="46" spans="1:17" customFormat="1" ht="14.4" hidden="1" outlineLevel="1" x14ac:dyDescent="0.3">
      <c r="A46" s="366"/>
      <c r="B46" s="169"/>
      <c r="G46" s="183"/>
      <c r="H46" s="183"/>
      <c r="I46" s="183"/>
      <c r="J46" s="183"/>
      <c r="K46" s="183"/>
      <c r="L46" s="183"/>
      <c r="M46" s="183"/>
      <c r="N46" s="184"/>
    </row>
    <row r="47" spans="1:17" customFormat="1" ht="14.4" hidden="1" outlineLevel="1" x14ac:dyDescent="0.3">
      <c r="A47" s="366"/>
      <c r="B47" s="168" t="s">
        <v>128</v>
      </c>
      <c r="G47" s="193">
        <f>-Statements!F24</f>
        <v>112.583</v>
      </c>
      <c r="H47" s="193">
        <f>-Statements!G24</f>
        <v>182.91499999999999</v>
      </c>
      <c r="I47" s="193">
        <f>-Statements!H24</f>
        <v>193.12100000000001</v>
      </c>
      <c r="J47" s="79">
        <f ca="1">J48*J18</f>
        <v>181.67056030574267</v>
      </c>
      <c r="K47" s="79">
        <f t="shared" ref="K47:N47" ca="1" si="32">K48*K18</f>
        <v>239.43998068961557</v>
      </c>
      <c r="L47" s="79">
        <f t="shared" ca="1" si="32"/>
        <v>246.99266698255207</v>
      </c>
      <c r="M47" s="79">
        <f t="shared" ca="1" si="32"/>
        <v>253.2275444530685</v>
      </c>
      <c r="N47" s="80">
        <f t="shared" ca="1" si="32"/>
        <v>262.87215453034327</v>
      </c>
      <c r="O47" s="62">
        <f>_xlfn.RRI(2,G47,I47)</f>
        <v>0.30971964653726269</v>
      </c>
      <c r="P47" s="62">
        <f ca="1">_xlfn.RRI(4,J47,N47)</f>
        <v>9.676859737603305E-2</v>
      </c>
    </row>
    <row r="48" spans="1:17" customFormat="1" ht="14.4" hidden="1" outlineLevel="1" x14ac:dyDescent="0.3">
      <c r="A48" s="366"/>
      <c r="B48" s="170" t="s">
        <v>162</v>
      </c>
      <c r="G48" s="189">
        <f>G47/G18</f>
        <v>2.8165811098955232E-2</v>
      </c>
      <c r="H48" s="189">
        <f t="shared" ref="H48:I48" si="33">H47/H18</f>
        <v>3.1584200216012E-2</v>
      </c>
      <c r="I48" s="189">
        <f t="shared" si="33"/>
        <v>3.2047304709844127E-2</v>
      </c>
      <c r="J48" s="185">
        <f ca="1">OFFSET(J48,MATCH($D$5,$B49:$B51,0),0)</f>
        <v>3.0599105341603788E-2</v>
      </c>
      <c r="K48" s="185">
        <f t="shared" ref="K48" ca="1" si="34">OFFSET(K48,MATCH($D$5,$B49:$B51,0),0)</f>
        <v>3.1410203422486634E-2</v>
      </c>
      <c r="L48" s="185">
        <f t="shared" ref="L48" ca="1" si="35">OFFSET(L48,MATCH($D$5,$B49:$B51,0),0)</f>
        <v>3.1352204491311514E-2</v>
      </c>
      <c r="M48" s="185">
        <f t="shared" ref="M48" ca="1" si="36">OFFSET(M48,MATCH($D$5,$B49:$B51,0),0)</f>
        <v>3.112050441846731E-2</v>
      </c>
      <c r="N48" s="186">
        <f t="shared" ref="N48" ca="1" si="37">OFFSET(N48,MATCH($D$5,$B49:$B51,0),0)</f>
        <v>3.129430411075515E-2</v>
      </c>
    </row>
    <row r="49" spans="1:17" customFormat="1" ht="14.4" hidden="1" outlineLevel="1" x14ac:dyDescent="0.3">
      <c r="A49" s="366"/>
      <c r="B49" s="167" t="s">
        <v>155</v>
      </c>
      <c r="G49" s="183"/>
      <c r="H49" s="183"/>
      <c r="I49" s="183"/>
      <c r="J49" s="187">
        <f>J50+$Q$49</f>
        <v>2.3099105341603789E-2</v>
      </c>
      <c r="K49" s="187">
        <f t="shared" ref="K49:N49" ca="1" si="38">K50+$Q$49</f>
        <v>2.3910203422486634E-2</v>
      </c>
      <c r="L49" s="187">
        <f t="shared" ca="1" si="38"/>
        <v>2.3852204491311514E-2</v>
      </c>
      <c r="M49" s="187">
        <f t="shared" ca="1" si="38"/>
        <v>2.362050441846731E-2</v>
      </c>
      <c r="N49" s="188">
        <f t="shared" ca="1" si="38"/>
        <v>2.379430411075515E-2</v>
      </c>
      <c r="Q49" s="58">
        <v>-7.4999999999999997E-3</v>
      </c>
    </row>
    <row r="50" spans="1:17" customFormat="1" ht="14.4" hidden="1" outlineLevel="1" x14ac:dyDescent="0.3">
      <c r="A50" s="366"/>
      <c r="B50" s="167" t="s">
        <v>33</v>
      </c>
      <c r="G50" s="183"/>
      <c r="H50" s="183"/>
      <c r="I50" s="183"/>
      <c r="J50" s="187">
        <f>AVERAGE(G48:I48)</f>
        <v>3.0599105341603788E-2</v>
      </c>
      <c r="K50" s="187">
        <f ca="1">AVERAGE(H48:J48)</f>
        <v>3.1410203422486634E-2</v>
      </c>
      <c r="L50" s="187">
        <f t="shared" ref="L50:N50" ca="1" si="39">AVERAGE(I48:K48)</f>
        <v>3.1352204491311514E-2</v>
      </c>
      <c r="M50" s="187">
        <f t="shared" ca="1" si="39"/>
        <v>3.112050441846731E-2</v>
      </c>
      <c r="N50" s="188">
        <f t="shared" ca="1" si="39"/>
        <v>3.129430411075515E-2</v>
      </c>
      <c r="Q50" s="59"/>
    </row>
    <row r="51" spans="1:17" customFormat="1" ht="14.4" hidden="1" outlineLevel="1" x14ac:dyDescent="0.3">
      <c r="A51" s="366"/>
      <c r="B51" s="167" t="s">
        <v>156</v>
      </c>
      <c r="G51" s="183"/>
      <c r="H51" s="183"/>
      <c r="I51" s="183"/>
      <c r="J51" s="187">
        <f>J50+$Q$51</f>
        <v>4.3099105341603786E-2</v>
      </c>
      <c r="K51" s="187">
        <f t="shared" ref="K51:N51" ca="1" si="40">K50+$Q$51</f>
        <v>4.3910203422486638E-2</v>
      </c>
      <c r="L51" s="187">
        <f t="shared" ca="1" si="40"/>
        <v>4.3852204491311511E-2</v>
      </c>
      <c r="M51" s="187">
        <f t="shared" ca="1" si="40"/>
        <v>4.3620504418467307E-2</v>
      </c>
      <c r="N51" s="188">
        <f t="shared" ca="1" si="40"/>
        <v>4.3794304110755147E-2</v>
      </c>
      <c r="Q51" s="58">
        <v>1.2500000000000001E-2</v>
      </c>
    </row>
    <row r="52" spans="1:17" customFormat="1" ht="14.4" hidden="1" outlineLevel="1" x14ac:dyDescent="0.3">
      <c r="A52" s="366"/>
      <c r="B52" s="141"/>
      <c r="G52" s="183"/>
      <c r="H52" s="183"/>
      <c r="I52" s="183"/>
      <c r="J52" s="183"/>
      <c r="K52" s="183"/>
      <c r="L52" s="183"/>
      <c r="M52" s="183"/>
      <c r="N52" s="184"/>
      <c r="Q52" s="59"/>
    </row>
    <row r="53" spans="1:17" customFormat="1" ht="14.4" hidden="1" outlineLevel="1" x14ac:dyDescent="0.3">
      <c r="A53" s="366"/>
      <c r="B53" s="168" t="s">
        <v>129</v>
      </c>
      <c r="G53" s="193">
        <f>-Statements!F25</f>
        <v>414.15199999999999</v>
      </c>
      <c r="H53" s="193">
        <f>-Statements!G25</f>
        <v>399.495</v>
      </c>
      <c r="I53" s="193">
        <f>-Statements!H25</f>
        <v>471.96300000000002</v>
      </c>
      <c r="J53" s="79">
        <f ca="1">J54*J18</f>
        <v>496.56625509003237</v>
      </c>
      <c r="K53" s="79">
        <f t="shared" ref="K53:N53" ca="1" si="41">K54*K18</f>
        <v>586.81462494916354</v>
      </c>
      <c r="L53" s="79">
        <f t="shared" ca="1" si="41"/>
        <v>627.44740790138155</v>
      </c>
      <c r="M53" s="79">
        <f t="shared" ca="1" si="41"/>
        <v>651.67217946257404</v>
      </c>
      <c r="N53" s="80">
        <f t="shared" ca="1" si="41"/>
        <v>662.7950844972496</v>
      </c>
      <c r="O53" s="62">
        <f>_xlfn.RRI(2,G53,I53)</f>
        <v>6.7515267622455521E-2</v>
      </c>
      <c r="P53" s="62">
        <f ca="1">_xlfn.RRI(4,J53,N53)</f>
        <v>7.4856578785729377E-2</v>
      </c>
    </row>
    <row r="54" spans="1:17" customFormat="1" ht="14.4" hidden="1" outlineLevel="1" x14ac:dyDescent="0.3">
      <c r="A54" s="366"/>
      <c r="B54" s="170" t="s">
        <v>163</v>
      </c>
      <c r="G54" s="189">
        <f>G53/G18</f>
        <v>0.10361179750277134</v>
      </c>
      <c r="H54" s="189">
        <f t="shared" ref="H54:I54" si="42">H53/H18</f>
        <v>6.8981385153189814E-2</v>
      </c>
      <c r="I54" s="189">
        <f t="shared" si="42"/>
        <v>7.8319509907116072E-2</v>
      </c>
      <c r="J54" s="185">
        <f ca="1">OFFSET(J54,MATCH($D$5,$B55:$B57,0),0)</f>
        <v>8.3637564187692415E-2</v>
      </c>
      <c r="K54" s="185">
        <f t="shared" ref="K54" ca="1" si="43">OFFSET(K54,MATCH($D$5,$B55:$B57,0),0)</f>
        <v>7.6979486415999429E-2</v>
      </c>
      <c r="L54" s="185">
        <f t="shared" ref="L54" ca="1" si="44">OFFSET(L54,MATCH($D$5,$B55:$B57,0),0)</f>
        <v>7.964552017026931E-2</v>
      </c>
      <c r="M54" s="185">
        <f t="shared" ref="M54" ca="1" si="45">OFFSET(M54,MATCH($D$5,$B55:$B57,0),0)</f>
        <v>8.0087523591320389E-2</v>
      </c>
      <c r="N54" s="186">
        <f t="shared" ref="N54" ca="1" si="46">OFFSET(N54,MATCH($D$5,$B55:$B57,0),0)</f>
        <v>7.8904176725863043E-2</v>
      </c>
    </row>
    <row r="55" spans="1:17" customFormat="1" ht="14.4" hidden="1" outlineLevel="1" x14ac:dyDescent="0.3">
      <c r="A55" s="366"/>
      <c r="B55" s="167" t="s">
        <v>155</v>
      </c>
      <c r="G55" s="183"/>
      <c r="H55" s="183"/>
      <c r="I55" s="183"/>
      <c r="J55" s="187">
        <f>J56+$Q$55</f>
        <v>7.363756418769242E-2</v>
      </c>
      <c r="K55" s="187">
        <f t="shared" ref="K55:N55" ca="1" si="47">K56+$Q$55</f>
        <v>6.6979486415999434E-2</v>
      </c>
      <c r="L55" s="187">
        <f t="shared" ca="1" si="47"/>
        <v>6.9645520170269315E-2</v>
      </c>
      <c r="M55" s="187">
        <f t="shared" ca="1" si="47"/>
        <v>7.0087523591320394E-2</v>
      </c>
      <c r="N55" s="188">
        <f t="shared" ca="1" si="47"/>
        <v>6.8904176725863048E-2</v>
      </c>
      <c r="Q55" s="61">
        <v>-0.01</v>
      </c>
    </row>
    <row r="56" spans="1:17" customFormat="1" ht="14.4" hidden="1" outlineLevel="1" x14ac:dyDescent="0.3">
      <c r="A56" s="366"/>
      <c r="B56" s="167" t="s">
        <v>33</v>
      </c>
      <c r="G56" s="183"/>
      <c r="H56" s="183"/>
      <c r="I56" s="183"/>
      <c r="J56" s="187">
        <f>AVERAGE(G54:I54)</f>
        <v>8.3637564187692415E-2</v>
      </c>
      <c r="K56" s="187">
        <f ca="1">AVERAGE(H54:J54)</f>
        <v>7.6979486415999429E-2</v>
      </c>
      <c r="L56" s="187">
        <f ca="1">AVERAGE(I54:K54)</f>
        <v>7.964552017026931E-2</v>
      </c>
      <c r="M56" s="187">
        <f ca="1">AVERAGE(J56:L56)</f>
        <v>8.0087523591320389E-2</v>
      </c>
      <c r="N56" s="188">
        <f ca="1">AVERAGE(K56:M56)</f>
        <v>7.8904176725863043E-2</v>
      </c>
      <c r="Q56" s="60"/>
    </row>
    <row r="57" spans="1:17" customFormat="1" ht="14.4" hidden="1" outlineLevel="1" x14ac:dyDescent="0.3">
      <c r="A57" s="366"/>
      <c r="B57" s="167" t="s">
        <v>156</v>
      </c>
      <c r="G57" s="183"/>
      <c r="H57" s="183"/>
      <c r="I57" s="183"/>
      <c r="J57" s="187">
        <f>J56+$Q$57</f>
        <v>9.6137564187692412E-2</v>
      </c>
      <c r="K57" s="187">
        <f t="shared" ref="K57:N57" ca="1" si="48">K56+$Q$57</f>
        <v>8.9479486415999426E-2</v>
      </c>
      <c r="L57" s="187">
        <f t="shared" ca="1" si="48"/>
        <v>9.2145520170269307E-2</v>
      </c>
      <c r="M57" s="187">
        <f t="shared" ca="1" si="48"/>
        <v>9.2587523591320386E-2</v>
      </c>
      <c r="N57" s="188">
        <f t="shared" ca="1" si="48"/>
        <v>9.140417672586304E-2</v>
      </c>
      <c r="Q57" s="61">
        <v>1.2500000000000001E-2</v>
      </c>
    </row>
    <row r="58" spans="1:17" customFormat="1" ht="14.4" collapsed="1" x14ac:dyDescent="0.3">
      <c r="A58" s="366"/>
      <c r="B58" s="164"/>
      <c r="N58" s="165"/>
    </row>
    <row r="59" spans="1:17" customFormat="1" ht="14.4" x14ac:dyDescent="0.3">
      <c r="A59" s="366"/>
      <c r="B59" s="161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3"/>
    </row>
    <row r="60" spans="1:17" customFormat="1" ht="14.4" x14ac:dyDescent="0.3">
      <c r="A60" s="366"/>
    </row>
    <row r="61" spans="1:17" customFormat="1" ht="14.4" x14ac:dyDescent="0.3">
      <c r="A61" s="366"/>
    </row>
    <row r="62" spans="1:17" customFormat="1" ht="14.4" x14ac:dyDescent="0.3">
      <c r="A62" s="366"/>
    </row>
    <row r="63" spans="1:17" customFormat="1" ht="14.4" x14ac:dyDescent="0.3">
      <c r="A63" s="366"/>
    </row>
    <row r="64" spans="1:17" customFormat="1" ht="14.4" x14ac:dyDescent="0.3">
      <c r="A64" s="366"/>
    </row>
    <row r="65" spans="1:1" customFormat="1" ht="14.4" x14ac:dyDescent="0.3">
      <c r="A65" s="366"/>
    </row>
    <row r="66" spans="1:1" customFormat="1" ht="14.4" x14ac:dyDescent="0.3">
      <c r="A66" s="366"/>
    </row>
    <row r="67" spans="1:1" customFormat="1" ht="14.4" x14ac:dyDescent="0.3">
      <c r="A67" s="366"/>
    </row>
    <row r="68" spans="1:1" customFormat="1" ht="14.4" x14ac:dyDescent="0.3">
      <c r="A68" s="366"/>
    </row>
    <row r="69" spans="1:1" customFormat="1" ht="14.4" x14ac:dyDescent="0.3">
      <c r="A69" s="366"/>
    </row>
    <row r="70" spans="1:1" customFormat="1" ht="14.4" x14ac:dyDescent="0.3">
      <c r="A70" s="366"/>
    </row>
    <row r="71" spans="1:1" customFormat="1" ht="14.4" x14ac:dyDescent="0.3">
      <c r="A71" s="366"/>
    </row>
    <row r="72" spans="1:1" customFormat="1" ht="14.4" x14ac:dyDescent="0.3">
      <c r="A72" s="366"/>
    </row>
    <row r="73" spans="1:1" customFormat="1" ht="14.4" x14ac:dyDescent="0.3">
      <c r="A73" s="366"/>
    </row>
    <row r="74" spans="1:1" customFormat="1" ht="14.4" x14ac:dyDescent="0.3">
      <c r="A74" s="366"/>
    </row>
    <row r="75" spans="1:1" customFormat="1" ht="14.4" x14ac:dyDescent="0.3">
      <c r="A75" s="366"/>
    </row>
    <row r="76" spans="1:1" customFormat="1" ht="14.4" x14ac:dyDescent="0.3">
      <c r="A76" s="366"/>
    </row>
    <row r="77" spans="1:1" customFormat="1" ht="14.4" x14ac:dyDescent="0.3">
      <c r="A77" s="366"/>
    </row>
    <row r="78" spans="1:1" customFormat="1" ht="14.4" x14ac:dyDescent="0.3">
      <c r="A78" s="366"/>
    </row>
    <row r="79" spans="1:1" customFormat="1" ht="14.4" x14ac:dyDescent="0.3">
      <c r="A79" s="366"/>
    </row>
    <row r="80" spans="1:1" customFormat="1" ht="14.4" x14ac:dyDescent="0.3">
      <c r="A80" s="366"/>
    </row>
    <row r="81" spans="1:1" customFormat="1" ht="14.4" x14ac:dyDescent="0.3">
      <c r="A81" s="366"/>
    </row>
    <row r="82" spans="1:1" customFormat="1" ht="14.4" x14ac:dyDescent="0.3">
      <c r="A82" s="366"/>
    </row>
    <row r="83" spans="1:1" customFormat="1" ht="14.4" x14ac:dyDescent="0.3">
      <c r="A83" s="366"/>
    </row>
    <row r="84" spans="1:1" customFormat="1" ht="14.4" x14ac:dyDescent="0.3">
      <c r="A84" s="366"/>
    </row>
    <row r="85" spans="1:1" customFormat="1" ht="14.4" x14ac:dyDescent="0.3">
      <c r="A85" s="366"/>
    </row>
    <row r="86" spans="1:1" customFormat="1" ht="14.4" x14ac:dyDescent="0.3">
      <c r="A86" s="366"/>
    </row>
    <row r="87" spans="1:1" customFormat="1" ht="14.4" x14ac:dyDescent="0.3">
      <c r="A87" s="366"/>
    </row>
    <row r="88" spans="1:1" customFormat="1" ht="14.4" x14ac:dyDescent="0.3">
      <c r="A88" s="366"/>
    </row>
    <row r="89" spans="1:1" customFormat="1" ht="14.4" x14ac:dyDescent="0.3">
      <c r="A89" s="366"/>
    </row>
    <row r="90" spans="1:1" customFormat="1" ht="14.4" x14ac:dyDescent="0.3">
      <c r="A90" s="366"/>
    </row>
    <row r="91" spans="1:1" customFormat="1" ht="14.4" x14ac:dyDescent="0.3">
      <c r="A91" s="366"/>
    </row>
    <row r="92" spans="1:1" customFormat="1" ht="14.4" x14ac:dyDescent="0.3">
      <c r="A92" s="366"/>
    </row>
    <row r="93" spans="1:1" customFormat="1" ht="14.4" x14ac:dyDescent="0.3">
      <c r="A93" s="366"/>
    </row>
    <row r="94" spans="1:1" customFormat="1" ht="14.4" x14ac:dyDescent="0.3">
      <c r="A94" s="366"/>
    </row>
    <row r="95" spans="1:1" customFormat="1" ht="14.4" x14ac:dyDescent="0.3">
      <c r="A95" s="366"/>
    </row>
    <row r="96" spans="1:1" customFormat="1" ht="14.4" x14ac:dyDescent="0.3">
      <c r="A96" s="366"/>
    </row>
    <row r="97" spans="1:1" customFormat="1" ht="14.4" x14ac:dyDescent="0.3">
      <c r="A97" s="366"/>
    </row>
    <row r="98" spans="1:1" customFormat="1" ht="14.4" x14ac:dyDescent="0.3">
      <c r="A98" s="366"/>
    </row>
    <row r="99" spans="1:1" customFormat="1" ht="14.4" x14ac:dyDescent="0.3">
      <c r="A99" s="366"/>
    </row>
    <row r="100" spans="1:1" customFormat="1" ht="14.4" x14ac:dyDescent="0.3">
      <c r="A100" s="366"/>
    </row>
    <row r="101" spans="1:1" customFormat="1" ht="14.4" x14ac:dyDescent="0.3">
      <c r="A101" s="366"/>
    </row>
    <row r="102" spans="1:1" customFormat="1" ht="14.4" x14ac:dyDescent="0.3">
      <c r="A102" s="366"/>
    </row>
    <row r="103" spans="1:1" customFormat="1" ht="14.4" x14ac:dyDescent="0.3">
      <c r="A103" s="366"/>
    </row>
    <row r="104" spans="1:1" customFormat="1" ht="14.4" x14ac:dyDescent="0.3">
      <c r="A104" s="366"/>
    </row>
    <row r="105" spans="1:1" customFormat="1" ht="14.4" x14ac:dyDescent="0.3">
      <c r="A105" s="366"/>
    </row>
    <row r="106" spans="1:1" customFormat="1" ht="14.4" x14ac:dyDescent="0.3">
      <c r="A106" s="366"/>
    </row>
    <row r="107" spans="1:1" customFormat="1" ht="14.4" x14ac:dyDescent="0.3">
      <c r="A107" s="366"/>
    </row>
    <row r="108" spans="1:1" customFormat="1" ht="14.4" x14ac:dyDescent="0.3">
      <c r="A108" s="366"/>
    </row>
    <row r="109" spans="1:1" customFormat="1" ht="14.4" x14ac:dyDescent="0.3">
      <c r="A109" s="366"/>
    </row>
    <row r="110" spans="1:1" customFormat="1" ht="14.4" x14ac:dyDescent="0.3">
      <c r="A110" s="366"/>
    </row>
    <row r="111" spans="1:1" customFormat="1" ht="14.4" x14ac:dyDescent="0.3">
      <c r="A111" s="366"/>
    </row>
    <row r="112" spans="1:1" customFormat="1" ht="14.4" x14ac:dyDescent="0.3">
      <c r="A112" s="366"/>
    </row>
    <row r="113" spans="1:19" customFormat="1" ht="14.4" x14ac:dyDescent="0.3">
      <c r="A113" s="366"/>
    </row>
    <row r="114" spans="1:19" customFormat="1" ht="14.4" x14ac:dyDescent="0.3">
      <c r="A114" s="366"/>
    </row>
    <row r="115" spans="1:19" customFormat="1" ht="14.4" x14ac:dyDescent="0.3">
      <c r="A115" s="366"/>
    </row>
    <row r="116" spans="1:19" customFormat="1" ht="14.4" x14ac:dyDescent="0.3">
      <c r="A116" s="366"/>
    </row>
    <row r="117" spans="1:19" customFormat="1" ht="14.4" x14ac:dyDescent="0.3">
      <c r="A117" s="366"/>
    </row>
    <row r="118" spans="1:19" customFormat="1" ht="14.4" x14ac:dyDescent="0.3">
      <c r="A118" s="366"/>
    </row>
    <row r="119" spans="1:19" customFormat="1" ht="14.4" x14ac:dyDescent="0.3">
      <c r="A119" s="366"/>
    </row>
    <row r="120" spans="1:19" customFormat="1" ht="14.4" x14ac:dyDescent="0.3">
      <c r="A120" s="366"/>
    </row>
    <row r="121" spans="1:19" customFormat="1" ht="14.4" x14ac:dyDescent="0.3">
      <c r="A121" s="366"/>
    </row>
    <row r="123" spans="1:19" ht="14.4" x14ac:dyDescent="0.3">
      <c r="B123" s="48" t="s">
        <v>46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</sheetData>
  <mergeCells count="4">
    <mergeCell ref="G6:I6"/>
    <mergeCell ref="J6:N6"/>
    <mergeCell ref="O6:P6"/>
    <mergeCell ref="Q6:S7"/>
  </mergeCells>
  <hyperlinks>
    <hyperlink ref="B9" location="Dashboard!A1" display="&lt;-Back to dashboard" xr:uid="{DCD15C9F-E496-4456-ADAB-79454FB5E8D0}"/>
    <hyperlink ref="C11" location="RF" display="Revenue forecast" xr:uid="{5BAF0C24-AF17-4DA4-B045-76E495DC16BB}"/>
    <hyperlink ref="E11" location="EF" display="Expense forecast" xr:uid="{21E33396-1534-48CA-B03D-06AFB818AA72}"/>
    <hyperlink ref="B123" location="Scenario!A8" display="&lt;- Go back to the top" xr:uid="{A12DDDAB-D9CA-432D-8C9D-4006ABCBCFAA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9DCA-4D1C-4402-96E5-93D1A5CE7238}">
  <dimension ref="A1:U36"/>
  <sheetViews>
    <sheetView showGridLines="0" zoomScaleNormal="100" workbookViewId="0">
      <selection activeCell="B6" sqref="B6"/>
    </sheetView>
  </sheetViews>
  <sheetFormatPr defaultRowHeight="13.2" x14ac:dyDescent="0.25"/>
  <cols>
    <col min="1" max="1" width="1.88671875" style="1" customWidth="1"/>
    <col min="2" max="5" width="8.88671875" style="1"/>
    <col min="6" max="13" width="11.6640625" style="1" customWidth="1"/>
    <col min="14" max="15" width="10.6640625" style="1" customWidth="1"/>
    <col min="16" max="18" width="12.5546875" style="1" customWidth="1"/>
    <col min="19" max="16384" width="8.88671875" style="1"/>
  </cols>
  <sheetData>
    <row r="1" spans="1:21" s="5" customFormat="1" ht="13.8" x14ac:dyDescent="0.25"/>
    <row r="2" spans="1:21" s="5" customFormat="1" ht="13.8" x14ac:dyDescent="0.25">
      <c r="A2" s="4"/>
      <c r="B2" s="67" t="str">
        <f>Dashboard!B2</f>
        <v>Borouge PLC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21" s="5" customFormat="1" ht="13.8" x14ac:dyDescent="0.25">
      <c r="B3" s="8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21" s="5" customFormat="1" ht="13.8" x14ac:dyDescent="0.25">
      <c r="B4" s="70" t="str">
        <f>Dashboard!B4</f>
        <v>(In Millions AED, except equity share and per equity share data)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21" s="5" customFormat="1" ht="13.8" x14ac:dyDescent="0.25">
      <c r="B5" s="8" t="s">
        <v>32</v>
      </c>
      <c r="C5" s="7"/>
      <c r="D5" s="8" t="str">
        <f>Dashboard!G12</f>
        <v>Street</v>
      </c>
      <c r="E5" s="7"/>
      <c r="F5" s="14"/>
      <c r="G5" s="14"/>
      <c r="H5" s="14"/>
      <c r="I5" s="7"/>
      <c r="J5" s="7"/>
      <c r="K5" s="7"/>
      <c r="L5" s="7"/>
      <c r="M5" s="7"/>
      <c r="N5" s="7"/>
      <c r="O5" s="7"/>
      <c r="P5" s="7"/>
      <c r="Q5" s="7"/>
      <c r="R5" s="7"/>
    </row>
    <row r="6" spans="1:21" s="5" customFormat="1" ht="13.8" x14ac:dyDescent="0.25">
      <c r="B6" s="8" t="s">
        <v>412</v>
      </c>
      <c r="C6" s="10"/>
      <c r="D6" s="10"/>
      <c r="E6" s="10"/>
      <c r="F6" s="419" t="s">
        <v>303</v>
      </c>
      <c r="G6" s="420"/>
      <c r="H6" s="420"/>
      <c r="I6" s="419" t="s">
        <v>2</v>
      </c>
      <c r="J6" s="420"/>
      <c r="K6" s="420"/>
      <c r="L6" s="420"/>
      <c r="M6" s="420"/>
      <c r="N6" s="419" t="s">
        <v>25</v>
      </c>
      <c r="O6" s="421"/>
      <c r="P6" s="422" t="s">
        <v>14</v>
      </c>
      <c r="Q6" s="423"/>
      <c r="R6" s="423"/>
    </row>
    <row r="7" spans="1:21" s="5" customFormat="1" ht="13.8" x14ac:dyDescent="0.25">
      <c r="B7" s="8" t="s">
        <v>305</v>
      </c>
      <c r="C7" s="10"/>
      <c r="D7" s="10"/>
      <c r="E7" s="10"/>
      <c r="F7" s="94">
        <f>Statements!F7</f>
        <v>44926</v>
      </c>
      <c r="G7" s="94">
        <f t="shared" ref="G7:M7" si="0">EDATE(F7,12)</f>
        <v>45291</v>
      </c>
      <c r="H7" s="95">
        <f t="shared" si="0"/>
        <v>45657</v>
      </c>
      <c r="I7" s="96">
        <f t="shared" si="0"/>
        <v>46022</v>
      </c>
      <c r="J7" s="96">
        <f t="shared" si="0"/>
        <v>46387</v>
      </c>
      <c r="K7" s="97">
        <f t="shared" si="0"/>
        <v>46752</v>
      </c>
      <c r="L7" s="96">
        <f t="shared" si="0"/>
        <v>47118</v>
      </c>
      <c r="M7" s="97">
        <f t="shared" si="0"/>
        <v>47483</v>
      </c>
      <c r="N7" s="98" t="str">
        <f>Statements!N7</f>
        <v>23A - 25A</v>
      </c>
      <c r="O7" s="99" t="s">
        <v>35</v>
      </c>
      <c r="P7" s="424"/>
      <c r="Q7" s="425"/>
      <c r="R7" s="425"/>
    </row>
    <row r="8" spans="1:21" customFormat="1" ht="14.4" x14ac:dyDescent="0.3"/>
    <row r="9" spans="1:21" customFormat="1" ht="14.4" x14ac:dyDescent="0.3">
      <c r="B9" s="25" t="s">
        <v>41</v>
      </c>
      <c r="N9" s="54"/>
      <c r="O9" s="54"/>
      <c r="P9" s="54"/>
      <c r="Q9" s="54"/>
      <c r="R9" s="54"/>
      <c r="S9" s="54"/>
      <c r="T9" s="54"/>
      <c r="U9" s="54"/>
    </row>
    <row r="10" spans="1:21" customFormat="1" ht="14.4" x14ac:dyDescent="0.3">
      <c r="N10" s="54"/>
      <c r="O10" s="54"/>
      <c r="P10" s="54"/>
      <c r="Q10" s="54"/>
      <c r="R10" s="54"/>
      <c r="S10" s="54"/>
      <c r="T10" s="54"/>
      <c r="U10" s="54"/>
    </row>
    <row r="11" spans="1:21" s="5" customFormat="1" ht="13.8" x14ac:dyDescent="0.25">
      <c r="A11" s="5" t="s">
        <v>27</v>
      </c>
      <c r="B11" s="72" t="s">
        <v>13</v>
      </c>
      <c r="C11" s="71"/>
      <c r="D11" s="71"/>
      <c r="E11" s="71"/>
      <c r="F11" s="91">
        <v>44926</v>
      </c>
      <c r="G11" s="91">
        <v>45291</v>
      </c>
      <c r="H11" s="91">
        <v>45657</v>
      </c>
      <c r="I11" s="92">
        <v>46022</v>
      </c>
      <c r="J11" s="92">
        <v>46387</v>
      </c>
      <c r="K11" s="92">
        <v>46752</v>
      </c>
      <c r="L11" s="92">
        <v>47118</v>
      </c>
      <c r="M11" s="93">
        <v>47483</v>
      </c>
      <c r="N11" s="54"/>
      <c r="O11" s="54"/>
      <c r="P11" s="54"/>
      <c r="Q11" s="54"/>
      <c r="R11" s="54"/>
      <c r="S11" s="54"/>
      <c r="T11" s="54"/>
      <c r="U11" s="54"/>
    </row>
    <row r="12" spans="1:21" x14ac:dyDescent="0.25">
      <c r="B12" s="53"/>
      <c r="F12" s="2"/>
      <c r="G12" s="2"/>
      <c r="H12" s="2"/>
      <c r="I12" s="2"/>
      <c r="J12" s="2"/>
      <c r="K12" s="2"/>
      <c r="L12" s="2"/>
      <c r="M12" s="171"/>
      <c r="N12" s="54"/>
      <c r="O12" s="54"/>
      <c r="P12" s="54"/>
      <c r="Q12" s="54"/>
      <c r="R12" s="54"/>
      <c r="S12" s="54"/>
      <c r="T12" s="54"/>
      <c r="U12" s="54"/>
    </row>
    <row r="13" spans="1:21" x14ac:dyDescent="0.25">
      <c r="B13" s="75" t="s">
        <v>127</v>
      </c>
      <c r="C13" s="54"/>
      <c r="D13" s="54"/>
      <c r="E13" s="54"/>
      <c r="F13" s="194">
        <f>Statements!F23</f>
        <v>26.707000000000001</v>
      </c>
      <c r="G13" s="194">
        <f>Statements!G23</f>
        <v>17.350000000000001</v>
      </c>
      <c r="H13" s="194">
        <f>Statements!H23</f>
        <v>53.951000000000001</v>
      </c>
      <c r="I13" s="148">
        <f ca="1">I14*Statements!I19</f>
        <v>36.869936428554325</v>
      </c>
      <c r="J13" s="148">
        <f ca="1">J14*Statements!J19</f>
        <v>46.14144699160596</v>
      </c>
      <c r="K13" s="148">
        <f ca="1">K14*Statements!K19</f>
        <v>55.712822125868307</v>
      </c>
      <c r="L13" s="148">
        <f ca="1">L14*Statements!L19</f>
        <v>52.442818301836859</v>
      </c>
      <c r="M13" s="149">
        <f ca="1">M14*Statements!M19</f>
        <v>54.795599425211805</v>
      </c>
      <c r="N13" s="54"/>
      <c r="O13" s="54"/>
      <c r="P13" s="54"/>
      <c r="Q13" s="54"/>
      <c r="R13" s="54"/>
      <c r="S13" s="54"/>
      <c r="T13" s="54"/>
      <c r="U13" s="54"/>
    </row>
    <row r="14" spans="1:21" x14ac:dyDescent="0.25">
      <c r="B14" s="75" t="s">
        <v>209</v>
      </c>
      <c r="C14" s="54"/>
      <c r="D14" s="54"/>
      <c r="E14" s="54"/>
      <c r="F14" s="185">
        <f>F13/Statements!F19</f>
        <v>6.6815089047173853E-3</v>
      </c>
      <c r="G14" s="185">
        <f>G13/Statements!G19</f>
        <v>2.9958498414444316E-3</v>
      </c>
      <c r="H14" s="185">
        <f>H13/Statements!H19</f>
        <v>8.9528540987298139E-3</v>
      </c>
      <c r="I14" s="195">
        <f>AVERAGE(F14:H14)</f>
        <v>6.2100709482972097E-3</v>
      </c>
      <c r="J14" s="195">
        <f t="shared" ref="J14:M14" si="1">AVERAGE(G14:I14)</f>
        <v>6.0529249628238184E-3</v>
      </c>
      <c r="K14" s="195">
        <f t="shared" si="1"/>
        <v>7.0719500032836143E-3</v>
      </c>
      <c r="L14" s="195">
        <f t="shared" si="1"/>
        <v>6.4449819714682138E-3</v>
      </c>
      <c r="M14" s="196">
        <f t="shared" si="1"/>
        <v>6.5232856458585483E-3</v>
      </c>
      <c r="N14" s="54"/>
      <c r="O14" s="54"/>
      <c r="P14" s="54"/>
      <c r="Q14" s="54"/>
      <c r="R14" s="54"/>
      <c r="S14" s="54"/>
      <c r="T14" s="54"/>
      <c r="U14" s="54"/>
    </row>
    <row r="15" spans="1:21" x14ac:dyDescent="0.25">
      <c r="B15" s="75"/>
      <c r="C15" s="54"/>
      <c r="D15" s="54"/>
      <c r="E15" s="54"/>
      <c r="F15" s="84"/>
      <c r="G15" s="84"/>
      <c r="H15" s="84"/>
      <c r="I15" s="84"/>
      <c r="J15" s="84"/>
      <c r="K15" s="84"/>
      <c r="L15" s="84"/>
      <c r="M15" s="85"/>
      <c r="N15" s="54"/>
      <c r="O15" s="54"/>
      <c r="P15" s="54"/>
      <c r="Q15" s="54"/>
      <c r="R15" s="54"/>
      <c r="S15" s="54"/>
      <c r="T15" s="54"/>
      <c r="U15" s="54"/>
    </row>
    <row r="16" spans="1:21" x14ac:dyDescent="0.25">
      <c r="B16" s="53" t="s">
        <v>214</v>
      </c>
      <c r="F16" s="194">
        <f>Statements!F29</f>
        <v>19.744</v>
      </c>
      <c r="G16" s="194">
        <f>Statements!G29</f>
        <v>26.815000000000001</v>
      </c>
      <c r="H16" s="194">
        <f>Statements!H29</f>
        <v>28.553999999999998</v>
      </c>
      <c r="I16" s="148">
        <f ca="1">I17*Statements!I19</f>
        <v>28.316249413171086</v>
      </c>
      <c r="J16" s="148">
        <f ca="1">J17*Statements!J19</f>
        <v>35.924436716379951</v>
      </c>
      <c r="K16" s="148">
        <f ca="1">K17*Statements!K19</f>
        <v>37.342679374851429</v>
      </c>
      <c r="L16" s="148">
        <f ca="1">L17*Statements!L19</f>
        <v>38.575122521966712</v>
      </c>
      <c r="M16" s="149">
        <f ca="1">M17*Statements!M19</f>
        <v>39.741702411213559</v>
      </c>
      <c r="N16" s="54"/>
      <c r="O16" s="54"/>
      <c r="P16" s="54"/>
      <c r="Q16" s="54"/>
      <c r="R16" s="54"/>
      <c r="S16" s="54"/>
      <c r="T16" s="54"/>
      <c r="U16" s="54"/>
    </row>
    <row r="17" spans="2:20" x14ac:dyDescent="0.25">
      <c r="B17" s="53" t="s">
        <v>215</v>
      </c>
      <c r="F17" s="173">
        <f>F16/Statements!F19</f>
        <v>4.9395181718178771E-3</v>
      </c>
      <c r="G17" s="173">
        <f>G16/Statements!G19</f>
        <v>4.6301852160422147E-3</v>
      </c>
      <c r="H17" s="173">
        <f>H16/Statements!H19</f>
        <v>4.7383699270658764E-3</v>
      </c>
      <c r="I17" s="173">
        <f>AVERAGE(F17:H17)</f>
        <v>4.7693577716419891E-3</v>
      </c>
      <c r="J17" s="173">
        <f t="shared" ref="J17:M17" si="2">AVERAGE(G17:I17)</f>
        <v>4.712637638250027E-3</v>
      </c>
      <c r="K17" s="173">
        <f t="shared" si="2"/>
        <v>4.7401217789859651E-3</v>
      </c>
      <c r="L17" s="173">
        <f t="shared" si="2"/>
        <v>4.7407057296259937E-3</v>
      </c>
      <c r="M17" s="174">
        <f t="shared" si="2"/>
        <v>4.7311550489539953E-3</v>
      </c>
      <c r="N17" s="54"/>
      <c r="O17" s="54"/>
      <c r="P17" s="54"/>
      <c r="Q17" s="54"/>
      <c r="R17" s="54"/>
      <c r="S17" s="54"/>
      <c r="T17" s="54"/>
    </row>
    <row r="18" spans="2:20" x14ac:dyDescent="0.25">
      <c r="B18" s="53"/>
      <c r="F18" s="2"/>
      <c r="G18" s="2"/>
      <c r="H18" s="2"/>
      <c r="I18" s="2"/>
      <c r="J18" s="2"/>
      <c r="K18" s="2"/>
      <c r="L18" s="2"/>
      <c r="M18" s="171"/>
      <c r="N18" s="54"/>
      <c r="O18" s="54"/>
      <c r="P18" s="54"/>
      <c r="Q18" s="54"/>
      <c r="R18" s="54"/>
      <c r="S18" s="54"/>
      <c r="T18" s="54"/>
    </row>
    <row r="19" spans="2:20" x14ac:dyDescent="0.25">
      <c r="B19" s="75" t="s">
        <v>210</v>
      </c>
      <c r="C19" s="54"/>
      <c r="D19" s="54"/>
      <c r="E19" s="54"/>
      <c r="F19" s="194">
        <f>-Statements!F36</f>
        <v>284.83499999999998</v>
      </c>
      <c r="G19" s="194">
        <f>-Statements!G36</f>
        <v>400.33300000000003</v>
      </c>
      <c r="H19" s="194">
        <f>-Statements!H36</f>
        <v>506.36099999999999</v>
      </c>
      <c r="I19" s="148">
        <f ca="1">I20*Statements!I34</f>
        <v>516.16483387468247</v>
      </c>
      <c r="J19" s="148">
        <f ca="1">J20*Statements!J34</f>
        <v>647.03879685968923</v>
      </c>
      <c r="K19" s="148">
        <f ca="1">K20*Statements!K34</f>
        <v>717.29513158752479</v>
      </c>
      <c r="L19" s="148">
        <f ca="1">L20*Statements!L34</f>
        <v>731.81337779596163</v>
      </c>
      <c r="M19" s="149">
        <f ca="1">M20*Statements!M34</f>
        <v>770.95134974344705</v>
      </c>
      <c r="N19" s="54"/>
      <c r="O19" s="54"/>
      <c r="P19" s="54"/>
      <c r="Q19" s="54"/>
      <c r="R19" s="54"/>
      <c r="S19" s="54"/>
      <c r="T19" s="54"/>
    </row>
    <row r="20" spans="2:20" x14ac:dyDescent="0.25">
      <c r="B20" s="75" t="s">
        <v>211</v>
      </c>
      <c r="C20" s="54"/>
      <c r="D20" s="54"/>
      <c r="E20" s="54"/>
      <c r="F20" s="173">
        <f>F19/Statements!F34</f>
        <v>0.22028831950255606</v>
      </c>
      <c r="G20" s="173">
        <f>G19/Statements!G34</f>
        <v>0.20767326552907969</v>
      </c>
      <c r="H20" s="173">
        <f>H19/Statements!H34</f>
        <v>0.22357295689177872</v>
      </c>
      <c r="I20" s="173">
        <f>AVERAGE(F20:H20)</f>
        <v>0.21717818064113814</v>
      </c>
      <c r="J20" s="173">
        <f t="shared" ref="J20:M20" si="3">AVERAGE(G20:I20)</f>
        <v>0.21614146768733219</v>
      </c>
      <c r="K20" s="173">
        <f t="shared" si="3"/>
        <v>0.21896420174008302</v>
      </c>
      <c r="L20" s="173">
        <f t="shared" si="3"/>
        <v>0.21742795002285112</v>
      </c>
      <c r="M20" s="174">
        <f t="shared" si="3"/>
        <v>0.21751120648342212</v>
      </c>
      <c r="N20" s="54"/>
      <c r="O20" s="54"/>
      <c r="P20" s="54"/>
      <c r="Q20" s="54"/>
      <c r="R20" s="54"/>
      <c r="S20" s="54"/>
      <c r="T20" s="54"/>
    </row>
    <row r="21" spans="2:20" x14ac:dyDescent="0.25">
      <c r="B21" s="75"/>
      <c r="C21" s="54"/>
      <c r="D21" s="54"/>
      <c r="E21" s="54"/>
      <c r="F21" s="84"/>
      <c r="G21" s="84"/>
      <c r="H21" s="84"/>
      <c r="I21" s="84"/>
      <c r="J21" s="84"/>
      <c r="K21" s="84"/>
      <c r="L21" s="84"/>
      <c r="M21" s="85"/>
      <c r="N21" s="54"/>
      <c r="O21" s="54"/>
      <c r="P21" s="54"/>
      <c r="Q21" s="54"/>
      <c r="R21" s="54"/>
      <c r="S21" s="54"/>
      <c r="T21" s="54"/>
    </row>
    <row r="22" spans="2:20" x14ac:dyDescent="0.25">
      <c r="B22" s="75" t="s">
        <v>212</v>
      </c>
      <c r="C22" s="54"/>
      <c r="D22" s="54"/>
      <c r="E22" s="54"/>
      <c r="F22" s="194">
        <f>-Statements!F39</f>
        <v>9.4779999999999998</v>
      </c>
      <c r="G22" s="194">
        <f>-Statements!G39</f>
        <v>9.5449999999999999</v>
      </c>
      <c r="H22" s="194">
        <f>-Statements!H39</f>
        <v>13.675000000000001</v>
      </c>
      <c r="I22" s="148">
        <f ca="1">I23*Statements!I37</f>
        <v>14.528805824377843</v>
      </c>
      <c r="J22" s="148">
        <f ca="1">J23*Statements!J37</f>
        <v>17.078826794940358</v>
      </c>
      <c r="K22" s="148">
        <f ca="1">K23*Statements!K37</f>
        <v>19.49945965552341</v>
      </c>
      <c r="L22" s="148">
        <f ca="1">L23*Statements!L37</f>
        <v>19.937783123326767</v>
      </c>
      <c r="M22" s="149">
        <f ca="1">M23*Statements!M37</f>
        <v>20.77239983108807</v>
      </c>
      <c r="N22" s="54"/>
      <c r="O22" s="54"/>
      <c r="P22" s="54"/>
      <c r="Q22" s="54"/>
      <c r="R22" s="54"/>
      <c r="S22" s="54"/>
      <c r="T22" s="54"/>
    </row>
    <row r="23" spans="2:20" x14ac:dyDescent="0.25">
      <c r="B23" s="75" t="s">
        <v>213</v>
      </c>
      <c r="C23" s="54"/>
      <c r="D23" s="54"/>
      <c r="E23" s="54"/>
      <c r="F23" s="173">
        <f>F22/Statements!F37</f>
        <v>9.4011456344384684E-3</v>
      </c>
      <c r="G23" s="173">
        <f>G22/Statements!G37</f>
        <v>6.2492920851684574E-3</v>
      </c>
      <c r="H23" s="173">
        <f>H22/Statements!H37</f>
        <v>7.7765273412465337E-3</v>
      </c>
      <c r="I23" s="173">
        <f>AVERAGE(F23:H23)</f>
        <v>7.8089883536178193E-3</v>
      </c>
      <c r="J23" s="173">
        <f t="shared" ref="J23:M23" si="4">AVERAGE(G23:I23)</f>
        <v>7.2782692600109368E-3</v>
      </c>
      <c r="K23" s="173">
        <f t="shared" si="4"/>
        <v>7.6212616516250957E-3</v>
      </c>
      <c r="L23" s="173">
        <f t="shared" si="4"/>
        <v>7.5695064217512834E-3</v>
      </c>
      <c r="M23" s="174">
        <f t="shared" si="4"/>
        <v>7.489679111129105E-3</v>
      </c>
      <c r="N23" s="54"/>
      <c r="O23" s="54"/>
      <c r="P23" s="54"/>
      <c r="Q23" s="54"/>
      <c r="R23" s="54"/>
      <c r="S23" s="54"/>
      <c r="T23" s="54"/>
    </row>
    <row r="24" spans="2:20" x14ac:dyDescent="0.25">
      <c r="B24" s="75"/>
      <c r="C24" s="54"/>
      <c r="D24" s="54"/>
      <c r="E24" s="54"/>
      <c r="F24" s="84"/>
      <c r="G24" s="84"/>
      <c r="H24" s="84"/>
      <c r="I24" s="84"/>
      <c r="J24" s="84"/>
      <c r="K24" s="84"/>
      <c r="L24" s="84"/>
      <c r="M24" s="85"/>
      <c r="N24" s="54"/>
      <c r="O24" s="54"/>
      <c r="P24" s="54"/>
      <c r="Q24" s="54"/>
      <c r="R24" s="54"/>
      <c r="S24" s="54"/>
      <c r="T24" s="54"/>
    </row>
    <row r="25" spans="2:20" x14ac:dyDescent="0.25">
      <c r="B25" s="75" t="s">
        <v>216</v>
      </c>
      <c r="C25" s="54"/>
      <c r="D25" s="54"/>
      <c r="E25" s="54"/>
      <c r="F25" s="197">
        <v>324.92700000000002</v>
      </c>
      <c r="G25" s="197">
        <v>1299.704</v>
      </c>
      <c r="H25" s="197">
        <v>1299.704</v>
      </c>
      <c r="I25" s="148">
        <f ca="1">I26*Statements!I40</f>
        <v>1185.4577402460764</v>
      </c>
      <c r="J25" s="148">
        <f ca="1">J26*Statements!J40</f>
        <v>1741.9497434309753</v>
      </c>
      <c r="K25" s="148">
        <f ca="1">K26*Statements!K40</f>
        <v>1806.8448255769777</v>
      </c>
      <c r="L25" s="148">
        <f ca="1">L26*Statements!L40</f>
        <v>1831.1972287719973</v>
      </c>
      <c r="M25" s="149">
        <f ca="1">M26*Statements!M40</f>
        <v>1981.882656369826</v>
      </c>
      <c r="N25" s="54"/>
      <c r="O25" s="54"/>
      <c r="P25" s="54"/>
      <c r="Q25" s="54"/>
      <c r="R25" s="54"/>
      <c r="S25" s="54"/>
      <c r="T25" s="54"/>
    </row>
    <row r="26" spans="2:20" x14ac:dyDescent="0.25">
      <c r="B26" s="75" t="s">
        <v>217</v>
      </c>
      <c r="C26" s="54"/>
      <c r="D26" s="54"/>
      <c r="E26" s="54"/>
      <c r="F26" s="173">
        <f>F25/Statements!F40</f>
        <v>0.32535093226474104</v>
      </c>
      <c r="G26" s="173">
        <f>G25/Statements!G40</f>
        <v>0.85629201727732018</v>
      </c>
      <c r="H26" s="173">
        <f>H25/Statements!H40</f>
        <v>0.74489202910096297</v>
      </c>
      <c r="I26" s="173">
        <f>AVERAGE(F26:H26)</f>
        <v>0.64217832621434134</v>
      </c>
      <c r="J26" s="173">
        <f t="shared" ref="J26:M26" si="5">AVERAGE(G26:I26)</f>
        <v>0.74778745753087483</v>
      </c>
      <c r="K26" s="173">
        <f t="shared" si="5"/>
        <v>0.71161927094872635</v>
      </c>
      <c r="L26" s="173">
        <f t="shared" si="5"/>
        <v>0.70052835156464754</v>
      </c>
      <c r="M26" s="174">
        <f t="shared" si="5"/>
        <v>0.71997836001474946</v>
      </c>
      <c r="N26" s="54"/>
      <c r="O26" s="54"/>
      <c r="P26" s="54"/>
      <c r="Q26" s="54"/>
      <c r="R26" s="54"/>
      <c r="S26" s="54"/>
      <c r="T26" s="54"/>
    </row>
    <row r="27" spans="2:20" x14ac:dyDescent="0.25">
      <c r="B27" s="53"/>
      <c r="M27" s="74"/>
      <c r="N27" s="54"/>
      <c r="O27" s="54"/>
      <c r="P27" s="54"/>
      <c r="Q27" s="54"/>
      <c r="R27" s="54"/>
      <c r="S27" s="54"/>
      <c r="T27" s="54"/>
    </row>
    <row r="28" spans="2:20" ht="13.8" x14ac:dyDescent="0.25">
      <c r="B28" s="161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3"/>
      <c r="N28" s="54"/>
      <c r="O28" s="54"/>
      <c r="P28" s="54"/>
      <c r="Q28" s="54"/>
      <c r="R28" s="54"/>
      <c r="S28" s="54"/>
      <c r="T28" s="54"/>
    </row>
    <row r="29" spans="2:20" x14ac:dyDescent="0.25">
      <c r="G29" s="15"/>
      <c r="H29" s="15"/>
      <c r="N29" s="54"/>
      <c r="O29" s="54"/>
      <c r="P29" s="54"/>
      <c r="Q29" s="54"/>
      <c r="R29" s="54"/>
      <c r="S29" s="54"/>
      <c r="T29" s="54"/>
    </row>
    <row r="30" spans="2:20" x14ac:dyDescent="0.25">
      <c r="G30" s="15"/>
      <c r="H30" s="15"/>
      <c r="N30" s="54"/>
      <c r="O30" s="54"/>
      <c r="P30" s="54"/>
      <c r="Q30" s="54"/>
      <c r="R30" s="54"/>
      <c r="S30" s="54"/>
      <c r="T30" s="54"/>
    </row>
    <row r="31" spans="2:20" x14ac:dyDescent="0.25">
      <c r="G31" s="15"/>
      <c r="H31" s="15"/>
    </row>
    <row r="32" spans="2:20" x14ac:dyDescent="0.25">
      <c r="G32" s="15"/>
      <c r="H32" s="15"/>
    </row>
    <row r="33" spans="7:8" x14ac:dyDescent="0.25">
      <c r="G33" s="15"/>
      <c r="H33" s="15"/>
    </row>
    <row r="34" spans="7:8" x14ac:dyDescent="0.25">
      <c r="G34" s="15"/>
      <c r="H34" s="15"/>
    </row>
    <row r="35" spans="7:8" x14ac:dyDescent="0.25">
      <c r="G35" s="15"/>
      <c r="H35" s="15"/>
    </row>
    <row r="36" spans="7:8" x14ac:dyDescent="0.25">
      <c r="G36" s="15"/>
      <c r="H36" s="15"/>
    </row>
  </sheetData>
  <mergeCells count="4">
    <mergeCell ref="P6:R7"/>
    <mergeCell ref="F6:H6"/>
    <mergeCell ref="I6:M6"/>
    <mergeCell ref="N6:O6"/>
  </mergeCells>
  <hyperlinks>
    <hyperlink ref="B9" location="Dashboard!A1" display="&lt;-Back to dashboard" xr:uid="{43FCBDE0-6A65-4DDE-B9B3-B19FE57C44B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44F4-48FD-47E7-8572-BBAC6143B4D1}">
  <dimension ref="A2:O94"/>
  <sheetViews>
    <sheetView showGridLines="0" zoomScaleNormal="100" workbookViewId="0">
      <selection activeCell="B6" sqref="B6"/>
    </sheetView>
  </sheetViews>
  <sheetFormatPr defaultRowHeight="13.2" outlineLevelRow="1" x14ac:dyDescent="0.25"/>
  <cols>
    <col min="1" max="1" width="1.88671875" style="1" customWidth="1"/>
    <col min="2" max="3" width="8.88671875" style="1"/>
    <col min="4" max="4" width="10.109375" style="1" customWidth="1"/>
    <col min="5" max="6" width="8.88671875" style="1"/>
    <col min="7" max="15" width="12.6640625" style="1" customWidth="1"/>
    <col min="16" max="16384" width="8.88671875" style="1"/>
  </cols>
  <sheetData>
    <row r="2" spans="1:15" s="5" customFormat="1" ht="15.6" x14ac:dyDescent="0.3">
      <c r="B2" s="201" t="str">
        <f>Dashboard!B2</f>
        <v>Borouge PLC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99"/>
    </row>
    <row r="3" spans="1:15" s="5" customFormat="1" ht="13.8" x14ac:dyDescent="0.25">
      <c r="B3" s="202" t="s">
        <v>37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99"/>
    </row>
    <row r="4" spans="1:15" s="5" customFormat="1" ht="13.8" x14ac:dyDescent="0.25">
      <c r="B4" s="203" t="str">
        <f>Dashboard!B4</f>
        <v>(In Millions AED, except equity share and per equity share data)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99"/>
    </row>
    <row r="5" spans="1:15" s="5" customFormat="1" ht="13.8" x14ac:dyDescent="0.25">
      <c r="B5" s="202" t="s">
        <v>32</v>
      </c>
      <c r="C5" s="7"/>
      <c r="D5" s="8" t="str">
        <f>Dashboard!G12</f>
        <v>Street</v>
      </c>
      <c r="E5" s="7"/>
      <c r="F5" s="7"/>
      <c r="G5" s="7"/>
      <c r="H5" s="7"/>
      <c r="I5" s="7"/>
      <c r="J5" s="7"/>
      <c r="K5" s="7"/>
      <c r="L5" s="7"/>
      <c r="M5" s="7"/>
      <c r="N5" s="7"/>
      <c r="O5" s="199"/>
    </row>
    <row r="6" spans="1:15" s="5" customFormat="1" ht="13.8" x14ac:dyDescent="0.25">
      <c r="B6" s="8" t="s">
        <v>412</v>
      </c>
      <c r="C6" s="10"/>
      <c r="D6" s="10"/>
      <c r="E6" s="10"/>
      <c r="F6" s="10"/>
      <c r="G6" s="419" t="str">
        <f>Statements!F6</f>
        <v>Actuals</v>
      </c>
      <c r="H6" s="420"/>
      <c r="I6" s="420"/>
      <c r="J6" s="419" t="s">
        <v>2</v>
      </c>
      <c r="K6" s="420"/>
      <c r="L6" s="420"/>
      <c r="M6" s="420"/>
      <c r="N6" s="420"/>
      <c r="O6" s="199"/>
    </row>
    <row r="7" spans="1:15" s="5" customFormat="1" ht="13.8" x14ac:dyDescent="0.25">
      <c r="B7" s="202" t="s">
        <v>305</v>
      </c>
      <c r="C7" s="10"/>
      <c r="D7" s="10"/>
      <c r="E7" s="10"/>
      <c r="F7" s="10"/>
      <c r="G7" s="94">
        <f>Statements!F7</f>
        <v>44926</v>
      </c>
      <c r="H7" s="94">
        <f t="shared" ref="H7:N7" si="0">EDATE(G7,12)</f>
        <v>45291</v>
      </c>
      <c r="I7" s="96">
        <f t="shared" si="0"/>
        <v>45657</v>
      </c>
      <c r="J7" s="96">
        <f t="shared" si="0"/>
        <v>46022</v>
      </c>
      <c r="K7" s="96">
        <f t="shared" si="0"/>
        <v>46387</v>
      </c>
      <c r="L7" s="97">
        <f t="shared" si="0"/>
        <v>46752</v>
      </c>
      <c r="M7" s="96">
        <f t="shared" si="0"/>
        <v>47118</v>
      </c>
      <c r="N7" s="224">
        <f t="shared" si="0"/>
        <v>47483</v>
      </c>
      <c r="O7" s="199"/>
    </row>
    <row r="8" spans="1:15" x14ac:dyDescent="0.25">
      <c r="B8" s="53"/>
      <c r="O8" s="53"/>
    </row>
    <row r="9" spans="1:15" ht="14.4" x14ac:dyDescent="0.3">
      <c r="B9" s="204" t="s">
        <v>41</v>
      </c>
      <c r="O9" s="53"/>
    </row>
    <row r="10" spans="1:15" ht="14.4" x14ac:dyDescent="0.3">
      <c r="B10" s="204"/>
      <c r="O10" s="53"/>
    </row>
    <row r="11" spans="1:15" ht="14.4" x14ac:dyDescent="0.3">
      <c r="B11" s="204" t="s">
        <v>47</v>
      </c>
      <c r="C11" s="26" t="s">
        <v>51</v>
      </c>
      <c r="E11" s="26" t="s">
        <v>52</v>
      </c>
      <c r="G11" s="206" t="s">
        <v>122</v>
      </c>
      <c r="H11" s="26" t="s">
        <v>123</v>
      </c>
      <c r="O11" s="53"/>
    </row>
    <row r="12" spans="1:15" x14ac:dyDescent="0.25">
      <c r="B12" s="53"/>
      <c r="O12" s="53"/>
    </row>
    <row r="13" spans="1:15" x14ac:dyDescent="0.25">
      <c r="A13" s="1" t="s">
        <v>27</v>
      </c>
      <c r="B13" s="72" t="s">
        <v>309</v>
      </c>
      <c r="C13" s="73"/>
      <c r="D13" s="73"/>
      <c r="E13" s="73"/>
      <c r="F13" s="73"/>
      <c r="G13" s="91">
        <v>44926</v>
      </c>
      <c r="H13" s="91">
        <v>45291</v>
      </c>
      <c r="I13" s="91">
        <v>45657</v>
      </c>
      <c r="J13" s="92">
        <v>46022</v>
      </c>
      <c r="K13" s="92">
        <v>46387</v>
      </c>
      <c r="L13" s="92">
        <v>46752</v>
      </c>
      <c r="M13" s="92">
        <v>47118</v>
      </c>
      <c r="N13" s="93">
        <v>47483</v>
      </c>
      <c r="O13" s="53"/>
    </row>
    <row r="14" spans="1:15" hidden="1" outlineLevel="1" x14ac:dyDescent="0.25">
      <c r="B14" s="75"/>
      <c r="C14" s="54"/>
      <c r="D14" s="54"/>
      <c r="E14" s="54"/>
      <c r="F14" s="54"/>
      <c r="G14" s="84"/>
      <c r="H14" s="84"/>
      <c r="I14" s="84"/>
      <c r="J14" s="84"/>
      <c r="K14" s="84"/>
      <c r="L14" s="84"/>
      <c r="M14" s="84"/>
      <c r="N14" s="84"/>
      <c r="O14" s="53"/>
    </row>
    <row r="15" spans="1:15" hidden="1" outlineLevel="1" x14ac:dyDescent="0.25">
      <c r="B15" s="138" t="s">
        <v>227</v>
      </c>
      <c r="C15" s="54"/>
      <c r="D15" s="54"/>
      <c r="E15" s="54"/>
      <c r="F15" s="54"/>
      <c r="G15" s="84"/>
      <c r="H15" s="84"/>
      <c r="I15" s="84"/>
      <c r="J15" s="84"/>
      <c r="K15" s="84"/>
      <c r="L15" s="84"/>
      <c r="M15" s="84"/>
      <c r="N15" s="84"/>
      <c r="O15" s="53"/>
    </row>
    <row r="16" spans="1:15" hidden="1" outlineLevel="1" x14ac:dyDescent="0.25">
      <c r="B16" s="75"/>
      <c r="C16" s="54"/>
      <c r="D16" s="54"/>
      <c r="E16" s="54"/>
      <c r="F16" s="54"/>
      <c r="G16" s="84"/>
      <c r="H16" s="84"/>
      <c r="I16" s="84"/>
      <c r="J16" s="84"/>
      <c r="K16" s="84"/>
      <c r="L16" s="84"/>
      <c r="M16" s="84"/>
      <c r="N16" s="84"/>
      <c r="O16" s="53"/>
    </row>
    <row r="17" spans="2:15" hidden="1" outlineLevel="1" x14ac:dyDescent="0.25">
      <c r="B17" s="75" t="s">
        <v>229</v>
      </c>
      <c r="C17" s="54"/>
      <c r="D17" s="54"/>
      <c r="E17" s="54"/>
      <c r="F17" s="54"/>
      <c r="G17" s="197">
        <v>112.976</v>
      </c>
      <c r="H17" s="197">
        <v>191.50399999999999</v>
      </c>
      <c r="I17" s="197">
        <v>160.124</v>
      </c>
      <c r="J17" s="148">
        <f>J18*J23</f>
        <v>157.595657232121</v>
      </c>
      <c r="K17" s="148">
        <f t="shared" ref="K17:N17" si="1">K18*K23</f>
        <v>193.03153494821726</v>
      </c>
      <c r="L17" s="148">
        <f t="shared" si="1"/>
        <v>229.55305684345748</v>
      </c>
      <c r="M17" s="148">
        <f t="shared" si="1"/>
        <v>267.40157276740467</v>
      </c>
      <c r="N17" s="148">
        <f t="shared" si="1"/>
        <v>307.14902025761523</v>
      </c>
      <c r="O17" s="53"/>
    </row>
    <row r="18" spans="2:15" ht="14.4" hidden="1" outlineLevel="1" x14ac:dyDescent="0.3">
      <c r="B18" s="75" t="s">
        <v>218</v>
      </c>
      <c r="C18" s="54"/>
      <c r="D18" s="54"/>
      <c r="E18" s="54"/>
      <c r="F18" s="54"/>
      <c r="G18" s="207">
        <f>G17/G23</f>
        <v>8.3311726677126347E-3</v>
      </c>
      <c r="H18" s="207">
        <f t="shared" ref="H18:I18" si="2">H17/H23</f>
        <v>1.4013959954281051E-2</v>
      </c>
      <c r="I18" s="207">
        <f t="shared" si="2"/>
        <v>1.1586389819745401E-2</v>
      </c>
      <c r="J18" s="207">
        <f>AVERAGE(G18:I18)</f>
        <v>1.1310507480579697E-2</v>
      </c>
      <c r="K18" s="207">
        <f>J18+($N$18-$J$18)/4</f>
        <v>1.3732880610434773E-2</v>
      </c>
      <c r="L18" s="207">
        <f t="shared" ref="L18:M18" si="3">K18+($N$18-$J$18)/4</f>
        <v>1.6155253740289848E-2</v>
      </c>
      <c r="M18" s="207">
        <f t="shared" si="3"/>
        <v>1.8577626870144925E-2</v>
      </c>
      <c r="N18" s="208">
        <v>2.1000000000000001E-2</v>
      </c>
      <c r="O18" s="53"/>
    </row>
    <row r="19" spans="2:15" hidden="1" outlineLevel="1" x14ac:dyDescent="0.25">
      <c r="B19" s="75"/>
      <c r="C19" s="54"/>
      <c r="D19" s="54"/>
      <c r="E19" s="54"/>
      <c r="F19" s="54"/>
      <c r="G19" s="84"/>
      <c r="H19" s="84"/>
      <c r="I19" s="84"/>
      <c r="J19" s="84"/>
      <c r="K19" s="84"/>
      <c r="L19" s="84"/>
      <c r="M19" s="84"/>
      <c r="N19" s="84"/>
      <c r="O19" s="53"/>
    </row>
    <row r="20" spans="2:15" hidden="1" outlineLevel="1" x14ac:dyDescent="0.25">
      <c r="B20" s="75" t="s">
        <v>219</v>
      </c>
      <c r="C20" s="54"/>
      <c r="D20" s="54"/>
      <c r="E20" s="54"/>
      <c r="F20" s="54"/>
      <c r="G20" s="197">
        <v>297.11700000000002</v>
      </c>
      <c r="H20" s="197">
        <v>539.61199999999997</v>
      </c>
      <c r="I20" s="197">
        <v>524.11599999999999</v>
      </c>
      <c r="J20" s="148">
        <f>J21*J26</f>
        <v>461.05895137555302</v>
      </c>
      <c r="K20" s="148">
        <f t="shared" ref="K20:N20" si="4">K21*K26</f>
        <v>518.45674763275463</v>
      </c>
      <c r="L20" s="148">
        <f t="shared" si="4"/>
        <v>512.9161983015623</v>
      </c>
      <c r="M20" s="148">
        <f t="shared" si="4"/>
        <v>511.54109531451894</v>
      </c>
      <c r="N20" s="148">
        <f t="shared" si="4"/>
        <v>532.2087916895855</v>
      </c>
      <c r="O20" s="53"/>
    </row>
    <row r="21" spans="2:15" hidden="1" outlineLevel="1" x14ac:dyDescent="0.25">
      <c r="B21" s="75" t="s">
        <v>225</v>
      </c>
      <c r="C21" s="54"/>
      <c r="D21" s="54"/>
      <c r="E21" s="54"/>
      <c r="F21" s="54"/>
      <c r="G21" s="207">
        <f>G20/G26</f>
        <v>2.1742552321288973E-2</v>
      </c>
      <c r="H21" s="207">
        <f t="shared" ref="H21:I21" si="5">H20/H26</f>
        <v>3.9045708222455441E-2</v>
      </c>
      <c r="I21" s="207">
        <f t="shared" si="5"/>
        <v>3.7615363537335245E-2</v>
      </c>
      <c r="J21" s="207">
        <f>AVERAGE(G21:I21)</f>
        <v>3.2801208027026553E-2</v>
      </c>
      <c r="K21" s="207">
        <f t="shared" ref="K21:N21" si="6">AVERAGE(H21:J21)</f>
        <v>3.6487426595605749E-2</v>
      </c>
      <c r="L21" s="207">
        <f t="shared" si="6"/>
        <v>3.5634666053322515E-2</v>
      </c>
      <c r="M21" s="207">
        <f t="shared" si="6"/>
        <v>3.4974433558651603E-2</v>
      </c>
      <c r="N21" s="207">
        <f t="shared" si="6"/>
        <v>3.5698842069193291E-2</v>
      </c>
      <c r="O21" s="53"/>
    </row>
    <row r="22" spans="2:15" hidden="1" outlineLevel="1" x14ac:dyDescent="0.25">
      <c r="B22" s="75"/>
      <c r="C22" s="54"/>
      <c r="D22" s="54"/>
      <c r="E22" s="54"/>
      <c r="F22" s="54"/>
      <c r="G22" s="84"/>
      <c r="H22" s="84"/>
      <c r="I22" s="84"/>
      <c r="J22" s="84"/>
      <c r="K22" s="84"/>
      <c r="L22" s="84"/>
      <c r="M22" s="84"/>
      <c r="N22" s="84"/>
      <c r="O22" s="53"/>
    </row>
    <row r="23" spans="2:15" hidden="1" outlineLevel="1" x14ac:dyDescent="0.25">
      <c r="B23" s="75" t="s">
        <v>232</v>
      </c>
      <c r="C23" s="54"/>
      <c r="D23" s="54"/>
      <c r="E23" s="54"/>
      <c r="F23" s="54"/>
      <c r="G23" s="197">
        <v>13560.636</v>
      </c>
      <c r="H23" s="148">
        <f t="shared" ref="H23:I23" si="7">G26</f>
        <v>13665.231</v>
      </c>
      <c r="I23" s="148">
        <f t="shared" si="7"/>
        <v>13820.008</v>
      </c>
      <c r="J23" s="148">
        <f>I26</f>
        <v>13933.562</v>
      </c>
      <c r="K23" s="148">
        <f t="shared" ref="K23:N23" si="8">J26</f>
        <v>14056.157657232121</v>
      </c>
      <c r="L23" s="148">
        <f t="shared" si="8"/>
        <v>14209.189192180338</v>
      </c>
      <c r="M23" s="148">
        <f t="shared" si="8"/>
        <v>14393.742249023795</v>
      </c>
      <c r="N23" s="148">
        <f t="shared" si="8"/>
        <v>14626.1438217912</v>
      </c>
      <c r="O23" s="53"/>
    </row>
    <row r="24" spans="2:15" hidden="1" outlineLevel="1" x14ac:dyDescent="0.25">
      <c r="B24" s="114" t="s">
        <v>220</v>
      </c>
      <c r="C24" s="54"/>
      <c r="D24" s="54"/>
      <c r="E24" s="54"/>
      <c r="F24" s="54"/>
      <c r="G24" s="148"/>
      <c r="H24" s="148"/>
      <c r="I24" s="148"/>
      <c r="J24" s="148">
        <f>J17</f>
        <v>157.595657232121</v>
      </c>
      <c r="K24" s="148">
        <f t="shared" ref="K24:N24" si="9">K17</f>
        <v>193.03153494821726</v>
      </c>
      <c r="L24" s="148">
        <f t="shared" si="9"/>
        <v>229.55305684345748</v>
      </c>
      <c r="M24" s="148">
        <f t="shared" si="9"/>
        <v>267.40157276740467</v>
      </c>
      <c r="N24" s="148">
        <f t="shared" si="9"/>
        <v>307.14902025761523</v>
      </c>
      <c r="O24" s="53"/>
    </row>
    <row r="25" spans="2:15" hidden="1" outlineLevel="1" x14ac:dyDescent="0.25">
      <c r="B25" s="114" t="s">
        <v>221</v>
      </c>
      <c r="C25" s="54"/>
      <c r="D25" s="54"/>
      <c r="E25" s="54"/>
      <c r="F25" s="54"/>
      <c r="G25" s="148"/>
      <c r="H25" s="148"/>
      <c r="I25" s="148"/>
      <c r="J25" s="197">
        <v>-35</v>
      </c>
      <c r="K25" s="197">
        <v>-40</v>
      </c>
      <c r="L25" s="197">
        <v>-45</v>
      </c>
      <c r="M25" s="197">
        <v>-35</v>
      </c>
      <c r="N25" s="197">
        <v>-25</v>
      </c>
      <c r="O25" s="53"/>
    </row>
    <row r="26" spans="2:15" hidden="1" outlineLevel="1" x14ac:dyDescent="0.25">
      <c r="B26" s="76" t="s">
        <v>222</v>
      </c>
      <c r="C26" s="55"/>
      <c r="D26" s="55"/>
      <c r="E26" s="55"/>
      <c r="F26" s="55"/>
      <c r="G26" s="209">
        <v>13665.231</v>
      </c>
      <c r="H26" s="209">
        <v>13820.008</v>
      </c>
      <c r="I26" s="209">
        <v>13933.562</v>
      </c>
      <c r="J26" s="210">
        <f>SUM(J23:J25)</f>
        <v>14056.157657232121</v>
      </c>
      <c r="K26" s="210">
        <f t="shared" ref="K26:N26" si="10">SUM(K23:K25)</f>
        <v>14209.189192180338</v>
      </c>
      <c r="L26" s="210">
        <f t="shared" si="10"/>
        <v>14393.742249023795</v>
      </c>
      <c r="M26" s="210">
        <f t="shared" si="10"/>
        <v>14626.1438217912</v>
      </c>
      <c r="N26" s="210">
        <f t="shared" si="10"/>
        <v>14908.292842048815</v>
      </c>
      <c r="O26" s="53"/>
    </row>
    <row r="27" spans="2:15" hidden="1" outlineLevel="1" x14ac:dyDescent="0.25">
      <c r="B27" s="114" t="s">
        <v>223</v>
      </c>
      <c r="C27" s="54"/>
      <c r="D27" s="54"/>
      <c r="E27" s="54"/>
      <c r="F27" s="54"/>
      <c r="G27" s="148"/>
      <c r="H27" s="148"/>
      <c r="I27" s="197">
        <v>-7641.06</v>
      </c>
      <c r="J27" s="148">
        <f>I27-J20</f>
        <v>-8102.1189513755535</v>
      </c>
      <c r="K27" s="148">
        <f t="shared" ref="K27:N27" si="11">J27-K20</f>
        <v>-8620.5756990083082</v>
      </c>
      <c r="L27" s="148">
        <f t="shared" si="11"/>
        <v>-9133.4918973098702</v>
      </c>
      <c r="M27" s="148">
        <f t="shared" si="11"/>
        <v>-9645.0329926243885</v>
      </c>
      <c r="N27" s="148">
        <f t="shared" si="11"/>
        <v>-10177.241784313974</v>
      </c>
      <c r="O27" s="53"/>
    </row>
    <row r="28" spans="2:15" hidden="1" outlineLevel="1" x14ac:dyDescent="0.25">
      <c r="B28" s="76" t="s">
        <v>224</v>
      </c>
      <c r="C28" s="55"/>
      <c r="D28" s="55"/>
      <c r="E28" s="55"/>
      <c r="F28" s="55"/>
      <c r="G28" s="211"/>
      <c r="H28" s="211"/>
      <c r="I28" s="211"/>
      <c r="J28" s="210">
        <f>SUM(J26:J27)</f>
        <v>5954.0387058565675</v>
      </c>
      <c r="K28" s="210">
        <f t="shared" ref="K28:N28" si="12">SUM(K26:K27)</f>
        <v>5588.6134931720298</v>
      </c>
      <c r="L28" s="210">
        <f t="shared" si="12"/>
        <v>5260.2503517139248</v>
      </c>
      <c r="M28" s="210">
        <f t="shared" si="12"/>
        <v>4981.1108291668115</v>
      </c>
      <c r="N28" s="210">
        <f t="shared" si="12"/>
        <v>4731.0510577348414</v>
      </c>
      <c r="O28" s="53"/>
    </row>
    <row r="29" spans="2:15" hidden="1" outlineLevel="1" x14ac:dyDescent="0.25">
      <c r="B29" s="75"/>
      <c r="C29" s="54"/>
      <c r="D29" s="54"/>
      <c r="E29" s="54"/>
      <c r="F29" s="54"/>
      <c r="G29" s="84"/>
      <c r="H29" s="84"/>
      <c r="I29" s="84"/>
      <c r="J29" s="84"/>
      <c r="K29" s="84"/>
      <c r="L29" s="84"/>
      <c r="M29" s="84"/>
      <c r="N29" s="84"/>
      <c r="O29" s="53"/>
    </row>
    <row r="30" spans="2:15" hidden="1" outlineLevel="1" x14ac:dyDescent="0.25">
      <c r="B30" s="75"/>
      <c r="C30" s="54"/>
      <c r="D30" s="54"/>
      <c r="E30" s="54"/>
      <c r="F30" s="54"/>
      <c r="G30" s="84"/>
      <c r="H30" s="84"/>
      <c r="I30" s="84"/>
      <c r="J30" s="84"/>
      <c r="K30" s="84"/>
      <c r="L30" s="84"/>
      <c r="M30" s="84"/>
      <c r="N30" s="84"/>
      <c r="O30" s="53"/>
    </row>
    <row r="31" spans="2:15" hidden="1" outlineLevel="1" x14ac:dyDescent="0.25">
      <c r="B31" s="138" t="s">
        <v>226</v>
      </c>
      <c r="C31" s="54"/>
      <c r="D31" s="54"/>
      <c r="E31" s="54"/>
      <c r="F31" s="54"/>
      <c r="G31" s="84"/>
      <c r="H31" s="84"/>
      <c r="I31" s="84"/>
      <c r="J31" s="84"/>
      <c r="K31" s="84"/>
      <c r="L31" s="84"/>
      <c r="M31" s="84"/>
      <c r="N31" s="84"/>
      <c r="O31" s="53"/>
    </row>
    <row r="32" spans="2:15" hidden="1" outlineLevel="1" x14ac:dyDescent="0.25">
      <c r="B32" s="75"/>
      <c r="C32" s="54"/>
      <c r="D32" s="54"/>
      <c r="E32" s="54"/>
      <c r="F32" s="54"/>
      <c r="G32" s="84"/>
      <c r="H32" s="84"/>
      <c r="I32" s="84"/>
      <c r="J32" s="84"/>
      <c r="K32" s="84"/>
      <c r="L32" s="84"/>
      <c r="M32" s="84"/>
      <c r="N32" s="84"/>
      <c r="O32" s="53"/>
    </row>
    <row r="33" spans="1:15" hidden="1" outlineLevel="1" x14ac:dyDescent="0.25">
      <c r="B33" s="75" t="s">
        <v>228</v>
      </c>
      <c r="C33" s="54"/>
      <c r="D33" s="54"/>
      <c r="E33" s="54"/>
      <c r="F33" s="54"/>
      <c r="G33" s="197">
        <v>0.88200000000000001</v>
      </c>
      <c r="H33" s="197">
        <v>7.2759999999999998</v>
      </c>
      <c r="I33" s="197">
        <v>7.2590000000000003</v>
      </c>
      <c r="J33" s="148">
        <f>J34*J39</f>
        <v>8.8296749999999999</v>
      </c>
      <c r="K33" s="148">
        <f t="shared" ref="K33:N33" si="13">K34*K39</f>
        <v>11.313021093750001</v>
      </c>
      <c r="L33" s="148">
        <f t="shared" si="13"/>
        <v>13.999863603515626</v>
      </c>
      <c r="M33" s="148">
        <f t="shared" si="13"/>
        <v>16.94566823675537</v>
      </c>
      <c r="N33" s="148">
        <f t="shared" si="13"/>
        <v>20.213761396701052</v>
      </c>
      <c r="O33" s="53"/>
    </row>
    <row r="34" spans="1:15" ht="14.4" hidden="1" outlineLevel="1" x14ac:dyDescent="0.3">
      <c r="B34" s="75" t="s">
        <v>230</v>
      </c>
      <c r="C34" s="54"/>
      <c r="D34" s="54"/>
      <c r="E34" s="54"/>
      <c r="F34" s="54"/>
      <c r="G34" s="207">
        <f>G33/G39</f>
        <v>3.4452586678333148E-3</v>
      </c>
      <c r="H34" s="207">
        <f t="shared" ref="H34:I34" si="14">H33/H39</f>
        <v>2.3348950645016363E-2</v>
      </c>
      <c r="I34" s="207">
        <f t="shared" si="14"/>
        <v>2.103070442285072E-2</v>
      </c>
      <c r="J34" s="212">
        <v>2.5000000000000001E-2</v>
      </c>
      <c r="K34" s="207">
        <f>J34+($N$34-$J$34)/4</f>
        <v>3.125E-2</v>
      </c>
      <c r="L34" s="207">
        <f t="shared" ref="L34:M34" si="15">K34+($N$34-$J$34)/4</f>
        <v>3.7499999999999999E-2</v>
      </c>
      <c r="M34" s="207">
        <f t="shared" si="15"/>
        <v>4.3749999999999997E-2</v>
      </c>
      <c r="N34" s="208">
        <v>0.05</v>
      </c>
      <c r="O34" s="53"/>
    </row>
    <row r="35" spans="1:15" hidden="1" outlineLevel="1" x14ac:dyDescent="0.25">
      <c r="B35" s="75"/>
      <c r="C35" s="54"/>
      <c r="D35" s="54"/>
      <c r="E35" s="54"/>
      <c r="F35" s="54"/>
      <c r="G35" s="84"/>
      <c r="H35" s="84"/>
      <c r="I35" s="84"/>
      <c r="J35" s="84"/>
      <c r="K35" s="84"/>
      <c r="L35" s="84"/>
      <c r="M35" s="84"/>
      <c r="N35" s="84"/>
      <c r="O35" s="53"/>
    </row>
    <row r="36" spans="1:15" hidden="1" outlineLevel="1" x14ac:dyDescent="0.25">
      <c r="B36" s="75" t="s">
        <v>231</v>
      </c>
      <c r="C36" s="54"/>
      <c r="D36" s="54"/>
      <c r="E36" s="54"/>
      <c r="F36" s="54"/>
      <c r="G36" s="197">
        <v>10.608000000000001</v>
      </c>
      <c r="H36" s="197">
        <v>28.181000000000001</v>
      </c>
      <c r="I36" s="197">
        <v>23.748000000000001</v>
      </c>
      <c r="J36" s="148">
        <f>J37*J41</f>
        <v>24.215680294514591</v>
      </c>
      <c r="K36" s="148">
        <f t="shared" ref="K36:N36" si="16">K37*K41</f>
        <v>22.555944612749567</v>
      </c>
      <c r="L36" s="148">
        <f t="shared" si="16"/>
        <v>20.89469900634775</v>
      </c>
      <c r="M36" s="148">
        <f t="shared" si="16"/>
        <v>19.192063216585165</v>
      </c>
      <c r="N36" s="148">
        <f t="shared" si="16"/>
        <v>17.404048562559606</v>
      </c>
      <c r="O36" s="53"/>
    </row>
    <row r="37" spans="1:15" s="15" customFormat="1" ht="14.4" hidden="1" outlineLevel="1" x14ac:dyDescent="0.3">
      <c r="B37" s="75" t="s">
        <v>238</v>
      </c>
      <c r="C37" s="54"/>
      <c r="D37" s="54"/>
      <c r="E37" s="54"/>
      <c r="F37" s="54"/>
      <c r="G37" s="207">
        <f>G36/G39</f>
        <v>4.1436852549178921E-2</v>
      </c>
      <c r="H37" s="207">
        <f t="shared" ref="H37:I37" si="17">H36/H39</f>
        <v>9.0433861754701236E-2</v>
      </c>
      <c r="I37" s="207">
        <f t="shared" si="17"/>
        <v>6.8802475359396459E-2</v>
      </c>
      <c r="J37" s="207">
        <f>AVERAGE(G37:I37)</f>
        <v>6.6891063221092201E-2</v>
      </c>
      <c r="K37" s="207">
        <f>J37+($N$37-$J$37)/4</f>
        <v>6.0418297415819153E-2</v>
      </c>
      <c r="L37" s="207">
        <f t="shared" ref="L37:M37" si="18">K37+($N$37-$J$37)/4</f>
        <v>5.3945531610546105E-2</v>
      </c>
      <c r="M37" s="207">
        <f t="shared" si="18"/>
        <v>4.7472765805273057E-2</v>
      </c>
      <c r="N37" s="208">
        <v>4.1000000000000002E-2</v>
      </c>
      <c r="O37" s="135"/>
    </row>
    <row r="38" spans="1:15" hidden="1" outlineLevel="1" x14ac:dyDescent="0.25">
      <c r="B38" s="75"/>
      <c r="C38" s="54"/>
      <c r="D38" s="54"/>
      <c r="E38" s="54"/>
      <c r="F38" s="54"/>
      <c r="G38" s="84"/>
      <c r="H38" s="84"/>
      <c r="I38" s="84"/>
      <c r="J38" s="84"/>
      <c r="K38" s="84"/>
      <c r="L38" s="84"/>
      <c r="M38" s="84"/>
      <c r="N38" s="84"/>
      <c r="O38" s="53"/>
    </row>
    <row r="39" spans="1:15" hidden="1" outlineLevel="1" x14ac:dyDescent="0.25">
      <c r="B39" s="75" t="s">
        <v>233</v>
      </c>
      <c r="C39" s="54"/>
      <c r="D39" s="54"/>
      <c r="E39" s="54"/>
      <c r="F39" s="54"/>
      <c r="G39" s="197">
        <v>256.00400000000002</v>
      </c>
      <c r="H39" s="148">
        <f>G41</f>
        <v>311.62</v>
      </c>
      <c r="I39" s="148">
        <f t="shared" ref="I39:N39" si="19">H41</f>
        <v>345.16199999999998</v>
      </c>
      <c r="J39" s="148">
        <f t="shared" si="19"/>
        <v>353.18700000000001</v>
      </c>
      <c r="K39" s="148">
        <f t="shared" si="19"/>
        <v>362.01667500000002</v>
      </c>
      <c r="L39" s="148">
        <f t="shared" si="19"/>
        <v>373.32969609375004</v>
      </c>
      <c r="M39" s="148">
        <f t="shared" si="19"/>
        <v>387.32955969726567</v>
      </c>
      <c r="N39" s="148">
        <f t="shared" si="19"/>
        <v>404.27522793402102</v>
      </c>
      <c r="O39" s="53"/>
    </row>
    <row r="40" spans="1:15" hidden="1" outlineLevel="1" x14ac:dyDescent="0.25">
      <c r="B40" s="114" t="s">
        <v>234</v>
      </c>
      <c r="C40" s="54"/>
      <c r="D40" s="54"/>
      <c r="E40" s="54"/>
      <c r="F40" s="54"/>
      <c r="G40" s="148"/>
      <c r="H40" s="148"/>
      <c r="I40" s="148"/>
      <c r="J40" s="148">
        <f>J33</f>
        <v>8.8296749999999999</v>
      </c>
      <c r="K40" s="148">
        <f t="shared" ref="K40:N40" si="20">K33</f>
        <v>11.313021093750001</v>
      </c>
      <c r="L40" s="148">
        <f t="shared" si="20"/>
        <v>13.999863603515626</v>
      </c>
      <c r="M40" s="148">
        <f t="shared" si="20"/>
        <v>16.94566823675537</v>
      </c>
      <c r="N40" s="148">
        <f t="shared" si="20"/>
        <v>20.213761396701052</v>
      </c>
      <c r="O40" s="53"/>
    </row>
    <row r="41" spans="1:15" hidden="1" outlineLevel="1" x14ac:dyDescent="0.25">
      <c r="B41" s="76" t="s">
        <v>235</v>
      </c>
      <c r="C41" s="54"/>
      <c r="D41" s="54"/>
      <c r="E41" s="54"/>
      <c r="F41" s="54"/>
      <c r="G41" s="209">
        <v>311.62</v>
      </c>
      <c r="H41" s="209">
        <v>345.16199999999998</v>
      </c>
      <c r="I41" s="209">
        <v>353.18700000000001</v>
      </c>
      <c r="J41" s="210">
        <f>SUM(J39:J40)</f>
        <v>362.01667500000002</v>
      </c>
      <c r="K41" s="210">
        <f t="shared" ref="K41:N41" si="21">SUM(K39:K40)</f>
        <v>373.32969609375004</v>
      </c>
      <c r="L41" s="210">
        <f t="shared" si="21"/>
        <v>387.32955969726567</v>
      </c>
      <c r="M41" s="210">
        <f t="shared" si="21"/>
        <v>404.27522793402102</v>
      </c>
      <c r="N41" s="210">
        <f t="shared" si="21"/>
        <v>424.48898933072206</v>
      </c>
      <c r="O41" s="53"/>
    </row>
    <row r="42" spans="1:15" s="15" customFormat="1" hidden="1" outlineLevel="1" x14ac:dyDescent="0.25">
      <c r="B42" s="114" t="s">
        <v>236</v>
      </c>
      <c r="C42" s="54"/>
      <c r="D42" s="54"/>
      <c r="E42" s="54"/>
      <c r="F42" s="54"/>
      <c r="G42" s="148"/>
      <c r="H42" s="148"/>
      <c r="I42" s="197">
        <v>-292.54399999999998</v>
      </c>
      <c r="J42" s="148">
        <f>I42-J36</f>
        <v>-316.75968029451457</v>
      </c>
      <c r="K42" s="148">
        <f t="shared" ref="K42:N42" si="22">J42-K36</f>
        <v>-339.31562490726412</v>
      </c>
      <c r="L42" s="148">
        <f t="shared" si="22"/>
        <v>-360.21032391361189</v>
      </c>
      <c r="M42" s="148">
        <f t="shared" si="22"/>
        <v>-379.40238713019704</v>
      </c>
      <c r="N42" s="148">
        <f t="shared" si="22"/>
        <v>-396.80643569275662</v>
      </c>
      <c r="O42" s="135"/>
    </row>
    <row r="43" spans="1:15" hidden="1" outlineLevel="1" x14ac:dyDescent="0.25">
      <c r="B43" s="135" t="s">
        <v>237</v>
      </c>
      <c r="G43" s="120"/>
      <c r="H43" s="120"/>
      <c r="I43" s="120"/>
      <c r="J43" s="125">
        <f>SUM(J41:J42)</f>
        <v>45.256994705485454</v>
      </c>
      <c r="K43" s="125">
        <f t="shared" ref="K43:N43" si="23">SUM(K41:K42)</f>
        <v>34.014071186485921</v>
      </c>
      <c r="L43" s="125">
        <f t="shared" si="23"/>
        <v>27.119235783653778</v>
      </c>
      <c r="M43" s="125">
        <f t="shared" si="23"/>
        <v>24.872840803823976</v>
      </c>
      <c r="N43" s="125">
        <f t="shared" si="23"/>
        <v>27.682553637965441</v>
      </c>
      <c r="O43" s="53"/>
    </row>
    <row r="44" spans="1:15" collapsed="1" x14ac:dyDescent="0.25">
      <c r="B44" s="53"/>
      <c r="G44" s="2"/>
      <c r="H44" s="2"/>
      <c r="I44" s="2"/>
      <c r="J44" s="2"/>
      <c r="K44" s="2"/>
      <c r="L44" s="2"/>
      <c r="M44" s="2"/>
      <c r="N44" s="2"/>
      <c r="O44" s="53"/>
    </row>
    <row r="45" spans="1:15" x14ac:dyDescent="0.25">
      <c r="A45" s="1" t="s">
        <v>27</v>
      </c>
      <c r="B45" s="72" t="s">
        <v>38</v>
      </c>
      <c r="C45" s="73"/>
      <c r="D45" s="73"/>
      <c r="E45" s="73"/>
      <c r="F45" s="73"/>
      <c r="G45" s="91">
        <v>44926</v>
      </c>
      <c r="H45" s="91">
        <v>45291</v>
      </c>
      <c r="I45" s="91">
        <v>45657</v>
      </c>
      <c r="J45" s="92">
        <v>46022</v>
      </c>
      <c r="K45" s="92">
        <v>46387</v>
      </c>
      <c r="L45" s="92">
        <v>46752</v>
      </c>
      <c r="M45" s="92">
        <v>47118</v>
      </c>
      <c r="N45" s="93">
        <v>47483</v>
      </c>
      <c r="O45" s="53"/>
    </row>
    <row r="46" spans="1:15" hidden="1" outlineLevel="1" x14ac:dyDescent="0.25">
      <c r="B46" s="53"/>
      <c r="G46" s="2"/>
      <c r="H46" s="2"/>
      <c r="I46" s="2"/>
      <c r="J46" s="2"/>
      <c r="K46" s="2"/>
      <c r="L46" s="2"/>
      <c r="M46" s="2"/>
      <c r="N46" s="2"/>
      <c r="O46" s="53"/>
    </row>
    <row r="47" spans="1:15" hidden="1" outlineLevel="1" x14ac:dyDescent="0.25">
      <c r="B47" s="133" t="s">
        <v>239</v>
      </c>
      <c r="G47" s="2"/>
      <c r="H47" s="2"/>
      <c r="I47" s="2"/>
      <c r="J47" s="2"/>
      <c r="K47" s="2"/>
      <c r="L47" s="2"/>
      <c r="M47" s="2"/>
      <c r="N47" s="2"/>
      <c r="O47" s="53"/>
    </row>
    <row r="48" spans="1:15" hidden="1" outlineLevel="1" x14ac:dyDescent="0.25">
      <c r="B48" s="133"/>
      <c r="G48" s="2"/>
      <c r="H48" s="2"/>
      <c r="I48" s="2"/>
      <c r="J48" s="2"/>
      <c r="K48" s="2"/>
      <c r="L48" s="2"/>
      <c r="M48" s="2"/>
      <c r="N48" s="2"/>
      <c r="O48" s="53"/>
    </row>
    <row r="49" spans="1:15" hidden="1" outlineLevel="1" x14ac:dyDescent="0.25">
      <c r="B49" s="75" t="s">
        <v>175</v>
      </c>
      <c r="G49" s="194">
        <f>Statements!F59</f>
        <v>654.63900000000001</v>
      </c>
      <c r="H49" s="194">
        <f>Statements!G59</f>
        <v>645.18399999999997</v>
      </c>
      <c r="I49" s="194">
        <f>Statements!H59</f>
        <v>640.505</v>
      </c>
      <c r="J49" s="148">
        <f ca="1">J66*Statements!I$19/days</f>
        <v>631.045042658439</v>
      </c>
      <c r="K49" s="148">
        <f ca="1">K66*Statements!J$19/days</f>
        <v>810.23397879532172</v>
      </c>
      <c r="L49" s="148">
        <f ca="1">L66*Statements!K$19/days</f>
        <v>837.33743735400037</v>
      </c>
      <c r="M49" s="148">
        <f ca="1">M66*Statements!L$19/days</f>
        <v>864.86604820379557</v>
      </c>
      <c r="N49" s="148">
        <f ca="1">N66*Statements!M$19/days</f>
        <v>892.81981134470709</v>
      </c>
      <c r="O49" s="53"/>
    </row>
    <row r="50" spans="1:15" hidden="1" outlineLevel="1" x14ac:dyDescent="0.25">
      <c r="B50" s="75" t="s">
        <v>169</v>
      </c>
      <c r="G50" s="194">
        <f>Statements!F60</f>
        <v>193.762</v>
      </c>
      <c r="H50" s="194">
        <f>Statements!G60</f>
        <v>181.54900000000001</v>
      </c>
      <c r="I50" s="194">
        <f>Statements!H60</f>
        <v>209.93700000000001</v>
      </c>
      <c r="J50" s="148">
        <f ca="1">J67*Statements!I$19/days</f>
        <v>206.83632933479788</v>
      </c>
      <c r="K50" s="148">
        <f ca="1">K67*Statements!J$19/days</f>
        <v>265.56871656950915</v>
      </c>
      <c r="L50" s="148">
        <f ca="1">L67*Statements!K$19/days</f>
        <v>274.45236116156275</v>
      </c>
      <c r="M50" s="148">
        <f ca="1">M67*Statements!L$19/days</f>
        <v>283.47535704133492</v>
      </c>
      <c r="N50" s="148">
        <f ca="1">N67*Statements!M$19/days</f>
        <v>292.63770420882554</v>
      </c>
      <c r="O50" s="53"/>
    </row>
    <row r="51" spans="1:15" hidden="1" outlineLevel="1" x14ac:dyDescent="0.25">
      <c r="B51" s="75" t="s">
        <v>176</v>
      </c>
      <c r="G51" s="194">
        <f>Statements!F61</f>
        <v>890.33900000000006</v>
      </c>
      <c r="H51" s="194">
        <f>Statements!G61</f>
        <v>796.68200000000002</v>
      </c>
      <c r="I51" s="194">
        <f>Statements!H61</f>
        <v>858.76800000000003</v>
      </c>
      <c r="J51" s="148">
        <f ca="1">J68*Statements!I$19/days</f>
        <v>846.08440089258067</v>
      </c>
      <c r="K51" s="148">
        <f ca="1">K68*Statements!J$19/days</f>
        <v>1086.3350223684449</v>
      </c>
      <c r="L51" s="148">
        <f ca="1">L68*Statements!K$19/days</f>
        <v>1122.674446572033</v>
      </c>
      <c r="M51" s="148">
        <f ca="1">M68*Statements!L$19/days</f>
        <v>1159.5839009592071</v>
      </c>
      <c r="N51" s="148">
        <f ca="1">N68*Statements!M$19/days</f>
        <v>1197.063385529967</v>
      </c>
      <c r="O51" s="53"/>
    </row>
    <row r="52" spans="1:15" hidden="1" outlineLevel="1" x14ac:dyDescent="0.25">
      <c r="B52" s="75" t="s">
        <v>178</v>
      </c>
      <c r="F52" s="54"/>
      <c r="G52" s="194">
        <f>Statements!F64</f>
        <v>47.058999999999997</v>
      </c>
      <c r="H52" s="194">
        <f>Statements!G64</f>
        <v>20.344999999999999</v>
      </c>
      <c r="I52" s="194">
        <f>Statements!H64</f>
        <v>23.917000000000002</v>
      </c>
      <c r="J52" s="148">
        <f ca="1">J69*Statements!I$19/days</f>
        <v>23.56375716858086</v>
      </c>
      <c r="K52" s="148">
        <f ca="1">K69*Statements!J$19/days</f>
        <v>30.254824038606579</v>
      </c>
      <c r="L52" s="148">
        <f ca="1">L69*Statements!K$19/days</f>
        <v>31.266890171342332</v>
      </c>
      <c r="M52" s="148">
        <f ca="1">M69*Statements!L$19/days</f>
        <v>32.294831851258259</v>
      </c>
      <c r="N52" s="148">
        <f ca="1">N69*Statements!M$19/days</f>
        <v>33.338649078354358</v>
      </c>
      <c r="O52" s="75"/>
    </row>
    <row r="53" spans="1:15" s="54" customFormat="1" hidden="1" outlineLevel="1" x14ac:dyDescent="0.25">
      <c r="A53" s="1"/>
      <c r="B53" s="75"/>
      <c r="G53" s="84"/>
      <c r="H53" s="84"/>
      <c r="I53" s="84"/>
      <c r="J53" s="84"/>
      <c r="K53" s="84"/>
      <c r="L53" s="84"/>
      <c r="M53" s="84"/>
      <c r="N53" s="84"/>
      <c r="O53" s="75"/>
    </row>
    <row r="54" spans="1:15" s="54" customFormat="1" hidden="1" outlineLevel="1" x14ac:dyDescent="0.25">
      <c r="A54" s="1"/>
      <c r="B54" s="138" t="s">
        <v>240</v>
      </c>
      <c r="G54" s="84"/>
      <c r="H54" s="84"/>
      <c r="I54" s="84"/>
      <c r="J54" s="84"/>
      <c r="K54" s="84"/>
      <c r="L54" s="84"/>
      <c r="M54" s="84"/>
      <c r="N54" s="84"/>
      <c r="O54" s="75"/>
    </row>
    <row r="55" spans="1:15" s="54" customFormat="1" hidden="1" outlineLevel="1" x14ac:dyDescent="0.25">
      <c r="A55" s="1"/>
      <c r="B55" s="75"/>
      <c r="G55" s="84"/>
      <c r="H55" s="84"/>
      <c r="I55" s="84"/>
      <c r="J55" s="84"/>
      <c r="K55" s="84"/>
      <c r="L55" s="84"/>
      <c r="M55" s="84"/>
      <c r="N55" s="84"/>
      <c r="O55" s="75"/>
    </row>
    <row r="56" spans="1:15" s="54" customFormat="1" hidden="1" outlineLevel="1" x14ac:dyDescent="0.25">
      <c r="A56" s="1"/>
      <c r="B56" s="75" t="s">
        <v>191</v>
      </c>
      <c r="G56" s="194">
        <f>Statements!F79</f>
        <v>369.76100000000002</v>
      </c>
      <c r="H56" s="194">
        <f>Statements!G79</f>
        <v>308.33300000000003</v>
      </c>
      <c r="I56" s="194">
        <f>Statements!H79</f>
        <v>356.66</v>
      </c>
      <c r="J56" s="148">
        <f ca="1">J70*-Statements!I$20/days</f>
        <v>332.64706142361416</v>
      </c>
      <c r="K56" s="148">
        <f ca="1">K70*-Statements!J$20/days</f>
        <v>448.55922954607405</v>
      </c>
      <c r="L56" s="148">
        <f ca="1">L70*-Statements!K$20/days</f>
        <v>447.20650624843245</v>
      </c>
      <c r="M56" s="148">
        <f ca="1">M70*-Statements!L$20/days</f>
        <v>455.10840165593379</v>
      </c>
      <c r="N56" s="148">
        <f ca="1">N70*-Statements!M$20/days</f>
        <v>469.57761271700281</v>
      </c>
      <c r="O56" s="75"/>
    </row>
    <row r="57" spans="1:15" s="54" customFormat="1" hidden="1" outlineLevel="1" x14ac:dyDescent="0.25">
      <c r="A57" s="1"/>
      <c r="B57" s="75" t="s">
        <v>188</v>
      </c>
      <c r="G57" s="194">
        <f>Statements!F80</f>
        <v>613.62099999999998</v>
      </c>
      <c r="H57" s="194">
        <f>Statements!G80</f>
        <v>532.64499999999998</v>
      </c>
      <c r="I57" s="194">
        <f>Statements!H80</f>
        <v>520.26</v>
      </c>
      <c r="J57" s="148">
        <f ca="1">J71*-Statements!I$20/days</f>
        <v>485.23232259364522</v>
      </c>
      <c r="K57" s="148">
        <f ca="1">K71*-Statements!J$20/days</f>
        <v>654.31342108349816</v>
      </c>
      <c r="L57" s="148">
        <f ca="1">L71*-Statements!K$20/days</f>
        <v>652.3402033892487</v>
      </c>
      <c r="M57" s="148">
        <f ca="1">M71*-Statements!L$20/days</f>
        <v>663.86669950517603</v>
      </c>
      <c r="N57" s="148">
        <f ca="1">N71*-Statements!M$20/days</f>
        <v>684.9729400329386</v>
      </c>
      <c r="O57" s="75"/>
    </row>
    <row r="58" spans="1:15" s="54" customFormat="1" hidden="1" outlineLevel="1" x14ac:dyDescent="0.25">
      <c r="A58" s="1"/>
      <c r="B58" s="75"/>
      <c r="G58" s="84"/>
      <c r="H58" s="84"/>
      <c r="I58" s="84"/>
      <c r="J58" s="84"/>
      <c r="K58" s="84"/>
      <c r="L58" s="84"/>
      <c r="M58" s="84"/>
      <c r="N58" s="84"/>
      <c r="O58" s="75"/>
    </row>
    <row r="59" spans="1:15" s="54" customFormat="1" hidden="1" outlineLevel="1" x14ac:dyDescent="0.25">
      <c r="A59" s="1"/>
      <c r="B59" s="75" t="s">
        <v>239</v>
      </c>
      <c r="G59" s="148">
        <f>SUM(G49:G52)</f>
        <v>1785.7990000000002</v>
      </c>
      <c r="H59" s="148">
        <f t="shared" ref="H59:N59" si="24">SUM(H49:H52)</f>
        <v>1643.76</v>
      </c>
      <c r="I59" s="148">
        <f t="shared" si="24"/>
        <v>1733.127</v>
      </c>
      <c r="J59" s="148">
        <f t="shared" ca="1" si="24"/>
        <v>1707.5295300543983</v>
      </c>
      <c r="K59" s="148">
        <f t="shared" ca="1" si="24"/>
        <v>2192.3925417718829</v>
      </c>
      <c r="L59" s="148">
        <f t="shared" ca="1" si="24"/>
        <v>2265.7311352589386</v>
      </c>
      <c r="M59" s="148">
        <f t="shared" ca="1" si="24"/>
        <v>2340.2201380555957</v>
      </c>
      <c r="N59" s="148">
        <f t="shared" ca="1" si="24"/>
        <v>2415.8595501618538</v>
      </c>
      <c r="O59" s="75"/>
    </row>
    <row r="60" spans="1:15" s="54" customFormat="1" hidden="1" outlineLevel="1" x14ac:dyDescent="0.25">
      <c r="A60" s="1"/>
      <c r="B60" s="75" t="s">
        <v>240</v>
      </c>
      <c r="G60" s="148">
        <f>SUM(G56:G57)</f>
        <v>983.38200000000006</v>
      </c>
      <c r="H60" s="148">
        <f t="shared" ref="H60:N60" si="25">SUM(H56:H57)</f>
        <v>840.97800000000007</v>
      </c>
      <c r="I60" s="148">
        <f t="shared" si="25"/>
        <v>876.92000000000007</v>
      </c>
      <c r="J60" s="148">
        <f t="shared" ca="1" si="25"/>
        <v>817.87938401725933</v>
      </c>
      <c r="K60" s="148">
        <f t="shared" ca="1" si="25"/>
        <v>1102.8726506295723</v>
      </c>
      <c r="L60" s="148">
        <f t="shared" ca="1" si="25"/>
        <v>1099.546709637681</v>
      </c>
      <c r="M60" s="148">
        <f t="shared" ca="1" si="25"/>
        <v>1118.9751011611097</v>
      </c>
      <c r="N60" s="148">
        <f t="shared" ca="1" si="25"/>
        <v>1154.5505527499413</v>
      </c>
      <c r="O60" s="75"/>
    </row>
    <row r="61" spans="1:15" s="54" customFormat="1" hidden="1" outlineLevel="1" x14ac:dyDescent="0.25">
      <c r="A61" s="1"/>
      <c r="B61" s="76" t="s">
        <v>271</v>
      </c>
      <c r="G61" s="211">
        <f>G59-G60</f>
        <v>802.41700000000014</v>
      </c>
      <c r="H61" s="211">
        <f t="shared" ref="H61:N61" si="26">H59-H60</f>
        <v>802.78199999999993</v>
      </c>
      <c r="I61" s="211">
        <f t="shared" si="26"/>
        <v>856.20699999999988</v>
      </c>
      <c r="J61" s="211">
        <f t="shared" ca="1" si="26"/>
        <v>889.65014603713894</v>
      </c>
      <c r="K61" s="211">
        <f t="shared" ca="1" si="26"/>
        <v>1089.5198911423106</v>
      </c>
      <c r="L61" s="211">
        <f t="shared" ca="1" si="26"/>
        <v>1166.1844256212576</v>
      </c>
      <c r="M61" s="211">
        <f t="shared" ca="1" si="26"/>
        <v>1221.245036894486</v>
      </c>
      <c r="N61" s="211">
        <f t="shared" ca="1" si="26"/>
        <v>1261.3089974119125</v>
      </c>
      <c r="O61" s="75"/>
    </row>
    <row r="62" spans="1:15" s="54" customFormat="1" hidden="1" outlineLevel="1" x14ac:dyDescent="0.25">
      <c r="A62" s="1"/>
      <c r="B62" s="75" t="s">
        <v>270</v>
      </c>
      <c r="G62" s="148"/>
      <c r="H62" s="148"/>
      <c r="I62" s="148">
        <f>I61-H61</f>
        <v>53.424999999999955</v>
      </c>
      <c r="J62" s="148">
        <f ca="1">J61-I61</f>
        <v>33.443146037139059</v>
      </c>
      <c r="K62" s="148">
        <f t="shared" ref="K62:N62" ca="1" si="27">K61-J61</f>
        <v>199.86974510517166</v>
      </c>
      <c r="L62" s="148">
        <f t="shared" ca="1" si="27"/>
        <v>76.664534478946962</v>
      </c>
      <c r="M62" s="148">
        <f t="shared" ca="1" si="27"/>
        <v>55.06061127322846</v>
      </c>
      <c r="N62" s="148">
        <f t="shared" ca="1" si="27"/>
        <v>40.063960517426494</v>
      </c>
      <c r="O62" s="75"/>
    </row>
    <row r="63" spans="1:15" s="54" customFormat="1" hidden="1" outlineLevel="1" x14ac:dyDescent="0.25">
      <c r="A63" s="1"/>
      <c r="B63" s="75"/>
      <c r="G63" s="84"/>
      <c r="H63" s="84"/>
      <c r="I63" s="84"/>
      <c r="J63" s="84"/>
      <c r="K63" s="84"/>
      <c r="L63" s="84"/>
      <c r="M63" s="84"/>
      <c r="N63" s="84"/>
      <c r="O63" s="75"/>
    </row>
    <row r="64" spans="1:15" s="54" customFormat="1" hidden="1" outlineLevel="1" x14ac:dyDescent="0.25">
      <c r="A64" s="1"/>
      <c r="B64" s="138" t="s">
        <v>241</v>
      </c>
      <c r="G64" s="84"/>
      <c r="H64" s="84"/>
      <c r="I64" s="84"/>
      <c r="J64" s="84"/>
      <c r="K64" s="84"/>
      <c r="L64" s="84"/>
      <c r="M64" s="84"/>
      <c r="N64" s="84"/>
      <c r="O64" s="75"/>
    </row>
    <row r="65" spans="1:15" s="54" customFormat="1" hidden="1" outlineLevel="1" x14ac:dyDescent="0.25">
      <c r="A65" s="1"/>
      <c r="B65" s="75"/>
      <c r="G65" s="84"/>
      <c r="H65" s="84"/>
      <c r="I65" s="84"/>
      <c r="J65" s="84"/>
      <c r="K65" s="84"/>
      <c r="L65" s="84"/>
      <c r="M65" s="84"/>
      <c r="N65" s="84"/>
      <c r="O65" s="75"/>
    </row>
    <row r="66" spans="1:15" s="54" customFormat="1" hidden="1" outlineLevel="1" x14ac:dyDescent="0.25">
      <c r="A66" s="1"/>
      <c r="B66" s="75" t="s">
        <v>175</v>
      </c>
      <c r="G66" s="213">
        <f>G49*days/Statements!F$19</f>
        <v>59.778385905361098</v>
      </c>
      <c r="H66" s="213">
        <f>H49*days/Statements!G$19</f>
        <v>40.662775227516228</v>
      </c>
      <c r="I66" s="213">
        <f>I49*days/Statements!H$19</f>
        <v>38.79514656438311</v>
      </c>
      <c r="J66" s="214">
        <f>I66</f>
        <v>38.79514656438311</v>
      </c>
      <c r="K66" s="214">
        <f t="shared" ref="K66:N66" si="28">J66</f>
        <v>38.79514656438311</v>
      </c>
      <c r="L66" s="214">
        <f t="shared" si="28"/>
        <v>38.79514656438311</v>
      </c>
      <c r="M66" s="214">
        <f t="shared" si="28"/>
        <v>38.79514656438311</v>
      </c>
      <c r="N66" s="214">
        <f t="shared" si="28"/>
        <v>38.79514656438311</v>
      </c>
      <c r="O66" s="75"/>
    </row>
    <row r="67" spans="1:15" s="54" customFormat="1" hidden="1" outlineLevel="1" x14ac:dyDescent="0.25">
      <c r="A67" s="1"/>
      <c r="B67" s="75" t="s">
        <v>169</v>
      </c>
      <c r="G67" s="213">
        <f>G50*days/Statements!F$19</f>
        <v>17.693384613190748</v>
      </c>
      <c r="H67" s="213">
        <f>H50*days/Statements!G$19</f>
        <v>11.442140815302837</v>
      </c>
      <c r="I67" s="213">
        <f>I50*days/Statements!H$19</f>
        <v>12.715805004312061</v>
      </c>
      <c r="J67" s="214">
        <f t="shared" ref="J67:N71" si="29">I67</f>
        <v>12.715805004312061</v>
      </c>
      <c r="K67" s="214">
        <f t="shared" si="29"/>
        <v>12.715805004312061</v>
      </c>
      <c r="L67" s="214">
        <f t="shared" si="29"/>
        <v>12.715805004312061</v>
      </c>
      <c r="M67" s="214">
        <f t="shared" si="29"/>
        <v>12.715805004312061</v>
      </c>
      <c r="N67" s="214">
        <f t="shared" si="29"/>
        <v>12.715805004312061</v>
      </c>
      <c r="O67" s="75"/>
    </row>
    <row r="68" spans="1:15" s="54" customFormat="1" hidden="1" outlineLevel="1" x14ac:dyDescent="0.25">
      <c r="A68" s="1"/>
      <c r="B68" s="75" t="s">
        <v>176</v>
      </c>
      <c r="G68" s="213">
        <f>G51*days/Statements!F$19</f>
        <v>81.301340629863631</v>
      </c>
      <c r="H68" s="213">
        <f>H51*days/Statements!G$19</f>
        <v>50.210949269988227</v>
      </c>
      <c r="I68" s="213">
        <f>I51*days/Statements!H$19</f>
        <v>52.015254252194993</v>
      </c>
      <c r="J68" s="214">
        <f t="shared" si="29"/>
        <v>52.015254252194993</v>
      </c>
      <c r="K68" s="214">
        <f t="shared" si="29"/>
        <v>52.015254252194993</v>
      </c>
      <c r="L68" s="214">
        <f t="shared" si="29"/>
        <v>52.015254252194993</v>
      </c>
      <c r="M68" s="214">
        <f t="shared" si="29"/>
        <v>52.015254252194993</v>
      </c>
      <c r="N68" s="214">
        <f t="shared" si="29"/>
        <v>52.015254252194993</v>
      </c>
      <c r="O68" s="75"/>
    </row>
    <row r="69" spans="1:15" s="54" customFormat="1" hidden="1" outlineLevel="1" x14ac:dyDescent="0.25">
      <c r="A69" s="1"/>
      <c r="B69" s="75" t="s">
        <v>178</v>
      </c>
      <c r="G69" s="213">
        <f>G52*days/Statements!F$19</f>
        <v>4.2971944267304387</v>
      </c>
      <c r="H69" s="213">
        <f>H52*days/Statements!G$19</f>
        <v>1.2822453160707916</v>
      </c>
      <c r="I69" s="213">
        <f>I52*days/Statements!H$19</f>
        <v>1.4486436801903977</v>
      </c>
      <c r="J69" s="214">
        <f t="shared" si="29"/>
        <v>1.4486436801903977</v>
      </c>
      <c r="K69" s="214">
        <f t="shared" si="29"/>
        <v>1.4486436801903977</v>
      </c>
      <c r="L69" s="214">
        <f t="shared" si="29"/>
        <v>1.4486436801903977</v>
      </c>
      <c r="M69" s="214">
        <f t="shared" si="29"/>
        <v>1.4486436801903977</v>
      </c>
      <c r="N69" s="214">
        <f t="shared" si="29"/>
        <v>1.4486436801903977</v>
      </c>
      <c r="O69" s="75"/>
    </row>
    <row r="70" spans="1:15" s="54" customFormat="1" hidden="1" outlineLevel="1" x14ac:dyDescent="0.25">
      <c r="A70" s="1"/>
      <c r="B70" s="75" t="s">
        <v>191</v>
      </c>
      <c r="G70" s="213">
        <f>G56*days/-Statements!F$20</f>
        <v>63.905517325303961</v>
      </c>
      <c r="H70" s="213">
        <f>H56*days/-Statements!G$20</f>
        <v>36.295762542410053</v>
      </c>
      <c r="I70" s="213">
        <f>I56*days/-Statements!H$20</f>
        <v>43.81071130495652</v>
      </c>
      <c r="J70" s="214">
        <f t="shared" si="29"/>
        <v>43.81071130495652</v>
      </c>
      <c r="K70" s="214">
        <f t="shared" si="29"/>
        <v>43.81071130495652</v>
      </c>
      <c r="L70" s="214">
        <f t="shared" si="29"/>
        <v>43.81071130495652</v>
      </c>
      <c r="M70" s="214">
        <f t="shared" si="29"/>
        <v>43.81071130495652</v>
      </c>
      <c r="N70" s="214">
        <f t="shared" si="29"/>
        <v>43.81071130495652</v>
      </c>
      <c r="O70" s="75"/>
    </row>
    <row r="71" spans="1:15" s="54" customFormat="1" hidden="1" outlineLevel="1" x14ac:dyDescent="0.25">
      <c r="A71" s="1"/>
      <c r="B71" s="75" t="s">
        <v>188</v>
      </c>
      <c r="G71" s="213">
        <f>G57*days/-Statements!F$20</f>
        <v>106.05165890039872</v>
      </c>
      <c r="H71" s="213">
        <f>H57*days/-Statements!G$20</f>
        <v>62.700899480114032</v>
      </c>
      <c r="I71" s="213">
        <f>I57*days/-Statements!H$20</f>
        <v>63.906691705031903</v>
      </c>
      <c r="J71" s="214">
        <f t="shared" si="29"/>
        <v>63.906691705031903</v>
      </c>
      <c r="K71" s="214">
        <f t="shared" si="29"/>
        <v>63.906691705031903</v>
      </c>
      <c r="L71" s="214">
        <f t="shared" si="29"/>
        <v>63.906691705031903</v>
      </c>
      <c r="M71" s="214">
        <f t="shared" si="29"/>
        <v>63.906691705031903</v>
      </c>
      <c r="N71" s="214">
        <f t="shared" si="29"/>
        <v>63.906691705031903</v>
      </c>
      <c r="O71" s="75"/>
    </row>
    <row r="72" spans="1:15" s="54" customFormat="1" collapsed="1" x14ac:dyDescent="0.25">
      <c r="A72" s="1"/>
      <c r="B72" s="75"/>
      <c r="G72" s="84"/>
      <c r="H72" s="84"/>
      <c r="I72" s="84"/>
      <c r="J72" s="84"/>
      <c r="K72" s="84"/>
      <c r="L72" s="84"/>
      <c r="M72" s="84"/>
      <c r="N72" s="84"/>
      <c r="O72" s="75"/>
    </row>
    <row r="73" spans="1:15" x14ac:dyDescent="0.25">
      <c r="A73" s="1" t="s">
        <v>27</v>
      </c>
      <c r="B73" s="72" t="s">
        <v>122</v>
      </c>
      <c r="C73" s="73"/>
      <c r="D73" s="73"/>
      <c r="E73" s="73"/>
      <c r="F73" s="73"/>
      <c r="G73" s="91">
        <v>44926</v>
      </c>
      <c r="H73" s="91">
        <v>45291</v>
      </c>
      <c r="I73" s="91">
        <v>45657</v>
      </c>
      <c r="J73" s="92">
        <v>46022</v>
      </c>
      <c r="K73" s="92">
        <v>46387</v>
      </c>
      <c r="L73" s="92">
        <v>46752</v>
      </c>
      <c r="M73" s="92">
        <v>47118</v>
      </c>
      <c r="N73" s="93">
        <v>47483</v>
      </c>
      <c r="O73" s="53"/>
    </row>
    <row r="74" spans="1:15" hidden="1" outlineLevel="1" x14ac:dyDescent="0.25">
      <c r="B74" s="136"/>
      <c r="G74" s="215"/>
      <c r="H74" s="215"/>
      <c r="I74" s="215"/>
      <c r="J74" s="215"/>
      <c r="K74" s="215"/>
      <c r="L74" s="215"/>
      <c r="M74" s="215"/>
      <c r="N74" s="215"/>
      <c r="O74" s="53"/>
    </row>
    <row r="75" spans="1:15" hidden="1" outlineLevel="1" x14ac:dyDescent="0.25">
      <c r="B75" s="133" t="s">
        <v>186</v>
      </c>
      <c r="G75" s="2"/>
      <c r="H75" s="2"/>
      <c r="I75" s="2"/>
      <c r="J75" s="2"/>
      <c r="K75" s="2"/>
      <c r="L75" s="2"/>
      <c r="M75" s="2"/>
      <c r="N75" s="2"/>
      <c r="O75" s="53"/>
    </row>
    <row r="76" spans="1:15" hidden="1" outlineLevel="1" x14ac:dyDescent="0.25">
      <c r="B76" s="136"/>
      <c r="G76" s="215"/>
      <c r="H76" s="215"/>
      <c r="I76" s="215"/>
      <c r="J76" s="215"/>
      <c r="K76" s="215"/>
      <c r="L76" s="215"/>
      <c r="M76" s="215"/>
      <c r="N76" s="215"/>
      <c r="O76" s="53"/>
    </row>
    <row r="77" spans="1:15" hidden="1" outlineLevel="1" x14ac:dyDescent="0.25">
      <c r="B77" s="136" t="s">
        <v>260</v>
      </c>
      <c r="G77" s="216"/>
      <c r="H77" s="216"/>
      <c r="I77" s="216"/>
      <c r="J77" s="120">
        <f>Statements!H73</f>
        <v>2944.1</v>
      </c>
      <c r="K77" s="120">
        <f>J80</f>
        <v>2444.1</v>
      </c>
      <c r="L77" s="120">
        <f t="shared" ref="L77:N77" si="30">K80</f>
        <v>2194.1</v>
      </c>
      <c r="M77" s="120">
        <f t="shared" si="30"/>
        <v>1394.1</v>
      </c>
      <c r="N77" s="120">
        <f t="shared" si="30"/>
        <v>2394.1</v>
      </c>
      <c r="O77" s="53"/>
    </row>
    <row r="78" spans="1:15" hidden="1" outlineLevel="1" x14ac:dyDescent="0.25">
      <c r="B78" s="141" t="s">
        <v>261</v>
      </c>
      <c r="G78" s="216"/>
      <c r="H78" s="216"/>
      <c r="I78" s="216"/>
      <c r="J78" s="217">
        <v>0</v>
      </c>
      <c r="K78" s="217">
        <v>500</v>
      </c>
      <c r="L78" s="217">
        <v>0</v>
      </c>
      <c r="M78" s="217">
        <v>1500</v>
      </c>
      <c r="N78" s="217">
        <v>0</v>
      </c>
      <c r="O78" s="53"/>
    </row>
    <row r="79" spans="1:15" hidden="1" outlineLevel="1" x14ac:dyDescent="0.25">
      <c r="B79" s="141" t="s">
        <v>262</v>
      </c>
      <c r="G79" s="218"/>
      <c r="H79" s="218"/>
      <c r="I79" s="218"/>
      <c r="J79" s="217">
        <v>-500</v>
      </c>
      <c r="K79" s="217">
        <v>-750</v>
      </c>
      <c r="L79" s="217">
        <v>-800</v>
      </c>
      <c r="M79" s="217">
        <v>-500</v>
      </c>
      <c r="N79" s="217">
        <v>-750</v>
      </c>
      <c r="O79" s="53"/>
    </row>
    <row r="80" spans="1:15" s="54" customFormat="1" hidden="1" outlineLevel="1" x14ac:dyDescent="0.25">
      <c r="B80" s="76" t="s">
        <v>263</v>
      </c>
      <c r="G80" s="210"/>
      <c r="H80" s="219">
        <v>3140.7249999999999</v>
      </c>
      <c r="I80" s="219">
        <v>2944.1</v>
      </c>
      <c r="J80" s="210">
        <f>SUM(J77:J79)</f>
        <v>2444.1</v>
      </c>
      <c r="K80" s="210">
        <f t="shared" ref="K80:N80" si="31">SUM(K77:K79)</f>
        <v>2194.1</v>
      </c>
      <c r="L80" s="210">
        <f t="shared" si="31"/>
        <v>1394.1</v>
      </c>
      <c r="M80" s="210">
        <f t="shared" si="31"/>
        <v>2394.1</v>
      </c>
      <c r="N80" s="210">
        <f t="shared" si="31"/>
        <v>1644.1</v>
      </c>
      <c r="O80" s="75"/>
    </row>
    <row r="81" spans="1:15" s="54" customFormat="1" hidden="1" outlineLevel="1" x14ac:dyDescent="0.25">
      <c r="B81" s="75"/>
      <c r="G81" s="84"/>
      <c r="H81" s="84"/>
      <c r="I81" s="84"/>
      <c r="J81" s="84"/>
      <c r="K81" s="84"/>
      <c r="L81" s="84"/>
      <c r="M81" s="84"/>
      <c r="N81" s="84"/>
      <c r="O81" s="75"/>
    </row>
    <row r="82" spans="1:15" s="54" customFormat="1" hidden="1" outlineLevel="1" x14ac:dyDescent="0.25">
      <c r="B82" s="75" t="s">
        <v>133</v>
      </c>
      <c r="G82" s="84"/>
      <c r="H82" s="220">
        <v>206.49799999999999</v>
      </c>
      <c r="I82" s="220">
        <v>190.768</v>
      </c>
      <c r="J82" s="220">
        <v>176</v>
      </c>
      <c r="K82" s="213">
        <f>K83*K80</f>
        <v>148.14224755153319</v>
      </c>
      <c r="L82" s="213">
        <f t="shared" ref="L82:N82" si="32">L83*L80</f>
        <v>94.949974545070475</v>
      </c>
      <c r="M82" s="213">
        <f t="shared" si="32"/>
        <v>165.70128168597873</v>
      </c>
      <c r="N82" s="213">
        <f t="shared" si="32"/>
        <v>112.25873369314805</v>
      </c>
      <c r="O82" s="75"/>
    </row>
    <row r="83" spans="1:15" s="54" customFormat="1" hidden="1" outlineLevel="1" x14ac:dyDescent="0.25">
      <c r="B83" s="75" t="s">
        <v>264</v>
      </c>
      <c r="G83" s="84"/>
      <c r="H83" s="207">
        <f t="shared" ref="H83:I83" si="33">H82/H80</f>
        <v>6.5748513480167789E-2</v>
      </c>
      <c r="I83" s="207">
        <f t="shared" si="33"/>
        <v>6.4796712068204212E-2</v>
      </c>
      <c r="J83" s="207">
        <f>J82/J80</f>
        <v>7.2010146884333701E-2</v>
      </c>
      <c r="K83" s="221">
        <f>AVERAGE(H83:J83)</f>
        <v>6.7518457477568572E-2</v>
      </c>
      <c r="L83" s="221">
        <f t="shared" ref="L83:N83" si="34">AVERAGE(I83:K83)</f>
        <v>6.810843881003549E-2</v>
      </c>
      <c r="M83" s="221">
        <f t="shared" si="34"/>
        <v>6.9212347723979259E-2</v>
      </c>
      <c r="N83" s="221">
        <f t="shared" si="34"/>
        <v>6.8279748003861107E-2</v>
      </c>
      <c r="O83" s="75"/>
    </row>
    <row r="84" spans="1:15" s="54" customFormat="1" hidden="1" outlineLevel="1" x14ac:dyDescent="0.25">
      <c r="B84" s="75"/>
      <c r="G84" s="84"/>
      <c r="H84" s="84"/>
      <c r="I84" s="84"/>
      <c r="J84" s="84"/>
      <c r="K84" s="84"/>
      <c r="L84" s="84"/>
      <c r="M84" s="84"/>
      <c r="N84" s="84"/>
      <c r="O84" s="75"/>
    </row>
    <row r="85" spans="1:15" s="54" customFormat="1" collapsed="1" x14ac:dyDescent="0.25">
      <c r="B85" s="75"/>
      <c r="G85" s="84"/>
      <c r="H85" s="84"/>
      <c r="I85" s="84"/>
      <c r="J85" s="84"/>
      <c r="K85" s="84"/>
      <c r="L85" s="84"/>
      <c r="M85" s="84"/>
      <c r="N85" s="84"/>
      <c r="O85" s="75"/>
    </row>
    <row r="86" spans="1:15" x14ac:dyDescent="0.25">
      <c r="A86" s="1" t="s">
        <v>27</v>
      </c>
      <c r="B86" s="72" t="s">
        <v>123</v>
      </c>
      <c r="C86" s="73"/>
      <c r="D86" s="73"/>
      <c r="E86" s="73"/>
      <c r="F86" s="73"/>
      <c r="G86" s="91">
        <v>44926</v>
      </c>
      <c r="H86" s="91">
        <v>45291</v>
      </c>
      <c r="I86" s="91">
        <v>45657</v>
      </c>
      <c r="J86" s="92">
        <v>46022</v>
      </c>
      <c r="K86" s="92">
        <v>46387</v>
      </c>
      <c r="L86" s="92">
        <v>46752</v>
      </c>
      <c r="M86" s="92">
        <v>47118</v>
      </c>
      <c r="N86" s="93">
        <v>47483</v>
      </c>
      <c r="O86" s="53"/>
    </row>
    <row r="87" spans="1:15" s="54" customFormat="1" hidden="1" outlineLevel="1" x14ac:dyDescent="0.25">
      <c r="B87" s="75"/>
      <c r="G87" s="84"/>
      <c r="H87" s="84"/>
      <c r="I87" s="84"/>
      <c r="J87" s="84"/>
      <c r="K87" s="84"/>
      <c r="L87" s="84"/>
      <c r="M87" s="84"/>
      <c r="N87" s="84"/>
      <c r="O87" s="75"/>
    </row>
    <row r="88" spans="1:15" s="54" customFormat="1" hidden="1" outlineLevel="1" x14ac:dyDescent="0.25">
      <c r="B88" s="75" t="s">
        <v>265</v>
      </c>
      <c r="G88" s="222"/>
      <c r="H88" s="222"/>
      <c r="I88" s="222"/>
      <c r="J88" s="194">
        <f>Statements!H95</f>
        <v>3896.116</v>
      </c>
      <c r="K88" s="148">
        <f ca="1">J91</f>
        <v>4556.65288749912</v>
      </c>
      <c r="L88" s="148">
        <f t="shared" ref="L88:N88" ca="1" si="35">K91</f>
        <v>5144.1748754913124</v>
      </c>
      <c r="M88" s="148">
        <f t="shared" ca="1" si="35"/>
        <v>5876.3911733829318</v>
      </c>
      <c r="N88" s="148">
        <f t="shared" ca="1" si="35"/>
        <v>6659.2169526476146</v>
      </c>
      <c r="O88" s="75"/>
    </row>
    <row r="89" spans="1:15" s="54" customFormat="1" hidden="1" outlineLevel="1" x14ac:dyDescent="0.25">
      <c r="B89" s="75" t="s">
        <v>266</v>
      </c>
      <c r="G89" s="222"/>
      <c r="H89" s="222"/>
      <c r="I89" s="222"/>
      <c r="J89" s="148">
        <f ca="1">Statements!I40</f>
        <v>1845.9946277451966</v>
      </c>
      <c r="K89" s="148">
        <f ca="1">Statements!J40</f>
        <v>2329.4717314231675</v>
      </c>
      <c r="L89" s="148">
        <f ca="1">Statements!K40</f>
        <v>2539.061123468598</v>
      </c>
      <c r="M89" s="148">
        <f ca="1">Statements!L40</f>
        <v>2614.0230080366805</v>
      </c>
      <c r="N89" s="148">
        <f ca="1">Statements!M40</f>
        <v>2752.6975343109275</v>
      </c>
      <c r="O89" s="75"/>
    </row>
    <row r="90" spans="1:15" s="54" customFormat="1" hidden="1" outlineLevel="1" x14ac:dyDescent="0.25">
      <c r="B90" s="75" t="s">
        <v>267</v>
      </c>
      <c r="G90" s="222"/>
      <c r="H90" s="222"/>
      <c r="I90" s="222"/>
      <c r="J90" s="148">
        <f ca="1">-Assumptions!I25</f>
        <v>-1185.4577402460764</v>
      </c>
      <c r="K90" s="148">
        <f ca="1">-Assumptions!J25</f>
        <v>-1741.9497434309753</v>
      </c>
      <c r="L90" s="148">
        <f ca="1">-Assumptions!K25</f>
        <v>-1806.8448255769777</v>
      </c>
      <c r="M90" s="148">
        <f ca="1">-Assumptions!L25</f>
        <v>-1831.1972287719973</v>
      </c>
      <c r="N90" s="148">
        <f ca="1">-Assumptions!M25</f>
        <v>-1981.882656369826</v>
      </c>
      <c r="O90" s="200"/>
    </row>
    <row r="91" spans="1:15" s="54" customFormat="1" hidden="1" outlineLevel="1" x14ac:dyDescent="0.25">
      <c r="B91" s="76" t="s">
        <v>268</v>
      </c>
      <c r="C91" s="55"/>
      <c r="D91" s="55"/>
      <c r="E91" s="55"/>
      <c r="F91" s="55"/>
      <c r="G91" s="223"/>
      <c r="H91" s="223"/>
      <c r="I91" s="223"/>
      <c r="J91" s="210">
        <f ca="1">SUM(J88:J90)</f>
        <v>4556.65288749912</v>
      </c>
      <c r="K91" s="210">
        <f t="shared" ref="K91:N91" ca="1" si="36">SUM(K88:K90)</f>
        <v>5144.1748754913124</v>
      </c>
      <c r="L91" s="210">
        <f t="shared" ca="1" si="36"/>
        <v>5876.3911733829318</v>
      </c>
      <c r="M91" s="210">
        <f t="shared" ca="1" si="36"/>
        <v>6659.2169526476146</v>
      </c>
      <c r="N91" s="210">
        <f t="shared" ca="1" si="36"/>
        <v>7430.0318305887158</v>
      </c>
      <c r="O91" s="75"/>
    </row>
    <row r="92" spans="1:15" s="54" customFormat="1" hidden="1" outlineLevel="1" x14ac:dyDescent="0.25">
      <c r="B92" s="75"/>
      <c r="O92" s="75"/>
    </row>
    <row r="93" spans="1:15" s="54" customFormat="1" collapsed="1" x14ac:dyDescent="0.25">
      <c r="B93" s="75"/>
      <c r="O93" s="75"/>
    </row>
    <row r="94" spans="1:15" ht="14.4" x14ac:dyDescent="0.3">
      <c r="B94" s="205" t="s">
        <v>46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53"/>
    </row>
  </sheetData>
  <mergeCells count="2">
    <mergeCell ref="G6:I6"/>
    <mergeCell ref="J6:N6"/>
  </mergeCells>
  <hyperlinks>
    <hyperlink ref="B94" location="Schedule!A8" display="&lt;- Go back to the top" xr:uid="{BD6AFDFD-951C-4A5E-A975-D7F35E747FA9}"/>
    <hyperlink ref="C11" location="PPE" display="PPE and intangibles" xr:uid="{9C001D6F-D977-4DF9-864F-BDB9D1C3F2FD}"/>
    <hyperlink ref="E11" location="WC" display="Working capital" xr:uid="{28CDD9BD-1EBF-40C9-9D76-0DAF9E639C3C}"/>
    <hyperlink ref="H11" location="Equity" display="Equity schedule" xr:uid="{D4AC04A9-C57A-4530-823C-62342D2E543F}"/>
    <hyperlink ref="G11" location="Debt" display="Debt Schedule" xr:uid="{002DC6F9-D9A7-4F34-85C4-248BDC0DCDCA}"/>
    <hyperlink ref="B9" location="Dashboard!A1" display="&lt;-Back to dashboard" xr:uid="{36F2E77B-66AF-4FDE-B63A-3FFFFC5B880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7E9B-182C-4605-86F7-8C19CB228200}">
  <sheetPr>
    <tabColor rgb="FF00004D"/>
  </sheetPr>
  <dimension ref="A1"/>
  <sheetViews>
    <sheetView showGridLines="0" topLeftCell="A85" workbookViewId="0">
      <selection activeCell="I13" sqref="I13"/>
    </sheetView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110-6571-4E63-B74B-852FE0B133C5}">
  <dimension ref="A2:W389"/>
  <sheetViews>
    <sheetView showGridLines="0" zoomScale="85" zoomScaleNormal="85" workbookViewId="0">
      <selection activeCell="L21" sqref="L21"/>
    </sheetView>
  </sheetViews>
  <sheetFormatPr defaultRowHeight="13.2" outlineLevelRow="1" x14ac:dyDescent="0.25"/>
  <cols>
    <col min="1" max="1" width="1.88671875" style="1" customWidth="1"/>
    <col min="2" max="2" width="12.33203125" style="1" customWidth="1"/>
    <col min="3" max="3" width="9.21875" style="1" customWidth="1"/>
    <col min="4" max="5" width="8.88671875" style="1"/>
    <col min="6" max="6" width="12.44140625" style="1" bestFit="1" customWidth="1"/>
    <col min="7" max="7" width="10.88671875" style="1" bestFit="1" customWidth="1"/>
    <col min="8" max="11" width="8.88671875" style="1"/>
    <col min="12" max="12" width="9.21875" style="1" bestFit="1" customWidth="1"/>
    <col min="13" max="14" width="8.88671875" style="1"/>
    <col min="15" max="15" width="17.88671875" style="1" bestFit="1" customWidth="1"/>
    <col min="16" max="16" width="12.44140625" style="1" bestFit="1" customWidth="1"/>
    <col min="17" max="17" width="12.77734375" style="1" customWidth="1"/>
    <col min="18" max="16384" width="8.88671875" style="1"/>
  </cols>
  <sheetData>
    <row r="2" spans="1:23" s="5" customFormat="1" ht="15.6" x14ac:dyDescent="0.3">
      <c r="B2" s="6" t="str">
        <f>Dashboard!B2</f>
        <v>Borouge PLC</v>
      </c>
      <c r="C2" s="7"/>
      <c r="D2" s="7"/>
      <c r="E2" s="7"/>
      <c r="F2" s="7"/>
      <c r="G2" s="7"/>
      <c r="H2" s="7"/>
      <c r="I2" s="7"/>
      <c r="J2" s="7"/>
      <c r="K2" s="7"/>
      <c r="L2" s="7"/>
      <c r="M2" s="1"/>
      <c r="N2" s="1"/>
      <c r="O2" s="1"/>
    </row>
    <row r="3" spans="1:23" s="5" customFormat="1" ht="13.8" x14ac:dyDescent="0.25">
      <c r="B3" s="8" t="s">
        <v>45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  <c r="N3" s="1"/>
      <c r="O3" s="1"/>
    </row>
    <row r="4" spans="1:23" s="5" customFormat="1" ht="13.8" x14ac:dyDescent="0.25">
      <c r="B4" s="9" t="str">
        <f>Dashboard!B4</f>
        <v>(In Millions AED, except equity share and per equity share data)</v>
      </c>
      <c r="C4" s="7"/>
      <c r="D4" s="7"/>
      <c r="E4" s="7"/>
      <c r="F4" s="7"/>
      <c r="G4" s="7"/>
      <c r="H4" s="7"/>
      <c r="I4" s="7"/>
      <c r="J4" s="7"/>
      <c r="K4" s="7"/>
      <c r="L4" s="7"/>
      <c r="M4" s="1"/>
      <c r="N4" s="1"/>
      <c r="O4" s="1"/>
    </row>
    <row r="5" spans="1:23" s="5" customFormat="1" ht="14.4" x14ac:dyDescent="0.3">
      <c r="B5" s="12" t="s">
        <v>32</v>
      </c>
      <c r="C5" s="7"/>
      <c r="D5" s="8" t="str">
        <f>Dashboard!G12</f>
        <v>Street</v>
      </c>
      <c r="E5" s="7"/>
      <c r="F5" s="7"/>
      <c r="G5" s="7"/>
      <c r="H5" s="7"/>
      <c r="I5" s="7"/>
      <c r="J5" s="7"/>
      <c r="K5" s="7"/>
      <c r="L5" s="7"/>
      <c r="M5" s="1"/>
      <c r="N5" s="1"/>
      <c r="O5" t="s">
        <v>274</v>
      </c>
      <c r="P5"/>
      <c r="Q5"/>
      <c r="R5"/>
      <c r="S5"/>
      <c r="T5"/>
      <c r="U5"/>
      <c r="V5"/>
      <c r="W5"/>
    </row>
    <row r="6" spans="1:23" s="5" customFormat="1" ht="15" thickBot="1" x14ac:dyDescent="0.35">
      <c r="B6" s="12"/>
      <c r="C6" s="47"/>
      <c r="D6" s="47"/>
      <c r="E6" s="8"/>
      <c r="F6" s="10"/>
      <c r="G6" s="10"/>
      <c r="H6" s="10"/>
      <c r="I6" s="10"/>
      <c r="J6" s="10"/>
      <c r="K6" s="10"/>
      <c r="L6" s="10"/>
      <c r="M6" s="1"/>
      <c r="N6" s="1"/>
      <c r="O6"/>
      <c r="P6"/>
      <c r="Q6"/>
      <c r="R6"/>
      <c r="S6"/>
      <c r="T6"/>
      <c r="U6"/>
      <c r="V6"/>
      <c r="W6"/>
    </row>
    <row r="7" spans="1:23" ht="14.4" x14ac:dyDescent="0.3">
      <c r="O7" s="66" t="s">
        <v>275</v>
      </c>
      <c r="P7" s="66"/>
      <c r="Q7"/>
      <c r="R7"/>
      <c r="S7"/>
      <c r="T7"/>
      <c r="U7"/>
      <c r="V7"/>
      <c r="W7"/>
    </row>
    <row r="8" spans="1:23" ht="14.4" x14ac:dyDescent="0.3">
      <c r="B8" s="25" t="s">
        <v>41</v>
      </c>
      <c r="O8" t="s">
        <v>276</v>
      </c>
      <c r="P8">
        <v>0.28929508781281388</v>
      </c>
      <c r="Q8"/>
      <c r="R8"/>
      <c r="S8"/>
      <c r="T8"/>
      <c r="U8"/>
      <c r="V8"/>
      <c r="W8"/>
    </row>
    <row r="9" spans="1:23" ht="14.4" x14ac:dyDescent="0.3">
      <c r="B9" s="25"/>
      <c r="O9" t="s">
        <v>277</v>
      </c>
      <c r="P9">
        <v>8.36916478326237E-2</v>
      </c>
      <c r="Q9"/>
      <c r="R9"/>
      <c r="S9"/>
      <c r="T9"/>
      <c r="U9"/>
      <c r="V9"/>
      <c r="W9"/>
    </row>
    <row r="10" spans="1:23" ht="14.4" x14ac:dyDescent="0.3">
      <c r="B10" s="42" t="s">
        <v>310</v>
      </c>
      <c r="O10" t="s">
        <v>278</v>
      </c>
      <c r="P10">
        <v>7.8843455493113765E-2</v>
      </c>
      <c r="Q10"/>
      <c r="R10"/>
      <c r="S10"/>
      <c r="T10"/>
      <c r="U10"/>
      <c r="V10"/>
      <c r="W10"/>
    </row>
    <row r="11" spans="1:23" ht="14.4" x14ac:dyDescent="0.3">
      <c r="B11" s="428" t="s">
        <v>143</v>
      </c>
      <c r="C11" s="428"/>
      <c r="D11" s="428"/>
      <c r="F11" s="428" t="s">
        <v>273</v>
      </c>
      <c r="G11" s="428"/>
      <c r="H11" s="428"/>
      <c r="J11" s="428" t="s">
        <v>56</v>
      </c>
      <c r="K11" s="428"/>
      <c r="L11" s="428"/>
      <c r="O11" t="s">
        <v>279</v>
      </c>
      <c r="P11">
        <v>2.0109885942564552E-2</v>
      </c>
      <c r="Q11"/>
      <c r="R11"/>
      <c r="S11"/>
      <c r="T11"/>
      <c r="U11"/>
      <c r="V11"/>
      <c r="W11"/>
    </row>
    <row r="12" spans="1:23" ht="15" thickBot="1" x14ac:dyDescent="0.35">
      <c r="O12" s="64" t="s">
        <v>280</v>
      </c>
      <c r="P12" s="64">
        <v>191</v>
      </c>
      <c r="Q12"/>
      <c r="R12"/>
      <c r="S12"/>
      <c r="T12"/>
      <c r="U12"/>
      <c r="V12"/>
      <c r="W12"/>
    </row>
    <row r="13" spans="1:23" ht="14.4" x14ac:dyDescent="0.3">
      <c r="B13" s="35" t="s">
        <v>1</v>
      </c>
      <c r="C13" s="35" t="s">
        <v>54</v>
      </c>
      <c r="D13" s="35" t="s">
        <v>55</v>
      </c>
      <c r="F13" s="35" t="s">
        <v>1</v>
      </c>
      <c r="G13" s="35" t="s">
        <v>54</v>
      </c>
      <c r="H13" s="35" t="s">
        <v>55</v>
      </c>
      <c r="J13" s="225" t="s">
        <v>61</v>
      </c>
      <c r="K13" s="226"/>
      <c r="L13" s="227">
        <f>P22</f>
        <v>0.44894894727559531</v>
      </c>
      <c r="O13"/>
      <c r="P13"/>
      <c r="Q13"/>
      <c r="R13"/>
      <c r="S13"/>
      <c r="T13"/>
      <c r="U13"/>
      <c r="V13"/>
      <c r="W13"/>
    </row>
    <row r="14" spans="1:23" ht="15" thickBot="1" x14ac:dyDescent="0.35">
      <c r="B14" s="63">
        <v>46082</v>
      </c>
      <c r="C14" s="1">
        <v>2.59</v>
      </c>
      <c r="D14" s="37"/>
      <c r="E14" s="29"/>
      <c r="F14" s="63">
        <v>46082</v>
      </c>
      <c r="G14" s="27">
        <v>10044.85</v>
      </c>
      <c r="H14" s="37"/>
      <c r="I14" s="27"/>
      <c r="J14" s="226"/>
      <c r="K14" s="226"/>
      <c r="L14" s="226"/>
      <c r="O14" t="s">
        <v>281</v>
      </c>
      <c r="P14"/>
      <c r="Q14"/>
      <c r="R14"/>
      <c r="S14"/>
      <c r="T14"/>
      <c r="U14"/>
      <c r="V14"/>
      <c r="W14"/>
    </row>
    <row r="15" spans="1:23" ht="14.4" x14ac:dyDescent="0.3">
      <c r="A15" s="22"/>
      <c r="B15" s="63">
        <v>46075</v>
      </c>
      <c r="C15" s="1">
        <v>2.59</v>
      </c>
      <c r="D15" s="34">
        <f>C15/C14-1</f>
        <v>0</v>
      </c>
      <c r="E15" s="29"/>
      <c r="F15" s="63">
        <v>46075</v>
      </c>
      <c r="G15" s="27">
        <v>10453.879999999999</v>
      </c>
      <c r="H15" s="34">
        <f>G15/G14-1</f>
        <v>4.0720369144387369E-2</v>
      </c>
      <c r="I15" s="27"/>
      <c r="J15" s="226" t="s">
        <v>57</v>
      </c>
      <c r="K15" s="226"/>
      <c r="L15" s="228">
        <f>L13</f>
        <v>0.44894894727559531</v>
      </c>
      <c r="O15" s="65"/>
      <c r="P15" s="65" t="s">
        <v>286</v>
      </c>
      <c r="Q15" s="65" t="s">
        <v>287</v>
      </c>
      <c r="R15" s="65" t="s">
        <v>288</v>
      </c>
      <c r="S15" s="65" t="s">
        <v>289</v>
      </c>
      <c r="T15" s="65" t="s">
        <v>290</v>
      </c>
      <c r="U15"/>
      <c r="V15"/>
      <c r="W15"/>
    </row>
    <row r="16" spans="1:23" ht="14.4" x14ac:dyDescent="0.3">
      <c r="B16" s="63">
        <v>46068</v>
      </c>
      <c r="C16" s="1">
        <v>2.6</v>
      </c>
      <c r="D16" s="34">
        <f t="shared" ref="D16:D79" si="0">C16/C15-1</f>
        <v>3.8610038610038533E-3</v>
      </c>
      <c r="E16" s="29"/>
      <c r="F16" s="63">
        <v>46068</v>
      </c>
      <c r="G16" s="27">
        <v>10580.85</v>
      </c>
      <c r="H16" s="34">
        <f t="shared" ref="H16:H79" si="1">G16/G15-1</f>
        <v>1.2145729623833645E-2</v>
      </c>
      <c r="I16" s="27"/>
      <c r="J16" s="225" t="s">
        <v>58</v>
      </c>
      <c r="K16" s="226"/>
      <c r="L16" s="229">
        <v>0.75</v>
      </c>
      <c r="O16" t="s">
        <v>282</v>
      </c>
      <c r="P16">
        <v>1</v>
      </c>
      <c r="Q16">
        <v>6.9810619623083964E-3</v>
      </c>
      <c r="R16">
        <v>6.9810619623083964E-3</v>
      </c>
      <c r="S16">
        <v>17.262443808300635</v>
      </c>
      <c r="T16">
        <v>4.9277161539499357E-5</v>
      </c>
      <c r="U16"/>
      <c r="V16"/>
      <c r="W16"/>
    </row>
    <row r="17" spans="2:23" ht="14.4" x14ac:dyDescent="0.3">
      <c r="B17" s="63">
        <v>46061</v>
      </c>
      <c r="C17" s="1">
        <v>2.63</v>
      </c>
      <c r="D17" s="34">
        <f t="shared" si="0"/>
        <v>1.1538461538461497E-2</v>
      </c>
      <c r="E17" s="29"/>
      <c r="F17" s="63">
        <v>46061</v>
      </c>
      <c r="G17" s="27">
        <v>10636.48</v>
      </c>
      <c r="H17" s="34">
        <f t="shared" si="1"/>
        <v>5.2576116285552033E-3</v>
      </c>
      <c r="I17" s="27"/>
      <c r="J17" s="225"/>
      <c r="K17" s="226"/>
      <c r="L17" s="229"/>
      <c r="O17" t="s">
        <v>283</v>
      </c>
      <c r="P17">
        <v>189</v>
      </c>
      <c r="Q17">
        <v>7.6433019885738571E-2</v>
      </c>
      <c r="R17">
        <v>4.0440751262295539E-4</v>
      </c>
      <c r="S17"/>
      <c r="T17"/>
      <c r="U17"/>
      <c r="V17"/>
      <c r="W17"/>
    </row>
    <row r="18" spans="2:23" ht="15" thickBot="1" x14ac:dyDescent="0.35">
      <c r="B18" s="63">
        <v>46054</v>
      </c>
      <c r="C18" s="1">
        <v>2.6</v>
      </c>
      <c r="D18" s="34">
        <f t="shared" si="0"/>
        <v>-1.1406844106463754E-2</v>
      </c>
      <c r="E18" s="29"/>
      <c r="F18" s="63">
        <v>46054</v>
      </c>
      <c r="G18" s="27">
        <v>10563.11</v>
      </c>
      <c r="H18" s="34">
        <f t="shared" si="1"/>
        <v>-6.897958723186548E-3</v>
      </c>
      <c r="I18" s="27"/>
      <c r="J18" s="225" t="s">
        <v>59</v>
      </c>
      <c r="K18" s="226"/>
      <c r="L18" s="230">
        <f>SLOPE(H15:H206,H15:H206)</f>
        <v>1</v>
      </c>
      <c r="O18" s="64" t="s">
        <v>284</v>
      </c>
      <c r="P18" s="64">
        <v>190</v>
      </c>
      <c r="Q18" s="64">
        <v>8.3414081848046967E-2</v>
      </c>
      <c r="R18" s="64"/>
      <c r="S18" s="64"/>
      <c r="T18" s="64"/>
      <c r="U18"/>
      <c r="V18"/>
      <c r="W18"/>
    </row>
    <row r="19" spans="2:23" ht="15" thickBot="1" x14ac:dyDescent="0.35">
      <c r="B19" s="63">
        <v>46047</v>
      </c>
      <c r="C19" s="1">
        <v>2.61</v>
      </c>
      <c r="D19" s="34">
        <f t="shared" si="0"/>
        <v>3.8461538461538325E-3</v>
      </c>
      <c r="E19" s="29"/>
      <c r="F19" s="63">
        <v>46047</v>
      </c>
      <c r="G19" s="27">
        <v>10281.76</v>
      </c>
      <c r="H19" s="34">
        <f t="shared" si="1"/>
        <v>-2.6635148171324619E-2</v>
      </c>
      <c r="I19" s="27"/>
      <c r="J19" s="225" t="s">
        <v>60</v>
      </c>
      <c r="K19" s="226"/>
      <c r="L19" s="229">
        <v>0.25</v>
      </c>
      <c r="O19"/>
      <c r="P19"/>
      <c r="Q19"/>
      <c r="R19"/>
      <c r="S19"/>
      <c r="T19"/>
      <c r="U19"/>
      <c r="V19"/>
      <c r="W19"/>
    </row>
    <row r="20" spans="2:23" ht="14.4" x14ac:dyDescent="0.3">
      <c r="B20" s="63">
        <v>46040</v>
      </c>
      <c r="C20" s="1">
        <v>2.61</v>
      </c>
      <c r="D20" s="34">
        <f t="shared" si="0"/>
        <v>0</v>
      </c>
      <c r="E20" s="29"/>
      <c r="F20" s="63">
        <v>46040</v>
      </c>
      <c r="G20" s="27">
        <v>10285.77</v>
      </c>
      <c r="H20" s="34">
        <f t="shared" si="1"/>
        <v>3.9001104869207381E-4</v>
      </c>
      <c r="I20" s="27"/>
      <c r="J20" s="225"/>
      <c r="K20" s="226"/>
      <c r="L20" s="229"/>
      <c r="O20" s="65"/>
      <c r="P20" s="65" t="s">
        <v>291</v>
      </c>
      <c r="Q20" s="65" t="s">
        <v>279</v>
      </c>
      <c r="R20" s="65" t="s">
        <v>292</v>
      </c>
      <c r="S20" s="65" t="s">
        <v>293</v>
      </c>
      <c r="T20" s="65" t="s">
        <v>294</v>
      </c>
      <c r="U20" s="65" t="s">
        <v>295</v>
      </c>
      <c r="V20" s="65" t="s">
        <v>296</v>
      </c>
      <c r="W20" s="65" t="s">
        <v>297</v>
      </c>
    </row>
    <row r="21" spans="2:23" ht="14.4" x14ac:dyDescent="0.3">
      <c r="B21" s="63">
        <v>46033</v>
      </c>
      <c r="C21" s="1">
        <v>2.59</v>
      </c>
      <c r="D21" s="34">
        <f t="shared" si="0"/>
        <v>-7.6628352490420992E-3</v>
      </c>
      <c r="E21" s="29"/>
      <c r="F21" s="63">
        <v>46033</v>
      </c>
      <c r="G21" s="27">
        <v>10123.26</v>
      </c>
      <c r="H21" s="34">
        <f t="shared" si="1"/>
        <v>-1.5799497752720493E-2</v>
      </c>
      <c r="I21" s="27"/>
      <c r="J21" s="231" t="s">
        <v>62</v>
      </c>
      <c r="K21" s="232"/>
      <c r="L21" s="233">
        <f>L15*L16+L18*L19</f>
        <v>0.58671171045669646</v>
      </c>
      <c r="O21" t="s">
        <v>285</v>
      </c>
      <c r="P21">
        <v>1.2561054475570025E-3</v>
      </c>
      <c r="Q21">
        <v>1.455765803301834E-3</v>
      </c>
      <c r="R21">
        <v>0.86284857406872706</v>
      </c>
      <c r="S21">
        <v>0.38931428907253796</v>
      </c>
      <c r="T21">
        <v>-1.6155310123577608E-3</v>
      </c>
      <c r="U21">
        <v>4.127741907471766E-3</v>
      </c>
      <c r="V21">
        <v>-1.6155310123577608E-3</v>
      </c>
      <c r="W21">
        <v>4.127741907471766E-3</v>
      </c>
    </row>
    <row r="22" spans="2:23" ht="15" thickBot="1" x14ac:dyDescent="0.35">
      <c r="B22" s="63">
        <v>46026</v>
      </c>
      <c r="C22" s="1">
        <v>2.58</v>
      </c>
      <c r="D22" s="34">
        <f t="shared" si="0"/>
        <v>-3.8610038610037423E-3</v>
      </c>
      <c r="E22" s="29"/>
      <c r="F22" s="63">
        <v>46026</v>
      </c>
      <c r="G22" s="27">
        <v>10009.620000000001</v>
      </c>
      <c r="H22" s="34">
        <f t="shared" si="1"/>
        <v>-1.1225632849497069E-2</v>
      </c>
      <c r="I22" s="27"/>
      <c r="J22" s="27"/>
      <c r="L22" s="28"/>
      <c r="O22" s="64">
        <v>4.0720369144387369E-2</v>
      </c>
      <c r="P22" s="64">
        <v>0.44894894727559531</v>
      </c>
      <c r="Q22" s="64">
        <v>0.10805523659215238</v>
      </c>
      <c r="R22" s="64">
        <v>4.154809719866928</v>
      </c>
      <c r="S22" s="64">
        <v>4.9277161539497696E-5</v>
      </c>
      <c r="T22" s="64">
        <v>0.23579971930296589</v>
      </c>
      <c r="U22" s="64">
        <v>0.66209817524822467</v>
      </c>
      <c r="V22" s="64">
        <v>0.23579971930296589</v>
      </c>
      <c r="W22" s="64">
        <v>0.66209817524822467</v>
      </c>
    </row>
    <row r="23" spans="2:23" ht="14.4" x14ac:dyDescent="0.3">
      <c r="B23" s="63">
        <v>46019</v>
      </c>
      <c r="C23" s="1">
        <v>2.6</v>
      </c>
      <c r="D23" s="34">
        <f t="shared" si="0"/>
        <v>7.7519379844961378E-3</v>
      </c>
      <c r="E23" s="29"/>
      <c r="F23" s="63">
        <v>46019</v>
      </c>
      <c r="G23" s="27">
        <v>9994.57</v>
      </c>
      <c r="H23" s="34">
        <f t="shared" si="1"/>
        <v>-1.5035535814547085E-3</v>
      </c>
      <c r="I23" s="27"/>
      <c r="J23" s="232" t="s">
        <v>65</v>
      </c>
      <c r="K23" s="232"/>
      <c r="L23" s="234">
        <f>YEARFRAC(F206,F14,1)</f>
        <v>3.7185104052573932</v>
      </c>
      <c r="O23"/>
      <c r="P23"/>
      <c r="Q23"/>
      <c r="R23"/>
      <c r="S23"/>
      <c r="T23"/>
      <c r="U23"/>
      <c r="V23"/>
      <c r="W23"/>
    </row>
    <row r="24" spans="2:23" ht="14.4" hidden="1" outlineLevel="1" x14ac:dyDescent="0.3">
      <c r="B24" s="63">
        <v>46012</v>
      </c>
      <c r="C24" s="1">
        <v>2.61</v>
      </c>
      <c r="D24" s="34">
        <f t="shared" si="0"/>
        <v>3.8461538461538325E-3</v>
      </c>
      <c r="E24" s="29"/>
      <c r="F24" s="63">
        <v>46012</v>
      </c>
      <c r="G24" s="27">
        <v>10032.86</v>
      </c>
      <c r="H24" s="34">
        <f t="shared" si="1"/>
        <v>3.8310802765901819E-3</v>
      </c>
      <c r="I24" s="27"/>
      <c r="J24" s="231" t="s">
        <v>66</v>
      </c>
      <c r="K24" s="232"/>
      <c r="L24" s="235">
        <f>_xlfn.RRI(L23,G206,G14)</f>
        <v>1.4974912001021856E-2</v>
      </c>
      <c r="O24"/>
      <c r="P24"/>
      <c r="Q24"/>
      <c r="R24"/>
      <c r="S24"/>
      <c r="T24"/>
      <c r="U24"/>
      <c r="V24"/>
      <c r="W24"/>
    </row>
    <row r="25" spans="2:23" ht="14.4" hidden="1" outlineLevel="1" x14ac:dyDescent="0.3">
      <c r="B25" s="63">
        <v>46005</v>
      </c>
      <c r="C25" s="1">
        <v>2.5499999999999998</v>
      </c>
      <c r="D25" s="34">
        <f t="shared" si="0"/>
        <v>-2.2988505747126409E-2</v>
      </c>
      <c r="E25" s="29"/>
      <c r="F25" s="63">
        <v>46005</v>
      </c>
      <c r="G25" s="27">
        <v>9967.2099999999991</v>
      </c>
      <c r="H25" s="34">
        <f t="shared" si="1"/>
        <v>-6.5434980653573671E-3</v>
      </c>
      <c r="I25" s="27"/>
      <c r="J25" s="27"/>
      <c r="L25" s="28"/>
      <c r="O25"/>
      <c r="P25"/>
      <c r="Q25"/>
      <c r="R25"/>
      <c r="S25"/>
      <c r="T25"/>
      <c r="U25"/>
      <c r="V25"/>
      <c r="W25"/>
    </row>
    <row r="26" spans="2:23" ht="13.8" hidden="1" outlineLevel="1" x14ac:dyDescent="0.25">
      <c r="B26" s="63">
        <v>45998</v>
      </c>
      <c r="C26" s="1">
        <v>2.54</v>
      </c>
      <c r="D26" s="34">
        <f t="shared" si="0"/>
        <v>-3.9215686274508554E-3</v>
      </c>
      <c r="E26" s="29"/>
      <c r="F26" s="63">
        <v>45998</v>
      </c>
      <c r="G26" s="27">
        <v>9988.7099999999991</v>
      </c>
      <c r="H26" s="34">
        <f t="shared" si="1"/>
        <v>2.1570730425064522E-3</v>
      </c>
      <c r="I26" s="27"/>
      <c r="J26" s="27"/>
      <c r="L26" s="28"/>
      <c r="S26" s="27"/>
      <c r="T26" s="27"/>
      <c r="U26" s="27"/>
      <c r="W26" s="28"/>
    </row>
    <row r="27" spans="2:23" ht="13.8" hidden="1" outlineLevel="1" x14ac:dyDescent="0.25">
      <c r="B27" s="63">
        <v>45991</v>
      </c>
      <c r="C27" s="1">
        <v>2.52</v>
      </c>
      <c r="D27" s="34">
        <f t="shared" si="0"/>
        <v>-7.8740157480314821E-3</v>
      </c>
      <c r="E27" s="29"/>
      <c r="F27" s="63">
        <v>45991</v>
      </c>
      <c r="G27" s="27">
        <v>9950.9</v>
      </c>
      <c r="H27" s="34">
        <f t="shared" si="1"/>
        <v>-3.7852735738648224E-3</v>
      </c>
      <c r="I27" s="27"/>
      <c r="J27" s="27"/>
      <c r="L27" s="28"/>
      <c r="S27" s="27"/>
      <c r="T27" s="27"/>
      <c r="U27" s="27"/>
      <c r="W27" s="28"/>
    </row>
    <row r="28" spans="2:23" ht="13.8" hidden="1" outlineLevel="1" x14ac:dyDescent="0.25">
      <c r="B28" s="63">
        <v>45984</v>
      </c>
      <c r="C28" s="1">
        <v>2.5</v>
      </c>
      <c r="D28" s="34">
        <f t="shared" si="0"/>
        <v>-7.9365079365079083E-3</v>
      </c>
      <c r="E28" s="29"/>
      <c r="F28" s="63">
        <v>45984</v>
      </c>
      <c r="G28" s="27">
        <v>9747.17</v>
      </c>
      <c r="H28" s="34">
        <f t="shared" si="1"/>
        <v>-2.0473525007788207E-2</v>
      </c>
      <c r="I28" s="27"/>
      <c r="J28" s="27"/>
      <c r="L28" s="28"/>
      <c r="S28" s="27"/>
      <c r="T28" s="27"/>
      <c r="U28" s="27"/>
      <c r="W28" s="28"/>
    </row>
    <row r="29" spans="2:23" ht="13.8" hidden="1" outlineLevel="1" x14ac:dyDescent="0.25">
      <c r="B29" s="63">
        <v>45977</v>
      </c>
      <c r="C29" s="1">
        <v>2.5099999999999998</v>
      </c>
      <c r="D29" s="34">
        <f t="shared" si="0"/>
        <v>4.0000000000000036E-3</v>
      </c>
      <c r="E29" s="29"/>
      <c r="F29" s="63">
        <v>45977</v>
      </c>
      <c r="G29" s="27">
        <v>9795.3700000000008</v>
      </c>
      <c r="H29" s="34">
        <f t="shared" si="1"/>
        <v>4.945025068815001E-3</v>
      </c>
      <c r="I29" s="27"/>
      <c r="J29" s="27"/>
      <c r="L29" s="28"/>
      <c r="S29" s="27"/>
      <c r="T29" s="27"/>
      <c r="U29" s="27"/>
      <c r="W29" s="28"/>
    </row>
    <row r="30" spans="2:23" ht="13.8" hidden="1" outlineLevel="1" x14ac:dyDescent="0.25">
      <c r="B30" s="63">
        <v>45970</v>
      </c>
      <c r="C30" s="1">
        <v>2.5</v>
      </c>
      <c r="D30" s="34">
        <f t="shared" si="0"/>
        <v>-3.9840637450198058E-3</v>
      </c>
      <c r="E30" s="29"/>
      <c r="F30" s="63">
        <v>45970</v>
      </c>
      <c r="G30" s="27">
        <v>9917.9</v>
      </c>
      <c r="H30" s="34">
        <f t="shared" si="1"/>
        <v>1.2508971075109843E-2</v>
      </c>
      <c r="I30" s="27"/>
      <c r="J30" s="27"/>
      <c r="L30" s="28"/>
      <c r="S30" s="27"/>
      <c r="T30" s="27"/>
      <c r="U30" s="27"/>
      <c r="W30" s="28"/>
    </row>
    <row r="31" spans="2:23" ht="13.8" hidden="1" outlineLevel="1" x14ac:dyDescent="0.25">
      <c r="B31" s="63">
        <v>45963</v>
      </c>
      <c r="C31" s="1">
        <v>2.5099999999999998</v>
      </c>
      <c r="D31" s="34">
        <f t="shared" si="0"/>
        <v>4.0000000000000036E-3</v>
      </c>
      <c r="E31" s="29"/>
      <c r="F31" s="63">
        <v>45963</v>
      </c>
      <c r="G31" s="27">
        <v>10075.120000000001</v>
      </c>
      <c r="H31" s="34">
        <f t="shared" si="1"/>
        <v>1.5852146119642363E-2</v>
      </c>
      <c r="I31" s="27"/>
      <c r="J31" s="27"/>
      <c r="L31" s="28"/>
      <c r="S31" s="27"/>
      <c r="T31" s="27"/>
      <c r="U31" s="27"/>
      <c r="W31" s="28"/>
    </row>
    <row r="32" spans="2:23" ht="13.8" hidden="1" outlineLevel="1" x14ac:dyDescent="0.25">
      <c r="B32" s="63">
        <v>45956</v>
      </c>
      <c r="C32" s="1">
        <v>2.5099999999999998</v>
      </c>
      <c r="D32" s="34">
        <f t="shared" si="0"/>
        <v>0</v>
      </c>
      <c r="E32" s="29"/>
      <c r="F32" s="63">
        <v>45956</v>
      </c>
      <c r="G32" s="27">
        <v>10099.9</v>
      </c>
      <c r="H32" s="34">
        <f t="shared" si="1"/>
        <v>2.4595240552964803E-3</v>
      </c>
      <c r="I32" s="27"/>
      <c r="J32" s="27"/>
      <c r="L32" s="28"/>
      <c r="S32" s="27"/>
      <c r="T32" s="27"/>
      <c r="U32" s="27"/>
      <c r="W32" s="28"/>
    </row>
    <row r="33" spans="2:23" ht="13.8" hidden="1" outlineLevel="1" x14ac:dyDescent="0.25">
      <c r="B33" s="63">
        <v>45949</v>
      </c>
      <c r="C33" s="1">
        <v>2.58</v>
      </c>
      <c r="D33" s="34">
        <f t="shared" si="0"/>
        <v>2.788844621513964E-2</v>
      </c>
      <c r="E33" s="29"/>
      <c r="F33" s="63">
        <v>45949</v>
      </c>
      <c r="G33" s="27">
        <v>10201.57</v>
      </c>
      <c r="H33" s="34">
        <f t="shared" si="1"/>
        <v>1.0066436301349624E-2</v>
      </c>
      <c r="I33" s="27"/>
      <c r="J33" s="27"/>
      <c r="L33" s="28"/>
      <c r="S33" s="27"/>
      <c r="T33" s="27"/>
      <c r="U33" s="27"/>
      <c r="W33" s="28"/>
    </row>
    <row r="34" spans="2:23" ht="13.8" hidden="1" outlineLevel="1" x14ac:dyDescent="0.25">
      <c r="B34" s="63">
        <v>45942</v>
      </c>
      <c r="C34" s="1">
        <v>2.59</v>
      </c>
      <c r="D34" s="34">
        <f t="shared" si="0"/>
        <v>3.8759689922480689E-3</v>
      </c>
      <c r="E34" s="29"/>
      <c r="F34" s="63">
        <v>45942</v>
      </c>
      <c r="G34" s="27">
        <v>10124.42</v>
      </c>
      <c r="H34" s="34">
        <f t="shared" si="1"/>
        <v>-7.5625614488750159E-3</v>
      </c>
      <c r="I34" s="27"/>
      <c r="J34" s="27"/>
      <c r="L34" s="28"/>
      <c r="S34" s="27"/>
      <c r="T34" s="27"/>
      <c r="U34" s="27"/>
      <c r="W34" s="28"/>
    </row>
    <row r="35" spans="2:23" ht="13.8" hidden="1" outlineLevel="1" x14ac:dyDescent="0.25">
      <c r="B35" s="63">
        <v>45935</v>
      </c>
      <c r="C35" s="1">
        <v>2.63</v>
      </c>
      <c r="D35" s="34">
        <f t="shared" si="0"/>
        <v>1.5444015444015413E-2</v>
      </c>
      <c r="E35" s="29"/>
      <c r="F35" s="63">
        <v>45935</v>
      </c>
      <c r="G35" s="27">
        <v>10113.91</v>
      </c>
      <c r="H35" s="34">
        <f t="shared" si="1"/>
        <v>-1.0380841569196386E-3</v>
      </c>
      <c r="I35" s="27"/>
      <c r="J35" s="27"/>
      <c r="L35" s="28"/>
      <c r="S35" s="27"/>
      <c r="T35" s="27"/>
      <c r="U35" s="27"/>
      <c r="W35" s="28"/>
    </row>
    <row r="36" spans="2:23" ht="13.8" hidden="1" outlineLevel="1" x14ac:dyDescent="0.25">
      <c r="B36" s="63">
        <v>45928</v>
      </c>
      <c r="C36" s="1">
        <v>2.54</v>
      </c>
      <c r="D36" s="34">
        <f t="shared" si="0"/>
        <v>-3.4220532319391594E-2</v>
      </c>
      <c r="E36" s="29"/>
      <c r="F36" s="63">
        <v>45928</v>
      </c>
      <c r="G36" s="27">
        <v>10072.799999999999</v>
      </c>
      <c r="H36" s="34">
        <f t="shared" si="1"/>
        <v>-4.0646990135368988E-3</v>
      </c>
      <c r="I36" s="27"/>
      <c r="J36" s="27"/>
      <c r="L36" s="28"/>
      <c r="S36" s="27"/>
      <c r="T36" s="27"/>
      <c r="U36" s="27"/>
      <c r="W36" s="28"/>
    </row>
    <row r="37" spans="2:23" ht="13.8" hidden="1" outlineLevel="1" x14ac:dyDescent="0.25">
      <c r="B37" s="63">
        <v>45921</v>
      </c>
      <c r="C37" s="1">
        <v>2.57</v>
      </c>
      <c r="D37" s="34">
        <f t="shared" si="0"/>
        <v>1.1811023622047223E-2</v>
      </c>
      <c r="E37" s="29"/>
      <c r="F37" s="63">
        <v>45921</v>
      </c>
      <c r="G37" s="27">
        <v>9999.82</v>
      </c>
      <c r="H37" s="34">
        <f t="shared" si="1"/>
        <v>-7.2452545468985052E-3</v>
      </c>
      <c r="I37" s="27"/>
      <c r="J37" s="27"/>
      <c r="L37" s="28"/>
      <c r="S37" s="27"/>
      <c r="T37" s="27"/>
      <c r="U37" s="27"/>
      <c r="W37" s="28"/>
    </row>
    <row r="38" spans="2:23" ht="13.8" hidden="1" outlineLevel="1" x14ac:dyDescent="0.25">
      <c r="B38" s="63">
        <v>45914</v>
      </c>
      <c r="C38" s="1">
        <v>2.56</v>
      </c>
      <c r="D38" s="34">
        <f t="shared" si="0"/>
        <v>-3.8910505836574627E-3</v>
      </c>
      <c r="E38" s="29"/>
      <c r="F38" s="63">
        <v>45914</v>
      </c>
      <c r="G38" s="27">
        <v>10128.14</v>
      </c>
      <c r="H38" s="34">
        <f t="shared" si="1"/>
        <v>1.2832230980157622E-2</v>
      </c>
      <c r="I38" s="27"/>
      <c r="J38" s="27"/>
      <c r="L38" s="28"/>
      <c r="S38" s="27"/>
      <c r="T38" s="27"/>
      <c r="U38" s="27"/>
      <c r="W38" s="28"/>
    </row>
    <row r="39" spans="2:23" ht="13.8" hidden="1" outlineLevel="1" x14ac:dyDescent="0.25">
      <c r="B39" s="63">
        <v>45907</v>
      </c>
      <c r="C39" s="1">
        <v>2.57</v>
      </c>
      <c r="D39" s="34">
        <f t="shared" si="0"/>
        <v>3.90625E-3</v>
      </c>
      <c r="E39" s="29"/>
      <c r="F39" s="63">
        <v>45907</v>
      </c>
      <c r="G39" s="27">
        <v>10014.15</v>
      </c>
      <c r="H39" s="34">
        <f t="shared" si="1"/>
        <v>-1.1254781233276723E-2</v>
      </c>
      <c r="I39" s="27"/>
      <c r="J39" s="27"/>
      <c r="L39" s="28"/>
      <c r="S39" s="27"/>
      <c r="T39" s="27"/>
      <c r="U39" s="27"/>
      <c r="W39" s="28"/>
    </row>
    <row r="40" spans="2:23" ht="13.8" hidden="1" outlineLevel="1" x14ac:dyDescent="0.25">
      <c r="B40" s="63">
        <v>45900</v>
      </c>
      <c r="C40" s="1">
        <v>2.58</v>
      </c>
      <c r="D40" s="34">
        <f t="shared" si="0"/>
        <v>3.8910505836575737E-3</v>
      </c>
      <c r="E40" s="29"/>
      <c r="F40" s="63">
        <v>45900</v>
      </c>
      <c r="G40" s="27">
        <v>10033.75</v>
      </c>
      <c r="H40" s="34">
        <f t="shared" si="1"/>
        <v>1.9572305188160222E-3</v>
      </c>
      <c r="I40" s="27"/>
      <c r="J40" s="27"/>
      <c r="L40" s="28"/>
      <c r="S40" s="27"/>
      <c r="T40" s="27"/>
      <c r="U40" s="27"/>
      <c r="W40" s="28"/>
    </row>
    <row r="41" spans="2:23" ht="13.8" hidden="1" outlineLevel="1" x14ac:dyDescent="0.25">
      <c r="B41" s="63">
        <v>45893</v>
      </c>
      <c r="C41" s="1">
        <v>2.66</v>
      </c>
      <c r="D41" s="34">
        <f t="shared" si="0"/>
        <v>3.1007751937984551E-2</v>
      </c>
      <c r="E41" s="29"/>
      <c r="F41" s="63">
        <v>45893</v>
      </c>
      <c r="G41" s="27">
        <v>10094.67</v>
      </c>
      <c r="H41" s="34">
        <f t="shared" si="1"/>
        <v>6.071508658278324E-3</v>
      </c>
      <c r="I41" s="27"/>
      <c r="J41" s="27"/>
      <c r="L41" s="28"/>
      <c r="S41" s="27"/>
      <c r="T41" s="27"/>
      <c r="U41" s="27"/>
      <c r="W41" s="28"/>
    </row>
    <row r="42" spans="2:23" ht="13.8" hidden="1" outlineLevel="1" x14ac:dyDescent="0.25">
      <c r="B42" s="63">
        <v>45886</v>
      </c>
      <c r="C42" s="1">
        <v>2.65</v>
      </c>
      <c r="D42" s="34">
        <f t="shared" si="0"/>
        <v>-3.7593984962407401E-3</v>
      </c>
      <c r="E42" s="29"/>
      <c r="F42" s="63">
        <v>45886</v>
      </c>
      <c r="G42" s="27">
        <v>10208.76</v>
      </c>
      <c r="H42" s="34">
        <f t="shared" si="1"/>
        <v>1.1302003928806093E-2</v>
      </c>
      <c r="I42" s="27"/>
      <c r="J42" s="27"/>
      <c r="L42" s="28"/>
      <c r="S42" s="27"/>
      <c r="T42" s="27"/>
      <c r="U42" s="27"/>
      <c r="W42" s="28"/>
    </row>
    <row r="43" spans="2:23" ht="13.8" hidden="1" outlineLevel="1" x14ac:dyDescent="0.25">
      <c r="B43" s="63">
        <v>45879</v>
      </c>
      <c r="C43" s="1">
        <v>2.64</v>
      </c>
      <c r="D43" s="34">
        <f t="shared" si="0"/>
        <v>-3.7735849056602655E-3</v>
      </c>
      <c r="E43" s="29"/>
      <c r="F43" s="63">
        <v>45879</v>
      </c>
      <c r="G43" s="27">
        <v>10221.709999999999</v>
      </c>
      <c r="H43" s="34">
        <f t="shared" si="1"/>
        <v>1.2685184096794533E-3</v>
      </c>
      <c r="I43" s="27"/>
      <c r="J43" s="27"/>
      <c r="L43" s="28"/>
      <c r="S43" s="27"/>
      <c r="T43" s="27"/>
      <c r="U43" s="27"/>
      <c r="W43" s="28"/>
    </row>
    <row r="44" spans="2:23" ht="13.8" hidden="1" outlineLevel="1" x14ac:dyDescent="0.25">
      <c r="B44" s="63">
        <v>45872</v>
      </c>
      <c r="C44" s="1">
        <v>2.65</v>
      </c>
      <c r="D44" s="34">
        <f t="shared" si="0"/>
        <v>3.7878787878786735E-3</v>
      </c>
      <c r="E44" s="29"/>
      <c r="F44" s="63">
        <v>45872</v>
      </c>
      <c r="G44" s="27">
        <v>10311.620000000001</v>
      </c>
      <c r="H44" s="34">
        <f t="shared" si="1"/>
        <v>8.7959842335578742E-3</v>
      </c>
      <c r="I44" s="27"/>
      <c r="J44" s="27"/>
      <c r="L44" s="28"/>
      <c r="S44" s="27"/>
      <c r="T44" s="27"/>
      <c r="U44" s="27"/>
      <c r="W44" s="28"/>
    </row>
    <row r="45" spans="2:23" ht="13.8" hidden="1" outlineLevel="1" x14ac:dyDescent="0.25">
      <c r="B45" s="63">
        <v>45865</v>
      </c>
      <c r="C45" s="1">
        <v>2.66</v>
      </c>
      <c r="D45" s="34">
        <f t="shared" si="0"/>
        <v>3.7735849056603765E-3</v>
      </c>
      <c r="E45" s="29"/>
      <c r="F45" s="63">
        <v>45865</v>
      </c>
      <c r="G45" s="27">
        <v>10316.65</v>
      </c>
      <c r="H45" s="34">
        <f t="shared" si="1"/>
        <v>4.8779920128927401E-4</v>
      </c>
      <c r="I45" s="27"/>
      <c r="J45" s="27"/>
      <c r="L45" s="28"/>
      <c r="S45" s="27"/>
      <c r="T45" s="27"/>
      <c r="U45" s="27"/>
      <c r="W45" s="28"/>
    </row>
    <row r="46" spans="2:23" ht="13.8" hidden="1" outlineLevel="1" x14ac:dyDescent="0.25">
      <c r="B46" s="63">
        <v>45858</v>
      </c>
      <c r="C46" s="1">
        <v>2.66</v>
      </c>
      <c r="D46" s="34">
        <f t="shared" si="0"/>
        <v>0</v>
      </c>
      <c r="E46" s="29"/>
      <c r="F46" s="63">
        <v>45858</v>
      </c>
      <c r="G46" s="27">
        <v>10340.06</v>
      </c>
      <c r="H46" s="34">
        <f t="shared" si="1"/>
        <v>2.2691474461187244E-3</v>
      </c>
      <c r="I46" s="27"/>
      <c r="J46" s="27"/>
      <c r="L46" s="28"/>
      <c r="S46" s="27"/>
      <c r="T46" s="27"/>
      <c r="U46" s="27"/>
      <c r="W46" s="28"/>
    </row>
    <row r="47" spans="2:23" ht="13.8" hidden="1" outlineLevel="1" x14ac:dyDescent="0.25">
      <c r="B47" s="63">
        <v>45851</v>
      </c>
      <c r="C47" s="1">
        <v>2.61</v>
      </c>
      <c r="D47" s="34">
        <f t="shared" si="0"/>
        <v>-1.8796992481203145E-2</v>
      </c>
      <c r="E47" s="29"/>
      <c r="F47" s="63">
        <v>45851</v>
      </c>
      <c r="G47" s="27">
        <v>10261.69</v>
      </c>
      <c r="H47" s="34">
        <f t="shared" si="1"/>
        <v>-7.5792596948178748E-3</v>
      </c>
      <c r="I47" s="27"/>
      <c r="J47" s="27"/>
      <c r="L47" s="28"/>
      <c r="S47" s="27"/>
      <c r="T47" s="27"/>
      <c r="U47" s="27"/>
      <c r="W47" s="28"/>
    </row>
    <row r="48" spans="2:23" ht="13.8" hidden="1" outlineLevel="1" x14ac:dyDescent="0.25">
      <c r="B48" s="63">
        <v>45844</v>
      </c>
      <c r="C48" s="1">
        <v>2.6</v>
      </c>
      <c r="D48" s="34">
        <f t="shared" si="0"/>
        <v>-3.8314176245209941E-3</v>
      </c>
      <c r="E48" s="29"/>
      <c r="F48" s="63">
        <v>45844</v>
      </c>
      <c r="G48" s="27">
        <v>10064.81</v>
      </c>
      <c r="H48" s="34">
        <f t="shared" si="1"/>
        <v>-1.9185923566196306E-2</v>
      </c>
      <c r="I48" s="27"/>
      <c r="J48" s="27"/>
      <c r="L48" s="28"/>
      <c r="S48" s="27"/>
      <c r="T48" s="27"/>
      <c r="U48" s="27"/>
      <c r="W48" s="28"/>
    </row>
    <row r="49" spans="2:23" ht="13.8" hidden="1" outlineLevel="1" x14ac:dyDescent="0.25">
      <c r="B49" s="63">
        <v>45837</v>
      </c>
      <c r="C49" s="1">
        <v>2.61</v>
      </c>
      <c r="D49" s="34">
        <f t="shared" si="0"/>
        <v>3.8461538461538325E-3</v>
      </c>
      <c r="E49" s="29"/>
      <c r="F49" s="63">
        <v>45837</v>
      </c>
      <c r="G49" s="27">
        <v>9981.5</v>
      </c>
      <c r="H49" s="34">
        <f t="shared" si="1"/>
        <v>-8.2773544657076537E-3</v>
      </c>
      <c r="I49" s="27"/>
      <c r="J49" s="27"/>
      <c r="L49" s="28"/>
      <c r="S49" s="27"/>
      <c r="T49" s="27"/>
      <c r="U49" s="27"/>
      <c r="W49" s="28"/>
    </row>
    <row r="50" spans="2:23" ht="13.8" hidden="1" outlineLevel="1" x14ac:dyDescent="0.25">
      <c r="B50" s="63">
        <v>45830</v>
      </c>
      <c r="C50" s="1">
        <v>2.54</v>
      </c>
      <c r="D50" s="34">
        <f t="shared" si="0"/>
        <v>-2.6819923371647403E-2</v>
      </c>
      <c r="E50" s="29"/>
      <c r="F50" s="63">
        <v>45830</v>
      </c>
      <c r="G50" s="27">
        <v>9886.23</v>
      </c>
      <c r="H50" s="34">
        <f t="shared" si="1"/>
        <v>-9.5446576165907349E-3</v>
      </c>
      <c r="I50" s="27"/>
      <c r="J50" s="27"/>
      <c r="L50" s="28"/>
      <c r="S50" s="27"/>
      <c r="T50" s="27"/>
      <c r="U50" s="27"/>
      <c r="W50" s="28"/>
    </row>
    <row r="51" spans="2:23" ht="13.8" hidden="1" outlineLevel="1" x14ac:dyDescent="0.25">
      <c r="B51" s="63">
        <v>45823</v>
      </c>
      <c r="C51" s="1">
        <v>2.4700000000000002</v>
      </c>
      <c r="D51" s="34">
        <f t="shared" si="0"/>
        <v>-2.7559055118110187E-2</v>
      </c>
      <c r="E51" s="29"/>
      <c r="F51" s="63">
        <v>45823</v>
      </c>
      <c r="G51" s="27">
        <v>9513.43</v>
      </c>
      <c r="H51" s="34">
        <f t="shared" si="1"/>
        <v>-3.7709015468990636E-2</v>
      </c>
      <c r="I51" s="27"/>
      <c r="J51" s="27"/>
      <c r="L51" s="28"/>
      <c r="S51" s="27"/>
      <c r="T51" s="27"/>
      <c r="U51" s="27"/>
      <c r="W51" s="28"/>
    </row>
    <row r="52" spans="2:23" ht="13.8" hidden="1" outlineLevel="1" x14ac:dyDescent="0.25">
      <c r="B52" s="63">
        <v>45816</v>
      </c>
      <c r="C52" s="1">
        <v>2.46</v>
      </c>
      <c r="D52" s="34">
        <f t="shared" si="0"/>
        <v>-4.0485829959514552E-3</v>
      </c>
      <c r="E52" s="29"/>
      <c r="F52" s="63">
        <v>45816</v>
      </c>
      <c r="G52" s="27">
        <v>9564.01</v>
      </c>
      <c r="H52" s="34">
        <f t="shared" si="1"/>
        <v>5.3166943993911975E-3</v>
      </c>
      <c r="I52" s="27"/>
      <c r="J52" s="27"/>
      <c r="L52" s="28"/>
      <c r="S52" s="27"/>
      <c r="T52" s="27"/>
      <c r="U52" s="27"/>
      <c r="W52" s="28"/>
    </row>
    <row r="53" spans="2:23" ht="13.8" hidden="1" outlineLevel="1" x14ac:dyDescent="0.25">
      <c r="B53" s="63">
        <v>45809</v>
      </c>
      <c r="C53" s="1">
        <v>2.5</v>
      </c>
      <c r="D53" s="34">
        <f t="shared" si="0"/>
        <v>1.6260162601626105E-2</v>
      </c>
      <c r="E53" s="29"/>
      <c r="F53" s="63">
        <v>45809</v>
      </c>
      <c r="G53" s="27">
        <v>9734.99</v>
      </c>
      <c r="H53" s="34">
        <f t="shared" si="1"/>
        <v>1.7877438438479221E-2</v>
      </c>
      <c r="I53" s="27"/>
      <c r="J53" s="27"/>
      <c r="L53" s="28"/>
      <c r="S53" s="27"/>
      <c r="T53" s="27"/>
      <c r="U53" s="27"/>
      <c r="W53" s="28"/>
    </row>
    <row r="54" spans="2:23" ht="13.8" hidden="1" outlineLevel="1" x14ac:dyDescent="0.25">
      <c r="B54" s="63">
        <v>45802</v>
      </c>
      <c r="C54" s="1">
        <v>2.48</v>
      </c>
      <c r="D54" s="34">
        <f t="shared" si="0"/>
        <v>-8.0000000000000071E-3</v>
      </c>
      <c r="E54" s="29"/>
      <c r="F54" s="63">
        <v>45802</v>
      </c>
      <c r="G54" s="27">
        <v>9685.1</v>
      </c>
      <c r="H54" s="34">
        <f t="shared" si="1"/>
        <v>-5.1248126603108402E-3</v>
      </c>
      <c r="I54" s="27"/>
      <c r="J54" s="27"/>
      <c r="L54" s="28"/>
      <c r="S54" s="27"/>
      <c r="T54" s="27"/>
      <c r="U54" s="27"/>
      <c r="W54" s="28"/>
    </row>
    <row r="55" spans="2:23" ht="13.8" hidden="1" outlineLevel="1" x14ac:dyDescent="0.25">
      <c r="B55" s="63">
        <v>45795</v>
      </c>
      <c r="C55" s="1">
        <v>2.5099999999999998</v>
      </c>
      <c r="D55" s="34">
        <f t="shared" si="0"/>
        <v>1.2096774193548265E-2</v>
      </c>
      <c r="E55" s="29"/>
      <c r="F55" s="63">
        <v>45795</v>
      </c>
      <c r="G55" s="27">
        <v>9665.34</v>
      </c>
      <c r="H55" s="34">
        <f t="shared" si="1"/>
        <v>-2.0402473903212703E-3</v>
      </c>
      <c r="I55" s="27"/>
      <c r="J55" s="27"/>
      <c r="L55" s="28"/>
      <c r="S55" s="27"/>
      <c r="T55" s="27"/>
      <c r="U55" s="27"/>
      <c r="W55" s="28"/>
    </row>
    <row r="56" spans="2:23" ht="13.8" hidden="1" outlineLevel="1" x14ac:dyDescent="0.25">
      <c r="B56" s="63">
        <v>45788</v>
      </c>
      <c r="C56" s="1">
        <v>2.54</v>
      </c>
      <c r="D56" s="34">
        <f t="shared" si="0"/>
        <v>1.195219123505975E-2</v>
      </c>
      <c r="E56" s="29"/>
      <c r="F56" s="63">
        <v>45788</v>
      </c>
      <c r="G56" s="27">
        <v>9654.2199999999993</v>
      </c>
      <c r="H56" s="34">
        <f t="shared" si="1"/>
        <v>-1.1505027241670573E-3</v>
      </c>
      <c r="I56" s="27"/>
      <c r="J56" s="27"/>
      <c r="L56" s="28"/>
      <c r="S56" s="27"/>
      <c r="T56" s="27"/>
      <c r="U56" s="27"/>
      <c r="W56" s="28"/>
    </row>
    <row r="57" spans="2:23" ht="13.8" hidden="1" outlineLevel="1" x14ac:dyDescent="0.25">
      <c r="B57" s="63">
        <v>45781</v>
      </c>
      <c r="C57" s="1">
        <v>2.56</v>
      </c>
      <c r="D57" s="34">
        <f t="shared" si="0"/>
        <v>7.8740157480314821E-3</v>
      </c>
      <c r="E57" s="29"/>
      <c r="F57" s="63">
        <v>45781</v>
      </c>
      <c r="G57" s="27">
        <v>9625.9699999999993</v>
      </c>
      <c r="H57" s="34">
        <f t="shared" si="1"/>
        <v>-2.9261815040468875E-3</v>
      </c>
      <c r="I57" s="27"/>
      <c r="J57" s="27"/>
      <c r="L57" s="28"/>
      <c r="S57" s="27"/>
      <c r="T57" s="27"/>
      <c r="U57" s="27"/>
      <c r="W57" s="28"/>
    </row>
    <row r="58" spans="2:23" ht="13.8" hidden="1" outlineLevel="1" x14ac:dyDescent="0.25">
      <c r="B58" s="63">
        <v>45774</v>
      </c>
      <c r="C58" s="1">
        <v>2.61</v>
      </c>
      <c r="D58" s="34">
        <f t="shared" si="0"/>
        <v>1.953125E-2</v>
      </c>
      <c r="E58" s="29"/>
      <c r="F58" s="63">
        <v>45774</v>
      </c>
      <c r="G58" s="27">
        <v>9579.1</v>
      </c>
      <c r="H58" s="34">
        <f t="shared" si="1"/>
        <v>-4.8691196835226602E-3</v>
      </c>
      <c r="I58" s="27"/>
      <c r="J58" s="27"/>
      <c r="L58" s="28"/>
      <c r="S58" s="27"/>
      <c r="T58" s="27"/>
      <c r="U58" s="27"/>
      <c r="W58" s="28"/>
    </row>
    <row r="59" spans="2:23" ht="13.8" hidden="1" outlineLevel="1" x14ac:dyDescent="0.25">
      <c r="B59" s="63">
        <v>45767</v>
      </c>
      <c r="C59" s="1">
        <v>2.57</v>
      </c>
      <c r="D59" s="34">
        <f t="shared" si="0"/>
        <v>-1.5325670498084309E-2</v>
      </c>
      <c r="E59" s="29"/>
      <c r="F59" s="63">
        <v>45767</v>
      </c>
      <c r="G59" s="27">
        <v>9391.83</v>
      </c>
      <c r="H59" s="34">
        <f t="shared" si="1"/>
        <v>-1.9549853326512934E-2</v>
      </c>
      <c r="I59" s="27"/>
      <c r="J59" s="27"/>
      <c r="L59" s="28"/>
      <c r="S59" s="27"/>
      <c r="T59" s="27"/>
      <c r="U59" s="27"/>
      <c r="W59" s="28"/>
    </row>
    <row r="60" spans="2:23" ht="13.8" hidden="1" outlineLevel="1" x14ac:dyDescent="0.25">
      <c r="B60" s="63">
        <v>45760</v>
      </c>
      <c r="C60" s="1">
        <v>2.59</v>
      </c>
      <c r="D60" s="34">
        <f t="shared" si="0"/>
        <v>7.7821011673151474E-3</v>
      </c>
      <c r="E60" s="29"/>
      <c r="F60" s="63">
        <v>45760</v>
      </c>
      <c r="G60" s="27">
        <v>9277.65</v>
      </c>
      <c r="H60" s="34">
        <f t="shared" si="1"/>
        <v>-1.2157375080255939E-2</v>
      </c>
      <c r="I60" s="27"/>
      <c r="J60" s="27"/>
      <c r="L60" s="28"/>
      <c r="S60" s="27"/>
      <c r="T60" s="27"/>
      <c r="U60" s="27"/>
      <c r="W60" s="28"/>
    </row>
    <row r="61" spans="2:23" ht="13.8" hidden="1" outlineLevel="1" x14ac:dyDescent="0.25">
      <c r="B61" s="63">
        <v>45753</v>
      </c>
      <c r="C61" s="1">
        <v>2.66</v>
      </c>
      <c r="D61" s="34">
        <f t="shared" si="0"/>
        <v>2.7027027027027195E-2</v>
      </c>
      <c r="E61" s="29"/>
      <c r="F61" s="63">
        <v>45753</v>
      </c>
      <c r="G61" s="27">
        <v>9157.8799999999992</v>
      </c>
      <c r="H61" s="34">
        <f t="shared" si="1"/>
        <v>-1.2909519113137535E-2</v>
      </c>
      <c r="I61" s="27"/>
      <c r="J61" s="27"/>
      <c r="L61" s="28"/>
      <c r="S61" s="27"/>
      <c r="T61" s="27"/>
      <c r="U61" s="27"/>
      <c r="W61" s="28"/>
    </row>
    <row r="62" spans="2:23" ht="13.8" hidden="1" outlineLevel="1" x14ac:dyDescent="0.25">
      <c r="B62" s="63">
        <v>45746</v>
      </c>
      <c r="C62" s="1">
        <v>2.42</v>
      </c>
      <c r="D62" s="34">
        <f t="shared" si="0"/>
        <v>-9.0225563909774542E-2</v>
      </c>
      <c r="E62" s="29"/>
      <c r="F62" s="63">
        <v>45746</v>
      </c>
      <c r="G62" s="27">
        <v>9186.9699999999993</v>
      </c>
      <c r="H62" s="34">
        <f t="shared" si="1"/>
        <v>3.1764993644818329E-3</v>
      </c>
      <c r="I62" s="27"/>
      <c r="J62" s="27"/>
      <c r="L62" s="28"/>
      <c r="S62" s="27"/>
      <c r="T62" s="27"/>
      <c r="U62" s="27"/>
      <c r="W62" s="28"/>
    </row>
    <row r="63" spans="2:23" ht="13.8" hidden="1" outlineLevel="1" x14ac:dyDescent="0.25">
      <c r="B63" s="63">
        <v>45739</v>
      </c>
      <c r="C63" s="1">
        <v>2.44</v>
      </c>
      <c r="D63" s="34">
        <f t="shared" si="0"/>
        <v>8.2644628099173278E-3</v>
      </c>
      <c r="E63" s="29"/>
      <c r="F63" s="63">
        <v>45739</v>
      </c>
      <c r="G63" s="27">
        <v>9368.81</v>
      </c>
      <c r="H63" s="34">
        <f t="shared" si="1"/>
        <v>1.9793250658269201E-2</v>
      </c>
      <c r="I63" s="27"/>
      <c r="J63" s="27"/>
      <c r="L63" s="28"/>
      <c r="S63" s="27"/>
      <c r="T63" s="27"/>
      <c r="U63" s="27"/>
      <c r="W63" s="28"/>
    </row>
    <row r="64" spans="2:23" ht="13.8" hidden="1" outlineLevel="1" x14ac:dyDescent="0.25">
      <c r="B64" s="63">
        <v>45718</v>
      </c>
      <c r="C64" s="1">
        <v>2.36</v>
      </c>
      <c r="D64" s="34">
        <f t="shared" si="0"/>
        <v>-3.2786885245901676E-2</v>
      </c>
      <c r="E64" s="29"/>
      <c r="F64" s="63">
        <v>45718</v>
      </c>
      <c r="G64" s="27">
        <v>9532.94</v>
      </c>
      <c r="H64" s="34">
        <f t="shared" si="1"/>
        <v>1.7518767057929541E-2</v>
      </c>
      <c r="I64" s="27"/>
      <c r="J64" s="27"/>
      <c r="L64" s="28"/>
      <c r="S64" s="27"/>
      <c r="T64" s="27"/>
      <c r="U64" s="27"/>
      <c r="W64" s="28"/>
    </row>
    <row r="65" spans="2:23" ht="13.8" hidden="1" outlineLevel="1" x14ac:dyDescent="0.25">
      <c r="B65" s="63">
        <v>45711</v>
      </c>
      <c r="C65" s="1">
        <v>2.64</v>
      </c>
      <c r="D65" s="34">
        <f t="shared" si="0"/>
        <v>0.1186440677966103</v>
      </c>
      <c r="E65" s="29"/>
      <c r="F65" s="63">
        <v>45711</v>
      </c>
      <c r="G65" s="27">
        <v>9564.6200000000008</v>
      </c>
      <c r="H65" s="34">
        <f t="shared" si="1"/>
        <v>3.3232140347050354E-3</v>
      </c>
      <c r="I65" s="27"/>
      <c r="J65" s="27"/>
      <c r="L65" s="28"/>
      <c r="S65" s="27"/>
      <c r="T65" s="27"/>
      <c r="U65" s="27"/>
      <c r="W65" s="28"/>
    </row>
    <row r="66" spans="2:23" ht="13.8" hidden="1" outlineLevel="1" x14ac:dyDescent="0.25">
      <c r="B66" s="63">
        <v>45704</v>
      </c>
      <c r="C66" s="1">
        <v>2.5499999999999998</v>
      </c>
      <c r="D66" s="34">
        <f t="shared" si="0"/>
        <v>-3.4090909090909172E-2</v>
      </c>
      <c r="E66" s="29"/>
      <c r="F66" s="63">
        <v>45704</v>
      </c>
      <c r="G66" s="27">
        <v>9618.34</v>
      </c>
      <c r="H66" s="34">
        <f t="shared" si="1"/>
        <v>5.6165325961721191E-3</v>
      </c>
      <c r="I66" s="27"/>
      <c r="J66" s="27"/>
      <c r="L66" s="28"/>
      <c r="S66" s="27"/>
      <c r="T66" s="27"/>
      <c r="U66" s="27"/>
      <c r="W66" s="28"/>
    </row>
    <row r="67" spans="2:23" ht="13.8" hidden="1" outlineLevel="1" x14ac:dyDescent="0.25">
      <c r="B67" s="63">
        <v>45697</v>
      </c>
      <c r="C67" s="1">
        <v>2.5499999999999998</v>
      </c>
      <c r="D67" s="34">
        <f t="shared" si="0"/>
        <v>0</v>
      </c>
      <c r="E67" s="29"/>
      <c r="F67" s="63">
        <v>45697</v>
      </c>
      <c r="G67" s="27">
        <v>9658.73</v>
      </c>
      <c r="H67" s="34">
        <f t="shared" si="1"/>
        <v>4.1992693125840752E-3</v>
      </c>
      <c r="I67" s="27"/>
      <c r="J67" s="27"/>
      <c r="L67" s="28"/>
      <c r="S67" s="27"/>
      <c r="T67" s="27"/>
      <c r="U67" s="27"/>
      <c r="W67" s="28"/>
    </row>
    <row r="68" spans="2:23" ht="13.8" hidden="1" outlineLevel="1" x14ac:dyDescent="0.25">
      <c r="B68" s="63">
        <v>45690</v>
      </c>
      <c r="C68" s="1">
        <v>2.5499999999999998</v>
      </c>
      <c r="D68" s="34">
        <f t="shared" si="0"/>
        <v>0</v>
      </c>
      <c r="E68" s="29"/>
      <c r="F68" s="63">
        <v>45690</v>
      </c>
      <c r="G68" s="27">
        <v>9563.32</v>
      </c>
      <c r="H68" s="34">
        <f t="shared" si="1"/>
        <v>-9.8781102691554157E-3</v>
      </c>
      <c r="I68" s="27"/>
      <c r="J68" s="27"/>
      <c r="L68" s="28"/>
      <c r="S68" s="27"/>
      <c r="T68" s="27"/>
      <c r="U68" s="27"/>
      <c r="W68" s="28"/>
    </row>
    <row r="69" spans="2:23" ht="13.8" hidden="1" outlineLevel="1" x14ac:dyDescent="0.25">
      <c r="B69" s="63">
        <v>45683</v>
      </c>
      <c r="C69" s="1">
        <v>2.4700000000000002</v>
      </c>
      <c r="D69" s="34">
        <f t="shared" si="0"/>
        <v>-3.1372549019607732E-2</v>
      </c>
      <c r="E69" s="29"/>
      <c r="F69" s="63">
        <v>45683</v>
      </c>
      <c r="G69" s="27">
        <v>9583.6</v>
      </c>
      <c r="H69" s="34">
        <f t="shared" si="1"/>
        <v>2.1206024685989089E-3</v>
      </c>
      <c r="I69" s="27"/>
      <c r="J69" s="27"/>
      <c r="L69" s="28"/>
      <c r="S69" s="27"/>
      <c r="T69" s="27"/>
      <c r="U69" s="27"/>
      <c r="W69" s="28"/>
    </row>
    <row r="70" spans="2:23" ht="13.8" hidden="1" outlineLevel="1" x14ac:dyDescent="0.25">
      <c r="B70" s="63">
        <v>45676</v>
      </c>
      <c r="C70" s="1">
        <v>2.48</v>
      </c>
      <c r="D70" s="34">
        <f t="shared" si="0"/>
        <v>4.0485829959513442E-3</v>
      </c>
      <c r="E70" s="29"/>
      <c r="F70" s="63">
        <v>45676</v>
      </c>
      <c r="G70" s="27">
        <v>9542.8700000000008</v>
      </c>
      <c r="H70" s="34">
        <f t="shared" si="1"/>
        <v>-4.2499686965231653E-3</v>
      </c>
      <c r="I70" s="27"/>
      <c r="J70" s="27"/>
      <c r="L70" s="28"/>
      <c r="S70" s="27"/>
      <c r="T70" s="27"/>
      <c r="U70" s="27"/>
      <c r="W70" s="28"/>
    </row>
    <row r="71" spans="2:23" ht="13.8" hidden="1" outlineLevel="1" x14ac:dyDescent="0.25">
      <c r="B71" s="63">
        <v>45669</v>
      </c>
      <c r="C71" s="1">
        <v>2.48</v>
      </c>
      <c r="D71" s="34">
        <f t="shared" si="0"/>
        <v>0</v>
      </c>
      <c r="E71" s="29"/>
      <c r="F71" s="63">
        <v>45669</v>
      </c>
      <c r="G71" s="27">
        <v>9506.2900000000009</v>
      </c>
      <c r="H71" s="34">
        <f t="shared" si="1"/>
        <v>-3.8332283684049395E-3</v>
      </c>
      <c r="I71" s="27"/>
      <c r="J71" s="27"/>
      <c r="L71" s="28"/>
      <c r="S71" s="27"/>
      <c r="T71" s="27"/>
      <c r="U71" s="27"/>
      <c r="W71" s="28"/>
    </row>
    <row r="72" spans="2:23" ht="13.8" hidden="1" outlineLevel="1" x14ac:dyDescent="0.25">
      <c r="B72" s="63">
        <v>45662</v>
      </c>
      <c r="C72" s="1">
        <v>2.4900000000000002</v>
      </c>
      <c r="D72" s="34">
        <f t="shared" si="0"/>
        <v>4.0322580645162365E-3</v>
      </c>
      <c r="E72" s="29"/>
      <c r="F72" s="63">
        <v>45662</v>
      </c>
      <c r="G72" s="27">
        <v>9462.64</v>
      </c>
      <c r="H72" s="34">
        <f t="shared" si="1"/>
        <v>-4.5916966555828997E-3</v>
      </c>
      <c r="I72" s="27"/>
      <c r="J72" s="27"/>
      <c r="L72" s="28"/>
      <c r="S72" s="27"/>
      <c r="T72" s="27"/>
      <c r="U72" s="27"/>
      <c r="W72" s="28"/>
    </row>
    <row r="73" spans="2:23" ht="13.8" hidden="1" outlineLevel="1" x14ac:dyDescent="0.25">
      <c r="B73" s="63">
        <v>45655</v>
      </c>
      <c r="C73" s="1">
        <v>2.41</v>
      </c>
      <c r="D73" s="34">
        <f t="shared" si="0"/>
        <v>-3.2128514056224966E-2</v>
      </c>
      <c r="E73" s="29"/>
      <c r="F73" s="63">
        <v>45655</v>
      </c>
      <c r="G73" s="27">
        <v>9322.02</v>
      </c>
      <c r="H73" s="34">
        <f t="shared" si="1"/>
        <v>-1.4860546316883938E-2</v>
      </c>
      <c r="I73" s="27"/>
      <c r="J73" s="27"/>
      <c r="L73" s="28"/>
      <c r="S73" s="27"/>
      <c r="T73" s="27"/>
      <c r="U73" s="27"/>
      <c r="W73" s="28"/>
    </row>
    <row r="74" spans="2:23" ht="13.8" hidden="1" outlineLevel="1" x14ac:dyDescent="0.25">
      <c r="B74" s="63">
        <v>45648</v>
      </c>
      <c r="C74" s="1">
        <v>2.42</v>
      </c>
      <c r="D74" s="34">
        <f t="shared" si="0"/>
        <v>4.1493775933609811E-3</v>
      </c>
      <c r="E74" s="29"/>
      <c r="F74" s="63">
        <v>45648</v>
      </c>
      <c r="G74" s="27">
        <v>9376.69</v>
      </c>
      <c r="H74" s="34">
        <f t="shared" si="1"/>
        <v>5.8646087435985095E-3</v>
      </c>
      <c r="I74" s="27"/>
      <c r="J74" s="27"/>
      <c r="L74" s="28"/>
      <c r="S74" s="27"/>
      <c r="T74" s="27"/>
      <c r="U74" s="27"/>
      <c r="W74" s="28"/>
    </row>
    <row r="75" spans="2:23" ht="13.8" hidden="1" outlineLevel="1" x14ac:dyDescent="0.25">
      <c r="B75" s="63">
        <v>45641</v>
      </c>
      <c r="C75" s="1">
        <v>2.44</v>
      </c>
      <c r="D75" s="34">
        <f t="shared" si="0"/>
        <v>8.2644628099173278E-3</v>
      </c>
      <c r="E75" s="29"/>
      <c r="F75" s="63">
        <v>45641</v>
      </c>
      <c r="G75" s="27">
        <v>9273.0499999999993</v>
      </c>
      <c r="H75" s="34">
        <f t="shared" si="1"/>
        <v>-1.1052940856528415E-2</v>
      </c>
      <c r="I75" s="27"/>
      <c r="J75" s="27"/>
      <c r="L75" s="28"/>
      <c r="S75" s="27"/>
      <c r="T75" s="27"/>
      <c r="U75" s="27"/>
      <c r="W75" s="28"/>
    </row>
    <row r="76" spans="2:23" ht="13.8" hidden="1" outlineLevel="1" x14ac:dyDescent="0.25">
      <c r="B76" s="63">
        <v>45634</v>
      </c>
      <c r="C76" s="1">
        <v>2.4700000000000002</v>
      </c>
      <c r="D76" s="34">
        <f t="shared" si="0"/>
        <v>1.2295081967213184E-2</v>
      </c>
      <c r="E76" s="29"/>
      <c r="F76" s="63">
        <v>45634</v>
      </c>
      <c r="G76" s="27">
        <v>9275.6299999999992</v>
      </c>
      <c r="H76" s="34">
        <f t="shared" si="1"/>
        <v>2.7822561077539554E-4</v>
      </c>
      <c r="I76" s="27"/>
      <c r="J76" s="27"/>
      <c r="L76" s="28"/>
      <c r="S76" s="27"/>
      <c r="T76" s="27"/>
      <c r="U76" s="27"/>
      <c r="W76" s="28"/>
    </row>
    <row r="77" spans="2:23" ht="13.8" hidden="1" outlineLevel="1" x14ac:dyDescent="0.25">
      <c r="B77" s="63">
        <v>45627</v>
      </c>
      <c r="C77" s="1">
        <v>2.4900000000000002</v>
      </c>
      <c r="D77" s="34">
        <f t="shared" si="0"/>
        <v>8.0971659919029104E-3</v>
      </c>
      <c r="E77" s="29"/>
      <c r="F77" s="63">
        <v>45627</v>
      </c>
      <c r="G77" s="27">
        <v>9276.7199999999993</v>
      </c>
      <c r="H77" s="34">
        <f t="shared" si="1"/>
        <v>1.1751223367029162E-4</v>
      </c>
      <c r="I77" s="27"/>
      <c r="J77" s="27"/>
      <c r="L77" s="28"/>
      <c r="S77" s="27"/>
      <c r="T77" s="27"/>
      <c r="U77" s="27"/>
      <c r="W77" s="28"/>
    </row>
    <row r="78" spans="2:23" ht="13.8" hidden="1" outlineLevel="1" x14ac:dyDescent="0.25">
      <c r="B78" s="63">
        <v>45620</v>
      </c>
      <c r="C78" s="1">
        <v>2.48</v>
      </c>
      <c r="D78" s="34">
        <f t="shared" si="0"/>
        <v>-4.0160642570281624E-3</v>
      </c>
      <c r="E78" s="29"/>
      <c r="F78" s="63">
        <v>45620</v>
      </c>
      <c r="G78" s="27">
        <v>9260.7000000000007</v>
      </c>
      <c r="H78" s="34">
        <f t="shared" si="1"/>
        <v>-1.7269034745037715E-3</v>
      </c>
      <c r="I78" s="27"/>
      <c r="J78" s="27"/>
      <c r="L78" s="28"/>
      <c r="S78" s="27"/>
      <c r="T78" s="27"/>
      <c r="U78" s="27"/>
      <c r="W78" s="28"/>
    </row>
    <row r="79" spans="2:23" ht="13.8" hidden="1" outlineLevel="1" x14ac:dyDescent="0.25">
      <c r="B79" s="63">
        <v>45613</v>
      </c>
      <c r="C79" s="1">
        <v>2.4300000000000002</v>
      </c>
      <c r="D79" s="34">
        <f t="shared" si="0"/>
        <v>-2.0161290322580627E-2</v>
      </c>
      <c r="E79" s="29"/>
      <c r="F79" s="63">
        <v>45613</v>
      </c>
      <c r="G79" s="27">
        <v>9313.35</v>
      </c>
      <c r="H79" s="34">
        <f t="shared" si="1"/>
        <v>5.6853153649292221E-3</v>
      </c>
      <c r="I79" s="27"/>
      <c r="J79" s="27"/>
      <c r="L79" s="28"/>
      <c r="S79" s="27"/>
      <c r="T79" s="27"/>
      <c r="U79" s="27"/>
      <c r="W79" s="28"/>
    </row>
    <row r="80" spans="2:23" ht="13.8" hidden="1" outlineLevel="1" x14ac:dyDescent="0.25">
      <c r="B80" s="63">
        <v>45606</v>
      </c>
      <c r="C80" s="1">
        <v>2.5</v>
      </c>
      <c r="D80" s="34">
        <f t="shared" ref="D80:D143" si="2">C80/C79-1</f>
        <v>2.8806584362139898E-2</v>
      </c>
      <c r="E80" s="29"/>
      <c r="F80" s="63">
        <v>45606</v>
      </c>
      <c r="G80" s="27">
        <v>9399.56</v>
      </c>
      <c r="H80" s="34">
        <f t="shared" ref="H80:H143" si="3">G80/G79-1</f>
        <v>9.2566047662763218E-3</v>
      </c>
      <c r="I80" s="27"/>
      <c r="J80" s="27"/>
      <c r="L80" s="28"/>
      <c r="S80" s="27"/>
      <c r="T80" s="27"/>
      <c r="U80" s="27"/>
      <c r="W80" s="28"/>
    </row>
    <row r="81" spans="2:23" ht="13.8" hidden="1" outlineLevel="1" x14ac:dyDescent="0.25">
      <c r="B81" s="63">
        <v>45599</v>
      </c>
      <c r="C81" s="1">
        <v>2.5299999999999998</v>
      </c>
      <c r="D81" s="34">
        <f t="shared" si="2"/>
        <v>1.2000000000000011E-2</v>
      </c>
      <c r="E81" s="29"/>
      <c r="F81" s="63">
        <v>45599</v>
      </c>
      <c r="G81" s="27">
        <v>9466.2099999999991</v>
      </c>
      <c r="H81" s="34">
        <f t="shared" si="3"/>
        <v>7.0907574397098827E-3</v>
      </c>
      <c r="I81" s="27"/>
      <c r="J81" s="27"/>
      <c r="L81" s="28"/>
      <c r="S81" s="27"/>
      <c r="T81" s="27"/>
      <c r="U81" s="27"/>
      <c r="W81" s="28"/>
    </row>
    <row r="82" spans="2:23" ht="13.8" hidden="1" outlineLevel="1" x14ac:dyDescent="0.25">
      <c r="B82" s="63">
        <v>45592</v>
      </c>
      <c r="C82" s="1">
        <v>2.5499999999999998</v>
      </c>
      <c r="D82" s="34">
        <f t="shared" si="2"/>
        <v>7.905138339920903E-3</v>
      </c>
      <c r="E82" s="29"/>
      <c r="F82" s="63">
        <v>45592</v>
      </c>
      <c r="G82" s="27">
        <v>9327.92</v>
      </c>
      <c r="H82" s="34">
        <f t="shared" si="3"/>
        <v>-1.4608803311990659E-2</v>
      </c>
      <c r="I82" s="27"/>
      <c r="J82" s="27"/>
      <c r="L82" s="28"/>
      <c r="S82" s="27"/>
      <c r="T82" s="27"/>
      <c r="U82" s="27"/>
      <c r="W82" s="28"/>
    </row>
    <row r="83" spans="2:23" ht="13.8" hidden="1" outlineLevel="1" x14ac:dyDescent="0.25">
      <c r="B83" s="63">
        <v>45585</v>
      </c>
      <c r="C83" s="1">
        <v>2.48</v>
      </c>
      <c r="D83" s="34">
        <f t="shared" si="2"/>
        <v>-2.7450980392156765E-2</v>
      </c>
      <c r="E83" s="29"/>
      <c r="F83" s="63">
        <v>45585</v>
      </c>
      <c r="G83" s="27">
        <v>9195.86</v>
      </c>
      <c r="H83" s="34">
        <f t="shared" si="3"/>
        <v>-1.4157497062581959E-2</v>
      </c>
      <c r="I83" s="27"/>
      <c r="J83" s="27"/>
      <c r="L83" s="28"/>
      <c r="S83" s="27"/>
      <c r="T83" s="27"/>
      <c r="U83" s="27"/>
      <c r="W83" s="28"/>
    </row>
    <row r="84" spans="2:23" ht="13.8" hidden="1" outlineLevel="1" x14ac:dyDescent="0.25">
      <c r="B84" s="63">
        <v>45578</v>
      </c>
      <c r="C84" s="1">
        <v>2.4500000000000002</v>
      </c>
      <c r="D84" s="34">
        <f t="shared" si="2"/>
        <v>-1.2096774193548265E-2</v>
      </c>
      <c r="E84" s="29"/>
      <c r="F84" s="63">
        <v>45578</v>
      </c>
      <c r="G84" s="27">
        <v>9277.1200000000008</v>
      </c>
      <c r="H84" s="34">
        <f t="shared" si="3"/>
        <v>8.8365851589737865E-3</v>
      </c>
      <c r="I84" s="27"/>
      <c r="J84" s="27"/>
      <c r="L84" s="28"/>
      <c r="S84" s="27"/>
      <c r="T84" s="27"/>
      <c r="U84" s="27"/>
      <c r="W84" s="28"/>
    </row>
    <row r="85" spans="2:23" ht="13.8" hidden="1" outlineLevel="1" x14ac:dyDescent="0.25">
      <c r="B85" s="63">
        <v>45571</v>
      </c>
      <c r="C85" s="1">
        <v>2.4500000000000002</v>
      </c>
      <c r="D85" s="34">
        <f t="shared" si="2"/>
        <v>0</v>
      </c>
      <c r="E85" s="29"/>
      <c r="F85" s="63">
        <v>45571</v>
      </c>
      <c r="G85" s="27">
        <v>9250.75</v>
      </c>
      <c r="H85" s="34">
        <f t="shared" si="3"/>
        <v>-2.8424769756132395E-3</v>
      </c>
      <c r="I85" s="27"/>
      <c r="J85" s="27"/>
      <c r="L85" s="28"/>
      <c r="S85" s="27"/>
      <c r="T85" s="27"/>
      <c r="U85" s="27"/>
      <c r="W85" s="28"/>
    </row>
    <row r="86" spans="2:23" ht="13.8" hidden="1" outlineLevel="1" x14ac:dyDescent="0.25">
      <c r="B86" s="63">
        <v>45564</v>
      </c>
      <c r="C86" s="1">
        <v>2.4500000000000002</v>
      </c>
      <c r="D86" s="34">
        <f t="shared" si="2"/>
        <v>0</v>
      </c>
      <c r="E86" s="29"/>
      <c r="F86" s="63">
        <v>45564</v>
      </c>
      <c r="G86" s="27">
        <v>9213.74</v>
      </c>
      <c r="H86" s="34">
        <f t="shared" si="3"/>
        <v>-4.0007566954031182E-3</v>
      </c>
      <c r="I86" s="27"/>
      <c r="J86" s="27"/>
      <c r="L86" s="28"/>
      <c r="S86" s="27"/>
      <c r="T86" s="27"/>
      <c r="U86" s="27"/>
      <c r="W86" s="28"/>
    </row>
    <row r="87" spans="2:23" ht="13.8" hidden="1" outlineLevel="1" x14ac:dyDescent="0.25">
      <c r="B87" s="63">
        <v>45557</v>
      </c>
      <c r="C87" s="1">
        <v>2.4500000000000002</v>
      </c>
      <c r="D87" s="34">
        <f t="shared" si="2"/>
        <v>0</v>
      </c>
      <c r="E87" s="29"/>
      <c r="F87" s="63">
        <v>45557</v>
      </c>
      <c r="G87" s="27">
        <v>9513.9</v>
      </c>
      <c r="H87" s="34">
        <f t="shared" si="3"/>
        <v>3.2577433268140776E-2</v>
      </c>
      <c r="I87" s="27"/>
      <c r="J87" s="27"/>
      <c r="L87" s="28"/>
      <c r="S87" s="27"/>
      <c r="T87" s="27"/>
      <c r="U87" s="27"/>
      <c r="W87" s="28"/>
    </row>
    <row r="88" spans="2:23" ht="13.8" hidden="1" outlineLevel="1" x14ac:dyDescent="0.25">
      <c r="B88" s="63">
        <v>45550</v>
      </c>
      <c r="C88" s="1">
        <v>2.46</v>
      </c>
      <c r="D88" s="34">
        <f t="shared" si="2"/>
        <v>4.0816326530610514E-3</v>
      </c>
      <c r="E88" s="29"/>
      <c r="F88" s="63">
        <v>45550</v>
      </c>
      <c r="G88" s="27">
        <v>9500.2199999999993</v>
      </c>
      <c r="H88" s="34">
        <f t="shared" si="3"/>
        <v>-1.4378961309242655E-3</v>
      </c>
      <c r="I88" s="27"/>
      <c r="J88" s="27"/>
      <c r="L88" s="28"/>
      <c r="S88" s="27"/>
      <c r="T88" s="27"/>
      <c r="U88" s="27"/>
      <c r="W88" s="28"/>
    </row>
    <row r="89" spans="2:23" ht="13.8" hidden="1" outlineLevel="1" x14ac:dyDescent="0.25">
      <c r="B89" s="63">
        <v>45543</v>
      </c>
      <c r="C89" s="1">
        <v>2.4500000000000002</v>
      </c>
      <c r="D89" s="34">
        <f t="shared" si="2"/>
        <v>-4.0650406504064707E-3</v>
      </c>
      <c r="E89" s="29"/>
      <c r="F89" s="63">
        <v>45543</v>
      </c>
      <c r="G89" s="27">
        <v>9307.7199999999993</v>
      </c>
      <c r="H89" s="34">
        <f t="shared" si="3"/>
        <v>-2.0262688653525873E-2</v>
      </c>
      <c r="I89" s="27"/>
      <c r="J89" s="27"/>
      <c r="L89" s="28"/>
      <c r="S89" s="27"/>
      <c r="T89" s="27"/>
      <c r="U89" s="27"/>
      <c r="W89" s="28"/>
    </row>
    <row r="90" spans="2:23" ht="13.8" hidden="1" outlineLevel="1" x14ac:dyDescent="0.25">
      <c r="B90" s="63">
        <v>45536</v>
      </c>
      <c r="C90" s="1">
        <v>2.59</v>
      </c>
      <c r="D90" s="34">
        <f t="shared" si="2"/>
        <v>5.714285714285694E-2</v>
      </c>
      <c r="E90" s="29"/>
      <c r="F90" s="63">
        <v>45536</v>
      </c>
      <c r="G90" s="27">
        <v>9477.34</v>
      </c>
      <c r="H90" s="34">
        <f t="shared" si="3"/>
        <v>1.8223582144714312E-2</v>
      </c>
      <c r="I90" s="27"/>
      <c r="J90" s="27"/>
      <c r="L90" s="28"/>
      <c r="S90" s="27"/>
      <c r="T90" s="27"/>
      <c r="U90" s="27"/>
      <c r="W90" s="28"/>
    </row>
    <row r="91" spans="2:23" ht="13.8" hidden="1" outlineLevel="1" x14ac:dyDescent="0.25">
      <c r="B91" s="63">
        <v>45529</v>
      </c>
      <c r="C91" s="1">
        <v>2.52</v>
      </c>
      <c r="D91" s="34">
        <f t="shared" si="2"/>
        <v>-2.7027027027026973E-2</v>
      </c>
      <c r="E91" s="29"/>
      <c r="F91" s="63">
        <v>45529</v>
      </c>
      <c r="G91" s="27">
        <v>9232.56</v>
      </c>
      <c r="H91" s="34">
        <f t="shared" si="3"/>
        <v>-2.5827922180696294E-2</v>
      </c>
      <c r="I91" s="27"/>
      <c r="J91" s="27"/>
      <c r="L91" s="28"/>
      <c r="S91" s="27"/>
      <c r="T91" s="27"/>
      <c r="U91" s="27"/>
      <c r="W91" s="28"/>
    </row>
    <row r="92" spans="2:23" ht="13.8" hidden="1" outlineLevel="1" x14ac:dyDescent="0.25">
      <c r="B92" s="63">
        <v>45522</v>
      </c>
      <c r="C92" s="1">
        <v>2.5499999999999998</v>
      </c>
      <c r="D92" s="34">
        <f t="shared" si="2"/>
        <v>1.1904761904761862E-2</v>
      </c>
      <c r="E92" s="29"/>
      <c r="F92" s="63">
        <v>45522</v>
      </c>
      <c r="G92" s="27">
        <v>9370.7000000000007</v>
      </c>
      <c r="H92" s="34">
        <f t="shared" si="3"/>
        <v>1.496226398745315E-2</v>
      </c>
      <c r="I92" s="27"/>
      <c r="J92" s="27"/>
      <c r="L92" s="28"/>
      <c r="S92" s="27"/>
      <c r="T92" s="27"/>
      <c r="U92" s="27"/>
      <c r="W92" s="28"/>
    </row>
    <row r="93" spans="2:23" ht="13.8" hidden="1" outlineLevel="1" x14ac:dyDescent="0.25">
      <c r="B93" s="63">
        <v>45515</v>
      </c>
      <c r="C93" s="1">
        <v>2.46</v>
      </c>
      <c r="D93" s="34">
        <f t="shared" si="2"/>
        <v>-3.5294117647058809E-2</v>
      </c>
      <c r="E93" s="29"/>
      <c r="F93" s="63">
        <v>45515</v>
      </c>
      <c r="G93" s="27">
        <v>9236.9500000000007</v>
      </c>
      <c r="H93" s="34">
        <f t="shared" si="3"/>
        <v>-1.4273213313839905E-2</v>
      </c>
      <c r="I93" s="27"/>
      <c r="J93" s="27"/>
      <c r="L93" s="28"/>
      <c r="S93" s="27"/>
      <c r="T93" s="27"/>
      <c r="U93" s="27"/>
      <c r="W93" s="28"/>
    </row>
    <row r="94" spans="2:23" ht="13.8" hidden="1" outlineLevel="1" x14ac:dyDescent="0.25">
      <c r="B94" s="63">
        <v>45508</v>
      </c>
      <c r="C94" s="1">
        <v>2.4</v>
      </c>
      <c r="D94" s="34">
        <f t="shared" si="2"/>
        <v>-2.4390243902439046E-2</v>
      </c>
      <c r="E94" s="29"/>
      <c r="F94" s="63">
        <v>45508</v>
      </c>
      <c r="G94" s="27">
        <v>9255.14</v>
      </c>
      <c r="H94" s="34">
        <f t="shared" si="3"/>
        <v>1.9692647464799595E-3</v>
      </c>
      <c r="I94" s="27"/>
      <c r="J94" s="27"/>
      <c r="L94" s="28"/>
      <c r="S94" s="27"/>
      <c r="T94" s="27"/>
      <c r="U94" s="27"/>
      <c r="W94" s="28"/>
    </row>
    <row r="95" spans="2:23" ht="13.8" hidden="1" outlineLevel="1" x14ac:dyDescent="0.25">
      <c r="B95" s="63">
        <v>45501</v>
      </c>
      <c r="C95" s="1">
        <v>2.4500000000000002</v>
      </c>
      <c r="D95" s="34">
        <f t="shared" si="2"/>
        <v>2.0833333333333481E-2</v>
      </c>
      <c r="E95" s="29"/>
      <c r="F95" s="63">
        <v>45501</v>
      </c>
      <c r="G95" s="27">
        <v>9366.58</v>
      </c>
      <c r="H95" s="34">
        <f t="shared" si="3"/>
        <v>1.2040876745246454E-2</v>
      </c>
      <c r="I95" s="27"/>
      <c r="J95" s="27"/>
      <c r="L95" s="28"/>
      <c r="S95" s="27"/>
      <c r="T95" s="27"/>
      <c r="U95" s="27"/>
      <c r="W95" s="28"/>
    </row>
    <row r="96" spans="2:23" ht="13.8" hidden="1" outlineLevel="1" x14ac:dyDescent="0.25">
      <c r="B96" s="63">
        <v>45494</v>
      </c>
      <c r="C96" s="1">
        <v>2.44</v>
      </c>
      <c r="D96" s="34">
        <f t="shared" si="2"/>
        <v>-4.0816326530612734E-3</v>
      </c>
      <c r="E96" s="29"/>
      <c r="F96" s="63">
        <v>45494</v>
      </c>
      <c r="G96" s="27">
        <v>9303.41</v>
      </c>
      <c r="H96" s="34">
        <f t="shared" si="3"/>
        <v>-6.7441905156417903E-3</v>
      </c>
      <c r="I96" s="27"/>
      <c r="J96" s="27"/>
      <c r="L96" s="28"/>
      <c r="S96" s="27"/>
      <c r="T96" s="27"/>
      <c r="U96" s="27"/>
      <c r="W96" s="28"/>
    </row>
    <row r="97" spans="2:23" ht="13.8" hidden="1" outlineLevel="1" x14ac:dyDescent="0.25">
      <c r="B97" s="63">
        <v>45487</v>
      </c>
      <c r="C97" s="1">
        <v>2.41</v>
      </c>
      <c r="D97" s="34">
        <f t="shared" si="2"/>
        <v>-1.2295081967213073E-2</v>
      </c>
      <c r="E97" s="29"/>
      <c r="F97" s="63">
        <v>45487</v>
      </c>
      <c r="G97" s="27">
        <v>9226.48</v>
      </c>
      <c r="H97" s="34">
        <f t="shared" si="3"/>
        <v>-8.2690110400380767E-3</v>
      </c>
      <c r="I97" s="27"/>
      <c r="J97" s="27"/>
      <c r="L97" s="28"/>
      <c r="S97" s="27"/>
      <c r="T97" s="27"/>
      <c r="U97" s="27"/>
      <c r="W97" s="28"/>
    </row>
    <row r="98" spans="2:23" ht="13.8" hidden="1" outlineLevel="1" x14ac:dyDescent="0.25">
      <c r="B98" s="63">
        <v>45480</v>
      </c>
      <c r="C98" s="1">
        <v>2.33</v>
      </c>
      <c r="D98" s="34">
        <f t="shared" si="2"/>
        <v>-3.319502074688796E-2</v>
      </c>
      <c r="E98" s="29"/>
      <c r="F98" s="63">
        <v>45480</v>
      </c>
      <c r="G98" s="27">
        <v>9151.2999999999993</v>
      </c>
      <c r="H98" s="34">
        <f t="shared" si="3"/>
        <v>-8.1482862370048093E-3</v>
      </c>
      <c r="I98" s="27"/>
      <c r="J98" s="27"/>
      <c r="L98" s="28"/>
      <c r="S98" s="27"/>
      <c r="T98" s="27"/>
      <c r="U98" s="27"/>
      <c r="W98" s="28"/>
    </row>
    <row r="99" spans="2:23" ht="13.8" hidden="1" outlineLevel="1" x14ac:dyDescent="0.25">
      <c r="B99" s="63">
        <v>45473</v>
      </c>
      <c r="C99" s="1">
        <v>2.34</v>
      </c>
      <c r="D99" s="34">
        <f t="shared" si="2"/>
        <v>4.2918454935620964E-3</v>
      </c>
      <c r="E99" s="29"/>
      <c r="F99" s="63">
        <v>45473</v>
      </c>
      <c r="G99" s="27">
        <v>9126.44</v>
      </c>
      <c r="H99" s="34">
        <f t="shared" si="3"/>
        <v>-2.7165539322280274E-3</v>
      </c>
      <c r="I99" s="27"/>
      <c r="J99" s="27"/>
      <c r="L99" s="28"/>
      <c r="S99" s="27"/>
      <c r="T99" s="27"/>
      <c r="U99" s="27"/>
      <c r="W99" s="28"/>
    </row>
    <row r="100" spans="2:23" ht="13.8" hidden="1" outlineLevel="1" x14ac:dyDescent="0.25">
      <c r="B100" s="63">
        <v>45466</v>
      </c>
      <c r="C100" s="1">
        <v>2.34</v>
      </c>
      <c r="D100" s="34">
        <f t="shared" si="2"/>
        <v>0</v>
      </c>
      <c r="E100" s="29"/>
      <c r="F100" s="63">
        <v>45466</v>
      </c>
      <c r="G100" s="27">
        <v>9004.09</v>
      </c>
      <c r="H100" s="34">
        <f t="shared" si="3"/>
        <v>-1.3406103584749363E-2</v>
      </c>
      <c r="I100" s="27"/>
      <c r="J100" s="27"/>
      <c r="L100" s="28"/>
      <c r="S100" s="27"/>
      <c r="T100" s="27"/>
      <c r="U100" s="27"/>
      <c r="W100" s="28"/>
    </row>
    <row r="101" spans="2:23" ht="13.8" hidden="1" outlineLevel="1" x14ac:dyDescent="0.25">
      <c r="B101" s="63">
        <v>45459</v>
      </c>
      <c r="C101" s="1">
        <v>2.37</v>
      </c>
      <c r="D101" s="34">
        <f t="shared" si="2"/>
        <v>1.2820512820512997E-2</v>
      </c>
      <c r="E101" s="29"/>
      <c r="F101" s="63">
        <v>45459</v>
      </c>
      <c r="G101" s="27">
        <v>8949.84</v>
      </c>
      <c r="H101" s="34">
        <f t="shared" si="3"/>
        <v>-6.0250397319440152E-3</v>
      </c>
      <c r="I101" s="27"/>
      <c r="J101" s="27"/>
      <c r="L101" s="28"/>
      <c r="S101" s="27"/>
      <c r="T101" s="27"/>
      <c r="U101" s="27"/>
      <c r="W101" s="28"/>
    </row>
    <row r="102" spans="2:23" ht="13.8" hidden="1" outlineLevel="1" x14ac:dyDescent="0.25">
      <c r="B102" s="63">
        <v>45452</v>
      </c>
      <c r="C102" s="1">
        <v>2.41</v>
      </c>
      <c r="D102" s="34">
        <f t="shared" si="2"/>
        <v>1.6877637130801704E-2</v>
      </c>
      <c r="E102" s="29"/>
      <c r="F102" s="63">
        <v>45452</v>
      </c>
      <c r="G102" s="27">
        <v>8978.83</v>
      </c>
      <c r="H102" s="34">
        <f t="shared" si="3"/>
        <v>3.2391640520947895E-3</v>
      </c>
      <c r="I102" s="27"/>
      <c r="J102" s="27"/>
      <c r="L102" s="28"/>
      <c r="S102" s="27"/>
      <c r="T102" s="27"/>
      <c r="U102" s="27"/>
      <c r="W102" s="28"/>
    </row>
    <row r="103" spans="2:23" ht="13.8" hidden="1" outlineLevel="1" x14ac:dyDescent="0.25">
      <c r="B103" s="63">
        <v>45445</v>
      </c>
      <c r="C103" s="1">
        <v>2.38</v>
      </c>
      <c r="D103" s="34">
        <f t="shared" si="2"/>
        <v>-1.2448132780083054E-2</v>
      </c>
      <c r="E103" s="29"/>
      <c r="F103" s="63">
        <v>45445</v>
      </c>
      <c r="G103" s="27">
        <v>8937.7199999999993</v>
      </c>
      <c r="H103" s="34">
        <f t="shared" si="3"/>
        <v>-4.5785475390446306E-3</v>
      </c>
      <c r="I103" s="27"/>
      <c r="J103" s="27"/>
      <c r="L103" s="28"/>
      <c r="S103" s="27"/>
      <c r="T103" s="27"/>
      <c r="U103" s="27"/>
      <c r="W103" s="28"/>
    </row>
    <row r="104" spans="2:23" ht="13.8" hidden="1" outlineLevel="1" x14ac:dyDescent="0.25">
      <c r="B104" s="63">
        <v>45438</v>
      </c>
      <c r="C104" s="1">
        <v>2.36</v>
      </c>
      <c r="D104" s="34">
        <f t="shared" si="2"/>
        <v>-8.4033613445377853E-3</v>
      </c>
      <c r="E104" s="29"/>
      <c r="F104" s="63">
        <v>45438</v>
      </c>
      <c r="G104" s="27">
        <v>8752.2000000000007</v>
      </c>
      <c r="H104" s="34">
        <f t="shared" si="3"/>
        <v>-2.0756971576643579E-2</v>
      </c>
      <c r="I104" s="27"/>
      <c r="J104" s="27"/>
      <c r="L104" s="28"/>
      <c r="S104" s="27"/>
      <c r="T104" s="27"/>
      <c r="U104" s="27"/>
      <c r="W104" s="28"/>
    </row>
    <row r="105" spans="2:23" ht="13.8" hidden="1" outlineLevel="1" x14ac:dyDescent="0.25">
      <c r="B105" s="63">
        <v>45431</v>
      </c>
      <c r="C105" s="1">
        <v>2.39</v>
      </c>
      <c r="D105" s="34">
        <f t="shared" si="2"/>
        <v>1.2711864406779849E-2</v>
      </c>
      <c r="E105" s="29"/>
      <c r="F105" s="63">
        <v>45431</v>
      </c>
      <c r="G105" s="27">
        <v>8889.76</v>
      </c>
      <c r="H105" s="34">
        <f t="shared" si="3"/>
        <v>1.571719110623615E-2</v>
      </c>
      <c r="I105" s="27"/>
      <c r="J105" s="27"/>
      <c r="L105" s="28"/>
      <c r="S105" s="27"/>
      <c r="T105" s="27"/>
      <c r="U105" s="27"/>
      <c r="W105" s="28"/>
    </row>
    <row r="106" spans="2:23" ht="13.8" hidden="1" outlineLevel="1" x14ac:dyDescent="0.25">
      <c r="B106" s="63">
        <v>45424</v>
      </c>
      <c r="C106" s="1">
        <v>2.4500000000000002</v>
      </c>
      <c r="D106" s="34">
        <f t="shared" si="2"/>
        <v>2.5104602510460206E-2</v>
      </c>
      <c r="E106" s="29"/>
      <c r="F106" s="63">
        <v>45424</v>
      </c>
      <c r="G106" s="27">
        <v>9039.31</v>
      </c>
      <c r="H106" s="34">
        <f t="shared" si="3"/>
        <v>1.6822726372815344E-2</v>
      </c>
      <c r="I106" s="27"/>
      <c r="J106" s="27"/>
      <c r="L106" s="28"/>
      <c r="S106" s="27"/>
      <c r="T106" s="27"/>
      <c r="U106" s="27"/>
      <c r="W106" s="28"/>
    </row>
    <row r="107" spans="2:23" ht="13.8" hidden="1" outlineLevel="1" x14ac:dyDescent="0.25">
      <c r="B107" s="63">
        <v>45417</v>
      </c>
      <c r="C107" s="1">
        <v>2.46</v>
      </c>
      <c r="D107" s="34">
        <f t="shared" si="2"/>
        <v>4.0816326530610514E-3</v>
      </c>
      <c r="E107" s="29"/>
      <c r="F107" s="63">
        <v>45417</v>
      </c>
      <c r="G107" s="27">
        <v>9119.23</v>
      </c>
      <c r="H107" s="34">
        <f t="shared" si="3"/>
        <v>8.8413828046609577E-3</v>
      </c>
      <c r="I107" s="27"/>
      <c r="J107" s="27"/>
      <c r="L107" s="28"/>
      <c r="S107" s="27"/>
      <c r="T107" s="27"/>
      <c r="U107" s="27"/>
      <c r="W107" s="28"/>
    </row>
    <row r="108" spans="2:23" ht="13.8" hidden="1" outlineLevel="1" x14ac:dyDescent="0.25">
      <c r="B108" s="63">
        <v>45410</v>
      </c>
      <c r="C108" s="1">
        <v>2.4700000000000002</v>
      </c>
      <c r="D108" s="34">
        <f t="shared" si="2"/>
        <v>4.0650406504065817E-3</v>
      </c>
      <c r="E108" s="29"/>
      <c r="F108" s="63">
        <v>45410</v>
      </c>
      <c r="G108" s="27">
        <v>9024.23</v>
      </c>
      <c r="H108" s="34">
        <f t="shared" si="3"/>
        <v>-1.0417546218266183E-2</v>
      </c>
      <c r="I108" s="27"/>
      <c r="J108" s="27"/>
      <c r="L108" s="28"/>
      <c r="S108" s="27"/>
      <c r="T108" s="27"/>
      <c r="U108" s="27"/>
      <c r="W108" s="28"/>
    </row>
    <row r="109" spans="2:23" ht="13.8" hidden="1" outlineLevel="1" x14ac:dyDescent="0.25">
      <c r="B109" s="63">
        <v>45403</v>
      </c>
      <c r="C109" s="1">
        <v>2.4300000000000002</v>
      </c>
      <c r="D109" s="34">
        <f t="shared" si="2"/>
        <v>-1.619433198380571E-2</v>
      </c>
      <c r="E109" s="29"/>
      <c r="F109" s="63">
        <v>45403</v>
      </c>
      <c r="G109" s="27">
        <v>9041.51</v>
      </c>
      <c r="H109" s="34">
        <f t="shared" si="3"/>
        <v>1.914844812244354E-3</v>
      </c>
      <c r="I109" s="27"/>
      <c r="J109" s="27"/>
      <c r="L109" s="28"/>
      <c r="S109" s="27"/>
      <c r="T109" s="27"/>
      <c r="U109" s="27"/>
      <c r="W109" s="28"/>
    </row>
    <row r="110" spans="2:23" ht="13.8" hidden="1" outlineLevel="1" x14ac:dyDescent="0.25">
      <c r="B110" s="63">
        <v>45396</v>
      </c>
      <c r="C110" s="1">
        <v>2.4500000000000002</v>
      </c>
      <c r="D110" s="34">
        <f t="shared" si="2"/>
        <v>8.2304526748970819E-3</v>
      </c>
      <c r="E110" s="29"/>
      <c r="F110" s="63">
        <v>45396</v>
      </c>
      <c r="G110" s="27">
        <v>9182.4699999999993</v>
      </c>
      <c r="H110" s="34">
        <f t="shared" si="3"/>
        <v>1.5590316219304068E-2</v>
      </c>
      <c r="I110" s="27"/>
      <c r="J110" s="27"/>
      <c r="L110" s="28"/>
      <c r="S110" s="27"/>
      <c r="T110" s="27"/>
      <c r="U110" s="27"/>
      <c r="W110" s="28"/>
    </row>
    <row r="111" spans="2:23" ht="13.8" hidden="1" outlineLevel="1" x14ac:dyDescent="0.25">
      <c r="B111" s="63">
        <v>45389</v>
      </c>
      <c r="C111" s="1">
        <v>2.4300000000000002</v>
      </c>
      <c r="D111" s="34">
        <f t="shared" si="2"/>
        <v>-8.1632653061224358E-3</v>
      </c>
      <c r="E111" s="29"/>
      <c r="F111" s="63">
        <v>45389</v>
      </c>
      <c r="G111" s="27">
        <v>9237.26</v>
      </c>
      <c r="H111" s="34">
        <f t="shared" si="3"/>
        <v>5.9668041387557214E-3</v>
      </c>
      <c r="I111" s="27"/>
      <c r="J111" s="27"/>
      <c r="L111" s="28"/>
      <c r="S111" s="27"/>
      <c r="T111" s="27"/>
      <c r="U111" s="27"/>
      <c r="W111" s="28"/>
    </row>
    <row r="112" spans="2:23" ht="13.8" hidden="1" outlineLevel="1" x14ac:dyDescent="0.25">
      <c r="B112" s="63">
        <v>45382</v>
      </c>
      <c r="C112" s="1">
        <v>2.4700000000000002</v>
      </c>
      <c r="D112" s="34">
        <f t="shared" si="2"/>
        <v>1.6460905349794164E-2</v>
      </c>
      <c r="E112" s="29"/>
      <c r="F112" s="63">
        <v>45382</v>
      </c>
      <c r="G112" s="27">
        <v>9239.3799999999992</v>
      </c>
      <c r="H112" s="34">
        <f t="shared" si="3"/>
        <v>2.2950528619958277E-4</v>
      </c>
      <c r="I112" s="27"/>
      <c r="J112" s="27"/>
      <c r="L112" s="28"/>
      <c r="S112" s="27"/>
      <c r="T112" s="27"/>
      <c r="U112" s="27"/>
      <c r="W112" s="28"/>
    </row>
    <row r="113" spans="2:23" ht="13.8" hidden="1" outlineLevel="1" x14ac:dyDescent="0.25">
      <c r="B113" s="63">
        <v>45375</v>
      </c>
      <c r="C113" s="1">
        <v>2.4900000000000002</v>
      </c>
      <c r="D113" s="34">
        <f t="shared" si="2"/>
        <v>8.0971659919029104E-3</v>
      </c>
      <c r="E113" s="29"/>
      <c r="F113" s="63">
        <v>45375</v>
      </c>
      <c r="G113" s="27">
        <v>9263.9599999999991</v>
      </c>
      <c r="H113" s="34">
        <f t="shared" si="3"/>
        <v>2.6603516686185547E-3</v>
      </c>
      <c r="I113" s="27"/>
      <c r="J113" s="27"/>
      <c r="L113" s="28"/>
      <c r="S113" s="27"/>
      <c r="T113" s="27"/>
      <c r="U113" s="27"/>
      <c r="W113" s="28"/>
    </row>
    <row r="114" spans="2:23" ht="13.8" hidden="1" outlineLevel="1" x14ac:dyDescent="0.25">
      <c r="B114" s="63">
        <v>45368</v>
      </c>
      <c r="C114" s="1">
        <v>2.46</v>
      </c>
      <c r="D114" s="34">
        <f t="shared" si="2"/>
        <v>-1.2048192771084487E-2</v>
      </c>
      <c r="E114" s="29"/>
      <c r="F114" s="63">
        <v>45368</v>
      </c>
      <c r="G114" s="27">
        <v>9285.6</v>
      </c>
      <c r="H114" s="34">
        <f t="shared" si="3"/>
        <v>2.33593409297983E-3</v>
      </c>
      <c r="I114" s="27"/>
      <c r="J114" s="27"/>
      <c r="L114" s="28"/>
      <c r="S114" s="27"/>
      <c r="T114" s="27"/>
      <c r="U114" s="27"/>
      <c r="W114" s="28"/>
    </row>
    <row r="115" spans="2:23" ht="13.8" hidden="1" outlineLevel="1" x14ac:dyDescent="0.25">
      <c r="B115" s="63">
        <v>45361</v>
      </c>
      <c r="C115" s="1">
        <v>2.48</v>
      </c>
      <c r="D115" s="34">
        <f t="shared" si="2"/>
        <v>8.1300813008129413E-3</v>
      </c>
      <c r="E115" s="29"/>
      <c r="F115" s="63">
        <v>45361</v>
      </c>
      <c r="G115" s="27">
        <v>9255.06</v>
      </c>
      <c r="H115" s="34">
        <f t="shared" si="3"/>
        <v>-3.2889635564746778E-3</v>
      </c>
      <c r="I115" s="27"/>
      <c r="J115" s="27"/>
      <c r="L115" s="28"/>
      <c r="S115" s="27"/>
      <c r="T115" s="27"/>
      <c r="U115" s="27"/>
      <c r="W115" s="28"/>
    </row>
    <row r="116" spans="2:23" ht="13.8" hidden="1" outlineLevel="1" x14ac:dyDescent="0.25">
      <c r="B116" s="63">
        <v>45354</v>
      </c>
      <c r="C116" s="1">
        <v>2.4500000000000002</v>
      </c>
      <c r="D116" s="34">
        <f t="shared" si="2"/>
        <v>-1.2096774193548265E-2</v>
      </c>
      <c r="E116" s="29"/>
      <c r="F116" s="63">
        <v>45354</v>
      </c>
      <c r="G116" s="27">
        <v>9225.83</v>
      </c>
      <c r="H116" s="34">
        <f t="shared" si="3"/>
        <v>-3.1582723396714751E-3</v>
      </c>
      <c r="I116" s="27"/>
      <c r="J116" s="27"/>
      <c r="L116" s="28"/>
      <c r="S116" s="27"/>
      <c r="T116" s="27"/>
      <c r="U116" s="27"/>
      <c r="W116" s="28"/>
    </row>
    <row r="117" spans="2:23" ht="13.8" hidden="1" outlineLevel="1" x14ac:dyDescent="0.25">
      <c r="B117" s="63">
        <v>45347</v>
      </c>
      <c r="C117" s="1">
        <v>2.38</v>
      </c>
      <c r="D117" s="34">
        <f t="shared" si="2"/>
        <v>-2.8571428571428692E-2</v>
      </c>
      <c r="E117" s="29"/>
      <c r="F117" s="63">
        <v>45347</v>
      </c>
      <c r="G117" s="27">
        <v>9254.81</v>
      </c>
      <c r="H117" s="34">
        <f t="shared" si="3"/>
        <v>3.141180793489573E-3</v>
      </c>
      <c r="I117" s="27"/>
      <c r="J117" s="27"/>
      <c r="L117" s="28"/>
      <c r="S117" s="27"/>
      <c r="T117" s="27"/>
      <c r="U117" s="27"/>
      <c r="W117" s="28"/>
    </row>
    <row r="118" spans="2:23" ht="13.8" hidden="1" outlineLevel="1" x14ac:dyDescent="0.25">
      <c r="B118" s="63">
        <v>45340</v>
      </c>
      <c r="C118" s="1">
        <v>2.4300000000000002</v>
      </c>
      <c r="D118" s="34">
        <f t="shared" si="2"/>
        <v>2.1008403361344685E-2</v>
      </c>
      <c r="E118" s="29"/>
      <c r="F118" s="63">
        <v>45340</v>
      </c>
      <c r="G118" s="27">
        <v>9315.4500000000007</v>
      </c>
      <c r="H118" s="34">
        <f t="shared" si="3"/>
        <v>6.5522684960579447E-3</v>
      </c>
      <c r="I118" s="27"/>
      <c r="J118" s="27"/>
      <c r="L118" s="28"/>
      <c r="S118" s="27"/>
      <c r="T118" s="27"/>
      <c r="U118" s="27"/>
      <c r="W118" s="28"/>
    </row>
    <row r="119" spans="2:23" ht="13.8" hidden="1" outlineLevel="1" x14ac:dyDescent="0.25">
      <c r="B119" s="63">
        <v>45333</v>
      </c>
      <c r="C119" s="1">
        <v>2.4700000000000002</v>
      </c>
      <c r="D119" s="34">
        <f t="shared" si="2"/>
        <v>1.6460905349794164E-2</v>
      </c>
      <c r="E119" s="29"/>
      <c r="F119" s="63">
        <v>45333</v>
      </c>
      <c r="G119" s="27">
        <v>9404.98</v>
      </c>
      <c r="H119" s="34">
        <f t="shared" si="3"/>
        <v>9.6109152000170006E-3</v>
      </c>
      <c r="I119" s="27"/>
      <c r="J119" s="27"/>
      <c r="L119" s="28"/>
      <c r="S119" s="27"/>
      <c r="T119" s="27"/>
      <c r="U119" s="27"/>
      <c r="W119" s="28"/>
    </row>
    <row r="120" spans="2:23" ht="13.8" hidden="1" outlineLevel="1" x14ac:dyDescent="0.25">
      <c r="B120" s="63">
        <v>45326</v>
      </c>
      <c r="C120" s="1">
        <v>2.44</v>
      </c>
      <c r="D120" s="34">
        <f t="shared" si="2"/>
        <v>-1.2145748987854366E-2</v>
      </c>
      <c r="E120" s="29"/>
      <c r="F120" s="63">
        <v>45326</v>
      </c>
      <c r="G120" s="27">
        <v>9362.6</v>
      </c>
      <c r="H120" s="34">
        <f t="shared" si="3"/>
        <v>-4.5061233516709986E-3</v>
      </c>
      <c r="I120" s="27"/>
      <c r="J120" s="27"/>
      <c r="L120" s="28"/>
      <c r="S120" s="27"/>
      <c r="T120" s="27"/>
      <c r="U120" s="27"/>
      <c r="W120" s="28"/>
    </row>
    <row r="121" spans="2:23" ht="13.8" hidden="1" outlineLevel="1" x14ac:dyDescent="0.25">
      <c r="B121" s="63">
        <v>45319</v>
      </c>
      <c r="C121" s="1">
        <v>2.41</v>
      </c>
      <c r="D121" s="34">
        <f t="shared" si="2"/>
        <v>-1.2295081967213073E-2</v>
      </c>
      <c r="E121" s="29"/>
      <c r="F121" s="63">
        <v>45319</v>
      </c>
      <c r="G121" s="27">
        <v>9469.82</v>
      </c>
      <c r="H121" s="34">
        <f t="shared" si="3"/>
        <v>1.1451947108709115E-2</v>
      </c>
      <c r="I121" s="27"/>
      <c r="J121" s="27"/>
      <c r="L121" s="28"/>
      <c r="S121" s="27"/>
      <c r="T121" s="27"/>
      <c r="U121" s="27"/>
      <c r="W121" s="28"/>
    </row>
    <row r="122" spans="2:23" ht="13.8" hidden="1" outlineLevel="1" x14ac:dyDescent="0.25">
      <c r="B122" s="63">
        <v>45312</v>
      </c>
      <c r="C122" s="1">
        <v>2.4</v>
      </c>
      <c r="D122" s="34">
        <f t="shared" si="2"/>
        <v>-4.1493775933610921E-3</v>
      </c>
      <c r="E122" s="29"/>
      <c r="F122" s="63">
        <v>45312</v>
      </c>
      <c r="G122" s="27">
        <v>9626.65</v>
      </c>
      <c r="H122" s="34">
        <f t="shared" si="3"/>
        <v>1.6561032839061296E-2</v>
      </c>
      <c r="I122" s="27"/>
      <c r="J122" s="27"/>
      <c r="L122" s="28"/>
      <c r="S122" s="27"/>
      <c r="T122" s="27"/>
      <c r="U122" s="27"/>
      <c r="W122" s="28"/>
    </row>
    <row r="123" spans="2:23" ht="13.8" hidden="1" outlineLevel="1" x14ac:dyDescent="0.25">
      <c r="B123" s="63">
        <v>45305</v>
      </c>
      <c r="C123" s="1">
        <v>2.4300000000000002</v>
      </c>
      <c r="D123" s="34">
        <f t="shared" si="2"/>
        <v>1.2500000000000178E-2</v>
      </c>
      <c r="E123" s="29"/>
      <c r="F123" s="63">
        <v>45305</v>
      </c>
      <c r="G123" s="27">
        <v>9719.3700000000008</v>
      </c>
      <c r="H123" s="34">
        <f t="shared" si="3"/>
        <v>9.6315956225687671E-3</v>
      </c>
      <c r="I123" s="27"/>
      <c r="J123" s="27"/>
      <c r="L123" s="28"/>
      <c r="S123" s="27"/>
      <c r="T123" s="27"/>
      <c r="U123" s="27"/>
      <c r="W123" s="28"/>
    </row>
    <row r="124" spans="2:23" ht="13.8" hidden="1" outlineLevel="1" x14ac:dyDescent="0.25">
      <c r="B124" s="63">
        <v>45298</v>
      </c>
      <c r="C124" s="1">
        <v>2.46</v>
      </c>
      <c r="D124" s="34">
        <f t="shared" si="2"/>
        <v>1.2345679012345512E-2</v>
      </c>
      <c r="E124" s="29"/>
      <c r="F124" s="63">
        <v>45298</v>
      </c>
      <c r="G124" s="27">
        <v>9844.7000000000007</v>
      </c>
      <c r="H124" s="34">
        <f t="shared" si="3"/>
        <v>1.2894868700337625E-2</v>
      </c>
      <c r="I124" s="27"/>
      <c r="J124" s="27"/>
      <c r="L124" s="28"/>
      <c r="S124" s="27"/>
      <c r="T124" s="27"/>
      <c r="U124" s="27"/>
      <c r="W124" s="28"/>
    </row>
    <row r="125" spans="2:23" ht="13.8" hidden="1" outlineLevel="1" x14ac:dyDescent="0.25">
      <c r="B125" s="63">
        <v>45291</v>
      </c>
      <c r="C125" s="1">
        <v>2.48</v>
      </c>
      <c r="D125" s="34">
        <f t="shared" si="2"/>
        <v>8.1300813008129413E-3</v>
      </c>
      <c r="E125" s="29"/>
      <c r="F125" s="63">
        <v>45291</v>
      </c>
      <c r="G125" s="27">
        <v>9650.1</v>
      </c>
      <c r="H125" s="34">
        <f t="shared" si="3"/>
        <v>-1.9766981218320545E-2</v>
      </c>
      <c r="I125" s="27"/>
      <c r="J125" s="27"/>
      <c r="L125" s="28"/>
      <c r="S125" s="27"/>
      <c r="T125" s="27"/>
      <c r="U125" s="27"/>
      <c r="W125" s="28"/>
    </row>
    <row r="126" spans="2:23" ht="13.8" hidden="1" outlineLevel="1" x14ac:dyDescent="0.25">
      <c r="B126" s="63">
        <v>45284</v>
      </c>
      <c r="C126" s="1">
        <v>2.48</v>
      </c>
      <c r="D126" s="34">
        <f t="shared" si="2"/>
        <v>0</v>
      </c>
      <c r="E126" s="29"/>
      <c r="F126" s="63">
        <v>45284</v>
      </c>
      <c r="G126" s="27">
        <v>9563.9599999999991</v>
      </c>
      <c r="H126" s="34">
        <f t="shared" si="3"/>
        <v>-8.9263323696129326E-3</v>
      </c>
      <c r="I126" s="27"/>
      <c r="J126" s="27"/>
      <c r="L126" s="28"/>
      <c r="S126" s="27"/>
      <c r="T126" s="27"/>
      <c r="U126" s="27"/>
      <c r="W126" s="28"/>
    </row>
    <row r="127" spans="2:23" ht="13.8" hidden="1" outlineLevel="1" x14ac:dyDescent="0.25">
      <c r="B127" s="63">
        <v>45277</v>
      </c>
      <c r="C127" s="1">
        <v>2.4300000000000002</v>
      </c>
      <c r="D127" s="34">
        <f t="shared" si="2"/>
        <v>-2.0161290322580627E-2</v>
      </c>
      <c r="E127" s="29"/>
      <c r="F127" s="63">
        <v>45277</v>
      </c>
      <c r="G127" s="27">
        <v>9494.02</v>
      </c>
      <c r="H127" s="34">
        <f t="shared" si="3"/>
        <v>-7.3128704009635115E-3</v>
      </c>
      <c r="I127" s="27"/>
      <c r="J127" s="27"/>
      <c r="L127" s="28"/>
      <c r="S127" s="27"/>
      <c r="T127" s="27"/>
      <c r="U127" s="27"/>
      <c r="W127" s="28"/>
    </row>
    <row r="128" spans="2:23" ht="13.8" hidden="1" outlineLevel="1" x14ac:dyDescent="0.25">
      <c r="B128" s="63">
        <v>45270</v>
      </c>
      <c r="C128" s="1">
        <v>2.4500000000000002</v>
      </c>
      <c r="D128" s="34">
        <f t="shared" si="2"/>
        <v>8.2304526748970819E-3</v>
      </c>
      <c r="E128" s="29"/>
      <c r="F128" s="63">
        <v>45270</v>
      </c>
      <c r="G128" s="27">
        <v>9475.99</v>
      </c>
      <c r="H128" s="34">
        <f t="shared" si="3"/>
        <v>-1.8990901641244839E-3</v>
      </c>
      <c r="I128" s="27"/>
      <c r="J128" s="27"/>
      <c r="L128" s="28"/>
      <c r="S128" s="27"/>
      <c r="T128" s="27"/>
      <c r="U128" s="27"/>
      <c r="W128" s="28"/>
    </row>
    <row r="129" spans="2:23" ht="13.8" hidden="1" outlineLevel="1" x14ac:dyDescent="0.25">
      <c r="B129" s="63">
        <v>45263</v>
      </c>
      <c r="C129" s="1">
        <v>2.4700000000000002</v>
      </c>
      <c r="D129" s="34">
        <f t="shared" si="2"/>
        <v>8.1632653061225469E-3</v>
      </c>
      <c r="E129" s="29"/>
      <c r="F129" s="63">
        <v>45263</v>
      </c>
      <c r="G129" s="27">
        <v>9470.44</v>
      </c>
      <c r="H129" s="34">
        <f t="shared" si="3"/>
        <v>-5.8569078270442887E-4</v>
      </c>
      <c r="I129" s="27"/>
      <c r="J129" s="27"/>
      <c r="L129" s="28"/>
      <c r="S129" s="27"/>
      <c r="T129" s="27"/>
      <c r="U129" s="27"/>
      <c r="W129" s="28"/>
    </row>
    <row r="130" spans="2:23" ht="13.8" hidden="1" outlineLevel="1" x14ac:dyDescent="0.25">
      <c r="B130" s="63">
        <v>45256</v>
      </c>
      <c r="C130" s="1">
        <v>2.52</v>
      </c>
      <c r="D130" s="34">
        <f t="shared" si="2"/>
        <v>2.0242914979756943E-2</v>
      </c>
      <c r="E130" s="29"/>
      <c r="F130" s="63">
        <v>45256</v>
      </c>
      <c r="G130" s="27">
        <v>9559.57</v>
      </c>
      <c r="H130" s="34">
        <f t="shared" si="3"/>
        <v>9.4113895447307527E-3</v>
      </c>
      <c r="I130" s="27"/>
      <c r="J130" s="27"/>
      <c r="L130" s="28"/>
      <c r="S130" s="27"/>
      <c r="T130" s="27"/>
      <c r="U130" s="27"/>
      <c r="W130" s="28"/>
    </row>
    <row r="131" spans="2:23" ht="13.8" hidden="1" outlineLevel="1" x14ac:dyDescent="0.25">
      <c r="B131" s="63">
        <v>45249</v>
      </c>
      <c r="C131" s="1">
        <v>2.4900000000000002</v>
      </c>
      <c r="D131" s="34">
        <f t="shared" si="2"/>
        <v>-1.1904761904761862E-2</v>
      </c>
      <c r="E131" s="29"/>
      <c r="F131" s="63">
        <v>45249</v>
      </c>
      <c r="G131" s="27">
        <v>9533.51</v>
      </c>
      <c r="H131" s="34">
        <f t="shared" si="3"/>
        <v>-2.7260640384452195E-3</v>
      </c>
      <c r="I131" s="27"/>
      <c r="J131" s="27"/>
      <c r="L131" s="28"/>
      <c r="S131" s="27"/>
      <c r="T131" s="27"/>
      <c r="U131" s="27"/>
      <c r="W131" s="28"/>
    </row>
    <row r="132" spans="2:23" ht="13.8" hidden="1" outlineLevel="1" x14ac:dyDescent="0.25">
      <c r="B132" s="63">
        <v>45242</v>
      </c>
      <c r="C132" s="1">
        <v>2.5</v>
      </c>
      <c r="D132" s="34">
        <f t="shared" si="2"/>
        <v>4.0160642570279403E-3</v>
      </c>
      <c r="E132" s="29"/>
      <c r="F132" s="63">
        <v>45242</v>
      </c>
      <c r="G132" s="27">
        <v>9607.09</v>
      </c>
      <c r="H132" s="34">
        <f t="shared" si="3"/>
        <v>7.7180387915887216E-3</v>
      </c>
      <c r="I132" s="27"/>
      <c r="J132" s="27"/>
      <c r="L132" s="28"/>
      <c r="S132" s="27"/>
      <c r="T132" s="27"/>
      <c r="U132" s="27"/>
      <c r="W132" s="28"/>
    </row>
    <row r="133" spans="2:23" ht="13.8" hidden="1" outlineLevel="1" x14ac:dyDescent="0.25">
      <c r="B133" s="63">
        <v>45235</v>
      </c>
      <c r="C133" s="1">
        <v>2.58</v>
      </c>
      <c r="D133" s="34">
        <f t="shared" si="2"/>
        <v>3.2000000000000028E-2</v>
      </c>
      <c r="E133" s="29"/>
      <c r="F133" s="63">
        <v>45235</v>
      </c>
      <c r="G133" s="27">
        <v>9528.9500000000007</v>
      </c>
      <c r="H133" s="34">
        <f t="shared" si="3"/>
        <v>-8.1335763483010304E-3</v>
      </c>
      <c r="I133" s="27"/>
      <c r="J133" s="27"/>
      <c r="L133" s="28"/>
      <c r="S133" s="27"/>
      <c r="T133" s="27"/>
      <c r="U133" s="27"/>
      <c r="W133" s="28"/>
    </row>
    <row r="134" spans="2:23" ht="13.8" hidden="1" outlineLevel="1" x14ac:dyDescent="0.25">
      <c r="B134" s="63">
        <v>45228</v>
      </c>
      <c r="C134" s="1">
        <v>2.52</v>
      </c>
      <c r="D134" s="34">
        <f t="shared" si="2"/>
        <v>-2.3255813953488413E-2</v>
      </c>
      <c r="E134" s="29"/>
      <c r="F134" s="63">
        <v>45228</v>
      </c>
      <c r="G134" s="27">
        <v>9486.43</v>
      </c>
      <c r="H134" s="34">
        <f t="shared" si="3"/>
        <v>-4.4621915321205741E-3</v>
      </c>
      <c r="I134" s="27"/>
      <c r="J134" s="27"/>
      <c r="L134" s="28"/>
      <c r="S134" s="27"/>
      <c r="T134" s="27"/>
      <c r="U134" s="27"/>
      <c r="W134" s="28"/>
    </row>
    <row r="135" spans="2:23" ht="13.8" hidden="1" outlineLevel="1" x14ac:dyDescent="0.25">
      <c r="B135" s="63">
        <v>45221</v>
      </c>
      <c r="C135" s="1">
        <v>2.5099999999999998</v>
      </c>
      <c r="D135" s="34">
        <f t="shared" si="2"/>
        <v>-3.9682539682540652E-3</v>
      </c>
      <c r="E135" s="29"/>
      <c r="F135" s="63">
        <v>45221</v>
      </c>
      <c r="G135" s="27">
        <v>9242.18</v>
      </c>
      <c r="H135" s="34">
        <f t="shared" si="3"/>
        <v>-2.5747304307310537E-2</v>
      </c>
      <c r="I135" s="27"/>
      <c r="J135" s="27"/>
      <c r="L135" s="28"/>
      <c r="S135" s="27"/>
      <c r="T135" s="27"/>
      <c r="U135" s="27"/>
      <c r="W135" s="28"/>
    </row>
    <row r="136" spans="2:23" ht="13.8" hidden="1" outlineLevel="1" x14ac:dyDescent="0.25">
      <c r="B136" s="63">
        <v>45214</v>
      </c>
      <c r="C136" s="1">
        <v>2.5299999999999998</v>
      </c>
      <c r="D136" s="34">
        <f t="shared" si="2"/>
        <v>7.9681274900398336E-3</v>
      </c>
      <c r="E136" s="29"/>
      <c r="F136" s="63">
        <v>45214</v>
      </c>
      <c r="G136" s="27">
        <v>9428.35</v>
      </c>
      <c r="H136" s="34">
        <f t="shared" si="3"/>
        <v>2.0143515923732203E-2</v>
      </c>
      <c r="I136" s="27"/>
      <c r="J136" s="27"/>
      <c r="L136" s="28"/>
      <c r="S136" s="27"/>
      <c r="T136" s="27"/>
      <c r="U136" s="27"/>
      <c r="W136" s="28"/>
    </row>
    <row r="137" spans="2:23" ht="13.8" hidden="1" outlineLevel="1" x14ac:dyDescent="0.25">
      <c r="B137" s="63">
        <v>45207</v>
      </c>
      <c r="C137" s="1">
        <v>2.57</v>
      </c>
      <c r="D137" s="34">
        <f t="shared" si="2"/>
        <v>1.5810276679841806E-2</v>
      </c>
      <c r="E137" s="29"/>
      <c r="F137" s="63">
        <v>45207</v>
      </c>
      <c r="G137" s="27">
        <v>9591.89</v>
      </c>
      <c r="H137" s="34">
        <f t="shared" si="3"/>
        <v>1.7345558872973399E-2</v>
      </c>
      <c r="I137" s="27"/>
      <c r="J137" s="27"/>
      <c r="L137" s="28"/>
      <c r="S137" s="27"/>
      <c r="T137" s="27"/>
      <c r="U137" s="27"/>
      <c r="W137" s="28"/>
    </row>
    <row r="138" spans="2:23" ht="13.8" hidden="1" outlineLevel="1" x14ac:dyDescent="0.25">
      <c r="B138" s="63">
        <v>45200</v>
      </c>
      <c r="C138" s="1">
        <v>2.6</v>
      </c>
      <c r="D138" s="34">
        <f t="shared" si="2"/>
        <v>1.1673151750972943E-2</v>
      </c>
      <c r="E138" s="29"/>
      <c r="F138" s="63">
        <v>45200</v>
      </c>
      <c r="G138" s="27">
        <v>9762.17</v>
      </c>
      <c r="H138" s="34">
        <f t="shared" si="3"/>
        <v>1.7752497161664715E-2</v>
      </c>
      <c r="I138" s="27"/>
      <c r="J138" s="27"/>
      <c r="L138" s="28"/>
      <c r="S138" s="27"/>
      <c r="T138" s="27"/>
      <c r="U138" s="27"/>
      <c r="W138" s="28"/>
    </row>
    <row r="139" spans="2:23" ht="13.8" hidden="1" outlineLevel="1" x14ac:dyDescent="0.25">
      <c r="B139" s="63">
        <v>45193</v>
      </c>
      <c r="C139" s="1">
        <v>2.64</v>
      </c>
      <c r="D139" s="34">
        <f t="shared" si="2"/>
        <v>1.538461538461533E-2</v>
      </c>
      <c r="E139" s="29"/>
      <c r="F139" s="63">
        <v>45193</v>
      </c>
      <c r="G139" s="27">
        <v>9785.32</v>
      </c>
      <c r="H139" s="34">
        <f t="shared" si="3"/>
        <v>2.3713989819886816E-3</v>
      </c>
      <c r="I139" s="27"/>
      <c r="J139" s="27"/>
      <c r="L139" s="28"/>
      <c r="S139" s="27"/>
      <c r="T139" s="27"/>
      <c r="U139" s="27"/>
      <c r="W139" s="28"/>
    </row>
    <row r="140" spans="2:23" ht="13.8" hidden="1" outlineLevel="1" x14ac:dyDescent="0.25">
      <c r="B140" s="63">
        <v>45186</v>
      </c>
      <c r="C140" s="1">
        <v>2.67</v>
      </c>
      <c r="D140" s="34">
        <f t="shared" si="2"/>
        <v>1.1363636363636243E-2</v>
      </c>
      <c r="E140" s="29"/>
      <c r="F140" s="63">
        <v>45186</v>
      </c>
      <c r="G140" s="27">
        <v>9845.99</v>
      </c>
      <c r="H140" s="34">
        <f t="shared" si="3"/>
        <v>6.2001038290009358E-3</v>
      </c>
      <c r="I140" s="27"/>
      <c r="J140" s="27"/>
      <c r="L140" s="28"/>
      <c r="S140" s="27"/>
      <c r="T140" s="27"/>
      <c r="U140" s="27"/>
      <c r="W140" s="28"/>
    </row>
    <row r="141" spans="2:23" ht="13.8" hidden="1" outlineLevel="1" x14ac:dyDescent="0.25">
      <c r="B141" s="63">
        <v>45179</v>
      </c>
      <c r="C141" s="1">
        <v>2.68</v>
      </c>
      <c r="D141" s="34">
        <f t="shared" si="2"/>
        <v>3.7453183520599342E-3</v>
      </c>
      <c r="E141" s="29"/>
      <c r="F141" s="63">
        <v>45179</v>
      </c>
      <c r="G141" s="27">
        <v>9796.39</v>
      </c>
      <c r="H141" s="34">
        <f t="shared" si="3"/>
        <v>-5.0375838285434682E-3</v>
      </c>
      <c r="I141" s="27"/>
      <c r="J141" s="27"/>
      <c r="L141" s="28"/>
      <c r="S141" s="27"/>
      <c r="T141" s="27"/>
      <c r="U141" s="27"/>
      <c r="W141" s="28"/>
    </row>
    <row r="142" spans="2:23" ht="13.8" hidden="1" outlineLevel="1" x14ac:dyDescent="0.25">
      <c r="B142" s="63">
        <v>45172</v>
      </c>
      <c r="C142" s="1">
        <v>2.76</v>
      </c>
      <c r="D142" s="34">
        <f t="shared" si="2"/>
        <v>2.9850746268656581E-2</v>
      </c>
      <c r="E142" s="29"/>
      <c r="F142" s="63">
        <v>45172</v>
      </c>
      <c r="G142" s="27">
        <v>9659.77</v>
      </c>
      <c r="H142" s="34">
        <f t="shared" si="3"/>
        <v>-1.3945953560444146E-2</v>
      </c>
      <c r="I142" s="27"/>
      <c r="J142" s="27"/>
      <c r="L142" s="28"/>
      <c r="S142" s="27"/>
      <c r="T142" s="27"/>
      <c r="U142" s="27"/>
      <c r="W142" s="28"/>
    </row>
    <row r="143" spans="2:23" ht="13.8" hidden="1" outlineLevel="1" x14ac:dyDescent="0.25">
      <c r="B143" s="63">
        <v>45165</v>
      </c>
      <c r="C143" s="1">
        <v>2.73</v>
      </c>
      <c r="D143" s="34">
        <f t="shared" si="2"/>
        <v>-1.0869565217391242E-2</v>
      </c>
      <c r="E143" s="29"/>
      <c r="F143" s="63">
        <v>45165</v>
      </c>
      <c r="G143" s="27">
        <v>9810.2099999999991</v>
      </c>
      <c r="H143" s="34">
        <f t="shared" si="3"/>
        <v>1.5573869771226212E-2</v>
      </c>
      <c r="I143" s="27"/>
      <c r="J143" s="27"/>
      <c r="L143" s="28"/>
      <c r="S143" s="27"/>
      <c r="T143" s="27"/>
      <c r="U143" s="27"/>
      <c r="W143" s="28"/>
    </row>
    <row r="144" spans="2:23" ht="13.8" hidden="1" outlineLevel="1" x14ac:dyDescent="0.25">
      <c r="B144" s="63">
        <v>45158</v>
      </c>
      <c r="C144" s="1">
        <v>2.74</v>
      </c>
      <c r="D144" s="34">
        <f t="shared" ref="D144:D206" si="4">C144/C143-1</f>
        <v>3.66300366300365E-3</v>
      </c>
      <c r="E144" s="29"/>
      <c r="F144" s="63">
        <v>45158</v>
      </c>
      <c r="G144" s="27">
        <v>9771.42</v>
      </c>
      <c r="H144" s="34">
        <f t="shared" ref="H144:H206" si="5">G144/G143-1</f>
        <v>-3.9540437972275244E-3</v>
      </c>
      <c r="I144" s="27"/>
      <c r="J144" s="27"/>
      <c r="L144" s="28"/>
      <c r="S144" s="27"/>
      <c r="T144" s="27"/>
      <c r="U144" s="27"/>
      <c r="W144" s="28"/>
    </row>
    <row r="145" spans="2:23" ht="13.8" hidden="1" outlineLevel="1" x14ac:dyDescent="0.25">
      <c r="B145" s="63">
        <v>45151</v>
      </c>
      <c r="C145" s="1">
        <v>2.75</v>
      </c>
      <c r="D145" s="34">
        <f t="shared" si="4"/>
        <v>3.6496350364962904E-3</v>
      </c>
      <c r="E145" s="29"/>
      <c r="F145" s="63">
        <v>45151</v>
      </c>
      <c r="G145" s="27">
        <v>9777.8700000000008</v>
      </c>
      <c r="H145" s="34">
        <f t="shared" si="5"/>
        <v>6.6008829832320259E-4</v>
      </c>
      <c r="I145" s="27"/>
      <c r="J145" s="27"/>
      <c r="L145" s="28"/>
      <c r="S145" s="27"/>
      <c r="T145" s="27"/>
      <c r="U145" s="27"/>
      <c r="W145" s="28"/>
    </row>
    <row r="146" spans="2:23" ht="13.8" hidden="1" outlineLevel="1" x14ac:dyDescent="0.25">
      <c r="B146" s="63">
        <v>45144</v>
      </c>
      <c r="C146" s="1">
        <v>2.8</v>
      </c>
      <c r="D146" s="34">
        <f t="shared" si="4"/>
        <v>1.8181818181818077E-2</v>
      </c>
      <c r="E146" s="29"/>
      <c r="F146" s="63">
        <v>45144</v>
      </c>
      <c r="G146" s="27">
        <v>9904.25</v>
      </c>
      <c r="H146" s="34">
        <f t="shared" si="5"/>
        <v>1.2925105365483303E-2</v>
      </c>
      <c r="I146" s="27"/>
      <c r="J146" s="27"/>
      <c r="L146" s="28"/>
      <c r="S146" s="27"/>
      <c r="T146" s="27"/>
      <c r="U146" s="27"/>
      <c r="W146" s="28"/>
    </row>
    <row r="147" spans="2:23" ht="13.8" hidden="1" outlineLevel="1" x14ac:dyDescent="0.25">
      <c r="B147" s="63">
        <v>45137</v>
      </c>
      <c r="C147" s="1">
        <v>2.73</v>
      </c>
      <c r="D147" s="34">
        <f t="shared" si="4"/>
        <v>-2.4999999999999911E-2</v>
      </c>
      <c r="E147" s="29"/>
      <c r="F147" s="63">
        <v>45137</v>
      </c>
      <c r="G147" s="27">
        <v>9783.51</v>
      </c>
      <c r="H147" s="34">
        <f t="shared" si="5"/>
        <v>-1.2190726203397562E-2</v>
      </c>
      <c r="I147" s="27"/>
      <c r="J147" s="27"/>
      <c r="L147" s="28"/>
      <c r="S147" s="27"/>
      <c r="T147" s="27"/>
      <c r="U147" s="27"/>
      <c r="W147" s="28"/>
    </row>
    <row r="148" spans="2:23" ht="13.8" hidden="1" outlineLevel="1" x14ac:dyDescent="0.25">
      <c r="B148" s="63">
        <v>45130</v>
      </c>
      <c r="C148" s="1">
        <v>2.77</v>
      </c>
      <c r="D148" s="34">
        <f t="shared" si="4"/>
        <v>1.46520146520146E-2</v>
      </c>
      <c r="E148" s="29"/>
      <c r="F148" s="63">
        <v>45130</v>
      </c>
      <c r="G148" s="27">
        <v>9759.4599999999991</v>
      </c>
      <c r="H148" s="34">
        <f t="shared" si="5"/>
        <v>-2.4582179606298382E-3</v>
      </c>
      <c r="I148" s="27"/>
      <c r="J148" s="27"/>
      <c r="L148" s="28"/>
      <c r="S148" s="27"/>
      <c r="T148" s="27"/>
      <c r="U148" s="27"/>
      <c r="W148" s="28"/>
    </row>
    <row r="149" spans="2:23" ht="13.8" hidden="1" outlineLevel="1" x14ac:dyDescent="0.25">
      <c r="B149" s="63">
        <v>45123</v>
      </c>
      <c r="C149" s="1">
        <v>2.73</v>
      </c>
      <c r="D149" s="34">
        <f t="shared" si="4"/>
        <v>-1.4440433212996373E-2</v>
      </c>
      <c r="E149" s="29"/>
      <c r="F149" s="63">
        <v>45123</v>
      </c>
      <c r="G149" s="27">
        <v>9629.31</v>
      </c>
      <c r="H149" s="34">
        <f t="shared" si="5"/>
        <v>-1.3335778823828304E-2</v>
      </c>
      <c r="I149" s="27"/>
      <c r="J149" s="27"/>
      <c r="L149" s="28"/>
      <c r="S149" s="27"/>
      <c r="T149" s="27"/>
      <c r="U149" s="27"/>
      <c r="W149" s="28"/>
    </row>
    <row r="150" spans="2:23" ht="13.8" hidden="1" outlineLevel="1" x14ac:dyDescent="0.25">
      <c r="B150" s="63">
        <v>45116</v>
      </c>
      <c r="C150" s="1">
        <v>2.64</v>
      </c>
      <c r="D150" s="34">
        <f t="shared" si="4"/>
        <v>-3.2967032967032961E-2</v>
      </c>
      <c r="E150" s="29"/>
      <c r="F150" s="63">
        <v>45116</v>
      </c>
      <c r="G150" s="27">
        <v>9627.0400000000009</v>
      </c>
      <c r="H150" s="34">
        <f t="shared" si="5"/>
        <v>-2.3573859393855034E-4</v>
      </c>
      <c r="I150" s="27"/>
      <c r="J150" s="27"/>
      <c r="L150" s="28"/>
      <c r="S150" s="27"/>
      <c r="T150" s="27"/>
      <c r="U150" s="27"/>
      <c r="W150" s="28"/>
    </row>
    <row r="151" spans="2:23" ht="13.8" hidden="1" outlineLevel="1" x14ac:dyDescent="0.25">
      <c r="B151" s="63">
        <v>45109</v>
      </c>
      <c r="C151" s="1">
        <v>2.71</v>
      </c>
      <c r="D151" s="34">
        <f t="shared" si="4"/>
        <v>2.6515151515151381E-2</v>
      </c>
      <c r="E151" s="29"/>
      <c r="F151" s="63">
        <v>45109</v>
      </c>
      <c r="G151" s="27">
        <v>9604.41</v>
      </c>
      <c r="H151" s="34">
        <f t="shared" si="5"/>
        <v>-2.35067061111216E-3</v>
      </c>
      <c r="I151" s="27"/>
      <c r="J151" s="27"/>
      <c r="L151" s="28"/>
      <c r="S151" s="27"/>
      <c r="T151" s="27"/>
      <c r="U151" s="27"/>
      <c r="W151" s="28"/>
    </row>
    <row r="152" spans="2:23" ht="13.8" hidden="1" outlineLevel="1" x14ac:dyDescent="0.25">
      <c r="B152" s="63">
        <v>45102</v>
      </c>
      <c r="C152" s="1">
        <v>2.64</v>
      </c>
      <c r="D152" s="34">
        <f t="shared" si="4"/>
        <v>-2.5830258302583009E-2</v>
      </c>
      <c r="E152" s="29"/>
      <c r="F152" s="63">
        <v>45102</v>
      </c>
      <c r="G152" s="27">
        <v>9550.4</v>
      </c>
      <c r="H152" s="34">
        <f t="shared" si="5"/>
        <v>-5.6234583904685165E-3</v>
      </c>
      <c r="I152" s="27"/>
      <c r="J152" s="27"/>
      <c r="L152" s="28"/>
      <c r="S152" s="27"/>
      <c r="T152" s="27"/>
      <c r="U152" s="27"/>
      <c r="W152" s="28"/>
    </row>
    <row r="153" spans="2:23" ht="13.8" hidden="1" outlineLevel="1" x14ac:dyDescent="0.25">
      <c r="B153" s="63">
        <v>45095</v>
      </c>
      <c r="C153" s="1">
        <v>2.64</v>
      </c>
      <c r="D153" s="34">
        <f t="shared" si="4"/>
        <v>0</v>
      </c>
      <c r="E153" s="29"/>
      <c r="F153" s="63">
        <v>45095</v>
      </c>
      <c r="G153" s="27">
        <v>9528.11</v>
      </c>
      <c r="H153" s="34">
        <f t="shared" si="5"/>
        <v>-2.3339336572288927E-3</v>
      </c>
      <c r="I153" s="27"/>
      <c r="J153" s="27"/>
      <c r="L153" s="28"/>
      <c r="S153" s="27"/>
      <c r="T153" s="27"/>
      <c r="U153" s="27"/>
      <c r="W153" s="28"/>
    </row>
    <row r="154" spans="2:23" ht="13.8" hidden="1" outlineLevel="1" x14ac:dyDescent="0.25">
      <c r="B154" s="63">
        <v>45088</v>
      </c>
      <c r="C154" s="1">
        <v>2.61</v>
      </c>
      <c r="D154" s="34">
        <f t="shared" si="4"/>
        <v>-1.1363636363636465E-2</v>
      </c>
      <c r="E154" s="29"/>
      <c r="F154" s="63">
        <v>45088</v>
      </c>
      <c r="G154" s="27">
        <v>9384.73</v>
      </c>
      <c r="H154" s="34">
        <f t="shared" si="5"/>
        <v>-1.5048105028174663E-2</v>
      </c>
      <c r="I154" s="27"/>
      <c r="J154" s="27"/>
      <c r="L154" s="28"/>
      <c r="S154" s="27"/>
      <c r="T154" s="27"/>
      <c r="U154" s="27"/>
      <c r="W154" s="28"/>
    </row>
    <row r="155" spans="2:23" ht="13.8" hidden="1" outlineLevel="1" x14ac:dyDescent="0.25">
      <c r="B155" s="63">
        <v>45081</v>
      </c>
      <c r="C155" s="1">
        <v>2.6</v>
      </c>
      <c r="D155" s="34">
        <f t="shared" si="4"/>
        <v>-3.8314176245209941E-3</v>
      </c>
      <c r="E155" s="29"/>
      <c r="F155" s="63">
        <v>45081</v>
      </c>
      <c r="G155" s="27">
        <v>9351.82</v>
      </c>
      <c r="H155" s="34">
        <f t="shared" si="5"/>
        <v>-3.5067604502206917E-3</v>
      </c>
      <c r="I155" s="27"/>
      <c r="J155" s="27"/>
      <c r="L155" s="28"/>
      <c r="S155" s="27"/>
      <c r="T155" s="27"/>
      <c r="U155" s="27"/>
      <c r="W155" s="28"/>
    </row>
    <row r="156" spans="2:23" ht="13.8" hidden="1" outlineLevel="1" x14ac:dyDescent="0.25">
      <c r="B156" s="63">
        <v>45074</v>
      </c>
      <c r="C156" s="1">
        <v>2.6</v>
      </c>
      <c r="D156" s="34">
        <f t="shared" si="4"/>
        <v>0</v>
      </c>
      <c r="E156" s="29"/>
      <c r="F156" s="63">
        <v>45074</v>
      </c>
      <c r="G156" s="27">
        <v>9366.41</v>
      </c>
      <c r="H156" s="34">
        <f t="shared" si="5"/>
        <v>1.5601241255713827E-3</v>
      </c>
      <c r="I156" s="27"/>
      <c r="J156" s="27"/>
      <c r="L156" s="28"/>
      <c r="S156" s="27"/>
      <c r="T156" s="27"/>
      <c r="U156" s="27"/>
      <c r="W156" s="28"/>
    </row>
    <row r="157" spans="2:23" ht="13.8" hidden="1" outlineLevel="1" x14ac:dyDescent="0.25">
      <c r="B157" s="63">
        <v>45067</v>
      </c>
      <c r="C157" s="1">
        <v>2.6</v>
      </c>
      <c r="D157" s="34">
        <f t="shared" si="4"/>
        <v>0</v>
      </c>
      <c r="E157" s="29"/>
      <c r="F157" s="63">
        <v>45067</v>
      </c>
      <c r="G157" s="27">
        <v>9400.52</v>
      </c>
      <c r="H157" s="34">
        <f t="shared" si="5"/>
        <v>3.6417368020404961E-3</v>
      </c>
      <c r="I157" s="27"/>
      <c r="J157" s="27"/>
      <c r="L157" s="28"/>
      <c r="S157" s="27"/>
      <c r="T157" s="27"/>
      <c r="U157" s="27"/>
      <c r="W157" s="28"/>
    </row>
    <row r="158" spans="2:23" ht="13.8" hidden="1" outlineLevel="1" x14ac:dyDescent="0.25">
      <c r="B158" s="63">
        <v>45060</v>
      </c>
      <c r="C158" s="1">
        <v>2.67</v>
      </c>
      <c r="D158" s="34">
        <f t="shared" si="4"/>
        <v>2.6923076923076827E-2</v>
      </c>
      <c r="E158" s="29"/>
      <c r="F158" s="63">
        <v>45060</v>
      </c>
      <c r="G158" s="27">
        <v>9508.67</v>
      </c>
      <c r="H158" s="34">
        <f t="shared" si="5"/>
        <v>1.1504682719679193E-2</v>
      </c>
      <c r="I158" s="27"/>
      <c r="J158" s="27"/>
      <c r="L158" s="28"/>
      <c r="S158" s="27"/>
      <c r="T158" s="27"/>
      <c r="U158" s="27"/>
      <c r="W158" s="28"/>
    </row>
    <row r="159" spans="2:23" ht="13.8" hidden="1" outlineLevel="1" x14ac:dyDescent="0.25">
      <c r="B159" s="63">
        <v>45053</v>
      </c>
      <c r="C159" s="1">
        <v>2.65</v>
      </c>
      <c r="D159" s="34">
        <f t="shared" si="4"/>
        <v>-7.4906367041198685E-3</v>
      </c>
      <c r="E159" s="29"/>
      <c r="F159" s="63">
        <v>45053</v>
      </c>
      <c r="G159" s="27">
        <v>9669.82</v>
      </c>
      <c r="H159" s="34">
        <f t="shared" si="5"/>
        <v>1.6947690896834011E-2</v>
      </c>
      <c r="I159" s="27"/>
      <c r="J159" s="27"/>
      <c r="L159" s="28"/>
      <c r="S159" s="27"/>
      <c r="T159" s="27"/>
      <c r="U159" s="27"/>
      <c r="W159" s="28"/>
    </row>
    <row r="160" spans="2:23" ht="13.8" hidden="1" outlineLevel="1" x14ac:dyDescent="0.25">
      <c r="B160" s="63">
        <v>45046</v>
      </c>
      <c r="C160" s="1">
        <v>2.66</v>
      </c>
      <c r="D160" s="34">
        <f t="shared" si="4"/>
        <v>3.7735849056603765E-3</v>
      </c>
      <c r="E160" s="29"/>
      <c r="F160" s="63">
        <v>45046</v>
      </c>
      <c r="G160" s="27">
        <v>9673.99</v>
      </c>
      <c r="H160" s="34">
        <f t="shared" si="5"/>
        <v>4.312386373273025E-4</v>
      </c>
      <c r="I160" s="27"/>
      <c r="J160" s="27"/>
      <c r="L160" s="28"/>
      <c r="S160" s="27"/>
      <c r="T160" s="27"/>
      <c r="U160" s="27"/>
      <c r="W160" s="28"/>
    </row>
    <row r="161" spans="2:23" ht="13.8" hidden="1" outlineLevel="1" x14ac:dyDescent="0.25">
      <c r="B161" s="63">
        <v>45039</v>
      </c>
      <c r="C161" s="1">
        <v>2.61</v>
      </c>
      <c r="D161" s="34">
        <f t="shared" si="4"/>
        <v>-1.8796992481203145E-2</v>
      </c>
      <c r="E161" s="29"/>
      <c r="F161" s="63">
        <v>45039</v>
      </c>
      <c r="G161" s="27">
        <v>9750.75</v>
      </c>
      <c r="H161" s="34">
        <f t="shared" si="5"/>
        <v>7.9346784522209557E-3</v>
      </c>
      <c r="I161" s="27"/>
      <c r="J161" s="27"/>
      <c r="L161" s="28"/>
      <c r="S161" s="27"/>
      <c r="T161" s="27"/>
      <c r="U161" s="27"/>
      <c r="W161" s="28"/>
    </row>
    <row r="162" spans="2:23" ht="13.8" hidden="1" outlineLevel="1" x14ac:dyDescent="0.25">
      <c r="B162" s="63">
        <v>45032</v>
      </c>
      <c r="C162" s="1">
        <v>2.63</v>
      </c>
      <c r="D162" s="34">
        <f t="shared" si="4"/>
        <v>7.6628352490422103E-3</v>
      </c>
      <c r="E162" s="29"/>
      <c r="F162" s="63">
        <v>45032</v>
      </c>
      <c r="G162" s="27">
        <v>9633.7800000000007</v>
      </c>
      <c r="H162" s="34">
        <f t="shared" si="5"/>
        <v>-1.1996000307668564E-2</v>
      </c>
      <c r="I162" s="27"/>
      <c r="J162" s="27"/>
      <c r="L162" s="28"/>
      <c r="S162" s="27"/>
      <c r="T162" s="27"/>
      <c r="U162" s="27"/>
      <c r="W162" s="28"/>
    </row>
    <row r="163" spans="2:23" ht="13.8" hidden="1" outlineLevel="1" x14ac:dyDescent="0.25">
      <c r="B163" s="63">
        <v>45025</v>
      </c>
      <c r="C163" s="1">
        <v>2.65</v>
      </c>
      <c r="D163" s="34">
        <f t="shared" si="4"/>
        <v>7.6045627376426506E-3</v>
      </c>
      <c r="E163" s="29"/>
      <c r="F163" s="63">
        <v>45025</v>
      </c>
      <c r="G163" s="27">
        <v>9558.1</v>
      </c>
      <c r="H163" s="34">
        <f t="shared" si="5"/>
        <v>-7.8556911202041224E-3</v>
      </c>
      <c r="I163" s="27"/>
      <c r="J163" s="27"/>
      <c r="L163" s="28"/>
      <c r="S163" s="27"/>
      <c r="T163" s="27"/>
      <c r="U163" s="27"/>
      <c r="W163" s="28"/>
    </row>
    <row r="164" spans="2:23" ht="13.8" hidden="1" outlineLevel="1" x14ac:dyDescent="0.25">
      <c r="B164" s="63">
        <v>45018</v>
      </c>
      <c r="C164" s="1">
        <v>2.68</v>
      </c>
      <c r="D164" s="34">
        <f t="shared" si="4"/>
        <v>1.132075471698113E-2</v>
      </c>
      <c r="E164" s="29"/>
      <c r="F164" s="63">
        <v>45018</v>
      </c>
      <c r="G164" s="27">
        <v>9470.77</v>
      </c>
      <c r="H164" s="34">
        <f t="shared" si="5"/>
        <v>-9.1367531203899732E-3</v>
      </c>
      <c r="I164" s="27"/>
      <c r="J164" s="27"/>
      <c r="L164" s="28"/>
      <c r="S164" s="27"/>
      <c r="T164" s="27"/>
      <c r="U164" s="27"/>
      <c r="W164" s="28"/>
    </row>
    <row r="165" spans="2:23" ht="13.8" hidden="1" outlineLevel="1" x14ac:dyDescent="0.25">
      <c r="B165" s="63">
        <v>45011</v>
      </c>
      <c r="C165" s="1">
        <v>2.59</v>
      </c>
      <c r="D165" s="34">
        <f t="shared" si="4"/>
        <v>-3.3582089552238958E-2</v>
      </c>
      <c r="E165" s="29"/>
      <c r="F165" s="63">
        <v>45011</v>
      </c>
      <c r="G165" s="27">
        <v>9478.64</v>
      </c>
      <c r="H165" s="34">
        <f t="shared" si="5"/>
        <v>8.3097784023888899E-4</v>
      </c>
      <c r="I165" s="27"/>
      <c r="J165" s="27"/>
      <c r="L165" s="28"/>
      <c r="S165" s="27"/>
      <c r="T165" s="27"/>
      <c r="U165" s="27"/>
      <c r="W165" s="28"/>
    </row>
    <row r="166" spans="2:23" ht="13.8" hidden="1" outlineLevel="1" x14ac:dyDescent="0.25">
      <c r="B166" s="63">
        <v>45004</v>
      </c>
      <c r="C166" s="1">
        <v>2.5299999999999998</v>
      </c>
      <c r="D166" s="34">
        <f t="shared" si="4"/>
        <v>-2.3166023166023231E-2</v>
      </c>
      <c r="E166" s="29"/>
      <c r="F166" s="63">
        <v>45004</v>
      </c>
      <c r="G166" s="27">
        <v>9550.2000000000007</v>
      </c>
      <c r="H166" s="34">
        <f t="shared" si="5"/>
        <v>7.5496062726299051E-3</v>
      </c>
      <c r="I166" s="27"/>
      <c r="J166" s="27"/>
      <c r="L166" s="28"/>
      <c r="S166" s="27"/>
      <c r="T166" s="27"/>
      <c r="U166" s="27"/>
      <c r="W166" s="28"/>
    </row>
    <row r="167" spans="2:23" ht="13.8" hidden="1" outlineLevel="1" x14ac:dyDescent="0.25">
      <c r="B167" s="63">
        <v>44997</v>
      </c>
      <c r="C167" s="1">
        <v>2.61</v>
      </c>
      <c r="D167" s="34">
        <f t="shared" si="4"/>
        <v>3.1620553359683834E-2</v>
      </c>
      <c r="E167" s="29"/>
      <c r="F167" s="63">
        <v>44997</v>
      </c>
      <c r="G167" s="27">
        <v>9441.8799999999992</v>
      </c>
      <c r="H167" s="34">
        <f t="shared" si="5"/>
        <v>-1.1342170844589772E-2</v>
      </c>
      <c r="I167" s="27"/>
      <c r="J167" s="27"/>
      <c r="L167" s="28"/>
      <c r="S167" s="27"/>
      <c r="T167" s="27"/>
      <c r="U167" s="27"/>
      <c r="W167" s="28"/>
    </row>
    <row r="168" spans="2:23" ht="13.8" hidden="1" outlineLevel="1" x14ac:dyDescent="0.25">
      <c r="B168" s="63">
        <v>44990</v>
      </c>
      <c r="C168" s="1">
        <v>2.62</v>
      </c>
      <c r="D168" s="34">
        <f t="shared" si="4"/>
        <v>3.8314176245211051E-3</v>
      </c>
      <c r="E168" s="29"/>
      <c r="F168" s="63">
        <v>44990</v>
      </c>
      <c r="G168" s="27">
        <v>9860.18</v>
      </c>
      <c r="H168" s="34">
        <f t="shared" si="5"/>
        <v>4.4302617699017777E-2</v>
      </c>
      <c r="I168" s="27"/>
      <c r="J168" s="27"/>
      <c r="L168" s="28"/>
      <c r="S168" s="27"/>
      <c r="T168" s="27"/>
      <c r="U168" s="27"/>
      <c r="W168" s="28"/>
    </row>
    <row r="169" spans="2:23" ht="13.8" hidden="1" outlineLevel="1" x14ac:dyDescent="0.25">
      <c r="B169" s="63">
        <v>44983</v>
      </c>
      <c r="C169" s="1">
        <v>2.5499999999999998</v>
      </c>
      <c r="D169" s="34">
        <f t="shared" si="4"/>
        <v>-2.6717557251908497E-2</v>
      </c>
      <c r="E169" s="29"/>
      <c r="F169" s="63">
        <v>44983</v>
      </c>
      <c r="G169" s="27">
        <v>9868.1299999999992</v>
      </c>
      <c r="H169" s="34">
        <f t="shared" si="5"/>
        <v>8.0627331346883047E-4</v>
      </c>
      <c r="I169" s="27"/>
      <c r="J169" s="27"/>
      <c r="L169" s="28"/>
      <c r="S169" s="27"/>
      <c r="T169" s="27"/>
      <c r="U169" s="27"/>
      <c r="W169" s="28"/>
    </row>
    <row r="170" spans="2:23" ht="13.8" hidden="1" outlineLevel="1" x14ac:dyDescent="0.25">
      <c r="B170" s="63">
        <v>44976</v>
      </c>
      <c r="C170" s="1">
        <v>2.5299999999999998</v>
      </c>
      <c r="D170" s="34">
        <f t="shared" si="4"/>
        <v>-7.8431372549019329E-3</v>
      </c>
      <c r="E170" s="29"/>
      <c r="F170" s="63">
        <v>44976</v>
      </c>
      <c r="G170" s="27">
        <v>9844.49</v>
      </c>
      <c r="H170" s="34">
        <f t="shared" si="5"/>
        <v>-2.395590653953672E-3</v>
      </c>
      <c r="I170" s="27"/>
      <c r="J170" s="27"/>
      <c r="L170" s="28"/>
      <c r="S170" s="27"/>
      <c r="T170" s="27"/>
      <c r="U170" s="27"/>
      <c r="W170" s="28"/>
    </row>
    <row r="171" spans="2:23" ht="13.8" hidden="1" outlineLevel="1" x14ac:dyDescent="0.25">
      <c r="B171" s="63">
        <v>44969</v>
      </c>
      <c r="C171" s="1">
        <v>2.69</v>
      </c>
      <c r="D171" s="34">
        <f t="shared" si="4"/>
        <v>6.3241106719367668E-2</v>
      </c>
      <c r="E171" s="29"/>
      <c r="F171" s="63">
        <v>44969</v>
      </c>
      <c r="G171" s="27">
        <v>9962.74</v>
      </c>
      <c r="H171" s="34">
        <f t="shared" si="5"/>
        <v>1.2011795430743488E-2</v>
      </c>
      <c r="I171" s="27"/>
      <c r="J171" s="27"/>
      <c r="L171" s="28"/>
      <c r="S171" s="27"/>
      <c r="T171" s="27"/>
      <c r="U171" s="27"/>
      <c r="W171" s="28"/>
    </row>
    <row r="172" spans="2:23" ht="13.8" hidden="1" outlineLevel="1" x14ac:dyDescent="0.25">
      <c r="B172" s="63">
        <v>44962</v>
      </c>
      <c r="C172" s="1">
        <v>2.71</v>
      </c>
      <c r="D172" s="34">
        <f t="shared" si="4"/>
        <v>7.4349442379182396E-3</v>
      </c>
      <c r="E172" s="29"/>
      <c r="F172" s="63">
        <v>44962</v>
      </c>
      <c r="G172" s="27">
        <v>10010.64</v>
      </c>
      <c r="H172" s="34">
        <f t="shared" si="5"/>
        <v>4.8079142886394699E-3</v>
      </c>
      <c r="I172" s="27"/>
      <c r="J172" s="27"/>
      <c r="L172" s="28"/>
      <c r="S172" s="27"/>
      <c r="T172" s="27"/>
      <c r="U172" s="27"/>
      <c r="W172" s="28"/>
    </row>
    <row r="173" spans="2:23" ht="13.8" hidden="1" outlineLevel="1" x14ac:dyDescent="0.25">
      <c r="B173" s="63">
        <v>44955</v>
      </c>
      <c r="C173" s="1">
        <v>2.63</v>
      </c>
      <c r="D173" s="34">
        <f t="shared" si="4"/>
        <v>-2.9520295202952074E-2</v>
      </c>
      <c r="E173" s="29"/>
      <c r="F173" s="63">
        <v>44955</v>
      </c>
      <c r="G173" s="27">
        <v>9858.42</v>
      </c>
      <c r="H173" s="34">
        <f t="shared" si="5"/>
        <v>-1.5205821006449072E-2</v>
      </c>
      <c r="I173" s="27"/>
      <c r="J173" s="27"/>
      <c r="L173" s="28"/>
      <c r="S173" s="27"/>
      <c r="T173" s="27"/>
      <c r="U173" s="27"/>
      <c r="W173" s="28"/>
    </row>
    <row r="174" spans="2:23" ht="13.8" hidden="1" outlineLevel="1" x14ac:dyDescent="0.25">
      <c r="B174" s="63">
        <v>44948</v>
      </c>
      <c r="C174" s="1">
        <v>2.66</v>
      </c>
      <c r="D174" s="34">
        <f t="shared" si="4"/>
        <v>1.1406844106463865E-2</v>
      </c>
      <c r="E174" s="29"/>
      <c r="F174" s="63">
        <v>44948</v>
      </c>
      <c r="G174" s="27">
        <v>10000.33</v>
      </c>
      <c r="H174" s="34">
        <f t="shared" si="5"/>
        <v>1.4394801601067986E-2</v>
      </c>
      <c r="I174" s="27"/>
      <c r="J174" s="27"/>
      <c r="L174" s="28"/>
      <c r="S174" s="27"/>
      <c r="T174" s="27"/>
      <c r="U174" s="27"/>
      <c r="W174" s="28"/>
    </row>
    <row r="175" spans="2:23" ht="13.8" hidden="1" outlineLevel="1" x14ac:dyDescent="0.25">
      <c r="B175" s="63">
        <v>44941</v>
      </c>
      <c r="C175" s="1">
        <v>2.69</v>
      </c>
      <c r="D175" s="34">
        <f t="shared" si="4"/>
        <v>1.1278195488721776E-2</v>
      </c>
      <c r="E175" s="29"/>
      <c r="F175" s="63">
        <v>44941</v>
      </c>
      <c r="G175" s="27">
        <v>10191.61</v>
      </c>
      <c r="H175" s="34">
        <f t="shared" si="5"/>
        <v>1.9127368796829858E-2</v>
      </c>
      <c r="I175" s="27"/>
      <c r="J175" s="27"/>
      <c r="L175" s="28"/>
      <c r="S175" s="27"/>
      <c r="T175" s="27"/>
      <c r="U175" s="27"/>
      <c r="W175" s="28"/>
    </row>
    <row r="176" spans="2:23" ht="13.8" hidden="1" outlineLevel="1" x14ac:dyDescent="0.25">
      <c r="B176" s="63">
        <v>44934</v>
      </c>
      <c r="C176" s="1">
        <v>2.71</v>
      </c>
      <c r="D176" s="34">
        <f t="shared" si="4"/>
        <v>7.4349442379182396E-3</v>
      </c>
      <c r="E176" s="29"/>
      <c r="F176" s="63">
        <v>44934</v>
      </c>
      <c r="G176" s="27">
        <v>10152.99</v>
      </c>
      <c r="H176" s="34">
        <f t="shared" si="5"/>
        <v>-3.7893914700426468E-3</v>
      </c>
      <c r="I176" s="27"/>
      <c r="J176" s="27"/>
      <c r="L176" s="28"/>
      <c r="S176" s="27"/>
      <c r="T176" s="27"/>
      <c r="U176" s="27"/>
      <c r="W176" s="28"/>
    </row>
    <row r="177" spans="2:23" ht="13.8" hidden="1" outlineLevel="1" x14ac:dyDescent="0.25">
      <c r="B177" s="63">
        <v>44927</v>
      </c>
      <c r="C177" s="1">
        <v>2.65</v>
      </c>
      <c r="D177" s="34">
        <f t="shared" si="4"/>
        <v>-2.2140221402214055E-2</v>
      </c>
      <c r="E177" s="29"/>
      <c r="F177" s="63">
        <v>44927</v>
      </c>
      <c r="G177" s="27">
        <v>10253.280000000001</v>
      </c>
      <c r="H177" s="34">
        <f t="shared" si="5"/>
        <v>9.8778783392874381E-3</v>
      </c>
      <c r="I177" s="27"/>
      <c r="J177" s="27"/>
      <c r="L177" s="28"/>
      <c r="S177" s="27"/>
      <c r="T177" s="27"/>
      <c r="U177" s="27"/>
      <c r="W177" s="28"/>
    </row>
    <row r="178" spans="2:23" ht="13.8" hidden="1" outlineLevel="1" x14ac:dyDescent="0.25">
      <c r="B178" s="63">
        <v>44920</v>
      </c>
      <c r="C178" s="1">
        <v>2.52</v>
      </c>
      <c r="D178" s="34">
        <f t="shared" si="4"/>
        <v>-4.9056603773584895E-2</v>
      </c>
      <c r="E178" s="29"/>
      <c r="F178" s="63">
        <v>44920</v>
      </c>
      <c r="G178" s="27">
        <v>10266.969999999999</v>
      </c>
      <c r="H178" s="34">
        <f t="shared" si="5"/>
        <v>1.3351824976981508E-3</v>
      </c>
      <c r="I178" s="27"/>
      <c r="J178" s="27"/>
      <c r="L178" s="28"/>
      <c r="S178" s="27"/>
      <c r="T178" s="27"/>
      <c r="U178" s="27"/>
      <c r="W178" s="28"/>
    </row>
    <row r="179" spans="2:23" ht="13.8" hidden="1" outlineLevel="1" x14ac:dyDescent="0.25">
      <c r="B179" s="63">
        <v>44913</v>
      </c>
      <c r="C179" s="1">
        <v>2.54</v>
      </c>
      <c r="D179" s="34">
        <f t="shared" si="4"/>
        <v>7.9365079365079083E-3</v>
      </c>
      <c r="E179" s="29"/>
      <c r="F179" s="63">
        <v>44913</v>
      </c>
      <c r="G179" s="27">
        <v>10312.99</v>
      </c>
      <c r="H179" s="34">
        <f t="shared" si="5"/>
        <v>4.4823350998395295E-3</v>
      </c>
      <c r="I179" s="27"/>
      <c r="J179" s="27"/>
      <c r="L179" s="28"/>
      <c r="S179" s="27"/>
      <c r="T179" s="27"/>
      <c r="U179" s="27"/>
      <c r="W179" s="28"/>
    </row>
    <row r="180" spans="2:23" ht="13.8" hidden="1" outlineLevel="1" x14ac:dyDescent="0.25">
      <c r="B180" s="63">
        <v>44906</v>
      </c>
      <c r="C180" s="1">
        <v>2.56</v>
      </c>
      <c r="D180" s="34">
        <f t="shared" si="4"/>
        <v>7.8740157480314821E-3</v>
      </c>
      <c r="E180" s="29"/>
      <c r="F180" s="63">
        <v>44906</v>
      </c>
      <c r="G180" s="27">
        <v>10168.33</v>
      </c>
      <c r="H180" s="34">
        <f t="shared" si="5"/>
        <v>-1.4026969870037709E-2</v>
      </c>
      <c r="I180" s="27"/>
      <c r="J180" s="27"/>
      <c r="L180" s="28"/>
      <c r="S180" s="27"/>
      <c r="T180" s="27"/>
      <c r="U180" s="27"/>
      <c r="W180" s="28"/>
    </row>
    <row r="181" spans="2:23" ht="13.8" hidden="1" outlineLevel="1" x14ac:dyDescent="0.25">
      <c r="B181" s="63">
        <v>44899</v>
      </c>
      <c r="C181" s="1">
        <v>2.66</v>
      </c>
      <c r="D181" s="34">
        <f t="shared" si="4"/>
        <v>3.90625E-2</v>
      </c>
      <c r="E181" s="29"/>
      <c r="F181" s="63">
        <v>44899</v>
      </c>
      <c r="G181" s="27">
        <v>10273.700000000001</v>
      </c>
      <c r="H181" s="34">
        <f t="shared" si="5"/>
        <v>1.0362566911184201E-2</v>
      </c>
      <c r="I181" s="27"/>
      <c r="J181" s="27"/>
      <c r="L181" s="28"/>
      <c r="S181" s="27"/>
      <c r="T181" s="27"/>
      <c r="U181" s="27"/>
      <c r="W181" s="28"/>
    </row>
    <row r="182" spans="2:23" ht="13.8" hidden="1" outlineLevel="1" x14ac:dyDescent="0.25">
      <c r="B182" s="63">
        <v>44892</v>
      </c>
      <c r="C182" s="1">
        <v>2.68</v>
      </c>
      <c r="D182" s="34">
        <f t="shared" si="4"/>
        <v>7.5187969924812581E-3</v>
      </c>
      <c r="E182" s="29"/>
      <c r="F182" s="63">
        <v>44892</v>
      </c>
      <c r="G182" s="27">
        <v>10552.37</v>
      </c>
      <c r="H182" s="34">
        <f t="shared" si="5"/>
        <v>2.7124599706045638E-2</v>
      </c>
      <c r="I182" s="27"/>
      <c r="J182" s="27"/>
      <c r="L182" s="28"/>
      <c r="S182" s="27"/>
      <c r="T182" s="27"/>
      <c r="U182" s="27"/>
      <c r="W182" s="28"/>
    </row>
    <row r="183" spans="2:23" ht="13.8" hidden="1" outlineLevel="1" x14ac:dyDescent="0.25">
      <c r="B183" s="63">
        <v>44885</v>
      </c>
      <c r="C183" s="1">
        <v>2.7</v>
      </c>
      <c r="D183" s="34">
        <f t="shared" si="4"/>
        <v>7.4626865671640896E-3</v>
      </c>
      <c r="E183" s="29"/>
      <c r="F183" s="63">
        <v>44885</v>
      </c>
      <c r="G183" s="27">
        <v>10534.66</v>
      </c>
      <c r="H183" s="34">
        <f t="shared" si="5"/>
        <v>-1.6782959657405394E-3</v>
      </c>
      <c r="I183" s="27"/>
      <c r="J183" s="27"/>
      <c r="L183" s="28"/>
      <c r="S183" s="27"/>
      <c r="T183" s="27"/>
      <c r="U183" s="27"/>
      <c r="W183" s="28"/>
    </row>
    <row r="184" spans="2:23" ht="13.8" hidden="1" outlineLevel="1" x14ac:dyDescent="0.25">
      <c r="B184" s="63">
        <v>44878</v>
      </c>
      <c r="C184" s="1">
        <v>2.7</v>
      </c>
      <c r="D184" s="34">
        <f t="shared" si="4"/>
        <v>0</v>
      </c>
      <c r="E184" s="29"/>
      <c r="F184" s="63">
        <v>44878</v>
      </c>
      <c r="G184" s="27">
        <v>10424.93</v>
      </c>
      <c r="H184" s="34">
        <f t="shared" si="5"/>
        <v>-1.0416093162949669E-2</v>
      </c>
      <c r="I184" s="27"/>
      <c r="J184" s="27"/>
      <c r="L184" s="28"/>
      <c r="S184" s="27"/>
      <c r="T184" s="27"/>
      <c r="U184" s="27"/>
      <c r="W184" s="28"/>
    </row>
    <row r="185" spans="2:23" ht="13.8" hidden="1" outlineLevel="1" x14ac:dyDescent="0.25">
      <c r="B185" s="63">
        <v>44871</v>
      </c>
      <c r="C185" s="1">
        <v>2.7</v>
      </c>
      <c r="D185" s="34">
        <f t="shared" si="4"/>
        <v>0</v>
      </c>
      <c r="E185" s="29"/>
      <c r="F185" s="63">
        <v>44871</v>
      </c>
      <c r="G185" s="27">
        <v>10619.43</v>
      </c>
      <c r="H185" s="34">
        <f t="shared" si="5"/>
        <v>1.8657199616687992E-2</v>
      </c>
      <c r="I185" s="27"/>
      <c r="J185" s="27"/>
      <c r="L185" s="28"/>
      <c r="S185" s="27"/>
      <c r="T185" s="27"/>
      <c r="U185" s="27"/>
      <c r="W185" s="28"/>
    </row>
    <row r="186" spans="2:23" ht="13.8" hidden="1" outlineLevel="1" x14ac:dyDescent="0.25">
      <c r="B186" s="63">
        <v>44864</v>
      </c>
      <c r="C186" s="1">
        <v>2.68</v>
      </c>
      <c r="D186" s="34">
        <f t="shared" si="4"/>
        <v>-7.4074074074074181E-3</v>
      </c>
      <c r="E186" s="29"/>
      <c r="F186" s="63">
        <v>44864</v>
      </c>
      <c r="G186" s="27">
        <v>10381.68</v>
      </c>
      <c r="H186" s="34">
        <f t="shared" si="5"/>
        <v>-2.2388207276661687E-2</v>
      </c>
      <c r="I186" s="27"/>
      <c r="J186" s="27"/>
      <c r="L186" s="28"/>
      <c r="S186" s="27"/>
      <c r="T186" s="27"/>
      <c r="U186" s="27"/>
      <c r="W186" s="28"/>
    </row>
    <row r="187" spans="2:23" ht="13.8" hidden="1" outlineLevel="1" x14ac:dyDescent="0.25">
      <c r="B187" s="63">
        <v>44857</v>
      </c>
      <c r="C187" s="1">
        <v>2.77</v>
      </c>
      <c r="D187" s="34">
        <f t="shared" si="4"/>
        <v>3.3582089552238736E-2</v>
      </c>
      <c r="E187" s="29"/>
      <c r="F187" s="63">
        <v>44857</v>
      </c>
      <c r="G187" s="27">
        <v>10296.26</v>
      </c>
      <c r="H187" s="34">
        <f t="shared" si="5"/>
        <v>-8.2279553983555243E-3</v>
      </c>
      <c r="I187" s="27"/>
      <c r="J187" s="27"/>
      <c r="L187" s="28"/>
      <c r="S187" s="27"/>
      <c r="T187" s="27"/>
      <c r="U187" s="27"/>
      <c r="W187" s="28"/>
    </row>
    <row r="188" spans="2:23" ht="13.8" hidden="1" outlineLevel="1" x14ac:dyDescent="0.25">
      <c r="B188" s="63">
        <v>44850</v>
      </c>
      <c r="C188" s="1">
        <v>2.74</v>
      </c>
      <c r="D188" s="34">
        <f t="shared" si="4"/>
        <v>-1.0830324909747224E-2</v>
      </c>
      <c r="E188" s="29"/>
      <c r="F188" s="63">
        <v>44850</v>
      </c>
      <c r="G188" s="27">
        <v>10130.450000000001</v>
      </c>
      <c r="H188" s="34">
        <f t="shared" si="5"/>
        <v>-1.6103905690027176E-2</v>
      </c>
      <c r="I188" s="27"/>
      <c r="J188" s="27"/>
      <c r="L188" s="28"/>
      <c r="S188" s="27"/>
      <c r="T188" s="27"/>
      <c r="U188" s="27"/>
      <c r="W188" s="28"/>
    </row>
    <row r="189" spans="2:23" ht="13.8" hidden="1" outlineLevel="1" x14ac:dyDescent="0.25">
      <c r="B189" s="63">
        <v>44843</v>
      </c>
      <c r="C189" s="1">
        <v>2.74</v>
      </c>
      <c r="D189" s="34">
        <f t="shared" si="4"/>
        <v>0</v>
      </c>
      <c r="E189" s="29"/>
      <c r="F189" s="63">
        <v>44843</v>
      </c>
      <c r="G189" s="27">
        <v>9696.9</v>
      </c>
      <c r="H189" s="34">
        <f t="shared" si="5"/>
        <v>-4.2796716828966241E-2</v>
      </c>
      <c r="I189" s="27"/>
      <c r="J189" s="27"/>
      <c r="L189" s="28"/>
      <c r="S189" s="27"/>
      <c r="T189" s="27"/>
      <c r="U189" s="27"/>
      <c r="W189" s="28"/>
    </row>
    <row r="190" spans="2:23" ht="13.8" hidden="1" outlineLevel="1" x14ac:dyDescent="0.25">
      <c r="B190" s="63">
        <v>44836</v>
      </c>
      <c r="C190" s="1">
        <v>2.82</v>
      </c>
      <c r="D190" s="34">
        <f t="shared" si="4"/>
        <v>2.9197080291970767E-2</v>
      </c>
      <c r="E190" s="29"/>
      <c r="F190" s="63">
        <v>44836</v>
      </c>
      <c r="G190" s="27">
        <v>9891.98</v>
      </c>
      <c r="H190" s="34">
        <f t="shared" si="5"/>
        <v>2.0117769596468937E-2</v>
      </c>
      <c r="I190" s="27"/>
      <c r="J190" s="27"/>
      <c r="L190" s="28"/>
      <c r="S190" s="27"/>
      <c r="T190" s="27"/>
      <c r="U190" s="27"/>
      <c r="W190" s="28"/>
    </row>
    <row r="191" spans="2:23" ht="13.8" hidden="1" outlineLevel="1" x14ac:dyDescent="0.25">
      <c r="B191" s="63">
        <v>44829</v>
      </c>
      <c r="C191" s="1">
        <v>2.89</v>
      </c>
      <c r="D191" s="34">
        <f t="shared" si="4"/>
        <v>2.4822695035461084E-2</v>
      </c>
      <c r="E191" s="29"/>
      <c r="F191" s="63">
        <v>44829</v>
      </c>
      <c r="G191" s="27">
        <v>9816.2199999999993</v>
      </c>
      <c r="H191" s="34">
        <f t="shared" si="5"/>
        <v>-7.6587295971080049E-3</v>
      </c>
      <c r="I191" s="27"/>
      <c r="J191" s="27"/>
      <c r="L191" s="28"/>
      <c r="S191" s="27"/>
      <c r="T191" s="27"/>
      <c r="U191" s="27"/>
      <c r="W191" s="28"/>
    </row>
    <row r="192" spans="2:23" ht="13.8" hidden="1" outlineLevel="1" x14ac:dyDescent="0.25">
      <c r="B192" s="63">
        <v>44822</v>
      </c>
      <c r="C192" s="1">
        <v>3</v>
      </c>
      <c r="D192" s="34">
        <f t="shared" si="4"/>
        <v>3.8062283737024138E-2</v>
      </c>
      <c r="E192" s="29"/>
      <c r="F192" s="63">
        <v>44822</v>
      </c>
      <c r="G192" s="27">
        <v>10093.629999999999</v>
      </c>
      <c r="H192" s="34">
        <f t="shared" si="5"/>
        <v>2.8260369062633073E-2</v>
      </c>
      <c r="I192" s="27"/>
      <c r="J192" s="27"/>
      <c r="L192" s="28"/>
      <c r="S192" s="27"/>
      <c r="T192" s="27"/>
      <c r="U192" s="27"/>
      <c r="W192" s="28"/>
    </row>
    <row r="193" spans="2:23" ht="13.8" hidden="1" outlineLevel="1" x14ac:dyDescent="0.25">
      <c r="B193" s="63">
        <v>44815</v>
      </c>
      <c r="C193" s="1">
        <v>2.96</v>
      </c>
      <c r="D193" s="34">
        <f t="shared" si="4"/>
        <v>-1.3333333333333308E-2</v>
      </c>
      <c r="E193" s="29"/>
      <c r="F193" s="63">
        <v>44815</v>
      </c>
      <c r="G193" s="27">
        <v>10019.200000000001</v>
      </c>
      <c r="H193" s="34">
        <f t="shared" si="5"/>
        <v>-7.3739576346664171E-3</v>
      </c>
      <c r="I193" s="27"/>
      <c r="J193" s="27"/>
      <c r="L193" s="28"/>
      <c r="S193" s="27"/>
      <c r="T193" s="27"/>
      <c r="U193" s="27"/>
      <c r="W193" s="28"/>
    </row>
    <row r="194" spans="2:23" ht="13.8" hidden="1" outlineLevel="1" x14ac:dyDescent="0.25">
      <c r="B194" s="63">
        <v>44808</v>
      </c>
      <c r="C194" s="1">
        <v>2.93</v>
      </c>
      <c r="D194" s="34">
        <f t="shared" si="4"/>
        <v>-1.0135135135135087E-2</v>
      </c>
      <c r="E194" s="29"/>
      <c r="F194" s="63">
        <v>44808</v>
      </c>
      <c r="G194" s="27">
        <v>9785.83</v>
      </c>
      <c r="H194" s="34">
        <f t="shared" si="5"/>
        <v>-2.3292278824656787E-2</v>
      </c>
      <c r="I194" s="27"/>
      <c r="J194" s="27"/>
      <c r="L194" s="28"/>
      <c r="S194" s="27"/>
      <c r="T194" s="27"/>
      <c r="U194" s="27"/>
      <c r="W194" s="28"/>
    </row>
    <row r="195" spans="2:23" ht="13.8" hidden="1" outlineLevel="1" x14ac:dyDescent="0.25">
      <c r="B195" s="63">
        <v>44801</v>
      </c>
      <c r="C195" s="1">
        <v>3.02</v>
      </c>
      <c r="D195" s="34">
        <f t="shared" si="4"/>
        <v>3.0716723549488067E-2</v>
      </c>
      <c r="E195" s="29"/>
      <c r="F195" s="63">
        <v>44801</v>
      </c>
      <c r="G195" s="27">
        <v>9719.57</v>
      </c>
      <c r="H195" s="34">
        <f t="shared" si="5"/>
        <v>-6.7710148244962687E-3</v>
      </c>
      <c r="I195" s="27"/>
      <c r="J195" s="27"/>
      <c r="L195" s="28"/>
      <c r="S195" s="27"/>
      <c r="T195" s="27"/>
      <c r="U195" s="27"/>
      <c r="W195" s="28"/>
    </row>
    <row r="196" spans="2:23" ht="13.8" hidden="1" outlineLevel="1" x14ac:dyDescent="0.25">
      <c r="B196" s="63">
        <v>44794</v>
      </c>
      <c r="C196" s="1">
        <v>3.04</v>
      </c>
      <c r="D196" s="34">
        <f t="shared" si="4"/>
        <v>6.6225165562914245E-3</v>
      </c>
      <c r="E196" s="29"/>
      <c r="F196" s="63">
        <v>44794</v>
      </c>
      <c r="G196" s="27">
        <v>10021.74</v>
      </c>
      <c r="H196" s="34">
        <f t="shared" si="5"/>
        <v>3.1088823888299588E-2</v>
      </c>
      <c r="I196" s="27"/>
      <c r="J196" s="27"/>
      <c r="L196" s="28"/>
      <c r="S196" s="27"/>
      <c r="T196" s="27"/>
      <c r="U196" s="27"/>
      <c r="W196" s="28"/>
    </row>
    <row r="197" spans="2:23" ht="13.8" hidden="1" outlineLevel="1" x14ac:dyDescent="0.25">
      <c r="B197" s="63">
        <v>44787</v>
      </c>
      <c r="C197" s="1">
        <v>3.03</v>
      </c>
      <c r="D197" s="34">
        <f t="shared" si="4"/>
        <v>-3.2894736842106198E-3</v>
      </c>
      <c r="E197" s="29"/>
      <c r="F197" s="63">
        <v>44787</v>
      </c>
      <c r="G197" s="27">
        <v>10097.290000000001</v>
      </c>
      <c r="H197" s="34">
        <f t="shared" si="5"/>
        <v>7.5386110595565547E-3</v>
      </c>
      <c r="I197" s="27"/>
      <c r="J197" s="27"/>
      <c r="L197" s="28"/>
      <c r="S197" s="27"/>
      <c r="T197" s="27"/>
      <c r="U197" s="27"/>
      <c r="W197" s="28"/>
    </row>
    <row r="198" spans="2:23" ht="13.8" hidden="1" outlineLevel="1" x14ac:dyDescent="0.25">
      <c r="B198" s="63">
        <v>44780</v>
      </c>
      <c r="C198" s="1">
        <v>3.05</v>
      </c>
      <c r="D198" s="34">
        <f t="shared" si="4"/>
        <v>6.6006600660066805E-3</v>
      </c>
      <c r="E198" s="29"/>
      <c r="F198" s="63">
        <v>44780</v>
      </c>
      <c r="G198" s="27">
        <v>10298.57</v>
      </c>
      <c r="H198" s="34">
        <f t="shared" si="5"/>
        <v>1.9934061515515467E-2</v>
      </c>
      <c r="I198" s="27"/>
      <c r="J198" s="27"/>
      <c r="L198" s="28"/>
      <c r="S198" s="27"/>
      <c r="T198" s="27"/>
      <c r="U198" s="27"/>
      <c r="W198" s="28"/>
    </row>
    <row r="199" spans="2:23" ht="13.8" hidden="1" outlineLevel="1" x14ac:dyDescent="0.25">
      <c r="B199" s="63">
        <v>44773</v>
      </c>
      <c r="C199" s="1">
        <v>2.95</v>
      </c>
      <c r="D199" s="34">
        <f t="shared" si="4"/>
        <v>-3.2786885245901565E-2</v>
      </c>
      <c r="E199" s="29"/>
      <c r="F199" s="63">
        <v>44773</v>
      </c>
      <c r="G199" s="27">
        <v>9818.15</v>
      </c>
      <c r="H199" s="34">
        <f t="shared" si="5"/>
        <v>-4.6649194985323161E-2</v>
      </c>
      <c r="I199" s="27"/>
      <c r="J199" s="27"/>
      <c r="L199" s="28"/>
      <c r="S199" s="27"/>
      <c r="T199" s="27"/>
      <c r="U199" s="27"/>
      <c r="W199" s="28"/>
    </row>
    <row r="200" spans="2:23" ht="13.8" hidden="1" outlineLevel="1" x14ac:dyDescent="0.25">
      <c r="B200" s="63">
        <v>44766</v>
      </c>
      <c r="C200" s="1">
        <v>2.86</v>
      </c>
      <c r="D200" s="34">
        <f t="shared" si="4"/>
        <v>-3.0508474576271261E-2</v>
      </c>
      <c r="E200" s="29"/>
      <c r="F200" s="63">
        <v>44766</v>
      </c>
      <c r="G200" s="27">
        <v>9564.26</v>
      </c>
      <c r="H200" s="34">
        <f t="shared" si="5"/>
        <v>-2.5859250469793094E-2</v>
      </c>
      <c r="I200" s="27"/>
      <c r="J200" s="27"/>
      <c r="L200" s="28"/>
      <c r="S200" s="27"/>
      <c r="T200" s="27"/>
      <c r="U200" s="27"/>
      <c r="W200" s="28"/>
    </row>
    <row r="201" spans="2:23" ht="13.8" hidden="1" outlineLevel="1" x14ac:dyDescent="0.25">
      <c r="B201" s="63">
        <v>44759</v>
      </c>
      <c r="C201" s="1">
        <v>2.86</v>
      </c>
      <c r="D201" s="34">
        <f t="shared" si="4"/>
        <v>0</v>
      </c>
      <c r="E201" s="29"/>
      <c r="F201" s="63">
        <v>44759</v>
      </c>
      <c r="G201" s="27">
        <v>9597.68</v>
      </c>
      <c r="H201" s="34">
        <f t="shared" si="5"/>
        <v>3.4942588344524239E-3</v>
      </c>
      <c r="I201" s="27"/>
      <c r="J201" s="27"/>
      <c r="L201" s="28"/>
      <c r="S201" s="27"/>
      <c r="T201" s="27"/>
      <c r="U201" s="27"/>
      <c r="W201" s="28"/>
    </row>
    <row r="202" spans="2:23" ht="13.8" hidden="1" outlineLevel="1" x14ac:dyDescent="0.25">
      <c r="B202" s="63">
        <v>44752</v>
      </c>
      <c r="C202" s="1">
        <v>2.81</v>
      </c>
      <c r="D202" s="34">
        <f t="shared" si="4"/>
        <v>-1.748251748251739E-2</v>
      </c>
      <c r="E202" s="29"/>
      <c r="F202" s="63">
        <v>44752</v>
      </c>
      <c r="G202" s="27">
        <v>9243.9500000000007</v>
      </c>
      <c r="H202" s="34">
        <f t="shared" si="5"/>
        <v>-3.6855781813938338E-2</v>
      </c>
      <c r="I202" s="27"/>
      <c r="J202" s="27"/>
      <c r="L202" s="28"/>
      <c r="S202" s="27"/>
      <c r="T202" s="27"/>
      <c r="U202" s="27"/>
      <c r="W202" s="28"/>
    </row>
    <row r="203" spans="2:23" ht="13.8" hidden="1" outlineLevel="1" x14ac:dyDescent="0.25">
      <c r="B203" s="63">
        <v>44745</v>
      </c>
      <c r="C203" s="1">
        <v>2.89</v>
      </c>
      <c r="D203" s="34">
        <f t="shared" si="4"/>
        <v>2.8469750889679846E-2</v>
      </c>
      <c r="E203" s="29"/>
      <c r="F203" s="63">
        <v>44745</v>
      </c>
      <c r="G203" s="27">
        <v>9222.93</v>
      </c>
      <c r="H203" s="34">
        <f t="shared" si="5"/>
        <v>-2.2739196988300625E-3</v>
      </c>
      <c r="I203" s="27"/>
      <c r="J203" s="27"/>
      <c r="L203" s="28"/>
      <c r="S203" s="27"/>
      <c r="T203" s="27"/>
      <c r="U203" s="27"/>
      <c r="W203" s="28"/>
    </row>
    <row r="204" spans="2:23" ht="13.8" collapsed="1" x14ac:dyDescent="0.25">
      <c r="B204" s="63">
        <v>44738</v>
      </c>
      <c r="C204" s="1">
        <v>2.93</v>
      </c>
      <c r="D204" s="34">
        <f t="shared" si="4"/>
        <v>1.384083044982698E-2</v>
      </c>
      <c r="E204" s="29"/>
      <c r="F204" s="63">
        <v>44738</v>
      </c>
      <c r="G204" s="27">
        <v>9374.7000000000007</v>
      </c>
      <c r="H204" s="34">
        <f t="shared" si="5"/>
        <v>1.6455725024477008E-2</v>
      </c>
      <c r="I204" s="27"/>
      <c r="J204" s="27"/>
      <c r="L204" s="28"/>
      <c r="S204" s="27"/>
      <c r="T204" s="27"/>
      <c r="U204" s="27"/>
      <c r="W204" s="28"/>
    </row>
    <row r="205" spans="2:23" ht="13.8" x14ac:dyDescent="0.25">
      <c r="B205" s="63">
        <v>44731</v>
      </c>
      <c r="C205" s="1">
        <v>2.95</v>
      </c>
      <c r="D205" s="34">
        <f t="shared" si="4"/>
        <v>6.8259385665530026E-3</v>
      </c>
      <c r="E205" s="29"/>
      <c r="F205" s="63">
        <v>44731</v>
      </c>
      <c r="G205" s="27">
        <v>9244.48</v>
      </c>
      <c r="H205" s="34">
        <f t="shared" si="5"/>
        <v>-1.3890577831824125E-2</v>
      </c>
      <c r="I205" s="27"/>
      <c r="J205" s="27"/>
      <c r="L205" s="28"/>
      <c r="S205" s="27"/>
      <c r="T205" s="27"/>
      <c r="U205" s="27"/>
      <c r="W205" s="28"/>
    </row>
    <row r="206" spans="2:23" ht="13.8" x14ac:dyDescent="0.25">
      <c r="B206" s="63">
        <v>44724</v>
      </c>
      <c r="C206" s="1">
        <v>3.05</v>
      </c>
      <c r="D206" s="34">
        <f t="shared" si="4"/>
        <v>3.3898305084745672E-2</v>
      </c>
      <c r="E206" s="29"/>
      <c r="F206" s="63">
        <v>44724</v>
      </c>
      <c r="G206" s="27">
        <v>9504.7199999999993</v>
      </c>
      <c r="H206" s="34">
        <f t="shared" si="5"/>
        <v>2.8150853265948905E-2</v>
      </c>
      <c r="I206" s="27"/>
      <c r="J206" s="27"/>
      <c r="L206" s="28"/>
      <c r="S206" s="27"/>
      <c r="T206" s="27"/>
      <c r="U206" s="27"/>
      <c r="W206" s="28"/>
    </row>
    <row r="207" spans="2:23" ht="13.8" x14ac:dyDescent="0.25">
      <c r="E207" s="29"/>
      <c r="F207" s="63"/>
      <c r="G207" s="27"/>
      <c r="H207" s="34"/>
      <c r="I207" s="27"/>
      <c r="J207" s="27"/>
      <c r="L207" s="28"/>
      <c r="S207" s="27"/>
      <c r="T207" s="27"/>
      <c r="U207" s="27"/>
      <c r="W207" s="28"/>
    </row>
    <row r="208" spans="2:23" ht="13.8" x14ac:dyDescent="0.25">
      <c r="E208" s="29"/>
      <c r="F208" s="63"/>
      <c r="G208" s="27"/>
      <c r="H208" s="34"/>
      <c r="I208" s="27"/>
      <c r="J208" s="27"/>
      <c r="L208" s="28"/>
      <c r="S208" s="27"/>
      <c r="T208" s="27"/>
      <c r="U208" s="27"/>
      <c r="W208" s="28"/>
    </row>
    <row r="209" spans="2:23" ht="13.8" x14ac:dyDescent="0.25">
      <c r="B209" s="33"/>
      <c r="C209" s="38"/>
      <c r="D209" s="34"/>
      <c r="E209" s="30"/>
      <c r="F209" s="63"/>
      <c r="G209" s="27"/>
      <c r="H209" s="34"/>
      <c r="I209" s="27"/>
      <c r="J209" s="27"/>
      <c r="L209" s="28"/>
      <c r="S209" s="27"/>
      <c r="T209" s="27"/>
      <c r="U209" s="27"/>
      <c r="W209" s="28"/>
    </row>
    <row r="210" spans="2:23" ht="13.8" x14ac:dyDescent="0.25">
      <c r="B210" s="33"/>
      <c r="C210" s="38"/>
      <c r="D210" s="34"/>
      <c r="E210" s="30"/>
      <c r="F210" s="63"/>
      <c r="G210" s="27"/>
      <c r="H210" s="34"/>
      <c r="I210" s="27"/>
      <c r="J210" s="27"/>
      <c r="L210" s="28"/>
      <c r="S210" s="27"/>
      <c r="T210" s="27"/>
      <c r="U210" s="27"/>
      <c r="W210" s="28"/>
    </row>
    <row r="211" spans="2:23" ht="13.8" x14ac:dyDescent="0.25">
      <c r="B211" s="33"/>
      <c r="C211" s="38"/>
      <c r="D211" s="34"/>
      <c r="E211" s="30"/>
      <c r="F211" s="63"/>
      <c r="G211" s="27"/>
      <c r="H211" s="34"/>
      <c r="I211" s="27"/>
      <c r="J211" s="27"/>
      <c r="L211" s="28"/>
      <c r="S211" s="27"/>
      <c r="T211" s="27"/>
      <c r="U211" s="27"/>
      <c r="W211" s="28"/>
    </row>
    <row r="212" spans="2:23" ht="13.8" x14ac:dyDescent="0.25">
      <c r="B212" s="33"/>
      <c r="C212" s="38"/>
      <c r="D212" s="34"/>
      <c r="E212" s="30"/>
      <c r="F212" s="63"/>
      <c r="G212" s="27"/>
      <c r="H212" s="34"/>
      <c r="I212" s="27"/>
      <c r="J212" s="27"/>
      <c r="L212" s="28"/>
      <c r="S212" s="27"/>
      <c r="T212" s="27"/>
      <c r="U212" s="27"/>
      <c r="W212" s="28"/>
    </row>
    <row r="213" spans="2:23" ht="13.8" x14ac:dyDescent="0.25">
      <c r="B213" s="33"/>
      <c r="C213" s="38"/>
      <c r="D213" s="34"/>
      <c r="E213" s="30"/>
      <c r="F213" s="63"/>
      <c r="G213" s="27"/>
      <c r="H213" s="34"/>
      <c r="I213" s="27"/>
      <c r="J213" s="27"/>
      <c r="L213" s="28"/>
      <c r="S213" s="27"/>
      <c r="T213" s="27"/>
      <c r="U213" s="27"/>
      <c r="W213" s="28"/>
    </row>
    <row r="214" spans="2:23" ht="13.8" x14ac:dyDescent="0.25">
      <c r="B214" s="33"/>
      <c r="C214" s="38"/>
      <c r="D214" s="34"/>
      <c r="E214" s="30"/>
      <c r="F214" s="63"/>
      <c r="G214" s="27"/>
      <c r="H214" s="34"/>
      <c r="I214" s="27"/>
      <c r="J214" s="27"/>
      <c r="L214" s="28"/>
      <c r="S214" s="27"/>
      <c r="T214" s="27"/>
      <c r="U214" s="27"/>
    </row>
    <row r="215" spans="2:23" ht="13.8" x14ac:dyDescent="0.25">
      <c r="B215" s="33"/>
      <c r="C215" s="38"/>
      <c r="D215" s="34"/>
      <c r="E215" s="30"/>
      <c r="F215" s="63"/>
      <c r="G215" s="27"/>
      <c r="H215" s="34"/>
      <c r="I215" s="27"/>
      <c r="J215" s="27"/>
      <c r="L215" s="28"/>
    </row>
    <row r="216" spans="2:23" ht="13.8" x14ac:dyDescent="0.25">
      <c r="B216" s="33"/>
      <c r="C216" s="38"/>
      <c r="D216" s="34"/>
      <c r="E216" s="30"/>
      <c r="F216" s="63"/>
      <c r="G216" s="27"/>
      <c r="H216" s="34"/>
      <c r="I216" s="27"/>
      <c r="J216" s="27"/>
      <c r="L216" s="28"/>
    </row>
    <row r="217" spans="2:23" ht="13.8" x14ac:dyDescent="0.25">
      <c r="B217" s="33"/>
      <c r="C217" s="38"/>
      <c r="D217" s="34"/>
      <c r="E217" s="30"/>
      <c r="F217" s="63"/>
      <c r="G217" s="27"/>
      <c r="H217" s="34"/>
      <c r="I217" s="27"/>
      <c r="J217" s="27"/>
      <c r="L217" s="28"/>
    </row>
    <row r="218" spans="2:23" ht="13.8" x14ac:dyDescent="0.25">
      <c r="B218" s="33"/>
      <c r="C218" s="38"/>
      <c r="D218" s="34"/>
      <c r="E218" s="30"/>
      <c r="F218" s="63"/>
      <c r="G218" s="27"/>
      <c r="H218" s="34"/>
      <c r="I218" s="27"/>
      <c r="J218" s="27"/>
      <c r="L218" s="28"/>
    </row>
    <row r="219" spans="2:23" ht="13.8" x14ac:dyDescent="0.25">
      <c r="B219" s="33"/>
      <c r="C219" s="38"/>
      <c r="D219" s="34"/>
      <c r="E219" s="30"/>
      <c r="F219" s="63"/>
      <c r="G219" s="27"/>
      <c r="H219" s="34"/>
      <c r="I219" s="27"/>
      <c r="J219" s="27"/>
      <c r="L219" s="28"/>
    </row>
    <row r="220" spans="2:23" ht="13.8" x14ac:dyDescent="0.25">
      <c r="B220" s="33"/>
      <c r="C220" s="38"/>
      <c r="D220" s="34"/>
      <c r="E220" s="30"/>
      <c r="F220" s="63"/>
      <c r="G220" s="27"/>
      <c r="H220" s="34"/>
      <c r="I220" s="27"/>
      <c r="J220" s="27"/>
      <c r="L220" s="28"/>
    </row>
    <row r="221" spans="2:23" ht="13.8" x14ac:dyDescent="0.25">
      <c r="B221" s="33"/>
      <c r="C221" s="38"/>
      <c r="D221" s="34"/>
      <c r="E221" s="30"/>
      <c r="F221" s="33"/>
      <c r="G221" s="36"/>
      <c r="H221" s="34"/>
      <c r="I221" s="27"/>
      <c r="J221" s="27"/>
      <c r="L221" s="28"/>
    </row>
    <row r="222" spans="2:23" ht="13.8" x14ac:dyDescent="0.25">
      <c r="B222" s="33"/>
      <c r="C222" s="38"/>
      <c r="D222" s="34"/>
      <c r="E222" s="30"/>
      <c r="F222" s="33"/>
      <c r="G222" s="36"/>
      <c r="H222" s="34"/>
      <c r="I222" s="27"/>
      <c r="J222" s="27"/>
      <c r="L222" s="28"/>
    </row>
    <row r="223" spans="2:23" ht="13.8" x14ac:dyDescent="0.25">
      <c r="B223" s="33"/>
      <c r="C223" s="38"/>
      <c r="D223" s="34"/>
      <c r="E223" s="30"/>
      <c r="F223" s="33"/>
      <c r="G223" s="36"/>
      <c r="H223" s="34"/>
      <c r="I223" s="27"/>
      <c r="J223" s="27"/>
      <c r="L223" s="28"/>
    </row>
    <row r="224" spans="2:23" ht="13.8" x14ac:dyDescent="0.25">
      <c r="B224" s="33"/>
      <c r="C224" s="38"/>
      <c r="D224" s="34"/>
      <c r="E224" s="30"/>
      <c r="F224" s="33"/>
      <c r="G224" s="36"/>
      <c r="H224" s="34"/>
      <c r="I224" s="27"/>
      <c r="J224" s="27"/>
      <c r="L224" s="28"/>
    </row>
    <row r="225" spans="2:12" ht="13.8" x14ac:dyDescent="0.25">
      <c r="B225" s="33"/>
      <c r="C225" s="38"/>
      <c r="D225" s="34"/>
      <c r="E225" s="30"/>
      <c r="F225" s="33"/>
      <c r="G225" s="36"/>
      <c r="H225" s="34"/>
      <c r="I225" s="27"/>
      <c r="J225" s="27"/>
      <c r="L225" s="28"/>
    </row>
    <row r="226" spans="2:12" ht="13.8" x14ac:dyDescent="0.25">
      <c r="B226" s="33"/>
      <c r="C226" s="38"/>
      <c r="D226" s="34"/>
      <c r="E226" s="30"/>
      <c r="F226" s="33"/>
      <c r="G226" s="36"/>
      <c r="H226" s="34"/>
      <c r="I226" s="27"/>
      <c r="J226" s="27"/>
      <c r="L226" s="28"/>
    </row>
    <row r="227" spans="2:12" ht="13.8" x14ac:dyDescent="0.25">
      <c r="B227" s="33"/>
      <c r="C227" s="38"/>
      <c r="D227" s="34"/>
      <c r="E227" s="30"/>
      <c r="F227" s="33"/>
      <c r="G227" s="36"/>
      <c r="H227" s="34"/>
      <c r="I227" s="27"/>
      <c r="J227" s="27"/>
      <c r="L227" s="28"/>
    </row>
    <row r="228" spans="2:12" ht="13.8" x14ac:dyDescent="0.25">
      <c r="B228" s="33"/>
      <c r="C228" s="38"/>
      <c r="D228" s="34"/>
      <c r="E228" s="30"/>
      <c r="F228" s="33"/>
      <c r="G228" s="36"/>
      <c r="H228" s="34"/>
      <c r="I228" s="27"/>
      <c r="J228" s="27"/>
      <c r="L228" s="28"/>
    </row>
    <row r="229" spans="2:12" ht="13.8" x14ac:dyDescent="0.25">
      <c r="B229" s="33"/>
      <c r="C229" s="38"/>
      <c r="D229" s="34"/>
      <c r="E229" s="30"/>
      <c r="F229" s="33"/>
      <c r="G229" s="36"/>
      <c r="H229" s="34"/>
      <c r="I229" s="27"/>
      <c r="J229" s="27"/>
      <c r="L229" s="28"/>
    </row>
    <row r="230" spans="2:12" ht="13.8" x14ac:dyDescent="0.25">
      <c r="B230" s="33"/>
      <c r="C230" s="38"/>
      <c r="D230" s="34"/>
      <c r="E230" s="30"/>
      <c r="F230" s="33"/>
      <c r="G230" s="36"/>
      <c r="H230" s="34"/>
      <c r="I230" s="27"/>
      <c r="J230" s="27"/>
      <c r="L230" s="28"/>
    </row>
    <row r="231" spans="2:12" ht="13.8" x14ac:dyDescent="0.25">
      <c r="B231" s="33"/>
      <c r="C231" s="38"/>
      <c r="D231" s="34"/>
      <c r="E231" s="30"/>
      <c r="F231" s="33"/>
      <c r="G231" s="36"/>
      <c r="H231" s="34"/>
      <c r="I231" s="27"/>
      <c r="J231" s="27"/>
      <c r="L231" s="28"/>
    </row>
    <row r="232" spans="2:12" ht="13.8" x14ac:dyDescent="0.25">
      <c r="B232" s="33"/>
      <c r="C232" s="38"/>
      <c r="D232" s="34"/>
      <c r="E232" s="30"/>
      <c r="F232" s="33"/>
      <c r="G232" s="36"/>
      <c r="H232" s="34"/>
      <c r="I232" s="27"/>
      <c r="J232" s="27"/>
      <c r="L232" s="28"/>
    </row>
    <row r="233" spans="2:12" ht="13.8" x14ac:dyDescent="0.25">
      <c r="B233" s="33"/>
      <c r="C233" s="38"/>
      <c r="D233" s="34"/>
      <c r="E233" s="30"/>
      <c r="F233" s="33"/>
      <c r="G233" s="36"/>
      <c r="H233" s="34"/>
      <c r="I233" s="27"/>
      <c r="J233" s="27"/>
      <c r="L233" s="28"/>
    </row>
    <row r="234" spans="2:12" ht="13.8" x14ac:dyDescent="0.25">
      <c r="B234" s="33"/>
      <c r="C234" s="38"/>
      <c r="D234" s="34"/>
      <c r="E234" s="30"/>
      <c r="F234" s="33"/>
      <c r="G234" s="36"/>
      <c r="H234" s="34"/>
      <c r="I234" s="27"/>
      <c r="J234" s="27"/>
      <c r="L234" s="28"/>
    </row>
    <row r="235" spans="2:12" ht="13.8" x14ac:dyDescent="0.25">
      <c r="B235" s="33"/>
      <c r="C235" s="38"/>
      <c r="D235" s="34"/>
      <c r="E235" s="30"/>
      <c r="F235" s="33"/>
      <c r="G235" s="36"/>
      <c r="H235" s="34"/>
      <c r="I235" s="27"/>
      <c r="J235" s="27"/>
      <c r="L235" s="28"/>
    </row>
    <row r="236" spans="2:12" ht="13.8" x14ac:dyDescent="0.25">
      <c r="B236" s="33"/>
      <c r="C236" s="38"/>
      <c r="D236" s="34"/>
      <c r="E236" s="30"/>
      <c r="F236" s="33"/>
      <c r="G236" s="36"/>
      <c r="H236" s="34"/>
      <c r="I236" s="27"/>
      <c r="J236" s="27"/>
      <c r="L236" s="28"/>
    </row>
    <row r="237" spans="2:12" ht="13.8" x14ac:dyDescent="0.25">
      <c r="B237" s="33"/>
      <c r="C237" s="38"/>
      <c r="D237" s="34"/>
      <c r="E237" s="30"/>
      <c r="F237" s="33"/>
      <c r="G237" s="36"/>
      <c r="H237" s="34"/>
      <c r="I237" s="27"/>
      <c r="J237" s="27"/>
      <c r="L237" s="28"/>
    </row>
    <row r="238" spans="2:12" ht="13.8" x14ac:dyDescent="0.25">
      <c r="B238" s="33"/>
      <c r="C238" s="38"/>
      <c r="D238" s="34"/>
      <c r="E238" s="30"/>
      <c r="F238" s="33"/>
      <c r="G238" s="36"/>
      <c r="H238" s="34"/>
      <c r="I238" s="27"/>
      <c r="J238" s="27"/>
      <c r="L238" s="28"/>
    </row>
    <row r="239" spans="2:12" ht="13.8" x14ac:dyDescent="0.25">
      <c r="B239" s="33"/>
      <c r="C239" s="38"/>
      <c r="D239" s="34"/>
      <c r="E239" s="30"/>
      <c r="F239" s="33"/>
      <c r="G239" s="36"/>
      <c r="H239" s="34"/>
      <c r="I239" s="27"/>
      <c r="J239" s="27"/>
      <c r="L239" s="28"/>
    </row>
    <row r="240" spans="2:12" ht="13.8" x14ac:dyDescent="0.25">
      <c r="B240" s="33"/>
      <c r="C240" s="38"/>
      <c r="D240" s="34"/>
      <c r="E240" s="30"/>
      <c r="F240" s="33"/>
      <c r="G240" s="36"/>
      <c r="H240" s="34"/>
      <c r="I240" s="27"/>
      <c r="J240" s="27"/>
      <c r="L240" s="28"/>
    </row>
    <row r="241" spans="2:12" ht="13.8" x14ac:dyDescent="0.25">
      <c r="B241" s="33"/>
      <c r="C241" s="38"/>
      <c r="D241" s="34"/>
      <c r="E241" s="30"/>
      <c r="F241" s="33"/>
      <c r="G241" s="36"/>
      <c r="H241" s="34"/>
      <c r="I241" s="27"/>
      <c r="J241" s="27"/>
      <c r="L241" s="28"/>
    </row>
    <row r="242" spans="2:12" ht="13.8" x14ac:dyDescent="0.25">
      <c r="B242" s="33"/>
      <c r="C242" s="38"/>
      <c r="D242" s="34"/>
      <c r="E242" s="30"/>
      <c r="F242" s="33"/>
      <c r="G242" s="36"/>
      <c r="H242" s="34"/>
      <c r="I242" s="27"/>
      <c r="J242" s="27"/>
      <c r="L242" s="28"/>
    </row>
    <row r="243" spans="2:12" ht="13.8" x14ac:dyDescent="0.25">
      <c r="B243" s="33"/>
      <c r="C243" s="38"/>
      <c r="D243" s="34"/>
      <c r="E243" s="30"/>
      <c r="F243" s="33"/>
      <c r="G243" s="36"/>
      <c r="H243" s="34"/>
      <c r="I243" s="27"/>
      <c r="J243" s="27"/>
      <c r="L243" s="28"/>
    </row>
    <row r="244" spans="2:12" ht="13.8" x14ac:dyDescent="0.25">
      <c r="B244" s="33"/>
      <c r="C244" s="38"/>
      <c r="D244" s="34"/>
      <c r="E244" s="30"/>
      <c r="F244" s="33"/>
      <c r="G244" s="36"/>
      <c r="H244" s="34"/>
      <c r="I244" s="27"/>
      <c r="J244" s="27"/>
      <c r="L244" s="28"/>
    </row>
    <row r="245" spans="2:12" ht="13.8" x14ac:dyDescent="0.25">
      <c r="B245" s="33"/>
      <c r="C245" s="38"/>
      <c r="D245" s="34"/>
      <c r="E245" s="30"/>
      <c r="F245" s="33"/>
      <c r="G245" s="36"/>
      <c r="H245" s="34"/>
      <c r="I245" s="27"/>
      <c r="J245" s="27"/>
      <c r="L245" s="28"/>
    </row>
    <row r="246" spans="2:12" ht="13.8" x14ac:dyDescent="0.25">
      <c r="B246" s="33"/>
      <c r="C246" s="38"/>
      <c r="D246" s="34"/>
      <c r="E246" s="30"/>
      <c r="F246" s="33"/>
      <c r="G246" s="36"/>
      <c r="H246" s="34"/>
      <c r="I246" s="27"/>
      <c r="J246" s="27"/>
      <c r="L246" s="28"/>
    </row>
    <row r="247" spans="2:12" ht="13.8" x14ac:dyDescent="0.25">
      <c r="B247" s="33"/>
      <c r="C247" s="38"/>
      <c r="D247" s="34"/>
      <c r="E247" s="30"/>
      <c r="F247" s="33"/>
      <c r="G247" s="36"/>
      <c r="H247" s="34"/>
      <c r="I247" s="27"/>
      <c r="J247" s="27"/>
      <c r="L247" s="28"/>
    </row>
    <row r="248" spans="2:12" ht="13.8" x14ac:dyDescent="0.25">
      <c r="B248" s="33"/>
      <c r="C248" s="38"/>
      <c r="D248" s="34"/>
      <c r="E248" s="30"/>
      <c r="F248" s="33"/>
      <c r="G248" s="36"/>
      <c r="H248" s="34"/>
      <c r="I248" s="27"/>
      <c r="J248" s="27"/>
      <c r="L248" s="28"/>
    </row>
    <row r="249" spans="2:12" ht="13.8" x14ac:dyDescent="0.25">
      <c r="B249" s="33"/>
      <c r="C249" s="38"/>
      <c r="D249" s="34"/>
      <c r="E249" s="30"/>
      <c r="F249" s="33"/>
      <c r="G249" s="36"/>
      <c r="H249" s="34"/>
      <c r="I249" s="27"/>
      <c r="J249" s="27"/>
      <c r="L249" s="28"/>
    </row>
    <row r="250" spans="2:12" ht="13.8" x14ac:dyDescent="0.25">
      <c r="B250" s="33"/>
      <c r="C250" s="38"/>
      <c r="D250" s="34"/>
      <c r="E250" s="30"/>
      <c r="F250" s="33"/>
      <c r="G250" s="36"/>
      <c r="H250" s="34"/>
      <c r="I250" s="27"/>
      <c r="J250" s="27"/>
      <c r="L250" s="28"/>
    </row>
    <row r="251" spans="2:12" ht="13.8" x14ac:dyDescent="0.25">
      <c r="B251" s="33"/>
      <c r="C251" s="38"/>
      <c r="D251" s="34"/>
      <c r="E251" s="30"/>
      <c r="F251" s="33"/>
      <c r="G251" s="36"/>
      <c r="H251" s="34"/>
      <c r="I251" s="27"/>
      <c r="J251" s="27"/>
      <c r="L251" s="28"/>
    </row>
    <row r="252" spans="2:12" ht="13.8" x14ac:dyDescent="0.25">
      <c r="B252" s="33"/>
      <c r="C252" s="38"/>
      <c r="D252" s="34"/>
      <c r="E252" s="30"/>
      <c r="F252" s="33"/>
      <c r="G252" s="36"/>
      <c r="H252" s="34"/>
      <c r="I252" s="27"/>
      <c r="J252" s="27"/>
      <c r="L252" s="28"/>
    </row>
    <row r="253" spans="2:12" ht="13.8" x14ac:dyDescent="0.25">
      <c r="B253" s="33"/>
      <c r="C253" s="38"/>
      <c r="D253" s="34"/>
      <c r="E253" s="30"/>
      <c r="F253" s="33"/>
      <c r="G253" s="36"/>
      <c r="H253" s="34"/>
      <c r="I253" s="27"/>
      <c r="J253" s="27"/>
      <c r="L253" s="28"/>
    </row>
    <row r="254" spans="2:12" ht="13.8" x14ac:dyDescent="0.25">
      <c r="B254" s="33"/>
      <c r="C254" s="38"/>
      <c r="D254" s="34"/>
      <c r="E254" s="30"/>
      <c r="F254" s="33"/>
      <c r="G254" s="36"/>
      <c r="H254" s="34"/>
      <c r="I254" s="27"/>
      <c r="J254" s="27"/>
      <c r="L254" s="28"/>
    </row>
    <row r="255" spans="2:12" ht="13.8" x14ac:dyDescent="0.25">
      <c r="B255" s="33"/>
      <c r="C255" s="38"/>
      <c r="D255" s="34"/>
      <c r="E255" s="30"/>
      <c r="F255" s="33"/>
      <c r="G255" s="36"/>
      <c r="H255" s="34"/>
      <c r="I255" s="27"/>
      <c r="J255" s="27"/>
      <c r="L255" s="28"/>
    </row>
    <row r="256" spans="2:12" ht="13.8" x14ac:dyDescent="0.25">
      <c r="B256" s="33"/>
      <c r="C256" s="38"/>
      <c r="D256" s="34"/>
      <c r="E256" s="30"/>
      <c r="F256" s="33"/>
      <c r="G256" s="36"/>
      <c r="H256" s="34"/>
      <c r="I256" s="27"/>
      <c r="J256" s="27"/>
      <c r="L256" s="28"/>
    </row>
    <row r="257" spans="2:12" ht="13.8" x14ac:dyDescent="0.25">
      <c r="B257" s="33"/>
      <c r="C257" s="38"/>
      <c r="D257" s="34"/>
      <c r="E257" s="30"/>
      <c r="F257" s="33"/>
      <c r="G257" s="36"/>
      <c r="H257" s="34"/>
      <c r="I257" s="27"/>
      <c r="J257" s="27"/>
      <c r="L257" s="28"/>
    </row>
    <row r="258" spans="2:12" ht="13.8" x14ac:dyDescent="0.25">
      <c r="B258" s="33"/>
      <c r="C258" s="38"/>
      <c r="D258" s="34"/>
      <c r="E258" s="30"/>
      <c r="F258" s="33"/>
      <c r="G258" s="36"/>
      <c r="H258" s="34"/>
      <c r="I258" s="27"/>
      <c r="J258" s="27"/>
      <c r="L258" s="28"/>
    </row>
    <row r="259" spans="2:12" ht="13.8" x14ac:dyDescent="0.25">
      <c r="B259" s="33"/>
      <c r="C259" s="38"/>
      <c r="D259" s="34"/>
      <c r="E259" s="30"/>
      <c r="F259" s="33"/>
      <c r="G259" s="36"/>
      <c r="H259" s="34"/>
      <c r="I259" s="27"/>
      <c r="J259" s="27"/>
      <c r="L259" s="28"/>
    </row>
    <row r="260" spans="2:12" ht="13.8" x14ac:dyDescent="0.25">
      <c r="B260" s="33"/>
      <c r="C260" s="38"/>
      <c r="D260" s="34"/>
      <c r="E260" s="30"/>
      <c r="F260" s="33"/>
      <c r="G260" s="36"/>
      <c r="H260" s="34"/>
      <c r="I260" s="27"/>
      <c r="J260" s="27"/>
      <c r="L260" s="28"/>
    </row>
    <row r="261" spans="2:12" ht="13.8" x14ac:dyDescent="0.25">
      <c r="B261" s="33"/>
      <c r="C261" s="38"/>
      <c r="D261" s="34"/>
      <c r="E261" s="30"/>
      <c r="F261" s="33"/>
      <c r="G261" s="36"/>
      <c r="H261" s="34"/>
      <c r="I261" s="27"/>
      <c r="J261" s="27"/>
      <c r="L261" s="28"/>
    </row>
    <row r="262" spans="2:12" ht="13.8" x14ac:dyDescent="0.25">
      <c r="B262" s="33"/>
      <c r="C262" s="38"/>
      <c r="D262" s="34"/>
      <c r="E262" s="30"/>
      <c r="F262" s="33"/>
      <c r="G262" s="36"/>
      <c r="H262" s="34"/>
      <c r="I262" s="27"/>
      <c r="J262" s="27"/>
      <c r="L262" s="28"/>
    </row>
    <row r="263" spans="2:12" ht="13.8" x14ac:dyDescent="0.25">
      <c r="B263" s="33"/>
      <c r="C263" s="38"/>
      <c r="D263" s="34"/>
      <c r="E263" s="30"/>
      <c r="F263" s="33"/>
      <c r="G263" s="36"/>
      <c r="H263" s="34"/>
      <c r="I263" s="27"/>
      <c r="J263" s="27"/>
      <c r="L263" s="28"/>
    </row>
    <row r="264" spans="2:12" ht="13.8" x14ac:dyDescent="0.25">
      <c r="B264" s="33"/>
      <c r="C264" s="38"/>
      <c r="D264" s="34"/>
      <c r="E264" s="30"/>
      <c r="F264" s="33"/>
      <c r="G264" s="36"/>
      <c r="H264" s="34"/>
      <c r="I264" s="27"/>
      <c r="J264" s="27"/>
      <c r="L264" s="28"/>
    </row>
    <row r="265" spans="2:12" ht="13.8" x14ac:dyDescent="0.25">
      <c r="B265" s="33"/>
      <c r="C265" s="38"/>
      <c r="D265" s="34"/>
      <c r="E265" s="30"/>
      <c r="F265" s="33"/>
      <c r="G265" s="36"/>
      <c r="H265" s="34"/>
      <c r="I265" s="27"/>
      <c r="J265" s="27"/>
      <c r="L265" s="28"/>
    </row>
    <row r="266" spans="2:12" ht="13.8" x14ac:dyDescent="0.25">
      <c r="B266" s="33"/>
      <c r="C266" s="38"/>
      <c r="D266" s="34"/>
      <c r="E266" s="30"/>
      <c r="F266" s="33"/>
      <c r="G266" s="36"/>
      <c r="H266" s="34"/>
      <c r="I266" s="27"/>
      <c r="J266" s="27"/>
      <c r="L266" s="28"/>
    </row>
    <row r="267" spans="2:12" ht="13.8" x14ac:dyDescent="0.25">
      <c r="B267" s="33"/>
      <c r="C267" s="38"/>
      <c r="D267" s="34"/>
      <c r="E267" s="30"/>
      <c r="F267" s="33"/>
      <c r="G267" s="36"/>
      <c r="H267" s="34"/>
      <c r="I267" s="27"/>
      <c r="J267" s="27"/>
      <c r="L267" s="28"/>
    </row>
    <row r="268" spans="2:12" ht="13.8" x14ac:dyDescent="0.25">
      <c r="B268" s="33"/>
      <c r="C268" s="38"/>
      <c r="D268" s="34"/>
      <c r="E268" s="30"/>
      <c r="F268" s="33"/>
      <c r="G268" s="36"/>
      <c r="H268" s="34"/>
      <c r="I268" s="27"/>
      <c r="J268" s="27"/>
      <c r="L268" s="28"/>
    </row>
    <row r="269" spans="2:12" ht="13.8" x14ac:dyDescent="0.25">
      <c r="B269" s="33"/>
      <c r="C269" s="38"/>
      <c r="D269" s="34"/>
      <c r="E269" s="30"/>
      <c r="F269" s="33"/>
      <c r="G269" s="36"/>
      <c r="H269" s="34"/>
      <c r="I269" s="27"/>
      <c r="J269" s="27"/>
      <c r="L269" s="28"/>
    </row>
    <row r="270" spans="2:12" ht="13.8" x14ac:dyDescent="0.25">
      <c r="B270" s="33"/>
      <c r="C270" s="38"/>
      <c r="D270" s="34"/>
      <c r="E270" s="30"/>
      <c r="F270" s="33"/>
      <c r="G270" s="36"/>
      <c r="H270" s="34"/>
      <c r="I270" s="27"/>
      <c r="J270" s="27"/>
      <c r="L270" s="28"/>
    </row>
    <row r="271" spans="2:12" ht="13.8" x14ac:dyDescent="0.25">
      <c r="B271" s="33"/>
      <c r="C271" s="38"/>
      <c r="D271" s="34"/>
      <c r="E271" s="30"/>
      <c r="F271" s="33"/>
      <c r="G271" s="36"/>
      <c r="H271" s="34"/>
      <c r="I271" s="27"/>
      <c r="J271" s="27"/>
      <c r="L271" s="28"/>
    </row>
    <row r="272" spans="2:12" ht="13.8" x14ac:dyDescent="0.25">
      <c r="B272" s="33"/>
      <c r="C272" s="38"/>
      <c r="D272" s="34"/>
      <c r="E272" s="30"/>
      <c r="F272" s="33"/>
      <c r="G272" s="36"/>
      <c r="H272" s="34"/>
      <c r="I272" s="27"/>
      <c r="J272" s="27"/>
      <c r="L272" s="28"/>
    </row>
    <row r="273" spans="2:12" ht="13.8" x14ac:dyDescent="0.25">
      <c r="B273" s="33"/>
      <c r="C273" s="38"/>
      <c r="D273" s="34"/>
      <c r="E273" s="30"/>
      <c r="F273" s="33"/>
      <c r="G273" s="36"/>
      <c r="H273" s="34"/>
      <c r="I273" s="27"/>
      <c r="J273" s="27"/>
      <c r="L273" s="28"/>
    </row>
    <row r="274" spans="2:12" ht="13.8" x14ac:dyDescent="0.25">
      <c r="B274" s="33"/>
      <c r="C274" s="38"/>
      <c r="D274" s="34"/>
      <c r="E274" s="30"/>
      <c r="F274" s="33"/>
      <c r="G274" s="36"/>
      <c r="H274" s="34"/>
      <c r="I274" s="27"/>
      <c r="J274" s="27"/>
      <c r="L274" s="28"/>
    </row>
    <row r="275" spans="2:12" ht="13.8" x14ac:dyDescent="0.25">
      <c r="B275" s="33"/>
      <c r="C275" s="38"/>
      <c r="D275" s="34"/>
      <c r="E275" s="30"/>
      <c r="F275" s="33"/>
      <c r="G275" s="36"/>
      <c r="H275" s="34"/>
      <c r="I275" s="27"/>
      <c r="J275" s="27"/>
      <c r="L275" s="28"/>
    </row>
    <row r="276" spans="2:12" ht="13.8" x14ac:dyDescent="0.25">
      <c r="B276" s="33"/>
      <c r="C276" s="38"/>
      <c r="D276" s="34"/>
      <c r="E276" s="30"/>
      <c r="F276" s="33"/>
      <c r="G276" s="36"/>
      <c r="H276" s="34"/>
      <c r="I276" s="27"/>
      <c r="J276" s="27"/>
      <c r="L276" s="28"/>
    </row>
    <row r="277" spans="2:12" ht="13.8" x14ac:dyDescent="0.25">
      <c r="B277" s="33"/>
      <c r="C277" s="38"/>
      <c r="D277" s="34"/>
      <c r="E277" s="30"/>
      <c r="F277" s="33"/>
      <c r="G277" s="36"/>
      <c r="H277" s="34"/>
      <c r="I277" s="27"/>
      <c r="J277" s="27"/>
      <c r="L277" s="28"/>
    </row>
    <row r="278" spans="2:12" ht="13.8" x14ac:dyDescent="0.25">
      <c r="B278" s="33"/>
      <c r="C278" s="38"/>
      <c r="D278" s="34"/>
      <c r="E278" s="30"/>
      <c r="F278" s="33"/>
      <c r="G278" s="36"/>
      <c r="H278" s="34"/>
      <c r="I278" s="27"/>
      <c r="J278" s="27"/>
      <c r="L278" s="28"/>
    </row>
    <row r="279" spans="2:12" ht="13.8" x14ac:dyDescent="0.25">
      <c r="B279" s="33"/>
      <c r="C279" s="38"/>
      <c r="D279" s="34"/>
      <c r="E279" s="30"/>
      <c r="F279" s="33"/>
      <c r="G279" s="36"/>
      <c r="H279" s="34"/>
      <c r="I279" s="27"/>
      <c r="J279" s="27"/>
      <c r="L279" s="28"/>
    </row>
    <row r="280" spans="2:12" ht="13.8" x14ac:dyDescent="0.25">
      <c r="B280" s="33"/>
      <c r="C280" s="38"/>
      <c r="D280" s="34"/>
      <c r="E280" s="30"/>
      <c r="F280" s="33"/>
      <c r="G280" s="36"/>
      <c r="H280" s="34"/>
      <c r="I280" s="27"/>
      <c r="J280" s="27"/>
      <c r="L280" s="28"/>
    </row>
    <row r="281" spans="2:12" ht="13.8" x14ac:dyDescent="0.25">
      <c r="B281" s="33"/>
      <c r="C281" s="38"/>
      <c r="D281" s="34"/>
      <c r="E281" s="30"/>
      <c r="F281" s="33"/>
      <c r="G281" s="36"/>
      <c r="H281" s="34"/>
      <c r="I281" s="27"/>
      <c r="J281" s="27"/>
      <c r="L281" s="28"/>
    </row>
    <row r="282" spans="2:12" ht="13.8" x14ac:dyDescent="0.25">
      <c r="B282" s="33"/>
      <c r="C282" s="38"/>
      <c r="D282" s="34"/>
      <c r="E282" s="30"/>
      <c r="F282" s="33"/>
      <c r="G282" s="36"/>
      <c r="H282" s="34"/>
      <c r="I282" s="27"/>
      <c r="J282" s="27"/>
      <c r="L282" s="28"/>
    </row>
    <row r="283" spans="2:12" ht="13.8" x14ac:dyDescent="0.25">
      <c r="B283" s="33"/>
      <c r="C283" s="38"/>
      <c r="D283" s="34"/>
      <c r="E283" s="30"/>
      <c r="F283" s="33"/>
      <c r="G283" s="36"/>
      <c r="H283" s="34"/>
      <c r="I283" s="27"/>
      <c r="J283" s="27"/>
      <c r="L283" s="28"/>
    </row>
    <row r="284" spans="2:12" ht="13.8" x14ac:dyDescent="0.25">
      <c r="B284" s="33"/>
      <c r="C284" s="38"/>
      <c r="D284" s="34"/>
      <c r="E284" s="30"/>
      <c r="F284" s="33"/>
      <c r="G284" s="36"/>
      <c r="H284" s="34"/>
      <c r="I284" s="27"/>
      <c r="J284" s="27"/>
      <c r="L284" s="28"/>
    </row>
    <row r="285" spans="2:12" ht="13.8" x14ac:dyDescent="0.25">
      <c r="B285" s="33"/>
      <c r="C285" s="38"/>
      <c r="D285" s="34"/>
      <c r="E285" s="30"/>
      <c r="F285" s="33"/>
      <c r="G285" s="36"/>
      <c r="H285" s="34"/>
      <c r="I285" s="27"/>
      <c r="J285" s="27"/>
      <c r="L285" s="28"/>
    </row>
    <row r="286" spans="2:12" ht="13.8" x14ac:dyDescent="0.25">
      <c r="B286" s="33"/>
      <c r="C286" s="38"/>
      <c r="D286" s="34"/>
      <c r="E286" s="30"/>
      <c r="F286" s="33"/>
      <c r="G286" s="36"/>
      <c r="H286" s="34"/>
      <c r="I286" s="27"/>
      <c r="J286" s="27"/>
      <c r="L286" s="28"/>
    </row>
    <row r="287" spans="2:12" ht="13.8" x14ac:dyDescent="0.25">
      <c r="B287" s="33"/>
      <c r="C287" s="38"/>
      <c r="D287" s="34"/>
      <c r="E287" s="30"/>
      <c r="F287" s="33"/>
      <c r="G287" s="36"/>
      <c r="H287" s="34"/>
      <c r="I287" s="27"/>
      <c r="J287" s="27"/>
      <c r="L287" s="28"/>
    </row>
    <row r="288" spans="2:12" ht="13.8" x14ac:dyDescent="0.25">
      <c r="B288" s="33"/>
      <c r="C288" s="38"/>
      <c r="D288" s="34"/>
      <c r="E288" s="30"/>
      <c r="F288" s="33"/>
      <c r="G288" s="36"/>
      <c r="H288" s="34"/>
      <c r="I288" s="27"/>
      <c r="L288" s="28"/>
    </row>
    <row r="289" spans="2:12" ht="13.8" x14ac:dyDescent="0.25">
      <c r="B289" s="33"/>
      <c r="C289" s="38"/>
      <c r="D289" s="34"/>
      <c r="E289" s="30"/>
      <c r="F289" s="33"/>
      <c r="G289" s="36"/>
      <c r="H289" s="34"/>
      <c r="I289" s="27"/>
      <c r="L289" s="28"/>
    </row>
    <row r="290" spans="2:12" ht="13.8" x14ac:dyDescent="0.25">
      <c r="B290" s="33"/>
      <c r="C290" s="38"/>
      <c r="D290" s="34"/>
      <c r="E290" s="30"/>
      <c r="F290" s="33"/>
      <c r="G290" s="36"/>
      <c r="H290" s="34"/>
      <c r="I290" s="27"/>
      <c r="L290" s="28"/>
    </row>
    <row r="291" spans="2:12" ht="13.8" x14ac:dyDescent="0.25">
      <c r="B291" s="33"/>
      <c r="C291" s="38"/>
      <c r="D291" s="34"/>
      <c r="E291" s="30"/>
      <c r="F291" s="33"/>
      <c r="G291" s="36"/>
      <c r="H291" s="34"/>
      <c r="I291" s="27"/>
      <c r="J291" s="27"/>
      <c r="L291" s="28"/>
    </row>
    <row r="292" spans="2:12" ht="13.8" x14ac:dyDescent="0.25">
      <c r="B292" s="33"/>
      <c r="C292" s="38"/>
      <c r="D292" s="34"/>
      <c r="E292" s="30"/>
      <c r="F292" s="33"/>
      <c r="G292" s="36"/>
      <c r="H292" s="34"/>
      <c r="I292" s="27"/>
      <c r="J292" s="27"/>
      <c r="L292" s="28"/>
    </row>
    <row r="293" spans="2:12" ht="13.8" x14ac:dyDescent="0.25">
      <c r="B293" s="33"/>
      <c r="C293" s="38"/>
      <c r="D293" s="34"/>
      <c r="E293" s="30"/>
      <c r="F293" s="33"/>
      <c r="G293" s="36"/>
      <c r="H293" s="34"/>
      <c r="I293" s="27"/>
      <c r="J293" s="27"/>
      <c r="L293" s="28"/>
    </row>
    <row r="294" spans="2:12" ht="13.8" x14ac:dyDescent="0.25">
      <c r="B294" s="33"/>
      <c r="C294" s="38"/>
      <c r="D294" s="34"/>
      <c r="E294" s="30"/>
      <c r="F294" s="33"/>
      <c r="G294" s="36"/>
      <c r="H294" s="34"/>
      <c r="I294" s="27"/>
      <c r="L294" s="28"/>
    </row>
    <row r="295" spans="2:12" ht="13.8" x14ac:dyDescent="0.25">
      <c r="B295" s="33"/>
      <c r="C295" s="38"/>
      <c r="D295" s="34"/>
      <c r="E295" s="30"/>
      <c r="F295" s="33"/>
      <c r="G295" s="36"/>
      <c r="H295" s="34"/>
      <c r="L295" s="28"/>
    </row>
    <row r="296" spans="2:12" ht="13.8" x14ac:dyDescent="0.25">
      <c r="B296" s="33"/>
      <c r="C296" s="38"/>
      <c r="D296" s="34"/>
      <c r="E296" s="30"/>
      <c r="F296" s="33"/>
      <c r="G296" s="36"/>
      <c r="H296" s="34"/>
      <c r="I296" s="27"/>
      <c r="L296" s="28"/>
    </row>
    <row r="297" spans="2:12" ht="13.8" x14ac:dyDescent="0.25">
      <c r="B297" s="33"/>
      <c r="C297" s="38"/>
      <c r="D297" s="34"/>
      <c r="E297" s="30"/>
      <c r="F297" s="33"/>
      <c r="G297" s="36"/>
      <c r="H297" s="34"/>
      <c r="I297" s="27"/>
      <c r="L297" s="28"/>
    </row>
    <row r="298" spans="2:12" ht="13.8" x14ac:dyDescent="0.25">
      <c r="B298" s="33"/>
      <c r="C298" s="38"/>
      <c r="D298" s="34"/>
      <c r="E298" s="30"/>
      <c r="F298" s="33"/>
      <c r="G298" s="36"/>
      <c r="H298" s="34"/>
      <c r="I298" s="27"/>
      <c r="L298" s="28"/>
    </row>
    <row r="299" spans="2:12" ht="13.8" x14ac:dyDescent="0.25">
      <c r="B299" s="33"/>
      <c r="C299" s="38"/>
      <c r="D299" s="34"/>
      <c r="E299" s="30"/>
      <c r="F299" s="33"/>
      <c r="G299" s="36"/>
      <c r="H299" s="34"/>
      <c r="I299" s="27"/>
      <c r="J299" s="27"/>
      <c r="L299" s="28"/>
    </row>
    <row r="300" spans="2:12" ht="13.8" x14ac:dyDescent="0.25">
      <c r="B300" s="33"/>
      <c r="C300" s="38"/>
      <c r="D300" s="34"/>
      <c r="E300" s="30"/>
      <c r="F300" s="33"/>
      <c r="G300" s="36"/>
      <c r="H300" s="34"/>
      <c r="I300" s="27"/>
      <c r="J300" s="27"/>
      <c r="L300" s="28"/>
    </row>
    <row r="301" spans="2:12" ht="13.8" x14ac:dyDescent="0.25">
      <c r="B301" s="33"/>
      <c r="C301" s="38"/>
      <c r="D301" s="34"/>
      <c r="E301" s="30"/>
      <c r="F301" s="33"/>
      <c r="G301" s="36"/>
      <c r="H301" s="34"/>
      <c r="I301" s="27"/>
      <c r="J301" s="27"/>
      <c r="L301" s="28"/>
    </row>
    <row r="302" spans="2:12" ht="13.8" x14ac:dyDescent="0.25">
      <c r="B302" s="33"/>
      <c r="C302" s="38"/>
      <c r="D302" s="34"/>
      <c r="E302" s="30"/>
      <c r="F302" s="33"/>
      <c r="G302" s="36"/>
      <c r="H302" s="34"/>
      <c r="I302" s="27"/>
      <c r="J302" s="27"/>
      <c r="L302" s="28"/>
    </row>
    <row r="303" spans="2:12" ht="13.8" x14ac:dyDescent="0.25">
      <c r="B303" s="33"/>
      <c r="C303" s="38"/>
      <c r="D303" s="34"/>
      <c r="E303" s="30"/>
      <c r="F303" s="33"/>
      <c r="G303" s="36"/>
      <c r="H303" s="34"/>
      <c r="I303" s="27"/>
      <c r="J303" s="27"/>
      <c r="L303" s="28"/>
    </row>
    <row r="304" spans="2:12" ht="13.8" x14ac:dyDescent="0.25">
      <c r="B304" s="33"/>
      <c r="C304" s="38"/>
      <c r="D304" s="34"/>
      <c r="E304" s="30"/>
      <c r="F304" s="33"/>
      <c r="G304" s="36"/>
      <c r="H304" s="34"/>
      <c r="I304" s="27"/>
      <c r="J304" s="27"/>
      <c r="L304" s="28"/>
    </row>
    <row r="305" spans="2:12" ht="13.8" x14ac:dyDescent="0.25">
      <c r="B305" s="33"/>
      <c r="C305" s="38"/>
      <c r="D305" s="34"/>
      <c r="E305" s="30"/>
      <c r="F305" s="33"/>
      <c r="G305" s="36"/>
      <c r="H305" s="34"/>
      <c r="I305" s="27"/>
      <c r="J305" s="27"/>
      <c r="L305" s="28"/>
    </row>
    <row r="306" spans="2:12" ht="13.8" x14ac:dyDescent="0.25">
      <c r="B306" s="33"/>
      <c r="C306" s="38"/>
      <c r="D306" s="34"/>
      <c r="E306" s="30"/>
      <c r="F306" s="33"/>
      <c r="G306" s="36"/>
      <c r="H306" s="34"/>
      <c r="I306" s="27"/>
      <c r="L306" s="28"/>
    </row>
    <row r="307" spans="2:12" ht="13.8" x14ac:dyDescent="0.25">
      <c r="B307" s="33"/>
      <c r="C307" s="38"/>
      <c r="D307" s="34"/>
      <c r="E307" s="30"/>
      <c r="F307" s="33"/>
      <c r="G307" s="36"/>
      <c r="H307" s="34"/>
      <c r="I307" s="27"/>
      <c r="L307" s="28"/>
    </row>
    <row r="308" spans="2:12" ht="13.8" x14ac:dyDescent="0.25">
      <c r="B308" s="33"/>
      <c r="C308" s="38"/>
      <c r="D308" s="34"/>
      <c r="E308" s="30"/>
      <c r="F308" s="33"/>
      <c r="G308" s="36"/>
      <c r="H308" s="34"/>
      <c r="I308" s="27"/>
      <c r="L308" s="28"/>
    </row>
    <row r="309" spans="2:12" ht="13.8" x14ac:dyDescent="0.25">
      <c r="B309" s="33"/>
      <c r="C309" s="38"/>
      <c r="D309" s="34"/>
      <c r="E309" s="30"/>
      <c r="F309" s="33"/>
      <c r="G309" s="36"/>
      <c r="H309" s="34"/>
      <c r="I309" s="27"/>
      <c r="J309" s="27"/>
      <c r="L309" s="28"/>
    </row>
    <row r="310" spans="2:12" ht="13.8" x14ac:dyDescent="0.25">
      <c r="B310" s="33"/>
      <c r="C310" s="38"/>
      <c r="D310" s="34"/>
      <c r="E310" s="30"/>
      <c r="F310" s="33"/>
      <c r="G310" s="36"/>
      <c r="H310" s="34"/>
      <c r="I310" s="27"/>
      <c r="J310" s="27"/>
      <c r="L310" s="28"/>
    </row>
    <row r="311" spans="2:12" ht="13.8" x14ac:dyDescent="0.25">
      <c r="B311" s="33"/>
      <c r="C311" s="38"/>
      <c r="D311" s="34"/>
      <c r="E311" s="30"/>
      <c r="F311" s="33"/>
      <c r="G311" s="36"/>
      <c r="H311" s="34"/>
      <c r="I311" s="27"/>
      <c r="J311" s="27"/>
      <c r="L311" s="28"/>
    </row>
    <row r="312" spans="2:12" ht="13.8" x14ac:dyDescent="0.25">
      <c r="B312" s="33"/>
      <c r="C312" s="38"/>
      <c r="D312" s="34"/>
      <c r="E312" s="30"/>
      <c r="F312" s="33"/>
      <c r="G312" s="36"/>
      <c r="H312" s="34"/>
      <c r="I312" s="27"/>
      <c r="J312" s="27"/>
      <c r="L312" s="28"/>
    </row>
    <row r="313" spans="2:12" ht="13.8" x14ac:dyDescent="0.25">
      <c r="B313" s="33"/>
      <c r="C313" s="38"/>
      <c r="D313" s="34"/>
      <c r="E313" s="30"/>
      <c r="F313" s="33"/>
      <c r="G313" s="36"/>
      <c r="H313" s="34"/>
      <c r="I313" s="27"/>
      <c r="J313" s="27"/>
      <c r="L313" s="28"/>
    </row>
    <row r="314" spans="2:12" ht="13.8" x14ac:dyDescent="0.25">
      <c r="B314" s="33"/>
      <c r="C314" s="38"/>
      <c r="D314" s="34"/>
      <c r="E314" s="30"/>
      <c r="F314" s="33"/>
      <c r="G314" s="36"/>
      <c r="H314" s="34"/>
      <c r="I314" s="27"/>
      <c r="J314" s="27"/>
      <c r="L314" s="28"/>
    </row>
    <row r="315" spans="2:12" ht="13.8" x14ac:dyDescent="0.25">
      <c r="B315" s="33"/>
      <c r="C315" s="38"/>
      <c r="D315" s="34"/>
      <c r="E315" s="30"/>
      <c r="F315" s="33"/>
      <c r="G315" s="36"/>
      <c r="H315" s="34"/>
      <c r="I315" s="27"/>
      <c r="J315" s="27"/>
      <c r="L315" s="28"/>
    </row>
    <row r="316" spans="2:12" ht="13.8" x14ac:dyDescent="0.25">
      <c r="B316" s="33"/>
      <c r="C316" s="38"/>
      <c r="D316" s="34"/>
      <c r="E316" s="30"/>
      <c r="F316" s="33"/>
      <c r="G316" s="36"/>
      <c r="H316" s="34"/>
      <c r="I316" s="27"/>
      <c r="J316" s="27"/>
      <c r="L316" s="28"/>
    </row>
    <row r="317" spans="2:12" ht="13.8" x14ac:dyDescent="0.25">
      <c r="B317" s="33"/>
      <c r="C317" s="38"/>
      <c r="D317" s="34"/>
      <c r="E317" s="30"/>
      <c r="F317" s="33"/>
      <c r="G317" s="36"/>
      <c r="H317" s="34"/>
      <c r="I317" s="27"/>
      <c r="J317" s="27"/>
      <c r="L317" s="28"/>
    </row>
    <row r="318" spans="2:12" ht="13.8" x14ac:dyDescent="0.25">
      <c r="B318" s="33"/>
      <c r="C318" s="38"/>
      <c r="D318" s="34"/>
      <c r="E318" s="30"/>
      <c r="F318" s="33"/>
      <c r="G318" s="36"/>
      <c r="H318" s="34"/>
      <c r="I318" s="27"/>
      <c r="J318" s="27"/>
      <c r="L318" s="28"/>
    </row>
    <row r="319" spans="2:12" ht="13.8" x14ac:dyDescent="0.25">
      <c r="B319" s="33"/>
      <c r="C319" s="38"/>
      <c r="D319" s="34"/>
      <c r="E319" s="30"/>
      <c r="F319" s="33"/>
      <c r="G319" s="36"/>
      <c r="H319" s="34"/>
      <c r="I319" s="27"/>
      <c r="J319" s="27"/>
      <c r="L319" s="28"/>
    </row>
    <row r="320" spans="2:12" ht="13.8" x14ac:dyDescent="0.25">
      <c r="B320" s="33"/>
      <c r="C320" s="38"/>
      <c r="D320" s="34"/>
      <c r="E320" s="30"/>
      <c r="F320" s="33"/>
      <c r="G320" s="36"/>
      <c r="H320" s="34"/>
      <c r="I320" s="27"/>
      <c r="J320" s="27"/>
      <c r="L320" s="28"/>
    </row>
    <row r="321" spans="2:12" ht="13.8" x14ac:dyDescent="0.25">
      <c r="B321" s="33"/>
      <c r="C321" s="38"/>
      <c r="D321" s="34"/>
      <c r="E321" s="30"/>
      <c r="F321" s="33"/>
      <c r="G321" s="36"/>
      <c r="H321" s="34"/>
      <c r="I321" s="27"/>
      <c r="J321" s="27"/>
      <c r="L321" s="28"/>
    </row>
    <row r="322" spans="2:12" ht="13.8" x14ac:dyDescent="0.25">
      <c r="B322" s="33"/>
      <c r="C322" s="38"/>
      <c r="D322" s="34"/>
      <c r="E322" s="30"/>
      <c r="F322" s="33"/>
      <c r="G322" s="36"/>
      <c r="H322" s="34"/>
      <c r="I322" s="27"/>
      <c r="J322" s="27"/>
      <c r="L322" s="28"/>
    </row>
    <row r="323" spans="2:12" ht="13.8" x14ac:dyDescent="0.25">
      <c r="B323" s="33"/>
      <c r="C323" s="38"/>
      <c r="D323" s="34"/>
      <c r="E323" s="30"/>
      <c r="F323" s="33"/>
      <c r="G323" s="36"/>
      <c r="H323" s="34"/>
      <c r="I323" s="27"/>
      <c r="J323" s="27"/>
      <c r="L323" s="28"/>
    </row>
    <row r="324" spans="2:12" ht="13.8" x14ac:dyDescent="0.25">
      <c r="B324" s="33"/>
      <c r="C324" s="38"/>
      <c r="D324" s="34"/>
      <c r="E324" s="30"/>
      <c r="F324" s="33"/>
      <c r="G324" s="36"/>
      <c r="H324" s="34"/>
      <c r="I324" s="27"/>
      <c r="J324" s="27"/>
      <c r="L324" s="28"/>
    </row>
    <row r="325" spans="2:12" ht="13.8" x14ac:dyDescent="0.25">
      <c r="B325" s="33"/>
      <c r="C325" s="38"/>
      <c r="D325" s="34"/>
      <c r="E325" s="30"/>
      <c r="F325" s="33"/>
      <c r="G325" s="36"/>
      <c r="H325" s="34"/>
      <c r="I325" s="27"/>
      <c r="J325" s="27"/>
      <c r="L325" s="28"/>
    </row>
    <row r="326" spans="2:12" ht="13.8" x14ac:dyDescent="0.25">
      <c r="B326" s="33"/>
      <c r="C326" s="38"/>
      <c r="D326" s="34"/>
      <c r="E326" s="30"/>
      <c r="F326" s="33"/>
      <c r="G326" s="36"/>
      <c r="H326" s="34"/>
      <c r="I326" s="27"/>
      <c r="J326" s="27"/>
      <c r="L326" s="28"/>
    </row>
    <row r="327" spans="2:12" ht="13.8" x14ac:dyDescent="0.25">
      <c r="B327" s="33"/>
      <c r="C327" s="38"/>
      <c r="D327" s="34"/>
      <c r="E327" s="30"/>
      <c r="F327" s="33"/>
      <c r="G327" s="36"/>
      <c r="H327" s="34"/>
      <c r="I327" s="27"/>
      <c r="J327" s="27"/>
      <c r="L327" s="28"/>
    </row>
    <row r="328" spans="2:12" ht="13.8" x14ac:dyDescent="0.25">
      <c r="B328" s="33"/>
      <c r="C328" s="38"/>
      <c r="D328" s="34"/>
      <c r="E328" s="30"/>
      <c r="F328" s="33"/>
      <c r="G328" s="36"/>
      <c r="H328" s="34"/>
      <c r="I328" s="27"/>
      <c r="J328" s="27"/>
      <c r="L328" s="28"/>
    </row>
    <row r="329" spans="2:12" ht="13.8" x14ac:dyDescent="0.25">
      <c r="B329" s="33"/>
      <c r="C329" s="38"/>
      <c r="D329" s="34"/>
      <c r="E329" s="30"/>
      <c r="F329" s="33"/>
      <c r="G329" s="36"/>
      <c r="H329" s="34"/>
      <c r="I329" s="27"/>
      <c r="J329" s="27"/>
      <c r="L329" s="28"/>
    </row>
    <row r="330" spans="2:12" ht="13.8" x14ac:dyDescent="0.25">
      <c r="B330" s="33"/>
      <c r="C330" s="38"/>
      <c r="D330" s="34"/>
      <c r="E330" s="30"/>
      <c r="F330" s="33"/>
      <c r="G330" s="36"/>
      <c r="H330" s="34"/>
      <c r="I330" s="27"/>
      <c r="J330" s="27"/>
      <c r="L330" s="28"/>
    </row>
    <row r="331" spans="2:12" ht="13.8" x14ac:dyDescent="0.25">
      <c r="B331" s="33"/>
      <c r="C331" s="38"/>
      <c r="D331" s="34"/>
      <c r="E331" s="30"/>
      <c r="F331" s="33"/>
      <c r="G331" s="36"/>
      <c r="H331" s="34"/>
      <c r="I331" s="27"/>
      <c r="J331" s="27"/>
      <c r="L331" s="28"/>
    </row>
    <row r="332" spans="2:12" ht="13.8" x14ac:dyDescent="0.25">
      <c r="B332" s="33"/>
      <c r="C332" s="38"/>
      <c r="D332" s="34"/>
      <c r="E332" s="30"/>
      <c r="F332" s="33"/>
      <c r="G332" s="36"/>
      <c r="H332" s="34"/>
      <c r="I332" s="27"/>
      <c r="J332" s="27"/>
      <c r="L332" s="28"/>
    </row>
    <row r="333" spans="2:12" ht="13.8" x14ac:dyDescent="0.25">
      <c r="B333" s="33"/>
      <c r="C333" s="38"/>
      <c r="D333" s="34"/>
      <c r="E333" s="30"/>
      <c r="F333" s="33"/>
      <c r="G333" s="36"/>
      <c r="H333" s="34"/>
      <c r="I333" s="27"/>
      <c r="J333" s="27"/>
      <c r="L333" s="28"/>
    </row>
    <row r="334" spans="2:12" ht="13.8" x14ac:dyDescent="0.25">
      <c r="B334" s="33"/>
      <c r="C334" s="38"/>
      <c r="D334" s="34"/>
      <c r="E334" s="30"/>
      <c r="F334" s="33"/>
      <c r="G334" s="36"/>
      <c r="H334" s="34"/>
      <c r="I334" s="27"/>
      <c r="J334" s="27"/>
      <c r="L334" s="28"/>
    </row>
    <row r="335" spans="2:12" ht="13.8" x14ac:dyDescent="0.25">
      <c r="B335" s="33"/>
      <c r="C335" s="38"/>
      <c r="D335" s="34"/>
      <c r="E335" s="30"/>
      <c r="F335" s="33"/>
      <c r="G335" s="36"/>
      <c r="H335" s="34"/>
      <c r="I335" s="27"/>
      <c r="J335" s="27"/>
      <c r="L335" s="28"/>
    </row>
    <row r="336" spans="2:12" ht="13.8" x14ac:dyDescent="0.25">
      <c r="B336" s="33"/>
      <c r="C336" s="38"/>
      <c r="D336" s="34"/>
      <c r="E336" s="30"/>
      <c r="F336" s="33"/>
      <c r="G336" s="36"/>
      <c r="H336" s="34"/>
      <c r="I336" s="27"/>
      <c r="L336" s="28"/>
    </row>
    <row r="337" spans="2:12" ht="13.8" x14ac:dyDescent="0.25">
      <c r="B337" s="33"/>
      <c r="C337" s="38"/>
      <c r="D337" s="34"/>
      <c r="E337" s="30"/>
      <c r="F337" s="33"/>
      <c r="G337" s="36"/>
      <c r="H337" s="34"/>
      <c r="I337" s="27"/>
      <c r="L337" s="28"/>
    </row>
    <row r="338" spans="2:12" ht="13.8" x14ac:dyDescent="0.25">
      <c r="B338" s="33"/>
      <c r="C338" s="38"/>
      <c r="D338" s="34"/>
      <c r="E338" s="30"/>
      <c r="F338" s="33"/>
      <c r="G338" s="36"/>
      <c r="H338" s="34"/>
      <c r="I338" s="27"/>
      <c r="L338" s="28"/>
    </row>
    <row r="339" spans="2:12" ht="13.8" x14ac:dyDescent="0.25">
      <c r="B339" s="33"/>
      <c r="C339" s="38"/>
      <c r="D339" s="34"/>
      <c r="E339" s="30"/>
      <c r="F339" s="33"/>
      <c r="G339" s="36"/>
      <c r="H339" s="34"/>
      <c r="L339" s="28"/>
    </row>
    <row r="340" spans="2:12" ht="13.8" x14ac:dyDescent="0.25">
      <c r="B340" s="33"/>
      <c r="C340" s="38"/>
      <c r="D340" s="34"/>
      <c r="E340" s="30"/>
      <c r="F340" s="33"/>
      <c r="G340" s="36"/>
      <c r="H340" s="34"/>
      <c r="I340" s="27"/>
      <c r="L340" s="28"/>
    </row>
    <row r="341" spans="2:12" ht="13.8" x14ac:dyDescent="0.25">
      <c r="B341" s="33"/>
      <c r="C341" s="38"/>
      <c r="D341" s="34"/>
      <c r="E341" s="30"/>
      <c r="F341" s="33"/>
      <c r="G341" s="36"/>
      <c r="H341" s="34"/>
      <c r="L341" s="28"/>
    </row>
    <row r="342" spans="2:12" ht="13.8" x14ac:dyDescent="0.25">
      <c r="B342" s="33"/>
      <c r="C342" s="38"/>
      <c r="D342" s="34"/>
      <c r="E342" s="30"/>
      <c r="F342" s="33"/>
      <c r="G342" s="36"/>
      <c r="H342" s="34"/>
      <c r="L342" s="28"/>
    </row>
    <row r="343" spans="2:12" ht="13.8" x14ac:dyDescent="0.25">
      <c r="B343" s="33"/>
      <c r="C343" s="38"/>
      <c r="D343" s="34"/>
      <c r="E343" s="30"/>
      <c r="F343" s="33"/>
      <c r="G343" s="36"/>
      <c r="H343" s="34"/>
      <c r="L343" s="28"/>
    </row>
    <row r="344" spans="2:12" ht="13.8" x14ac:dyDescent="0.25">
      <c r="B344" s="33"/>
      <c r="C344" s="38"/>
      <c r="D344" s="34"/>
      <c r="E344" s="30"/>
      <c r="F344" s="33"/>
      <c r="G344" s="36"/>
      <c r="H344" s="34"/>
      <c r="L344" s="28"/>
    </row>
    <row r="345" spans="2:12" ht="13.8" x14ac:dyDescent="0.25">
      <c r="B345" s="33"/>
      <c r="C345" s="38"/>
      <c r="D345" s="34"/>
      <c r="E345" s="30"/>
      <c r="F345" s="33"/>
      <c r="G345" s="36"/>
      <c r="H345" s="34"/>
      <c r="L345" s="28"/>
    </row>
    <row r="346" spans="2:12" ht="13.8" x14ac:dyDescent="0.25">
      <c r="B346" s="33"/>
      <c r="C346" s="38"/>
      <c r="D346" s="34"/>
      <c r="E346" s="30"/>
      <c r="F346" s="33"/>
      <c r="G346" s="36"/>
      <c r="H346" s="34"/>
      <c r="I346" s="27"/>
      <c r="L346" s="28"/>
    </row>
    <row r="347" spans="2:12" ht="13.8" x14ac:dyDescent="0.25">
      <c r="B347" s="33"/>
      <c r="C347" s="38"/>
      <c r="D347" s="34"/>
      <c r="E347" s="30"/>
      <c r="F347" s="33"/>
      <c r="G347" s="36"/>
      <c r="H347" s="34"/>
      <c r="I347" s="27"/>
      <c r="L347" s="28"/>
    </row>
    <row r="348" spans="2:12" ht="13.8" x14ac:dyDescent="0.25">
      <c r="B348" s="33"/>
      <c r="C348" s="38"/>
      <c r="D348" s="34"/>
      <c r="E348" s="30"/>
      <c r="F348" s="33"/>
      <c r="G348" s="36"/>
      <c r="H348" s="34"/>
      <c r="I348" s="27"/>
      <c r="J348" s="27"/>
      <c r="L348" s="28"/>
    </row>
    <row r="349" spans="2:12" ht="13.8" x14ac:dyDescent="0.25">
      <c r="B349" s="33"/>
      <c r="C349" s="38"/>
      <c r="D349" s="34"/>
      <c r="E349" s="30"/>
      <c r="F349" s="33"/>
      <c r="G349" s="36"/>
      <c r="H349" s="34"/>
      <c r="I349" s="27"/>
      <c r="J349" s="27"/>
      <c r="L349" s="28"/>
    </row>
    <row r="350" spans="2:12" ht="13.8" x14ac:dyDescent="0.25">
      <c r="B350" s="33"/>
      <c r="C350" s="38"/>
      <c r="D350" s="34"/>
      <c r="E350" s="30"/>
      <c r="F350" s="33"/>
      <c r="G350" s="36"/>
      <c r="H350" s="34"/>
      <c r="I350" s="27"/>
      <c r="J350" s="27"/>
      <c r="L350" s="28"/>
    </row>
    <row r="351" spans="2:12" ht="13.8" x14ac:dyDescent="0.25">
      <c r="B351" s="33"/>
      <c r="C351" s="38"/>
      <c r="D351" s="34"/>
      <c r="E351" s="30"/>
      <c r="F351" s="33"/>
      <c r="G351" s="36"/>
      <c r="H351" s="34"/>
      <c r="I351" s="27"/>
      <c r="L351" s="28"/>
    </row>
    <row r="352" spans="2:12" ht="13.8" x14ac:dyDescent="0.25">
      <c r="B352" s="33"/>
      <c r="C352" s="38"/>
      <c r="D352" s="34"/>
      <c r="E352" s="30"/>
      <c r="F352" s="33"/>
      <c r="G352" s="36"/>
      <c r="H352" s="34"/>
      <c r="I352" s="27"/>
      <c r="L352" s="28"/>
    </row>
    <row r="353" spans="2:12" ht="13.8" x14ac:dyDescent="0.25">
      <c r="B353" s="33"/>
      <c r="C353" s="38"/>
      <c r="D353" s="34"/>
      <c r="E353" s="30"/>
      <c r="F353" s="33"/>
      <c r="G353" s="36"/>
      <c r="H353" s="34"/>
      <c r="I353" s="27"/>
      <c r="L353" s="28"/>
    </row>
    <row r="354" spans="2:12" ht="13.8" x14ac:dyDescent="0.25">
      <c r="B354" s="33"/>
      <c r="C354" s="38"/>
      <c r="D354" s="34"/>
      <c r="E354" s="30"/>
      <c r="F354" s="33"/>
      <c r="G354" s="36"/>
      <c r="H354" s="34"/>
      <c r="I354" s="27"/>
      <c r="L354" s="28"/>
    </row>
    <row r="355" spans="2:12" ht="13.8" x14ac:dyDescent="0.25">
      <c r="B355" s="33"/>
      <c r="C355" s="38"/>
      <c r="D355" s="34"/>
      <c r="E355" s="30"/>
      <c r="F355" s="33"/>
      <c r="G355" s="36"/>
      <c r="H355" s="34"/>
      <c r="I355" s="27"/>
      <c r="J355" s="27"/>
      <c r="L355" s="28"/>
    </row>
    <row r="356" spans="2:12" ht="13.8" x14ac:dyDescent="0.25">
      <c r="B356" s="33"/>
      <c r="C356" s="38"/>
      <c r="D356" s="34"/>
      <c r="E356" s="30"/>
      <c r="F356" s="33"/>
      <c r="G356" s="36"/>
      <c r="H356" s="34"/>
      <c r="I356" s="27"/>
      <c r="J356" s="27"/>
      <c r="L356" s="28"/>
    </row>
    <row r="357" spans="2:12" ht="13.8" x14ac:dyDescent="0.25">
      <c r="B357" s="33"/>
      <c r="C357" s="38"/>
      <c r="D357" s="34"/>
      <c r="E357" s="30"/>
      <c r="F357" s="33"/>
      <c r="G357" s="36"/>
      <c r="H357" s="34"/>
      <c r="I357" s="27"/>
      <c r="J357" s="27"/>
      <c r="L357" s="28"/>
    </row>
    <row r="358" spans="2:12" ht="13.8" x14ac:dyDescent="0.25">
      <c r="B358" s="33"/>
      <c r="C358" s="38"/>
      <c r="D358" s="34"/>
      <c r="E358" s="30"/>
      <c r="F358" s="33"/>
      <c r="G358" s="36"/>
      <c r="H358" s="34"/>
      <c r="I358" s="27"/>
      <c r="J358" s="27"/>
      <c r="L358" s="28"/>
    </row>
    <row r="359" spans="2:12" ht="13.8" x14ac:dyDescent="0.25">
      <c r="B359" s="33"/>
      <c r="C359" s="38"/>
      <c r="D359" s="34"/>
      <c r="E359" s="30"/>
      <c r="F359" s="33"/>
      <c r="G359" s="36"/>
      <c r="H359" s="34"/>
      <c r="I359" s="27"/>
      <c r="J359" s="27"/>
      <c r="L359" s="28"/>
    </row>
    <row r="360" spans="2:12" ht="13.8" x14ac:dyDescent="0.25">
      <c r="B360" s="33"/>
      <c r="C360" s="38"/>
      <c r="D360" s="34"/>
      <c r="E360" s="30"/>
      <c r="F360" s="33"/>
      <c r="G360" s="36"/>
      <c r="H360" s="34"/>
      <c r="I360" s="27"/>
      <c r="J360" s="27"/>
      <c r="L360" s="28"/>
    </row>
    <row r="361" spans="2:12" ht="13.8" x14ac:dyDescent="0.25">
      <c r="B361" s="33"/>
      <c r="C361" s="38"/>
      <c r="D361" s="34"/>
      <c r="E361" s="30"/>
      <c r="F361" s="33"/>
      <c r="G361" s="36"/>
      <c r="H361" s="34"/>
      <c r="I361" s="27"/>
      <c r="L361" s="28"/>
    </row>
    <row r="362" spans="2:12" ht="13.8" x14ac:dyDescent="0.25">
      <c r="B362" s="33"/>
      <c r="C362" s="38"/>
      <c r="D362" s="34"/>
      <c r="E362" s="30"/>
      <c r="F362" s="33"/>
      <c r="G362" s="36"/>
      <c r="H362" s="34"/>
      <c r="I362" s="27"/>
      <c r="L362" s="28"/>
    </row>
    <row r="363" spans="2:12" ht="13.8" x14ac:dyDescent="0.25">
      <c r="B363" s="33"/>
      <c r="C363" s="38"/>
      <c r="D363" s="34"/>
      <c r="E363" s="30"/>
      <c r="F363" s="33"/>
      <c r="G363" s="36"/>
      <c r="H363" s="34"/>
      <c r="I363" s="27"/>
      <c r="L363" s="28"/>
    </row>
    <row r="364" spans="2:12" ht="13.8" x14ac:dyDescent="0.25">
      <c r="B364" s="33"/>
      <c r="C364" s="38"/>
      <c r="D364" s="34"/>
      <c r="E364" s="30"/>
      <c r="F364" s="33"/>
      <c r="G364" s="36"/>
      <c r="H364" s="34"/>
      <c r="I364" s="27"/>
      <c r="L364" s="28"/>
    </row>
    <row r="365" spans="2:12" ht="13.8" x14ac:dyDescent="0.25">
      <c r="B365" s="33"/>
      <c r="C365" s="38"/>
      <c r="D365" s="34"/>
      <c r="E365" s="30"/>
      <c r="F365" s="33"/>
      <c r="G365" s="36"/>
      <c r="H365" s="34"/>
      <c r="L365" s="28"/>
    </row>
    <row r="366" spans="2:12" ht="13.8" x14ac:dyDescent="0.25">
      <c r="B366" s="33"/>
      <c r="C366" s="38"/>
      <c r="D366" s="34"/>
      <c r="E366" s="30"/>
      <c r="F366" s="33"/>
      <c r="G366" s="36"/>
      <c r="H366" s="34"/>
      <c r="L366" s="28"/>
    </row>
    <row r="367" spans="2:12" ht="13.8" x14ac:dyDescent="0.25">
      <c r="B367" s="33"/>
      <c r="C367" s="38"/>
      <c r="D367" s="34"/>
      <c r="E367" s="30"/>
      <c r="F367" s="33"/>
      <c r="G367" s="36"/>
      <c r="H367" s="34"/>
      <c r="L367" s="28"/>
    </row>
    <row r="368" spans="2:12" ht="13.8" x14ac:dyDescent="0.25">
      <c r="B368" s="33"/>
      <c r="C368" s="38"/>
      <c r="D368" s="34"/>
      <c r="E368" s="30"/>
      <c r="F368" s="33"/>
      <c r="G368" s="36"/>
      <c r="H368" s="34"/>
      <c r="I368" s="27"/>
      <c r="L368" s="28"/>
    </row>
    <row r="369" spans="2:12" ht="13.8" x14ac:dyDescent="0.25">
      <c r="B369" s="33"/>
      <c r="C369" s="38"/>
      <c r="D369" s="34"/>
      <c r="E369" s="30"/>
      <c r="F369" s="33"/>
      <c r="G369" s="36"/>
      <c r="H369" s="34"/>
      <c r="I369" s="27"/>
      <c r="L369" s="28"/>
    </row>
    <row r="370" spans="2:12" ht="13.8" x14ac:dyDescent="0.25">
      <c r="B370" s="33"/>
      <c r="C370" s="38"/>
      <c r="D370" s="34"/>
      <c r="E370" s="30"/>
      <c r="F370" s="33"/>
      <c r="G370" s="36"/>
      <c r="H370" s="34"/>
      <c r="I370" s="27"/>
      <c r="L370" s="28"/>
    </row>
    <row r="371" spans="2:12" ht="13.8" x14ac:dyDescent="0.25">
      <c r="B371" s="33"/>
      <c r="C371" s="38"/>
      <c r="D371" s="34"/>
      <c r="E371" s="30"/>
      <c r="F371" s="33"/>
      <c r="G371" s="36"/>
      <c r="H371" s="34"/>
      <c r="I371" s="27"/>
      <c r="J371" s="27"/>
      <c r="L371" s="28"/>
    </row>
    <row r="372" spans="2:12" ht="13.8" x14ac:dyDescent="0.25">
      <c r="B372" s="33"/>
      <c r="C372" s="38"/>
      <c r="D372" s="34"/>
      <c r="E372" s="30"/>
      <c r="F372" s="33"/>
      <c r="G372" s="36"/>
      <c r="H372" s="34"/>
      <c r="I372" s="27"/>
      <c r="J372" s="27"/>
      <c r="L372" s="28"/>
    </row>
    <row r="373" spans="2:12" ht="13.8" x14ac:dyDescent="0.25">
      <c r="B373" s="33"/>
      <c r="C373" s="38"/>
      <c r="D373" s="34"/>
      <c r="E373" s="30"/>
      <c r="F373" s="33"/>
      <c r="G373" s="36"/>
      <c r="H373" s="34"/>
      <c r="I373" s="27"/>
      <c r="L373" s="28"/>
    </row>
    <row r="374" spans="2:12" ht="13.8" x14ac:dyDescent="0.25">
      <c r="B374" s="33"/>
      <c r="C374" s="38"/>
      <c r="D374" s="34"/>
      <c r="E374" s="30"/>
      <c r="F374" s="33"/>
      <c r="G374" s="36"/>
      <c r="H374" s="34"/>
      <c r="I374" s="27"/>
      <c r="L374" s="28"/>
    </row>
    <row r="375" spans="2:12" ht="13.8" x14ac:dyDescent="0.25">
      <c r="B375" s="33"/>
      <c r="C375" s="38"/>
      <c r="D375" s="34"/>
      <c r="E375" s="30"/>
      <c r="F375" s="33"/>
      <c r="G375" s="36"/>
      <c r="H375" s="34"/>
      <c r="I375" s="27"/>
      <c r="L375" s="28"/>
    </row>
    <row r="376" spans="2:12" ht="13.8" x14ac:dyDescent="0.25">
      <c r="B376" s="33"/>
      <c r="C376" s="38"/>
      <c r="D376" s="34"/>
      <c r="E376" s="30"/>
      <c r="F376" s="33"/>
      <c r="G376" s="36"/>
      <c r="H376" s="34"/>
      <c r="L376" s="28"/>
    </row>
    <row r="377" spans="2:12" ht="13.8" x14ac:dyDescent="0.25">
      <c r="B377" s="33"/>
      <c r="C377" s="38"/>
      <c r="D377" s="34"/>
      <c r="E377" s="30"/>
      <c r="F377" s="33"/>
      <c r="G377" s="36"/>
      <c r="H377" s="34"/>
      <c r="L377" s="28"/>
    </row>
    <row r="378" spans="2:12" ht="13.8" x14ac:dyDescent="0.25">
      <c r="B378" s="33"/>
      <c r="C378" s="38"/>
      <c r="D378" s="34"/>
      <c r="E378" s="30"/>
      <c r="F378" s="30"/>
      <c r="G378" s="30"/>
      <c r="H378" s="31"/>
    </row>
    <row r="379" spans="2:12" ht="13.8" x14ac:dyDescent="0.25">
      <c r="B379" s="33"/>
      <c r="C379" s="38"/>
      <c r="D379" s="34"/>
      <c r="E379" s="30"/>
      <c r="F379" s="30"/>
      <c r="G379" s="30"/>
      <c r="H379" s="31"/>
    </row>
    <row r="380" spans="2:12" ht="13.8" x14ac:dyDescent="0.25">
      <c r="B380" s="33"/>
      <c r="C380" s="38"/>
      <c r="D380" s="34"/>
      <c r="E380" s="30"/>
      <c r="F380" s="30"/>
      <c r="G380" s="30"/>
      <c r="H380" s="31"/>
    </row>
    <row r="381" spans="2:12" ht="13.8" x14ac:dyDescent="0.25">
      <c r="B381" s="33"/>
      <c r="C381" s="38"/>
      <c r="D381" s="34"/>
      <c r="E381" s="30"/>
      <c r="F381" s="30"/>
      <c r="G381" s="30"/>
      <c r="H381" s="32"/>
    </row>
    <row r="382" spans="2:12" ht="13.8" x14ac:dyDescent="0.25">
      <c r="B382" s="33"/>
      <c r="C382" s="38"/>
      <c r="D382" s="34"/>
      <c r="E382" s="30"/>
      <c r="F382" s="30"/>
      <c r="G382" s="30"/>
      <c r="H382" s="31"/>
    </row>
    <row r="383" spans="2:12" ht="13.8" x14ac:dyDescent="0.25">
      <c r="B383" s="33"/>
      <c r="C383" s="38"/>
      <c r="D383" s="34"/>
      <c r="E383" s="30"/>
      <c r="F383" s="30"/>
      <c r="G383" s="30"/>
      <c r="H383" s="31"/>
    </row>
    <row r="384" spans="2:12" ht="13.8" x14ac:dyDescent="0.25">
      <c r="B384" s="33"/>
      <c r="C384" s="38"/>
      <c r="D384" s="34"/>
      <c r="E384" s="30"/>
      <c r="F384" s="30"/>
      <c r="G384" s="30"/>
      <c r="H384" s="32"/>
    </row>
    <row r="385" spans="2:8" ht="13.8" x14ac:dyDescent="0.25">
      <c r="B385" s="33"/>
      <c r="C385" s="38"/>
      <c r="D385" s="34"/>
      <c r="E385" s="30"/>
      <c r="F385" s="30"/>
      <c r="G385" s="30"/>
      <c r="H385" s="31"/>
    </row>
    <row r="386" spans="2:8" ht="13.8" x14ac:dyDescent="0.25">
      <c r="B386" s="33"/>
      <c r="C386" s="38"/>
      <c r="D386" s="34"/>
      <c r="E386" s="30"/>
      <c r="F386" s="30"/>
      <c r="G386" s="30"/>
      <c r="H386" s="32"/>
    </row>
    <row r="387" spans="2:8" ht="13.8" x14ac:dyDescent="0.25">
      <c r="B387" s="33"/>
      <c r="C387" s="38"/>
      <c r="D387" s="34"/>
      <c r="E387" s="30"/>
      <c r="F387" s="30"/>
      <c r="G387" s="30"/>
      <c r="H387" s="32"/>
    </row>
    <row r="388" spans="2:8" ht="13.8" x14ac:dyDescent="0.25">
      <c r="B388" s="33"/>
      <c r="C388" s="38"/>
      <c r="D388" s="34"/>
      <c r="E388" s="30"/>
      <c r="F388" s="30"/>
      <c r="G388" s="30"/>
      <c r="H388" s="31"/>
    </row>
    <row r="389" spans="2:8" ht="13.8" x14ac:dyDescent="0.25">
      <c r="B389" s="33"/>
      <c r="C389" s="38"/>
      <c r="D389" s="34"/>
      <c r="E389" s="30"/>
      <c r="F389" s="30"/>
      <c r="G389" s="30"/>
      <c r="H389" s="31"/>
    </row>
  </sheetData>
  <mergeCells count="3">
    <mergeCell ref="B11:D11"/>
    <mergeCell ref="F11:H11"/>
    <mergeCell ref="J11:L11"/>
  </mergeCells>
  <hyperlinks>
    <hyperlink ref="B8" location="Dashboard!A1" display="&lt;-Back to dashboard" xr:uid="{B4CAAB1B-CA15-40FD-B4A5-1531F055AD2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99F9-B230-4756-966C-30D72BA1C5DB}">
  <dimension ref="B2:O24"/>
  <sheetViews>
    <sheetView showGridLines="0" zoomScale="85" zoomScaleNormal="85" workbookViewId="0">
      <selection activeCell="G20" sqref="G20:H20"/>
    </sheetView>
  </sheetViews>
  <sheetFormatPr defaultRowHeight="13.2" x14ac:dyDescent="0.25"/>
  <cols>
    <col min="1" max="1" width="1.88671875" style="1" customWidth="1"/>
    <col min="2" max="2" width="8.88671875" style="1"/>
    <col min="3" max="3" width="19.21875" style="1" customWidth="1"/>
    <col min="4" max="4" width="11.77734375" style="1" customWidth="1"/>
    <col min="5" max="5" width="8.21875" style="1" customWidth="1"/>
    <col min="6" max="6" width="4.77734375" style="1" customWidth="1"/>
    <col min="7" max="7" width="24.109375" style="1" customWidth="1"/>
    <col min="8" max="8" width="13" style="1" customWidth="1"/>
    <col min="9" max="9" width="9.44140625" style="1" customWidth="1"/>
    <col min="10" max="16384" width="8.88671875" style="1"/>
  </cols>
  <sheetData>
    <row r="2" spans="2:15" s="5" customFormat="1" ht="15.6" x14ac:dyDescent="0.3">
      <c r="B2" s="6" t="str">
        <f>Dashboard!B2</f>
        <v>Borouge PLC</v>
      </c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</row>
    <row r="3" spans="2:15" s="5" customFormat="1" ht="13.8" x14ac:dyDescent="0.25">
      <c r="B3" s="67" t="s">
        <v>44</v>
      </c>
      <c r="C3" s="7"/>
      <c r="D3" s="7"/>
      <c r="E3" s="7"/>
      <c r="F3" s="7"/>
      <c r="G3" s="7"/>
      <c r="H3" s="7"/>
      <c r="I3" s="1"/>
      <c r="J3" s="1"/>
      <c r="K3" s="1"/>
      <c r="L3" s="1"/>
      <c r="M3" s="1"/>
      <c r="N3" s="1"/>
      <c r="O3" s="1"/>
    </row>
    <row r="4" spans="2:15" s="5" customFormat="1" ht="13.8" x14ac:dyDescent="0.25">
      <c r="B4" s="70" t="str">
        <f>Dashboard!B4</f>
        <v>(In Millions AED, except equity share and per equity share data)</v>
      </c>
      <c r="C4" s="7"/>
      <c r="D4" s="7"/>
      <c r="E4" s="7"/>
      <c r="F4" s="7"/>
      <c r="G4" s="7"/>
      <c r="H4" s="7"/>
      <c r="I4" s="1"/>
      <c r="J4" s="1"/>
      <c r="K4" s="1"/>
      <c r="L4" s="1"/>
      <c r="M4" s="1"/>
      <c r="N4" s="1"/>
      <c r="O4" s="1"/>
    </row>
    <row r="5" spans="2:15" s="5" customFormat="1" ht="13.8" x14ac:dyDescent="0.25">
      <c r="B5" s="8" t="s">
        <v>32</v>
      </c>
      <c r="C5" s="7"/>
      <c r="D5" s="8" t="str">
        <f>Dashboard!G12</f>
        <v>Street</v>
      </c>
      <c r="E5" s="7"/>
      <c r="F5" s="7"/>
      <c r="G5" s="7"/>
      <c r="H5" s="7"/>
      <c r="I5" s="1"/>
      <c r="J5" s="1"/>
      <c r="K5" s="1"/>
      <c r="L5" s="1"/>
      <c r="M5" s="1"/>
      <c r="N5" s="1"/>
      <c r="O5" s="1"/>
    </row>
    <row r="7" spans="2:15" ht="14.4" x14ac:dyDescent="0.3">
      <c r="B7" s="25" t="s">
        <v>41</v>
      </c>
    </row>
    <row r="9" spans="2:15" x14ac:dyDescent="0.25">
      <c r="B9" s="236" t="s">
        <v>63</v>
      </c>
      <c r="C9" s="198"/>
      <c r="D9" s="198"/>
      <c r="G9" s="236" t="s">
        <v>72</v>
      </c>
      <c r="H9" s="198"/>
    </row>
    <row r="10" spans="2:15" ht="14.4" customHeight="1" x14ac:dyDescent="0.25">
      <c r="B10" s="1" t="s">
        <v>64</v>
      </c>
      <c r="D10" s="28">
        <v>4.8750000000000002E-2</v>
      </c>
      <c r="G10" s="1" t="s">
        <v>314</v>
      </c>
      <c r="H10" s="43">
        <v>77260</v>
      </c>
    </row>
    <row r="11" spans="2:15" x14ac:dyDescent="0.25">
      <c r="B11" s="1" t="s">
        <v>311</v>
      </c>
      <c r="D11" s="28">
        <v>4.87E-2</v>
      </c>
      <c r="G11" s="1" t="s">
        <v>315</v>
      </c>
      <c r="H11" s="43">
        <v>11430</v>
      </c>
    </row>
    <row r="12" spans="2:15" x14ac:dyDescent="0.25">
      <c r="B12" s="1" t="s">
        <v>312</v>
      </c>
      <c r="D12" s="28">
        <v>6.4000000000000003E-3</v>
      </c>
      <c r="G12" s="288" t="s">
        <v>73</v>
      </c>
      <c r="H12" s="291">
        <f>H10+H11</f>
        <v>88690</v>
      </c>
    </row>
    <row r="13" spans="2:15" x14ac:dyDescent="0.25">
      <c r="B13" s="1" t="s">
        <v>57</v>
      </c>
      <c r="D13" s="39">
        <f>Beta!L21</f>
        <v>0.58671171045669646</v>
      </c>
    </row>
    <row r="14" spans="2:15" x14ac:dyDescent="0.25">
      <c r="B14" s="288" t="s">
        <v>67</v>
      </c>
      <c r="C14" s="288"/>
      <c r="D14" s="289">
        <f>D10+(D11*D13)+D12</f>
        <v>8.3722860299241128E-2</v>
      </c>
      <c r="G14" s="1" t="s">
        <v>317</v>
      </c>
      <c r="H14" s="50">
        <f>H10/H12</f>
        <v>0.87112414026384033</v>
      </c>
    </row>
    <row r="15" spans="2:15" x14ac:dyDescent="0.25">
      <c r="G15" s="1" t="s">
        <v>316</v>
      </c>
      <c r="H15" s="23">
        <f>1-H14</f>
        <v>0.12887585973615967</v>
      </c>
    </row>
    <row r="16" spans="2:15" x14ac:dyDescent="0.25">
      <c r="B16" s="236" t="s">
        <v>68</v>
      </c>
      <c r="C16" s="198"/>
      <c r="D16" s="198"/>
    </row>
    <row r="17" spans="2:8" x14ac:dyDescent="0.25">
      <c r="B17" s="237" t="s">
        <v>313</v>
      </c>
      <c r="G17" s="236" t="s">
        <v>44</v>
      </c>
      <c r="H17" s="198"/>
    </row>
    <row r="18" spans="2:8" x14ac:dyDescent="0.25">
      <c r="B18" s="15" t="s">
        <v>69</v>
      </c>
      <c r="D18" s="40">
        <f>-Statements!H30/Statements!H73</f>
        <v>6.8620291430318267E-2</v>
      </c>
      <c r="G18" s="1" t="s">
        <v>74</v>
      </c>
      <c r="H18" s="28">
        <f>D14*H14</f>
        <v>7.2933004698606044E-2</v>
      </c>
    </row>
    <row r="19" spans="2:8" x14ac:dyDescent="0.25">
      <c r="B19" s="1" t="s">
        <v>70</v>
      </c>
      <c r="D19" s="28">
        <v>0.21</v>
      </c>
      <c r="G19" s="1" t="s">
        <v>68</v>
      </c>
      <c r="H19" s="41">
        <f>D20*H15</f>
        <v>6.9863642522081963E-3</v>
      </c>
    </row>
    <row r="20" spans="2:8" x14ac:dyDescent="0.25">
      <c r="B20" s="288" t="s">
        <v>71</v>
      </c>
      <c r="C20" s="290"/>
      <c r="D20" s="289">
        <f>D18*(1-D19)</f>
        <v>5.4210030229951432E-2</v>
      </c>
      <c r="G20" s="288" t="s">
        <v>44</v>
      </c>
      <c r="H20" s="292">
        <f>H18+H19</f>
        <v>7.9919368950814237E-2</v>
      </c>
    </row>
    <row r="24" spans="2:8" ht="13.8" x14ac:dyDescent="0.25">
      <c r="B24" s="7"/>
      <c r="C24" s="7"/>
      <c r="D24" s="7"/>
      <c r="E24" s="7"/>
      <c r="F24" s="7"/>
      <c r="G24" s="7"/>
      <c r="H24" s="7"/>
    </row>
  </sheetData>
  <hyperlinks>
    <hyperlink ref="B7" location="Dashboard!A1" display="&lt;-Back to dashboard" xr:uid="{8A726ABA-FF8B-4FCE-A982-76721E34544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E337-656A-46C9-8BDE-DC1FB398E8E9}">
  <dimension ref="B2:P46"/>
  <sheetViews>
    <sheetView showGridLines="0" topLeftCell="A16" workbookViewId="0">
      <selection activeCell="L39" sqref="L39"/>
    </sheetView>
  </sheetViews>
  <sheetFormatPr defaultRowHeight="13.2" x14ac:dyDescent="0.25"/>
  <cols>
    <col min="1" max="1" width="2.88671875" style="1" customWidth="1"/>
    <col min="2" max="2" width="8.88671875" style="1"/>
    <col min="3" max="3" width="7.88671875" style="1" customWidth="1"/>
    <col min="4" max="4" width="14.44140625" style="1" customWidth="1"/>
    <col min="5" max="9" width="12.6640625" style="1" customWidth="1"/>
    <col min="10" max="13" width="11.21875" style="1" customWidth="1"/>
    <col min="14" max="16384" width="8.88671875" style="1"/>
  </cols>
  <sheetData>
    <row r="2" spans="2:16" s="5" customFormat="1" ht="15.6" x14ac:dyDescent="0.3">
      <c r="B2" s="6" t="str">
        <f>Dashboard!B2</f>
        <v>Borouge PLC</v>
      </c>
      <c r="C2" s="7"/>
      <c r="D2" s="7"/>
      <c r="E2" s="7"/>
      <c r="F2" s="7"/>
      <c r="G2" s="7"/>
      <c r="H2" s="7"/>
      <c r="I2" s="7"/>
      <c r="J2" s="1"/>
      <c r="K2" s="1"/>
      <c r="L2" s="1"/>
      <c r="M2" s="1"/>
      <c r="N2" s="1"/>
      <c r="O2" s="1"/>
      <c r="P2" s="1"/>
    </row>
    <row r="3" spans="2:16" s="5" customFormat="1" ht="13.8" x14ac:dyDescent="0.25">
      <c r="B3" s="67" t="s">
        <v>43</v>
      </c>
      <c r="C3" s="7"/>
      <c r="D3" s="7"/>
      <c r="E3" s="7"/>
      <c r="F3" s="7"/>
      <c r="G3" s="7"/>
      <c r="H3" s="7"/>
      <c r="I3" s="7"/>
      <c r="J3" s="1"/>
      <c r="K3" s="1"/>
      <c r="L3" s="1"/>
      <c r="M3" s="1"/>
      <c r="N3" s="1"/>
      <c r="O3" s="1"/>
      <c r="P3" s="1"/>
    </row>
    <row r="4" spans="2:16" s="5" customFormat="1" ht="13.8" x14ac:dyDescent="0.25">
      <c r="B4" s="70" t="str">
        <f>Dashboard!B4</f>
        <v>(In Millions AED, except equity share and per equity share data)</v>
      </c>
      <c r="C4" s="7"/>
      <c r="D4" s="7"/>
      <c r="E4" s="7"/>
      <c r="F4" s="7"/>
      <c r="G4" s="7"/>
      <c r="H4" s="7"/>
      <c r="I4" s="7"/>
      <c r="J4" s="1"/>
      <c r="K4" s="1"/>
      <c r="L4" s="1"/>
      <c r="M4" s="1"/>
      <c r="N4" s="1"/>
      <c r="O4" s="1"/>
      <c r="P4" s="1"/>
    </row>
    <row r="5" spans="2:16" s="5" customFormat="1" ht="13.8" x14ac:dyDescent="0.25">
      <c r="B5" s="8" t="s">
        <v>32</v>
      </c>
      <c r="C5" s="7"/>
      <c r="D5" s="8" t="str">
        <f>Dashboard!G12</f>
        <v>Street</v>
      </c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</row>
    <row r="7" spans="2:16" ht="14.4" x14ac:dyDescent="0.3">
      <c r="B7" s="25" t="s">
        <v>41</v>
      </c>
    </row>
    <row r="8" spans="2:16" ht="14.4" x14ac:dyDescent="0.3">
      <c r="B8" s="25"/>
    </row>
    <row r="9" spans="2:16" x14ac:dyDescent="0.25">
      <c r="B9" s="21" t="s">
        <v>82</v>
      </c>
    </row>
    <row r="10" spans="2:16" x14ac:dyDescent="0.25">
      <c r="B10" s="433" t="s">
        <v>83</v>
      </c>
      <c r="C10" s="434"/>
      <c r="D10" s="435"/>
      <c r="E10" s="45">
        <v>45657</v>
      </c>
      <c r="F10" s="54"/>
      <c r="G10" s="266" t="s">
        <v>326</v>
      </c>
      <c r="H10" s="266"/>
      <c r="I10" s="267">
        <f ca="1">E34</f>
        <v>1.3570400533469023</v>
      </c>
    </row>
    <row r="11" spans="2:16" x14ac:dyDescent="0.25">
      <c r="B11" s="433" t="s">
        <v>84</v>
      </c>
      <c r="C11" s="434"/>
      <c r="D11" s="435"/>
      <c r="E11" s="45">
        <v>45657</v>
      </c>
      <c r="F11" s="54"/>
      <c r="G11" s="266" t="s">
        <v>88</v>
      </c>
      <c r="H11" s="266"/>
      <c r="I11" s="267">
        <v>2.5499999999999998</v>
      </c>
    </row>
    <row r="12" spans="2:16" x14ac:dyDescent="0.25">
      <c r="B12" s="433" t="s">
        <v>44</v>
      </c>
      <c r="C12" s="434"/>
      <c r="D12" s="435"/>
      <c r="E12" s="46">
        <f>WACC!H20</f>
        <v>7.9919368950814237E-2</v>
      </c>
      <c r="I12" s="265"/>
    </row>
    <row r="13" spans="2:16" x14ac:dyDescent="0.25">
      <c r="B13" s="433" t="s">
        <v>85</v>
      </c>
      <c r="C13" s="434"/>
      <c r="D13" s="435"/>
      <c r="E13" s="46">
        <v>0.02</v>
      </c>
    </row>
    <row r="15" spans="2:16" x14ac:dyDescent="0.25">
      <c r="B15" s="293" t="s">
        <v>80</v>
      </c>
      <c r="C15" s="294"/>
      <c r="D15" s="294"/>
      <c r="E15" s="316">
        <f>Statements!I7</f>
        <v>46022</v>
      </c>
      <c r="F15" s="295">
        <f t="shared" ref="F15:I15" si="0">EDATE(E15,12)</f>
        <v>46387</v>
      </c>
      <c r="G15" s="295">
        <f t="shared" si="0"/>
        <v>46752</v>
      </c>
      <c r="H15" s="295">
        <f t="shared" si="0"/>
        <v>47118</v>
      </c>
      <c r="I15" s="296">
        <f t="shared" si="0"/>
        <v>47483</v>
      </c>
    </row>
    <row r="16" spans="2:16" x14ac:dyDescent="0.25">
      <c r="E16" s="53"/>
    </row>
    <row r="17" spans="2:15" x14ac:dyDescent="0.25">
      <c r="B17" s="24" t="s">
        <v>75</v>
      </c>
      <c r="E17" s="317">
        <f>Statements!F27-Statements!F23</f>
        <v>1345.0219999999997</v>
      </c>
      <c r="F17" s="239">
        <f>Statements!G27-Statements!G23</f>
        <v>2106.5239999999999</v>
      </c>
      <c r="G17" s="239">
        <f>Statements!H27-Statements!H23</f>
        <v>2386.5169999999994</v>
      </c>
      <c r="H17" s="239">
        <f ca="1">Statements!I27-Statements!I23</f>
        <v>2487.5020816025312</v>
      </c>
      <c r="I17" s="239">
        <f ca="1">Statements!J27-Statements!J23</f>
        <v>3059.6657189213443</v>
      </c>
    </row>
    <row r="18" spans="2:15" x14ac:dyDescent="0.25">
      <c r="B18" s="24" t="s">
        <v>76</v>
      </c>
      <c r="E18" s="318">
        <v>0.21</v>
      </c>
      <c r="F18" s="241">
        <v>0.21</v>
      </c>
      <c r="G18" s="241">
        <v>0.21</v>
      </c>
      <c r="H18" s="241">
        <v>0.21</v>
      </c>
      <c r="I18" s="241">
        <v>0.21</v>
      </c>
    </row>
    <row r="19" spans="2:15" x14ac:dyDescent="0.25">
      <c r="B19" s="332" t="s">
        <v>77</v>
      </c>
      <c r="C19" s="326"/>
      <c r="D19" s="326"/>
      <c r="E19" s="334">
        <f>E17*(1-E18)</f>
        <v>1062.5673799999997</v>
      </c>
      <c r="F19" s="335">
        <f t="shared" ref="F19:I19" si="1">F17*(1-F18)</f>
        <v>1664.1539600000001</v>
      </c>
      <c r="G19" s="335">
        <f t="shared" si="1"/>
        <v>1885.3484299999996</v>
      </c>
      <c r="H19" s="335">
        <f t="shared" ca="1" si="1"/>
        <v>1965.1266444659998</v>
      </c>
      <c r="I19" s="335">
        <f t="shared" ca="1" si="1"/>
        <v>2417.1359179478623</v>
      </c>
    </row>
    <row r="20" spans="2:15" x14ac:dyDescent="0.25">
      <c r="B20" s="15"/>
      <c r="E20" s="319"/>
      <c r="F20" s="240"/>
      <c r="G20" s="240"/>
      <c r="H20" s="240"/>
      <c r="I20" s="240"/>
    </row>
    <row r="21" spans="2:15" x14ac:dyDescent="0.25">
      <c r="B21" s="1" t="s">
        <v>78</v>
      </c>
      <c r="E21" s="317">
        <f>Statements!I107</f>
        <v>485.27463167006761</v>
      </c>
      <c r="F21" s="239">
        <f>Statements!J107</f>
        <v>541.01269224550424</v>
      </c>
      <c r="G21" s="239">
        <f>Statements!K107</f>
        <v>533.81089730791007</v>
      </c>
      <c r="H21" s="239">
        <f>Statements!L107</f>
        <v>530.7331585311041</v>
      </c>
      <c r="I21" s="239">
        <f>Statements!M107</f>
        <v>549.61284025214513</v>
      </c>
    </row>
    <row r="22" spans="2:15" x14ac:dyDescent="0.25">
      <c r="B22" s="1" t="s">
        <v>319</v>
      </c>
      <c r="E22" s="317">
        <f ca="1">Schedule!J62</f>
        <v>33.443146037139059</v>
      </c>
      <c r="F22" s="239">
        <f ca="1">Schedule!K62</f>
        <v>199.86974510517166</v>
      </c>
      <c r="G22" s="239">
        <f ca="1">Schedule!L62</f>
        <v>76.664534478946962</v>
      </c>
      <c r="H22" s="239">
        <f ca="1">Schedule!M62</f>
        <v>55.06061127322846</v>
      </c>
      <c r="I22" s="239">
        <f ca="1">Schedule!N62</f>
        <v>40.063960517426494</v>
      </c>
    </row>
    <row r="23" spans="2:15" x14ac:dyDescent="0.25">
      <c r="B23" s="1" t="s">
        <v>79</v>
      </c>
      <c r="E23" s="317">
        <f>-Schedule!J17+Schedule!J33</f>
        <v>-148.76598223212099</v>
      </c>
      <c r="F23" s="239">
        <f>-Schedule!K17+Schedule!K33</f>
        <v>-181.71851385446726</v>
      </c>
      <c r="G23" s="239">
        <f>-Schedule!L17+Schedule!L33</f>
        <v>-215.55319323994186</v>
      </c>
      <c r="H23" s="239">
        <f>-Schedule!M17+Schedule!M33</f>
        <v>-250.45590453064929</v>
      </c>
      <c r="I23" s="239">
        <f>-Schedule!N17+Schedule!N33</f>
        <v>-286.93525886091419</v>
      </c>
    </row>
    <row r="24" spans="2:15" x14ac:dyDescent="0.25">
      <c r="B24" s="332" t="s">
        <v>43</v>
      </c>
      <c r="C24" s="326"/>
      <c r="D24" s="333"/>
      <c r="E24" s="320">
        <f ca="1">SUM(E19:E23)</f>
        <v>1432.5191754750854</v>
      </c>
      <c r="F24" s="242">
        <f ca="1">SUM(F19:F23)</f>
        <v>2223.3178834962087</v>
      </c>
      <c r="G24" s="242">
        <f ca="1">SUM(G19:G23)</f>
        <v>2280.2706685469147</v>
      </c>
      <c r="H24" s="242">
        <f ca="1">SUM(H19:H23)</f>
        <v>2300.4645097396833</v>
      </c>
      <c r="I24" s="242">
        <f ca="1">SUM(I19:I23)</f>
        <v>2719.8774598565201</v>
      </c>
    </row>
    <row r="25" spans="2:15" x14ac:dyDescent="0.25">
      <c r="B25" s="15"/>
      <c r="E25" s="53"/>
    </row>
    <row r="26" spans="2:15" x14ac:dyDescent="0.25">
      <c r="B26" s="326" t="s">
        <v>81</v>
      </c>
      <c r="C26" s="326"/>
      <c r="D26" s="326"/>
      <c r="E26" s="327">
        <f>(E11-E10)/(365/2)</f>
        <v>0</v>
      </c>
      <c r="F26" s="328">
        <f>E26+1</f>
        <v>1</v>
      </c>
      <c r="G26" s="328">
        <f>F26+1</f>
        <v>2</v>
      </c>
      <c r="H26" s="328">
        <f>G26+1</f>
        <v>3</v>
      </c>
      <c r="I26" s="328">
        <f>H26+1</f>
        <v>4</v>
      </c>
    </row>
    <row r="27" spans="2:15" x14ac:dyDescent="0.25">
      <c r="B27" s="1" t="s">
        <v>320</v>
      </c>
      <c r="E27" s="321"/>
      <c r="F27" s="329"/>
      <c r="G27" s="329"/>
      <c r="H27" s="329"/>
      <c r="I27" s="329">
        <f ca="1">I24*(1+E13)/(E12-E13)</f>
        <v>46300.137295019886</v>
      </c>
      <c r="J27" s="264"/>
      <c r="K27" s="264"/>
      <c r="L27" s="264"/>
    </row>
    <row r="28" spans="2:15" x14ac:dyDescent="0.25">
      <c r="B28" s="198" t="s">
        <v>323</v>
      </c>
      <c r="C28" s="198"/>
      <c r="D28" s="198"/>
      <c r="E28" s="330">
        <f ca="1">E24/(1+$E$12)^E26</f>
        <v>1432.5191754750854</v>
      </c>
      <c r="F28" s="331">
        <f ca="1">F24/(1+$E$12)^F26</f>
        <v>2058.7813751838275</v>
      </c>
      <c r="G28" s="331">
        <f ca="1">G24/(1+$E$12)^G26</f>
        <v>1955.2565066045568</v>
      </c>
      <c r="H28" s="331">
        <f ca="1">H24/(1+$E$12)^H26</f>
        <v>1826.5919777989909</v>
      </c>
      <c r="I28" s="331">
        <f ca="1">(I24+I27)/(1+$E$12)^I26</f>
        <v>36041.936354216596</v>
      </c>
      <c r="J28" s="264"/>
      <c r="K28" s="264"/>
      <c r="L28" s="264"/>
    </row>
    <row r="29" spans="2:15" x14ac:dyDescent="0.25">
      <c r="B29" s="1" t="s">
        <v>321</v>
      </c>
      <c r="E29" s="321">
        <f t="array" aca="1" ref="E29" ca="1">SUM(E28:I28)</f>
        <v>43315.085389279055</v>
      </c>
      <c r="F29" s="264"/>
      <c r="G29" s="264"/>
      <c r="H29" s="264"/>
      <c r="I29" s="264"/>
      <c r="J29" s="264"/>
      <c r="K29" s="264"/>
      <c r="L29" s="264"/>
    </row>
    <row r="30" spans="2:15" x14ac:dyDescent="0.25">
      <c r="B30" s="1" t="s">
        <v>87</v>
      </c>
      <c r="E30" s="321">
        <f>Statements!H58</f>
        <v>418.50599999999997</v>
      </c>
      <c r="F30" s="264"/>
      <c r="G30" s="264"/>
      <c r="H30" s="264"/>
      <c r="I30" s="264"/>
      <c r="J30" s="264"/>
      <c r="K30" s="264"/>
      <c r="L30" s="264"/>
    </row>
    <row r="31" spans="2:15" x14ac:dyDescent="0.25">
      <c r="B31" s="1" t="s">
        <v>86</v>
      </c>
      <c r="E31" s="321">
        <f>Statements!H73</f>
        <v>2944.1</v>
      </c>
    </row>
    <row r="32" spans="2:15" ht="14.4" customHeight="1" x14ac:dyDescent="0.25">
      <c r="B32" s="15" t="s">
        <v>322</v>
      </c>
      <c r="E32" s="322">
        <f ca="1">E29+E30-E31</f>
        <v>40789.491389279057</v>
      </c>
      <c r="N32" s="15"/>
      <c r="O32" s="15"/>
    </row>
    <row r="33" spans="2:15" x14ac:dyDescent="0.25">
      <c r="B33" s="1" t="s">
        <v>324</v>
      </c>
      <c r="E33" s="321">
        <f>Statements!H43</f>
        <v>30057.691583</v>
      </c>
    </row>
    <row r="34" spans="2:15" x14ac:dyDescent="0.25">
      <c r="B34" s="3" t="s">
        <v>325</v>
      </c>
      <c r="C34" s="324"/>
      <c r="D34" s="324"/>
      <c r="E34" s="325">
        <f ca="1">E32/E33</f>
        <v>1.3570400533469023</v>
      </c>
      <c r="F34" s="324"/>
      <c r="G34" s="324"/>
      <c r="H34" s="324"/>
      <c r="I34" s="324"/>
      <c r="N34" s="18"/>
      <c r="O34" s="18"/>
    </row>
    <row r="35" spans="2:15" ht="14.4" customHeight="1" x14ac:dyDescent="0.25">
      <c r="N35" s="18"/>
      <c r="O35" s="18"/>
    </row>
    <row r="36" spans="2:15" x14ac:dyDescent="0.25">
      <c r="B36" s="238" t="s">
        <v>89</v>
      </c>
      <c r="C36" s="51"/>
      <c r="D36" s="51"/>
      <c r="E36" s="51"/>
      <c r="F36" s="51"/>
      <c r="G36" s="51"/>
      <c r="H36" s="51"/>
      <c r="N36" s="18"/>
      <c r="O36" s="18"/>
    </row>
    <row r="37" spans="2:15" x14ac:dyDescent="0.25">
      <c r="N37" s="19"/>
      <c r="O37" s="18"/>
    </row>
    <row r="38" spans="2:15" x14ac:dyDescent="0.25">
      <c r="B38" s="243"/>
      <c r="C38" s="431" t="s">
        <v>90</v>
      </c>
      <c r="D38" s="431"/>
      <c r="E38" s="431"/>
      <c r="F38" s="431"/>
      <c r="G38" s="431"/>
      <c r="H38" s="432"/>
      <c r="N38" s="18"/>
      <c r="O38" s="18"/>
    </row>
    <row r="39" spans="2:15" x14ac:dyDescent="0.25">
      <c r="B39" s="244"/>
      <c r="C39" s="245">
        <f ca="1">E34</f>
        <v>1.3570400533469023</v>
      </c>
      <c r="D39" s="370">
        <v>0</v>
      </c>
      <c r="E39" s="370">
        <f>D39+1%</f>
        <v>0.01</v>
      </c>
      <c r="F39" s="371">
        <f t="shared" ref="F39:H39" si="2">E39+1%</f>
        <v>0.02</v>
      </c>
      <c r="G39" s="370">
        <f t="shared" si="2"/>
        <v>0.03</v>
      </c>
      <c r="H39" s="372">
        <f t="shared" si="2"/>
        <v>0.04</v>
      </c>
      <c r="N39" s="18"/>
      <c r="O39" s="18"/>
    </row>
    <row r="40" spans="2:15" x14ac:dyDescent="0.25">
      <c r="B40" s="244"/>
      <c r="C40" s="367">
        <f t="shared" ref="C40:C44" si="3">C41+1%</f>
        <v>0.10999999999999999</v>
      </c>
      <c r="D40" s="373">
        <f t="dataTable" ref="D40:H46" dt2D="1" dtr="1" r1="E13" r2="E12" ca="1"/>
        <v>0.74930128954157149</v>
      </c>
      <c r="E40" s="374">
        <v>0.80945079937063891</v>
      </c>
      <c r="F40" s="374">
        <v>0.88296686693949922</v>
      </c>
      <c r="G40" s="374">
        <v>0.97486195140057452</v>
      </c>
      <c r="H40" s="375">
        <v>1.0930127742791</v>
      </c>
      <c r="N40" s="18"/>
      <c r="O40" s="18"/>
    </row>
    <row r="41" spans="2:15" x14ac:dyDescent="0.25">
      <c r="B41" s="429" t="s">
        <v>44</v>
      </c>
      <c r="C41" s="367">
        <f t="shared" si="3"/>
        <v>9.9999999999999992E-2</v>
      </c>
      <c r="D41" s="376">
        <v>0.830930723788044</v>
      </c>
      <c r="E41" s="377">
        <v>0.90647005737577335</v>
      </c>
      <c r="F41" s="377">
        <v>1.0008942243604351</v>
      </c>
      <c r="G41" s="377">
        <v>1.1222967247692859</v>
      </c>
      <c r="H41" s="378">
        <v>1.2841667253144204</v>
      </c>
      <c r="K41" s="15"/>
    </row>
    <row r="42" spans="2:15" x14ac:dyDescent="0.25">
      <c r="B42" s="429"/>
      <c r="C42" s="367">
        <f t="shared" si="3"/>
        <v>0.09</v>
      </c>
      <c r="D42" s="376">
        <v>0.9308218006818243</v>
      </c>
      <c r="E42" s="377">
        <v>1.027868713342919</v>
      </c>
      <c r="F42" s="377">
        <v>1.1526433153357549</v>
      </c>
      <c r="G42" s="377">
        <v>1.319009451326203</v>
      </c>
      <c r="H42" s="378">
        <v>1.5519220417128303</v>
      </c>
    </row>
    <row r="43" spans="2:15" x14ac:dyDescent="0.25">
      <c r="B43" s="429"/>
      <c r="C43" s="368">
        <f t="shared" si="3"/>
        <v>0.08</v>
      </c>
      <c r="D43" s="376">
        <v>1.0558289368485541</v>
      </c>
      <c r="E43" s="377">
        <v>1.1841016912909821</v>
      </c>
      <c r="F43" s="377">
        <v>1.3551320305475536</v>
      </c>
      <c r="G43" s="377">
        <v>1.5945745055067533</v>
      </c>
      <c r="H43" s="378">
        <v>1.9537382179455529</v>
      </c>
    </row>
    <row r="44" spans="2:15" x14ac:dyDescent="0.25">
      <c r="B44" s="429"/>
      <c r="C44" s="367">
        <f t="shared" si="3"/>
        <v>7.0000000000000007E-2</v>
      </c>
      <c r="D44" s="376">
        <v>1.2167237623773854</v>
      </c>
      <c r="E44" s="377">
        <v>1.3925942997589909</v>
      </c>
      <c r="F44" s="377">
        <v>1.6388130520932382</v>
      </c>
      <c r="G44" s="377">
        <v>2.0081411805946092</v>
      </c>
      <c r="H44" s="378">
        <v>2.6236880614302271</v>
      </c>
    </row>
    <row r="45" spans="2:15" x14ac:dyDescent="0.25">
      <c r="B45" s="429"/>
      <c r="C45" s="367">
        <f>C46+1%</f>
        <v>6.0000000000000005E-2</v>
      </c>
      <c r="D45" s="376">
        <v>1.4314594966150618</v>
      </c>
      <c r="E45" s="377">
        <v>1.6847126510779766</v>
      </c>
      <c r="F45" s="377">
        <v>2.0645923827723491</v>
      </c>
      <c r="G45" s="377">
        <v>2.6977252689296365</v>
      </c>
      <c r="H45" s="378">
        <v>3.9639910412442121</v>
      </c>
    </row>
    <row r="46" spans="2:15" x14ac:dyDescent="0.25">
      <c r="B46" s="430"/>
      <c r="C46" s="369">
        <v>0.05</v>
      </c>
      <c r="D46" s="379">
        <v>1.7323525777853634</v>
      </c>
      <c r="E46" s="380">
        <v>2.1231897128884452</v>
      </c>
      <c r="F46" s="380">
        <v>2.7745849380602485</v>
      </c>
      <c r="G46" s="380">
        <v>4.0773753884038539</v>
      </c>
      <c r="H46" s="381">
        <v>7.9857467394346715</v>
      </c>
    </row>
  </sheetData>
  <mergeCells count="6">
    <mergeCell ref="B41:B46"/>
    <mergeCell ref="C38:H38"/>
    <mergeCell ref="B10:D10"/>
    <mergeCell ref="B11:D11"/>
    <mergeCell ref="B12:D12"/>
    <mergeCell ref="B13:D13"/>
  </mergeCells>
  <hyperlinks>
    <hyperlink ref="B7" location="Dashboard!A1" display="&lt;-Back to dashboard" xr:uid="{F062D85C-EB45-4F30-96FC-9A66AA255C6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1361-FA02-4A62-B221-08144689E8B7}">
  <dimension ref="A1:P60"/>
  <sheetViews>
    <sheetView showGridLines="0" zoomScale="85" zoomScaleNormal="85" workbookViewId="0">
      <selection activeCell="B2" sqref="B2:P4"/>
    </sheetView>
  </sheetViews>
  <sheetFormatPr defaultRowHeight="13.2" x14ac:dyDescent="0.25"/>
  <cols>
    <col min="1" max="1" width="1.88671875" style="1" customWidth="1"/>
    <col min="2" max="6" width="8.88671875" style="1"/>
    <col min="7" max="14" width="12.109375" style="1" customWidth="1"/>
    <col min="15" max="16384" width="8.88671875" style="1"/>
  </cols>
  <sheetData>
    <row r="1" spans="1:16" customFormat="1" ht="14.4" x14ac:dyDescent="0.3"/>
    <row r="2" spans="1:16" customFormat="1" ht="15.6" x14ac:dyDescent="0.3">
      <c r="B2" s="6" t="str">
        <f>Dashboard!B2</f>
        <v>Borouge PLC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customFormat="1" ht="14.4" x14ac:dyDescent="0.3">
      <c r="B3" s="67" t="s">
        <v>93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customFormat="1" ht="14.4" x14ac:dyDescent="0.3">
      <c r="B4" s="70" t="str">
        <f>Dashboard!B4</f>
        <v>(In Millions AED, except equity share and per equity share data)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customFormat="1" ht="14.4" x14ac:dyDescent="0.3">
      <c r="B5" s="8" t="s">
        <v>32</v>
      </c>
      <c r="C5" s="7"/>
      <c r="D5" s="8" t="str">
        <f>Dashboard!G12</f>
        <v>Street</v>
      </c>
      <c r="E5" s="7"/>
      <c r="F5" s="7"/>
      <c r="G5" s="419" t="str">
        <f>Statements!F6</f>
        <v>Actuals</v>
      </c>
      <c r="H5" s="420"/>
      <c r="I5" s="420"/>
      <c r="J5" s="419" t="str">
        <f>Statements!I6</f>
        <v>Projections</v>
      </c>
      <c r="K5" s="420"/>
      <c r="L5" s="420"/>
      <c r="M5" s="420"/>
      <c r="N5" s="421"/>
      <c r="O5" s="7"/>
      <c r="P5" s="7"/>
    </row>
    <row r="6" spans="1:16" customFormat="1" ht="14.4" x14ac:dyDescent="0.3">
      <c r="B6" s="8" t="s">
        <v>298</v>
      </c>
      <c r="C6" s="47"/>
      <c r="D6" s="47"/>
      <c r="E6" s="8"/>
      <c r="F6" s="10"/>
      <c r="G6" s="94">
        <f>Statements!F7</f>
        <v>44926</v>
      </c>
      <c r="H6" s="94">
        <f t="shared" ref="H6:N6" si="0">EDATE(G6,12)</f>
        <v>45291</v>
      </c>
      <c r="I6" s="96">
        <f t="shared" si="0"/>
        <v>45657</v>
      </c>
      <c r="J6" s="96">
        <f t="shared" si="0"/>
        <v>46022</v>
      </c>
      <c r="K6" s="96">
        <f t="shared" si="0"/>
        <v>46387</v>
      </c>
      <c r="L6" s="97">
        <f t="shared" si="0"/>
        <v>46752</v>
      </c>
      <c r="M6" s="96">
        <f t="shared" si="0"/>
        <v>47118</v>
      </c>
      <c r="N6" s="97">
        <f t="shared" si="0"/>
        <v>47483</v>
      </c>
      <c r="O6" s="10"/>
      <c r="P6" s="10"/>
    </row>
    <row r="8" spans="1:16" x14ac:dyDescent="0.25">
      <c r="B8" s="49" t="s">
        <v>41</v>
      </c>
    </row>
    <row r="10" spans="1:16" ht="13.8" x14ac:dyDescent="0.25">
      <c r="A10" s="1" t="s">
        <v>27</v>
      </c>
      <c r="B10" s="297" t="s">
        <v>93</v>
      </c>
      <c r="C10" s="298"/>
      <c r="D10" s="298"/>
      <c r="E10" s="298"/>
      <c r="F10" s="298"/>
      <c r="G10" s="299">
        <v>44926</v>
      </c>
      <c r="H10" s="299">
        <v>45291</v>
      </c>
      <c r="I10" s="299">
        <v>45657</v>
      </c>
      <c r="J10" s="300">
        <v>46022</v>
      </c>
      <c r="K10" s="300">
        <v>46387</v>
      </c>
      <c r="L10" s="300">
        <v>46752</v>
      </c>
      <c r="M10" s="300">
        <v>47118</v>
      </c>
      <c r="N10" s="301">
        <v>47483</v>
      </c>
    </row>
    <row r="11" spans="1:16" x14ac:dyDescent="0.25">
      <c r="B11" s="52"/>
      <c r="G11" s="2"/>
      <c r="H11" s="2"/>
      <c r="I11" s="2"/>
      <c r="J11" s="2"/>
      <c r="K11" s="2"/>
      <c r="L11" s="2"/>
      <c r="M11" s="2"/>
      <c r="N11" s="248"/>
    </row>
    <row r="12" spans="1:16" x14ac:dyDescent="0.25">
      <c r="B12" s="52"/>
      <c r="C12" s="1" t="s">
        <v>94</v>
      </c>
      <c r="G12" s="249">
        <f>Statements!F27-Statements!F23</f>
        <v>1345.0219999999997</v>
      </c>
      <c r="H12" s="249">
        <f>Statements!G27-Statements!G23</f>
        <v>2106.5239999999999</v>
      </c>
      <c r="I12" s="249">
        <f>Statements!H27-Statements!H23</f>
        <v>2386.5169999999994</v>
      </c>
      <c r="J12" s="249">
        <f ca="1">Statements!I27-Statements!I23</f>
        <v>2487.5020816025312</v>
      </c>
      <c r="K12" s="249">
        <f ca="1">Statements!J27-Statements!J23</f>
        <v>3059.6657189213443</v>
      </c>
      <c r="L12" s="249">
        <f ca="1">Statements!K27-Statements!K23</f>
        <v>3277.7501877559971</v>
      </c>
      <c r="M12" s="249">
        <f ca="1">Statements!L27-Statements!L23</f>
        <v>3440.457509818144</v>
      </c>
      <c r="N12" s="250">
        <f ca="1">Statements!M27-Statements!M23</f>
        <v>3562.1427157421854</v>
      </c>
    </row>
    <row r="13" spans="1:16" x14ac:dyDescent="0.25">
      <c r="B13" s="52"/>
      <c r="C13" s="1" t="s">
        <v>75</v>
      </c>
      <c r="G13" s="249">
        <f>Statements!F27-Statements!F23-Schedule!G20</f>
        <v>1047.9049999999997</v>
      </c>
      <c r="H13" s="249">
        <f>Statements!G27-Statements!G23-Schedule!H20</f>
        <v>1566.9119999999998</v>
      </c>
      <c r="I13" s="249">
        <f>Statements!H27-Statements!H23-Schedule!I20</f>
        <v>1862.4009999999994</v>
      </c>
      <c r="J13" s="249">
        <f ca="1">Statements!I27-Statements!I23-Schedule!J20</f>
        <v>2026.4431302269782</v>
      </c>
      <c r="K13" s="249">
        <f ca="1">Statements!J27-Statements!J23-Schedule!K20</f>
        <v>2541.2089712885895</v>
      </c>
      <c r="L13" s="249">
        <f ca="1">Statements!K27-Statements!K23-Schedule!L20</f>
        <v>2764.8339894544347</v>
      </c>
      <c r="M13" s="249">
        <f ca="1">Statements!L27-Statements!L23-Schedule!M20</f>
        <v>2928.9164145036252</v>
      </c>
      <c r="N13" s="250">
        <f ca="1">Statements!M27-Statements!M23-Schedule!N20</f>
        <v>3029.9339240525997</v>
      </c>
    </row>
    <row r="14" spans="1:16" x14ac:dyDescent="0.25">
      <c r="B14" s="52"/>
      <c r="C14" s="1" t="s">
        <v>77</v>
      </c>
      <c r="G14" s="249">
        <f>Statements!F27*(1-Assumptions!F20)</f>
        <v>1069.5531237770781</v>
      </c>
      <c r="H14" s="249">
        <f>Statements!G27*(1-Assumptions!G20)</f>
        <v>1682.8021508476911</v>
      </c>
      <c r="I14" s="249">
        <f>Statements!H27*(1-Assumptions!H20)</f>
        <v>1894.8453530402342</v>
      </c>
      <c r="J14" s="249">
        <f ca="1">Statements!I27*(1-Assumptions!I20)</f>
        <v>1976.1334958936961</v>
      </c>
      <c r="K14" s="249">
        <f ca="1">Statements!J27*(1-Assumptions!J20)</f>
        <v>2434.5134467186913</v>
      </c>
      <c r="L14" s="249">
        <f ca="1">Statements!K27*(1-Assumptions!K20)</f>
        <v>2603.5539428929883</v>
      </c>
      <c r="M14" s="249">
        <f ca="1">Statements!L27*(1-Assumptions!L20)</f>
        <v>2733.4461701427094</v>
      </c>
      <c r="N14" s="250">
        <f ca="1">Statements!M27*(1-Assumptions!M20)</f>
        <v>2830.2136984592207</v>
      </c>
    </row>
    <row r="15" spans="1:16" x14ac:dyDescent="0.25">
      <c r="B15" s="52"/>
      <c r="C15" s="1" t="s">
        <v>104</v>
      </c>
      <c r="G15" s="249">
        <f>Statements!F37</f>
        <v>1008.1749999999997</v>
      </c>
      <c r="H15" s="249">
        <f>Statements!G37</f>
        <v>1527.3729999999996</v>
      </c>
      <c r="I15" s="249">
        <f>Statements!H37</f>
        <v>1758.4969999999994</v>
      </c>
      <c r="J15" s="249">
        <f ca="1">Statements!I37</f>
        <v>1860.5234335695743</v>
      </c>
      <c r="K15" s="249">
        <f ca="1">Statements!J37</f>
        <v>2346.5505582181077</v>
      </c>
      <c r="L15" s="249">
        <f ca="1">Statements!K37</f>
        <v>2558.5605831241214</v>
      </c>
      <c r="M15" s="249">
        <f ca="1">Statements!L37</f>
        <v>2633.9607911600074</v>
      </c>
      <c r="N15" s="250">
        <f ca="1">Statements!M37</f>
        <v>2773.4699341420155</v>
      </c>
    </row>
    <row r="16" spans="1:16" x14ac:dyDescent="0.25">
      <c r="B16" s="52"/>
      <c r="G16" s="2"/>
      <c r="H16" s="2"/>
      <c r="I16" s="2"/>
      <c r="J16" s="2"/>
      <c r="K16" s="2"/>
      <c r="L16" s="2"/>
      <c r="M16" s="2"/>
      <c r="N16" s="248"/>
    </row>
    <row r="17" spans="2:14" x14ac:dyDescent="0.25">
      <c r="B17" s="52"/>
      <c r="C17" s="21" t="s">
        <v>95</v>
      </c>
      <c r="G17" s="2"/>
      <c r="H17" s="2"/>
      <c r="I17" s="2"/>
      <c r="J17" s="2"/>
      <c r="K17" s="2"/>
      <c r="L17" s="2"/>
      <c r="M17" s="2"/>
      <c r="N17" s="248"/>
    </row>
    <row r="18" spans="2:14" ht="6.45" customHeight="1" x14ac:dyDescent="0.25">
      <c r="B18" s="52"/>
      <c r="C18" s="21"/>
      <c r="G18" s="2"/>
      <c r="H18" s="2"/>
      <c r="I18" s="2"/>
      <c r="J18" s="2"/>
      <c r="K18" s="2"/>
      <c r="L18" s="2"/>
      <c r="M18" s="2"/>
      <c r="N18" s="248"/>
    </row>
    <row r="19" spans="2:14" x14ac:dyDescent="0.25">
      <c r="B19" s="52"/>
      <c r="C19" s="1" t="s">
        <v>103</v>
      </c>
      <c r="G19" s="185">
        <f>Statements!F21/Statements!F19</f>
        <v>0.47164592981350961</v>
      </c>
      <c r="H19" s="185">
        <f>Statements!G21/Statements!G19</f>
        <v>0.46460105554063863</v>
      </c>
      <c r="I19" s="185">
        <f>Statements!H21/Statements!H19</f>
        <v>0.50690684541287989</v>
      </c>
      <c r="J19" s="185">
        <f ca="1">Statements!I21/Statements!I19</f>
        <v>0.53321120290617441</v>
      </c>
      <c r="K19" s="185">
        <f ca="1">Statements!J21/Statements!J19</f>
        <v>0.50976260324808131</v>
      </c>
      <c r="L19" s="185">
        <f ca="1">Statements!K21/Statements!K19</f>
        <v>0.5270614702513241</v>
      </c>
      <c r="M19" s="185">
        <f ca="1">Statements!L21/Statements!L19</f>
        <v>0.53402448491259513</v>
      </c>
      <c r="N19" s="251">
        <f ca="1">Statements!M21/Statements!M19</f>
        <v>0.53426308985354509</v>
      </c>
    </row>
    <row r="20" spans="2:14" x14ac:dyDescent="0.25">
      <c r="B20" s="52"/>
      <c r="C20" s="1" t="s">
        <v>102</v>
      </c>
      <c r="G20" s="185">
        <f>Statements!F27/Statements!F19</f>
        <v>0.34317667758861248</v>
      </c>
      <c r="H20" s="185">
        <f>Statements!G27/Statements!G19</f>
        <v>0.3667324257145792</v>
      </c>
      <c r="I20" s="185">
        <f>Statements!H27/Statements!H19</f>
        <v>0.40498144495225197</v>
      </c>
      <c r="J20" s="185">
        <f ca="1">Statements!I27/Statements!I19</f>
        <v>0.42518460432517546</v>
      </c>
      <c r="K20" s="185">
        <f ca="1">Statements!J27/Statements!J19</f>
        <v>0.40742583837241902</v>
      </c>
      <c r="L20" s="185">
        <f ca="1">Statements!K27/Statements!K19</f>
        <v>0.42313569559302688</v>
      </c>
      <c r="M20" s="185">
        <f ca="1">Statements!L27/Statements!L19</f>
        <v>0.42926143887427559</v>
      </c>
      <c r="N20" s="251">
        <f ca="1">Statements!M27/Statements!M19</f>
        <v>0.43058789466278541</v>
      </c>
    </row>
    <row r="21" spans="2:14" x14ac:dyDescent="0.25">
      <c r="B21" s="52"/>
      <c r="C21" s="1" t="s">
        <v>96</v>
      </c>
      <c r="G21" s="185">
        <f>Statements!F34/Statements!F19</f>
        <v>0.3234829006960207</v>
      </c>
      <c r="H21" s="185">
        <f>Statements!G34/Statements!G19</f>
        <v>0.33285981063120906</v>
      </c>
      <c r="I21" s="185">
        <f>Statements!H34/Statements!H19</f>
        <v>0.37583998866269397</v>
      </c>
      <c r="J21" s="185">
        <f ca="1">Statements!I34/Statements!I19</f>
        <v>0.40030995961750088</v>
      </c>
      <c r="K21" s="185">
        <f ca="1">Statements!J34/Statements!J19</f>
        <v>0.39270488719372915</v>
      </c>
      <c r="L21" s="185">
        <f ca="1">Statements!K34/Statements!K19</f>
        <v>0.41582326919416684</v>
      </c>
      <c r="M21" s="185">
        <f ca="1">Statements!L34/Statements!L19</f>
        <v>0.41363821665920719</v>
      </c>
      <c r="N21" s="251">
        <f ca="1">Statements!M34/Statements!M19</f>
        <v>0.42195491474826941</v>
      </c>
    </row>
    <row r="22" spans="2:14" x14ac:dyDescent="0.25">
      <c r="B22" s="52"/>
      <c r="C22" s="1" t="s">
        <v>97</v>
      </c>
      <c r="G22" s="185">
        <f>Statements!F37/Statements!F19</f>
        <v>0.25222339611388206</v>
      </c>
      <c r="H22" s="185">
        <f>Statements!G37/Statements!G19</f>
        <v>0.26373372679403478</v>
      </c>
      <c r="I22" s="185">
        <f>Statements!H37/Statements!H19</f>
        <v>0.2918123310792029</v>
      </c>
      <c r="J22" s="185">
        <f ca="1">Statements!I37/Statements!I19</f>
        <v>0.31337137089524453</v>
      </c>
      <c r="K22" s="185">
        <f ca="1">Statements!J37/Statements!J19</f>
        <v>0.30782507650768831</v>
      </c>
      <c r="L22" s="185">
        <f ca="1">Statements!K37/Statements!K19</f>
        <v>0.32477285899011443</v>
      </c>
      <c r="M22" s="185">
        <f ca="1">Statements!L37/Statements!L19</f>
        <v>0.32370170715988783</v>
      </c>
      <c r="N22" s="251">
        <f ca="1">Statements!M37/Statements!M19</f>
        <v>0.33017499215976376</v>
      </c>
    </row>
    <row r="23" spans="2:14" x14ac:dyDescent="0.25">
      <c r="B23" s="52"/>
      <c r="C23" s="1" t="s">
        <v>98</v>
      </c>
      <c r="G23" s="185">
        <f>Statements!F37/Statements!F96</f>
        <v>0.20795628890510623</v>
      </c>
      <c r="H23" s="185">
        <f>Statements!G37/Statements!G96</f>
        <v>0.33698379828094177</v>
      </c>
      <c r="I23" s="185">
        <f>Statements!H37/Statements!H96</f>
        <v>0.39404099646718155</v>
      </c>
      <c r="J23" s="185">
        <f ca="1">Statements!I37/Statements!I96</f>
        <v>0.3631520525931422</v>
      </c>
      <c r="K23" s="185">
        <f ca="1">Statements!J37/Statements!J96</f>
        <v>0.41089808307938208</v>
      </c>
      <c r="L23" s="185">
        <f ca="1">Statements!K37/Statements!K96</f>
        <v>0.39710695594685658</v>
      </c>
      <c r="M23" s="185">
        <f ca="1">Statements!L37/Statements!L96</f>
        <v>0.36452032527500511</v>
      </c>
      <c r="N23" s="251">
        <f ca="1">Statements!M37/Statements!M96</f>
        <v>0.34682933072392358</v>
      </c>
    </row>
    <row r="24" spans="2:14" x14ac:dyDescent="0.25">
      <c r="B24" s="52"/>
      <c r="C24" s="1" t="s">
        <v>99</v>
      </c>
      <c r="G24" s="185">
        <f>G13/(Statements!F96+Statements!F73)</f>
        <v>0.11864848930815658</v>
      </c>
      <c r="H24" s="185">
        <f>H13/(Statements!G96+Statements!G73)</f>
        <v>0.20420562093528818</v>
      </c>
      <c r="I24" s="185">
        <f>I13/(Statements!H96+Statements!H73)</f>
        <v>0.25144387082942127</v>
      </c>
      <c r="J24" s="185">
        <f ca="1">J13/(Statements!I96+Statements!I73)</f>
        <v>0.26778722790928317</v>
      </c>
      <c r="K24" s="185">
        <f ca="1">K13/(Statements!J96+Statements!J73)</f>
        <v>0.32147324234505636</v>
      </c>
      <c r="L24" s="185">
        <f ca="1">L13/(Statements!K96+Statements!K73)</f>
        <v>0.35278783931546176</v>
      </c>
      <c r="M24" s="185">
        <f ca="1">M13/(Statements!L96+Statements!L73)</f>
        <v>0.30446347762521453</v>
      </c>
      <c r="N24" s="251">
        <f ca="1">N13/(Statements!M96+Statements!M73)</f>
        <v>0.31428431310535104</v>
      </c>
    </row>
    <row r="25" spans="2:14" x14ac:dyDescent="0.25">
      <c r="B25" s="52"/>
      <c r="C25" s="1" t="s">
        <v>100</v>
      </c>
      <c r="G25" s="185"/>
      <c r="H25" s="185"/>
      <c r="I25" s="185"/>
      <c r="J25" s="185">
        <f ca="1">J14/(Schedule!J17+Schedule!J33)</f>
        <v>11.873994597994809</v>
      </c>
      <c r="K25" s="185">
        <f ca="1">K14/(Schedule!K17+Schedule!K33)</f>
        <v>11.913767089634153</v>
      </c>
      <c r="L25" s="185">
        <f ca="1">L14/(Schedule!L17+Schedule!L33)</f>
        <v>10.689890058041163</v>
      </c>
      <c r="M25" s="185">
        <f ca="1">M14/(Schedule!M17+Schedule!M33)</f>
        <v>9.6130567699185754</v>
      </c>
      <c r="N25" s="251">
        <f ca="1">N14/(Schedule!N17+Schedule!N33)</f>
        <v>8.6454962416828067</v>
      </c>
    </row>
    <row r="26" spans="2:14" x14ac:dyDescent="0.25">
      <c r="B26" s="52"/>
      <c r="C26" s="1" t="s">
        <v>101</v>
      </c>
      <c r="G26" s="185"/>
      <c r="H26" s="185"/>
      <c r="I26" s="185"/>
      <c r="J26" s="185">
        <f ca="1">Statements!I37/AVERAGE(Statements!H66:I66)</f>
        <v>0.21225579842758849</v>
      </c>
      <c r="K26" s="185">
        <f ca="1">Statements!J37/AVERAGE(Statements!I66:J66)</f>
        <v>0.25664189781245789</v>
      </c>
      <c r="L26" s="185">
        <f ca="1">Statements!K37/AVERAGE(Statements!J66:K66)</f>
        <v>0.27111210391838331</v>
      </c>
      <c r="M26" s="185">
        <f ca="1">Statements!L37/AVERAGE(Statements!K66:L66)</f>
        <v>0.25516521596306413</v>
      </c>
      <c r="N26" s="251">
        <f ca="1">Statements!M37/AVERAGE(Statements!L66:M66)</f>
        <v>0.24604409944465852</v>
      </c>
    </row>
    <row r="27" spans="2:14" x14ac:dyDescent="0.25">
      <c r="B27" s="52"/>
      <c r="G27" s="2"/>
      <c r="H27" s="2"/>
      <c r="I27" s="2"/>
      <c r="J27" s="2"/>
      <c r="K27" s="2"/>
      <c r="L27" s="2"/>
      <c r="M27" s="2"/>
      <c r="N27" s="248"/>
    </row>
    <row r="28" spans="2:14" x14ac:dyDescent="0.25">
      <c r="B28" s="52"/>
      <c r="C28" s="21" t="s">
        <v>105</v>
      </c>
      <c r="G28" s="252"/>
      <c r="H28" s="252"/>
      <c r="I28" s="252"/>
      <c r="J28" s="2"/>
      <c r="K28" s="2"/>
      <c r="L28" s="2"/>
      <c r="M28" s="2"/>
      <c r="N28" s="248"/>
    </row>
    <row r="29" spans="2:14" ht="6" customHeight="1" x14ac:dyDescent="0.25">
      <c r="B29" s="52"/>
      <c r="G29" s="252"/>
      <c r="H29" s="252"/>
      <c r="I29" s="252"/>
      <c r="J29" s="2"/>
      <c r="K29" s="2"/>
      <c r="L29" s="2"/>
      <c r="M29" s="2"/>
      <c r="N29" s="248"/>
    </row>
    <row r="30" spans="2:14" x14ac:dyDescent="0.25">
      <c r="B30" s="52"/>
      <c r="C30" s="1" t="s">
        <v>106</v>
      </c>
      <c r="G30" s="252"/>
      <c r="H30" s="252"/>
      <c r="I30" s="252"/>
      <c r="J30" s="253">
        <f ca="1">Statements!I85/Statements!I96</f>
        <v>0.7156301490917566</v>
      </c>
      <c r="K30" s="253">
        <f ca="1">Statements!J85/Statements!J96</f>
        <v>0.64813414116061152</v>
      </c>
      <c r="L30" s="253">
        <f ca="1">Statements!K85/Statements!K96</f>
        <v>0.44979484430484046</v>
      </c>
      <c r="M30" s="253">
        <f ca="1">Statements!L85/Statements!L96</f>
        <v>0.54214654278784169</v>
      </c>
      <c r="N30" s="254">
        <f ca="1">Statements!M85/Statements!M96</f>
        <v>0.40054720726614462</v>
      </c>
    </row>
    <row r="31" spans="2:14" x14ac:dyDescent="0.25">
      <c r="B31" s="52"/>
      <c r="C31" s="1" t="s">
        <v>107</v>
      </c>
      <c r="G31" s="252"/>
      <c r="H31" s="252"/>
      <c r="I31" s="252"/>
      <c r="J31" s="253">
        <f ca="1">Statements!I85/Statements!I66</f>
        <v>0.41552280921499435</v>
      </c>
      <c r="K31" s="253">
        <f ca="1">Statements!J85/Statements!J66</f>
        <v>0.39113618652656307</v>
      </c>
      <c r="L31" s="253">
        <f ca="1">Statements!K85/Statements!K66</f>
        <v>0.30792506224262312</v>
      </c>
      <c r="M31" s="253">
        <f ca="1">Statements!L85/Statements!L66</f>
        <v>0.34872472849454628</v>
      </c>
      <c r="N31" s="254">
        <f ca="1">Statements!M85/Statements!M66</f>
        <v>0.28318283738863415</v>
      </c>
    </row>
    <row r="32" spans="2:14" x14ac:dyDescent="0.25">
      <c r="B32" s="52"/>
      <c r="C32" s="1" t="s">
        <v>109</v>
      </c>
      <c r="G32" s="252"/>
      <c r="H32" s="252"/>
      <c r="I32" s="252"/>
      <c r="J32" s="253">
        <f ca="1">Statements!I65/Statements!I84</f>
        <v>3.0163412797217402</v>
      </c>
      <c r="K32" s="253">
        <f ca="1">Statements!J65/Statements!J84</f>
        <v>3.1513096932817986</v>
      </c>
      <c r="L32" s="253">
        <f ca="1">Statements!K65/Statements!K84</f>
        <v>3.4054973599629328</v>
      </c>
      <c r="M32" s="253">
        <f ca="1">Statements!L65/Statements!L84</f>
        <v>5.1371664873770229</v>
      </c>
      <c r="N32" s="254">
        <f ca="1">Statements!M65/Statements!M84</f>
        <v>5.2540310188211334</v>
      </c>
    </row>
    <row r="33" spans="2:14" x14ac:dyDescent="0.25">
      <c r="B33" s="52"/>
      <c r="C33" s="1" t="s">
        <v>110</v>
      </c>
      <c r="G33" s="252"/>
      <c r="H33" s="252"/>
      <c r="I33" s="252"/>
      <c r="J33" s="253">
        <f ca="1">(Statements!I58+Statements!I61+Statements!I63+Statements!I64)/Statements!I84</f>
        <v>2.0439037767256725</v>
      </c>
      <c r="K33" s="253">
        <f ca="1">(Statements!J58+Statements!J61+Statements!J63+Statements!J64)/Statements!J84</f>
        <v>2.2126664294534084</v>
      </c>
      <c r="L33" s="253">
        <f ca="1">(Statements!K58+Statements!K61+Statements!K63+Statements!K64)/Statements!K84</f>
        <v>2.4330559198899984</v>
      </c>
      <c r="M33" s="253">
        <f ca="1">(Statements!L58+Statements!L61+Statements!L63+Statements!L64)/Statements!L84</f>
        <v>4.1497163633685101</v>
      </c>
      <c r="N33" s="254">
        <f ca="1">(Statements!M58+Statements!M61+Statements!M63+Statements!M64)/Statements!M84</f>
        <v>4.2649415364244554</v>
      </c>
    </row>
    <row r="34" spans="2:14" x14ac:dyDescent="0.25">
      <c r="B34" s="52"/>
      <c r="C34" s="1" t="s">
        <v>111</v>
      </c>
      <c r="G34" s="252"/>
      <c r="H34" s="252"/>
      <c r="I34" s="252"/>
      <c r="J34" s="253">
        <f ca="1">Statements!I58/Statements!I84</f>
        <v>1.0439908457948663</v>
      </c>
      <c r="K34" s="253">
        <f ca="1">Statements!J58/Statements!J84</f>
        <v>1.2455222353899971</v>
      </c>
      <c r="L34" s="253">
        <f ca="1">Statements!K58/Statements!K84</f>
        <v>1.4308525191180221</v>
      </c>
      <c r="M34" s="253">
        <f ca="1">Statements!L58/Statements!L84</f>
        <v>3.131817903502232</v>
      </c>
      <c r="N34" s="254">
        <f ca="1">Statements!M58/Statements!M84</f>
        <v>3.245136439544968</v>
      </c>
    </row>
    <row r="35" spans="2:14" x14ac:dyDescent="0.25">
      <c r="B35" s="52"/>
      <c r="G35" s="2"/>
      <c r="H35" s="2"/>
      <c r="I35" s="2"/>
      <c r="J35" s="253"/>
      <c r="K35" s="253"/>
      <c r="L35" s="253"/>
      <c r="M35" s="253"/>
      <c r="N35" s="254"/>
    </row>
    <row r="36" spans="2:14" x14ac:dyDescent="0.25">
      <c r="B36" s="52"/>
      <c r="C36" s="21" t="s">
        <v>108</v>
      </c>
      <c r="G36" s="2"/>
      <c r="H36" s="2"/>
      <c r="I36" s="2"/>
      <c r="J36" s="2"/>
      <c r="K36" s="2"/>
      <c r="L36" s="2"/>
      <c r="M36" s="2"/>
      <c r="N36" s="248"/>
    </row>
    <row r="37" spans="2:14" ht="6.45" customHeight="1" x14ac:dyDescent="0.25">
      <c r="B37" s="52"/>
      <c r="G37" s="2"/>
      <c r="H37" s="2"/>
      <c r="I37" s="2"/>
      <c r="J37" s="2"/>
      <c r="K37" s="2"/>
      <c r="L37" s="2"/>
      <c r="M37" s="2"/>
      <c r="N37" s="248"/>
    </row>
    <row r="38" spans="2:14" x14ac:dyDescent="0.25">
      <c r="B38" s="52"/>
      <c r="C38" s="1" t="s">
        <v>299</v>
      </c>
      <c r="G38" s="255">
        <f>Statements!F42</f>
        <v>0.02</v>
      </c>
      <c r="H38" s="255">
        <f>Statements!G42</f>
        <v>0.03</v>
      </c>
      <c r="I38" s="255">
        <f>Statements!H42</f>
        <v>0.04</v>
      </c>
      <c r="J38" s="255">
        <f ca="1">Statements!I42</f>
        <v>6.1415049876593068E-2</v>
      </c>
      <c r="K38" s="255">
        <f ca="1">Statements!J42</f>
        <v>7.7500021084143E-2</v>
      </c>
      <c r="L38" s="255">
        <f ca="1">Statements!K42</f>
        <v>8.4472924890367757E-2</v>
      </c>
      <c r="M38" s="255">
        <f ca="1">Statements!L42</f>
        <v>8.6966858410215273E-2</v>
      </c>
      <c r="N38" s="256">
        <f ca="1">Statements!M42</f>
        <v>9.1580470400055458E-2</v>
      </c>
    </row>
    <row r="39" spans="2:14" x14ac:dyDescent="0.25">
      <c r="B39" s="52"/>
      <c r="C39" s="1" t="s">
        <v>300</v>
      </c>
      <c r="G39" s="255">
        <f>Assumptions!F25/Statements!F43</f>
        <v>1.0810111585008475E-2</v>
      </c>
      <c r="H39" s="255">
        <f>Assumptions!G25/Statements!G43</f>
        <v>4.324031326261546E-2</v>
      </c>
      <c r="I39" s="255">
        <f>Assumptions!H25/Statements!H43</f>
        <v>4.324031326261546E-2</v>
      </c>
      <c r="J39" s="255">
        <f ca="1">Assumptions!I25/Statements!I43</f>
        <v>3.9439413934120822E-2</v>
      </c>
      <c r="K39" s="255">
        <f ca="1">Assumptions!J25/Statements!J43</f>
        <v>5.7953543725100483E-2</v>
      </c>
      <c r="L39" s="255">
        <f ca="1">Assumptions!K25/Statements!K43</f>
        <v>6.0112561225390014E-2</v>
      </c>
      <c r="M39" s="255">
        <f ca="1">Assumptions!L25/Statements!L43</f>
        <v>6.0922749962864217E-2</v>
      </c>
      <c r="N39" s="256">
        <f ca="1">Assumptions!M25/Statements!M43</f>
        <v>6.5935956888011224E-2</v>
      </c>
    </row>
    <row r="40" spans="2:14" x14ac:dyDescent="0.25">
      <c r="B40" s="52"/>
      <c r="G40" s="2"/>
      <c r="H40" s="2"/>
      <c r="I40" s="2"/>
      <c r="J40" s="2"/>
      <c r="K40" s="2"/>
      <c r="L40" s="2"/>
      <c r="M40" s="2"/>
      <c r="N40" s="248"/>
    </row>
    <row r="41" spans="2:14" x14ac:dyDescent="0.25">
      <c r="B41" s="52"/>
      <c r="C41" s="21" t="s">
        <v>112</v>
      </c>
      <c r="G41" s="252"/>
      <c r="H41" s="252"/>
      <c r="I41" s="252"/>
      <c r="J41" s="2"/>
      <c r="K41" s="2"/>
      <c r="L41" s="2"/>
      <c r="M41" s="2"/>
      <c r="N41" s="248"/>
    </row>
    <row r="42" spans="2:14" ht="5.4" customHeight="1" x14ac:dyDescent="0.25">
      <c r="B42" s="52"/>
      <c r="G42" s="252"/>
      <c r="H42" s="252"/>
      <c r="I42" s="252"/>
      <c r="J42" s="2"/>
      <c r="K42" s="2"/>
      <c r="L42" s="2"/>
      <c r="M42" s="2"/>
      <c r="N42" s="248"/>
    </row>
    <row r="43" spans="2:14" x14ac:dyDescent="0.25">
      <c r="B43" s="52"/>
      <c r="C43" s="1" t="s">
        <v>113</v>
      </c>
      <c r="G43" s="252"/>
      <c r="H43" s="252"/>
      <c r="I43" s="252"/>
      <c r="J43" s="253">
        <f ca="1">Statements!I19/AVERAGE(Statements!H48:I48)</f>
        <v>0.96959952081174017</v>
      </c>
      <c r="K43" s="253">
        <f ca="1">Statements!J19/AVERAGE(Statements!I48:J48)</f>
        <v>1.3208402832481658</v>
      </c>
      <c r="L43" s="253">
        <f ca="1">Statements!K19/AVERAGE(Statements!J48:K48)</f>
        <v>1.452317977741717</v>
      </c>
      <c r="M43" s="253">
        <f ca="1">Statements!L19/AVERAGE(Statements!K48:L48)</f>
        <v>1.5890465840010994</v>
      </c>
      <c r="N43" s="254">
        <f ca="1">Statements!M19/AVERAGE(Statements!L48:M48)</f>
        <v>1.7297899474531402</v>
      </c>
    </row>
    <row r="44" spans="2:14" x14ac:dyDescent="0.25">
      <c r="B44" s="52"/>
      <c r="C44" s="1" t="s">
        <v>114</v>
      </c>
      <c r="G44" s="252"/>
      <c r="H44" s="252"/>
      <c r="I44" s="252"/>
      <c r="J44" s="253">
        <f ca="1">Statements!I19/AVERAGE(Statements!H66:I66)</f>
        <v>0.67732989717986225</v>
      </c>
      <c r="K44" s="253">
        <f ca="1">Statements!J19/AVERAGE(Statements!I66:J66)</f>
        <v>0.83372641606749665</v>
      </c>
      <c r="L44" s="253">
        <f ca="1">Statements!K19/AVERAGE(Statements!J66:K66)</f>
        <v>0.83477450905660666</v>
      </c>
      <c r="M44" s="253">
        <f ca="1">Statements!L19/AVERAGE(Statements!K66:L66)</f>
        <v>0.78827269155250046</v>
      </c>
      <c r="N44" s="254">
        <f ca="1">Statements!M19/AVERAGE(Statements!L66:M66)</f>
        <v>0.74519301972332197</v>
      </c>
    </row>
    <row r="45" spans="2:14" x14ac:dyDescent="0.25">
      <c r="B45" s="52"/>
      <c r="C45" s="1" t="s">
        <v>115</v>
      </c>
      <c r="G45" s="252"/>
      <c r="H45" s="252"/>
      <c r="I45" s="252"/>
      <c r="J45" s="253">
        <f ca="1">Statements!I19/AVERAGE(Schedule!I62:J62)</f>
        <v>136.69268358649404</v>
      </c>
      <c r="K45" s="253">
        <f ca="1">Statements!J19/AVERAGE(Schedule!J62:K62)</f>
        <v>65.345724899103843</v>
      </c>
      <c r="L45" s="253">
        <f ca="1">Statements!K19/AVERAGE(Schedule!K62:L62)</f>
        <v>56.976661351697629</v>
      </c>
      <c r="M45" s="253">
        <f ca="1">Statements!L19/AVERAGE(Schedule!L62:M62)</f>
        <v>123.54512805487815</v>
      </c>
      <c r="N45" s="254">
        <f ca="1">Statements!M19/AVERAGE(Schedule!M62:N62)</f>
        <v>176.61051906727673</v>
      </c>
    </row>
    <row r="46" spans="2:14" x14ac:dyDescent="0.25">
      <c r="B46" s="52"/>
      <c r="G46" s="252"/>
      <c r="H46" s="252"/>
      <c r="I46" s="252"/>
      <c r="J46" s="2"/>
      <c r="K46" s="2"/>
      <c r="L46" s="2"/>
      <c r="M46" s="2"/>
      <c r="N46" s="248"/>
    </row>
    <row r="47" spans="2:14" x14ac:dyDescent="0.25">
      <c r="B47" s="52"/>
      <c r="C47" s="21" t="s">
        <v>116</v>
      </c>
      <c r="G47" s="252"/>
      <c r="H47" s="252"/>
      <c r="I47" s="252"/>
      <c r="J47" s="2"/>
      <c r="K47" s="2"/>
      <c r="L47" s="2"/>
      <c r="M47" s="2"/>
      <c r="N47" s="248"/>
    </row>
    <row r="48" spans="2:14" ht="4.95" customHeight="1" x14ac:dyDescent="0.25">
      <c r="B48" s="52"/>
      <c r="G48" s="252"/>
      <c r="H48" s="252"/>
      <c r="I48" s="252"/>
      <c r="J48" s="2"/>
      <c r="K48" s="2"/>
      <c r="L48" s="2"/>
      <c r="M48" s="2"/>
      <c r="N48" s="248"/>
    </row>
    <row r="49" spans="2:14" x14ac:dyDescent="0.25">
      <c r="B49" s="52"/>
      <c r="C49" s="1" t="s">
        <v>117</v>
      </c>
      <c r="G49" s="252"/>
      <c r="H49" s="252"/>
      <c r="I49" s="252"/>
      <c r="J49" s="257">
        <f ca="1">J22</f>
        <v>0.31337137089524453</v>
      </c>
      <c r="K49" s="257">
        <f t="shared" ref="K49:N49" ca="1" si="1">K22</f>
        <v>0.30782507650768831</v>
      </c>
      <c r="L49" s="257">
        <f t="shared" ca="1" si="1"/>
        <v>0.32477285899011443</v>
      </c>
      <c r="M49" s="257">
        <f t="shared" ca="1" si="1"/>
        <v>0.32370170715988783</v>
      </c>
      <c r="N49" s="258">
        <f t="shared" ca="1" si="1"/>
        <v>0.33017499215976376</v>
      </c>
    </row>
    <row r="50" spans="2:14" x14ac:dyDescent="0.25">
      <c r="B50" s="52"/>
      <c r="C50" s="1" t="s">
        <v>118</v>
      </c>
      <c r="G50" s="252"/>
      <c r="H50" s="252"/>
      <c r="I50" s="252"/>
      <c r="J50" s="185">
        <f ca="1">J44</f>
        <v>0.67732989717986225</v>
      </c>
      <c r="K50" s="185">
        <f t="shared" ref="K50:N50" ca="1" si="2">K44</f>
        <v>0.83372641606749665</v>
      </c>
      <c r="L50" s="185">
        <f t="shared" ca="1" si="2"/>
        <v>0.83477450905660666</v>
      </c>
      <c r="M50" s="185">
        <f t="shared" ca="1" si="2"/>
        <v>0.78827269155250046</v>
      </c>
      <c r="N50" s="251">
        <f t="shared" ca="1" si="2"/>
        <v>0.74519301972332197</v>
      </c>
    </row>
    <row r="51" spans="2:14" x14ac:dyDescent="0.25">
      <c r="B51" s="52"/>
      <c r="C51" s="1" t="s">
        <v>119</v>
      </c>
      <c r="G51" s="252"/>
      <c r="H51" s="252"/>
      <c r="I51" s="252"/>
      <c r="J51" s="185">
        <f ca="1">Statements!I66/Statements!I96</f>
        <v>1.7222403517239524</v>
      </c>
      <c r="K51" s="185">
        <f ca="1">Statements!J66/Statements!J96</f>
        <v>1.6570549171537599</v>
      </c>
      <c r="L51" s="185">
        <f ca="1">Statements!K66/Statements!K96</f>
        <v>1.4607282727458997</v>
      </c>
      <c r="M51" s="185">
        <f ca="1">Statements!L66/Statements!L96</f>
        <v>1.5546547132699833</v>
      </c>
      <c r="N51" s="251">
        <f ca="1">Statements!M66/Statements!M96</f>
        <v>1.4144473265392215</v>
      </c>
    </row>
    <row r="52" spans="2:14" x14ac:dyDescent="0.25">
      <c r="B52" s="52"/>
      <c r="C52" s="15" t="s">
        <v>120</v>
      </c>
      <c r="G52" s="252"/>
      <c r="H52" s="252"/>
      <c r="I52" s="252"/>
      <c r="J52" s="259">
        <f ca="1">J49*J50*J51</f>
        <v>0.36555550093937828</v>
      </c>
      <c r="K52" s="259">
        <f t="shared" ref="K52:N52" ca="1" si="3">K49*K50*K51</f>
        <v>0.42526971871780622</v>
      </c>
      <c r="L52" s="259">
        <f t="shared" ca="1" si="3"/>
        <v>0.3960211152772069</v>
      </c>
      <c r="M52" s="259">
        <f t="shared" ca="1" si="3"/>
        <v>0.39669380565953072</v>
      </c>
      <c r="N52" s="260">
        <f t="shared" ca="1" si="3"/>
        <v>0.34801641867024757</v>
      </c>
    </row>
    <row r="53" spans="2:14" x14ac:dyDescent="0.25">
      <c r="B53" s="52"/>
      <c r="G53" s="2"/>
      <c r="H53" s="2"/>
      <c r="I53" s="2"/>
      <c r="J53" s="2"/>
      <c r="K53" s="2"/>
      <c r="L53" s="2"/>
      <c r="M53" s="2"/>
      <c r="N53" s="248"/>
    </row>
    <row r="54" spans="2:14" x14ac:dyDescent="0.25">
      <c r="B54" s="52"/>
      <c r="C54" s="21" t="s">
        <v>302</v>
      </c>
      <c r="G54" s="2"/>
      <c r="H54" s="2"/>
      <c r="I54" s="2"/>
      <c r="J54" s="2"/>
      <c r="K54" s="2"/>
      <c r="L54" s="2"/>
      <c r="M54" s="2"/>
      <c r="N54" s="248"/>
    </row>
    <row r="55" spans="2:14" ht="4.8" customHeight="1" x14ac:dyDescent="0.25">
      <c r="B55" s="52"/>
      <c r="G55" s="2"/>
      <c r="H55" s="2"/>
      <c r="I55" s="2"/>
      <c r="J55" s="2"/>
      <c r="K55" s="2"/>
      <c r="L55" s="2"/>
      <c r="M55" s="2"/>
      <c r="N55" s="248"/>
    </row>
    <row r="56" spans="2:14" x14ac:dyDescent="0.25">
      <c r="B56" s="52"/>
      <c r="C56" s="1" t="s">
        <v>301</v>
      </c>
      <c r="G56" s="253">
        <f>Scenario!G21/Scenario!G18</f>
        <v>1.2716557367985348</v>
      </c>
      <c r="H56" s="253">
        <f>Scenario!H21/Scenario!H18</f>
        <v>0.88338719243975283</v>
      </c>
      <c r="I56" s="253">
        <f>Scenario!I21/Scenario!I18</f>
        <v>0.88531216505205756</v>
      </c>
      <c r="J56" s="253">
        <f ca="1">Scenario!J21/Scenario!J18</f>
        <v>0.87719298245614041</v>
      </c>
      <c r="K56" s="253">
        <f ca="1">Scenario!K21/Scenario!K18</f>
        <v>0.8658008658008659</v>
      </c>
      <c r="L56" s="253">
        <f ca="1">Scenario!L21/Scenario!L18</f>
        <v>0.85470085470085477</v>
      </c>
      <c r="M56" s="253">
        <f ca="1">Scenario!M21/Scenario!M18</f>
        <v>0.8438818565400843</v>
      </c>
      <c r="N56" s="254">
        <f ca="1">Scenario!N21/Scenario!N18</f>
        <v>0.83333333333333337</v>
      </c>
    </row>
    <row r="57" spans="2:14" x14ac:dyDescent="0.25">
      <c r="B57" s="52"/>
      <c r="C57" s="1" t="str">
        <f>_xlfn.CONCAT(Scenario!B15, " to ", "Revenue")</f>
        <v>Polyethylene to Revenue</v>
      </c>
      <c r="G57" s="253">
        <f>Scenario!G15/Scenario!G$18</f>
        <v>0.56171032818124711</v>
      </c>
      <c r="H57" s="253">
        <f>Scenario!H15/Scenario!H$18</f>
        <v>0.41601009782701603</v>
      </c>
      <c r="I57" s="253">
        <f>Scenario!I15/Scenario!I$18</f>
        <v>0.40346836597925401</v>
      </c>
      <c r="J57" s="253">
        <f ca="1">Scenario!J15/Scenario!J$18</f>
        <v>0.40346836597925401</v>
      </c>
      <c r="K57" s="253">
        <f ca="1">Scenario!K15/Scenario!K$18</f>
        <v>0.40346836597925406</v>
      </c>
      <c r="L57" s="253">
        <f ca="1">Scenario!L15/Scenario!L$18</f>
        <v>0.40346836597925401</v>
      </c>
      <c r="M57" s="253">
        <f ca="1">Scenario!M15/Scenario!M$18</f>
        <v>0.40346836597925401</v>
      </c>
      <c r="N57" s="254">
        <f ca="1">Scenario!N15/Scenario!N$18</f>
        <v>0.40346836597925401</v>
      </c>
    </row>
    <row r="58" spans="2:14" x14ac:dyDescent="0.25">
      <c r="B58" s="52"/>
      <c r="C58" s="1" t="str">
        <f>_xlfn.CONCAT(Scenario!B16, " to ", "Revenue")</f>
        <v>Polypropylene to Revenue</v>
      </c>
      <c r="G58" s="253">
        <f>Scenario!G16/Scenario!G$18</f>
        <v>0.40112795338479834</v>
      </c>
      <c r="H58" s="253">
        <f>Scenario!H16/Scenario!H$18</f>
        <v>0.56439324543780423</v>
      </c>
      <c r="I58" s="253">
        <f>Scenario!I16/Scenario!I$18</f>
        <v>0.58868961021870947</v>
      </c>
      <c r="J58" s="253">
        <f ca="1">Scenario!J16/Scenario!J$18</f>
        <v>0.58868961021870947</v>
      </c>
      <c r="K58" s="253">
        <f ca="1">Scenario!K16/Scenario!K$18</f>
        <v>0.58868961021870947</v>
      </c>
      <c r="L58" s="253">
        <f ca="1">Scenario!L16/Scenario!L$18</f>
        <v>0.58868961021870947</v>
      </c>
      <c r="M58" s="253">
        <f ca="1">Scenario!M16/Scenario!M$18</f>
        <v>0.58868961021870947</v>
      </c>
      <c r="N58" s="254">
        <f ca="1">Scenario!N16/Scenario!N$18</f>
        <v>0.58868961021870947</v>
      </c>
    </row>
    <row r="59" spans="2:14" x14ac:dyDescent="0.25">
      <c r="B59" s="52"/>
      <c r="C59" s="1" t="str">
        <f>_xlfn.CONCAT(Scenario!B17, " to ", "Revenue")</f>
        <v>Ethylene and others to Revenue</v>
      </c>
      <c r="G59" s="253">
        <f>Scenario!G17/Scenario!G$18</f>
        <v>3.7161718433954584E-2</v>
      </c>
      <c r="H59" s="253">
        <f>Scenario!H17/Scenario!H$18</f>
        <v>1.9596656735179827E-2</v>
      </c>
      <c r="I59" s="253">
        <f>Scenario!I17/Scenario!I$18</f>
        <v>7.8420238020365674E-3</v>
      </c>
      <c r="J59" s="253">
        <f ca="1">Scenario!J17/Scenario!J$18</f>
        <v>7.8420238020365674E-3</v>
      </c>
      <c r="K59" s="253">
        <f ca="1">Scenario!K17/Scenario!K$18</f>
        <v>7.8420238020365674E-3</v>
      </c>
      <c r="L59" s="253">
        <f ca="1">Scenario!L17/Scenario!L$18</f>
        <v>7.8420238020365674E-3</v>
      </c>
      <c r="M59" s="253">
        <f ca="1">Scenario!M17/Scenario!M$18</f>
        <v>7.8420238020365674E-3</v>
      </c>
      <c r="N59" s="254">
        <f ca="1">Scenario!N17/Scenario!N$18</f>
        <v>7.8420238020365674E-3</v>
      </c>
    </row>
    <row r="60" spans="2:14" x14ac:dyDescent="0.25">
      <c r="B60" s="246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247"/>
    </row>
  </sheetData>
  <mergeCells count="2">
    <mergeCell ref="G5:I5"/>
    <mergeCell ref="J5:N5"/>
  </mergeCells>
  <hyperlinks>
    <hyperlink ref="B8" location="Dashboard!A1" display="&lt;-Back to dashboard" xr:uid="{FE2960E9-D482-4CEC-A8E9-322A3F6BA0C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60E4-67C6-42C7-BB35-50381C6D8027}">
  <dimension ref="A2:L48"/>
  <sheetViews>
    <sheetView showGridLines="0" workbookViewId="0"/>
  </sheetViews>
  <sheetFormatPr defaultRowHeight="13.2" x14ac:dyDescent="0.25"/>
  <cols>
    <col min="1" max="1" width="2.88671875" style="1" customWidth="1"/>
    <col min="2" max="13" width="12.77734375" style="1" customWidth="1"/>
    <col min="14" max="16384" width="8.88671875" style="1"/>
  </cols>
  <sheetData>
    <row r="2" spans="1:12" ht="13.8" x14ac:dyDescent="0.25">
      <c r="B2" s="67" t="str">
        <f>Dashboard!B2</f>
        <v>Borouge PLC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B3" s="8" t="s">
        <v>404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B4" s="70" t="str">
        <f>Dashboard!B4</f>
        <v>(In Millions AED, except equity share and per equity share data)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6" spans="1:12" x14ac:dyDescent="0.25">
      <c r="A6" s="1" t="s">
        <v>27</v>
      </c>
      <c r="B6" s="336" t="s">
        <v>405</v>
      </c>
      <c r="C6" s="337"/>
      <c r="D6" s="338"/>
      <c r="E6" s="339">
        <v>44926</v>
      </c>
      <c r="F6" s="339">
        <v>45291</v>
      </c>
      <c r="G6" s="339">
        <v>45657</v>
      </c>
      <c r="H6" s="340">
        <v>46022</v>
      </c>
      <c r="I6" s="340">
        <v>46387</v>
      </c>
      <c r="J6" s="340">
        <v>46752</v>
      </c>
      <c r="K6" s="340">
        <v>47118</v>
      </c>
      <c r="L6" s="341">
        <v>47483</v>
      </c>
    </row>
    <row r="7" spans="1:12" x14ac:dyDescent="0.25">
      <c r="B7" s="53"/>
      <c r="L7" s="74"/>
    </row>
    <row r="8" spans="1:12" x14ac:dyDescent="0.25">
      <c r="B8" s="53" t="s">
        <v>124</v>
      </c>
      <c r="E8" s="342">
        <f>Statements!F19/Statements!F$19</f>
        <v>1</v>
      </c>
      <c r="F8" s="342">
        <f>Statements!G19/Statements!G$19</f>
        <v>1</v>
      </c>
      <c r="G8" s="342">
        <f>Statements!H19/Statements!H$19</f>
        <v>1</v>
      </c>
      <c r="H8" s="342">
        <f ca="1">Statements!I19/Statements!I$19</f>
        <v>1</v>
      </c>
      <c r="I8" s="342">
        <f ca="1">Statements!J19/Statements!J$19</f>
        <v>1</v>
      </c>
      <c r="J8" s="342">
        <f ca="1">Statements!K19/Statements!K$19</f>
        <v>1</v>
      </c>
      <c r="K8" s="342">
        <f ca="1">Statements!L19/Statements!L$19</f>
        <v>1</v>
      </c>
      <c r="L8" s="343">
        <f ca="1">Statements!M19/Statements!M$19</f>
        <v>1</v>
      </c>
    </row>
    <row r="9" spans="1:12" x14ac:dyDescent="0.25">
      <c r="B9" s="53" t="s">
        <v>125</v>
      </c>
      <c r="E9" s="342">
        <f>-Statements!F20/Statements!F$19</f>
        <v>0.52835407018649039</v>
      </c>
      <c r="F9" s="342">
        <f>-Statements!G20/Statements!G$19</f>
        <v>0.53539894445936131</v>
      </c>
      <c r="G9" s="342">
        <f>-Statements!H20/Statements!H$19</f>
        <v>0.49309315458712016</v>
      </c>
      <c r="H9" s="342">
        <f ca="1">-Statements!I20/Statements!I$19</f>
        <v>0.46678879709382559</v>
      </c>
      <c r="I9" s="342">
        <f ca="1">-Statements!J20/Statements!J$19</f>
        <v>0.49023739675191869</v>
      </c>
      <c r="J9" s="342">
        <f ca="1">-Statements!K20/Statements!K$19</f>
        <v>0.47293852974867595</v>
      </c>
      <c r="K9" s="342">
        <f ca="1">-Statements!L20/Statements!L$19</f>
        <v>0.46597551508740487</v>
      </c>
      <c r="L9" s="343">
        <f ca="1">-Statements!M20/Statements!M$19</f>
        <v>0.46573691014645496</v>
      </c>
    </row>
    <row r="10" spans="1:12" x14ac:dyDescent="0.25">
      <c r="B10" s="135" t="s">
        <v>126</v>
      </c>
      <c r="C10" s="15"/>
      <c r="D10" s="15"/>
      <c r="E10" s="344">
        <f>Statements!F21/Statements!F$19</f>
        <v>0.47164592981350961</v>
      </c>
      <c r="F10" s="344">
        <f>Statements!G21/Statements!G$19</f>
        <v>0.46460105554063863</v>
      </c>
      <c r="G10" s="344">
        <f>Statements!H21/Statements!H$19</f>
        <v>0.50690684541287989</v>
      </c>
      <c r="H10" s="344">
        <f ca="1">Statements!I21/Statements!I$19</f>
        <v>0.53321120290617441</v>
      </c>
      <c r="I10" s="344">
        <f ca="1">Statements!J21/Statements!J$19</f>
        <v>0.50976260324808131</v>
      </c>
      <c r="J10" s="344">
        <f ca="1">Statements!K21/Statements!K$19</f>
        <v>0.5270614702513241</v>
      </c>
      <c r="K10" s="344">
        <f ca="1">Statements!L21/Statements!L$19</f>
        <v>0.53402448491259513</v>
      </c>
      <c r="L10" s="345">
        <f ca="1">Statements!M21/Statements!M$19</f>
        <v>0.53426308985354509</v>
      </c>
    </row>
    <row r="11" spans="1:12" x14ac:dyDescent="0.25">
      <c r="B11" s="53"/>
      <c r="E11" s="342"/>
      <c r="F11" s="342"/>
      <c r="G11" s="342"/>
      <c r="H11" s="342"/>
      <c r="I11" s="342"/>
      <c r="J11" s="342"/>
      <c r="K11" s="342"/>
      <c r="L11" s="343"/>
    </row>
    <row r="12" spans="1:12" x14ac:dyDescent="0.25">
      <c r="B12" s="53" t="s">
        <v>127</v>
      </c>
      <c r="E12" s="342">
        <f>Statements!F23/Statements!F$19</f>
        <v>6.6815089047173853E-3</v>
      </c>
      <c r="F12" s="342">
        <f>Statements!G23/Statements!G$19</f>
        <v>2.9958498414444316E-3</v>
      </c>
      <c r="G12" s="342">
        <f>Statements!H23/Statements!H$19</f>
        <v>8.9528540987298139E-3</v>
      </c>
      <c r="H12" s="342">
        <f ca="1">Statements!I23/Statements!I$19</f>
        <v>6.2100709482972088E-3</v>
      </c>
      <c r="I12" s="342">
        <f ca="1">Statements!J23/Statements!J$19</f>
        <v>6.0529249628238184E-3</v>
      </c>
      <c r="J12" s="342">
        <f ca="1">Statements!K23/Statements!K$19</f>
        <v>7.0719500032836143E-3</v>
      </c>
      <c r="K12" s="342">
        <f ca="1">Statements!L23/Statements!L$19</f>
        <v>6.4449819714682138E-3</v>
      </c>
      <c r="L12" s="343">
        <f ca="1">Statements!M23/Statements!M$19</f>
        <v>6.5232856458585483E-3</v>
      </c>
    </row>
    <row r="13" spans="1:12" x14ac:dyDescent="0.25">
      <c r="B13" s="53" t="s">
        <v>128</v>
      </c>
      <c r="E13" s="342">
        <f>-Statements!F24/Statements!F$19</f>
        <v>2.8165811098955232E-2</v>
      </c>
      <c r="F13" s="342">
        <f>-Statements!G24/Statements!G$19</f>
        <v>3.1584200216011993E-2</v>
      </c>
      <c r="G13" s="342">
        <f>-Statements!H24/Statements!H$19</f>
        <v>3.2047304709844127E-2</v>
      </c>
      <c r="H13" s="342">
        <f ca="1">-Statements!I24/Statements!I$19</f>
        <v>3.0599105341603785E-2</v>
      </c>
      <c r="I13" s="342">
        <f ca="1">-Statements!J24/Statements!J$19</f>
        <v>3.1410203422486634E-2</v>
      </c>
      <c r="J13" s="342">
        <f ca="1">-Statements!K24/Statements!K$19</f>
        <v>3.1352204491311514E-2</v>
      </c>
      <c r="K13" s="342">
        <f ca="1">-Statements!L24/Statements!L$19</f>
        <v>3.112050441846731E-2</v>
      </c>
      <c r="L13" s="343">
        <f ca="1">-Statements!M24/Statements!M$19</f>
        <v>3.129430411075515E-2</v>
      </c>
    </row>
    <row r="14" spans="1:12" x14ac:dyDescent="0.25">
      <c r="B14" s="53" t="s">
        <v>129</v>
      </c>
      <c r="E14" s="342">
        <f>-Statements!F25/Statements!F$19</f>
        <v>0.10361179750277134</v>
      </c>
      <c r="F14" s="342">
        <f>-Statements!G25/Statements!G$19</f>
        <v>6.89813851531898E-2</v>
      </c>
      <c r="G14" s="342">
        <f>-Statements!H25/Statements!H$19</f>
        <v>7.8319509907116072E-2</v>
      </c>
      <c r="H14" s="342">
        <f ca="1">-Statements!I25/Statements!I$19</f>
        <v>8.3637564187692415E-2</v>
      </c>
      <c r="I14" s="342">
        <f ca="1">-Statements!J25/Statements!J$19</f>
        <v>7.6979486415999429E-2</v>
      </c>
      <c r="J14" s="342">
        <f ca="1">-Statements!K25/Statements!K$19</f>
        <v>7.964552017026931E-2</v>
      </c>
      <c r="K14" s="342">
        <f ca="1">-Statements!L25/Statements!L$19</f>
        <v>8.0087523591320389E-2</v>
      </c>
      <c r="L14" s="343">
        <f ca="1">-Statements!M25/Statements!M$19</f>
        <v>7.8904176725863043E-2</v>
      </c>
    </row>
    <row r="15" spans="1:12" x14ac:dyDescent="0.25">
      <c r="B15" s="53" t="s">
        <v>130</v>
      </c>
      <c r="E15" s="342">
        <f>-Statements!F26/Statements!F$19</f>
        <v>3.3731525278879885E-3</v>
      </c>
      <c r="F15" s="342">
        <f>-Statements!G26/Statements!G$19</f>
        <v>2.9889429830203522E-4</v>
      </c>
      <c r="G15" s="342">
        <f>-Statements!H26/Statements!H$19</f>
        <v>5.114399423974585E-4</v>
      </c>
      <c r="H15" s="342">
        <f ca="1">-Statements!I26/Statements!I$19</f>
        <v>0</v>
      </c>
      <c r="I15" s="342">
        <f ca="1">-Statements!J26/Statements!J$19</f>
        <v>0</v>
      </c>
      <c r="J15" s="342">
        <f ca="1">-Statements!K26/Statements!K$19</f>
        <v>0</v>
      </c>
      <c r="K15" s="342">
        <f ca="1">-Statements!L26/Statements!L$19</f>
        <v>0</v>
      </c>
      <c r="L15" s="343">
        <f ca="1">-Statements!M26/Statements!M$19</f>
        <v>0</v>
      </c>
    </row>
    <row r="16" spans="1:12" x14ac:dyDescent="0.25">
      <c r="B16" s="135" t="s">
        <v>131</v>
      </c>
      <c r="C16" s="15"/>
      <c r="D16" s="15"/>
      <c r="E16" s="344">
        <f>Statements!F27/Statements!F$19</f>
        <v>0.34317667758861248</v>
      </c>
      <c r="F16" s="344">
        <f>Statements!G27/Statements!G$19</f>
        <v>0.3667324257145792</v>
      </c>
      <c r="G16" s="344">
        <f>Statements!H27/Statements!H$19</f>
        <v>0.40498144495225197</v>
      </c>
      <c r="H16" s="344">
        <f ca="1">Statements!I27/Statements!I$19</f>
        <v>0.42518460432517546</v>
      </c>
      <c r="I16" s="344">
        <f ca="1">Statements!J27/Statements!J$19</f>
        <v>0.40742583837241902</v>
      </c>
      <c r="J16" s="344">
        <f ca="1">Statements!K27/Statements!K$19</f>
        <v>0.42313569559302688</v>
      </c>
      <c r="K16" s="344">
        <f ca="1">Statements!L27/Statements!L$19</f>
        <v>0.42926143887427559</v>
      </c>
      <c r="L16" s="345">
        <f ca="1">Statements!M27/Statements!M$19</f>
        <v>0.43058789466278541</v>
      </c>
    </row>
    <row r="17" spans="1:12" x14ac:dyDescent="0.25">
      <c r="B17" s="53"/>
      <c r="E17" s="342"/>
      <c r="F17" s="342"/>
      <c r="G17" s="342"/>
      <c r="H17" s="342"/>
      <c r="I17" s="342"/>
      <c r="J17" s="342"/>
      <c r="K17" s="342"/>
      <c r="L17" s="343"/>
    </row>
    <row r="18" spans="1:12" x14ac:dyDescent="0.25">
      <c r="B18" s="53" t="s">
        <v>132</v>
      </c>
      <c r="E18" s="342">
        <f>Statements!F29/Statements!F$19</f>
        <v>4.9395181718178771E-3</v>
      </c>
      <c r="F18" s="342">
        <f>Statements!G29/Statements!G$19</f>
        <v>4.6301852160422147E-3</v>
      </c>
      <c r="G18" s="342">
        <f>Statements!H29/Statements!H$19</f>
        <v>4.7383699270658764E-3</v>
      </c>
      <c r="H18" s="342">
        <f ca="1">Statements!I29/Statements!I$19</f>
        <v>4.7693577716419891E-3</v>
      </c>
      <c r="I18" s="342">
        <f ca="1">Statements!J29/Statements!J$19</f>
        <v>4.712637638250027E-3</v>
      </c>
      <c r="J18" s="342">
        <f ca="1">Statements!K29/Statements!K$19</f>
        <v>4.7401217789859651E-3</v>
      </c>
      <c r="K18" s="342">
        <f ca="1">Statements!L29/Statements!L$19</f>
        <v>4.7407057296259937E-3</v>
      </c>
      <c r="L18" s="343">
        <f ca="1">Statements!M29/Statements!M$19</f>
        <v>4.7311550489539953E-3</v>
      </c>
    </row>
    <row r="19" spans="1:12" x14ac:dyDescent="0.25">
      <c r="B19" s="53" t="s">
        <v>133</v>
      </c>
      <c r="E19" s="342">
        <f>-Statements!F30/Statements!F$19</f>
        <v>2.3977327851762417E-2</v>
      </c>
      <c r="F19" s="342">
        <f>-Statements!G30/Statements!G$19</f>
        <v>3.8144679690123792E-2</v>
      </c>
      <c r="G19" s="342">
        <f>-Statements!H30/Statements!H$19</f>
        <v>3.3524871629736074E-2</v>
      </c>
      <c r="H19" s="342">
        <f ca="1">-Statements!I30/Statements!I$19</f>
        <v>2.9644002479316572E-2</v>
      </c>
      <c r="I19" s="342">
        <f ca="1">-Statements!J30/Statements!J$19</f>
        <v>1.9433588816939944E-2</v>
      </c>
      <c r="J19" s="342">
        <f ca="1">-Statements!K30/Statements!K$19</f>
        <v>1.2052548177845962E-2</v>
      </c>
      <c r="K19" s="342">
        <f ca="1">-Statements!L30/Statements!L$19</f>
        <v>2.0363927944694448E-2</v>
      </c>
      <c r="L19" s="343">
        <f ca="1">-Statements!M30/Statements!M$19</f>
        <v>1.3364134963470005E-2</v>
      </c>
    </row>
    <row r="20" spans="1:12" x14ac:dyDescent="0.25">
      <c r="B20" s="53" t="s">
        <v>134</v>
      </c>
      <c r="E20" s="342">
        <f>-Statements!F31/Statements!F$19</f>
        <v>6.5596721264720792E-4</v>
      </c>
      <c r="F20" s="342">
        <f>-Statements!G31/Statements!G$19</f>
        <v>3.5812060928851582E-4</v>
      </c>
      <c r="G20" s="342">
        <f>-Statements!H31/Statements!H$19</f>
        <v>3.5495458688778836E-4</v>
      </c>
      <c r="H20" s="342">
        <f ca="1">-Statements!I31/Statements!I$19</f>
        <v>0</v>
      </c>
      <c r="I20" s="342">
        <f ca="1">-Statements!J31/Statements!J$19</f>
        <v>0</v>
      </c>
      <c r="J20" s="342">
        <f ca="1">-Statements!K31/Statements!K$19</f>
        <v>0</v>
      </c>
      <c r="K20" s="342">
        <f ca="1">-Statements!L31/Statements!L$19</f>
        <v>0</v>
      </c>
      <c r="L20" s="343">
        <f ca="1">-Statements!M31/Statements!M$19</f>
        <v>0</v>
      </c>
    </row>
    <row r="21" spans="1:12" x14ac:dyDescent="0.25">
      <c r="B21" s="135" t="s">
        <v>135</v>
      </c>
      <c r="C21" s="15"/>
      <c r="D21" s="15"/>
      <c r="E21" s="344">
        <f>-Statements!F32/Statements!F$19</f>
        <v>1.9693776892591747E-2</v>
      </c>
      <c r="F21" s="344">
        <f>-Statements!G32/Statements!G$19</f>
        <v>3.3872615083370097E-2</v>
      </c>
      <c r="G21" s="344">
        <f>-Statements!H32/Statements!H$19</f>
        <v>2.9141456289557985E-2</v>
      </c>
      <c r="H21" s="344">
        <f ca="1">-Statements!I32/Statements!I$19</f>
        <v>2.4874644707674583E-2</v>
      </c>
      <c r="I21" s="344">
        <f ca="1">-Statements!J32/Statements!J$19</f>
        <v>1.472095117868992E-2</v>
      </c>
      <c r="J21" s="344">
        <f ca="1">-Statements!K32/Statements!K$19</f>
        <v>7.3124263988599966E-3</v>
      </c>
      <c r="K21" s="344">
        <f ca="1">-Statements!L32/Statements!L$19</f>
        <v>1.5623222215068455E-2</v>
      </c>
      <c r="L21" s="345">
        <f ca="1">-Statements!M32/Statements!M$19</f>
        <v>8.6329799145160105E-3</v>
      </c>
    </row>
    <row r="22" spans="1:12" x14ac:dyDescent="0.25">
      <c r="B22" s="53"/>
      <c r="E22" s="342"/>
      <c r="F22" s="342"/>
      <c r="G22" s="342"/>
      <c r="H22" s="342"/>
      <c r="I22" s="342"/>
      <c r="J22" s="342"/>
      <c r="K22" s="342"/>
      <c r="L22" s="343"/>
    </row>
    <row r="23" spans="1:12" x14ac:dyDescent="0.25">
      <c r="B23" s="135" t="s">
        <v>136</v>
      </c>
      <c r="C23" s="15"/>
      <c r="D23" s="15"/>
      <c r="E23" s="344">
        <f>Statements!F34/Statements!F$19</f>
        <v>0.3234829006960207</v>
      </c>
      <c r="F23" s="344">
        <f>Statements!G34/Statements!G$19</f>
        <v>0.33285981063120906</v>
      </c>
      <c r="G23" s="344">
        <f>Statements!H34/Statements!H$19</f>
        <v>0.37583998866269397</v>
      </c>
      <c r="H23" s="344">
        <f ca="1">Statements!I34/Statements!I$19</f>
        <v>0.40030995961750088</v>
      </c>
      <c r="I23" s="344">
        <f ca="1">Statements!J34/Statements!J$19</f>
        <v>0.39270488719372915</v>
      </c>
      <c r="J23" s="344">
        <f ca="1">Statements!K34/Statements!K$19</f>
        <v>0.41582326919416684</v>
      </c>
      <c r="K23" s="344">
        <f ca="1">Statements!L34/Statements!L$19</f>
        <v>0.41363821665920719</v>
      </c>
      <c r="L23" s="345">
        <f ca="1">Statements!M34/Statements!M$19</f>
        <v>0.42195491474826941</v>
      </c>
    </row>
    <row r="24" spans="1:12" x14ac:dyDescent="0.25">
      <c r="B24" s="53"/>
      <c r="E24" s="342"/>
      <c r="F24" s="342"/>
      <c r="G24" s="342"/>
      <c r="H24" s="342"/>
      <c r="I24" s="342"/>
      <c r="J24" s="342"/>
      <c r="K24" s="342"/>
      <c r="L24" s="343"/>
    </row>
    <row r="25" spans="1:12" x14ac:dyDescent="0.25">
      <c r="B25" s="53" t="s">
        <v>137</v>
      </c>
      <c r="E25" s="342">
        <f>-Statements!F36/Statements!F$19</f>
        <v>7.125950458213863E-2</v>
      </c>
      <c r="F25" s="342">
        <f>-Statements!G36/Statements!G$19</f>
        <v>6.9126083837174265E-2</v>
      </c>
      <c r="G25" s="342">
        <f>-Statements!H36/Statements!H$19</f>
        <v>8.402765758349108E-2</v>
      </c>
      <c r="H25" s="342">
        <f ca="1">-Statements!I36/Statements!I$19</f>
        <v>8.6938588722256321E-2</v>
      </c>
      <c r="I25" s="342">
        <f ca="1">-Statements!J36/Statements!J$19</f>
        <v>8.4879810686040835E-2</v>
      </c>
      <c r="J25" s="342">
        <f ca="1">-Statements!K36/Statements!K$19</f>
        <v>9.1050410204052412E-2</v>
      </c>
      <c r="K25" s="342">
        <f ca="1">-Statements!L36/Statements!L$19</f>
        <v>8.9936509499319361E-2</v>
      </c>
      <c r="L25" s="343">
        <f ca="1">-Statements!M36/Statements!M$19</f>
        <v>9.1779922588505605E-2</v>
      </c>
    </row>
    <row r="26" spans="1:12" x14ac:dyDescent="0.25">
      <c r="B26" s="346" t="s">
        <v>138</v>
      </c>
      <c r="C26" s="236"/>
      <c r="D26" s="236"/>
      <c r="E26" s="347">
        <f>Statements!F37/Statements!F$19</f>
        <v>0.25222339611388206</v>
      </c>
      <c r="F26" s="347">
        <f>Statements!G37/Statements!G$19</f>
        <v>0.26373372679403478</v>
      </c>
      <c r="G26" s="347">
        <f>Statements!H37/Statements!H$19</f>
        <v>0.2918123310792029</v>
      </c>
      <c r="H26" s="347">
        <f ca="1">Statements!I37/Statements!I$19</f>
        <v>0.31337137089524453</v>
      </c>
      <c r="I26" s="347">
        <f ca="1">Statements!J37/Statements!J$19</f>
        <v>0.30782507650768831</v>
      </c>
      <c r="J26" s="347">
        <f ca="1">Statements!K37/Statements!K$19</f>
        <v>0.32477285899011443</v>
      </c>
      <c r="K26" s="347">
        <f ca="1">Statements!L37/Statements!L$19</f>
        <v>0.32370170715988783</v>
      </c>
      <c r="L26" s="348">
        <f ca="1">Statements!M37/Statements!M$19</f>
        <v>0.33017499215976376</v>
      </c>
    </row>
    <row r="28" spans="1:12" x14ac:dyDescent="0.25">
      <c r="A28" s="1" t="s">
        <v>27</v>
      </c>
      <c r="B28" s="336" t="s">
        <v>406</v>
      </c>
      <c r="C28" s="337"/>
      <c r="D28" s="338"/>
      <c r="E28" s="339">
        <v>44926</v>
      </c>
      <c r="F28" s="339">
        <v>45291</v>
      </c>
      <c r="G28" s="339">
        <v>45657</v>
      </c>
      <c r="H28" s="340">
        <v>46022</v>
      </c>
      <c r="I28" s="340">
        <v>46387</v>
      </c>
      <c r="J28" s="340">
        <v>46752</v>
      </c>
      <c r="K28" s="340">
        <v>47118</v>
      </c>
      <c r="L28" s="341">
        <v>47483</v>
      </c>
    </row>
    <row r="29" spans="1:12" x14ac:dyDescent="0.25">
      <c r="B29" s="53"/>
      <c r="L29" s="74"/>
    </row>
    <row r="30" spans="1:12" x14ac:dyDescent="0.25">
      <c r="B30" s="53" t="s">
        <v>124</v>
      </c>
      <c r="E30" s="349">
        <v>0</v>
      </c>
      <c r="F30" s="342">
        <f>Statements!G19/Statements!F19-1</f>
        <v>0.44886820637999425</v>
      </c>
      <c r="G30" s="342">
        <f>Statements!H19/Statements!G19-1</f>
        <v>4.0539460177212661E-2</v>
      </c>
      <c r="H30" s="342">
        <f ca="1">Statements!I19/Statements!H19-1</f>
        <v>-1.4769529264503811E-2</v>
      </c>
      <c r="I30" s="342">
        <f ca="1">Statements!J19/Statements!I19-1</f>
        <v>0.28395585738539886</v>
      </c>
      <c r="J30" s="342">
        <f ca="1">Statements!K19/Statements!J19-1</f>
        <v>3.3451397087760792E-2</v>
      </c>
      <c r="K30" s="342">
        <f ca="1">Statements!L19/Statements!K19-1</f>
        <v>3.2876364559532911E-2</v>
      </c>
      <c r="L30" s="343">
        <f ca="1">Statements!M19/Statements!L19-1</f>
        <v>3.23214944082586E-2</v>
      </c>
    </row>
    <row r="31" spans="1:12" x14ac:dyDescent="0.25">
      <c r="B31" s="53" t="s">
        <v>125</v>
      </c>
      <c r="E31" s="349">
        <v>0</v>
      </c>
      <c r="F31" s="342">
        <f>Statements!G20/Statements!F20-1</f>
        <v>0.46818686961713829</v>
      </c>
      <c r="G31" s="342">
        <f>Statements!H20/Statements!G20-1</f>
        <v>-4.1681179612214181E-2</v>
      </c>
      <c r="H31" s="342">
        <f ca="1">Statements!I20/Statements!H20-1</f>
        <v>-6.73272544619129E-2</v>
      </c>
      <c r="I31" s="342">
        <f ca="1">Statements!J20/Statements!I20-1</f>
        <v>0.3484539067514858</v>
      </c>
      <c r="J31" s="342">
        <f ca="1">Statements!K20/Statements!J20-1</f>
        <v>-3.0157071988251571E-3</v>
      </c>
      <c r="K31" s="342">
        <f ca="1">Statements!L20/Statements!K20-1</f>
        <v>1.7669455379326848E-2</v>
      </c>
      <c r="L31" s="343">
        <f ca="1">Statements!M20/Statements!L20-1</f>
        <v>3.1792889360912957E-2</v>
      </c>
    </row>
    <row r="32" spans="1:12" x14ac:dyDescent="0.25">
      <c r="B32" s="135" t="s">
        <v>126</v>
      </c>
      <c r="E32" s="350">
        <v>0</v>
      </c>
      <c r="F32" s="344">
        <f>Statements!G21/Statements!F21-1</f>
        <v>0.42722677218815663</v>
      </c>
      <c r="G32" s="344">
        <f>Statements!H21/Statements!G21-1</f>
        <v>0.13528923147251692</v>
      </c>
      <c r="H32" s="344">
        <f ca="1">Statements!I21/Statements!H21-1</f>
        <v>3.6355948227134061E-2</v>
      </c>
      <c r="I32" s="344">
        <f ca="1">Statements!J21/Statements!I21-1</f>
        <v>0.2274923646560616</v>
      </c>
      <c r="J32" s="344">
        <f ca="1">Statements!K21/Statements!J21-1</f>
        <v>6.8521718367951401E-2</v>
      </c>
      <c r="K32" s="344">
        <f ca="1">Statements!L21/Statements!K21-1</f>
        <v>4.6521705142442471E-2</v>
      </c>
      <c r="L32" s="345">
        <f ca="1">Statements!M21/Statements!L21-1</f>
        <v>3.2782741066742727E-2</v>
      </c>
    </row>
    <row r="33" spans="2:12" x14ac:dyDescent="0.25">
      <c r="B33" s="53"/>
      <c r="E33" s="349"/>
      <c r="F33" s="342"/>
      <c r="G33" s="342"/>
      <c r="H33" s="342"/>
      <c r="I33" s="342"/>
      <c r="J33" s="342"/>
      <c r="K33" s="342"/>
      <c r="L33" s="343"/>
    </row>
    <row r="34" spans="2:12" x14ac:dyDescent="0.25">
      <c r="B34" s="53" t="s">
        <v>127</v>
      </c>
      <c r="E34" s="349">
        <v>0</v>
      </c>
      <c r="F34" s="342">
        <f>Statements!G23/Statements!F23-1</f>
        <v>-0.35035758415396712</v>
      </c>
      <c r="G34" s="342">
        <f>Statements!H23/Statements!G23-1</f>
        <v>2.1095677233429391</v>
      </c>
      <c r="H34" s="342">
        <f ca="1">Statements!I23/Statements!H23-1</f>
        <v>-0.31660328022549489</v>
      </c>
      <c r="I34" s="342">
        <f ca="1">Statements!J23/Statements!I23-1</f>
        <v>0.25146532544252542</v>
      </c>
      <c r="J34" s="342">
        <f ca="1">Statements!K23/Statements!J23-1</f>
        <v>0.20743552182062186</v>
      </c>
      <c r="K34" s="342">
        <f ca="1">Statements!L23/Statements!K23-1</f>
        <v>-5.8693918190748651E-2</v>
      </c>
      <c r="L34" s="343">
        <f ca="1">Statements!M23/Statements!L23-1</f>
        <v>4.4863743016887669E-2</v>
      </c>
    </row>
    <row r="35" spans="2:12" x14ac:dyDescent="0.25">
      <c r="B35" s="53" t="s">
        <v>128</v>
      </c>
      <c r="E35" s="349">
        <v>0</v>
      </c>
      <c r="F35" s="342">
        <f>Statements!G24/Statements!F24-1</f>
        <v>0.62471243438174495</v>
      </c>
      <c r="G35" s="342">
        <f>Statements!H24/Statements!G24-1</f>
        <v>5.579640816772824E-2</v>
      </c>
      <c r="H35" s="342">
        <f ca="1">Statements!I24/Statements!H24-1</f>
        <v>-5.9291530668634351E-2</v>
      </c>
      <c r="I35" s="342">
        <f ca="1">Statements!J24/Statements!I24-1</f>
        <v>0.31798999401251238</v>
      </c>
      <c r="J35" s="342">
        <f ca="1">Statements!K24/Statements!J24-1</f>
        <v>3.1543129393779124E-2</v>
      </c>
      <c r="K35" s="342">
        <f ca="1">Statements!L24/Statements!K24-1</f>
        <v>2.5243168336478883E-2</v>
      </c>
      <c r="L35" s="343">
        <f ca="1">Statements!M24/Statements!L24-1</f>
        <v>3.8086733803408324E-2</v>
      </c>
    </row>
    <row r="36" spans="2:12" x14ac:dyDescent="0.25">
      <c r="B36" s="53" t="s">
        <v>129</v>
      </c>
      <c r="E36" s="349">
        <v>0</v>
      </c>
      <c r="F36" s="342">
        <f>Statements!G25/Statements!F25-1</f>
        <v>-3.5390388070080547E-2</v>
      </c>
      <c r="G36" s="342">
        <f>Statements!H25/Statements!G25-1</f>
        <v>0.1813990162580259</v>
      </c>
      <c r="H36" s="342">
        <f ca="1">Statements!I25/Statements!H25-1</f>
        <v>5.2129626877599256E-2</v>
      </c>
      <c r="I36" s="342">
        <f ca="1">Statements!J25/Statements!I25-1</f>
        <v>0.18174487076808754</v>
      </c>
      <c r="J36" s="342">
        <f ca="1">Statements!K25/Statements!J25-1</f>
        <v>6.9242962299615574E-2</v>
      </c>
      <c r="K36" s="342">
        <f ca="1">Statements!L25/Statements!K25-1</f>
        <v>3.8608449498926056E-2</v>
      </c>
      <c r="L36" s="343">
        <f ca="1">Statements!M25/Statements!L25-1</f>
        <v>1.7068252083199953E-2</v>
      </c>
    </row>
    <row r="37" spans="2:12" x14ac:dyDescent="0.25">
      <c r="B37" s="53" t="s">
        <v>130</v>
      </c>
      <c r="E37" s="349">
        <v>0</v>
      </c>
      <c r="F37" s="342">
        <f>Statements!G26/Statements!F26-1</f>
        <v>-0.87161610917451604</v>
      </c>
      <c r="G37" s="342">
        <f>Statements!H26/Statements!G26-1</f>
        <v>0.78047371461582893</v>
      </c>
      <c r="H37" s="349">
        <v>0</v>
      </c>
      <c r="I37" s="349">
        <v>0</v>
      </c>
      <c r="J37" s="349">
        <v>0</v>
      </c>
      <c r="K37" s="349">
        <v>0</v>
      </c>
      <c r="L37" s="351">
        <v>0</v>
      </c>
    </row>
    <row r="38" spans="2:12" x14ac:dyDescent="0.25">
      <c r="B38" s="135" t="s">
        <v>131</v>
      </c>
      <c r="E38" s="350">
        <v>0</v>
      </c>
      <c r="F38" s="344">
        <f>Statements!G27/Statements!F27-1</f>
        <v>0.54831894638080847</v>
      </c>
      <c r="G38" s="344">
        <f>Statements!H27/Statements!G27-1</f>
        <v>0.14906439835884777</v>
      </c>
      <c r="H38" s="344">
        <f ca="1">Statements!I27/Statements!H27-1</f>
        <v>3.4380298381739172E-2</v>
      </c>
      <c r="I38" s="344">
        <f ca="1">Statements!J27/Statements!I27-1</f>
        <v>0.23032862974584933</v>
      </c>
      <c r="J38" s="344">
        <f ca="1">Statements!K27/Statements!J27-1</f>
        <v>7.3300057539791297E-2</v>
      </c>
      <c r="K38" s="344">
        <f ca="1">Statements!L27/Statements!K27-1</f>
        <v>4.7829334768519249E-2</v>
      </c>
      <c r="L38" s="345">
        <f ca="1">Statements!M27/Statements!L27-1</f>
        <v>3.5511459072804064E-2</v>
      </c>
    </row>
    <row r="39" spans="2:12" x14ac:dyDescent="0.25">
      <c r="B39" s="53"/>
      <c r="E39" s="349"/>
      <c r="F39" s="342"/>
      <c r="G39" s="342"/>
      <c r="H39" s="342"/>
      <c r="I39" s="342"/>
      <c r="J39" s="342"/>
      <c r="K39" s="342"/>
      <c r="L39" s="343"/>
    </row>
    <row r="40" spans="2:12" x14ac:dyDescent="0.25">
      <c r="B40" s="53" t="s">
        <v>132</v>
      </c>
      <c r="E40" s="349">
        <v>0</v>
      </c>
      <c r="F40" s="342">
        <f>Statements!G29/Statements!F29-1</f>
        <v>0.35813411669367912</v>
      </c>
      <c r="G40" s="342">
        <f>Statements!H29/Statements!G29-1</f>
        <v>6.4851762073466324E-2</v>
      </c>
      <c r="H40" s="342">
        <f ca="1">Statements!I29/Statements!H29-1</f>
        <v>-8.3263496122754077E-3</v>
      </c>
      <c r="I40" s="342">
        <f ca="1">Statements!J29/Statements!I29-1</f>
        <v>0.26868626533816209</v>
      </c>
      <c r="J40" s="342">
        <f ca="1">Statements!K29/Statements!J29-1</f>
        <v>3.9478493975239504E-2</v>
      </c>
      <c r="K40" s="342">
        <f ca="1">Statements!L29/Statements!K29-1</f>
        <v>3.3003607875691898E-2</v>
      </c>
      <c r="L40" s="343">
        <f ca="1">Statements!M29/Statements!L29-1</f>
        <v>3.0241767568788269E-2</v>
      </c>
    </row>
    <row r="41" spans="2:12" x14ac:dyDescent="0.25">
      <c r="B41" s="53" t="s">
        <v>133</v>
      </c>
      <c r="E41" s="349">
        <v>0</v>
      </c>
      <c r="F41" s="342">
        <f>Statements!G30/Statements!F30-1</f>
        <v>1.3049529950647427</v>
      </c>
      <c r="G41" s="342">
        <f>Statements!H30/Statements!G30-1</f>
        <v>-8.5483162750272679E-2</v>
      </c>
      <c r="H41" s="342">
        <f>Statements!I30/Statements!H30-1</f>
        <v>-0.12882069050860046</v>
      </c>
      <c r="I41" s="342">
        <f>Statements!J30/Statements!I30-1</f>
        <v>-0.15828268436628867</v>
      </c>
      <c r="J41" s="342">
        <f>Statements!K30/Statements!J30-1</f>
        <v>-0.3590621438895012</v>
      </c>
      <c r="K41" s="342">
        <f>Statements!L30/Statements!K30-1</f>
        <v>0.74514298165845538</v>
      </c>
      <c r="L41" s="343">
        <f>Statements!M30/Statements!L30-1</f>
        <v>-0.32252344368771935</v>
      </c>
    </row>
    <row r="42" spans="2:12" x14ac:dyDescent="0.25">
      <c r="B42" s="53" t="s">
        <v>134</v>
      </c>
      <c r="E42" s="349">
        <v>0</v>
      </c>
      <c r="F42" s="342">
        <f>Statements!G31/Statements!F31-1</f>
        <v>-0.20900076277650648</v>
      </c>
      <c r="G42" s="342">
        <f>Statements!H31/Statements!G31-1</f>
        <v>3.1340405014464778E-2</v>
      </c>
      <c r="H42" s="349">
        <v>0</v>
      </c>
      <c r="I42" s="349">
        <v>0</v>
      </c>
      <c r="J42" s="349">
        <v>0</v>
      </c>
      <c r="K42" s="349">
        <v>0</v>
      </c>
      <c r="L42" s="351">
        <v>0</v>
      </c>
    </row>
    <row r="43" spans="2:12" x14ac:dyDescent="0.25">
      <c r="B43" s="135" t="s">
        <v>135</v>
      </c>
      <c r="E43" s="350">
        <v>0</v>
      </c>
      <c r="F43" s="344">
        <f>Statements!G32/Statements!F32-1</f>
        <v>1.4920032012601787</v>
      </c>
      <c r="G43" s="344">
        <f>Statements!H32/Statements!G32-1</f>
        <v>-0.1047979283063496</v>
      </c>
      <c r="H43" s="344">
        <f ca="1">Statements!I32/Statements!H32-1</f>
        <v>-0.15902425495798123</v>
      </c>
      <c r="I43" s="344">
        <f ca="1">Statements!J32/Statements!I32-1</f>
        <v>-0.2401478809330746</v>
      </c>
      <c r="J43" s="344">
        <f ca="1">Statements!K32/Statements!J32-1</f>
        <v>-0.48664748722603812</v>
      </c>
      <c r="K43" s="344">
        <f ca="1">Statements!L32/Statements!K32-1</f>
        <v>1.2067718817274344</v>
      </c>
      <c r="L43" s="345">
        <f ca="1">Statements!M32/Statements!L32-1</f>
        <v>-0.42956641057347977</v>
      </c>
    </row>
    <row r="44" spans="2:12" x14ac:dyDescent="0.25">
      <c r="B44" s="53"/>
      <c r="E44" s="349"/>
      <c r="F44" s="342"/>
      <c r="G44" s="342"/>
      <c r="H44" s="342"/>
      <c r="I44" s="342"/>
      <c r="J44" s="342"/>
      <c r="K44" s="342"/>
      <c r="L44" s="343"/>
    </row>
    <row r="45" spans="2:12" x14ac:dyDescent="0.25">
      <c r="B45" s="135" t="s">
        <v>136</v>
      </c>
      <c r="E45" s="350">
        <v>0</v>
      </c>
      <c r="F45" s="344">
        <f>Statements!G34/Statements!F34-1</f>
        <v>0.49086704665857184</v>
      </c>
      <c r="G45" s="344">
        <f>Statements!H34/Statements!G34-1</f>
        <v>0.17489803943132398</v>
      </c>
      <c r="H45" s="344">
        <f ca="1">Statements!I34/Statements!H34-1</f>
        <v>4.9376282064596433E-2</v>
      </c>
      <c r="I45" s="344">
        <f ca="1">Statements!J34/Statements!I34-1</f>
        <v>0.25956331593159132</v>
      </c>
      <c r="J45" s="344">
        <f ca="1">Statements!K34/Statements!J34-1</f>
        <v>9.4290273699384475E-2</v>
      </c>
      <c r="K45" s="344">
        <f ca="1">Statements!L34/Statements!K34-1</f>
        <v>2.7448844538697115E-2</v>
      </c>
      <c r="L45" s="345">
        <f ca="1">Statements!M34/Statements!L34-1</f>
        <v>5.3077570259239426E-2</v>
      </c>
    </row>
    <row r="46" spans="2:12" x14ac:dyDescent="0.25">
      <c r="B46" s="53"/>
      <c r="E46" s="349"/>
      <c r="F46" s="342"/>
      <c r="G46" s="342"/>
      <c r="H46" s="342"/>
      <c r="I46" s="342"/>
      <c r="J46" s="342"/>
      <c r="K46" s="342"/>
      <c r="L46" s="343"/>
    </row>
    <row r="47" spans="2:12" x14ac:dyDescent="0.25">
      <c r="B47" s="53" t="s">
        <v>137</v>
      </c>
      <c r="E47" s="349">
        <v>0</v>
      </c>
      <c r="F47" s="342">
        <f>Statements!G36/Statements!F36-1</f>
        <v>0.40549089823933171</v>
      </c>
      <c r="G47" s="342">
        <f>Statements!H36/Statements!G36-1</f>
        <v>0.26484951278061009</v>
      </c>
      <c r="H47" s="342">
        <f ca="1">Statements!I36/Statements!H36-1</f>
        <v>1.9361352621316552E-2</v>
      </c>
      <c r="I47" s="342">
        <f ca="1">Statements!J36/Statements!I36-1</f>
        <v>0.25355071557777054</v>
      </c>
      <c r="J47" s="342">
        <f ca="1">Statements!K36/Statements!J36-1</f>
        <v>0.10858133247776602</v>
      </c>
      <c r="K47" s="342">
        <f ca="1">Statements!L36/Statements!K36-1</f>
        <v>2.0240268711018361E-2</v>
      </c>
      <c r="L47" s="343">
        <f ca="1">Statements!M36/Statements!L36-1</f>
        <v>5.3480809636685223E-2</v>
      </c>
    </row>
    <row r="48" spans="2:12" x14ac:dyDescent="0.25">
      <c r="B48" s="346" t="s">
        <v>138</v>
      </c>
      <c r="C48" s="198"/>
      <c r="D48" s="198"/>
      <c r="E48" s="352">
        <v>0</v>
      </c>
      <c r="F48" s="347">
        <f>Statements!G37/Statements!F37-1</f>
        <v>0.5149879733181244</v>
      </c>
      <c r="G48" s="347">
        <f>Statements!H37/Statements!G37-1</f>
        <v>0.15132125551518838</v>
      </c>
      <c r="H48" s="347">
        <f ca="1">Statements!I37/Statements!H37-1</f>
        <v>5.8019111530798639E-2</v>
      </c>
      <c r="I48" s="347">
        <f ca="1">Statements!J37/Statements!I37-1</f>
        <v>0.26123139105861659</v>
      </c>
      <c r="J48" s="347">
        <f ca="1">Statements!K37/Statements!J37-1</f>
        <v>9.0349651390851493E-2</v>
      </c>
      <c r="K48" s="347">
        <f ca="1">Statements!L37/Statements!K37-1</f>
        <v>2.946977630047698E-2</v>
      </c>
      <c r="L48" s="348">
        <f ca="1">Statements!M37/Statements!L37-1</f>
        <v>5.2965535193319147E-2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FE36-D8AB-488B-9FCF-1086F7F0960C}">
  <sheetPr>
    <tabColor rgb="FF00004D"/>
  </sheetPr>
  <dimension ref="A1"/>
  <sheetViews>
    <sheetView showGridLines="0" workbookViewId="0"/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1017-92C3-47EE-BC03-2E86C95B2A19}">
  <sheetPr>
    <pageSetUpPr fitToPage="1"/>
  </sheetPr>
  <dimension ref="A2:M65"/>
  <sheetViews>
    <sheetView showGridLines="0" zoomScaleNormal="100" workbookViewId="0">
      <selection activeCell="D71" sqref="D71"/>
    </sheetView>
  </sheetViews>
  <sheetFormatPr defaultColWidth="0" defaultRowHeight="13.8" x14ac:dyDescent="0.3"/>
  <cols>
    <col min="1" max="1" width="2.88671875" style="268" customWidth="1"/>
    <col min="2" max="2" width="26.77734375" style="268" customWidth="1"/>
    <col min="3" max="8" width="8.88671875" style="268" customWidth="1"/>
    <col min="9" max="10" width="8" style="268" customWidth="1"/>
    <col min="11" max="11" width="9.109375" style="268" customWidth="1"/>
    <col min="12" max="12" width="8.6640625" style="268" customWidth="1"/>
    <col min="13" max="13" width="8.88671875" style="268" customWidth="1"/>
    <col min="14" max="16384" width="8.88671875" style="268" hidden="1"/>
  </cols>
  <sheetData>
    <row r="2" spans="2:12" x14ac:dyDescent="0.3">
      <c r="B2" s="383" t="s">
        <v>327</v>
      </c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4" spans="2:12" ht="34.950000000000003" customHeight="1" x14ac:dyDescent="0.3">
      <c r="B4" s="272" t="s">
        <v>143</v>
      </c>
      <c r="C4" s="384" t="s">
        <v>329</v>
      </c>
      <c r="D4" s="384"/>
      <c r="E4" s="384"/>
      <c r="F4" s="384"/>
      <c r="G4" s="384"/>
      <c r="H4" s="384"/>
      <c r="I4" s="384"/>
      <c r="J4" s="384"/>
      <c r="K4" s="384"/>
      <c r="L4" s="384"/>
    </row>
    <row r="5" spans="2:12" ht="25.05" customHeight="1" x14ac:dyDescent="0.3">
      <c r="B5" s="271" t="s">
        <v>328</v>
      </c>
    </row>
    <row r="6" spans="2:12" s="269" customFormat="1" x14ac:dyDescent="0.3">
      <c r="B6" s="268" t="s">
        <v>342</v>
      </c>
    </row>
    <row r="7" spans="2:12" s="269" customFormat="1" x14ac:dyDescent="0.3">
      <c r="B7" s="268" t="s">
        <v>343</v>
      </c>
    </row>
    <row r="8" spans="2:12" s="269" customFormat="1" x14ac:dyDescent="0.3">
      <c r="B8" s="268" t="s">
        <v>344</v>
      </c>
    </row>
    <row r="9" spans="2:12" s="269" customFormat="1" x14ac:dyDescent="0.3">
      <c r="B9" s="268"/>
    </row>
    <row r="10" spans="2:12" s="269" customFormat="1" x14ac:dyDescent="0.3">
      <c r="I10" s="385" t="s">
        <v>330</v>
      </c>
      <c r="J10" s="386"/>
      <c r="K10" s="386"/>
      <c r="L10" s="387"/>
    </row>
    <row r="11" spans="2:12" s="269" customFormat="1" x14ac:dyDescent="0.3">
      <c r="I11" s="268"/>
      <c r="J11" s="268"/>
      <c r="K11" s="268"/>
      <c r="L11" s="268"/>
    </row>
    <row r="12" spans="2:12" s="269" customFormat="1" x14ac:dyDescent="0.3">
      <c r="I12" s="273" t="s">
        <v>331</v>
      </c>
      <c r="J12" s="274"/>
      <c r="K12" s="274"/>
      <c r="L12" s="275" t="s">
        <v>144</v>
      </c>
    </row>
    <row r="13" spans="2:12" s="269" customFormat="1" x14ac:dyDescent="0.3">
      <c r="I13" s="276" t="s">
        <v>332</v>
      </c>
      <c r="J13" s="277"/>
      <c r="K13" s="277"/>
      <c r="L13" s="278" t="s">
        <v>334</v>
      </c>
    </row>
    <row r="14" spans="2:12" s="269" customFormat="1" x14ac:dyDescent="0.3">
      <c r="I14" s="276"/>
      <c r="J14" s="277"/>
      <c r="K14" s="277"/>
      <c r="L14" s="278" t="s">
        <v>335</v>
      </c>
    </row>
    <row r="15" spans="2:12" s="269" customFormat="1" x14ac:dyDescent="0.3">
      <c r="I15" s="276" t="s">
        <v>333</v>
      </c>
      <c r="J15" s="277"/>
      <c r="K15" s="277"/>
      <c r="L15" s="278" t="s">
        <v>336</v>
      </c>
    </row>
    <row r="16" spans="2:12" s="269" customFormat="1" x14ac:dyDescent="0.3">
      <c r="I16" s="276"/>
      <c r="J16" s="277"/>
      <c r="K16" s="277"/>
      <c r="L16" s="278"/>
    </row>
    <row r="17" spans="2:12" s="269" customFormat="1" ht="14.4" x14ac:dyDescent="0.3">
      <c r="B17" s="286" t="s">
        <v>367</v>
      </c>
      <c r="I17" s="276" t="s">
        <v>337</v>
      </c>
      <c r="J17" s="277"/>
      <c r="K17" s="277"/>
      <c r="L17" s="279">
        <v>20.71</v>
      </c>
    </row>
    <row r="18" spans="2:12" s="269" customFormat="1" x14ac:dyDescent="0.3">
      <c r="I18" s="276" t="s">
        <v>366</v>
      </c>
      <c r="J18" s="277"/>
      <c r="K18" s="277"/>
      <c r="L18" s="287">
        <f>DCF!I11</f>
        <v>2.5499999999999998</v>
      </c>
    </row>
    <row r="19" spans="2:12" s="269" customFormat="1" x14ac:dyDescent="0.3">
      <c r="B19" s="270" t="s">
        <v>368</v>
      </c>
      <c r="I19" s="276" t="s">
        <v>338</v>
      </c>
      <c r="J19" s="280"/>
      <c r="K19" s="277"/>
      <c r="L19" s="287">
        <f ca="1">DCF!I10</f>
        <v>1.3570400533469023</v>
      </c>
    </row>
    <row r="20" spans="2:12" s="269" customFormat="1" x14ac:dyDescent="0.3">
      <c r="B20" s="302" t="s">
        <v>393</v>
      </c>
      <c r="I20" s="276" t="s">
        <v>339</v>
      </c>
      <c r="J20" s="277"/>
      <c r="K20" s="277"/>
      <c r="L20" s="281">
        <v>5.9371200000000002</v>
      </c>
    </row>
    <row r="21" spans="2:12" s="269" customFormat="1" x14ac:dyDescent="0.3">
      <c r="B21" s="268" t="s">
        <v>394</v>
      </c>
      <c r="I21" s="276" t="s">
        <v>340</v>
      </c>
      <c r="J21" s="277"/>
      <c r="K21" s="277"/>
      <c r="L21" s="281">
        <v>1.8459946277452</v>
      </c>
    </row>
    <row r="22" spans="2:12" s="269" customFormat="1" x14ac:dyDescent="0.3">
      <c r="B22" s="268" t="s">
        <v>395</v>
      </c>
      <c r="I22" s="282" t="s">
        <v>341</v>
      </c>
      <c r="J22" s="283"/>
      <c r="K22" s="283"/>
      <c r="L22" s="284">
        <v>1.18545774024608</v>
      </c>
    </row>
    <row r="23" spans="2:12" s="269" customFormat="1" x14ac:dyDescent="0.3">
      <c r="B23" s="268" t="s">
        <v>396</v>
      </c>
    </row>
    <row r="24" spans="2:12" s="269" customFormat="1" ht="12" x14ac:dyDescent="0.25"/>
    <row r="25" spans="2:12" s="269" customFormat="1" x14ac:dyDescent="0.25">
      <c r="B25" s="270" t="s">
        <v>369</v>
      </c>
    </row>
    <row r="26" spans="2:12" s="269" customFormat="1" x14ac:dyDescent="0.25">
      <c r="B26" s="302" t="s">
        <v>370</v>
      </c>
    </row>
    <row r="27" spans="2:12" s="269" customFormat="1" x14ac:dyDescent="0.3">
      <c r="B27" s="268" t="s">
        <v>371</v>
      </c>
    </row>
    <row r="28" spans="2:12" x14ac:dyDescent="0.3">
      <c r="B28" s="268" t="s">
        <v>372</v>
      </c>
    </row>
    <row r="30" spans="2:12" ht="14.4" customHeight="1" x14ac:dyDescent="0.3">
      <c r="B30" s="382" t="s">
        <v>374</v>
      </c>
      <c r="C30" s="388">
        <v>45657</v>
      </c>
      <c r="D30" s="388"/>
      <c r="E30" s="389">
        <v>46022</v>
      </c>
      <c r="F30" s="389"/>
      <c r="G30" s="389">
        <v>46387</v>
      </c>
      <c r="H30" s="389"/>
      <c r="I30" s="389">
        <v>46752</v>
      </c>
      <c r="J30" s="394"/>
    </row>
    <row r="31" spans="2:12" ht="14.4" customHeight="1" x14ac:dyDescent="0.3">
      <c r="B31" s="303" t="s">
        <v>146</v>
      </c>
      <c r="C31" s="391">
        <f>Scenario!I15</f>
        <v>2431.35</v>
      </c>
      <c r="D31" s="391"/>
      <c r="E31" s="391">
        <f ca="1">Scenario!J15</f>
        <v>2395.4401050227484</v>
      </c>
      <c r="F31" s="391"/>
      <c r="G31" s="391">
        <f ca="1">Scenario!K15</f>
        <v>3075.6393538598531</v>
      </c>
      <c r="H31" s="391"/>
      <c r="I31" s="391">
        <f ca="1">Scenario!L15</f>
        <v>3178.5237871845625</v>
      </c>
      <c r="J31" s="395"/>
    </row>
    <row r="32" spans="2:12" ht="14.4" customHeight="1" x14ac:dyDescent="0.3">
      <c r="B32" s="303" t="s">
        <v>147</v>
      </c>
      <c r="C32" s="391">
        <f>Scenario!I16</f>
        <v>3547.5160000000001</v>
      </c>
      <c r="D32" s="391"/>
      <c r="E32" s="391">
        <f ca="1">Scenario!J16</f>
        <v>3495.1208586217044</v>
      </c>
      <c r="F32" s="391"/>
      <c r="G32" s="391">
        <f ca="1">Scenario!K16</f>
        <v>4487.5808986972215</v>
      </c>
      <c r="H32" s="391"/>
      <c r="I32" s="391">
        <f ca="1">Scenario!L16</f>
        <v>4637.6967493029924</v>
      </c>
      <c r="J32" s="395"/>
    </row>
    <row r="33" spans="2:10" ht="14.4" customHeight="1" x14ac:dyDescent="0.3">
      <c r="B33" s="303" t="s">
        <v>148</v>
      </c>
      <c r="C33" s="391">
        <f>Scenario!I17</f>
        <v>47.256999999999998</v>
      </c>
      <c r="D33" s="391"/>
      <c r="E33" s="391">
        <f ca="1">Scenario!J17</f>
        <v>46.559036355547342</v>
      </c>
      <c r="F33" s="391"/>
      <c r="G33" s="391">
        <f ca="1">Scenario!K17</f>
        <v>59.779747442924744</v>
      </c>
      <c r="H33" s="391"/>
      <c r="I33" s="391">
        <f ca="1">Scenario!L17</f>
        <v>61.779463512444075</v>
      </c>
      <c r="J33" s="395"/>
    </row>
    <row r="34" spans="2:10" ht="14.4" customHeight="1" x14ac:dyDescent="0.3">
      <c r="B34" s="304" t="s">
        <v>149</v>
      </c>
      <c r="C34" s="392">
        <f>Scenario!I18</f>
        <v>6026.1229999999996</v>
      </c>
      <c r="D34" s="392"/>
      <c r="E34" s="392">
        <f ca="1">Scenario!J18</f>
        <v>5937.12</v>
      </c>
      <c r="F34" s="392"/>
      <c r="G34" s="392">
        <f ca="1">Scenario!K18</f>
        <v>7622.9999999999991</v>
      </c>
      <c r="H34" s="392"/>
      <c r="I34" s="392">
        <f ca="1">Scenario!L18</f>
        <v>7877.9999999999991</v>
      </c>
      <c r="J34" s="396"/>
    </row>
    <row r="35" spans="2:10" x14ac:dyDescent="0.3">
      <c r="B35" s="303" t="s">
        <v>376</v>
      </c>
      <c r="C35" s="393">
        <f>Scenario!I19</f>
        <v>4.0539460177212661E-2</v>
      </c>
      <c r="D35" s="393"/>
      <c r="E35" s="393">
        <f ca="1">Scenario!J19</f>
        <v>-1.4769529264503811E-2</v>
      </c>
      <c r="F35" s="393"/>
      <c r="G35" s="393">
        <f ca="1">Scenario!K19</f>
        <v>0.28395585738539886</v>
      </c>
      <c r="H35" s="393"/>
      <c r="I35" s="393">
        <f ca="1">Scenario!L19</f>
        <v>3.3451397087760792E-2</v>
      </c>
      <c r="J35" s="397"/>
    </row>
    <row r="36" spans="2:10" ht="14.4" customHeight="1" x14ac:dyDescent="0.3">
      <c r="B36" s="307" t="s">
        <v>150</v>
      </c>
      <c r="C36" s="390">
        <f>Scenario!I21</f>
        <v>5335</v>
      </c>
      <c r="D36" s="390"/>
      <c r="E36" s="390">
        <f>Scenario!J21</f>
        <v>5208</v>
      </c>
      <c r="F36" s="390"/>
      <c r="G36" s="390">
        <f>Scenario!K21</f>
        <v>6600</v>
      </c>
      <c r="H36" s="390"/>
      <c r="I36" s="390">
        <f>Scenario!L21</f>
        <v>6733.333333333333</v>
      </c>
      <c r="J36" s="398"/>
    </row>
    <row r="37" spans="2:10" x14ac:dyDescent="0.3">
      <c r="B37" s="303" t="s">
        <v>377</v>
      </c>
      <c r="C37" s="393">
        <f>Scenario!I22</f>
        <v>4.2806880375293233E-2</v>
      </c>
      <c r="D37" s="393"/>
      <c r="E37" s="393">
        <f>Scenario!J22</f>
        <v>-2.3805060918463017E-2</v>
      </c>
      <c r="F37" s="393"/>
      <c r="G37" s="393">
        <f>Scenario!K22</f>
        <v>0.26728110599078336</v>
      </c>
      <c r="H37" s="393"/>
      <c r="I37" s="393">
        <f>Scenario!L22</f>
        <v>2.020202020202011E-2</v>
      </c>
      <c r="J37" s="397"/>
    </row>
    <row r="38" spans="2:10" x14ac:dyDescent="0.3">
      <c r="B38" s="308" t="s">
        <v>94</v>
      </c>
      <c r="C38" s="399">
        <f>Statements!H27</f>
        <v>2440.4679999999994</v>
      </c>
      <c r="D38" s="400"/>
      <c r="E38" s="399">
        <f ca="1">Statements!I27</f>
        <v>2524.3720180310856</v>
      </c>
      <c r="F38" s="400"/>
      <c r="G38" s="399">
        <f ca="1">Statements!J27</f>
        <v>3105.80716591295</v>
      </c>
      <c r="H38" s="400"/>
      <c r="I38" s="399">
        <f ca="1">Statements!K27</f>
        <v>3333.4630098818652</v>
      </c>
      <c r="J38" s="405"/>
    </row>
    <row r="39" spans="2:10" x14ac:dyDescent="0.3">
      <c r="B39" s="303" t="s">
        <v>375</v>
      </c>
      <c r="C39" s="401">
        <f>Statements!H40</f>
        <v>1744.8219999999994</v>
      </c>
      <c r="D39" s="401"/>
      <c r="E39" s="401">
        <f ca="1">Statements!I40</f>
        <v>1845.9946277451966</v>
      </c>
      <c r="F39" s="401"/>
      <c r="G39" s="401">
        <f ca="1">Statements!J40</f>
        <v>2329.4717314231675</v>
      </c>
      <c r="H39" s="401"/>
      <c r="I39" s="401">
        <f ca="1">Statements!K40</f>
        <v>2539.061123468598</v>
      </c>
      <c r="J39" s="406"/>
    </row>
    <row r="40" spans="2:10" x14ac:dyDescent="0.3">
      <c r="B40" s="303" t="s">
        <v>380</v>
      </c>
      <c r="C40" s="305"/>
      <c r="D40" s="305">
        <f>'Ratio Analysis'!I22</f>
        <v>0.2918123310792029</v>
      </c>
      <c r="E40" s="305"/>
      <c r="F40" s="305">
        <f ca="1">'Ratio Analysis'!J22</f>
        <v>0.31337137089524453</v>
      </c>
      <c r="G40" s="305"/>
      <c r="H40" s="305">
        <f ca="1">'Ratio Analysis'!K22</f>
        <v>0.30782507650768831</v>
      </c>
      <c r="I40" s="305"/>
      <c r="J40" s="306">
        <f ca="1">'Ratio Analysis'!L22</f>
        <v>0.32477285899011443</v>
      </c>
    </row>
    <row r="41" spans="2:10" x14ac:dyDescent="0.3">
      <c r="B41" s="303" t="s">
        <v>378</v>
      </c>
      <c r="C41" s="402">
        <f>'Ratio Analysis'!I38</f>
        <v>0.04</v>
      </c>
      <c r="D41" s="402"/>
      <c r="E41" s="402">
        <f ca="1">'Ratio Analysis'!J38</f>
        <v>6.1415049876593068E-2</v>
      </c>
      <c r="F41" s="402"/>
      <c r="G41" s="402">
        <f ca="1">'Ratio Analysis'!K38</f>
        <v>7.7500021084143E-2</v>
      </c>
      <c r="H41" s="402"/>
      <c r="I41" s="402">
        <f ca="1">'Ratio Analysis'!L38</f>
        <v>8.4472924890367757E-2</v>
      </c>
      <c r="J41" s="407"/>
    </row>
    <row r="42" spans="2:10" x14ac:dyDescent="0.3">
      <c r="B42" s="309" t="s">
        <v>379</v>
      </c>
      <c r="C42" s="403">
        <f>'Ratio Analysis'!I39</f>
        <v>4.324031326261546E-2</v>
      </c>
      <c r="D42" s="403"/>
      <c r="E42" s="404">
        <f ca="1">'Ratio Analysis'!J39</f>
        <v>3.9439413934120822E-2</v>
      </c>
      <c r="F42" s="404"/>
      <c r="G42" s="403">
        <f ca="1">'Ratio Analysis'!K39</f>
        <v>5.7953543725100483E-2</v>
      </c>
      <c r="H42" s="403"/>
      <c r="I42" s="403">
        <f ca="1">'Ratio Analysis'!L39</f>
        <v>6.0112561225390014E-2</v>
      </c>
      <c r="J42" s="408"/>
    </row>
    <row r="43" spans="2:10" x14ac:dyDescent="0.3">
      <c r="C43" s="412"/>
      <c r="D43" s="412"/>
      <c r="E43" s="412"/>
      <c r="F43" s="412"/>
      <c r="G43" s="412"/>
      <c r="H43" s="412"/>
      <c r="I43" s="412"/>
      <c r="J43" s="412"/>
    </row>
    <row r="44" spans="2:10" x14ac:dyDescent="0.3">
      <c r="B44" s="285" t="s">
        <v>373</v>
      </c>
      <c r="C44" s="412"/>
      <c r="D44" s="412"/>
      <c r="E44" s="412"/>
      <c r="F44" s="412"/>
      <c r="G44" s="412"/>
      <c r="H44" s="412"/>
      <c r="I44" s="412"/>
      <c r="J44" s="412"/>
    </row>
    <row r="46" spans="2:10" x14ac:dyDescent="0.3">
      <c r="B46" s="270" t="s">
        <v>389</v>
      </c>
    </row>
    <row r="47" spans="2:10" x14ac:dyDescent="0.3">
      <c r="B47" s="302" t="s">
        <v>381</v>
      </c>
    </row>
    <row r="48" spans="2:10" x14ac:dyDescent="0.3">
      <c r="B48" s="268" t="s">
        <v>382</v>
      </c>
    </row>
    <row r="49" spans="2:10" x14ac:dyDescent="0.3">
      <c r="B49" s="268" t="s">
        <v>383</v>
      </c>
    </row>
    <row r="51" spans="2:10" x14ac:dyDescent="0.3">
      <c r="B51" s="270" t="s">
        <v>387</v>
      </c>
    </row>
    <row r="52" spans="2:10" x14ac:dyDescent="0.3">
      <c r="B52" s="302" t="s">
        <v>386</v>
      </c>
    </row>
    <row r="53" spans="2:10" x14ac:dyDescent="0.3">
      <c r="B53" s="268" t="s">
        <v>384</v>
      </c>
    </row>
    <row r="54" spans="2:10" x14ac:dyDescent="0.3">
      <c r="B54" s="268" t="s">
        <v>385</v>
      </c>
    </row>
    <row r="56" spans="2:10" x14ac:dyDescent="0.3">
      <c r="B56" s="285" t="s">
        <v>388</v>
      </c>
    </row>
    <row r="57" spans="2:10" x14ac:dyDescent="0.3">
      <c r="B57" s="268" t="s">
        <v>390</v>
      </c>
    </row>
    <row r="58" spans="2:10" x14ac:dyDescent="0.3">
      <c r="B58" s="268" t="s">
        <v>391</v>
      </c>
    </row>
    <row r="59" spans="2:10" x14ac:dyDescent="0.3">
      <c r="B59" s="268" t="s">
        <v>392</v>
      </c>
    </row>
    <row r="61" spans="2:10" ht="14.4" x14ac:dyDescent="0.3">
      <c r="B61" s="310" t="s">
        <v>397</v>
      </c>
      <c r="C61" s="409">
        <v>45657</v>
      </c>
      <c r="D61" s="409"/>
      <c r="E61" s="410">
        <v>46022</v>
      </c>
      <c r="F61" s="410"/>
      <c r="G61" s="410">
        <v>46387</v>
      </c>
      <c r="H61" s="410"/>
      <c r="I61" s="410">
        <v>46752</v>
      </c>
      <c r="J61" s="411"/>
    </row>
    <row r="62" spans="2:10" x14ac:dyDescent="0.3">
      <c r="B62" s="303" t="s">
        <v>398</v>
      </c>
      <c r="D62" s="305">
        <f>'Ratio Analysis'!I23</f>
        <v>0.39404099646718155</v>
      </c>
      <c r="E62" s="305"/>
      <c r="F62" s="305">
        <f ca="1">'Ratio Analysis'!J23</f>
        <v>0.3631520525931422</v>
      </c>
      <c r="G62" s="305"/>
      <c r="H62" s="305">
        <f ca="1">'Ratio Analysis'!K23</f>
        <v>0.41089808307938208</v>
      </c>
      <c r="I62" s="305"/>
      <c r="J62" s="306">
        <f ca="1">'Ratio Analysis'!L23</f>
        <v>0.39710695594685658</v>
      </c>
    </row>
    <row r="63" spans="2:10" x14ac:dyDescent="0.3">
      <c r="B63" s="303" t="s">
        <v>399</v>
      </c>
      <c r="D63" s="305">
        <f>'Ratio Analysis'!I24</f>
        <v>0.25144387082942127</v>
      </c>
      <c r="E63" s="305"/>
      <c r="F63" s="305">
        <f ca="1">'Ratio Analysis'!J24</f>
        <v>0.26778722790928317</v>
      </c>
      <c r="G63" s="305"/>
      <c r="H63" s="305">
        <f ca="1">'Ratio Analysis'!K24</f>
        <v>0.32147324234505636</v>
      </c>
      <c r="I63" s="305"/>
      <c r="J63" s="306">
        <f ca="1">'Ratio Analysis'!L24</f>
        <v>0.35278783931546176</v>
      </c>
    </row>
    <row r="64" spans="2:10" x14ac:dyDescent="0.3">
      <c r="B64" s="303" t="s">
        <v>400</v>
      </c>
      <c r="D64" s="311">
        <f>Statements!H73/Statements!H96</f>
        <v>0.65970888645191295</v>
      </c>
      <c r="E64" s="311"/>
      <c r="F64" s="311">
        <f ca="1">'Ratio Analysis'!J30</f>
        <v>0.7156301490917566</v>
      </c>
      <c r="G64" s="311"/>
      <c r="H64" s="311">
        <f ca="1">'Ratio Analysis'!K30</f>
        <v>0.64813414116061152</v>
      </c>
      <c r="I64" s="311"/>
      <c r="J64" s="312">
        <f ca="1">'Ratio Analysis'!L30</f>
        <v>0.44979484430484046</v>
      </c>
    </row>
    <row r="65" spans="2:10" x14ac:dyDescent="0.3">
      <c r="B65" s="309" t="s">
        <v>401</v>
      </c>
      <c r="C65" s="313"/>
      <c r="D65" s="314">
        <f>Statements!H19/AVERAGE(Statements!G48:H48)</f>
        <v>0.92925049212184829</v>
      </c>
      <c r="E65" s="314"/>
      <c r="F65" s="314">
        <f ca="1">'Ratio Analysis'!J43</f>
        <v>0.96959952081174017</v>
      </c>
      <c r="G65" s="314"/>
      <c r="H65" s="314">
        <f ca="1">'Ratio Analysis'!K43</f>
        <v>1.3208402832481658</v>
      </c>
      <c r="I65" s="314"/>
      <c r="J65" s="315">
        <f ca="1">'Ratio Analysis'!L43</f>
        <v>1.452317977741717</v>
      </c>
    </row>
  </sheetData>
  <mergeCells count="63">
    <mergeCell ref="C61:D61"/>
    <mergeCell ref="E61:F61"/>
    <mergeCell ref="G61:H61"/>
    <mergeCell ref="I61:J61"/>
    <mergeCell ref="G42:H42"/>
    <mergeCell ref="G43:H43"/>
    <mergeCell ref="G44:H44"/>
    <mergeCell ref="I43:J43"/>
    <mergeCell ref="I44:J44"/>
    <mergeCell ref="C43:D43"/>
    <mergeCell ref="C44:D44"/>
    <mergeCell ref="E43:F43"/>
    <mergeCell ref="E44:F44"/>
    <mergeCell ref="I37:J37"/>
    <mergeCell ref="I38:J38"/>
    <mergeCell ref="I39:J39"/>
    <mergeCell ref="I41:J41"/>
    <mergeCell ref="I42:J42"/>
    <mergeCell ref="G37:H37"/>
    <mergeCell ref="G38:H38"/>
    <mergeCell ref="G39:H39"/>
    <mergeCell ref="G41:H41"/>
    <mergeCell ref="C42:D42"/>
    <mergeCell ref="E37:F37"/>
    <mergeCell ref="E38:F38"/>
    <mergeCell ref="E39:F39"/>
    <mergeCell ref="E41:F41"/>
    <mergeCell ref="E42:F42"/>
    <mergeCell ref="C37:D37"/>
    <mergeCell ref="C38:D38"/>
    <mergeCell ref="C39:D39"/>
    <mergeCell ref="C41:D41"/>
    <mergeCell ref="G36:H36"/>
    <mergeCell ref="I30:J30"/>
    <mergeCell ref="I31:J31"/>
    <mergeCell ref="I32:J32"/>
    <mergeCell ref="I33:J33"/>
    <mergeCell ref="I34:J34"/>
    <mergeCell ref="I35:J35"/>
    <mergeCell ref="I36:J36"/>
    <mergeCell ref="G31:H31"/>
    <mergeCell ref="G32:H32"/>
    <mergeCell ref="G33:H33"/>
    <mergeCell ref="G34:H34"/>
    <mergeCell ref="G35:H35"/>
    <mergeCell ref="C36:D36"/>
    <mergeCell ref="E30:F30"/>
    <mergeCell ref="E31:F31"/>
    <mergeCell ref="E32:F32"/>
    <mergeCell ref="E33:F33"/>
    <mergeCell ref="E34:F34"/>
    <mergeCell ref="E35:F35"/>
    <mergeCell ref="E36:F36"/>
    <mergeCell ref="C31:D31"/>
    <mergeCell ref="C32:D32"/>
    <mergeCell ref="C33:D33"/>
    <mergeCell ref="C34:D34"/>
    <mergeCell ref="C35:D35"/>
    <mergeCell ref="B2:L2"/>
    <mergeCell ref="C4:L4"/>
    <mergeCell ref="I10:L10"/>
    <mergeCell ref="C30:D30"/>
    <mergeCell ref="G30:H30"/>
  </mergeCells>
  <pageMargins left="0.19685039370078741" right="0.19685039370078741" top="0.19685039370078741" bottom="0.19685039370078741" header="0.19685039370078741" footer="0.19685039370078741"/>
  <pageSetup paperSize="9" scale="87" orientation="portrait" r:id="rId1"/>
  <headerFooter>
    <oddFooter>&amp;LDisclaimer: For educational purposes only. Not investment advice or a recommendation to buy/sell securities.</oddFooter>
  </headerFooter>
  <ignoredErrors>
    <ignoredError sqref="D65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A88D-5AF5-4CEE-BF82-6A7D6C67EDB7}">
  <dimension ref="B4:K18"/>
  <sheetViews>
    <sheetView workbookViewId="0">
      <selection activeCell="I22" sqref="I22"/>
    </sheetView>
  </sheetViews>
  <sheetFormatPr defaultRowHeight="14.4" x14ac:dyDescent="0.3"/>
  <sheetData>
    <row r="4" spans="2:11" x14ac:dyDescent="0.3">
      <c r="B4" t="s">
        <v>345</v>
      </c>
    </row>
    <row r="5" spans="2:11" x14ac:dyDescent="0.3">
      <c r="B5" t="s">
        <v>346</v>
      </c>
    </row>
    <row r="6" spans="2:11" x14ac:dyDescent="0.3">
      <c r="B6" t="s">
        <v>347</v>
      </c>
    </row>
    <row r="7" spans="2:11" x14ac:dyDescent="0.3">
      <c r="B7" t="s">
        <v>348</v>
      </c>
    </row>
    <row r="8" spans="2:11" x14ac:dyDescent="0.3">
      <c r="B8" t="s">
        <v>349</v>
      </c>
    </row>
    <row r="9" spans="2:11" x14ac:dyDescent="0.3">
      <c r="G9" t="s">
        <v>356</v>
      </c>
      <c r="K9" t="s">
        <v>362</v>
      </c>
    </row>
    <row r="10" spans="2:11" x14ac:dyDescent="0.3">
      <c r="B10" t="s">
        <v>350</v>
      </c>
      <c r="G10" t="s">
        <v>357</v>
      </c>
      <c r="K10" t="s">
        <v>363</v>
      </c>
    </row>
    <row r="11" spans="2:11" x14ac:dyDescent="0.3">
      <c r="B11" t="s">
        <v>351</v>
      </c>
      <c r="G11" t="s">
        <v>358</v>
      </c>
      <c r="K11" t="s">
        <v>364</v>
      </c>
    </row>
    <row r="12" spans="2:11" x14ac:dyDescent="0.3">
      <c r="B12" t="s">
        <v>352</v>
      </c>
      <c r="G12" t="s">
        <v>359</v>
      </c>
      <c r="K12" t="s">
        <v>365</v>
      </c>
    </row>
    <row r="13" spans="2:11" x14ac:dyDescent="0.3">
      <c r="B13" t="s">
        <v>353</v>
      </c>
      <c r="G13" t="s">
        <v>360</v>
      </c>
    </row>
    <row r="14" spans="2:11" x14ac:dyDescent="0.3">
      <c r="B14" t="s">
        <v>354</v>
      </c>
      <c r="G14" t="s">
        <v>361</v>
      </c>
    </row>
    <row r="15" spans="2:11" x14ac:dyDescent="0.3">
      <c r="B15" t="s">
        <v>355</v>
      </c>
    </row>
    <row r="17" spans="2:7" x14ac:dyDescent="0.3">
      <c r="G17" s="286"/>
    </row>
    <row r="18" spans="2:7" x14ac:dyDescent="0.3">
      <c r="B18" s="166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Dashboard</vt:lpstr>
      <vt:lpstr>Financials-&gt;</vt:lpstr>
      <vt:lpstr>Statements</vt:lpstr>
      <vt:lpstr>Scenario</vt:lpstr>
      <vt:lpstr>Assumptions</vt:lpstr>
      <vt:lpstr>Schedule</vt:lpstr>
      <vt:lpstr>Valuation-&gt;</vt:lpstr>
      <vt:lpstr>Beta</vt:lpstr>
      <vt:lpstr>WACC</vt:lpstr>
      <vt:lpstr>DCF</vt:lpstr>
      <vt:lpstr>Ratio Analysis</vt:lpstr>
      <vt:lpstr>Analysis</vt:lpstr>
      <vt:lpstr>Report</vt:lpstr>
      <vt:lpstr>Equity Report</vt:lpstr>
      <vt:lpstr>Sheet1</vt:lpstr>
      <vt:lpstr>BS</vt:lpstr>
      <vt:lpstr>CF</vt:lpstr>
      <vt:lpstr>days</vt:lpstr>
      <vt:lpstr>Debt</vt:lpstr>
      <vt:lpstr>EF</vt:lpstr>
      <vt:lpstr>Equity</vt:lpstr>
      <vt:lpstr>IS</vt:lpstr>
      <vt:lpstr>PPE</vt:lpstr>
      <vt:lpstr>'Equity Report'!Print_Area</vt:lpstr>
      <vt:lpstr>RE</vt:lpstr>
      <vt:lpstr>RF</vt:lpstr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cp:lastPrinted>2026-03-25T11:33:45Z</cp:lastPrinted>
  <dcterms:created xsi:type="dcterms:W3CDTF">2026-02-20T09:32:09Z</dcterms:created>
  <dcterms:modified xsi:type="dcterms:W3CDTF">2026-04-20T10:31:07Z</dcterms:modified>
</cp:coreProperties>
</file>