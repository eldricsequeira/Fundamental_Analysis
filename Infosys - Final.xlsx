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s\Resume projects\DCF\"/>
    </mc:Choice>
  </mc:AlternateContent>
  <xr:revisionPtr revIDLastSave="0" documentId="13_ncr:1_{CAD7D8CB-35FC-4CA5-9699-695205960747}" xr6:coauthVersionLast="47" xr6:coauthVersionMax="47" xr10:uidLastSave="{00000000-0000-0000-0000-000000000000}"/>
  <bookViews>
    <workbookView xWindow="-108" yWindow="-108" windowWidth="23256" windowHeight="13176" tabRatio="926" activeTab="11" xr2:uid="{BCF9BFF9-BCF9-4F21-9E9B-4DD4BB09ACFB}"/>
  </bookViews>
  <sheets>
    <sheet name="Dashboard" sheetId="1" r:id="rId1"/>
    <sheet name="Equity_report" sheetId="14" r:id="rId2"/>
    <sheet name="Financials-&gt;" sheetId="4" r:id="rId3"/>
    <sheet name="Financials" sheetId="8" r:id="rId4"/>
    <sheet name="Scenario" sheetId="9" r:id="rId5"/>
    <sheet name="Assumptions" sheetId="2" r:id="rId6"/>
    <sheet name="Schedule" sheetId="3" r:id="rId7"/>
    <sheet name="Valuation-&gt;" sheetId="5" r:id="rId8"/>
    <sheet name="DCF" sheetId="11" r:id="rId9"/>
    <sheet name="WACC" sheetId="10" r:id="rId10"/>
    <sheet name="Beta" sheetId="6" r:id="rId11"/>
    <sheet name="Comps" sheetId="19" r:id="rId12"/>
    <sheet name="Ratio Analysis" sheetId="13" r:id="rId13"/>
    <sheet name="Analysis" sheetId="18" r:id="rId14"/>
    <sheet name="Others" sheetId="12" r:id="rId15"/>
    <sheet name="Price prediction" sheetId="16" r:id="rId16"/>
  </sheets>
  <definedNames>
    <definedName name="BS">Financials!$B$47</definedName>
    <definedName name="CF">Financials!$B$101</definedName>
    <definedName name="days">Dashboard!$G$18</definedName>
    <definedName name="EF">Scenario!$B$45</definedName>
    <definedName name="IS">Financials!$B$13</definedName>
    <definedName name="PPE">Schedule!$B$10</definedName>
    <definedName name="RE">Schedule!$B$99</definedName>
    <definedName name="RF">Scenario!$B$17</definedName>
    <definedName name="tgr">DCF!$E$19</definedName>
    <definedName name="wacc">DCF!$E$18</definedName>
    <definedName name="WC">Schedule!$B$58</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2" i="19" l="1"/>
  <c r="T30" i="19"/>
  <c r="T31" i="19"/>
  <c r="T29" i="19"/>
  <c r="K7" i="19"/>
  <c r="K8" i="19"/>
  <c r="K9" i="19"/>
  <c r="K10" i="19"/>
  <c r="K11" i="19"/>
  <c r="K12" i="19"/>
  <c r="K13" i="19"/>
  <c r="K14" i="19"/>
  <c r="K15" i="19"/>
  <c r="K16" i="19"/>
  <c r="K17" i="19"/>
  <c r="K18" i="19"/>
  <c r="K19" i="19"/>
  <c r="K6" i="19"/>
  <c r="U32" i="19"/>
  <c r="S32" i="19"/>
  <c r="G48" i="14" l="1"/>
  <c r="F48" i="14"/>
  <c r="E48" i="14"/>
  <c r="G57" i="14"/>
  <c r="F57" i="14"/>
  <c r="E57" i="14"/>
  <c r="G56" i="14"/>
  <c r="F56" i="14"/>
  <c r="E56" i="14"/>
  <c r="G55" i="14"/>
  <c r="F55" i="14"/>
  <c r="E55" i="14"/>
  <c r="T86" i="11"/>
  <c r="T85" i="11"/>
  <c r="T84" i="11"/>
  <c r="L86" i="11"/>
  <c r="L85" i="11"/>
  <c r="L84" i="11"/>
  <c r="D86" i="11"/>
  <c r="D85" i="11"/>
  <c r="D84" i="11"/>
  <c r="G59" i="14"/>
  <c r="F59" i="14"/>
  <c r="E59" i="14"/>
  <c r="P12" i="6"/>
  <c r="P11" i="6"/>
  <c r="P10" i="6"/>
  <c r="M34" i="19"/>
  <c r="N34" i="19"/>
  <c r="M35" i="19"/>
  <c r="N35" i="19"/>
  <c r="M36" i="19"/>
  <c r="N36" i="19"/>
  <c r="M37" i="19"/>
  <c r="N37" i="19"/>
  <c r="K35" i="19"/>
  <c r="K36" i="19"/>
  <c r="K37" i="19"/>
  <c r="K34" i="19"/>
  <c r="V30" i="19"/>
  <c r="V31" i="19"/>
  <c r="V32" i="19"/>
  <c r="V29" i="19"/>
  <c r="U30" i="19"/>
  <c r="U31" i="19"/>
  <c r="U29" i="19"/>
  <c r="S30" i="19"/>
  <c r="S31" i="19"/>
  <c r="S29" i="19"/>
  <c r="H30" i="19"/>
  <c r="H31" i="19"/>
  <c r="H32" i="19"/>
  <c r="R30" i="19"/>
  <c r="R31" i="19"/>
  <c r="R32" i="19"/>
  <c r="R29" i="19"/>
  <c r="Q30" i="19"/>
  <c r="Q31" i="19"/>
  <c r="Q32" i="19"/>
  <c r="Q29" i="19"/>
  <c r="H29" i="19"/>
  <c r="O30" i="19"/>
  <c r="O31" i="19"/>
  <c r="O32" i="19"/>
  <c r="O29" i="19"/>
  <c r="J31" i="19"/>
  <c r="J32" i="19" s="1"/>
  <c r="G30" i="19"/>
  <c r="G31" i="19" s="1"/>
  <c r="G32" i="19" s="1"/>
  <c r="I30" i="19"/>
  <c r="I31" i="19" s="1"/>
  <c r="I32" i="19" s="1"/>
  <c r="J30" i="19"/>
  <c r="G29" i="19"/>
  <c r="E29" i="19"/>
  <c r="E30" i="19" s="1"/>
  <c r="E31" i="19" s="1"/>
  <c r="E32" i="19" s="1"/>
  <c r="E24" i="19" l="1"/>
  <c r="E23" i="19"/>
  <c r="E22" i="19"/>
  <c r="E21" i="19"/>
  <c r="L24" i="19" l="1"/>
  <c r="M32" i="19" s="1"/>
  <c r="M24" i="19"/>
  <c r="N32" i="19" s="1"/>
  <c r="L23" i="19"/>
  <c r="M31" i="19" s="1"/>
  <c r="M23" i="19"/>
  <c r="N31" i="19" s="1"/>
  <c r="L22" i="19"/>
  <c r="M30" i="19" s="1"/>
  <c r="M22" i="19"/>
  <c r="N30" i="19" s="1"/>
  <c r="L21" i="19"/>
  <c r="M29" i="19" s="1"/>
  <c r="M21" i="19"/>
  <c r="N29" i="19" s="1"/>
  <c r="J7" i="19"/>
  <c r="J21" i="19" s="1"/>
  <c r="K29" i="19" s="1"/>
  <c r="J8" i="19"/>
  <c r="J9" i="19"/>
  <c r="J23" i="19" s="1"/>
  <c r="K31" i="19" s="1"/>
  <c r="J10" i="19"/>
  <c r="J11" i="19"/>
  <c r="J12" i="19"/>
  <c r="J13" i="19"/>
  <c r="J14" i="19"/>
  <c r="J15" i="19"/>
  <c r="J16" i="19"/>
  <c r="J17" i="19"/>
  <c r="J18" i="19"/>
  <c r="J19" i="19"/>
  <c r="J6" i="19"/>
  <c r="G6" i="19"/>
  <c r="F29" i="19" s="1"/>
  <c r="F30" i="19" s="1"/>
  <c r="F31" i="19" s="1"/>
  <c r="F32" i="19" s="1"/>
  <c r="J22" i="19" l="1"/>
  <c r="K30" i="19" s="1"/>
  <c r="J24" i="19"/>
  <c r="K32" i="19" s="1"/>
  <c r="C4" i="14"/>
  <c r="C2" i="14"/>
  <c r="S80" i="11"/>
  <c r="S79" i="11" s="1"/>
  <c r="S78" i="11" s="1"/>
  <c r="S77" i="11" s="1"/>
  <c r="U76" i="11"/>
  <c r="V76" i="11" s="1"/>
  <c r="W76" i="11" s="1"/>
  <c r="X76" i="11" s="1"/>
  <c r="S76" i="11"/>
  <c r="S70" i="11"/>
  <c r="S69" i="11" s="1"/>
  <c r="S68" i="11" s="1"/>
  <c r="S67" i="11" s="1"/>
  <c r="U66" i="11"/>
  <c r="V66" i="11" s="1"/>
  <c r="W66" i="11" s="1"/>
  <c r="X66" i="11" s="1"/>
  <c r="S66" i="11"/>
  <c r="S60" i="11"/>
  <c r="S59" i="11" s="1"/>
  <c r="S58" i="11" s="1"/>
  <c r="S57" i="11" s="1"/>
  <c r="U56" i="11"/>
  <c r="V56" i="11" s="1"/>
  <c r="W56" i="11" s="1"/>
  <c r="X56" i="11" s="1"/>
  <c r="S56" i="11"/>
  <c r="E14" i="9"/>
  <c r="J28" i="9" s="1"/>
  <c r="K80" i="11"/>
  <c r="K79" i="11" s="1"/>
  <c r="K78" i="11" s="1"/>
  <c r="K77" i="11" s="1"/>
  <c r="M76" i="11"/>
  <c r="N76" i="11" s="1"/>
  <c r="O76" i="11" s="1"/>
  <c r="P76" i="11" s="1"/>
  <c r="K76" i="11"/>
  <c r="K70" i="11"/>
  <c r="K69" i="11" s="1"/>
  <c r="K68" i="11" s="1"/>
  <c r="K67" i="11" s="1"/>
  <c r="M66" i="11"/>
  <c r="N66" i="11" s="1"/>
  <c r="O66" i="11" s="1"/>
  <c r="P66" i="11" s="1"/>
  <c r="K66" i="11"/>
  <c r="K60" i="11"/>
  <c r="K59" i="11" s="1"/>
  <c r="K58" i="11" s="1"/>
  <c r="K57" i="11" s="1"/>
  <c r="M56" i="11"/>
  <c r="N56" i="11" s="1"/>
  <c r="O56" i="11" s="1"/>
  <c r="P56" i="11" s="1"/>
  <c r="K56" i="11"/>
  <c r="C80" i="11"/>
  <c r="C79" i="11"/>
  <c r="C78" i="11"/>
  <c r="C77" i="11" s="1"/>
  <c r="E76" i="11"/>
  <c r="F76" i="11" s="1"/>
  <c r="G76" i="11" s="1"/>
  <c r="H76" i="11" s="1"/>
  <c r="C76" i="11"/>
  <c r="C70" i="11"/>
  <c r="C69" i="11" s="1"/>
  <c r="C68" i="11" s="1"/>
  <c r="C67" i="11" s="1"/>
  <c r="E66" i="11"/>
  <c r="F66" i="11" s="1"/>
  <c r="G66" i="11" s="1"/>
  <c r="H66" i="11" s="1"/>
  <c r="C66" i="11"/>
  <c r="C60" i="11"/>
  <c r="C59" i="11" s="1"/>
  <c r="C58" i="11" s="1"/>
  <c r="C57" i="11" s="1"/>
  <c r="E56" i="11"/>
  <c r="F56" i="11" s="1"/>
  <c r="G56" i="11" s="1"/>
  <c r="H56" i="11" s="1"/>
  <c r="C56" i="11"/>
  <c r="G29" i="18"/>
  <c r="H29" i="18"/>
  <c r="G30" i="18"/>
  <c r="H30" i="18"/>
  <c r="G33" i="18"/>
  <c r="H33" i="18"/>
  <c r="G34" i="18"/>
  <c r="H34" i="18"/>
  <c r="G35" i="18"/>
  <c r="H35" i="18"/>
  <c r="G36" i="18"/>
  <c r="H36" i="18"/>
  <c r="G37" i="18"/>
  <c r="H37" i="18"/>
  <c r="G38" i="18"/>
  <c r="H38" i="18"/>
  <c r="G39" i="18"/>
  <c r="H39" i="18"/>
  <c r="G40" i="18"/>
  <c r="H40" i="18"/>
  <c r="I40" i="18"/>
  <c r="G41" i="18"/>
  <c r="H41" i="18"/>
  <c r="G46" i="18"/>
  <c r="H46" i="18"/>
  <c r="G47" i="18"/>
  <c r="H47" i="18"/>
  <c r="I47" i="18"/>
  <c r="F30" i="18"/>
  <c r="F33" i="18"/>
  <c r="F34" i="18"/>
  <c r="F35" i="18"/>
  <c r="F36" i="18"/>
  <c r="F37" i="18"/>
  <c r="F38" i="18"/>
  <c r="F39" i="18"/>
  <c r="F40" i="18"/>
  <c r="F41" i="18"/>
  <c r="F46" i="18"/>
  <c r="F47" i="18"/>
  <c r="F29" i="18"/>
  <c r="F28" i="18"/>
  <c r="G28" i="18" s="1"/>
  <c r="H28" i="18" s="1"/>
  <c r="I28" i="18" s="1"/>
  <c r="J28" i="18" s="1"/>
  <c r="K28" i="18" s="1"/>
  <c r="L28" i="18" s="1"/>
  <c r="M28" i="18" s="1"/>
  <c r="F6" i="18"/>
  <c r="G6" i="18" s="1"/>
  <c r="H6" i="18" s="1"/>
  <c r="I6" i="18" s="1"/>
  <c r="J6" i="18" s="1"/>
  <c r="K6" i="18" s="1"/>
  <c r="L6" i="18" s="1"/>
  <c r="M6" i="18" s="1"/>
  <c r="B4" i="18"/>
  <c r="B2" i="18"/>
  <c r="F42" i="13"/>
  <c r="G42" i="13" s="1"/>
  <c r="H42" i="13" s="1"/>
  <c r="I42" i="13" s="1"/>
  <c r="J42" i="13" s="1"/>
  <c r="K42" i="13" s="1"/>
  <c r="L42" i="13" s="1"/>
  <c r="M42" i="13" s="1"/>
  <c r="G36" i="13"/>
  <c r="H36" i="13" s="1"/>
  <c r="I36" i="13" s="1"/>
  <c r="J36" i="13" s="1"/>
  <c r="K36" i="13" s="1"/>
  <c r="L36" i="13" s="1"/>
  <c r="M36" i="13" s="1"/>
  <c r="F36" i="13"/>
  <c r="F26" i="13"/>
  <c r="G26" i="13" s="1"/>
  <c r="H26" i="13" s="1"/>
  <c r="I26" i="13" s="1"/>
  <c r="J26" i="13" s="1"/>
  <c r="K26" i="13" s="1"/>
  <c r="L26" i="13" s="1"/>
  <c r="M26" i="13" s="1"/>
  <c r="F18" i="13"/>
  <c r="G18" i="13" s="1"/>
  <c r="H18" i="13" s="1"/>
  <c r="I18" i="13" s="1"/>
  <c r="J18" i="13" s="1"/>
  <c r="K18" i="13" s="1"/>
  <c r="L18" i="13" s="1"/>
  <c r="M18" i="13" s="1"/>
  <c r="F8" i="13"/>
  <c r="G8" i="13" s="1"/>
  <c r="H8" i="13" s="1"/>
  <c r="I8" i="13" s="1"/>
  <c r="J8" i="13" s="1"/>
  <c r="K8" i="13" s="1"/>
  <c r="L8" i="13" s="1"/>
  <c r="M8" i="13" s="1"/>
  <c r="K24" i="19" l="1"/>
  <c r="L32" i="19" s="1"/>
  <c r="P32" i="19" s="1"/>
  <c r="L37" i="19" s="1"/>
  <c r="E49" i="14" s="1" a="1"/>
  <c r="K21" i="19"/>
  <c r="L29" i="19" s="1"/>
  <c r="P29" i="19" s="1"/>
  <c r="L34" i="19" s="1"/>
  <c r="K23" i="19"/>
  <c r="L31" i="19" s="1"/>
  <c r="P31" i="19" s="1"/>
  <c r="L36" i="19" s="1"/>
  <c r="G49" i="14" s="1" a="1"/>
  <c r="K22" i="19"/>
  <c r="L30" i="19" s="1"/>
  <c r="P30" i="19" s="1"/>
  <c r="L35" i="19" s="1"/>
  <c r="F49" i="14" s="1" a="1"/>
  <c r="C50" i="11"/>
  <c r="C49" i="11" s="1"/>
  <c r="C48" i="11" s="1"/>
  <c r="C47" i="11" s="1"/>
  <c r="E46" i="11"/>
  <c r="F46" i="11" s="1"/>
  <c r="G46" i="11" s="1"/>
  <c r="H46" i="11" s="1"/>
  <c r="G40" i="11"/>
  <c r="J101" i="9"/>
  <c r="J97" i="9"/>
  <c r="N86" i="9"/>
  <c r="J86" i="9"/>
  <c r="G37" i="11"/>
  <c r="G33" i="11"/>
  <c r="G32" i="11" s="1"/>
  <c r="H32" i="11" s="1"/>
  <c r="I32" i="11" s="1"/>
  <c r="J32" i="11" s="1"/>
  <c r="K32" i="11" s="1"/>
  <c r="E15" i="11"/>
  <c r="E16" i="11"/>
  <c r="N109" i="9"/>
  <c r="N110" i="9" s="1"/>
  <c r="J109" i="9"/>
  <c r="J110" i="9" s="1"/>
  <c r="N105" i="9"/>
  <c r="N106" i="9" s="1"/>
  <c r="J105" i="9"/>
  <c r="J106" i="9" s="1"/>
  <c r="K101" i="9"/>
  <c r="L101" i="9" s="1"/>
  <c r="N97" i="9"/>
  <c r="N98" i="9" s="1"/>
  <c r="J98" i="9"/>
  <c r="N66" i="9"/>
  <c r="N67" i="9" s="1"/>
  <c r="J66" i="9"/>
  <c r="J67" i="9" s="1"/>
  <c r="N56" i="9"/>
  <c r="N57" i="9" s="1"/>
  <c r="J56" i="9"/>
  <c r="J57" i="9" s="1"/>
  <c r="O60" i="9"/>
  <c r="O61" i="9"/>
  <c r="N41" i="9"/>
  <c r="J41" i="9"/>
  <c r="N37" i="9"/>
  <c r="J37" i="9"/>
  <c r="N43" i="9"/>
  <c r="J43" i="9"/>
  <c r="N39" i="9"/>
  <c r="J39" i="9"/>
  <c r="N35" i="9"/>
  <c r="J35" i="9"/>
  <c r="N33" i="9"/>
  <c r="J33" i="9"/>
  <c r="N31" i="9"/>
  <c r="J31" i="9"/>
  <c r="N29" i="9"/>
  <c r="J29" i="9"/>
  <c r="E15" i="9"/>
  <c r="N64" i="9" s="1"/>
  <c r="N40" i="9"/>
  <c r="G17" i="9"/>
  <c r="H17" i="9" s="1"/>
  <c r="I17" i="9" s="1"/>
  <c r="J17" i="9" s="1"/>
  <c r="K17" i="9" s="1"/>
  <c r="L17" i="9" s="1"/>
  <c r="M17" i="9" s="1"/>
  <c r="N17" i="9" s="1"/>
  <c r="G101" i="8"/>
  <c r="H101" i="8" s="1"/>
  <c r="I101" i="8" s="1"/>
  <c r="J101" i="8" s="1"/>
  <c r="K101" i="8" s="1"/>
  <c r="L101" i="8" s="1"/>
  <c r="M101" i="8" s="1"/>
  <c r="N101" i="8" s="1"/>
  <c r="G47" i="8"/>
  <c r="H47" i="8" s="1"/>
  <c r="I47" i="8" s="1"/>
  <c r="J47" i="8" s="1"/>
  <c r="K47" i="8" s="1"/>
  <c r="L47" i="8" s="1"/>
  <c r="M47" i="8" s="1"/>
  <c r="N47" i="8" s="1"/>
  <c r="G13" i="8"/>
  <c r="H13" i="8" s="1"/>
  <c r="I13" i="8" s="1"/>
  <c r="J13" i="8" s="1"/>
  <c r="K13" i="8" s="1"/>
  <c r="L13" i="8" s="1"/>
  <c r="M13" i="8" s="1"/>
  <c r="N13" i="8" s="1"/>
  <c r="K5" i="16"/>
  <c r="J4" i="16"/>
  <c r="J5" i="16"/>
  <c r="L5" i="16" s="1"/>
  <c r="J6" i="16"/>
  <c r="K6" i="16" s="1"/>
  <c r="J7" i="16"/>
  <c r="L7" i="16" s="1"/>
  <c r="J16" i="16"/>
  <c r="L16" i="16" s="1"/>
  <c r="J17" i="16"/>
  <c r="L17" i="16" s="1"/>
  <c r="J18" i="16"/>
  <c r="K18" i="16" s="1"/>
  <c r="J19" i="16"/>
  <c r="L19" i="16" s="1"/>
  <c r="J23" i="16"/>
  <c r="L23" i="16" s="1"/>
  <c r="J24" i="16"/>
  <c r="K24" i="16" s="1"/>
  <c r="J25" i="16"/>
  <c r="L25" i="16" s="1"/>
  <c r="I4" i="16"/>
  <c r="I5" i="16"/>
  <c r="I6" i="16"/>
  <c r="I7" i="16"/>
  <c r="I8" i="16"/>
  <c r="J8" i="16" s="1"/>
  <c r="I9" i="16"/>
  <c r="J9" i="16" s="1"/>
  <c r="I10" i="16"/>
  <c r="J10" i="16" s="1"/>
  <c r="I11" i="16"/>
  <c r="J11" i="16" s="1"/>
  <c r="I12" i="16"/>
  <c r="J12" i="16" s="1"/>
  <c r="I13" i="16"/>
  <c r="J13" i="16" s="1"/>
  <c r="I14" i="16"/>
  <c r="J14" i="16" s="1"/>
  <c r="I15" i="16"/>
  <c r="J15" i="16" s="1"/>
  <c r="I16" i="16"/>
  <c r="I17" i="16"/>
  <c r="I18" i="16"/>
  <c r="I19" i="16"/>
  <c r="I20" i="16"/>
  <c r="J20" i="16" s="1"/>
  <c r="I21" i="16"/>
  <c r="J21" i="16" s="1"/>
  <c r="I22" i="16"/>
  <c r="J22" i="16" s="1"/>
  <c r="I23" i="16"/>
  <c r="I24" i="16"/>
  <c r="I25" i="16"/>
  <c r="D367" i="16"/>
  <c r="D366" i="16"/>
  <c r="D365" i="16"/>
  <c r="D364" i="16"/>
  <c r="D363" i="16"/>
  <c r="D362" i="16"/>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H10" i="10"/>
  <c r="G49" i="14" l="1"/>
  <c r="G52" i="14"/>
  <c r="G51" i="14"/>
  <c r="G50" i="14"/>
  <c r="F49" i="14"/>
  <c r="F52" i="14"/>
  <c r="F51" i="14"/>
  <c r="F50" i="14"/>
  <c r="E51" i="14"/>
  <c r="E49" i="14"/>
  <c r="E52" i="14"/>
  <c r="E50" i="14"/>
  <c r="E19" i="11"/>
  <c r="N95" i="9"/>
  <c r="N107" i="9"/>
  <c r="J54" i="9"/>
  <c r="J107" i="9"/>
  <c r="J99" i="9"/>
  <c r="N103" i="9"/>
  <c r="N99" i="9"/>
  <c r="J103" i="9"/>
  <c r="J95" i="9"/>
  <c r="J102" i="9"/>
  <c r="K102" i="9" s="1"/>
  <c r="L102" i="9" s="1"/>
  <c r="M102" i="9" s="1"/>
  <c r="M101" i="9"/>
  <c r="J64" i="9"/>
  <c r="N54" i="9"/>
  <c r="J32" i="9"/>
  <c r="N32" i="9"/>
  <c r="N36" i="9"/>
  <c r="J40" i="9"/>
  <c r="J36" i="9"/>
  <c r="N28" i="9"/>
  <c r="K15" i="16"/>
  <c r="L15" i="16"/>
  <c r="L12" i="16"/>
  <c r="K12" i="16"/>
  <c r="K14" i="16"/>
  <c r="L14" i="16"/>
  <c r="K13" i="16"/>
  <c r="L13" i="16"/>
  <c r="L11" i="16"/>
  <c r="K11" i="16"/>
  <c r="J26" i="16"/>
  <c r="K25" i="16"/>
  <c r="L24" i="16"/>
  <c r="K17" i="16"/>
  <c r="K4" i="16"/>
  <c r="K23" i="16"/>
  <c r="K16" i="16"/>
  <c r="K22" i="16"/>
  <c r="L22" i="16"/>
  <c r="K21" i="16"/>
  <c r="L21" i="16"/>
  <c r="K20" i="16"/>
  <c r="L20" i="16"/>
  <c r="K10" i="16"/>
  <c r="L10" i="16"/>
  <c r="K9" i="16"/>
  <c r="L9" i="16"/>
  <c r="L8" i="16"/>
  <c r="K8" i="16"/>
  <c r="L18" i="16"/>
  <c r="L6" i="16"/>
  <c r="K19" i="16"/>
  <c r="K7" i="16"/>
  <c r="L4" i="16"/>
  <c r="B4" i="13"/>
  <c r="B2" i="13"/>
  <c r="H11" i="10"/>
  <c r="D18" i="10"/>
  <c r="D20" i="10" s="1"/>
  <c r="L20" i="6"/>
  <c r="L21" i="6" l="1"/>
  <c r="D10" i="10" s="1"/>
  <c r="H15" i="10"/>
  <c r="K26" i="16"/>
  <c r="L26" i="16"/>
  <c r="H13" i="6" l="1"/>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12" i="6"/>
  <c r="L10" i="6" l="1"/>
  <c r="L12" i="6" s="1"/>
  <c r="L15" i="6"/>
  <c r="B4" i="11"/>
  <c r="B2" i="11"/>
  <c r="B4" i="10"/>
  <c r="B2" i="10"/>
  <c r="B4" i="6"/>
  <c r="B2" i="6"/>
  <c r="L103" i="3"/>
  <c r="K128" i="8" s="1"/>
  <c r="M103" i="3"/>
  <c r="L128" i="8" s="1"/>
  <c r="N103" i="3"/>
  <c r="M128" i="8" s="1"/>
  <c r="O103" i="3"/>
  <c r="N128" i="8" s="1"/>
  <c r="K103" i="3"/>
  <c r="J128" i="8" s="1"/>
  <c r="J135" i="8"/>
  <c r="L18" i="6" l="1"/>
  <c r="D11" i="10" s="1"/>
  <c r="D12" i="10" s="1"/>
  <c r="P21" i="2"/>
  <c r="K100" i="3"/>
  <c r="J68" i="8"/>
  <c r="K68" i="8" s="1"/>
  <c r="L68" i="8" s="1"/>
  <c r="M68" i="8" s="1"/>
  <c r="N68" i="8" s="1"/>
  <c r="H93" i="3"/>
  <c r="H96" i="3" s="1"/>
  <c r="I93" i="3"/>
  <c r="I96" i="3" s="1"/>
  <c r="J93" i="3"/>
  <c r="J96" i="3" s="1"/>
  <c r="H94" i="3"/>
  <c r="H97" i="3" s="1"/>
  <c r="I94" i="3"/>
  <c r="I97" i="3" s="1"/>
  <c r="J94" i="3"/>
  <c r="J97" i="3" s="1"/>
  <c r="G94" i="3"/>
  <c r="G97" i="3" s="1"/>
  <c r="G93" i="3"/>
  <c r="G96" i="3" s="1"/>
  <c r="H87" i="3"/>
  <c r="H90" i="3" s="1"/>
  <c r="I87" i="3"/>
  <c r="I90" i="3" s="1"/>
  <c r="J87" i="3"/>
  <c r="J90" i="3" s="1"/>
  <c r="G87" i="3"/>
  <c r="G90" i="3" s="1"/>
  <c r="H86" i="3"/>
  <c r="H89" i="3" s="1"/>
  <c r="I86" i="3"/>
  <c r="I89" i="3" s="1"/>
  <c r="J86" i="3"/>
  <c r="J89" i="3" s="1"/>
  <c r="G86" i="3"/>
  <c r="G89" i="3" s="1"/>
  <c r="J82" i="8"/>
  <c r="K82" i="8" s="1"/>
  <c r="L82" i="8" s="1"/>
  <c r="M82" i="8" s="1"/>
  <c r="N82" i="8" s="1"/>
  <c r="J89" i="8"/>
  <c r="K89" i="8" s="1"/>
  <c r="L89" i="8" s="1"/>
  <c r="M89" i="8" s="1"/>
  <c r="N89" i="8" s="1"/>
  <c r="J84" i="8"/>
  <c r="K84" i="8" s="1"/>
  <c r="L84" i="8" s="1"/>
  <c r="M84" i="8" s="1"/>
  <c r="N84" i="8" s="1"/>
  <c r="J94" i="8"/>
  <c r="K94" i="8" s="1"/>
  <c r="L94" i="8" s="1"/>
  <c r="M94" i="8" s="1"/>
  <c r="N94" i="8" s="1"/>
  <c r="J76" i="8"/>
  <c r="K76" i="8" s="1"/>
  <c r="L76" i="8" s="1"/>
  <c r="M76" i="8" s="1"/>
  <c r="N76" i="8" s="1"/>
  <c r="J93" i="8"/>
  <c r="K93" i="8" s="1"/>
  <c r="L93" i="8" s="1"/>
  <c r="M93" i="8" s="1"/>
  <c r="N93" i="8" s="1"/>
  <c r="H69" i="3"/>
  <c r="H83" i="3" s="1"/>
  <c r="I69" i="3"/>
  <c r="I83" i="3" s="1"/>
  <c r="J69" i="3"/>
  <c r="J83" i="3" s="1"/>
  <c r="K83" i="3" s="1"/>
  <c r="L83" i="3" s="1"/>
  <c r="M83" i="3" s="1"/>
  <c r="N83" i="3" s="1"/>
  <c r="O83" i="3" s="1"/>
  <c r="G69" i="3"/>
  <c r="G83" i="3" s="1"/>
  <c r="H67" i="3"/>
  <c r="I67" i="3"/>
  <c r="J67" i="3"/>
  <c r="H68" i="3"/>
  <c r="H82" i="3" s="1"/>
  <c r="I68" i="3"/>
  <c r="I82" i="3" s="1"/>
  <c r="J68" i="3"/>
  <c r="J82" i="3" s="1"/>
  <c r="K82" i="3" s="1"/>
  <c r="L82" i="3" s="1"/>
  <c r="M82" i="3" s="1"/>
  <c r="N82" i="3" s="1"/>
  <c r="O82" i="3" s="1"/>
  <c r="G68" i="3"/>
  <c r="G82" i="3" s="1"/>
  <c r="G67" i="3"/>
  <c r="H63" i="3"/>
  <c r="H79" i="3" s="1"/>
  <c r="I63" i="3"/>
  <c r="I79" i="3" s="1"/>
  <c r="J63" i="3"/>
  <c r="J79" i="3" s="1"/>
  <c r="K79" i="3" s="1"/>
  <c r="L79" i="3" s="1"/>
  <c r="M79" i="3" s="1"/>
  <c r="N79" i="3" s="1"/>
  <c r="O79" i="3" s="1"/>
  <c r="G63" i="3"/>
  <c r="G79" i="3" s="1"/>
  <c r="H62" i="3"/>
  <c r="H78" i="3" s="1"/>
  <c r="I62" i="3"/>
  <c r="I78" i="3" s="1"/>
  <c r="J62" i="3"/>
  <c r="J78" i="3" s="1"/>
  <c r="K78" i="3" s="1"/>
  <c r="L78" i="3" s="1"/>
  <c r="M78" i="3" s="1"/>
  <c r="N78" i="3" s="1"/>
  <c r="O78" i="3" s="1"/>
  <c r="G62" i="3"/>
  <c r="G78" i="3" s="1"/>
  <c r="H61" i="3"/>
  <c r="H72" i="3" s="1"/>
  <c r="I61" i="3"/>
  <c r="I72" i="3" s="1"/>
  <c r="J61" i="3"/>
  <c r="G61" i="3"/>
  <c r="G72" i="3" s="1"/>
  <c r="J57" i="8"/>
  <c r="K57" i="8" s="1"/>
  <c r="L57" i="8" s="1"/>
  <c r="M57" i="8" s="1"/>
  <c r="N57" i="8" s="1"/>
  <c r="J52" i="8"/>
  <c r="K52" i="8" s="1"/>
  <c r="L52" i="8" s="1"/>
  <c r="M52" i="8" s="1"/>
  <c r="N52" i="8" s="1"/>
  <c r="H35" i="3"/>
  <c r="I35" i="3"/>
  <c r="J35" i="3"/>
  <c r="G35" i="3"/>
  <c r="K25" i="3"/>
  <c r="L25" i="3"/>
  <c r="M25" i="3"/>
  <c r="N25" i="3"/>
  <c r="O25" i="3"/>
  <c r="I38" i="3"/>
  <c r="K51" i="3"/>
  <c r="J51" i="3"/>
  <c r="J38" i="3" s="1"/>
  <c r="L43" i="3"/>
  <c r="M43" i="3"/>
  <c r="N43" i="3"/>
  <c r="O43" i="3"/>
  <c r="K43" i="3"/>
  <c r="K41" i="3"/>
  <c r="J41" i="3"/>
  <c r="I13" i="3"/>
  <c r="J13" i="3"/>
  <c r="I16" i="3"/>
  <c r="J16" i="3"/>
  <c r="G6" i="3"/>
  <c r="H6" i="3" s="1"/>
  <c r="I6" i="3" s="1"/>
  <c r="J6" i="3" s="1"/>
  <c r="K6" i="3" s="1"/>
  <c r="L6" i="3" s="1"/>
  <c r="M6" i="3" s="1"/>
  <c r="N6" i="3" s="1"/>
  <c r="O6" i="3" s="1"/>
  <c r="J70" i="8"/>
  <c r="K70" i="8" s="1"/>
  <c r="L70" i="8" s="1"/>
  <c r="M70" i="8" s="1"/>
  <c r="N70" i="8" s="1"/>
  <c r="J65" i="8"/>
  <c r="K65" i="8" s="1"/>
  <c r="L65" i="8" s="1"/>
  <c r="M65" i="8" s="1"/>
  <c r="N65" i="8" s="1"/>
  <c r="J60" i="8"/>
  <c r="K60" i="8" s="1"/>
  <c r="L60" i="8" s="1"/>
  <c r="M60" i="8" s="1"/>
  <c r="N60" i="8" s="1"/>
  <c r="J59" i="8"/>
  <c r="K59" i="8" s="1"/>
  <c r="L59" i="8" s="1"/>
  <c r="M59" i="8" s="1"/>
  <c r="N59" i="8" s="1"/>
  <c r="J56" i="8"/>
  <c r="K56" i="8" s="1"/>
  <c r="L56" i="8" s="1"/>
  <c r="M56" i="8" s="1"/>
  <c r="N56" i="8" s="1"/>
  <c r="J53" i="8"/>
  <c r="K53" i="8" s="1"/>
  <c r="L53" i="8" s="1"/>
  <c r="M53" i="8" s="1"/>
  <c r="N53" i="8" s="1"/>
  <c r="J51" i="8"/>
  <c r="K51" i="8" s="1"/>
  <c r="L51" i="8" s="1"/>
  <c r="M51" i="8" s="1"/>
  <c r="N51" i="8" s="1"/>
  <c r="H18" i="2"/>
  <c r="I18" i="2"/>
  <c r="J18" i="2"/>
  <c r="G18" i="2"/>
  <c r="I41" i="8"/>
  <c r="J44" i="8"/>
  <c r="K44" i="8" s="1"/>
  <c r="L44" i="8" s="1"/>
  <c r="M44" i="8" s="1"/>
  <c r="N44" i="8" s="1"/>
  <c r="O32" i="8"/>
  <c r="O27" i="8"/>
  <c r="P26" i="8"/>
  <c r="O26" i="8"/>
  <c r="O25" i="8"/>
  <c r="O24" i="8"/>
  <c r="O23" i="8"/>
  <c r="O22" i="8"/>
  <c r="O21" i="8"/>
  <c r="O20" i="8"/>
  <c r="O19" i="8"/>
  <c r="O16" i="8"/>
  <c r="O15" i="8"/>
  <c r="K55" i="9"/>
  <c r="K56" i="9" s="1"/>
  <c r="K57" i="9" s="1"/>
  <c r="H15" i="2"/>
  <c r="I15" i="2"/>
  <c r="J15" i="2"/>
  <c r="G15" i="2"/>
  <c r="H12" i="2"/>
  <c r="H13" i="2" s="1"/>
  <c r="I12" i="2"/>
  <c r="I13" i="2" s="1"/>
  <c r="J12" i="2"/>
  <c r="J13" i="2" s="1"/>
  <c r="G12" i="2"/>
  <c r="K108" i="9"/>
  <c r="K107" i="9" s="1"/>
  <c r="K104" i="9"/>
  <c r="K103" i="9" s="1"/>
  <c r="K100" i="9"/>
  <c r="K96" i="9"/>
  <c r="G92" i="9"/>
  <c r="H92" i="9"/>
  <c r="I92" i="9"/>
  <c r="G93" i="9"/>
  <c r="H93" i="9"/>
  <c r="I93" i="9"/>
  <c r="F93" i="9"/>
  <c r="F92" i="9"/>
  <c r="G90" i="9"/>
  <c r="H90" i="9"/>
  <c r="I90" i="9"/>
  <c r="G91" i="9"/>
  <c r="H91" i="9"/>
  <c r="I91" i="9"/>
  <c r="F91" i="9"/>
  <c r="F90" i="9"/>
  <c r="O81" i="9"/>
  <c r="O80" i="9"/>
  <c r="O79" i="9"/>
  <c r="O78" i="9"/>
  <c r="O76" i="9"/>
  <c r="O75" i="9"/>
  <c r="O74" i="9"/>
  <c r="O72" i="9"/>
  <c r="O71" i="9"/>
  <c r="O70" i="9"/>
  <c r="K85" i="9"/>
  <c r="I82" i="9"/>
  <c r="H82" i="9"/>
  <c r="G82" i="9"/>
  <c r="F82" i="9"/>
  <c r="K65" i="9"/>
  <c r="H62" i="9"/>
  <c r="G62" i="9"/>
  <c r="F62" i="9"/>
  <c r="I62" i="9"/>
  <c r="O48" i="9"/>
  <c r="O49" i="9"/>
  <c r="O50" i="9"/>
  <c r="O51" i="9"/>
  <c r="F52" i="9"/>
  <c r="G52" i="9"/>
  <c r="H52" i="9"/>
  <c r="I52" i="9"/>
  <c r="G6" i="2"/>
  <c r="H6" i="2" s="1"/>
  <c r="I6" i="2" s="1"/>
  <c r="J6" i="2" s="1"/>
  <c r="K6" i="2" s="1"/>
  <c r="L6" i="2" s="1"/>
  <c r="M6" i="2" s="1"/>
  <c r="N6" i="2" s="1"/>
  <c r="O6" i="2" s="1"/>
  <c r="J72" i="3" l="1"/>
  <c r="I81" i="3"/>
  <c r="I70" i="3"/>
  <c r="I77" i="3"/>
  <c r="I64" i="3"/>
  <c r="H77" i="3"/>
  <c r="H64" i="3"/>
  <c r="H81" i="3"/>
  <c r="H70" i="3"/>
  <c r="G77" i="3"/>
  <c r="G64" i="3"/>
  <c r="G81" i="3"/>
  <c r="G70" i="3"/>
  <c r="K97" i="9"/>
  <c r="K98" i="9" s="1"/>
  <c r="K95" i="9"/>
  <c r="L100" i="9"/>
  <c r="L99" i="9" s="1"/>
  <c r="K99" i="9"/>
  <c r="L85" i="9"/>
  <c r="L86" i="9" s="1"/>
  <c r="K86" i="9"/>
  <c r="H14" i="10"/>
  <c r="H16" i="10" s="1"/>
  <c r="L104" i="9"/>
  <c r="L103" i="9" s="1"/>
  <c r="K105" i="9"/>
  <c r="K106" i="9" s="1"/>
  <c r="L108" i="9"/>
  <c r="L107" i="9" s="1"/>
  <c r="K109" i="9"/>
  <c r="K110" i="9" s="1"/>
  <c r="K64" i="9"/>
  <c r="K66" i="9"/>
  <c r="K67" i="9" s="1"/>
  <c r="G54" i="9"/>
  <c r="L55" i="9"/>
  <c r="K54" i="9"/>
  <c r="K29" i="9"/>
  <c r="K31" i="9"/>
  <c r="K28" i="9"/>
  <c r="O91" i="9"/>
  <c r="P12" i="2"/>
  <c r="P18" i="2"/>
  <c r="J77" i="3"/>
  <c r="K77" i="3" s="1"/>
  <c r="L77" i="3" s="1"/>
  <c r="M77" i="3" s="1"/>
  <c r="N77" i="3" s="1"/>
  <c r="O77" i="3" s="1"/>
  <c r="J64" i="3"/>
  <c r="J81" i="3"/>
  <c r="K81" i="3" s="1"/>
  <c r="L81" i="3" s="1"/>
  <c r="M81" i="3" s="1"/>
  <c r="N81" i="3" s="1"/>
  <c r="O81" i="3" s="1"/>
  <c r="J70" i="3"/>
  <c r="K97" i="3"/>
  <c r="L97" i="3" s="1"/>
  <c r="M97" i="3" s="1"/>
  <c r="K38" i="3"/>
  <c r="L38" i="3" s="1"/>
  <c r="M38" i="3" s="1"/>
  <c r="H95" i="9"/>
  <c r="I107" i="9"/>
  <c r="G13" i="2"/>
  <c r="K13" i="2" s="1"/>
  <c r="L13" i="2" s="1"/>
  <c r="M13" i="2" s="1"/>
  <c r="N13" i="2" s="1"/>
  <c r="O13" i="2" s="1"/>
  <c r="O92" i="9"/>
  <c r="O93" i="9"/>
  <c r="K35" i="3"/>
  <c r="L35" i="3" s="1"/>
  <c r="O90" i="9"/>
  <c r="K96" i="3"/>
  <c r="L96" i="3" s="1"/>
  <c r="P15" i="2"/>
  <c r="K89" i="3"/>
  <c r="L89" i="3" s="1"/>
  <c r="K90" i="3"/>
  <c r="L90" i="3" s="1"/>
  <c r="L96" i="9"/>
  <c r="L95" i="9" s="1"/>
  <c r="J93" i="9"/>
  <c r="O82" i="9"/>
  <c r="I95" i="9"/>
  <c r="J90" i="9"/>
  <c r="J91" i="9"/>
  <c r="J92" i="9"/>
  <c r="I99" i="9"/>
  <c r="H103" i="9"/>
  <c r="I103" i="9"/>
  <c r="H107" i="9"/>
  <c r="H84" i="9"/>
  <c r="I84" i="9"/>
  <c r="G95" i="9"/>
  <c r="G103" i="9"/>
  <c r="G107" i="9"/>
  <c r="G84" i="9"/>
  <c r="G99" i="9"/>
  <c r="H99" i="9"/>
  <c r="J52" i="9"/>
  <c r="J19" i="8" s="1"/>
  <c r="I33" i="18" s="1"/>
  <c r="O62" i="9"/>
  <c r="I54" i="9"/>
  <c r="O52" i="9"/>
  <c r="G64" i="9"/>
  <c r="J62" i="9"/>
  <c r="J22" i="8" s="1"/>
  <c r="I36" i="18" s="1"/>
  <c r="H64" i="9"/>
  <c r="L65" i="9"/>
  <c r="I64" i="9"/>
  <c r="H54" i="9"/>
  <c r="O21" i="9"/>
  <c r="O22" i="9"/>
  <c r="O23" i="9"/>
  <c r="O20" i="9"/>
  <c r="H36" i="9"/>
  <c r="I36" i="9"/>
  <c r="H40" i="9"/>
  <c r="I40" i="9"/>
  <c r="G40" i="9"/>
  <c r="G28" i="9"/>
  <c r="G36" i="9"/>
  <c r="G32" i="9"/>
  <c r="H28" i="9"/>
  <c r="I28" i="9"/>
  <c r="F6" i="9"/>
  <c r="G6" i="9" s="1"/>
  <c r="H6" i="9" s="1"/>
  <c r="I6" i="9" s="1"/>
  <c r="J6" i="9" s="1"/>
  <c r="K6" i="9" s="1"/>
  <c r="L6" i="9" s="1"/>
  <c r="M6" i="9" s="1"/>
  <c r="N6" i="9" s="1"/>
  <c r="F24" i="9"/>
  <c r="G24" i="9"/>
  <c r="H24" i="9"/>
  <c r="I24" i="9"/>
  <c r="G95" i="8"/>
  <c r="F21" i="13" s="1"/>
  <c r="F95" i="8"/>
  <c r="E21" i="13" s="1"/>
  <c r="G86" i="8"/>
  <c r="F86" i="8"/>
  <c r="G79" i="8"/>
  <c r="F79" i="8"/>
  <c r="H95" i="8"/>
  <c r="G21" i="13" s="1"/>
  <c r="I95" i="8"/>
  <c r="H86" i="8"/>
  <c r="I86" i="8"/>
  <c r="I79" i="8"/>
  <c r="H79" i="8"/>
  <c r="G72" i="8"/>
  <c r="F72" i="8"/>
  <c r="F62" i="8"/>
  <c r="G62" i="8"/>
  <c r="H72" i="8"/>
  <c r="I72" i="8"/>
  <c r="H62" i="8"/>
  <c r="I62" i="8"/>
  <c r="F28" i="8"/>
  <c r="F17" i="8"/>
  <c r="G41" i="8"/>
  <c r="F41" i="8"/>
  <c r="G28" i="8"/>
  <c r="H28" i="8"/>
  <c r="G17" i="8"/>
  <c r="H41" i="8"/>
  <c r="H17" i="8"/>
  <c r="I28" i="8"/>
  <c r="I17" i="8"/>
  <c r="G8" i="1"/>
  <c r="B4" i="9"/>
  <c r="B2" i="9"/>
  <c r="G28" i="13" l="1"/>
  <c r="G7" i="18"/>
  <c r="G16" i="18"/>
  <c r="G13" i="18"/>
  <c r="G18" i="18"/>
  <c r="G31" i="18"/>
  <c r="G11" i="18"/>
  <c r="G15" i="18"/>
  <c r="G19" i="18"/>
  <c r="G25" i="18"/>
  <c r="G29" i="13"/>
  <c r="G31" i="13" s="1"/>
  <c r="G33" i="13" s="1"/>
  <c r="G8" i="18"/>
  <c r="G30" i="13"/>
  <c r="G32" i="13" s="1"/>
  <c r="G14" i="18"/>
  <c r="G12" i="18"/>
  <c r="G9" i="13"/>
  <c r="G17" i="18"/>
  <c r="G9" i="18"/>
  <c r="G24" i="18"/>
  <c r="G11" i="13"/>
  <c r="G42" i="18"/>
  <c r="G20" i="18"/>
  <c r="F20" i="18"/>
  <c r="F42" i="18"/>
  <c r="E20" i="18"/>
  <c r="F11" i="18"/>
  <c r="F15" i="18"/>
  <c r="F19" i="18"/>
  <c r="F25" i="18"/>
  <c r="F12" i="18"/>
  <c r="F9" i="13"/>
  <c r="F8" i="18"/>
  <c r="F13" i="18"/>
  <c r="F14" i="18"/>
  <c r="F28" i="13"/>
  <c r="F7" i="18"/>
  <c r="F16" i="18"/>
  <c r="F17" i="18"/>
  <c r="F30" i="13"/>
  <c r="F32" i="13" s="1"/>
  <c r="F9" i="18"/>
  <c r="F18" i="18"/>
  <c r="F29" i="13"/>
  <c r="F31" i="13" s="1"/>
  <c r="F33" i="13" s="1"/>
  <c r="F24" i="18"/>
  <c r="F31" i="18"/>
  <c r="F11" i="13"/>
  <c r="E15" i="18"/>
  <c r="E30" i="13"/>
  <c r="E32" i="13" s="1"/>
  <c r="E17" i="18"/>
  <c r="E19" i="18"/>
  <c r="E8" i="18"/>
  <c r="E9" i="18"/>
  <c r="E25" i="18"/>
  <c r="E9" i="13"/>
  <c r="E12" i="18"/>
  <c r="E13" i="18"/>
  <c r="E16" i="18"/>
  <c r="E29" i="13"/>
  <c r="E31" i="13" s="1"/>
  <c r="E18" i="18"/>
  <c r="E24" i="18"/>
  <c r="E11" i="18"/>
  <c r="E7" i="18"/>
  <c r="E14" i="18"/>
  <c r="E28" i="13"/>
  <c r="E11" i="13"/>
  <c r="H11" i="13"/>
  <c r="H19" i="18"/>
  <c r="H12" i="18"/>
  <c r="H9" i="13"/>
  <c r="L16" i="1" s="1"/>
  <c r="H8" i="18"/>
  <c r="H17" i="18"/>
  <c r="H30" i="13"/>
  <c r="H32" i="13" s="1"/>
  <c r="H9" i="18"/>
  <c r="H24" i="18"/>
  <c r="H15" i="18"/>
  <c r="H28" i="13"/>
  <c r="H7" i="18"/>
  <c r="H16" i="18"/>
  <c r="H29" i="13"/>
  <c r="H31" i="13" s="1"/>
  <c r="H13" i="18"/>
  <c r="H14" i="18"/>
  <c r="H31" i="18"/>
  <c r="H11" i="18"/>
  <c r="H25" i="18"/>
  <c r="H18" i="18"/>
  <c r="H20" i="18"/>
  <c r="H42" i="18"/>
  <c r="H19" i="13"/>
  <c r="H23" i="13"/>
  <c r="H24" i="13" s="1"/>
  <c r="H34" i="13"/>
  <c r="H20" i="13"/>
  <c r="E37" i="13"/>
  <c r="G19" i="13"/>
  <c r="G20" i="13"/>
  <c r="G23" i="13"/>
  <c r="G24" i="13" s="1"/>
  <c r="G34" i="13"/>
  <c r="F37" i="13"/>
  <c r="E34" i="13"/>
  <c r="E19" i="13"/>
  <c r="E23" i="13"/>
  <c r="E24" i="13" s="1"/>
  <c r="E20" i="13"/>
  <c r="F23" i="13"/>
  <c r="F24" i="13" s="1"/>
  <c r="F19" i="13"/>
  <c r="F34" i="13"/>
  <c r="F20" i="13"/>
  <c r="G37" i="13"/>
  <c r="H37" i="13"/>
  <c r="L23" i="1" s="1"/>
  <c r="M100" i="9"/>
  <c r="M99" i="9" s="1"/>
  <c r="M85" i="9"/>
  <c r="M86" i="9" s="1"/>
  <c r="K15" i="11"/>
  <c r="M108" i="9"/>
  <c r="M107" i="9" s="1"/>
  <c r="L109" i="9"/>
  <c r="L110" i="9" s="1"/>
  <c r="M104" i="9"/>
  <c r="M103" i="9" s="1"/>
  <c r="L105" i="9"/>
  <c r="L106" i="9" s="1"/>
  <c r="M96" i="9"/>
  <c r="M95" i="9" s="1"/>
  <c r="L97" i="9"/>
  <c r="L98" i="9" s="1"/>
  <c r="L64" i="9"/>
  <c r="L66" i="9"/>
  <c r="L67" i="9" s="1"/>
  <c r="L54" i="9"/>
  <c r="L56" i="9"/>
  <c r="L57" i="9" s="1"/>
  <c r="M55" i="9"/>
  <c r="K41" i="9"/>
  <c r="K43" i="9"/>
  <c r="K40" i="9"/>
  <c r="L29" i="9"/>
  <c r="L31" i="9"/>
  <c r="K36" i="9"/>
  <c r="K39" i="9"/>
  <c r="K37" i="9"/>
  <c r="K32" i="9"/>
  <c r="K33" i="9"/>
  <c r="K35" i="9"/>
  <c r="M31" i="9"/>
  <c r="L28" i="9"/>
  <c r="K91" i="9"/>
  <c r="K21" i="8" s="1"/>
  <c r="K90" i="9"/>
  <c r="K20" i="8" s="1"/>
  <c r="O41" i="8"/>
  <c r="H30" i="8"/>
  <c r="I30" i="8"/>
  <c r="O28" i="8"/>
  <c r="G73" i="8"/>
  <c r="I73" i="8"/>
  <c r="H73" i="8"/>
  <c r="F96" i="8"/>
  <c r="F73" i="8"/>
  <c r="I96" i="8"/>
  <c r="H96" i="8"/>
  <c r="F30" i="8"/>
  <c r="O17" i="8"/>
  <c r="G96" i="8"/>
  <c r="M96" i="3"/>
  <c r="N96" i="3" s="1"/>
  <c r="O96" i="3" s="1"/>
  <c r="N97" i="3"/>
  <c r="O97" i="3" s="1"/>
  <c r="M89" i="3"/>
  <c r="N89" i="3" s="1"/>
  <c r="O89" i="3" s="1"/>
  <c r="M90" i="3"/>
  <c r="M35" i="3"/>
  <c r="N35" i="3" s="1"/>
  <c r="N38" i="3"/>
  <c r="O38" i="3" s="1"/>
  <c r="J21" i="8"/>
  <c r="I35" i="18" s="1"/>
  <c r="J23" i="8"/>
  <c r="I37" i="18" s="1"/>
  <c r="J24" i="8"/>
  <c r="I38" i="18" s="1"/>
  <c r="J20" i="8"/>
  <c r="I34" i="18" s="1"/>
  <c r="K93" i="9"/>
  <c r="K24" i="8" s="1"/>
  <c r="K92" i="9"/>
  <c r="K23" i="8" s="1"/>
  <c r="I32" i="9"/>
  <c r="K52" i="9"/>
  <c r="K62" i="9"/>
  <c r="K22" i="8" s="1"/>
  <c r="J36" i="18" s="1"/>
  <c r="H32" i="9"/>
  <c r="M65" i="9"/>
  <c r="O24" i="9"/>
  <c r="J22" i="9"/>
  <c r="J21" i="9"/>
  <c r="J23" i="9"/>
  <c r="J20" i="9"/>
  <c r="G30" i="8"/>
  <c r="B4" i="3"/>
  <c r="B2" i="3"/>
  <c r="B4" i="2"/>
  <c r="B2" i="2"/>
  <c r="B4" i="8"/>
  <c r="B2" i="8"/>
  <c r="G6" i="8"/>
  <c r="H6" i="8" s="1"/>
  <c r="I6" i="8" s="1"/>
  <c r="J6" i="8" s="1"/>
  <c r="H44" i="18" l="1"/>
  <c r="H40" i="13"/>
  <c r="H22" i="18"/>
  <c r="H10" i="13"/>
  <c r="L17" i="1" s="1"/>
  <c r="F40" i="13"/>
  <c r="F44" i="18"/>
  <c r="F22" i="18"/>
  <c r="F10" i="13"/>
  <c r="F16" i="13"/>
  <c r="E33" i="13"/>
  <c r="H33" i="13"/>
  <c r="G44" i="18"/>
  <c r="G40" i="13"/>
  <c r="G22" i="18"/>
  <c r="G10" i="13"/>
  <c r="G16" i="13"/>
  <c r="E10" i="13"/>
  <c r="E40" i="13"/>
  <c r="E22" i="18"/>
  <c r="E16" i="13"/>
  <c r="H16" i="13"/>
  <c r="L21" i="1" s="1"/>
  <c r="G39" i="13"/>
  <c r="G45" i="13" s="1"/>
  <c r="G27" i="13"/>
  <c r="G44" i="13" s="1"/>
  <c r="G14" i="13"/>
  <c r="G15" i="13"/>
  <c r="G38" i="13"/>
  <c r="H38" i="13"/>
  <c r="H15" i="13"/>
  <c r="L20" i="1" s="1"/>
  <c r="H39" i="13"/>
  <c r="H45" i="13" s="1"/>
  <c r="H27" i="13"/>
  <c r="E39" i="13"/>
  <c r="E45" i="13" s="1"/>
  <c r="E38" i="13"/>
  <c r="E27" i="13"/>
  <c r="E44" i="13" s="1"/>
  <c r="E15" i="13"/>
  <c r="F39" i="13"/>
  <c r="F45" i="13" s="1"/>
  <c r="F27" i="13"/>
  <c r="F44" i="13" s="1"/>
  <c r="F38" i="13"/>
  <c r="F15" i="13"/>
  <c r="J38" i="18"/>
  <c r="J37" i="18"/>
  <c r="J35" i="18"/>
  <c r="J34" i="18"/>
  <c r="H15" i="11"/>
  <c r="N15" i="11"/>
  <c r="E18" i="11"/>
  <c r="L90" i="9"/>
  <c r="L20" i="8" s="1"/>
  <c r="K34" i="18" s="1"/>
  <c r="M105" i="9"/>
  <c r="M106" i="9" s="1"/>
  <c r="M109" i="9"/>
  <c r="M110" i="9" s="1"/>
  <c r="M97" i="9"/>
  <c r="M98" i="9" s="1"/>
  <c r="M64" i="9"/>
  <c r="M66" i="9"/>
  <c r="M67" i="9" s="1"/>
  <c r="L52" i="9"/>
  <c r="M54" i="9"/>
  <c r="M56" i="9"/>
  <c r="M57" i="9" s="1"/>
  <c r="L43" i="9"/>
  <c r="L41" i="9"/>
  <c r="L40" i="9"/>
  <c r="L36" i="9"/>
  <c r="L39" i="9"/>
  <c r="L37" i="9"/>
  <c r="L32" i="9"/>
  <c r="L35" i="9"/>
  <c r="L33" i="9"/>
  <c r="M28" i="9"/>
  <c r="M29" i="9"/>
  <c r="L91" i="9"/>
  <c r="M91" i="9" s="1"/>
  <c r="H34" i="8"/>
  <c r="I34" i="8"/>
  <c r="H14" i="13" s="1"/>
  <c r="K6" i="8"/>
  <c r="L6" i="8" s="1"/>
  <c r="M6" i="8" s="1"/>
  <c r="N6" i="8" s="1"/>
  <c r="G16" i="1" s="1"/>
  <c r="G21" i="11"/>
  <c r="H21" i="11" s="1"/>
  <c r="I21" i="11" s="1"/>
  <c r="J21" i="11" s="1"/>
  <c r="K21" i="11" s="1"/>
  <c r="J16" i="2"/>
  <c r="I98" i="8"/>
  <c r="I16" i="2"/>
  <c r="H98" i="8"/>
  <c r="G98" i="8"/>
  <c r="F98" i="8"/>
  <c r="G34" i="8"/>
  <c r="F14" i="13" s="1"/>
  <c r="H16" i="2"/>
  <c r="F34" i="8"/>
  <c r="O30" i="8"/>
  <c r="G16" i="2"/>
  <c r="O35" i="3"/>
  <c r="N90" i="3"/>
  <c r="O90" i="3" s="1"/>
  <c r="L93" i="9"/>
  <c r="L92" i="9"/>
  <c r="K19" i="8"/>
  <c r="J33" i="18" s="1"/>
  <c r="L62" i="9"/>
  <c r="K21" i="9"/>
  <c r="K22" i="9"/>
  <c r="K23" i="9"/>
  <c r="K20" i="9"/>
  <c r="L20" i="9" s="1"/>
  <c r="J24" i="9"/>
  <c r="G15" i="1"/>
  <c r="E12" i="13" l="1"/>
  <c r="E43" i="13" s="1"/>
  <c r="E26" i="18"/>
  <c r="E13" i="13"/>
  <c r="E14" i="13"/>
  <c r="H12" i="13"/>
  <c r="H26" i="18"/>
  <c r="H48" i="18"/>
  <c r="H13" i="13"/>
  <c r="L19" i="1" s="1"/>
  <c r="F46" i="13"/>
  <c r="I22" i="2"/>
  <c r="G12" i="13"/>
  <c r="G43" i="13" s="1"/>
  <c r="G46" i="13" s="1"/>
  <c r="G48" i="18"/>
  <c r="G26" i="18"/>
  <c r="G13" i="13"/>
  <c r="F48" i="18"/>
  <c r="F12" i="13"/>
  <c r="F43" i="13" s="1"/>
  <c r="F26" i="18"/>
  <c r="F13" i="13"/>
  <c r="J22" i="2"/>
  <c r="L22" i="1"/>
  <c r="H44" i="13"/>
  <c r="E46" i="13"/>
  <c r="M90" i="9"/>
  <c r="N90" i="9" s="1"/>
  <c r="N20" i="8" s="1"/>
  <c r="I19" i="2"/>
  <c r="M92" i="9"/>
  <c r="M23" i="8" s="1"/>
  <c r="M93" i="9"/>
  <c r="N93" i="9" s="1"/>
  <c r="M52" i="9"/>
  <c r="N52" i="9" s="1"/>
  <c r="L19" i="8"/>
  <c r="K33" i="18" s="1"/>
  <c r="M41" i="9"/>
  <c r="M43" i="9"/>
  <c r="M40" i="9"/>
  <c r="M36" i="9"/>
  <c r="M39" i="9"/>
  <c r="M37" i="9"/>
  <c r="M32" i="9"/>
  <c r="M33" i="9"/>
  <c r="M35" i="9"/>
  <c r="M20" i="9"/>
  <c r="N20" i="9" s="1"/>
  <c r="P20" i="9" s="1"/>
  <c r="L21" i="8"/>
  <c r="K35" i="18" s="1"/>
  <c r="G25" i="2"/>
  <c r="H25" i="2"/>
  <c r="J25" i="2"/>
  <c r="J19" i="2"/>
  <c r="I25" i="2"/>
  <c r="G17" i="1"/>
  <c r="L16" i="2"/>
  <c r="M16" i="2" s="1"/>
  <c r="N16" i="2" s="1"/>
  <c r="O16" i="2" s="1"/>
  <c r="O34" i="8"/>
  <c r="G19" i="2"/>
  <c r="G22" i="2"/>
  <c r="H22" i="2"/>
  <c r="H19" i="2"/>
  <c r="L24" i="8"/>
  <c r="K38" i="18" s="1"/>
  <c r="L23" i="8"/>
  <c r="K37" i="18" s="1"/>
  <c r="N91" i="9"/>
  <c r="P91" i="9" s="1"/>
  <c r="M21" i="8"/>
  <c r="M62" i="9"/>
  <c r="L22" i="8"/>
  <c r="K36" i="18" s="1"/>
  <c r="L21" i="9"/>
  <c r="K24" i="9"/>
  <c r="K15" i="8" s="1"/>
  <c r="L22" i="9"/>
  <c r="L23" i="9"/>
  <c r="J15" i="8"/>
  <c r="I29" i="18" s="1"/>
  <c r="L13" i="3"/>
  <c r="M13" i="3" s="1"/>
  <c r="N13" i="3" s="1"/>
  <c r="L18" i="1" l="1"/>
  <c r="H43" i="13"/>
  <c r="H46" i="13" s="1"/>
  <c r="L35" i="18"/>
  <c r="J29" i="18"/>
  <c r="L37" i="18"/>
  <c r="P20" i="8"/>
  <c r="M20" i="8"/>
  <c r="L34" i="18" s="1"/>
  <c r="P90" i="9"/>
  <c r="N92" i="9"/>
  <c r="N23" i="8" s="1"/>
  <c r="M37" i="18" s="1"/>
  <c r="M24" i="8"/>
  <c r="L38" i="18" s="1"/>
  <c r="M22" i="9"/>
  <c r="N22" i="9" s="1"/>
  <c r="P22" i="9" s="1"/>
  <c r="M19" i="8"/>
  <c r="L33" i="18" s="1"/>
  <c r="M23" i="9"/>
  <c r="N23" i="9" s="1"/>
  <c r="P23" i="9" s="1"/>
  <c r="M21" i="9"/>
  <c r="N21" i="9" s="1"/>
  <c r="P21" i="9" s="1"/>
  <c r="K93" i="3"/>
  <c r="J58" i="8" s="1"/>
  <c r="J123" i="8" s="1"/>
  <c r="K22" i="2"/>
  <c r="K19" i="2"/>
  <c r="L19" i="2" s="1"/>
  <c r="M19" i="2" s="1"/>
  <c r="N19" i="2" s="1"/>
  <c r="O19" i="2" s="1"/>
  <c r="L94" i="3"/>
  <c r="K61" i="8" s="1"/>
  <c r="L93" i="3"/>
  <c r="K58" i="8" s="1"/>
  <c r="K94" i="3"/>
  <c r="J61" i="8" s="1"/>
  <c r="L87" i="3"/>
  <c r="K85" i="8" s="1"/>
  <c r="L86" i="3"/>
  <c r="K83" i="8" s="1"/>
  <c r="K87" i="3"/>
  <c r="K86" i="3"/>
  <c r="K62" i="3"/>
  <c r="J69" i="8" s="1"/>
  <c r="K63" i="3"/>
  <c r="J71" i="8" s="1"/>
  <c r="L62" i="3"/>
  <c r="K69" i="8" s="1"/>
  <c r="L63" i="3"/>
  <c r="K71" i="8" s="1"/>
  <c r="L34" i="3"/>
  <c r="L44" i="3" s="1"/>
  <c r="K120" i="8" s="1"/>
  <c r="L61" i="3"/>
  <c r="K34" i="3"/>
  <c r="K44" i="3" s="1"/>
  <c r="J120" i="8" s="1"/>
  <c r="K61" i="3"/>
  <c r="K12" i="3"/>
  <c r="L12" i="2"/>
  <c r="K12" i="2"/>
  <c r="J16" i="8" s="1"/>
  <c r="I30" i="18" s="1"/>
  <c r="N24" i="8"/>
  <c r="P93" i="9"/>
  <c r="N21" i="8"/>
  <c r="M35" i="18" s="1"/>
  <c r="N62" i="9"/>
  <c r="M22" i="8"/>
  <c r="L36" i="18" s="1"/>
  <c r="P52" i="9"/>
  <c r="N19" i="8"/>
  <c r="L12" i="3"/>
  <c r="L24" i="9"/>
  <c r="M38" i="18" l="1"/>
  <c r="M33" i="18"/>
  <c r="M34" i="18"/>
  <c r="P21" i="8"/>
  <c r="P24" i="8"/>
  <c r="P23" i="8"/>
  <c r="P92" i="9"/>
  <c r="M24" i="9"/>
  <c r="M15" i="8" s="1"/>
  <c r="K123" i="8"/>
  <c r="L22" i="2"/>
  <c r="M22" i="2" s="1"/>
  <c r="N22" i="2" s="1"/>
  <c r="O22" i="2" s="1"/>
  <c r="J83" i="8"/>
  <c r="J85" i="8"/>
  <c r="K66" i="8"/>
  <c r="L64" i="3"/>
  <c r="J66" i="8"/>
  <c r="K64" i="3"/>
  <c r="J122" i="8"/>
  <c r="K122" i="8"/>
  <c r="J110" i="8"/>
  <c r="K110" i="8"/>
  <c r="J109" i="8"/>
  <c r="K109" i="8"/>
  <c r="K86" i="8"/>
  <c r="P19" i="8"/>
  <c r="K15" i="3"/>
  <c r="K42" i="3" s="1"/>
  <c r="J119" i="8" s="1"/>
  <c r="K16" i="3"/>
  <c r="K52" i="3" s="1"/>
  <c r="L15" i="3"/>
  <c r="L42" i="3" s="1"/>
  <c r="K119" i="8" s="1"/>
  <c r="L16" i="3"/>
  <c r="L52" i="3" s="1"/>
  <c r="K121" i="8" s="1"/>
  <c r="K16" i="8"/>
  <c r="J30" i="18" s="1"/>
  <c r="J17" i="8"/>
  <c r="I31" i="18" s="1"/>
  <c r="P62" i="9"/>
  <c r="N22" i="8"/>
  <c r="M36" i="18" s="1"/>
  <c r="L15" i="8"/>
  <c r="K29" i="18" s="1"/>
  <c r="N24" i="9"/>
  <c r="P24" i="9" s="1"/>
  <c r="L29" i="18" l="1"/>
  <c r="I9" i="18"/>
  <c r="I25" i="18"/>
  <c r="I18" i="18"/>
  <c r="I14" i="18"/>
  <c r="I11" i="18"/>
  <c r="I16" i="18"/>
  <c r="I15" i="18"/>
  <c r="I13" i="18"/>
  <c r="I12" i="18"/>
  <c r="I7" i="18"/>
  <c r="I8" i="18"/>
  <c r="I29" i="13"/>
  <c r="I31" i="13" s="1"/>
  <c r="H28" i="11"/>
  <c r="J108" i="8"/>
  <c r="J129" i="8"/>
  <c r="K129" i="8"/>
  <c r="J86" i="8"/>
  <c r="J130" i="8"/>
  <c r="K130" i="8"/>
  <c r="K124" i="8"/>
  <c r="K108" i="8"/>
  <c r="K53" i="3"/>
  <c r="K37" i="3" s="1"/>
  <c r="K54" i="3" s="1"/>
  <c r="K55" i="3" s="1"/>
  <c r="J54" i="8" s="1"/>
  <c r="J121" i="8"/>
  <c r="J124" i="8" s="1"/>
  <c r="K17" i="8"/>
  <c r="J31" i="18" s="1"/>
  <c r="N94" i="3"/>
  <c r="M61" i="8" s="1"/>
  <c r="N93" i="3"/>
  <c r="M58" i="8" s="1"/>
  <c r="M93" i="3"/>
  <c r="L58" i="8" s="1"/>
  <c r="M94" i="3"/>
  <c r="L61" i="8" s="1"/>
  <c r="N87" i="3"/>
  <c r="M85" i="8" s="1"/>
  <c r="N86" i="3"/>
  <c r="M83" i="8" s="1"/>
  <c r="M87" i="3"/>
  <c r="M86" i="3"/>
  <c r="N62" i="3"/>
  <c r="M69" i="8" s="1"/>
  <c r="N63" i="3"/>
  <c r="M71" i="8" s="1"/>
  <c r="M63" i="3"/>
  <c r="L71" i="8" s="1"/>
  <c r="M62" i="3"/>
  <c r="L69" i="8" s="1"/>
  <c r="N34" i="3"/>
  <c r="N44" i="3" s="1"/>
  <c r="M120" i="8" s="1"/>
  <c r="N61" i="3"/>
  <c r="M34" i="3"/>
  <c r="M44" i="3" s="1"/>
  <c r="L120" i="8" s="1"/>
  <c r="M61" i="3"/>
  <c r="L27" i="3"/>
  <c r="M27" i="3"/>
  <c r="O27" i="3"/>
  <c r="N27" i="3"/>
  <c r="K26" i="3"/>
  <c r="K32" i="3" s="1"/>
  <c r="K46" i="3" s="1"/>
  <c r="L26" i="3"/>
  <c r="M26" i="3"/>
  <c r="N26" i="3"/>
  <c r="O26" i="3"/>
  <c r="K45" i="3"/>
  <c r="L41" i="3" s="1"/>
  <c r="N12" i="2"/>
  <c r="M16" i="8" s="1"/>
  <c r="N12" i="3"/>
  <c r="M12" i="2"/>
  <c r="L16" i="8" s="1"/>
  <c r="K30" i="18" s="1"/>
  <c r="M12" i="3"/>
  <c r="P22" i="8"/>
  <c r="N15" i="8"/>
  <c r="M29" i="18" s="1"/>
  <c r="L30" i="18" l="1"/>
  <c r="J9" i="18"/>
  <c r="J18" i="18"/>
  <c r="J25" i="18"/>
  <c r="J14" i="18"/>
  <c r="J15" i="18"/>
  <c r="J12" i="18"/>
  <c r="J16" i="18"/>
  <c r="J13" i="18"/>
  <c r="J11" i="18"/>
  <c r="J7" i="18"/>
  <c r="J8" i="18"/>
  <c r="J29" i="13"/>
  <c r="J31" i="13" s="1"/>
  <c r="G28" i="11"/>
  <c r="L85" i="8"/>
  <c r="L130" i="8" s="1"/>
  <c r="L83" i="8"/>
  <c r="L66" i="8"/>
  <c r="M64" i="3"/>
  <c r="M66" i="8"/>
  <c r="N64" i="3"/>
  <c r="L51" i="3"/>
  <c r="L53" i="3" s="1"/>
  <c r="L37" i="3" s="1"/>
  <c r="L54" i="3" s="1"/>
  <c r="L55" i="3" s="1"/>
  <c r="K54" i="8" s="1"/>
  <c r="M123" i="8"/>
  <c r="L123" i="8"/>
  <c r="M122" i="8"/>
  <c r="L122" i="8"/>
  <c r="M109" i="8"/>
  <c r="L109" i="8"/>
  <c r="M110" i="8"/>
  <c r="L110" i="8"/>
  <c r="L17" i="8"/>
  <c r="K31" i="18" s="1"/>
  <c r="M17" i="8"/>
  <c r="M86" i="8"/>
  <c r="O94" i="3"/>
  <c r="N61" i="8" s="1"/>
  <c r="N122" i="8" s="1"/>
  <c r="O93" i="3"/>
  <c r="N58" i="8" s="1"/>
  <c r="N123" i="8" s="1"/>
  <c r="O87" i="3"/>
  <c r="O86" i="3"/>
  <c r="O61" i="3"/>
  <c r="O62" i="3"/>
  <c r="N69" i="8" s="1"/>
  <c r="N109" i="8" s="1"/>
  <c r="O63" i="3"/>
  <c r="N71" i="8" s="1"/>
  <c r="N110" i="8" s="1"/>
  <c r="J25" i="8"/>
  <c r="O12" i="3"/>
  <c r="O15" i="3" s="1"/>
  <c r="O34" i="3"/>
  <c r="O44" i="3" s="1"/>
  <c r="N120" i="8" s="1"/>
  <c r="L32" i="3"/>
  <c r="L46" i="3" s="1"/>
  <c r="K47" i="3"/>
  <c r="J50" i="8" s="1"/>
  <c r="I28" i="13" s="1"/>
  <c r="L45" i="3"/>
  <c r="M41" i="3" s="1"/>
  <c r="M15" i="3"/>
  <c r="M42" i="3" s="1"/>
  <c r="L119" i="8" s="1"/>
  <c r="M16" i="3"/>
  <c r="M52" i="3" s="1"/>
  <c r="L121" i="8" s="1"/>
  <c r="N15" i="3"/>
  <c r="N42" i="3" s="1"/>
  <c r="M119" i="8" s="1"/>
  <c r="N16" i="3"/>
  <c r="N52" i="3" s="1"/>
  <c r="M121" i="8" s="1"/>
  <c r="O12" i="2"/>
  <c r="N16" i="8" s="1"/>
  <c r="M30" i="18" s="1"/>
  <c r="P15" i="8"/>
  <c r="L31" i="18" l="1"/>
  <c r="I17" i="18"/>
  <c r="I39" i="18"/>
  <c r="L9" i="18"/>
  <c r="L18" i="18"/>
  <c r="L25" i="18"/>
  <c r="L13" i="18"/>
  <c r="L15" i="18"/>
  <c r="L14" i="18"/>
  <c r="L12" i="18"/>
  <c r="L11" i="18"/>
  <c r="L16" i="18"/>
  <c r="L7" i="18"/>
  <c r="K9" i="18"/>
  <c r="K18" i="18"/>
  <c r="K25" i="18"/>
  <c r="K12" i="18"/>
  <c r="K16" i="18"/>
  <c r="K13" i="18"/>
  <c r="K15" i="18"/>
  <c r="K11" i="18"/>
  <c r="K14" i="18"/>
  <c r="K7" i="18"/>
  <c r="K8" i="18"/>
  <c r="L8" i="18"/>
  <c r="L29" i="13"/>
  <c r="L31" i="13" s="1"/>
  <c r="K29" i="13"/>
  <c r="K31" i="13" s="1"/>
  <c r="I28" i="11"/>
  <c r="J28" i="11"/>
  <c r="J62" i="8"/>
  <c r="L108" i="8"/>
  <c r="L129" i="8"/>
  <c r="M129" i="8"/>
  <c r="L86" i="8"/>
  <c r="N85" i="8"/>
  <c r="N130" i="8" s="1"/>
  <c r="M130" i="8"/>
  <c r="N83" i="8"/>
  <c r="L124" i="8"/>
  <c r="M124" i="8"/>
  <c r="M108" i="8"/>
  <c r="N66" i="8"/>
  <c r="O64" i="3"/>
  <c r="M51" i="3"/>
  <c r="M53" i="3" s="1"/>
  <c r="N51" i="3" s="1"/>
  <c r="N53" i="3" s="1"/>
  <c r="J106" i="8"/>
  <c r="G27" i="11" s="1"/>
  <c r="K25" i="8"/>
  <c r="O30" i="3"/>
  <c r="O42" i="3"/>
  <c r="N119" i="8" s="1"/>
  <c r="O16" i="3"/>
  <c r="O52" i="3" s="1"/>
  <c r="N121" i="8" s="1"/>
  <c r="N29" i="3"/>
  <c r="O29" i="3"/>
  <c r="M28" i="3"/>
  <c r="M32" i="3" s="1"/>
  <c r="M46" i="3" s="1"/>
  <c r="N28" i="3"/>
  <c r="O28" i="3"/>
  <c r="M45" i="3"/>
  <c r="N41" i="3" s="1"/>
  <c r="L47" i="3"/>
  <c r="K50" i="8" s="1"/>
  <c r="J28" i="13" s="1"/>
  <c r="N17" i="8"/>
  <c r="M31" i="18" s="1"/>
  <c r="P16" i="8"/>
  <c r="Q12" i="2"/>
  <c r="J17" i="18" l="1"/>
  <c r="J39" i="18"/>
  <c r="M25" i="18"/>
  <c r="M9" i="18"/>
  <c r="M18" i="18"/>
  <c r="M12" i="18"/>
  <c r="M11" i="18"/>
  <c r="M13" i="18"/>
  <c r="M16" i="18"/>
  <c r="M15" i="18"/>
  <c r="M14" i="18"/>
  <c r="M7" i="18"/>
  <c r="M8" i="18"/>
  <c r="M29" i="13"/>
  <c r="M31" i="13" s="1"/>
  <c r="K28" i="11"/>
  <c r="K62" i="8"/>
  <c r="N108" i="8"/>
  <c r="N129" i="8"/>
  <c r="N86" i="8"/>
  <c r="N124" i="8"/>
  <c r="K106" i="8"/>
  <c r="H27" i="11" s="1"/>
  <c r="N32" i="3"/>
  <c r="N46" i="3" s="1"/>
  <c r="O32" i="3"/>
  <c r="M37" i="3"/>
  <c r="O51" i="3"/>
  <c r="O53" i="3" s="1"/>
  <c r="N37" i="3"/>
  <c r="N45" i="3"/>
  <c r="P17" i="8"/>
  <c r="M25" i="8" l="1"/>
  <c r="M54" i="3"/>
  <c r="M55" i="3" s="1"/>
  <c r="L54" i="8" s="1"/>
  <c r="L25" i="8"/>
  <c r="O46" i="3"/>
  <c r="M47" i="3"/>
  <c r="L50" i="8" s="1"/>
  <c r="K28" i="13" s="1"/>
  <c r="O37" i="3"/>
  <c r="N25" i="8" s="1"/>
  <c r="O41" i="3"/>
  <c r="O45" i="3" s="1"/>
  <c r="M17" i="18" l="1"/>
  <c r="M39" i="18"/>
  <c r="K17" i="18"/>
  <c r="K39" i="18"/>
  <c r="L17" i="18"/>
  <c r="L39" i="18"/>
  <c r="N106" i="8"/>
  <c r="K27" i="11" s="1"/>
  <c r="M106" i="8"/>
  <c r="J27" i="11" s="1"/>
  <c r="L62" i="8"/>
  <c r="L106" i="8"/>
  <c r="I27" i="11" s="1"/>
  <c r="N54" i="3"/>
  <c r="N55" i="3" s="1"/>
  <c r="M54" i="8" s="1"/>
  <c r="N47" i="3"/>
  <c r="M50" i="8" s="1"/>
  <c r="L28" i="13" s="1"/>
  <c r="M62" i="8" l="1"/>
  <c r="O54" i="3"/>
  <c r="O55" i="3" s="1"/>
  <c r="N54" i="8" s="1"/>
  <c r="O47" i="3"/>
  <c r="N50" i="8" s="1"/>
  <c r="M28" i="13" s="1"/>
  <c r="N62" i="8" l="1"/>
  <c r="P25" i="8"/>
  <c r="J87" i="9" l="1"/>
  <c r="J84" i="9"/>
  <c r="J82" i="9" s="1"/>
  <c r="J27" i="8" l="1"/>
  <c r="I41" i="18" s="1"/>
  <c r="I9" i="13" l="1"/>
  <c r="M16" i="1" s="1"/>
  <c r="I19" i="18"/>
  <c r="K67" i="3"/>
  <c r="K72" i="3" s="1"/>
  <c r="K68" i="3"/>
  <c r="J91" i="8" s="1"/>
  <c r="K69" i="3"/>
  <c r="J92" i="8" s="1"/>
  <c r="J113" i="8" s="1"/>
  <c r="J28" i="8"/>
  <c r="I42" i="18" s="1"/>
  <c r="I11" i="13" l="1"/>
  <c r="I20" i="18"/>
  <c r="J30" i="8"/>
  <c r="I44" i="18" s="1"/>
  <c r="J112" i="8"/>
  <c r="K70" i="3"/>
  <c r="J90" i="8"/>
  <c r="I30" i="13" s="1"/>
  <c r="I32" i="13" s="1"/>
  <c r="I33" i="13" s="1"/>
  <c r="I22" i="18" l="1"/>
  <c r="I10" i="13"/>
  <c r="M17" i="1" s="1"/>
  <c r="I16" i="13"/>
  <c r="M21" i="1" s="1"/>
  <c r="J111" i="8"/>
  <c r="G29" i="11" s="1"/>
  <c r="J95" i="8"/>
  <c r="K74" i="3"/>
  <c r="K15" i="2"/>
  <c r="G23" i="11"/>
  <c r="G25" i="11" s="1"/>
  <c r="G30" i="11" l="1"/>
  <c r="G35" i="11" s="1"/>
  <c r="J32" i="8"/>
  <c r="I24" i="18" l="1"/>
  <c r="I46" i="18"/>
  <c r="J34" i="8"/>
  <c r="I26" i="18" l="1"/>
  <c r="I48" i="18"/>
  <c r="I12" i="13"/>
  <c r="J104" i="8"/>
  <c r="J114" i="8" s="1"/>
  <c r="K25" i="2"/>
  <c r="K18" i="2"/>
  <c r="K101" i="3"/>
  <c r="I43" i="13" l="1"/>
  <c r="M18" i="1"/>
  <c r="J38" i="8"/>
  <c r="J78" i="8" l="1"/>
  <c r="J115" i="8"/>
  <c r="J116" i="8" s="1"/>
  <c r="I22" i="13" s="1"/>
  <c r="J37" i="8"/>
  <c r="K21" i="2" l="1"/>
  <c r="J41" i="8"/>
  <c r="K102" i="3" l="1"/>
  <c r="J127" i="8" l="1"/>
  <c r="J131" i="8" s="1"/>
  <c r="J133" i="8" s="1"/>
  <c r="J136" i="8" s="1"/>
  <c r="K104" i="3"/>
  <c r="J77" i="8" l="1"/>
  <c r="J79" i="8" s="1"/>
  <c r="L100" i="3"/>
  <c r="J67" i="8"/>
  <c r="H21" i="13" s="1"/>
  <c r="K135" i="8"/>
  <c r="I13" i="13" l="1"/>
  <c r="M19" i="1" s="1"/>
  <c r="I37" i="13"/>
  <c r="M23" i="1" s="1"/>
  <c r="J72" i="8"/>
  <c r="I34" i="13" s="1"/>
  <c r="J96" i="8"/>
  <c r="I23" i="13" l="1"/>
  <c r="I24" i="13" s="1"/>
  <c r="I20" i="13"/>
  <c r="I19" i="13"/>
  <c r="J73" i="8"/>
  <c r="J98" i="8" s="1"/>
  <c r="I27" i="13" l="1"/>
  <c r="I39" i="13"/>
  <c r="I45" i="13" s="1"/>
  <c r="I38" i="13"/>
  <c r="I15" i="13"/>
  <c r="M20" i="1" s="1"/>
  <c r="I14" i="13"/>
  <c r="K87" i="9"/>
  <c r="M84" i="9"/>
  <c r="M87" i="9"/>
  <c r="N84" i="9"/>
  <c r="N87" i="9"/>
  <c r="L84" i="9"/>
  <c r="L87" i="9"/>
  <c r="K84" i="9"/>
  <c r="K82" i="9" s="1"/>
  <c r="I44" i="13" l="1"/>
  <c r="I46" i="13" s="1"/>
  <c r="M22" i="1"/>
  <c r="K27" i="8"/>
  <c r="L82" i="9"/>
  <c r="M82" i="9" s="1"/>
  <c r="M27" i="8" s="1"/>
  <c r="J19" i="18" l="1"/>
  <c r="J41" i="18"/>
  <c r="L9" i="13"/>
  <c r="L19" i="18"/>
  <c r="K28" i="8"/>
  <c r="J42" i="18" s="1"/>
  <c r="J9" i="13"/>
  <c r="N16" i="1" s="1"/>
  <c r="L27" i="8"/>
  <c r="L68" i="3"/>
  <c r="K91" i="8" s="1"/>
  <c r="K112" i="8" s="1"/>
  <c r="L67" i="3"/>
  <c r="L69" i="3"/>
  <c r="K92" i="8" s="1"/>
  <c r="K113" i="8" s="1"/>
  <c r="N82" i="9"/>
  <c r="N27" i="8" s="1"/>
  <c r="M41" i="18" s="1"/>
  <c r="M28" i="8"/>
  <c r="N67" i="3"/>
  <c r="N72" i="3" s="1"/>
  <c r="N69" i="3"/>
  <c r="M92" i="8" s="1"/>
  <c r="N68" i="3"/>
  <c r="M91" i="8" s="1"/>
  <c r="K19" i="18" l="1"/>
  <c r="K41" i="18"/>
  <c r="L41" i="18"/>
  <c r="L11" i="13"/>
  <c r="L20" i="18"/>
  <c r="J11" i="13"/>
  <c r="J20" i="18"/>
  <c r="M9" i="13"/>
  <c r="M19" i="18"/>
  <c r="K30" i="8"/>
  <c r="M69" i="3"/>
  <c r="L92" i="8" s="1"/>
  <c r="L113" i="8" s="1"/>
  <c r="K9" i="13"/>
  <c r="K90" i="8"/>
  <c r="L72" i="3"/>
  <c r="M68" i="3"/>
  <c r="L91" i="8" s="1"/>
  <c r="L112" i="8" s="1"/>
  <c r="M67" i="3"/>
  <c r="L28" i="8"/>
  <c r="K42" i="18" s="1"/>
  <c r="L70" i="3"/>
  <c r="L74" i="3" s="1"/>
  <c r="P82" i="9"/>
  <c r="M90" i="8"/>
  <c r="L30" i="13" s="1"/>
  <c r="L32" i="13" s="1"/>
  <c r="L33" i="13" s="1"/>
  <c r="N70" i="3"/>
  <c r="M30" i="8"/>
  <c r="P27" i="8"/>
  <c r="O67" i="3"/>
  <c r="O72" i="3" s="1"/>
  <c r="N28" i="8"/>
  <c r="M42" i="18" s="1"/>
  <c r="O68" i="3"/>
  <c r="N91" i="8" s="1"/>
  <c r="O69" i="3"/>
  <c r="N92" i="8" s="1"/>
  <c r="N113" i="8" s="1"/>
  <c r="J22" i="18" l="1"/>
  <c r="J44" i="18"/>
  <c r="L42" i="18"/>
  <c r="L22" i="18"/>
  <c r="M11" i="13"/>
  <c r="M20" i="18"/>
  <c r="K11" i="13"/>
  <c r="K20" i="18"/>
  <c r="J10" i="13"/>
  <c r="N17" i="1" s="1"/>
  <c r="M113" i="8"/>
  <c r="K111" i="8"/>
  <c r="H29" i="11" s="1"/>
  <c r="J30" i="13"/>
  <c r="J32" i="13" s="1"/>
  <c r="J33" i="13" s="1"/>
  <c r="H23" i="11"/>
  <c r="H25" i="11" s="1"/>
  <c r="L15" i="2"/>
  <c r="K32" i="8" s="1"/>
  <c r="J46" i="18" s="1"/>
  <c r="J16" i="13"/>
  <c r="N21" i="1" s="1"/>
  <c r="K95" i="8"/>
  <c r="L10" i="13"/>
  <c r="L16" i="13"/>
  <c r="L30" i="8"/>
  <c r="L90" i="8"/>
  <c r="M72" i="3"/>
  <c r="M70" i="3"/>
  <c r="N74" i="3" s="1"/>
  <c r="M112" i="8"/>
  <c r="M95" i="8"/>
  <c r="N112" i="8"/>
  <c r="P28" i="8"/>
  <c r="N30" i="8"/>
  <c r="M44" i="18" s="1"/>
  <c r="O70" i="3"/>
  <c r="N90" i="8"/>
  <c r="M30" i="13" s="1"/>
  <c r="M32" i="13" s="1"/>
  <c r="M33" i="13" s="1"/>
  <c r="N15" i="2"/>
  <c r="M32" i="8" s="1"/>
  <c r="J23" i="11"/>
  <c r="J25" i="11" s="1"/>
  <c r="K22" i="18" l="1"/>
  <c r="K44" i="18"/>
  <c r="L44" i="18"/>
  <c r="M34" i="8"/>
  <c r="O25" i="2" s="1"/>
  <c r="L24" i="18"/>
  <c r="M22" i="18"/>
  <c r="K34" i="8"/>
  <c r="J12" i="13" s="1"/>
  <c r="J24" i="18"/>
  <c r="M15" i="2"/>
  <c r="L32" i="8" s="1"/>
  <c r="K46" i="18" s="1"/>
  <c r="H30" i="11"/>
  <c r="H35" i="11" s="1"/>
  <c r="L111" i="8"/>
  <c r="I29" i="11" s="1"/>
  <c r="K30" i="13"/>
  <c r="K32" i="13" s="1"/>
  <c r="K33" i="13" s="1"/>
  <c r="M10" i="13"/>
  <c r="M16" i="13"/>
  <c r="L95" i="8"/>
  <c r="M111" i="8"/>
  <c r="J29" i="11" s="1"/>
  <c r="J30" i="11" s="1"/>
  <c r="J35" i="11" s="1"/>
  <c r="K16" i="13"/>
  <c r="K10" i="13"/>
  <c r="I23" i="11"/>
  <c r="I25" i="11" s="1"/>
  <c r="M74" i="3"/>
  <c r="N111" i="8"/>
  <c r="K29" i="11" s="1"/>
  <c r="N95" i="8"/>
  <c r="M21" i="13" s="1"/>
  <c r="O74" i="3"/>
  <c r="K23" i="11"/>
  <c r="K25" i="11" s="1"/>
  <c r="O15" i="2"/>
  <c r="P30" i="8"/>
  <c r="J43" i="13" l="1"/>
  <c r="N18" i="1"/>
  <c r="M104" i="8"/>
  <c r="M114" i="8" s="1"/>
  <c r="L12" i="13"/>
  <c r="L43" i="13" s="1"/>
  <c r="N18" i="2"/>
  <c r="M38" i="8" s="1"/>
  <c r="M115" i="8" s="1"/>
  <c r="L26" i="18"/>
  <c r="K104" i="8"/>
  <c r="K114" i="8" s="1"/>
  <c r="J48" i="18"/>
  <c r="N101" i="3"/>
  <c r="L46" i="18"/>
  <c r="N25" i="2"/>
  <c r="L34" i="8"/>
  <c r="K48" i="18" s="1"/>
  <c r="K24" i="18"/>
  <c r="L25" i="2"/>
  <c r="J26" i="18"/>
  <c r="L18" i="2"/>
  <c r="K38" i="8" s="1"/>
  <c r="K37" i="8" s="1"/>
  <c r="L21" i="2" s="1"/>
  <c r="L102" i="3" s="1"/>
  <c r="L101" i="3"/>
  <c r="I30" i="11"/>
  <c r="I35" i="11" s="1"/>
  <c r="K30" i="11"/>
  <c r="K34" i="11" s="1"/>
  <c r="K35" i="11" s="1"/>
  <c r="N32" i="8"/>
  <c r="Q15" i="2"/>
  <c r="M37" i="8" l="1"/>
  <c r="M41" i="8" s="1"/>
  <c r="M116" i="8"/>
  <c r="L22" i="13" s="1"/>
  <c r="K78" i="8"/>
  <c r="L48" i="18"/>
  <c r="M24" i="18"/>
  <c r="M46" i="18"/>
  <c r="K41" i="8"/>
  <c r="K115" i="8"/>
  <c r="K116" i="8" s="1"/>
  <c r="J22" i="13" s="1"/>
  <c r="K12" i="13"/>
  <c r="K43" i="13" s="1"/>
  <c r="K26" i="18"/>
  <c r="M101" i="3"/>
  <c r="M18" i="2"/>
  <c r="L38" i="8" s="1"/>
  <c r="L104" i="8"/>
  <c r="L114" i="8" s="1"/>
  <c r="M25" i="2"/>
  <c r="G36" i="11"/>
  <c r="G39" i="11" s="1"/>
  <c r="G41" i="11" s="1"/>
  <c r="P32" i="8"/>
  <c r="N34" i="8"/>
  <c r="K127" i="8"/>
  <c r="K131" i="8" s="1"/>
  <c r="L104" i="3"/>
  <c r="C46" i="11" l="1"/>
  <c r="L11" i="1"/>
  <c r="L12" i="1" s="1"/>
  <c r="N21" i="2"/>
  <c r="N102" i="3" s="1"/>
  <c r="M127" i="8" s="1"/>
  <c r="M131" i="8" s="1"/>
  <c r="M133" i="8" s="1"/>
  <c r="M26" i="18"/>
  <c r="M48" i="18"/>
  <c r="K133" i="8"/>
  <c r="K136" i="8" s="1"/>
  <c r="K67" i="8" s="1"/>
  <c r="I21" i="13" s="1"/>
  <c r="L115" i="8"/>
  <c r="L116" i="8" s="1"/>
  <c r="K22" i="13" s="1"/>
  <c r="L37" i="8"/>
  <c r="L78" i="8"/>
  <c r="M78" i="8" s="1"/>
  <c r="M12" i="13"/>
  <c r="M43" i="13" s="1"/>
  <c r="M100" i="3"/>
  <c r="K77" i="8"/>
  <c r="K79" i="8" s="1"/>
  <c r="O18" i="2"/>
  <c r="P34" i="8"/>
  <c r="N104" i="8"/>
  <c r="N114" i="8" s="1"/>
  <c r="O101" i="3"/>
  <c r="L135" i="8" l="1"/>
  <c r="L41" i="8"/>
  <c r="M21" i="2"/>
  <c r="M102" i="3" s="1"/>
  <c r="L127" i="8" s="1"/>
  <c r="L131" i="8" s="1"/>
  <c r="L133" i="8" s="1"/>
  <c r="J13" i="13"/>
  <c r="N19" i="1" s="1"/>
  <c r="J37" i="13"/>
  <c r="N23" i="1" s="1"/>
  <c r="N38" i="8"/>
  <c r="Q18" i="2"/>
  <c r="K72" i="8"/>
  <c r="J34" i="13" s="1"/>
  <c r="K96" i="8"/>
  <c r="L136" i="8" l="1"/>
  <c r="M135" i="8" s="1"/>
  <c r="M136" i="8" s="1"/>
  <c r="M104" i="3"/>
  <c r="L77" i="8" s="1"/>
  <c r="L79" i="8" s="1"/>
  <c r="J19" i="13"/>
  <c r="J20" i="13"/>
  <c r="J23" i="13"/>
  <c r="J24" i="13" s="1"/>
  <c r="K73" i="8"/>
  <c r="N115" i="8"/>
  <c r="N116" i="8" s="1"/>
  <c r="M22" i="13" s="1"/>
  <c r="N78" i="8"/>
  <c r="N37" i="8"/>
  <c r="L67" i="8" l="1"/>
  <c r="J21" i="13" s="1"/>
  <c r="N100" i="3"/>
  <c r="N104" i="3" s="1"/>
  <c r="O100" i="3" s="1"/>
  <c r="K13" i="13"/>
  <c r="K37" i="13"/>
  <c r="J27" i="13"/>
  <c r="J38" i="13"/>
  <c r="J39" i="13"/>
  <c r="J45" i="13" s="1"/>
  <c r="K98" i="8"/>
  <c r="J15" i="13"/>
  <c r="N20" i="1" s="1"/>
  <c r="J14" i="13"/>
  <c r="L96" i="8"/>
  <c r="O21" i="2"/>
  <c r="N41" i="8"/>
  <c r="M67" i="8"/>
  <c r="K21" i="13" s="1"/>
  <c r="N135" i="8"/>
  <c r="J44" i="13" l="1"/>
  <c r="J46" i="13" s="1"/>
  <c r="N22" i="1"/>
  <c r="L72" i="8"/>
  <c r="K34" i="13" s="1"/>
  <c r="M77" i="8"/>
  <c r="M79" i="8" s="1"/>
  <c r="L37" i="13" s="1"/>
  <c r="M72" i="8"/>
  <c r="L34" i="13" s="1"/>
  <c r="P41" i="8"/>
  <c r="O102" i="3"/>
  <c r="N127" i="8" s="1"/>
  <c r="N131" i="8" s="1"/>
  <c r="N133" i="8" s="1"/>
  <c r="N136" i="8" s="1"/>
  <c r="N67" i="8" s="1"/>
  <c r="L21" i="13" s="1"/>
  <c r="Q21" i="2"/>
  <c r="M96" i="8" l="1"/>
  <c r="L73" i="8"/>
  <c r="L98" i="8" s="1"/>
  <c r="K23" i="13"/>
  <c r="K24" i="13" s="1"/>
  <c r="K20" i="13"/>
  <c r="K19" i="13"/>
  <c r="L13" i="13"/>
  <c r="L19" i="13"/>
  <c r="L20" i="13"/>
  <c r="L23" i="13"/>
  <c r="L24" i="13" s="1"/>
  <c r="N72" i="8"/>
  <c r="M34" i="13" s="1"/>
  <c r="O104" i="3"/>
  <c r="N77" i="8" s="1"/>
  <c r="N79" i="8" s="1"/>
  <c r="M73" i="8"/>
  <c r="K14" i="13" l="1"/>
  <c r="K39" i="13"/>
  <c r="K45" i="13" s="1"/>
  <c r="K38" i="13"/>
  <c r="K27" i="13"/>
  <c r="K44" i="13" s="1"/>
  <c r="K15" i="13"/>
  <c r="L27" i="13"/>
  <c r="L44" i="13" s="1"/>
  <c r="L38" i="13"/>
  <c r="L39" i="13"/>
  <c r="L45" i="13" s="1"/>
  <c r="M13" i="13"/>
  <c r="M37" i="13"/>
  <c r="M19" i="13"/>
  <c r="M20" i="13"/>
  <c r="M23" i="13"/>
  <c r="M24" i="13" s="1"/>
  <c r="L15" i="13"/>
  <c r="L14" i="13"/>
  <c r="M98" i="8"/>
  <c r="N96" i="8"/>
  <c r="N73" i="8"/>
  <c r="K46" i="13" l="1"/>
  <c r="L46" i="13"/>
  <c r="M27" i="13"/>
  <c r="M44" i="13" s="1"/>
  <c r="M38" i="13"/>
  <c r="M39" i="13"/>
  <c r="M45" i="13" s="1"/>
  <c r="M15" i="13"/>
  <c r="M14" i="13"/>
  <c r="N98" i="8"/>
  <c r="M46" i="13" l="1"/>
</calcChain>
</file>

<file path=xl/sharedStrings.xml><?xml version="1.0" encoding="utf-8"?>
<sst xmlns="http://schemas.openxmlformats.org/spreadsheetml/2006/main" count="799" uniqueCount="464">
  <si>
    <t>Date</t>
  </si>
  <si>
    <t>Actual / Forecast</t>
  </si>
  <si>
    <t>Forecast</t>
  </si>
  <si>
    <t>\</t>
  </si>
  <si>
    <t>Units:</t>
  </si>
  <si>
    <t>Selected Scenario</t>
  </si>
  <si>
    <t>Model Start Date</t>
  </si>
  <si>
    <t>Model End Date</t>
  </si>
  <si>
    <t>No. of Years Projected</t>
  </si>
  <si>
    <t>Days in an Year</t>
  </si>
  <si>
    <t>Assumptions</t>
  </si>
  <si>
    <t>Notes</t>
  </si>
  <si>
    <t>Model Assumption</t>
  </si>
  <si>
    <t>Templete:</t>
  </si>
  <si>
    <t>Period type:</t>
  </si>
  <si>
    <t>Source:</t>
  </si>
  <si>
    <t xml:space="preserve">Decimals: </t>
  </si>
  <si>
    <t>Standard</t>
  </si>
  <si>
    <t>Annual</t>
  </si>
  <si>
    <t>Currency:</t>
  </si>
  <si>
    <t>Company Website</t>
  </si>
  <si>
    <t>Default</t>
  </si>
  <si>
    <t>CAGR</t>
  </si>
  <si>
    <t>Dashboard</t>
  </si>
  <si>
    <t>INFY</t>
  </si>
  <si>
    <t>#</t>
  </si>
  <si>
    <t>Revenue from operations</t>
  </si>
  <si>
    <t>Other income, net</t>
  </si>
  <si>
    <t>Total Revenue</t>
  </si>
  <si>
    <t>Employee benefit expenses</t>
  </si>
  <si>
    <t>Cost of technical sub-contractors</t>
  </si>
  <si>
    <t>Travel expenses</t>
  </si>
  <si>
    <t>Communication expenses</t>
  </si>
  <si>
    <t>Consultancy and professional charges</t>
  </si>
  <si>
    <t>Depreciation and amortisation expenses</t>
  </si>
  <si>
    <t>Finance cost</t>
  </si>
  <si>
    <t>Other expenses</t>
  </si>
  <si>
    <t>Total Expenses</t>
  </si>
  <si>
    <t>Profit before tax</t>
  </si>
  <si>
    <t>Current tax</t>
  </si>
  <si>
    <t>Deferred tax</t>
  </si>
  <si>
    <t>Profit for the year</t>
  </si>
  <si>
    <t>Profit attributable to:</t>
  </si>
  <si>
    <t>Owners of the company</t>
  </si>
  <si>
    <t>Non-controlling interests</t>
  </si>
  <si>
    <t>Basic (₹)</t>
  </si>
  <si>
    <t>Basic (in shares)</t>
  </si>
  <si>
    <t>INR</t>
  </si>
  <si>
    <t>Cost of software packages and others</t>
  </si>
  <si>
    <t xml:space="preserve">Balance sheet </t>
  </si>
  <si>
    <t>Non-current assets</t>
  </si>
  <si>
    <t>Property, plant and equipment</t>
  </si>
  <si>
    <t>Right of use assets</t>
  </si>
  <si>
    <t>Capital work-in progress</t>
  </si>
  <si>
    <t>Goodwill</t>
  </si>
  <si>
    <t>Other intangible assets</t>
  </si>
  <si>
    <t>Invevstments</t>
  </si>
  <si>
    <t>Loans</t>
  </si>
  <si>
    <t>Other financial assets</t>
  </si>
  <si>
    <t>Deferred tax assets (net)</t>
  </si>
  <si>
    <t>Income tax assets (net)</t>
  </si>
  <si>
    <t>Other non-current assets</t>
  </si>
  <si>
    <t>Current Assets</t>
  </si>
  <si>
    <t>Trade receivables</t>
  </si>
  <si>
    <t>Cash and cash equivalents</t>
  </si>
  <si>
    <t>Other current assets</t>
  </si>
  <si>
    <t>Total current assets</t>
  </si>
  <si>
    <t>Total non-current assets</t>
  </si>
  <si>
    <t>Actuals</t>
  </si>
  <si>
    <t>Total assets</t>
  </si>
  <si>
    <t>Equity</t>
  </si>
  <si>
    <t xml:space="preserve">Equity share capital </t>
  </si>
  <si>
    <t>Other equity</t>
  </si>
  <si>
    <t>Total equity</t>
  </si>
  <si>
    <t>Non-current liabilities</t>
  </si>
  <si>
    <t>Lease liabilities</t>
  </si>
  <si>
    <t>Other financial liabilities</t>
  </si>
  <si>
    <t>Deferred tax liabilities (net)</t>
  </si>
  <si>
    <t>Other non-current liabilities</t>
  </si>
  <si>
    <t>Total non-current liabilities</t>
  </si>
  <si>
    <t>Current liabilities</t>
  </si>
  <si>
    <t>Trade payables</t>
  </si>
  <si>
    <t>Other current liabilities</t>
  </si>
  <si>
    <t>Provisions</t>
  </si>
  <si>
    <t>Income tax liabilites (net)</t>
  </si>
  <si>
    <t>Total current liabilities</t>
  </si>
  <si>
    <t>Total liabilities</t>
  </si>
  <si>
    <t>Cash flow statement</t>
  </si>
  <si>
    <t>Income statement</t>
  </si>
  <si>
    <t>Check</t>
  </si>
  <si>
    <t>Financial statements</t>
  </si>
  <si>
    <t>Scenario</t>
  </si>
  <si>
    <t>Acutals</t>
  </si>
  <si>
    <t>Equity per share:</t>
  </si>
  <si>
    <t xml:space="preserve">Revenue Forecast </t>
  </si>
  <si>
    <t>Revenues by geography</t>
  </si>
  <si>
    <t>North America</t>
  </si>
  <si>
    <t>Europe</t>
  </si>
  <si>
    <t xml:space="preserve">India </t>
  </si>
  <si>
    <t>Rest of the world</t>
  </si>
  <si>
    <t>Total</t>
  </si>
  <si>
    <t>Street</t>
  </si>
  <si>
    <t>Due to tariffs, visa and other cost barriers.</t>
  </si>
  <si>
    <t>25A - 30E</t>
  </si>
  <si>
    <t>22A - 25A</t>
  </si>
  <si>
    <t>Due to high/steady growth in Europe, driven by diversification (New centres, New hubs, etc.)</t>
  </si>
  <si>
    <t>Domestic revenue contribution is expected to rise as Indian enterprises increase IT budgets, partially offsetting slower international growth.</t>
  </si>
  <si>
    <t>Small revenue share; growth still driven by digital demand</t>
  </si>
  <si>
    <t>26E - 30E</t>
  </si>
  <si>
    <t>Employee benfit expenses</t>
  </si>
  <si>
    <t>Salaries including bonus</t>
  </si>
  <si>
    <t>Contribution to PPF and other funds</t>
  </si>
  <si>
    <t>Share-based payments to employees</t>
  </si>
  <si>
    <t xml:space="preserve">Total </t>
  </si>
  <si>
    <t>For own use</t>
  </si>
  <si>
    <t>Third-party items bought for service to clients</t>
  </si>
  <si>
    <t>Repairs and maintenance</t>
  </si>
  <si>
    <t>Power and fuel</t>
  </si>
  <si>
    <t>Brand and marketing</t>
  </si>
  <si>
    <t>Rates and taxes</t>
  </si>
  <si>
    <t>Consumables</t>
  </si>
  <si>
    <t>Insurance</t>
  </si>
  <si>
    <t>Provision for post-sales client support and others</t>
  </si>
  <si>
    <t>Commission to non-whole time directors</t>
  </si>
  <si>
    <t>Impairment loss recognized</t>
  </si>
  <si>
    <t>Contributions towards CSR</t>
  </si>
  <si>
    <t xml:space="preserve">Others </t>
  </si>
  <si>
    <t>Staff welfare</t>
  </si>
  <si>
    <t>Low AI Impact</t>
  </si>
  <si>
    <t>High AI Adoption</t>
  </si>
  <si>
    <t>Moderate AI Adoption</t>
  </si>
  <si>
    <t>Infosys Ltd.</t>
  </si>
  <si>
    <t>Selected Scenario for Adoption of AI</t>
  </si>
  <si>
    <t>Expenses forecast</t>
  </si>
  <si>
    <t>Short-term leases</t>
  </si>
  <si>
    <t>Total other expenses</t>
  </si>
  <si>
    <t>*</t>
  </si>
  <si>
    <t>Other costs</t>
  </si>
  <si>
    <t>Other income</t>
  </si>
  <si>
    <t>Current taxes</t>
  </si>
  <si>
    <t>Current taxes as a % of PBT</t>
  </si>
  <si>
    <t>Current taxes projected as average of current taxes to PBT</t>
  </si>
  <si>
    <t>Other income as a % of Revenue from operations</t>
  </si>
  <si>
    <t>Other income projected as the average of other income to Revenue</t>
  </si>
  <si>
    <t>Non-controlling interersts</t>
  </si>
  <si>
    <t>Non-controlling interersts as a % of Net income</t>
  </si>
  <si>
    <t>NCI projected as average of NCI to PAT</t>
  </si>
  <si>
    <t>Schedule</t>
  </si>
  <si>
    <t>CapEx on PPE and intangibles</t>
  </si>
  <si>
    <t xml:space="preserve">CapEx on PPE </t>
  </si>
  <si>
    <t>CapEx on Intangibles</t>
  </si>
  <si>
    <t>CapEx as a % of opearting revenue</t>
  </si>
  <si>
    <t>Amortisation on intangibles</t>
  </si>
  <si>
    <t>Property, plant, and equipment and Intangible schedule</t>
  </si>
  <si>
    <t>Opening balance of gross PPE</t>
  </si>
  <si>
    <t>Additions to PPE</t>
  </si>
  <si>
    <t>Disposal of PPE</t>
  </si>
  <si>
    <t>Closing balance of gross PPE</t>
  </si>
  <si>
    <t>Closing balance of Net PPE block</t>
  </si>
  <si>
    <t>Amortisation as a % on gross avg intangibles</t>
  </si>
  <si>
    <t xml:space="preserve"> </t>
  </si>
  <si>
    <t>Transfers from CWIP</t>
  </si>
  <si>
    <t>CWIP</t>
  </si>
  <si>
    <t>Intangible assets</t>
  </si>
  <si>
    <t>Opening balance of gross intangible assets</t>
  </si>
  <si>
    <t>Additions to intangible assets</t>
  </si>
  <si>
    <t>Closing balance of gross intangible assets</t>
  </si>
  <si>
    <t>Closing balance of Net intangible assets block</t>
  </si>
  <si>
    <t>Accumulated amortisation</t>
  </si>
  <si>
    <t>Accumulated depreciation</t>
  </si>
  <si>
    <t>Depreciation on PPE (old)</t>
  </si>
  <si>
    <t>Depreciation on PPE (new)</t>
  </si>
  <si>
    <r>
      <t xml:space="preserve">Average useful life </t>
    </r>
    <r>
      <rPr>
        <i/>
        <sz val="10"/>
        <color theme="1"/>
        <rFont val="Arial"/>
        <family val="2"/>
      </rPr>
      <t>(Years)</t>
    </r>
  </si>
  <si>
    <t>(old)</t>
  </si>
  <si>
    <t>(new)</t>
  </si>
  <si>
    <t>Disposal of PPE as a % of operating revenue</t>
  </si>
  <si>
    <t>Working capital schedule</t>
  </si>
  <si>
    <t>Current assets</t>
  </si>
  <si>
    <t>Turnover ratio</t>
  </si>
  <si>
    <t>Other FL as a % of operating revenue</t>
  </si>
  <si>
    <t>Other NCA as a % of opearting revenue</t>
  </si>
  <si>
    <t>Other NCL as a % of opearting revenue</t>
  </si>
  <si>
    <t>Other FA as a % of operating revenue</t>
  </si>
  <si>
    <t>Retained earnings schedule</t>
  </si>
  <si>
    <t>Opening balance of retained earnings</t>
  </si>
  <si>
    <t>Additions of profit for the year</t>
  </si>
  <si>
    <t>Dividends paid for the year</t>
  </si>
  <si>
    <t>Closing balance of retained earnings</t>
  </si>
  <si>
    <t>Dividends paid</t>
  </si>
  <si>
    <t>Dividends paid as a % of Net income</t>
  </si>
  <si>
    <t>Net income</t>
  </si>
  <si>
    <t>Add/Less: Non-cash items</t>
  </si>
  <si>
    <t>Operating activities</t>
  </si>
  <si>
    <t>Depreciation and amortisation</t>
  </si>
  <si>
    <t>Share buy-back</t>
  </si>
  <si>
    <t>Share buy-back as a % of Net income</t>
  </si>
  <si>
    <t>Changes in working capital</t>
  </si>
  <si>
    <t>Cash flow from operating activities</t>
  </si>
  <si>
    <t>Investing activites</t>
  </si>
  <si>
    <t>Proceeds from disposal of PPE</t>
  </si>
  <si>
    <t>Proceeds from additions of intangible assets</t>
  </si>
  <si>
    <t>Proceeds from purchase of PPE</t>
  </si>
  <si>
    <t>Cash flow from investing activities</t>
  </si>
  <si>
    <t>Financing activities</t>
  </si>
  <si>
    <t>Change in other non-current liabilties</t>
  </si>
  <si>
    <t>Change in other non-current assets</t>
  </si>
  <si>
    <t>Change in other non-current financial assets</t>
  </si>
  <si>
    <t>Change in other non-current financial liabilities</t>
  </si>
  <si>
    <t>Cash flow from financing activities</t>
  </si>
  <si>
    <t>Net cash flow for the year</t>
  </si>
  <si>
    <t>Cash at the beginning of the year</t>
  </si>
  <si>
    <t>Cash at the end of the year</t>
  </si>
  <si>
    <t>Change in working capital</t>
  </si>
  <si>
    <t>Cash flow from operations</t>
  </si>
  <si>
    <t>&lt;-Back to dashboard</t>
  </si>
  <si>
    <t>FCFF</t>
  </si>
  <si>
    <t>WACC</t>
  </si>
  <si>
    <t>Beta</t>
  </si>
  <si>
    <t>&lt;- Go back to the top</t>
  </si>
  <si>
    <t>Payments for share buy-back equity</t>
  </si>
  <si>
    <t>Payments for dividends paid for the year</t>
  </si>
  <si>
    <t>Share buy-back for the year</t>
  </si>
  <si>
    <t>Price</t>
  </si>
  <si>
    <t>Returns</t>
  </si>
  <si>
    <t>Infosys LTD.</t>
  </si>
  <si>
    <t>Nifty-50</t>
  </si>
  <si>
    <t>Levered beta</t>
  </si>
  <si>
    <t xml:space="preserve">Raw beta weight </t>
  </si>
  <si>
    <t>Market beta</t>
  </si>
  <si>
    <t>Raw beta weight</t>
  </si>
  <si>
    <t>Calculated beta</t>
  </si>
  <si>
    <t>Adjusted beta</t>
  </si>
  <si>
    <t>Cost of Equity</t>
  </si>
  <si>
    <t>Total years</t>
  </si>
  <si>
    <r>
      <t xml:space="preserve">Market returns </t>
    </r>
    <r>
      <rPr>
        <b/>
        <i/>
        <sz val="10"/>
        <color theme="1"/>
        <rFont val="Arial"/>
        <family val="2"/>
      </rPr>
      <t>(%)</t>
    </r>
  </si>
  <si>
    <t>Cost of equity</t>
  </si>
  <si>
    <t>Cost of Debt</t>
  </si>
  <si>
    <t>Risk premium</t>
  </si>
  <si>
    <t>Pre-tax cost of debt</t>
  </si>
  <si>
    <t>Tax Rate</t>
  </si>
  <si>
    <t>Post-tax cost of debt</t>
  </si>
  <si>
    <t>Capital Structure</t>
  </si>
  <si>
    <t>Market Cap</t>
  </si>
  <si>
    <t>Debt</t>
  </si>
  <si>
    <t>Total Capital</t>
  </si>
  <si>
    <t xml:space="preserve">Cost of Equity </t>
  </si>
  <si>
    <t>EBIT</t>
  </si>
  <si>
    <t>NOPAT</t>
  </si>
  <si>
    <t>Free Cash Flow to Firm</t>
  </si>
  <si>
    <t>Valuation as on specified date</t>
  </si>
  <si>
    <t>Date of year ending</t>
  </si>
  <si>
    <t>Table of Contents</t>
  </si>
  <si>
    <t>Particulars</t>
  </si>
  <si>
    <t>Ratio Analysis</t>
  </si>
  <si>
    <t>ROCE</t>
  </si>
  <si>
    <t>ROIC</t>
  </si>
  <si>
    <t>ROA</t>
  </si>
  <si>
    <t>Debt to Equity</t>
  </si>
  <si>
    <t>Equity Report</t>
  </si>
  <si>
    <t>Closing</t>
  </si>
  <si>
    <t>ABS Error</t>
  </si>
  <si>
    <t>Error ^2</t>
  </si>
  <si>
    <t>% Error</t>
  </si>
  <si>
    <t>(Infosys closing from Jan 2026 to March 2026)</t>
  </si>
  <si>
    <t>(Infosys closing from Dec 1995 to March 2026)</t>
  </si>
  <si>
    <t>0.1471x - 5463.8</t>
  </si>
  <si>
    <t>y=</t>
  </si>
  <si>
    <t>RMSE</t>
  </si>
  <si>
    <t>DCF</t>
  </si>
  <si>
    <t>Analysis</t>
  </si>
  <si>
    <t>Sl.No</t>
  </si>
  <si>
    <t>Company Name:</t>
  </si>
  <si>
    <t>Ticker:</t>
  </si>
  <si>
    <t>Crore</t>
  </si>
  <si>
    <t>(In ₹ Crore, except equity share and per equity share data)</t>
  </si>
  <si>
    <t>Trigger</t>
  </si>
  <si>
    <t>Selected Scen. for Adoption of AI</t>
  </si>
  <si>
    <t>Revenue Growth Anlaysis (YoY %)</t>
  </si>
  <si>
    <t>Employee benfit expenses (YoY %)</t>
  </si>
  <si>
    <t>Cost of software packages and others (YoY %)</t>
  </si>
  <si>
    <t>Weighted average equity shares:</t>
  </si>
  <si>
    <t>Total Depreciation</t>
  </si>
  <si>
    <t>Financial assets:</t>
  </si>
  <si>
    <t>Financial liabilities:</t>
  </si>
  <si>
    <t>Inputs</t>
  </si>
  <si>
    <t>(Using credit rating)</t>
  </si>
  <si>
    <t>TGR</t>
  </si>
  <si>
    <t>Add: Deperciation &amp; Amortisation</t>
  </si>
  <si>
    <t>Less: CapEx</t>
  </si>
  <si>
    <t>Add/Less: Change in WC</t>
  </si>
  <si>
    <t>FCF</t>
  </si>
  <si>
    <t>Dicsount Period</t>
  </si>
  <si>
    <t>Mid Year Discount</t>
  </si>
  <si>
    <t>Terminal Value</t>
  </si>
  <si>
    <t>PV of FCF</t>
  </si>
  <si>
    <t>Enterprise Value</t>
  </si>
  <si>
    <t>Add: Cash</t>
  </si>
  <si>
    <t>Less: Debt</t>
  </si>
  <si>
    <t>Equity Value</t>
  </si>
  <si>
    <t>Number of Shares</t>
  </si>
  <si>
    <t>Price per Share</t>
  </si>
  <si>
    <t>Sensitivity Analysis</t>
  </si>
  <si>
    <t>Terminal Growth %</t>
  </si>
  <si>
    <t>Sector:</t>
  </si>
  <si>
    <t>Date / Year</t>
  </si>
  <si>
    <t>End</t>
  </si>
  <si>
    <t>Risk Free Rate</t>
  </si>
  <si>
    <t>Market Returns</t>
  </si>
  <si>
    <t>Profitability Ratios</t>
  </si>
  <si>
    <t>Gross profit margin</t>
  </si>
  <si>
    <t>EBITDA margin</t>
  </si>
  <si>
    <t>EBIT margin</t>
  </si>
  <si>
    <t>Net profit margin</t>
  </si>
  <si>
    <t>ROE</t>
  </si>
  <si>
    <t>Net Working Capital</t>
  </si>
  <si>
    <t>Liquidity Ratios</t>
  </si>
  <si>
    <t>Current ratio</t>
  </si>
  <si>
    <t>Quick ratio</t>
  </si>
  <si>
    <t>Cash ratio</t>
  </si>
  <si>
    <t>Operating cash flow ratio</t>
  </si>
  <si>
    <t>Net working capital</t>
  </si>
  <si>
    <t>NWC as a % of revenue</t>
  </si>
  <si>
    <t>Efficiency Ratios</t>
  </si>
  <si>
    <t>Fixed asset turnover</t>
  </si>
  <si>
    <t>Receivables turnover</t>
  </si>
  <si>
    <t>Asset turnover</t>
  </si>
  <si>
    <t>Payable turnover</t>
  </si>
  <si>
    <t>DSO</t>
  </si>
  <si>
    <t>DPO</t>
  </si>
  <si>
    <t>Cash conversion cycle</t>
  </si>
  <si>
    <t>Working capital turnover</t>
  </si>
  <si>
    <t>Leverage Ratios</t>
  </si>
  <si>
    <t>Debt to Assets</t>
  </si>
  <si>
    <t>Equity Multiplier</t>
  </si>
  <si>
    <t>Interest coverage (ICR)</t>
  </si>
  <si>
    <t>Dupont Analysis</t>
  </si>
  <si>
    <t xml:space="preserve">Asset turnover </t>
  </si>
  <si>
    <t>Equity multiplier</t>
  </si>
  <si>
    <t>Dupont ratio</t>
  </si>
  <si>
    <t>Common-size Analysis</t>
  </si>
  <si>
    <t>Trend Analysis</t>
  </si>
  <si>
    <t>--</t>
  </si>
  <si>
    <t>Financials</t>
  </si>
  <si>
    <t>Street - Low AI Impact</t>
  </si>
  <si>
    <t>Street - Moderate AI Impact</t>
  </si>
  <si>
    <t>Street - High AI Impact</t>
  </si>
  <si>
    <t>(3%-6%) Google</t>
  </si>
  <si>
    <t>Val.Using Free Cash Flow to Firm</t>
  </si>
  <si>
    <t>Current Share Price:</t>
  </si>
  <si>
    <t>Implied Share Price:</t>
  </si>
  <si>
    <r>
      <rPr>
        <sz val="10"/>
        <color theme="1"/>
        <rFont val="Calibri"/>
        <family val="2"/>
      </rPr>
      <t>Δ</t>
    </r>
    <r>
      <rPr>
        <sz val="10"/>
        <color theme="1"/>
        <rFont val="Arial"/>
        <family val="2"/>
      </rPr>
      <t xml:space="preserve"> Price %:</t>
    </r>
  </si>
  <si>
    <t>Best</t>
  </si>
  <si>
    <t>Worst</t>
  </si>
  <si>
    <t>Best - Low AI Impact</t>
  </si>
  <si>
    <t>Best - Moderate AI Impact</t>
  </si>
  <si>
    <t>Best - High AI Impact</t>
  </si>
  <si>
    <t>Worst - Low AI Impact</t>
  </si>
  <si>
    <t>Worst - Moderate AI Impact</t>
  </si>
  <si>
    <t>Worst - High AI Impact</t>
  </si>
  <si>
    <t>Selected Scenario:</t>
  </si>
  <si>
    <t>Selected Scen. for Adoption of AI:</t>
  </si>
  <si>
    <t>WACC:</t>
  </si>
  <si>
    <t>TGR:</t>
  </si>
  <si>
    <t>Overview</t>
  </si>
  <si>
    <t>(Disclaimer - The valuation analysis is conducted only for educational purposes, not as a recommendation to buy/sell stock and securities.)</t>
  </si>
  <si>
    <t>Infosys Ltd (Ticker: INFY) provides consulting, technology, outsourcing and next-generation digital services to enable clients to execute strategies for their digital transformation.</t>
  </si>
  <si>
    <t>It is the 2nd largest Information Technology company in India behind TCS. Its market cap currently is around ₹ 5,21,813 Cr. And it's share price is around ₹ 1280.00.</t>
  </si>
  <si>
    <t>Fundamental Analysis of Infosys Ltd. Is conducted using 3 - Statement analysis, and Free Cash Flow to Firm, which are used to explicitly forecast and determine the intrinsic value of the stock.</t>
  </si>
  <si>
    <t>Investment Thesis</t>
  </si>
  <si>
    <t xml:space="preserve">The implicit forecast period is of five years. </t>
  </si>
  <si>
    <t>The AI scenarios are linked to the expenses of the company with each scenario outcome depticts on the use of AI adopted by the company</t>
  </si>
  <si>
    <t>Other items (which are not revenue or expenses) are considered as general assumptions.</t>
  </si>
  <si>
    <t>The items are forecasted using scenarios which are: Best , Street, Worst. Also we have adapted the use of AI by the company in scenario's aswell as real time casues and gains for forecasting.</t>
  </si>
  <si>
    <t>To find the intrinsic value we have used the Free Cash Flow to Firm method, which is derived firom finding the present value of equity by discounting future values of cash flows using an discount factor.</t>
  </si>
  <si>
    <t>Cost of equity is calculated using a simple approach which is Rf + (Rm - Rf)*Beta</t>
  </si>
  <si>
    <t>The weighted average cost of capital is calculated using cost of equity to its weight and cost of debt to its weight (Ke*E/(E+D) + Kd*D/(E+D)).</t>
  </si>
  <si>
    <t>The Beta is derived from rhe tegression analysis of Infosys stock to The Nifty 50 (Historical data used is from 001-12-1995 to 01-03-2026, Since inception of NSE)</t>
  </si>
  <si>
    <t>The formula used for Adjusted Beta is (levered beta*Raw beta weight) + (Market beta*Market weight)</t>
  </si>
  <si>
    <t>Market returns (Rm) is calculated using CAGR of Nifty 50</t>
  </si>
  <si>
    <t>Risk free rate (Rf) is the 10-year govt bond yield which is considered as the risk free rate in indian markets</t>
  </si>
  <si>
    <t>Cost of debt is calculated using credit ratings. The credit rating for INFY is from CRISIL Ratings: CRISIL AAA/Stable/CRISIL A1+, Moody's Investors Service: A3/Stable, S&amp;P Global Ratings: A-.</t>
  </si>
  <si>
    <t>using crisils AAA rating the spread is 0.40%.</t>
  </si>
  <si>
    <t>using the credit rating the risk premium is derived from aswath damodaran's (Ratings, Interest Coverage Ratios and Default Spread) for For large non-financial service firms.</t>
  </si>
  <si>
    <t>Since (at the time of our valuation) Infosysis Ltd. is considered as a debt free company.</t>
  </si>
  <si>
    <t>The WACC and terminal growth rate (which is 3% to 6% for IT companies in India) then defined for each of the scenarios.</t>
  </si>
  <si>
    <t>Using these parameters the intrinsic value of the stock is found.</t>
  </si>
  <si>
    <t>Football field analysis is then conducted to get the fair value of the stock.</t>
  </si>
  <si>
    <t>IT - Software &amp; Consulting</t>
  </si>
  <si>
    <t>Comps</t>
  </si>
  <si>
    <t>Company Name</t>
  </si>
  <si>
    <t>Revenue</t>
  </si>
  <si>
    <t>EBITDA</t>
  </si>
  <si>
    <t>Net Income</t>
  </si>
  <si>
    <t>EV / Rev</t>
  </si>
  <si>
    <t>EV / EBITDA</t>
  </si>
  <si>
    <t>P / S</t>
  </si>
  <si>
    <t>P / E</t>
  </si>
  <si>
    <t>TCS</t>
  </si>
  <si>
    <t>Infosys</t>
  </si>
  <si>
    <t>HCL Technologies</t>
  </si>
  <si>
    <t>Wipro</t>
  </si>
  <si>
    <t>Tech Mahindra</t>
  </si>
  <si>
    <t>LTIMindtree</t>
  </si>
  <si>
    <t>Persistent Systems</t>
  </si>
  <si>
    <t>Mphasis</t>
  </si>
  <si>
    <t>Coforge</t>
  </si>
  <si>
    <t>Hexaware Tech.</t>
  </si>
  <si>
    <t>Tata Elxsi</t>
  </si>
  <si>
    <t>KPIT Technologi.</t>
  </si>
  <si>
    <t>Fractal Analyt.</t>
  </si>
  <si>
    <t>Zensar Tech.</t>
  </si>
  <si>
    <t>Mean</t>
  </si>
  <si>
    <t>Median</t>
  </si>
  <si>
    <t>75th Percentile</t>
  </si>
  <si>
    <t>25th Percentile</t>
  </si>
  <si>
    <t>Share Price (₹)</t>
  </si>
  <si>
    <t>Comparable Company Analysis of Indian IT - Software and Consulting Companies with Market Cap of above 10 Thousand Crore.</t>
  </si>
  <si>
    <t>This report presents a fundamental valuation analysis of Infosys Limited, conducted through a structured three-statement financial model and a Free Cash Flow to Firm (FCFF) framework.</t>
  </si>
  <si>
    <t>The objective is to determine the intrinsic value of the stock through an explicit five-year forecast period, underpinned by scenario-based assumptions.</t>
  </si>
  <si>
    <t>Forecasting Methodology</t>
  </si>
  <si>
    <t xml:space="preserve">Revenue and expense line items are projected across three distinct scenarios — Best Case, Street Consensus, and Worst Case — to capture the range of plausible operating outcomes. </t>
  </si>
  <si>
    <t xml:space="preserve">A distinguishing feature of this analysis is the explicit incorporation of Artificial Intelligence (AI) adoption as a value driver within the scenario framework. AI-related expenses are modelled </t>
  </si>
  <si>
    <t xml:space="preserve">separately for each scenario, with each outcome reflecting a different trajectory of AI integration by the company — from conservative adoption to an accelerated AI-led operating model. </t>
  </si>
  <si>
    <t xml:space="preserve">Revenue forecasts and cost assumptions in each scenario are calibrated to real-world developments, including management commentary, sector tailwinds, and observable AI productivity </t>
  </si>
  <si>
    <t xml:space="preserve">gains within the IT services industry. All remaining line items — those not directly classified as revenue or operating expenses — are projected using standard financial modelling </t>
  </si>
  <si>
    <t>conventions and general assumptions.</t>
  </si>
  <si>
    <t>Discount Rate</t>
  </si>
  <si>
    <t>The Weighted Average Cost of Capital (WACC) is computed as:</t>
  </si>
  <si>
    <t>WACC = Ke × [E / (E + D)] + Kd × [D / (E + D)]</t>
  </si>
  <si>
    <t>Bond yield, and the market return (Rm) is estimated as the Compounded Annual Growth Rate (CAGR) of the Nifty 50 index.</t>
  </si>
  <si>
    <t xml:space="preserve">Beta is estimated through a regression of Infosys stock returns against the Nifty 50, utilising historical price data spanning from December 1995 to March 2026 — the full period since the </t>
  </si>
  <si>
    <t>inception of the National Stock Exchange — to ensure statistical robustness. The raw beta is subsequently adjusted using the Blume adjustment formula:</t>
  </si>
  <si>
    <t xml:space="preserve"> Adjusted Beta = (Raw Beta × w₁) + (Market Beta × w₂), where the market beta is set to 1.0.</t>
  </si>
  <si>
    <t xml:space="preserve">The cost of debt (Kd) is derived from the company's prevailing credit ratings: CRISIL AAA/Stable/A1+ (domestic), Moody's A3/Stable, and S&amp;P A−. The default spread corresponding to a </t>
  </si>
  <si>
    <t xml:space="preserve">CRISIL AAA rating — sourced from Aswath Damodaran's ratings and default spread framework for large non-financial service firms — is applied at 40 basis points. It is noted that at the </t>
  </si>
  <si>
    <t xml:space="preserve">time of this valuation, Infosys carries no net financial debt; accordingly, the capital structure reflects an equity-dominant weighting. Scenario-specific WACC assumptions and a terminal </t>
  </si>
  <si>
    <t>growth rate ranging from 3% to 6% — consistent with long-term growth expectations for Indian IT services companies — are applied independently across each of the three scenarios.</t>
  </si>
  <si>
    <t>Valuation</t>
  </si>
  <si>
    <t xml:space="preserve">Intrinsic value is determined by discounting projected free cash flows to the firm at the scenario-specific WACC, deriving the present value of equity, and computing the implied value per share. </t>
  </si>
  <si>
    <t xml:space="preserve">A Football Field analysis is subsequently employed to consolidate the valuation outputs across all scenarios and methodologies, providing a visual representation of the fair value range and </t>
  </si>
  <si>
    <t>contextualising the stock's current market price relative to its estimated intrinsic value.</t>
  </si>
  <si>
    <r>
      <t xml:space="preserve">The cost of equity (Ke) is derived using the Capital Asset Pricing Model (CAPM): </t>
    </r>
    <r>
      <rPr>
        <i/>
        <sz val="10"/>
        <color theme="1"/>
        <rFont val="Arial"/>
        <family val="2"/>
      </rPr>
      <t>Ke = Rf + β × (Rm − Rf)</t>
    </r>
    <r>
      <rPr>
        <sz val="10"/>
        <color theme="1"/>
        <rFont val="Arial"/>
        <family val="2"/>
      </rPr>
      <t xml:space="preserve">, where the risk-free rate (Rf) represents the prevailing 10-year Indian Government </t>
    </r>
  </si>
  <si>
    <t>Valuation Summary</t>
  </si>
  <si>
    <t>Metrices</t>
  </si>
  <si>
    <t># Share outst.</t>
  </si>
  <si>
    <t>Cash</t>
  </si>
  <si>
    <t>P / Sales</t>
  </si>
  <si>
    <t>Range of valuation</t>
  </si>
  <si>
    <t>Football Field Analysis</t>
  </si>
  <si>
    <t>Using DCF:</t>
  </si>
  <si>
    <t>52-Week Share Price</t>
  </si>
  <si>
    <t>Current Share Price</t>
  </si>
  <si>
    <t>Company Comparables:</t>
  </si>
  <si>
    <t xml:space="preserve">Median </t>
  </si>
  <si>
    <t>Key Financial Metrices</t>
  </si>
  <si>
    <t>Gross Margin %</t>
  </si>
  <si>
    <t>EBITDA Margin %</t>
  </si>
  <si>
    <t>Net Profit Margin %</t>
  </si>
  <si>
    <t>ROE %</t>
  </si>
  <si>
    <t>ROCE %</t>
  </si>
  <si>
    <t xml:space="preserve">Debt to Equity </t>
  </si>
  <si>
    <t>Asset Turnover</t>
  </si>
  <si>
    <t>ROIC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</si>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</sst>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 #,##0.0_ ;_ * \-#,##0.0_ ;_ * &quot;-&quot;??_ ;_ @_ "/>
    <numFmt numFmtId="165" formatCode="mmm/yy\ \A"/>
    <numFmt numFmtId="166" formatCode="mmm/yy\ \E"/>
    <numFmt numFmtId="167" formatCode="#,##0.0"/>
    <numFmt numFmtId="168" formatCode="#,##0;\(#,##0\);\ \-"/>
    <numFmt numFmtId="169" formatCode="#,##0.00;\(#,##0.00\);\ \-"/>
    <numFmt numFmtId="170" formatCode="0.0%"/>
    <numFmt numFmtId="171" formatCode="#,##0.0;\(#,##0.0\);\ \-"/>
    <numFmt numFmtId="172" formatCode="0.0"/>
    <numFmt numFmtId="173" formatCode="0.00\x"/>
    <numFmt numFmtId="174" formatCode="_ * #,##0_ ;_ * \-#,##0_ ;_ * &quot;-&quot;??_ ;_ @_ "/>
    <numFmt numFmtId="175" formatCode="_ [$₹-4009]\ * #,##0.00_ ;_ [$₹-4009]\ * \-#,##0.00_ ;_ [$₹-4009]\ * &quot;-&quot;??_ ;_ @_ "/>
    <numFmt numFmtId="176" formatCode="0.0%;\(0.0%\);\-\-\-"/>
  </numFmts>
  <fonts count="35" x14ac:knownFonts="1">
    <font>
      <sz val="11"/>
      <color theme="1"/>
      <name val="Calibri"/>
      <family val="2"/>
    </font>
    <font>
      <sz val="11"/>
      <color theme="1"/>
      <name val="Calibri"/>
      <family val="2"/>
    </font>
    <font>
      <b/>
      <sz val="11"/>
      <color theme="0"/>
      <name val="Arial"/>
      <family val="2"/>
    </font>
    <font>
      <i/>
      <sz val="9"/>
      <color theme="0"/>
      <name val="Arial"/>
      <family val="2"/>
    </font>
    <font>
      <b/>
      <sz val="10"/>
      <color theme="0"/>
      <name val="Arial"/>
      <family val="2"/>
    </font>
    <font>
      <sz val="10"/>
      <color theme="0"/>
      <name val="Arial"/>
      <family val="2"/>
    </font>
    <font>
      <sz val="10"/>
      <color theme="1"/>
      <name val="Arial"/>
      <family val="2"/>
    </font>
    <font>
      <b/>
      <sz val="10"/>
      <color theme="1"/>
      <name val="Arial"/>
      <family val="2"/>
    </font>
    <font>
      <sz val="11"/>
      <color theme="1"/>
      <name val="Arial"/>
      <family val="2"/>
    </font>
    <font>
      <b/>
      <sz val="12"/>
      <color theme="0"/>
      <name val="Arial"/>
      <family val="2"/>
    </font>
    <font>
      <sz val="11"/>
      <color theme="0"/>
      <name val="Arial"/>
      <family val="2"/>
    </font>
    <font>
      <sz val="11"/>
      <color rgb="FFFF0000"/>
      <name val="Calibri"/>
      <family val="2"/>
    </font>
    <font>
      <sz val="10"/>
      <color rgb="FF0000FF"/>
      <name val="Arial"/>
      <family val="2"/>
    </font>
    <font>
      <sz val="10"/>
      <color rgb="FF00B000"/>
      <name val="Arial"/>
      <family val="2"/>
    </font>
    <font>
      <b/>
      <u/>
      <sz val="10"/>
      <color theme="1"/>
      <name val="Arial"/>
      <family val="2"/>
    </font>
    <font>
      <b/>
      <sz val="11"/>
      <color theme="1"/>
      <name val="Arial"/>
      <family val="2"/>
    </font>
    <font>
      <i/>
      <sz val="10"/>
      <color theme="1"/>
      <name val="Arial"/>
      <family val="2"/>
    </font>
    <font>
      <b/>
      <i/>
      <sz val="10"/>
      <color theme="1"/>
      <name val="Arial"/>
      <family val="2"/>
    </font>
    <font>
      <i/>
      <sz val="10"/>
      <color rgb="FF0000FF"/>
      <name val="Arial"/>
      <family val="2"/>
    </font>
    <font>
      <u/>
      <sz val="11"/>
      <color theme="10"/>
      <name val="Calibri"/>
      <family val="2"/>
    </font>
    <font>
      <b/>
      <sz val="10"/>
      <color rgb="FF0000FF"/>
      <name val="Arial"/>
      <family val="2"/>
    </font>
    <font>
      <sz val="11"/>
      <color rgb="FF232526"/>
      <name val="Inter"/>
      <family val="2"/>
    </font>
    <font>
      <b/>
      <sz val="11"/>
      <color rgb="FFD91400"/>
      <name val="Inter"/>
      <family val="2"/>
    </font>
    <font>
      <b/>
      <sz val="11"/>
      <color rgb="FF007C32"/>
      <name val="Inter"/>
      <family val="2"/>
    </font>
    <font>
      <sz val="10"/>
      <color rgb="FF232526"/>
      <name val="Arial"/>
      <family val="2"/>
    </font>
    <font>
      <u/>
      <sz val="10"/>
      <color theme="10"/>
      <name val="Arial"/>
      <family val="2"/>
    </font>
    <font>
      <b/>
      <sz val="11"/>
      <color theme="1"/>
      <name val="Calibri"/>
      <family val="2"/>
    </font>
    <font>
      <sz val="18"/>
      <color rgb="FF001440"/>
      <name val="Arial Black"/>
      <family val="2"/>
    </font>
    <font>
      <i/>
      <sz val="11"/>
      <color theme="1"/>
      <name val="Calibri"/>
      <family val="2"/>
    </font>
    <font>
      <i/>
      <sz val="10"/>
      <color theme="0"/>
      <name val="Arial"/>
      <family val="2"/>
    </font>
    <font>
      <u/>
      <sz val="11"/>
      <color theme="1"/>
      <name val="Calibri"/>
      <family val="2"/>
    </font>
    <font>
      <i/>
      <sz val="9"/>
      <color theme="1"/>
      <name val="Arial"/>
      <family val="2"/>
    </font>
    <font>
      <sz val="10"/>
      <color theme="0" tint="-4.9989318521683403E-2"/>
      <name val="Arial"/>
      <family val="2"/>
    </font>
    <font>
      <b/>
      <i/>
      <sz val="11"/>
      <color theme="1"/>
      <name val="Calibri"/>
      <family val="2"/>
    </font>
    <font>
      <sz val="10"/>
      <color theme="1"/>
      <name val="Calibri"/>
      <family val="2"/>
    </font>
  </fonts>
  <fills count="13">
    <fill>
      <patternFill patternType="none"/>
    </fill>
    <fill>
      <patternFill patternType="gray125"/>
    </fill>
    <fill>
      <patternFill patternType="solid">
        <fgColor rgb="FFFFFFCC"/>
      </patternFill>
    </fill>
    <fill>
      <patternFill patternType="solid">
        <fgColor rgb="FF001440"/>
        <bgColor indexed="64"/>
      </patternFill>
    </fill>
    <fill>
      <patternFill patternType="solid">
        <fgColor rgb="FF00004D"/>
        <bgColor indexed="64"/>
      </patternFill>
    </fill>
    <fill>
      <patternFill patternType="solid">
        <fgColor theme="0" tint="-0.249977111117893"/>
        <bgColor indexed="64"/>
      </patternFill>
    </fill>
    <fill>
      <patternFill patternType="solid">
        <fgColor rgb="FFF4FFAF"/>
        <bgColor rgb="FFF4FFAF"/>
      </patternFill>
    </fill>
    <fill>
      <patternFill patternType="solid">
        <fgColor rgb="FFFFFFFF"/>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bgColor indexed="64"/>
      </patternFill>
    </fill>
  </fills>
  <borders count="34">
    <border>
      <left/>
      <right/>
      <top/>
      <bottom/>
      <diagonal/>
    </border>
    <border>
      <left style="thin">
        <color theme="0"/>
      </left>
      <right/>
      <top style="thin">
        <color theme="0"/>
      </top>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style="thin">
        <color theme="1"/>
      </right>
      <top/>
      <bottom style="thin">
        <color theme="1"/>
      </bottom>
      <diagonal/>
    </border>
    <border>
      <left style="thin">
        <color indexed="64"/>
      </left>
      <right style="thin">
        <color indexed="64"/>
      </right>
      <top style="thin">
        <color indexed="64"/>
      </top>
      <bottom/>
      <diagonal/>
    </border>
    <border>
      <left style="thin">
        <color rgb="FFB2B2B2"/>
      </left>
      <right style="thin">
        <color indexed="64"/>
      </right>
      <top style="thin">
        <color rgb="FFB2B2B2"/>
      </top>
      <bottom style="thin">
        <color rgb="FFB2B2B2"/>
      </bottom>
      <diagonal/>
    </border>
    <border>
      <left style="thin">
        <color rgb="FFB2B2B2"/>
      </left>
      <right style="thin">
        <color indexed="64"/>
      </right>
      <top style="thin">
        <color rgb="FFB2B2B2"/>
      </top>
      <bottom style="thin">
        <color indexed="64"/>
      </bottom>
      <diagonal/>
    </border>
    <border>
      <left/>
      <right/>
      <top style="thin">
        <color auto="1"/>
      </top>
      <bottom style="dotted">
        <color auto="1"/>
      </bottom>
      <diagonal/>
    </border>
    <border>
      <left/>
      <right/>
      <top style="dotted">
        <color auto="1"/>
      </top>
      <bottom style="dotted">
        <color auto="1"/>
      </bottom>
      <diagonal/>
    </border>
    <border>
      <left/>
      <right/>
      <top style="dotted">
        <color auto="1"/>
      </top>
      <bottom style="thin">
        <color auto="1"/>
      </bottom>
      <diagonal/>
    </border>
  </borders>
  <cellStyleXfs count="8">
    <xf numFmtId="0" fontId="0" fillId="0" borderId="0"/>
    <xf numFmtId="0" fontId="1" fillId="2" borderId="2" applyNumberFormat="0" applyFont="0" applyAlignment="0" applyProtection="0"/>
    <xf numFmtId="9" fontId="1" fillId="0" borderId="0" applyFont="0" applyFill="0" applyBorder="0" applyAlignment="0" applyProtection="0"/>
    <xf numFmtId="0" fontId="11" fillId="0" borderId="0" applyNumberFormat="0" applyFill="0" applyBorder="0" applyAlignment="0" applyProtection="0"/>
    <xf numFmtId="167" fontId="12" fillId="6" borderId="0"/>
    <xf numFmtId="0" fontId="19" fillId="0" borderId="0" applyNumberFormat="0" applyFill="0" applyBorder="0" applyAlignment="0" applyProtection="0"/>
    <xf numFmtId="0" fontId="27" fillId="0" borderId="0"/>
    <xf numFmtId="43" fontId="1" fillId="0" borderId="0" applyFont="0" applyFill="0" applyBorder="0" applyAlignment="0" applyProtection="0"/>
  </cellStyleXfs>
  <cellXfs count="410">
    <xf numFmtId="0" fontId="0" fillId="0" borderId="0" xfId="0"/>
    <xf numFmtId="0" fontId="6" fillId="0" borderId="0" xfId="0" applyFont="1"/>
    <xf numFmtId="0" fontId="6" fillId="0" borderId="0" xfId="0" applyFont="1" applyAlignment="1">
      <alignment horizontal="center"/>
    </xf>
    <xf numFmtId="0" fontId="7" fillId="0" borderId="3" xfId="0" applyFont="1" applyBorder="1"/>
    <xf numFmtId="0" fontId="8" fillId="0" borderId="0" xfId="0" applyFont="1" applyAlignment="1">
      <alignment wrapText="1"/>
    </xf>
    <xf numFmtId="0" fontId="8" fillId="0" borderId="0" xfId="0" applyFont="1"/>
    <xf numFmtId="0" fontId="9" fillId="3" borderId="0" xfId="0" applyFont="1" applyFill="1"/>
    <xf numFmtId="0" fontId="10" fillId="3" borderId="0" xfId="0" applyFont="1" applyFill="1"/>
    <xf numFmtId="0" fontId="4" fillId="3" borderId="0" xfId="0" applyFont="1" applyFill="1"/>
    <xf numFmtId="0" fontId="3" fillId="3" borderId="0" xfId="0" applyFont="1" applyFill="1"/>
    <xf numFmtId="0" fontId="5" fillId="3" borderId="0" xfId="0" applyFont="1" applyFill="1"/>
    <xf numFmtId="165" fontId="4" fillId="3" borderId="0" xfId="0" applyNumberFormat="1" applyFont="1" applyFill="1"/>
    <xf numFmtId="0" fontId="10" fillId="4" borderId="0" xfId="0" applyFont="1" applyFill="1"/>
    <xf numFmtId="0" fontId="4" fillId="4" borderId="0" xfId="0" applyFont="1" applyFill="1"/>
    <xf numFmtId="0" fontId="10" fillId="5" borderId="0" xfId="0" applyFont="1" applyFill="1"/>
    <xf numFmtId="166" fontId="4" fillId="3" borderId="6" xfId="0" applyNumberFormat="1" applyFont="1" applyFill="1" applyBorder="1"/>
    <xf numFmtId="0" fontId="7" fillId="0" borderId="0" xfId="0" applyFont="1"/>
    <xf numFmtId="0" fontId="7" fillId="5" borderId="0" xfId="0" applyFont="1" applyFill="1"/>
    <xf numFmtId="165" fontId="4" fillId="3" borderId="12" xfId="0" applyNumberFormat="1" applyFont="1" applyFill="1" applyBorder="1"/>
    <xf numFmtId="0" fontId="6" fillId="0" borderId="13" xfId="0" applyFont="1" applyBorder="1"/>
    <xf numFmtId="166" fontId="4" fillId="3" borderId="12" xfId="0" applyNumberFormat="1" applyFont="1" applyFill="1" applyBorder="1"/>
    <xf numFmtId="0" fontId="6" fillId="0" borderId="5" xfId="0" applyFont="1" applyBorder="1"/>
    <xf numFmtId="168" fontId="6" fillId="0" borderId="0" xfId="0" applyNumberFormat="1" applyFont="1"/>
    <xf numFmtId="168" fontId="7" fillId="0" borderId="0" xfId="0" applyNumberFormat="1" applyFont="1"/>
    <xf numFmtId="0" fontId="5" fillId="5" borderId="0" xfId="0" applyFont="1" applyFill="1"/>
    <xf numFmtId="0" fontId="6" fillId="5" borderId="0" xfId="0" applyFont="1" applyFill="1"/>
    <xf numFmtId="170" fontId="16" fillId="0" borderId="0" xfId="2" applyNumberFormat="1" applyFont="1"/>
    <xf numFmtId="0" fontId="6" fillId="0" borderId="0" xfId="0" applyFont="1" applyAlignment="1">
      <alignment horizontal="left" indent="1"/>
    </xf>
    <xf numFmtId="0" fontId="4" fillId="3" borderId="6" xfId="0" applyFont="1" applyFill="1" applyBorder="1" applyAlignment="1">
      <alignment horizontal="right"/>
    </xf>
    <xf numFmtId="15" fontId="4" fillId="3" borderId="12" xfId="0" applyNumberFormat="1" applyFont="1" applyFill="1" applyBorder="1" applyAlignment="1">
      <alignment horizontal="right"/>
    </xf>
    <xf numFmtId="170" fontId="17" fillId="0" borderId="0" xfId="2" applyNumberFormat="1" applyFont="1"/>
    <xf numFmtId="170" fontId="18" fillId="6" borderId="15" xfId="2" applyNumberFormat="1" applyFont="1" applyFill="1" applyBorder="1"/>
    <xf numFmtId="0" fontId="14" fillId="0" borderId="0" xfId="0" applyFont="1"/>
    <xf numFmtId="0" fontId="13" fillId="0" borderId="0" xfId="0" applyFont="1"/>
    <xf numFmtId="0" fontId="14" fillId="0" borderId="0" xfId="0" applyFont="1" applyAlignment="1">
      <alignment horizontal="center"/>
    </xf>
    <xf numFmtId="0" fontId="5" fillId="0" borderId="0" xfId="0" applyFont="1"/>
    <xf numFmtId="170" fontId="6" fillId="0" borderId="0" xfId="0" applyNumberFormat="1" applyFont="1"/>
    <xf numFmtId="170" fontId="16" fillId="0" borderId="0" xfId="0" applyNumberFormat="1" applyFont="1"/>
    <xf numFmtId="167" fontId="12" fillId="0" borderId="0" xfId="4" applyFill="1"/>
    <xf numFmtId="167" fontId="12" fillId="6" borderId="4" xfId="4" applyBorder="1"/>
    <xf numFmtId="168" fontId="7" fillId="0" borderId="16" xfId="0" applyNumberFormat="1" applyFont="1" applyBorder="1"/>
    <xf numFmtId="0" fontId="6" fillId="0" borderId="0" xfId="0" applyFont="1" applyAlignment="1">
      <alignment horizontal="left"/>
    </xf>
    <xf numFmtId="1" fontId="6" fillId="0" borderId="0" xfId="0" applyNumberFormat="1" applyFont="1"/>
    <xf numFmtId="0" fontId="19" fillId="0" borderId="0" xfId="5"/>
    <xf numFmtId="168" fontId="7" fillId="0" borderId="3" xfId="0" applyNumberFormat="1" applyFont="1" applyBorder="1"/>
    <xf numFmtId="170" fontId="16" fillId="0" borderId="0" xfId="2" applyNumberFormat="1" applyFont="1" applyAlignment="1">
      <alignment horizontal="right"/>
    </xf>
    <xf numFmtId="0" fontId="19" fillId="0" borderId="0" xfId="5" applyAlignment="1">
      <alignment horizontal="left" indent="1"/>
    </xf>
    <xf numFmtId="168" fontId="12" fillId="0" borderId="0" xfId="0" applyNumberFormat="1" applyFont="1"/>
    <xf numFmtId="170" fontId="18" fillId="0" borderId="0" xfId="0" applyNumberFormat="1" applyFont="1"/>
    <xf numFmtId="0" fontId="12" fillId="0" borderId="0" xfId="0" applyFont="1"/>
    <xf numFmtId="168" fontId="20" fillId="0" borderId="16" xfId="0" applyNumberFormat="1" applyFont="1" applyBorder="1"/>
    <xf numFmtId="168" fontId="13" fillId="0" borderId="0" xfId="0" applyNumberFormat="1" applyFont="1"/>
    <xf numFmtId="3" fontId="12" fillId="0" borderId="0" xfId="0" applyNumberFormat="1" applyFont="1"/>
    <xf numFmtId="4" fontId="6" fillId="0" borderId="0" xfId="0" applyNumberFormat="1" applyFont="1"/>
    <xf numFmtId="10" fontId="6" fillId="0" borderId="0" xfId="0" applyNumberFormat="1" applyFont="1"/>
    <xf numFmtId="4" fontId="21" fillId="7" borderId="0" xfId="0" applyNumberFormat="1" applyFont="1" applyFill="1" applyAlignment="1">
      <alignment horizontal="right" vertical="center" wrapText="1"/>
    </xf>
    <xf numFmtId="0" fontId="21" fillId="7" borderId="0" xfId="0" applyFont="1" applyFill="1" applyAlignment="1">
      <alignment horizontal="right" vertical="center" wrapText="1"/>
    </xf>
    <xf numFmtId="10" fontId="22" fillId="7" borderId="0" xfId="0" applyNumberFormat="1" applyFont="1" applyFill="1" applyAlignment="1">
      <alignment horizontal="right" vertical="center" readingOrder="1"/>
    </xf>
    <xf numFmtId="10" fontId="23" fillId="7" borderId="0" xfId="0" applyNumberFormat="1" applyFont="1" applyFill="1" applyAlignment="1">
      <alignment horizontal="right" vertical="center" readingOrder="1"/>
    </xf>
    <xf numFmtId="14" fontId="24" fillId="7" borderId="0" xfId="0" applyNumberFormat="1" applyFont="1" applyFill="1" applyAlignment="1">
      <alignment horizontal="left" vertical="center"/>
    </xf>
    <xf numFmtId="170" fontId="24" fillId="7" borderId="0" xfId="2" applyNumberFormat="1" applyFont="1" applyFill="1" applyAlignment="1">
      <alignment horizontal="right" vertical="center" wrapText="1"/>
    </xf>
    <xf numFmtId="0" fontId="14" fillId="0" borderId="0" xfId="0" applyFont="1" applyAlignment="1">
      <alignment horizontal="left"/>
    </xf>
    <xf numFmtId="4" fontId="6" fillId="7" borderId="0" xfId="0" applyNumberFormat="1" applyFont="1" applyFill="1" applyAlignment="1">
      <alignment horizontal="left" vertical="center" wrapText="1" readingOrder="1"/>
    </xf>
    <xf numFmtId="4" fontId="21" fillId="7" borderId="0" xfId="0" applyNumberFormat="1" applyFont="1" applyFill="1" applyAlignment="1">
      <alignment horizontal="left" vertical="center" wrapText="1"/>
    </xf>
    <xf numFmtId="0" fontId="6" fillId="7" borderId="0" xfId="0" applyFont="1" applyFill="1" applyAlignment="1">
      <alignment horizontal="left" vertical="center" wrapText="1" readingOrder="1"/>
    </xf>
    <xf numFmtId="2" fontId="6" fillId="0" borderId="0" xfId="0" applyNumberFormat="1" applyFont="1"/>
    <xf numFmtId="172" fontId="6" fillId="0" borderId="0" xfId="0" applyNumberFormat="1" applyFont="1"/>
    <xf numFmtId="10" fontId="6" fillId="0" borderId="0" xfId="2" applyNumberFormat="1" applyFont="1"/>
    <xf numFmtId="0" fontId="16" fillId="0" borderId="0" xfId="0" applyFont="1"/>
    <xf numFmtId="167" fontId="6" fillId="0" borderId="0" xfId="0" applyNumberFormat="1" applyFont="1"/>
    <xf numFmtId="14" fontId="6" fillId="2" borderId="2" xfId="1" applyNumberFormat="1" applyFont="1"/>
    <xf numFmtId="10" fontId="6" fillId="2" borderId="2" xfId="1" applyNumberFormat="1" applyFont="1"/>
    <xf numFmtId="0" fontId="19" fillId="5" borderId="0" xfId="5" applyFill="1"/>
    <xf numFmtId="0" fontId="25" fillId="0" borderId="0" xfId="5" applyFont="1"/>
    <xf numFmtId="173" fontId="6" fillId="0" borderId="0" xfId="0" applyNumberFormat="1" applyFont="1"/>
    <xf numFmtId="170" fontId="6" fillId="0" borderId="0" xfId="2" applyNumberFormat="1" applyFont="1"/>
    <xf numFmtId="14" fontId="0" fillId="0" borderId="0" xfId="0" applyNumberFormat="1"/>
    <xf numFmtId="4" fontId="0" fillId="0" borderId="0" xfId="0" applyNumberFormat="1"/>
    <xf numFmtId="10" fontId="0" fillId="0" borderId="0" xfId="0" applyNumberFormat="1"/>
    <xf numFmtId="0" fontId="28" fillId="0" borderId="0" xfId="0" applyFont="1"/>
    <xf numFmtId="4" fontId="6" fillId="7" borderId="0" xfId="0" applyNumberFormat="1" applyFont="1" applyFill="1" applyAlignment="1">
      <alignment horizontal="right" vertical="center" wrapText="1" readingOrder="1"/>
    </xf>
    <xf numFmtId="0" fontId="6" fillId="7" borderId="0" xfId="0" applyFont="1" applyFill="1" applyAlignment="1">
      <alignment horizontal="right" vertical="center" wrapText="1" readingOrder="1"/>
    </xf>
    <xf numFmtId="172" fontId="0" fillId="0" borderId="0" xfId="0" applyNumberFormat="1"/>
    <xf numFmtId="0" fontId="6" fillId="0" borderId="0" xfId="0" applyFont="1" applyAlignment="1">
      <alignment horizontal="right"/>
    </xf>
    <xf numFmtId="10" fontId="0" fillId="0" borderId="0" xfId="2" applyNumberFormat="1" applyFont="1"/>
    <xf numFmtId="4" fontId="26" fillId="0" borderId="18" xfId="0" applyNumberFormat="1" applyFont="1" applyBorder="1"/>
    <xf numFmtId="167" fontId="26" fillId="0" borderId="17" xfId="0" applyNumberFormat="1" applyFont="1" applyBorder="1"/>
    <xf numFmtId="167" fontId="26" fillId="0" borderId="18" xfId="0" applyNumberFormat="1" applyFont="1" applyBorder="1"/>
    <xf numFmtId="10" fontId="26" fillId="0" borderId="18" xfId="2" applyNumberFormat="1" applyFont="1" applyBorder="1"/>
    <xf numFmtId="0" fontId="7" fillId="0" borderId="0" xfId="0" applyFont="1" applyAlignment="1">
      <alignment horizontal="center"/>
    </xf>
    <xf numFmtId="0" fontId="6" fillId="0" borderId="19" xfId="0" applyFont="1" applyBorder="1"/>
    <xf numFmtId="164" fontId="6" fillId="2" borderId="2" xfId="1" applyNumberFormat="1" applyFont="1"/>
    <xf numFmtId="0" fontId="29" fillId="4" borderId="0" xfId="0" applyFont="1" applyFill="1"/>
    <xf numFmtId="0" fontId="2" fillId="4" borderId="0" xfId="0" applyFont="1" applyFill="1"/>
    <xf numFmtId="166" fontId="4" fillId="4" borderId="0" xfId="0" applyNumberFormat="1" applyFont="1" applyFill="1"/>
    <xf numFmtId="0" fontId="29" fillId="3" borderId="0" xfId="0" applyFont="1" applyFill="1"/>
    <xf numFmtId="15" fontId="4" fillId="3" borderId="12" xfId="0" applyNumberFormat="1" applyFont="1" applyFill="1" applyBorder="1" applyAlignment="1">
      <alignment horizontal="center"/>
    </xf>
    <xf numFmtId="0" fontId="4" fillId="3" borderId="6" xfId="0" applyFont="1" applyFill="1" applyBorder="1" applyAlignment="1">
      <alignment horizontal="center"/>
    </xf>
    <xf numFmtId="0" fontId="7" fillId="8" borderId="0" xfId="0" applyFont="1" applyFill="1"/>
    <xf numFmtId="0" fontId="15" fillId="8" borderId="0" xfId="0" applyFont="1" applyFill="1"/>
    <xf numFmtId="0" fontId="8" fillId="8" borderId="0" xfId="0" applyFont="1" applyFill="1"/>
    <xf numFmtId="174" fontId="6" fillId="2" borderId="2" xfId="1" applyNumberFormat="1" applyFont="1" applyAlignment="1">
      <alignment horizontal="right"/>
    </xf>
    <xf numFmtId="165" fontId="7" fillId="5" borderId="0" xfId="0" applyNumberFormat="1" applyFont="1" applyFill="1"/>
    <xf numFmtId="166" fontId="7" fillId="5" borderId="0" xfId="0" applyNumberFormat="1" applyFont="1" applyFill="1"/>
    <xf numFmtId="0" fontId="6" fillId="0" borderId="3" xfId="0" applyFont="1" applyBorder="1"/>
    <xf numFmtId="0" fontId="15" fillId="0" borderId="0" xfId="0" applyFont="1" applyAlignment="1">
      <alignment horizontal="center"/>
    </xf>
    <xf numFmtId="0" fontId="15" fillId="0" borderId="0" xfId="0" applyFont="1" applyAlignment="1">
      <alignment horizontal="center" wrapText="1"/>
    </xf>
    <xf numFmtId="0" fontId="2" fillId="3" borderId="0" xfId="0" applyFont="1" applyFill="1"/>
    <xf numFmtId="0" fontId="6" fillId="0" borderId="21" xfId="0" applyFont="1" applyBorder="1"/>
    <xf numFmtId="0" fontId="7" fillId="0" borderId="21" xfId="0" applyFont="1" applyBorder="1"/>
    <xf numFmtId="0" fontId="6" fillId="0" borderId="22" xfId="0" applyFont="1" applyBorder="1" applyAlignment="1">
      <alignment horizontal="left" indent="1"/>
    </xf>
    <xf numFmtId="0" fontId="6" fillId="0" borderId="16" xfId="0" applyFont="1" applyBorder="1"/>
    <xf numFmtId="0" fontId="6" fillId="0" borderId="23" xfId="0" applyFont="1" applyBorder="1"/>
    <xf numFmtId="0" fontId="6" fillId="0" borderId="19" xfId="0" applyFont="1" applyBorder="1" applyAlignment="1">
      <alignment horizontal="left" indent="1"/>
    </xf>
    <xf numFmtId="0" fontId="6" fillId="0" borderId="24" xfId="0" applyFont="1" applyBorder="1"/>
    <xf numFmtId="0" fontId="6" fillId="0" borderId="25" xfId="0" applyFont="1" applyBorder="1" applyAlignment="1">
      <alignment horizontal="left" indent="1"/>
    </xf>
    <xf numFmtId="0" fontId="6" fillId="0" borderId="26" xfId="0" applyFont="1" applyBorder="1"/>
    <xf numFmtId="0" fontId="6" fillId="0" borderId="22" xfId="0" applyFont="1" applyBorder="1" applyAlignment="1">
      <alignment horizontal="left"/>
    </xf>
    <xf numFmtId="0" fontId="6" fillId="0" borderId="25" xfId="0" applyFont="1" applyBorder="1" applyAlignment="1">
      <alignment horizontal="left"/>
    </xf>
    <xf numFmtId="0" fontId="5" fillId="0" borderId="21" xfId="0" applyFont="1" applyBorder="1"/>
    <xf numFmtId="170" fontId="18" fillId="6" borderId="27" xfId="2" applyNumberFormat="1" applyFont="1" applyFill="1" applyBorder="1"/>
    <xf numFmtId="0" fontId="7" fillId="0" borderId="21" xfId="0" applyFont="1" applyBorder="1" applyAlignment="1">
      <alignment horizontal="left" indent="1"/>
    </xf>
    <xf numFmtId="170" fontId="16" fillId="0" borderId="21" xfId="2" applyNumberFormat="1" applyFont="1" applyBorder="1"/>
    <xf numFmtId="170" fontId="17" fillId="0" borderId="3" xfId="2" applyNumberFormat="1" applyFont="1" applyBorder="1"/>
    <xf numFmtId="170" fontId="18" fillId="2" borderId="2" xfId="1" applyNumberFormat="1" applyFont="1"/>
    <xf numFmtId="170" fontId="16" fillId="2" borderId="2" xfId="1" applyNumberFormat="1" applyFont="1"/>
    <xf numFmtId="170" fontId="16" fillId="6" borderId="15" xfId="2" applyNumberFormat="1" applyFont="1" applyFill="1" applyBorder="1"/>
    <xf numFmtId="170" fontId="16" fillId="6" borderId="27" xfId="2" applyNumberFormat="1" applyFont="1" applyFill="1" applyBorder="1"/>
    <xf numFmtId="0" fontId="7" fillId="0" borderId="21" xfId="0" applyFont="1" applyBorder="1" applyAlignment="1">
      <alignment horizontal="left"/>
    </xf>
    <xf numFmtId="0" fontId="30" fillId="5" borderId="0" xfId="5" applyFont="1" applyFill="1"/>
    <xf numFmtId="170" fontId="17" fillId="0" borderId="16" xfId="2" applyNumberFormat="1" applyFont="1" applyBorder="1"/>
    <xf numFmtId="0" fontId="7" fillId="0" borderId="22" xfId="0" applyFont="1" applyBorder="1"/>
    <xf numFmtId="0" fontId="7" fillId="0" borderId="14" xfId="0" applyFont="1" applyBorder="1"/>
    <xf numFmtId="0" fontId="7" fillId="0" borderId="25" xfId="0" applyFont="1" applyBorder="1"/>
    <xf numFmtId="0" fontId="7" fillId="5" borderId="14" xfId="0" applyFont="1" applyFill="1" applyBorder="1"/>
    <xf numFmtId="0" fontId="10" fillId="5" borderId="3" xfId="0" applyFont="1" applyFill="1" applyBorder="1"/>
    <xf numFmtId="165" fontId="7" fillId="5" borderId="14" xfId="0" applyNumberFormat="1" applyFont="1" applyFill="1" applyBorder="1" applyAlignment="1">
      <alignment horizontal="center"/>
    </xf>
    <xf numFmtId="165" fontId="7" fillId="5" borderId="3" xfId="0" applyNumberFormat="1" applyFont="1" applyFill="1" applyBorder="1" applyAlignment="1">
      <alignment horizontal="center"/>
    </xf>
    <xf numFmtId="166" fontId="7" fillId="5" borderId="3" xfId="0" applyNumberFormat="1" applyFont="1" applyFill="1" applyBorder="1" applyAlignment="1">
      <alignment horizontal="center"/>
    </xf>
    <xf numFmtId="166" fontId="7" fillId="5" borderId="20" xfId="0" applyNumberFormat="1" applyFont="1" applyFill="1" applyBorder="1" applyAlignment="1">
      <alignment horizontal="center"/>
    </xf>
    <xf numFmtId="0" fontId="6" fillId="0" borderId="19" xfId="0" applyFont="1" applyBorder="1" applyAlignment="1">
      <alignment horizontal="center"/>
    </xf>
    <xf numFmtId="0" fontId="6" fillId="0" borderId="24" xfId="0" applyFont="1" applyBorder="1" applyAlignment="1">
      <alignment horizontal="center"/>
    </xf>
    <xf numFmtId="168" fontId="6" fillId="0" borderId="19" xfId="0" applyNumberFormat="1" applyFont="1" applyBorder="1" applyAlignment="1">
      <alignment horizontal="center"/>
    </xf>
    <xf numFmtId="168" fontId="6" fillId="0" borderId="0" xfId="0" applyNumberFormat="1" applyFont="1" applyAlignment="1">
      <alignment horizontal="center"/>
    </xf>
    <xf numFmtId="168" fontId="6" fillId="0" borderId="24" xfId="0" applyNumberFormat="1" applyFont="1" applyBorder="1" applyAlignment="1">
      <alignment horizontal="center"/>
    </xf>
    <xf numFmtId="168" fontId="7" fillId="0" borderId="22" xfId="0" applyNumberFormat="1" applyFont="1" applyBorder="1" applyAlignment="1">
      <alignment horizontal="center"/>
    </xf>
    <xf numFmtId="168" fontId="7" fillId="0" borderId="16" xfId="0" applyNumberFormat="1" applyFont="1" applyBorder="1" applyAlignment="1">
      <alignment horizontal="center"/>
    </xf>
    <xf numFmtId="168" fontId="7" fillId="0" borderId="23" xfId="0" applyNumberFormat="1" applyFont="1" applyBorder="1" applyAlignment="1">
      <alignment horizontal="center"/>
    </xf>
    <xf numFmtId="168" fontId="7" fillId="0" borderId="14" xfId="0" applyNumberFormat="1" applyFont="1" applyBorder="1" applyAlignment="1">
      <alignment horizontal="center"/>
    </xf>
    <xf numFmtId="168" fontId="7" fillId="0" borderId="3" xfId="0" applyNumberFormat="1" applyFont="1" applyBorder="1" applyAlignment="1">
      <alignment horizontal="center"/>
    </xf>
    <xf numFmtId="168" fontId="7" fillId="0" borderId="20" xfId="0" applyNumberFormat="1" applyFont="1" applyBorder="1" applyAlignment="1">
      <alignment horizontal="center"/>
    </xf>
    <xf numFmtId="168" fontId="6" fillId="0" borderId="25" xfId="0" applyNumberFormat="1" applyFont="1" applyBorder="1" applyAlignment="1">
      <alignment horizontal="center"/>
    </xf>
    <xf numFmtId="168" fontId="6" fillId="0" borderId="21" xfId="0" applyNumberFormat="1" applyFont="1" applyBorder="1" applyAlignment="1">
      <alignment horizontal="center"/>
    </xf>
    <xf numFmtId="168" fontId="6" fillId="0" borderId="26" xfId="0" applyNumberFormat="1" applyFont="1" applyBorder="1" applyAlignment="1">
      <alignment horizontal="center"/>
    </xf>
    <xf numFmtId="171" fontId="6" fillId="0" borderId="19" xfId="0" applyNumberFormat="1" applyFont="1" applyBorder="1" applyAlignment="1">
      <alignment horizontal="center"/>
    </xf>
    <xf numFmtId="171" fontId="6" fillId="0" borderId="0" xfId="0" applyNumberFormat="1" applyFont="1" applyAlignment="1">
      <alignment horizontal="center"/>
    </xf>
    <xf numFmtId="171" fontId="6" fillId="0" borderId="24" xfId="0" applyNumberFormat="1" applyFont="1" applyBorder="1" applyAlignment="1">
      <alignment horizontal="center"/>
    </xf>
    <xf numFmtId="169" fontId="6" fillId="0" borderId="19" xfId="0" applyNumberFormat="1" applyFont="1" applyBorder="1" applyAlignment="1">
      <alignment horizontal="center"/>
    </xf>
    <xf numFmtId="169" fontId="6" fillId="0" borderId="0" xfId="0" applyNumberFormat="1" applyFont="1" applyAlignment="1">
      <alignment horizontal="center"/>
    </xf>
    <xf numFmtId="169" fontId="6" fillId="0" borderId="25" xfId="0" applyNumberFormat="1" applyFont="1" applyBorder="1" applyAlignment="1">
      <alignment horizontal="center"/>
    </xf>
    <xf numFmtId="169" fontId="6" fillId="0" borderId="21" xfId="0" applyNumberFormat="1" applyFont="1" applyBorder="1" applyAlignment="1">
      <alignment horizontal="center"/>
    </xf>
    <xf numFmtId="171" fontId="0" fillId="0" borderId="25" xfId="0" applyNumberFormat="1" applyBorder="1" applyAlignment="1">
      <alignment horizontal="center"/>
    </xf>
    <xf numFmtId="171" fontId="0" fillId="0" borderId="21" xfId="0" applyNumberFormat="1" applyBorder="1" applyAlignment="1">
      <alignment horizontal="center"/>
    </xf>
    <xf numFmtId="171" fontId="6" fillId="0" borderId="21" xfId="0" applyNumberFormat="1" applyFont="1" applyBorder="1" applyAlignment="1">
      <alignment horizontal="center"/>
    </xf>
    <xf numFmtId="171" fontId="6" fillId="0" borderId="26" xfId="0" applyNumberFormat="1" applyFont="1" applyBorder="1" applyAlignment="1">
      <alignment horizontal="center"/>
    </xf>
    <xf numFmtId="0" fontId="6" fillId="2" borderId="2" xfId="1" applyFont="1" applyAlignment="1">
      <alignment horizontal="right"/>
    </xf>
    <xf numFmtId="14" fontId="6" fillId="2" borderId="2" xfId="1" applyNumberFormat="1" applyFont="1" applyAlignment="1">
      <alignment horizontal="right"/>
    </xf>
    <xf numFmtId="167" fontId="12" fillId="6" borderId="28" xfId="4" applyBorder="1"/>
    <xf numFmtId="167" fontId="12" fillId="0" borderId="16" xfId="4" applyFill="1" applyBorder="1"/>
    <xf numFmtId="168" fontId="6" fillId="0" borderId="16" xfId="0" applyNumberFormat="1" applyFont="1" applyBorder="1"/>
    <xf numFmtId="167" fontId="12" fillId="0" borderId="3" xfId="4" applyFill="1" applyBorder="1"/>
    <xf numFmtId="0" fontId="7" fillId="0" borderId="16" xfId="0" applyFont="1" applyBorder="1"/>
    <xf numFmtId="168" fontId="6" fillId="0" borderId="21" xfId="0" applyNumberFormat="1" applyFont="1" applyBorder="1"/>
    <xf numFmtId="0" fontId="7" fillId="0" borderId="3" xfId="0" applyFont="1" applyBorder="1" applyAlignment="1">
      <alignment horizontal="left"/>
    </xf>
    <xf numFmtId="0" fontId="6" fillId="8" borderId="0" xfId="0" applyFont="1" applyFill="1"/>
    <xf numFmtId="0" fontId="6" fillId="8" borderId="16" xfId="0" applyFont="1" applyFill="1" applyBorder="1"/>
    <xf numFmtId="170" fontId="16" fillId="8" borderId="16" xfId="2" applyNumberFormat="1" applyFont="1" applyFill="1" applyBorder="1"/>
    <xf numFmtId="170" fontId="16" fillId="8" borderId="0" xfId="2" applyNumberFormat="1" applyFont="1" applyFill="1"/>
    <xf numFmtId="0" fontId="6" fillId="8" borderId="3" xfId="0" applyFont="1" applyFill="1" applyBorder="1"/>
    <xf numFmtId="170" fontId="16" fillId="8" borderId="3" xfId="2" applyNumberFormat="1" applyFont="1" applyFill="1" applyBorder="1"/>
    <xf numFmtId="0" fontId="7" fillId="8" borderId="16" xfId="0" applyFont="1" applyFill="1" applyBorder="1"/>
    <xf numFmtId="0" fontId="7" fillId="8" borderId="3" xfId="0" applyFont="1" applyFill="1" applyBorder="1"/>
    <xf numFmtId="168" fontId="6" fillId="8" borderId="3" xfId="0" applyNumberFormat="1" applyFont="1" applyFill="1" applyBorder="1"/>
    <xf numFmtId="0" fontId="7" fillId="0" borderId="19" xfId="0" applyFont="1" applyBorder="1"/>
    <xf numFmtId="168" fontId="6" fillId="0" borderId="24" xfId="0" applyNumberFormat="1" applyFont="1" applyBorder="1"/>
    <xf numFmtId="0" fontId="6" fillId="0" borderId="19" xfId="0" applyFont="1" applyBorder="1" applyAlignment="1">
      <alignment horizontal="left" indent="2"/>
    </xf>
    <xf numFmtId="0" fontId="11" fillId="0" borderId="19" xfId="3" applyBorder="1"/>
    <xf numFmtId="0" fontId="11" fillId="0" borderId="0" xfId="3" applyBorder="1"/>
    <xf numFmtId="168" fontId="11" fillId="0" borderId="0" xfId="3" applyNumberFormat="1" applyBorder="1"/>
    <xf numFmtId="168" fontId="11" fillId="0" borderId="24" xfId="3" applyNumberFormat="1" applyBorder="1"/>
    <xf numFmtId="0" fontId="6" fillId="0" borderId="25" xfId="0" applyFont="1" applyBorder="1"/>
    <xf numFmtId="168" fontId="6" fillId="0" borderId="19" xfId="0" applyNumberFormat="1" applyFont="1" applyBorder="1"/>
    <xf numFmtId="168" fontId="7" fillId="0" borderId="19" xfId="0" applyNumberFormat="1" applyFont="1" applyBorder="1"/>
    <xf numFmtId="165" fontId="7" fillId="5" borderId="14" xfId="0" applyNumberFormat="1" applyFont="1" applyFill="1" applyBorder="1"/>
    <xf numFmtId="165" fontId="7" fillId="5" borderId="3" xfId="0" applyNumberFormat="1" applyFont="1" applyFill="1" applyBorder="1"/>
    <xf numFmtId="166" fontId="7" fillId="5" borderId="3" xfId="0" applyNumberFormat="1" applyFont="1" applyFill="1" applyBorder="1"/>
    <xf numFmtId="166" fontId="7" fillId="5" borderId="20" xfId="0" applyNumberFormat="1" applyFont="1" applyFill="1" applyBorder="1"/>
    <xf numFmtId="168" fontId="7" fillId="0" borderId="14" xfId="0" applyNumberFormat="1" applyFont="1" applyBorder="1"/>
    <xf numFmtId="168" fontId="7" fillId="0" borderId="20" xfId="0" applyNumberFormat="1" applyFont="1" applyBorder="1"/>
    <xf numFmtId="168" fontId="6" fillId="0" borderId="22" xfId="0" applyNumberFormat="1" applyFont="1" applyBorder="1"/>
    <xf numFmtId="168" fontId="6" fillId="0" borderId="23" xfId="0" applyNumberFormat="1" applyFont="1" applyBorder="1"/>
    <xf numFmtId="168" fontId="6" fillId="0" borderId="14" xfId="0" applyNumberFormat="1" applyFont="1" applyBorder="1"/>
    <xf numFmtId="168" fontId="6" fillId="0" borderId="3" xfId="0" applyNumberFormat="1" applyFont="1" applyBorder="1"/>
    <xf numFmtId="168" fontId="6" fillId="0" borderId="20" xfId="0" applyNumberFormat="1" applyFont="1" applyBorder="1"/>
    <xf numFmtId="168" fontId="7" fillId="0" borderId="22" xfId="0" applyNumberFormat="1" applyFont="1" applyBorder="1"/>
    <xf numFmtId="168" fontId="7" fillId="0" borderId="23" xfId="0" applyNumberFormat="1" applyFont="1" applyBorder="1"/>
    <xf numFmtId="168" fontId="6" fillId="0" borderId="25" xfId="0" applyNumberFormat="1" applyFont="1" applyBorder="1"/>
    <xf numFmtId="168" fontId="6" fillId="0" borderId="26" xfId="0" applyNumberFormat="1" applyFont="1" applyBorder="1"/>
    <xf numFmtId="0" fontId="6" fillId="8" borderId="21" xfId="0" applyFont="1" applyFill="1" applyBorder="1"/>
    <xf numFmtId="9" fontId="16" fillId="0" borderId="0" xfId="0" applyNumberFormat="1" applyFont="1"/>
    <xf numFmtId="0" fontId="7" fillId="5" borderId="3" xfId="0" applyFont="1" applyFill="1" applyBorder="1"/>
    <xf numFmtId="10" fontId="7" fillId="0" borderId="16" xfId="0" applyNumberFormat="1" applyFont="1" applyBorder="1"/>
    <xf numFmtId="0" fontId="31" fillId="0" borderId="0" xfId="0" applyFont="1"/>
    <xf numFmtId="0" fontId="6" fillId="0" borderId="4" xfId="0" applyFont="1" applyBorder="1"/>
    <xf numFmtId="10" fontId="6" fillId="2" borderId="2" xfId="2" applyNumberFormat="1" applyFont="1" applyFill="1" applyBorder="1"/>
    <xf numFmtId="10" fontId="6" fillId="0" borderId="4" xfId="2" applyNumberFormat="1" applyFont="1" applyBorder="1" applyAlignment="1"/>
    <xf numFmtId="172" fontId="6" fillId="0" borderId="16" xfId="2" applyNumberFormat="1" applyFont="1" applyBorder="1"/>
    <xf numFmtId="166" fontId="4" fillId="4" borderId="19" xfId="0" applyNumberFormat="1" applyFont="1" applyFill="1" applyBorder="1"/>
    <xf numFmtId="9" fontId="16" fillId="0" borderId="19" xfId="0" applyNumberFormat="1" applyFont="1" applyBorder="1"/>
    <xf numFmtId="172" fontId="6" fillId="0" borderId="22" xfId="2" applyNumberFormat="1" applyFont="1" applyBorder="1"/>
    <xf numFmtId="172" fontId="6" fillId="0" borderId="19" xfId="2" applyNumberFormat="1" applyFont="1" applyBorder="1"/>
    <xf numFmtId="2" fontId="6" fillId="0" borderId="19" xfId="0" applyNumberFormat="1" applyFont="1" applyBorder="1"/>
    <xf numFmtId="175" fontId="7" fillId="0" borderId="14" xfId="0" applyNumberFormat="1" applyFont="1" applyBorder="1"/>
    <xf numFmtId="175" fontId="6" fillId="0" borderId="22" xfId="0" applyNumberFormat="1" applyFont="1" applyBorder="1"/>
    <xf numFmtId="175" fontId="7" fillId="0" borderId="16" xfId="0" applyNumberFormat="1" applyFont="1" applyBorder="1"/>
    <xf numFmtId="175" fontId="6" fillId="0" borderId="23" xfId="0" applyNumberFormat="1" applyFont="1" applyBorder="1"/>
    <xf numFmtId="175" fontId="7" fillId="0" borderId="19" xfId="0" applyNumberFormat="1" applyFont="1" applyBorder="1"/>
    <xf numFmtId="175" fontId="7" fillId="0" borderId="0" xfId="0" applyNumberFormat="1" applyFont="1"/>
    <xf numFmtId="175" fontId="7" fillId="0" borderId="24" xfId="0" applyNumberFormat="1" applyFont="1" applyBorder="1"/>
    <xf numFmtId="175" fontId="6" fillId="0" borderId="25" xfId="0" applyNumberFormat="1" applyFont="1" applyBorder="1"/>
    <xf numFmtId="175" fontId="7" fillId="0" borderId="21" xfId="0" applyNumberFormat="1" applyFont="1" applyBorder="1"/>
    <xf numFmtId="175" fontId="6" fillId="0" borderId="26" xfId="0" applyNumberFormat="1" applyFont="1" applyBorder="1"/>
    <xf numFmtId="175" fontId="6" fillId="0" borderId="16" xfId="0" applyNumberFormat="1" applyFont="1" applyBorder="1"/>
    <xf numFmtId="175" fontId="6" fillId="0" borderId="21" xfId="0" applyNumberFormat="1" applyFont="1" applyBorder="1"/>
    <xf numFmtId="175" fontId="6" fillId="0" borderId="19" xfId="0" applyNumberFormat="1" applyFont="1" applyBorder="1"/>
    <xf numFmtId="175" fontId="6" fillId="0" borderId="24" xfId="0" applyNumberFormat="1" applyFont="1" applyBorder="1"/>
    <xf numFmtId="10" fontId="6" fillId="10" borderId="16" xfId="0" applyNumberFormat="1" applyFont="1" applyFill="1" applyBorder="1"/>
    <xf numFmtId="10" fontId="7" fillId="10" borderId="16" xfId="0" applyNumberFormat="1" applyFont="1" applyFill="1" applyBorder="1"/>
    <xf numFmtId="175" fontId="32" fillId="10" borderId="22" xfId="0" applyNumberFormat="1" applyFont="1" applyFill="1" applyBorder="1"/>
    <xf numFmtId="10" fontId="6" fillId="10" borderId="23" xfId="0" applyNumberFormat="1" applyFont="1" applyFill="1" applyBorder="1"/>
    <xf numFmtId="10" fontId="6" fillId="10" borderId="19" xfId="0" applyNumberFormat="1" applyFont="1" applyFill="1" applyBorder="1"/>
    <xf numFmtId="10" fontId="7" fillId="10" borderId="19" xfId="0" applyNumberFormat="1" applyFont="1" applyFill="1" applyBorder="1"/>
    <xf numFmtId="10" fontId="6" fillId="10" borderId="25" xfId="0" applyNumberFormat="1" applyFont="1" applyFill="1" applyBorder="1"/>
    <xf numFmtId="0" fontId="6" fillId="0" borderId="4" xfId="0" applyFont="1" applyBorder="1" applyAlignment="1">
      <alignment horizontal="center"/>
    </xf>
    <xf numFmtId="0" fontId="6" fillId="2" borderId="4" xfId="1" applyFont="1" applyBorder="1" applyAlignment="1">
      <alignment horizontal="center"/>
    </xf>
    <xf numFmtId="10" fontId="7" fillId="8" borderId="3" xfId="2" applyNumberFormat="1" applyFont="1" applyFill="1" applyBorder="1"/>
    <xf numFmtId="10" fontId="7" fillId="8" borderId="3" xfId="0" applyNumberFormat="1" applyFont="1" applyFill="1" applyBorder="1"/>
    <xf numFmtId="167" fontId="7" fillId="8" borderId="3" xfId="0" applyNumberFormat="1" applyFont="1" applyFill="1" applyBorder="1"/>
    <xf numFmtId="0" fontId="26" fillId="0" borderId="0" xfId="0" applyFont="1"/>
    <xf numFmtId="0" fontId="26" fillId="0" borderId="0" xfId="0" applyFont="1" applyAlignment="1">
      <alignment horizontal="center"/>
    </xf>
    <xf numFmtId="0" fontId="7" fillId="0" borderId="16" xfId="0" applyFont="1" applyBorder="1" applyAlignment="1">
      <alignment horizontal="left"/>
    </xf>
    <xf numFmtId="168" fontId="6" fillId="8" borderId="16" xfId="0" applyNumberFormat="1" applyFont="1" applyFill="1" applyBorder="1"/>
    <xf numFmtId="170" fontId="7" fillId="0" borderId="3" xfId="0" applyNumberFormat="1" applyFont="1" applyBorder="1"/>
    <xf numFmtId="170" fontId="16" fillId="0" borderId="0" xfId="2" applyNumberFormat="1" applyFont="1" applyBorder="1"/>
    <xf numFmtId="170" fontId="16" fillId="0" borderId="24" xfId="2" applyNumberFormat="1" applyFont="1" applyBorder="1"/>
    <xf numFmtId="170" fontId="16" fillId="0" borderId="26" xfId="2" applyNumberFormat="1" applyFont="1" applyBorder="1"/>
    <xf numFmtId="0" fontId="7" fillId="11" borderId="14" xfId="0" applyFont="1" applyFill="1" applyBorder="1"/>
    <xf numFmtId="0" fontId="5" fillId="11" borderId="3" xfId="0" applyFont="1" applyFill="1" applyBorder="1"/>
    <xf numFmtId="165" fontId="7" fillId="11" borderId="3" xfId="0" applyNumberFormat="1" applyFont="1" applyFill="1" applyBorder="1"/>
    <xf numFmtId="166" fontId="7" fillId="11" borderId="3" xfId="0" applyNumberFormat="1" applyFont="1" applyFill="1" applyBorder="1"/>
    <xf numFmtId="166" fontId="7" fillId="11" borderId="20" xfId="0" applyNumberFormat="1" applyFont="1" applyFill="1" applyBorder="1"/>
    <xf numFmtId="0" fontId="14" fillId="0" borderId="21" xfId="0" applyFont="1" applyBorder="1"/>
    <xf numFmtId="173" fontId="6" fillId="0" borderId="24" xfId="0" applyNumberFormat="1" applyFont="1" applyBorder="1"/>
    <xf numFmtId="1" fontId="6" fillId="0" borderId="24" xfId="0" applyNumberFormat="1" applyFont="1" applyBorder="1"/>
    <xf numFmtId="173" fontId="6" fillId="0" borderId="21" xfId="0" applyNumberFormat="1" applyFont="1" applyBorder="1"/>
    <xf numFmtId="173" fontId="6" fillId="0" borderId="26" xfId="0" applyNumberFormat="1" applyFont="1" applyBorder="1"/>
    <xf numFmtId="170" fontId="6" fillId="0" borderId="24" xfId="0" applyNumberFormat="1" applyFont="1" applyBorder="1"/>
    <xf numFmtId="170" fontId="7" fillId="0" borderId="20" xfId="0" applyNumberFormat="1" applyFont="1" applyBorder="1"/>
    <xf numFmtId="4" fontId="6" fillId="9" borderId="22" xfId="0" applyNumberFormat="1" applyFont="1" applyFill="1" applyBorder="1"/>
    <xf numFmtId="0" fontId="6" fillId="9" borderId="16" xfId="0" applyFont="1" applyFill="1" applyBorder="1"/>
    <xf numFmtId="2" fontId="6" fillId="9" borderId="23" xfId="0" applyNumberFormat="1" applyFont="1" applyFill="1" applyBorder="1"/>
    <xf numFmtId="0" fontId="6" fillId="9" borderId="19" xfId="0" applyFont="1" applyFill="1" applyBorder="1"/>
    <xf numFmtId="0" fontId="6" fillId="9" borderId="0" xfId="0" applyFont="1" applyFill="1"/>
    <xf numFmtId="0" fontId="6" fillId="9" borderId="24" xfId="0" applyFont="1" applyFill="1" applyBorder="1"/>
    <xf numFmtId="2" fontId="6" fillId="9" borderId="24" xfId="0" applyNumberFormat="1" applyFont="1" applyFill="1" applyBorder="1"/>
    <xf numFmtId="4" fontId="6" fillId="9" borderId="19" xfId="0" applyNumberFormat="1" applyFont="1" applyFill="1" applyBorder="1"/>
    <xf numFmtId="10" fontId="6" fillId="9" borderId="24" xfId="0" applyNumberFormat="1" applyFont="1" applyFill="1" applyBorder="1"/>
    <xf numFmtId="2" fontId="6" fillId="9" borderId="24" xfId="2" applyNumberFormat="1" applyFont="1" applyFill="1" applyBorder="1"/>
    <xf numFmtId="4" fontId="7" fillId="5" borderId="25" xfId="0" applyNumberFormat="1" applyFont="1" applyFill="1" applyBorder="1"/>
    <xf numFmtId="0" fontId="7" fillId="5" borderId="21" xfId="0" applyFont="1" applyFill="1" applyBorder="1"/>
    <xf numFmtId="4" fontId="7" fillId="5" borderId="14" xfId="0" applyNumberFormat="1" applyFont="1" applyFill="1" applyBorder="1"/>
    <xf numFmtId="2" fontId="7" fillId="5" borderId="20" xfId="0" applyNumberFormat="1" applyFont="1" applyFill="1" applyBorder="1"/>
    <xf numFmtId="0" fontId="7" fillId="5" borderId="22" xfId="0" applyFont="1" applyFill="1" applyBorder="1"/>
    <xf numFmtId="0" fontId="7" fillId="5" borderId="16" xfId="0" applyFont="1" applyFill="1" applyBorder="1"/>
    <xf numFmtId="172" fontId="7" fillId="5" borderId="23" xfId="0" applyNumberFormat="1" applyFont="1" applyFill="1" applyBorder="1"/>
    <xf numFmtId="10" fontId="7" fillId="5" borderId="26" xfId="0" applyNumberFormat="1" applyFont="1" applyFill="1" applyBorder="1"/>
    <xf numFmtId="0" fontId="0" fillId="0" borderId="19" xfId="0" applyBorder="1"/>
    <xf numFmtId="0" fontId="0" fillId="0" borderId="0" xfId="0" quotePrefix="1" applyAlignment="1">
      <alignment horizontal="center"/>
    </xf>
    <xf numFmtId="170" fontId="28" fillId="0" borderId="0" xfId="2" applyNumberFormat="1" applyFont="1" applyBorder="1"/>
    <xf numFmtId="170" fontId="28" fillId="0" borderId="24" xfId="2" applyNumberFormat="1" applyFont="1" applyBorder="1"/>
    <xf numFmtId="0" fontId="26" fillId="0" borderId="19" xfId="0" applyFont="1" applyBorder="1"/>
    <xf numFmtId="0" fontId="26" fillId="0" borderId="0" xfId="0" quotePrefix="1" applyFont="1" applyAlignment="1">
      <alignment horizontal="center"/>
    </xf>
    <xf numFmtId="170" fontId="33" fillId="0" borderId="0" xfId="2" applyNumberFormat="1" applyFont="1" applyBorder="1"/>
    <xf numFmtId="170" fontId="33" fillId="0" borderId="24" xfId="2" applyNumberFormat="1" applyFont="1" applyBorder="1"/>
    <xf numFmtId="0" fontId="0" fillId="0" borderId="24" xfId="0" quotePrefix="1" applyBorder="1" applyAlignment="1">
      <alignment horizontal="center"/>
    </xf>
    <xf numFmtId="0" fontId="26" fillId="0" borderId="25" xfId="0" applyFont="1" applyBorder="1"/>
    <xf numFmtId="0" fontId="26" fillId="0" borderId="21" xfId="0" applyFont="1" applyBorder="1"/>
    <xf numFmtId="0" fontId="26" fillId="0" borderId="21" xfId="0" quotePrefix="1" applyFont="1" applyBorder="1" applyAlignment="1">
      <alignment horizontal="center"/>
    </xf>
    <xf numFmtId="170" fontId="33" fillId="0" borderId="21" xfId="2" applyNumberFormat="1" applyFont="1" applyBorder="1"/>
    <xf numFmtId="170" fontId="33" fillId="0" borderId="26" xfId="2" applyNumberFormat="1" applyFont="1" applyBorder="1"/>
    <xf numFmtId="0" fontId="7" fillId="0" borderId="14" xfId="0" applyFont="1" applyBorder="1" applyAlignment="1">
      <alignment horizontal="center"/>
    </xf>
    <xf numFmtId="0" fontId="6" fillId="0" borderId="20" xfId="0" applyFont="1" applyBorder="1"/>
    <xf numFmtId="175" fontId="6" fillId="2" borderId="29" xfId="1" applyNumberFormat="1" applyFont="1" applyBorder="1"/>
    <xf numFmtId="176" fontId="6" fillId="2" borderId="30" xfId="1" applyNumberFormat="1" applyFont="1" applyBorder="1"/>
    <xf numFmtId="0" fontId="6" fillId="11" borderId="3" xfId="0" applyFont="1" applyFill="1" applyBorder="1"/>
    <xf numFmtId="0" fontId="6" fillId="11" borderId="20" xfId="0" applyFont="1" applyFill="1" applyBorder="1"/>
    <xf numFmtId="0" fontId="16" fillId="12" borderId="0" xfId="0" applyFont="1" applyFill="1"/>
    <xf numFmtId="0" fontId="0" fillId="0" borderId="21" xfId="0" applyBorder="1"/>
    <xf numFmtId="0" fontId="0" fillId="0" borderId="25" xfId="0" applyBorder="1"/>
    <xf numFmtId="0" fontId="0" fillId="0" borderId="31" xfId="0" applyBorder="1"/>
    <xf numFmtId="0" fontId="0" fillId="0" borderId="32" xfId="0" applyBorder="1"/>
    <xf numFmtId="0" fontId="0" fillId="0" borderId="33" xfId="0" applyBorder="1"/>
    <xf numFmtId="0" fontId="26" fillId="0" borderId="31" xfId="0" applyFont="1" applyBorder="1"/>
    <xf numFmtId="0" fontId="26" fillId="0" borderId="32" xfId="0" applyFont="1" applyBorder="1"/>
    <xf numFmtId="0" fontId="26" fillId="0" borderId="33" xfId="0" applyFont="1" applyBorder="1"/>
    <xf numFmtId="175" fontId="0" fillId="0" borderId="31" xfId="0" applyNumberFormat="1" applyBorder="1"/>
    <xf numFmtId="175" fontId="0" fillId="0" borderId="32" xfId="0" applyNumberFormat="1" applyBorder="1"/>
    <xf numFmtId="175" fontId="0" fillId="0" borderId="33" xfId="0" applyNumberFormat="1" applyBorder="1"/>
    <xf numFmtId="0" fontId="26" fillId="11" borderId="14" xfId="0" applyFont="1" applyFill="1" applyBorder="1"/>
    <xf numFmtId="0" fontId="0" fillId="11" borderId="3" xfId="0" applyFill="1" applyBorder="1"/>
    <xf numFmtId="0" fontId="26" fillId="11" borderId="3" xfId="0" applyFont="1" applyFill="1" applyBorder="1" applyAlignment="1">
      <alignment horizontal="center"/>
    </xf>
    <xf numFmtId="0" fontId="26" fillId="11" borderId="20" xfId="0" applyFont="1" applyFill="1" applyBorder="1" applyAlignment="1">
      <alignment horizontal="center"/>
    </xf>
    <xf numFmtId="0" fontId="26" fillId="11" borderId="0" xfId="0" applyFont="1" applyFill="1" applyAlignment="1">
      <alignment horizontal="center"/>
    </xf>
    <xf numFmtId="0" fontId="26" fillId="11" borderId="16" xfId="0" applyFont="1" applyFill="1" applyBorder="1"/>
    <xf numFmtId="0" fontId="26" fillId="11" borderId="19" xfId="0" applyFont="1" applyFill="1" applyBorder="1" applyAlignment="1">
      <alignment horizontal="center"/>
    </xf>
    <xf numFmtId="0" fontId="26" fillId="11" borderId="24" xfId="0" applyFont="1" applyFill="1" applyBorder="1" applyAlignment="1">
      <alignment horizontal="center"/>
    </xf>
    <xf numFmtId="0" fontId="0" fillId="11" borderId="22" xfId="0" applyFill="1" applyBorder="1"/>
    <xf numFmtId="0" fontId="0" fillId="11" borderId="16" xfId="0" applyFill="1" applyBorder="1"/>
    <xf numFmtId="0" fontId="26" fillId="11" borderId="19" xfId="0" applyFont="1" applyFill="1" applyBorder="1"/>
    <xf numFmtId="0" fontId="0" fillId="0" borderId="19" xfId="0" applyBorder="1" applyAlignment="1">
      <alignment horizontal="left"/>
    </xf>
    <xf numFmtId="0" fontId="0" fillId="0" borderId="25" xfId="0" applyBorder="1" applyAlignment="1">
      <alignment horizontal="left"/>
    </xf>
    <xf numFmtId="4" fontId="6" fillId="0" borderId="23" xfId="0" applyNumberFormat="1" applyFont="1" applyBorder="1"/>
    <xf numFmtId="175" fontId="6" fillId="0" borderId="0" xfId="0" applyNumberFormat="1" applyFont="1"/>
    <xf numFmtId="0" fontId="7" fillId="11" borderId="14" xfId="0" applyFont="1" applyFill="1" applyBorder="1" applyAlignment="1">
      <alignment horizontal="left"/>
    </xf>
    <xf numFmtId="0" fontId="7" fillId="11" borderId="14" xfId="0" applyFont="1" applyFill="1" applyBorder="1" applyAlignment="1">
      <alignment horizontal="center"/>
    </xf>
    <xf numFmtId="0" fontId="7" fillId="11" borderId="3" xfId="0" applyFont="1" applyFill="1" applyBorder="1" applyAlignment="1">
      <alignment horizontal="center"/>
    </xf>
    <xf numFmtId="0" fontId="7" fillId="11" borderId="20" xfId="0" applyFont="1" applyFill="1" applyBorder="1" applyAlignment="1">
      <alignment horizontal="center"/>
    </xf>
    <xf numFmtId="168" fontId="0" fillId="0" borderId="0" xfId="0" applyNumberFormat="1" applyAlignment="1">
      <alignment horizontal="center"/>
    </xf>
    <xf numFmtId="174" fontId="6" fillId="0" borderId="0" xfId="7" applyNumberFormat="1" applyFont="1" applyBorder="1" applyAlignment="1">
      <alignment horizontal="center"/>
    </xf>
    <xf numFmtId="173" fontId="0" fillId="0" borderId="19" xfId="0" applyNumberFormat="1" applyBorder="1" applyAlignment="1">
      <alignment horizontal="center"/>
    </xf>
    <xf numFmtId="173" fontId="0" fillId="0" borderId="0" xfId="0" applyNumberFormat="1" applyAlignment="1">
      <alignment horizontal="center"/>
    </xf>
    <xf numFmtId="173" fontId="0" fillId="0" borderId="24" xfId="0" applyNumberFormat="1" applyBorder="1" applyAlignment="1">
      <alignment horizontal="center"/>
    </xf>
    <xf numFmtId="174" fontId="0" fillId="0" borderId="19" xfId="7" applyNumberFormat="1" applyFont="1" applyBorder="1" applyAlignment="1">
      <alignment horizontal="center"/>
    </xf>
    <xf numFmtId="174" fontId="0" fillId="0" borderId="0" xfId="7" applyNumberFormat="1" applyFont="1" applyBorder="1" applyAlignment="1">
      <alignment horizontal="center"/>
    </xf>
    <xf numFmtId="174" fontId="0" fillId="0" borderId="24" xfId="7" applyNumberFormat="1" applyFont="1" applyBorder="1" applyAlignment="1">
      <alignment horizontal="center"/>
    </xf>
    <xf numFmtId="175" fontId="0" fillId="0" borderId="19" xfId="0" applyNumberFormat="1" applyBorder="1" applyAlignment="1">
      <alignment horizontal="center"/>
    </xf>
    <xf numFmtId="175" fontId="0" fillId="0" borderId="0" xfId="0" applyNumberFormat="1" applyAlignment="1">
      <alignment horizontal="center"/>
    </xf>
    <xf numFmtId="175" fontId="0" fillId="0" borderId="24" xfId="0" applyNumberFormat="1" applyBorder="1" applyAlignment="1">
      <alignment horizontal="center"/>
    </xf>
    <xf numFmtId="168" fontId="0" fillId="0" borderId="21" xfId="0" applyNumberFormat="1" applyBorder="1" applyAlignment="1">
      <alignment horizontal="center"/>
    </xf>
    <xf numFmtId="174" fontId="6" fillId="0" borderId="21" xfId="7" applyNumberFormat="1" applyFont="1" applyBorder="1" applyAlignment="1">
      <alignment horizontal="center"/>
    </xf>
    <xf numFmtId="173" fontId="0" fillId="0" borderId="25" xfId="0" applyNumberFormat="1" applyBorder="1" applyAlignment="1">
      <alignment horizontal="center"/>
    </xf>
    <xf numFmtId="173" fontId="0" fillId="0" borderId="21" xfId="0" applyNumberFormat="1" applyBorder="1" applyAlignment="1">
      <alignment horizontal="center"/>
    </xf>
    <xf numFmtId="173" fontId="0" fillId="0" borderId="26" xfId="0" applyNumberFormat="1" applyBorder="1" applyAlignment="1">
      <alignment horizontal="center"/>
    </xf>
    <xf numFmtId="174" fontId="0" fillId="0" borderId="25" xfId="7" applyNumberFormat="1" applyFont="1" applyBorder="1" applyAlignment="1">
      <alignment horizontal="center"/>
    </xf>
    <xf numFmtId="174" fontId="0" fillId="0" borderId="21" xfId="7" applyNumberFormat="1" applyFont="1" applyBorder="1" applyAlignment="1">
      <alignment horizontal="center"/>
    </xf>
    <xf numFmtId="174" fontId="0" fillId="0" borderId="26" xfId="7" applyNumberFormat="1" applyFont="1" applyBorder="1" applyAlignment="1">
      <alignment horizontal="center"/>
    </xf>
    <xf numFmtId="175" fontId="0" fillId="0" borderId="25" xfId="0" applyNumberFormat="1" applyBorder="1" applyAlignment="1">
      <alignment horizontal="center"/>
    </xf>
    <xf numFmtId="175" fontId="0" fillId="0" borderId="21" xfId="0" applyNumberFormat="1" applyBorder="1" applyAlignment="1">
      <alignment horizontal="center"/>
    </xf>
    <xf numFmtId="175" fontId="0" fillId="0" borderId="26" xfId="0" applyNumberFormat="1" applyBorder="1" applyAlignment="1">
      <alignment horizontal="center"/>
    </xf>
    <xf numFmtId="165" fontId="7" fillId="11" borderId="3" xfId="0" applyNumberFormat="1" applyFont="1" applyFill="1" applyBorder="1" applyAlignment="1">
      <alignment horizontal="center"/>
    </xf>
    <xf numFmtId="166" fontId="7" fillId="11" borderId="3" xfId="0" applyNumberFormat="1" applyFont="1" applyFill="1" applyBorder="1" applyAlignment="1">
      <alignment horizontal="center"/>
    </xf>
    <xf numFmtId="166" fontId="7" fillId="11" borderId="20" xfId="0" applyNumberFormat="1" applyFont="1" applyFill="1" applyBorder="1" applyAlignment="1">
      <alignment horizontal="center"/>
    </xf>
    <xf numFmtId="173" fontId="6" fillId="0" borderId="0" xfId="0" applyNumberFormat="1" applyFont="1" applyAlignment="1">
      <alignment horizontal="center"/>
    </xf>
    <xf numFmtId="170" fontId="16" fillId="0" borderId="0" xfId="2" applyNumberFormat="1" applyFont="1" applyBorder="1" applyAlignment="1">
      <alignment horizontal="center"/>
    </xf>
    <xf numFmtId="170" fontId="16" fillId="0" borderId="24" xfId="2" applyNumberFormat="1" applyFont="1" applyBorder="1" applyAlignment="1">
      <alignment horizontal="center"/>
    </xf>
    <xf numFmtId="173" fontId="6" fillId="0" borderId="24" xfId="0" applyNumberFormat="1" applyFont="1" applyBorder="1" applyAlignment="1">
      <alignment horizontal="center"/>
    </xf>
    <xf numFmtId="173" fontId="6" fillId="0" borderId="21" xfId="0" applyNumberFormat="1" applyFont="1" applyBorder="1" applyAlignment="1">
      <alignment horizontal="center"/>
    </xf>
    <xf numFmtId="173" fontId="6" fillId="0" borderId="26" xfId="0" applyNumberFormat="1" applyFont="1" applyBorder="1" applyAlignment="1">
      <alignment horizontal="center"/>
    </xf>
    <xf numFmtId="0" fontId="6" fillId="0" borderId="25" xfId="0" applyFont="1" applyBorder="1" applyAlignment="1">
      <alignment horizontal="center"/>
    </xf>
    <xf numFmtId="0" fontId="7" fillId="0" borderId="14" xfId="0" applyFont="1" applyBorder="1" applyAlignment="1">
      <alignment horizontal="left" indent="1"/>
    </xf>
    <xf numFmtId="0" fontId="6" fillId="0" borderId="19" xfId="5" applyFont="1" applyBorder="1" applyAlignment="1">
      <alignment horizontal="left" indent="1"/>
    </xf>
    <xf numFmtId="0" fontId="6" fillId="0" borderId="25" xfId="5" applyFont="1" applyBorder="1" applyAlignment="1">
      <alignment horizontal="left" indent="1"/>
    </xf>
    <xf numFmtId="0" fontId="7" fillId="8" borderId="22" xfId="0" applyFont="1" applyFill="1" applyBorder="1" applyAlignment="1">
      <alignment horizontal="center"/>
    </xf>
    <xf numFmtId="0" fontId="7" fillId="8" borderId="16" xfId="0" applyFont="1" applyFill="1" applyBorder="1" applyAlignment="1">
      <alignment horizontal="center"/>
    </xf>
    <xf numFmtId="0" fontId="7" fillId="8" borderId="23"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1"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0" xfId="0" applyFont="1" applyFill="1" applyAlignment="1">
      <alignment horizontal="center" vertical="center"/>
    </xf>
    <xf numFmtId="0" fontId="2" fillId="3" borderId="7" xfId="0" applyFont="1" applyFill="1" applyBorder="1" applyAlignment="1">
      <alignment horizontal="center"/>
    </xf>
    <xf numFmtId="0" fontId="2" fillId="3" borderId="9" xfId="0" applyFont="1" applyFill="1" applyBorder="1" applyAlignment="1">
      <alignment horizont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0" xfId="0" applyFont="1" applyFill="1" applyAlignment="1">
      <alignment horizontal="center" vertical="center"/>
    </xf>
    <xf numFmtId="165" fontId="4" fillId="3" borderId="1" xfId="0" applyNumberFormat="1" applyFont="1" applyFill="1" applyBorder="1" applyAlignment="1">
      <alignment horizontal="center"/>
    </xf>
    <xf numFmtId="165" fontId="4" fillId="3" borderId="10" xfId="0" applyNumberFormat="1" applyFont="1" applyFill="1" applyBorder="1" applyAlignment="1">
      <alignment horizontal="center"/>
    </xf>
    <xf numFmtId="165" fontId="4" fillId="3" borderId="6" xfId="0" applyNumberFormat="1" applyFont="1" applyFill="1" applyBorder="1" applyAlignment="1">
      <alignment horizontal="center"/>
    </xf>
    <xf numFmtId="0" fontId="4" fillId="3" borderId="0" xfId="0" applyFont="1" applyFill="1" applyAlignment="1">
      <alignment horizontal="center" vertical="center" textRotation="90"/>
    </xf>
    <xf numFmtId="0" fontId="4" fillId="3" borderId="21" xfId="0" applyFont="1" applyFill="1" applyBorder="1" applyAlignment="1">
      <alignment horizontal="center"/>
    </xf>
    <xf numFmtId="0" fontId="6" fillId="2" borderId="2" xfId="1" applyFont="1"/>
    <xf numFmtId="0" fontId="4" fillId="3" borderId="0" xfId="0" applyFont="1" applyFill="1" applyAlignment="1">
      <alignment horizontal="center"/>
    </xf>
    <xf numFmtId="0" fontId="26" fillId="11" borderId="22" xfId="0" applyFont="1" applyFill="1" applyBorder="1" applyAlignment="1">
      <alignment horizontal="center"/>
    </xf>
    <xf numFmtId="0" fontId="26" fillId="11" borderId="16" xfId="0" applyFont="1" applyFill="1" applyBorder="1" applyAlignment="1">
      <alignment horizontal="center"/>
    </xf>
    <xf numFmtId="0" fontId="26" fillId="11" borderId="23" xfId="0" applyFont="1" applyFill="1" applyBorder="1" applyAlignment="1">
      <alignment horizontal="center"/>
    </xf>
    <xf numFmtId="175" fontId="0" fillId="0" borderId="21" xfId="7" applyNumberFormat="1" applyFont="1" applyBorder="1" applyAlignment="1">
      <alignment horizontal="center"/>
    </xf>
    <xf numFmtId="173" fontId="0" fillId="0" borderId="0" xfId="0" applyNumberFormat="1" applyBorder="1" applyAlignment="1">
      <alignment horizontal="center"/>
    </xf>
    <xf numFmtId="0" fontId="0" fillId="0" borderId="0" xfId="0" applyAlignment="1">
      <alignment horizontal="center"/>
    </xf>
    <xf numFmtId="175" fontId="0" fillId="0" borderId="31" xfId="0" applyNumberFormat="1" applyBorder="1" applyAlignment="1">
      <alignment horizontal="center"/>
    </xf>
    <xf numFmtId="0" fontId="0" fillId="0" borderId="31" xfId="0" applyBorder="1" applyAlignment="1">
      <alignment horizontal="center"/>
    </xf>
    <xf numFmtId="173" fontId="0" fillId="0" borderId="31" xfId="0" applyNumberFormat="1" applyBorder="1" applyAlignment="1">
      <alignment horizontal="center"/>
    </xf>
    <xf numFmtId="175" fontId="0" fillId="0" borderId="32" xfId="0" applyNumberFormat="1" applyBorder="1" applyAlignment="1">
      <alignment horizontal="center"/>
    </xf>
    <xf numFmtId="0" fontId="0" fillId="0" borderId="32" xfId="0" applyBorder="1" applyAlignment="1">
      <alignment horizontal="center"/>
    </xf>
    <xf numFmtId="173" fontId="0" fillId="0" borderId="32" xfId="0" applyNumberFormat="1" applyBorder="1" applyAlignment="1">
      <alignment horizontal="center"/>
    </xf>
    <xf numFmtId="175" fontId="0" fillId="0" borderId="33" xfId="0" applyNumberFormat="1" applyBorder="1" applyAlignment="1">
      <alignment horizontal="center"/>
    </xf>
    <xf numFmtId="0" fontId="0" fillId="0" borderId="33" xfId="0" applyBorder="1" applyAlignment="1">
      <alignment horizontal="center"/>
    </xf>
    <xf numFmtId="173" fontId="0" fillId="0" borderId="33" xfId="0" applyNumberFormat="1" applyBorder="1" applyAlignment="1">
      <alignment horizontal="center"/>
    </xf>
  </cellXfs>
  <cellStyles count="8">
    <cellStyle name="Assumption" xfId="4" xr:uid="{13E0F060-244A-4114-804B-D04C2B579D70}"/>
    <cellStyle name="Comma" xfId="7" builtinId="3"/>
    <cellStyle name="Hyperlink" xfId="5" builtinId="8"/>
    <cellStyle name="Normal" xfId="0" builtinId="0"/>
    <cellStyle name="Note" xfId="1" builtinId="10"/>
    <cellStyle name="Percent" xfId="2" builtinId="5"/>
    <cellStyle name="Title ERP" xfId="6" xr:uid="{77A82A11-F05B-46F3-BC2E-2128335B1F29}"/>
    <cellStyle name="Warning Text" xfId="3" builtinId="11"/>
  </cellStyles>
  <dxfs count="0"/>
  <tableStyles count="0" defaultTableStyle="TableStyleMedium2" defaultPivotStyle="PivotStyleLight16"/>
  <colors>
    <mruColors>
      <color rgb="FF00004D"/>
      <color rgb="FF0000FF"/>
      <color rgb="FF001440"/>
      <color rgb="FF00006C"/>
      <color rgb="FF00B000"/>
      <color rgb="FFF4FFAF"/>
      <color rgb="FF6666CC"/>
      <color rgb="FF8DA9DB"/>
      <color rgb="FF0080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solidFill>
                  <a:schemeClr val="tx1"/>
                </a:solidFill>
                <a:latin typeface="Arial Black" panose="020B0A04020102020204" pitchFamily="34" charset="0"/>
              </a:rPr>
              <a:t>Football Field Analysis - Infosys Ltd.</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Equity_report!$D$46</c:f>
              <c:strCache>
                <c:ptCount val="1"/>
              </c:strCache>
            </c:strRef>
          </c:tx>
          <c:spPr>
            <a:solidFill>
              <a:schemeClr val="accent1"/>
            </a:solidFill>
            <a:ln>
              <a:noFill/>
            </a:ln>
            <a:effectLst/>
          </c:spPr>
          <c:invertIfNegative val="0"/>
          <c:cat>
            <c:strRef>
              <c:extLst>
                <c:ext xmlns:c15="http://schemas.microsoft.com/office/drawing/2012/chart" uri="{02D57815-91ED-43cb-92C2-25804820EDAC}">
                  <c15:fullRef>
                    <c15:sqref>Equity_report!$C$47:$C$59</c15:sqref>
                  </c15:fullRef>
                </c:ext>
              </c:extLst>
              <c:f>(Equity_report!$C$48:$C$52,Equity_report!$C$55:$C$57,Equity_report!$C$59)</c:f>
              <c:strCache>
                <c:ptCount val="9"/>
                <c:pt idx="0">
                  <c:v>Current Share Price</c:v>
                </c:pt>
                <c:pt idx="1">
                  <c:v>EV / Rev</c:v>
                </c:pt>
                <c:pt idx="2">
                  <c:v>EV / EBITDA</c:v>
                </c:pt>
                <c:pt idx="3">
                  <c:v>P / Sales</c:v>
                </c:pt>
                <c:pt idx="4">
                  <c:v>P / E</c:v>
                </c:pt>
                <c:pt idx="5">
                  <c:v>Street</c:v>
                </c:pt>
                <c:pt idx="6">
                  <c:v>Best</c:v>
                </c:pt>
                <c:pt idx="7">
                  <c:v>Worst</c:v>
                </c:pt>
                <c:pt idx="8">
                  <c:v>52-Week Share Price</c:v>
                </c:pt>
              </c:strCache>
            </c:strRef>
          </c:cat>
          <c:val>
            <c:numRef>
              <c:extLst>
                <c:ext xmlns:c15="http://schemas.microsoft.com/office/drawing/2012/chart" uri="{02D57815-91ED-43cb-92C2-25804820EDAC}">
                  <c15:fullRef>
                    <c15:sqref>Equity_report!$D$47:$D$59</c15:sqref>
                  </c15:fullRef>
                </c:ext>
              </c:extLst>
              <c:f>(Equity_report!$D$48:$D$52,Equity_report!$D$55:$D$57,Equity_report!$D$59)</c:f>
              <c:numCache>
                <c:formatCode>General</c:formatCode>
                <c:ptCount val="9"/>
              </c:numCache>
            </c:numRef>
          </c:val>
          <c:extLst>
            <c:ext xmlns:c16="http://schemas.microsoft.com/office/drawing/2014/chart" uri="{C3380CC4-5D6E-409C-BE32-E72D297353CC}">
              <c16:uniqueId val="{00000000-E726-4801-8BD1-037D723D2C5D}"/>
            </c:ext>
          </c:extLst>
        </c:ser>
        <c:ser>
          <c:idx val="1"/>
          <c:order val="1"/>
          <c:tx>
            <c:strRef>
              <c:f>Equity_report!$E$46</c:f>
              <c:strCache>
                <c:ptCount val="1"/>
                <c:pt idx="0">
                  <c:v>25th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Equity_report!$C$47:$C$59</c15:sqref>
                  </c15:fullRef>
                </c:ext>
              </c:extLst>
              <c:f>(Equity_report!$C$48:$C$52,Equity_report!$C$55:$C$57,Equity_report!$C$59)</c:f>
              <c:strCache>
                <c:ptCount val="9"/>
                <c:pt idx="0">
                  <c:v>Current Share Price</c:v>
                </c:pt>
                <c:pt idx="1">
                  <c:v>EV / Rev</c:v>
                </c:pt>
                <c:pt idx="2">
                  <c:v>EV / EBITDA</c:v>
                </c:pt>
                <c:pt idx="3">
                  <c:v>P / Sales</c:v>
                </c:pt>
                <c:pt idx="4">
                  <c:v>P / E</c:v>
                </c:pt>
                <c:pt idx="5">
                  <c:v>Street</c:v>
                </c:pt>
                <c:pt idx="6">
                  <c:v>Best</c:v>
                </c:pt>
                <c:pt idx="7">
                  <c:v>Worst</c:v>
                </c:pt>
                <c:pt idx="8">
                  <c:v>52-Week Share Price</c:v>
                </c:pt>
              </c:strCache>
            </c:strRef>
          </c:cat>
          <c:val>
            <c:numRef>
              <c:extLst>
                <c:ext xmlns:c15="http://schemas.microsoft.com/office/drawing/2012/chart" uri="{02D57815-91ED-43cb-92C2-25804820EDAC}">
                  <c15:fullRef>
                    <c15:sqref>Equity_report!$E$47:$E$59</c15:sqref>
                  </c15:fullRef>
                </c:ext>
              </c:extLst>
              <c:f>(Equity_report!$E$48:$E$52,Equity_report!$E$55:$E$57,Equity_report!$E$59)</c:f>
              <c:numCache>
                <c:formatCode>_ [$₹-4009]\ * #,##0.00_ ;_ [$₹-4009]\ * \-#,##0.00_ ;_ [$₹-4009]\ * "-"??_ ;_ @_ </c:formatCode>
                <c:ptCount val="9"/>
                <c:pt idx="0">
                  <c:v>675.25</c:v>
                </c:pt>
                <c:pt idx="1">
                  <c:v>253.05749828869844</c:v>
                </c:pt>
                <c:pt idx="2">
                  <c:v>264.64866990210362</c:v>
                </c:pt>
                <c:pt idx="3">
                  <c:v>925.45346745831114</c:v>
                </c:pt>
                <c:pt idx="4">
                  <c:v>778.04435342701345</c:v>
                </c:pt>
                <c:pt idx="5">
                  <c:v>969.32715299285269</c:v>
                </c:pt>
                <c:pt idx="6">
                  <c:v>1113.1404055189967</c:v>
                </c:pt>
                <c:pt idx="7">
                  <c:v>832.70446568135276</c:v>
                </c:pt>
                <c:pt idx="8">
                  <c:v>1472.7749999999999</c:v>
                </c:pt>
              </c:numCache>
            </c:numRef>
          </c:val>
          <c:extLst>
            <c:ext xmlns:c16="http://schemas.microsoft.com/office/drawing/2014/chart" uri="{C3380CC4-5D6E-409C-BE32-E72D297353CC}">
              <c16:uniqueId val="{00000001-E726-4801-8BD1-037D723D2C5D}"/>
            </c:ext>
          </c:extLst>
        </c:ser>
        <c:ser>
          <c:idx val="2"/>
          <c:order val="2"/>
          <c:tx>
            <c:strRef>
              <c:f>Equity_report!$F$46</c:f>
              <c:strCache>
                <c:ptCount val="1"/>
                <c:pt idx="0">
                  <c:v>Median</c:v>
                </c:pt>
              </c:strCache>
            </c:strRef>
          </c:tx>
          <c:spPr>
            <a:solidFill>
              <a:schemeClr val="accent2">
                <a:lumMod val="60000"/>
                <a:lumOff val="40000"/>
              </a:schemeClr>
            </a:solidFill>
            <a:ln>
              <a:noFill/>
            </a:ln>
            <a:effectLst/>
          </c:spPr>
          <c:invertIfNegative val="0"/>
          <c:cat>
            <c:strRef>
              <c:extLst>
                <c:ext xmlns:c15="http://schemas.microsoft.com/office/drawing/2012/chart" uri="{02D57815-91ED-43cb-92C2-25804820EDAC}">
                  <c15:fullRef>
                    <c15:sqref>Equity_report!$C$47:$C$59</c15:sqref>
                  </c15:fullRef>
                </c:ext>
              </c:extLst>
              <c:f>(Equity_report!$C$48:$C$52,Equity_report!$C$55:$C$57,Equity_report!$C$59)</c:f>
              <c:strCache>
                <c:ptCount val="9"/>
                <c:pt idx="0">
                  <c:v>Current Share Price</c:v>
                </c:pt>
                <c:pt idx="1">
                  <c:v>EV / Rev</c:v>
                </c:pt>
                <c:pt idx="2">
                  <c:v>EV / EBITDA</c:v>
                </c:pt>
                <c:pt idx="3">
                  <c:v>P / Sales</c:v>
                </c:pt>
                <c:pt idx="4">
                  <c:v>P / E</c:v>
                </c:pt>
                <c:pt idx="5">
                  <c:v>Street</c:v>
                </c:pt>
                <c:pt idx="6">
                  <c:v>Best</c:v>
                </c:pt>
                <c:pt idx="7">
                  <c:v>Worst</c:v>
                </c:pt>
                <c:pt idx="8">
                  <c:v>52-Week Share Price</c:v>
                </c:pt>
              </c:strCache>
            </c:strRef>
          </c:cat>
          <c:val>
            <c:numRef>
              <c:extLst>
                <c:ext xmlns:c15="http://schemas.microsoft.com/office/drawing/2012/chart" uri="{02D57815-91ED-43cb-92C2-25804820EDAC}">
                  <c15:fullRef>
                    <c15:sqref>Equity_report!$F$47:$F$59</c15:sqref>
                  </c15:fullRef>
                </c:ext>
              </c:extLst>
              <c:f>(Equity_report!$F$48:$F$52,Equity_report!$F$55:$F$57,Equity_report!$F$59)</c:f>
              <c:numCache>
                <c:formatCode>_ [$₹-4009]\ * #,##0.00_ ;_ [$₹-4009]\ * \-#,##0.00_ ;_ [$₹-4009]\ * "-"??_ ;_ @_ </c:formatCode>
                <c:ptCount val="9"/>
                <c:pt idx="0">
                  <c:v>1401.9</c:v>
                </c:pt>
                <c:pt idx="1">
                  <c:v>701.11369078311509</c:v>
                </c:pt>
                <c:pt idx="2">
                  <c:v>843.36798583333177</c:v>
                </c:pt>
                <c:pt idx="3">
                  <c:v>793.69399073543275</c:v>
                </c:pt>
                <c:pt idx="4">
                  <c:v>595.61519610352616</c:v>
                </c:pt>
                <c:pt idx="5">
                  <c:v>1115.2321337966416</c:v>
                </c:pt>
                <c:pt idx="6">
                  <c:v>1286.3382639244321</c:v>
                </c:pt>
                <c:pt idx="7">
                  <c:v>946.97005311516727</c:v>
                </c:pt>
                <c:pt idx="8">
                  <c:v>1534.55</c:v>
                </c:pt>
              </c:numCache>
            </c:numRef>
          </c:val>
          <c:extLst>
            <c:ext xmlns:c16="http://schemas.microsoft.com/office/drawing/2014/chart" uri="{C3380CC4-5D6E-409C-BE32-E72D297353CC}">
              <c16:uniqueId val="{00000002-E726-4801-8BD1-037D723D2C5D}"/>
            </c:ext>
          </c:extLst>
        </c:ser>
        <c:ser>
          <c:idx val="3"/>
          <c:order val="3"/>
          <c:tx>
            <c:strRef>
              <c:f>Equity_report!$G$46</c:f>
              <c:strCache>
                <c:ptCount val="1"/>
                <c:pt idx="0">
                  <c:v>75th Percentile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Equity_report!$C$47:$C$59</c15:sqref>
                  </c15:fullRef>
                </c:ext>
              </c:extLst>
              <c:f>(Equity_report!$C$48:$C$52,Equity_report!$C$55:$C$57,Equity_report!$C$59)</c:f>
              <c:strCache>
                <c:ptCount val="9"/>
                <c:pt idx="0">
                  <c:v>Current Share Price</c:v>
                </c:pt>
                <c:pt idx="1">
                  <c:v>EV / Rev</c:v>
                </c:pt>
                <c:pt idx="2">
                  <c:v>EV / EBITDA</c:v>
                </c:pt>
                <c:pt idx="3">
                  <c:v>P / Sales</c:v>
                </c:pt>
                <c:pt idx="4">
                  <c:v>P / E</c:v>
                </c:pt>
                <c:pt idx="5">
                  <c:v>Street</c:v>
                </c:pt>
                <c:pt idx="6">
                  <c:v>Best</c:v>
                </c:pt>
                <c:pt idx="7">
                  <c:v>Worst</c:v>
                </c:pt>
                <c:pt idx="8">
                  <c:v>52-Week Share Price</c:v>
                </c:pt>
              </c:strCache>
            </c:strRef>
          </c:cat>
          <c:val>
            <c:numRef>
              <c:extLst>
                <c:ext xmlns:c15="http://schemas.microsoft.com/office/drawing/2012/chart" uri="{02D57815-91ED-43cb-92C2-25804820EDAC}">
                  <c15:fullRef>
                    <c15:sqref>Equity_report!$G$47:$G$59</c15:sqref>
                  </c15:fullRef>
                </c:ext>
              </c:extLst>
              <c:f>(Equity_report!$G$48:$G$52,Equity_report!$G$55:$G$57,Equity_report!$G$59)</c:f>
              <c:numCache>
                <c:formatCode>_ [$₹-4009]\ * #,##0.00_ ;_ [$₹-4009]\ * \-#,##0.00_ ;_ [$₹-4009]\ * "-"??_ ;_ @_ </c:formatCode>
                <c:ptCount val="9"/>
                <c:pt idx="0">
                  <c:v>2409</c:v>
                </c:pt>
                <c:pt idx="1">
                  <c:v>287.94447262614074</c:v>
                </c:pt>
                <c:pt idx="2">
                  <c:v>413.15751780210002</c:v>
                </c:pt>
                <c:pt idx="3">
                  <c:v>701.01714750584642</c:v>
                </c:pt>
                <c:pt idx="4">
                  <c:v>468.8926624765777</c:v>
                </c:pt>
                <c:pt idx="5">
                  <c:v>1333.3568491944195</c:v>
                </c:pt>
                <c:pt idx="6">
                  <c:v>1540.9985570527674</c:v>
                </c:pt>
                <c:pt idx="7">
                  <c:v>1122.7221642313857</c:v>
                </c:pt>
                <c:pt idx="8">
                  <c:v>1594.0125</c:v>
                </c:pt>
              </c:numCache>
            </c:numRef>
          </c:val>
          <c:extLst>
            <c:ext xmlns:c16="http://schemas.microsoft.com/office/drawing/2014/chart" uri="{C3380CC4-5D6E-409C-BE32-E72D297353CC}">
              <c16:uniqueId val="{00000003-E726-4801-8BD1-037D723D2C5D}"/>
            </c:ext>
          </c:extLst>
        </c:ser>
        <c:dLbls>
          <c:showLegendKey val="0"/>
          <c:showVal val="0"/>
          <c:showCatName val="0"/>
          <c:showSerName val="0"/>
          <c:showPercent val="0"/>
          <c:showBubbleSize val="0"/>
        </c:dLbls>
        <c:gapWidth val="150"/>
        <c:overlap val="100"/>
        <c:axId val="1185715023"/>
        <c:axId val="1185705423"/>
      </c:barChart>
      <c:catAx>
        <c:axId val="11857150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r>
                  <a:rPr lang="en-IN" b="1">
                    <a:solidFill>
                      <a:schemeClr val="tx1"/>
                    </a:solidFill>
                    <a:latin typeface="Arial Black" panose="020B0A04020102020204" pitchFamily="34" charset="0"/>
                  </a:rPr>
                  <a:t>Valuation Method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05423"/>
        <c:crosses val="autoZero"/>
        <c:auto val="1"/>
        <c:lblAlgn val="ctr"/>
        <c:lblOffset val="100"/>
        <c:noMultiLvlLbl val="0"/>
      </c:catAx>
      <c:valAx>
        <c:axId val="1185705423"/>
        <c:scaling>
          <c:orientation val="minMax"/>
          <c:max val="3100"/>
          <c:min val="200"/>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r>
                  <a:rPr lang="en-IN" b="1">
                    <a:solidFill>
                      <a:schemeClr val="tx1"/>
                    </a:solidFill>
                    <a:latin typeface="Arial Black" panose="020B0A04020102020204" pitchFamily="34" charset="0"/>
                  </a:rPr>
                  <a:t>Price</a:t>
                </a:r>
                <a:r>
                  <a:rPr lang="en-IN" b="1" baseline="0">
                    <a:solidFill>
                      <a:schemeClr val="tx1"/>
                    </a:solidFill>
                    <a:latin typeface="Arial Black" panose="020B0A04020102020204" pitchFamily="34" charset="0"/>
                  </a:rPr>
                  <a:t> per Share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15023"/>
        <c:crosses val="autoZero"/>
        <c:crossBetween val="between"/>
        <c:majorUnit val="2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sng">
                <a:latin typeface="Arial" panose="020B0604020202020204" pitchFamily="34" charset="0"/>
                <a:cs typeface="Arial" panose="020B0604020202020204" pitchFamily="34" charset="0"/>
              </a:rPr>
              <a:t>Stock</a:t>
            </a:r>
            <a:r>
              <a:rPr lang="en-IN" sz="1100" b="1" i="0" u="sng" baseline="0">
                <a:latin typeface="Arial" panose="020B0604020202020204" pitchFamily="34" charset="0"/>
                <a:cs typeface="Arial" panose="020B0604020202020204" pitchFamily="34" charset="0"/>
              </a:rPr>
              <a:t> price from Dec 1995 to Mar 2026</a:t>
            </a:r>
            <a:endParaRPr lang="en-IN" sz="1100" b="1" i="0" u="sng">
              <a:latin typeface="Arial" panose="020B0604020202020204" pitchFamily="34" charset="0"/>
              <a:cs typeface="Arial" panose="020B0604020202020204" pitchFamily="34" charset="0"/>
            </a:endParaRPr>
          </a:p>
        </c:rich>
      </c:tx>
      <c:layout>
        <c:manualLayout>
          <c:xMode val="edge"/>
          <c:yMode val="edge"/>
          <c:x val="0.25777777777777772"/>
          <c:y val="4.2134831460674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0.70859667541557303"/>
                  <c:y val="-0.36089423161992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'Price prediction'!$B$4:$B$367</c:f>
              <c:numCache>
                <c:formatCode>m/d/yyyy</c:formatCode>
                <c:ptCount val="364"/>
                <c:pt idx="0">
                  <c:v>46082</c:v>
                </c:pt>
                <c:pt idx="1">
                  <c:v>46054</c:v>
                </c:pt>
                <c:pt idx="2">
                  <c:v>46023</c:v>
                </c:pt>
                <c:pt idx="3">
                  <c:v>45992</c:v>
                </c:pt>
                <c:pt idx="4">
                  <c:v>45962</c:v>
                </c:pt>
                <c:pt idx="5">
                  <c:v>45931</c:v>
                </c:pt>
                <c:pt idx="6">
                  <c:v>45901</c:v>
                </c:pt>
                <c:pt idx="7">
                  <c:v>45870</c:v>
                </c:pt>
                <c:pt idx="8">
                  <c:v>45839</c:v>
                </c:pt>
                <c:pt idx="9">
                  <c:v>45809</c:v>
                </c:pt>
                <c:pt idx="10">
                  <c:v>45778</c:v>
                </c:pt>
                <c:pt idx="11">
                  <c:v>45748</c:v>
                </c:pt>
                <c:pt idx="12">
                  <c:v>45717</c:v>
                </c:pt>
                <c:pt idx="13">
                  <c:v>45689</c:v>
                </c:pt>
                <c:pt idx="14">
                  <c:v>45658</c:v>
                </c:pt>
                <c:pt idx="15">
                  <c:v>45627</c:v>
                </c:pt>
                <c:pt idx="16">
                  <c:v>45597</c:v>
                </c:pt>
                <c:pt idx="17">
                  <c:v>45566</c:v>
                </c:pt>
                <c:pt idx="18">
                  <c:v>45536</c:v>
                </c:pt>
                <c:pt idx="19">
                  <c:v>45505</c:v>
                </c:pt>
                <c:pt idx="20">
                  <c:v>45474</c:v>
                </c:pt>
                <c:pt idx="21">
                  <c:v>45444</c:v>
                </c:pt>
                <c:pt idx="22">
                  <c:v>45413</c:v>
                </c:pt>
                <c:pt idx="23">
                  <c:v>45383</c:v>
                </c:pt>
                <c:pt idx="24">
                  <c:v>45352</c:v>
                </c:pt>
                <c:pt idx="25">
                  <c:v>45323</c:v>
                </c:pt>
                <c:pt idx="26">
                  <c:v>45292</c:v>
                </c:pt>
                <c:pt idx="27">
                  <c:v>45261</c:v>
                </c:pt>
                <c:pt idx="28">
                  <c:v>45231</c:v>
                </c:pt>
                <c:pt idx="29">
                  <c:v>45200</c:v>
                </c:pt>
                <c:pt idx="30">
                  <c:v>45170</c:v>
                </c:pt>
                <c:pt idx="31">
                  <c:v>45139</c:v>
                </c:pt>
                <c:pt idx="32">
                  <c:v>45108</c:v>
                </c:pt>
                <c:pt idx="33">
                  <c:v>45078</c:v>
                </c:pt>
                <c:pt idx="34">
                  <c:v>45047</c:v>
                </c:pt>
                <c:pt idx="35">
                  <c:v>45017</c:v>
                </c:pt>
                <c:pt idx="36">
                  <c:v>44986</c:v>
                </c:pt>
                <c:pt idx="37">
                  <c:v>44958</c:v>
                </c:pt>
                <c:pt idx="38">
                  <c:v>44927</c:v>
                </c:pt>
                <c:pt idx="39">
                  <c:v>44896</c:v>
                </c:pt>
                <c:pt idx="40">
                  <c:v>44866</c:v>
                </c:pt>
                <c:pt idx="41">
                  <c:v>44835</c:v>
                </c:pt>
                <c:pt idx="42">
                  <c:v>44805</c:v>
                </c:pt>
                <c:pt idx="43">
                  <c:v>44774</c:v>
                </c:pt>
                <c:pt idx="44">
                  <c:v>44743</c:v>
                </c:pt>
                <c:pt idx="45">
                  <c:v>44713</c:v>
                </c:pt>
                <c:pt idx="46">
                  <c:v>44682</c:v>
                </c:pt>
                <c:pt idx="47">
                  <c:v>44652</c:v>
                </c:pt>
                <c:pt idx="48">
                  <c:v>44621</c:v>
                </c:pt>
                <c:pt idx="49">
                  <c:v>44593</c:v>
                </c:pt>
                <c:pt idx="50">
                  <c:v>44562</c:v>
                </c:pt>
                <c:pt idx="51">
                  <c:v>44531</c:v>
                </c:pt>
                <c:pt idx="52">
                  <c:v>44501</c:v>
                </c:pt>
                <c:pt idx="53">
                  <c:v>44470</c:v>
                </c:pt>
                <c:pt idx="54">
                  <c:v>44440</c:v>
                </c:pt>
                <c:pt idx="55">
                  <c:v>44409</c:v>
                </c:pt>
                <c:pt idx="56">
                  <c:v>44378</c:v>
                </c:pt>
                <c:pt idx="57">
                  <c:v>44348</c:v>
                </c:pt>
                <c:pt idx="58">
                  <c:v>44317</c:v>
                </c:pt>
                <c:pt idx="59">
                  <c:v>44287</c:v>
                </c:pt>
                <c:pt idx="60">
                  <c:v>44256</c:v>
                </c:pt>
                <c:pt idx="61">
                  <c:v>44228</c:v>
                </c:pt>
                <c:pt idx="62">
                  <c:v>44197</c:v>
                </c:pt>
                <c:pt idx="63">
                  <c:v>44166</c:v>
                </c:pt>
                <c:pt idx="64">
                  <c:v>44136</c:v>
                </c:pt>
                <c:pt idx="65">
                  <c:v>44105</c:v>
                </c:pt>
                <c:pt idx="66">
                  <c:v>44075</c:v>
                </c:pt>
                <c:pt idx="67">
                  <c:v>44044</c:v>
                </c:pt>
                <c:pt idx="68">
                  <c:v>44013</c:v>
                </c:pt>
                <c:pt idx="69">
                  <c:v>43983</c:v>
                </c:pt>
                <c:pt idx="70">
                  <c:v>43952</c:v>
                </c:pt>
                <c:pt idx="71">
                  <c:v>43922</c:v>
                </c:pt>
                <c:pt idx="72">
                  <c:v>43891</c:v>
                </c:pt>
                <c:pt idx="73">
                  <c:v>43862</c:v>
                </c:pt>
                <c:pt idx="74">
                  <c:v>43831</c:v>
                </c:pt>
                <c:pt idx="75">
                  <c:v>43800</c:v>
                </c:pt>
                <c:pt idx="76">
                  <c:v>43770</c:v>
                </c:pt>
                <c:pt idx="77">
                  <c:v>43739</c:v>
                </c:pt>
                <c:pt idx="78">
                  <c:v>43709</c:v>
                </c:pt>
                <c:pt idx="79">
                  <c:v>43678</c:v>
                </c:pt>
                <c:pt idx="80">
                  <c:v>43647</c:v>
                </c:pt>
                <c:pt idx="81">
                  <c:v>43617</c:v>
                </c:pt>
                <c:pt idx="82">
                  <c:v>43586</c:v>
                </c:pt>
                <c:pt idx="83">
                  <c:v>43556</c:v>
                </c:pt>
                <c:pt idx="84">
                  <c:v>43525</c:v>
                </c:pt>
                <c:pt idx="85">
                  <c:v>43497</c:v>
                </c:pt>
                <c:pt idx="86">
                  <c:v>43466</c:v>
                </c:pt>
                <c:pt idx="87">
                  <c:v>43435</c:v>
                </c:pt>
                <c:pt idx="88">
                  <c:v>43405</c:v>
                </c:pt>
                <c:pt idx="89">
                  <c:v>43374</c:v>
                </c:pt>
                <c:pt idx="90">
                  <c:v>43344</c:v>
                </c:pt>
                <c:pt idx="91">
                  <c:v>43313</c:v>
                </c:pt>
                <c:pt idx="92">
                  <c:v>43282</c:v>
                </c:pt>
                <c:pt idx="93">
                  <c:v>43252</c:v>
                </c:pt>
                <c:pt idx="94">
                  <c:v>43221</c:v>
                </c:pt>
                <c:pt idx="95">
                  <c:v>43191</c:v>
                </c:pt>
                <c:pt idx="96">
                  <c:v>43160</c:v>
                </c:pt>
                <c:pt idx="97">
                  <c:v>43132</c:v>
                </c:pt>
                <c:pt idx="98">
                  <c:v>43101</c:v>
                </c:pt>
                <c:pt idx="99">
                  <c:v>43070</c:v>
                </c:pt>
                <c:pt idx="100">
                  <c:v>43040</c:v>
                </c:pt>
                <c:pt idx="101">
                  <c:v>43009</c:v>
                </c:pt>
                <c:pt idx="102">
                  <c:v>42979</c:v>
                </c:pt>
                <c:pt idx="103">
                  <c:v>42948</c:v>
                </c:pt>
                <c:pt idx="104">
                  <c:v>42917</c:v>
                </c:pt>
                <c:pt idx="105">
                  <c:v>42887</c:v>
                </c:pt>
                <c:pt idx="106">
                  <c:v>42856</c:v>
                </c:pt>
                <c:pt idx="107">
                  <c:v>42826</c:v>
                </c:pt>
                <c:pt idx="108">
                  <c:v>42795</c:v>
                </c:pt>
                <c:pt idx="109">
                  <c:v>42767</c:v>
                </c:pt>
                <c:pt idx="110">
                  <c:v>42736</c:v>
                </c:pt>
                <c:pt idx="111">
                  <c:v>42705</c:v>
                </c:pt>
                <c:pt idx="112">
                  <c:v>42675</c:v>
                </c:pt>
                <c:pt idx="113">
                  <c:v>42644</c:v>
                </c:pt>
                <c:pt idx="114">
                  <c:v>42614</c:v>
                </c:pt>
                <c:pt idx="115">
                  <c:v>42583</c:v>
                </c:pt>
                <c:pt idx="116">
                  <c:v>42552</c:v>
                </c:pt>
                <c:pt idx="117">
                  <c:v>42522</c:v>
                </c:pt>
                <c:pt idx="118">
                  <c:v>42491</c:v>
                </c:pt>
                <c:pt idx="119">
                  <c:v>42461</c:v>
                </c:pt>
                <c:pt idx="120">
                  <c:v>42430</c:v>
                </c:pt>
                <c:pt idx="121">
                  <c:v>42401</c:v>
                </c:pt>
                <c:pt idx="122">
                  <c:v>42370</c:v>
                </c:pt>
                <c:pt idx="123">
                  <c:v>42339</c:v>
                </c:pt>
                <c:pt idx="124">
                  <c:v>42309</c:v>
                </c:pt>
                <c:pt idx="125">
                  <c:v>42278</c:v>
                </c:pt>
                <c:pt idx="126">
                  <c:v>42248</c:v>
                </c:pt>
                <c:pt idx="127">
                  <c:v>42217</c:v>
                </c:pt>
                <c:pt idx="128">
                  <c:v>42186</c:v>
                </c:pt>
                <c:pt idx="129">
                  <c:v>42156</c:v>
                </c:pt>
                <c:pt idx="130">
                  <c:v>42125</c:v>
                </c:pt>
                <c:pt idx="131">
                  <c:v>42095</c:v>
                </c:pt>
                <c:pt idx="132">
                  <c:v>42064</c:v>
                </c:pt>
                <c:pt idx="133">
                  <c:v>42036</c:v>
                </c:pt>
                <c:pt idx="134">
                  <c:v>42005</c:v>
                </c:pt>
                <c:pt idx="135">
                  <c:v>41974</c:v>
                </c:pt>
                <c:pt idx="136">
                  <c:v>41944</c:v>
                </c:pt>
                <c:pt idx="137">
                  <c:v>41913</c:v>
                </c:pt>
                <c:pt idx="138">
                  <c:v>41883</c:v>
                </c:pt>
                <c:pt idx="139">
                  <c:v>41852</c:v>
                </c:pt>
                <c:pt idx="140">
                  <c:v>41821</c:v>
                </c:pt>
                <c:pt idx="141">
                  <c:v>41791</c:v>
                </c:pt>
                <c:pt idx="142">
                  <c:v>41760</c:v>
                </c:pt>
                <c:pt idx="143">
                  <c:v>41730</c:v>
                </c:pt>
                <c:pt idx="144">
                  <c:v>41699</c:v>
                </c:pt>
                <c:pt idx="145">
                  <c:v>41671</c:v>
                </c:pt>
                <c:pt idx="146">
                  <c:v>41640</c:v>
                </c:pt>
                <c:pt idx="147">
                  <c:v>41609</c:v>
                </c:pt>
                <c:pt idx="148">
                  <c:v>41579</c:v>
                </c:pt>
                <c:pt idx="149">
                  <c:v>41548</c:v>
                </c:pt>
                <c:pt idx="150">
                  <c:v>41518</c:v>
                </c:pt>
                <c:pt idx="151">
                  <c:v>41487</c:v>
                </c:pt>
                <c:pt idx="152">
                  <c:v>41456</c:v>
                </c:pt>
                <c:pt idx="153">
                  <c:v>41426</c:v>
                </c:pt>
                <c:pt idx="154">
                  <c:v>41395</c:v>
                </c:pt>
                <c:pt idx="155">
                  <c:v>41365</c:v>
                </c:pt>
                <c:pt idx="156">
                  <c:v>41334</c:v>
                </c:pt>
                <c:pt idx="157">
                  <c:v>41306</c:v>
                </c:pt>
                <c:pt idx="158">
                  <c:v>41275</c:v>
                </c:pt>
                <c:pt idx="159">
                  <c:v>41244</c:v>
                </c:pt>
                <c:pt idx="160">
                  <c:v>41214</c:v>
                </c:pt>
                <c:pt idx="161">
                  <c:v>41183</c:v>
                </c:pt>
                <c:pt idx="162">
                  <c:v>41153</c:v>
                </c:pt>
                <c:pt idx="163">
                  <c:v>41122</c:v>
                </c:pt>
                <c:pt idx="164">
                  <c:v>41091</c:v>
                </c:pt>
                <c:pt idx="165">
                  <c:v>41061</c:v>
                </c:pt>
                <c:pt idx="166">
                  <c:v>41030</c:v>
                </c:pt>
                <c:pt idx="167">
                  <c:v>41000</c:v>
                </c:pt>
                <c:pt idx="168">
                  <c:v>40969</c:v>
                </c:pt>
                <c:pt idx="169">
                  <c:v>40940</c:v>
                </c:pt>
                <c:pt idx="170">
                  <c:v>40909</c:v>
                </c:pt>
                <c:pt idx="171">
                  <c:v>40878</c:v>
                </c:pt>
                <c:pt idx="172">
                  <c:v>40848</c:v>
                </c:pt>
                <c:pt idx="173">
                  <c:v>40817</c:v>
                </c:pt>
                <c:pt idx="174">
                  <c:v>40787</c:v>
                </c:pt>
                <c:pt idx="175">
                  <c:v>40756</c:v>
                </c:pt>
                <c:pt idx="176">
                  <c:v>40725</c:v>
                </c:pt>
                <c:pt idx="177">
                  <c:v>40695</c:v>
                </c:pt>
                <c:pt idx="178">
                  <c:v>40664</c:v>
                </c:pt>
                <c:pt idx="179">
                  <c:v>40634</c:v>
                </c:pt>
                <c:pt idx="180">
                  <c:v>40603</c:v>
                </c:pt>
                <c:pt idx="181">
                  <c:v>40575</c:v>
                </c:pt>
                <c:pt idx="182">
                  <c:v>40544</c:v>
                </c:pt>
                <c:pt idx="183">
                  <c:v>40513</c:v>
                </c:pt>
                <c:pt idx="184">
                  <c:v>40483</c:v>
                </c:pt>
                <c:pt idx="185">
                  <c:v>40452</c:v>
                </c:pt>
                <c:pt idx="186">
                  <c:v>40422</c:v>
                </c:pt>
                <c:pt idx="187">
                  <c:v>40391</c:v>
                </c:pt>
                <c:pt idx="188">
                  <c:v>40360</c:v>
                </c:pt>
                <c:pt idx="189">
                  <c:v>40330</c:v>
                </c:pt>
                <c:pt idx="190">
                  <c:v>40299</c:v>
                </c:pt>
                <c:pt idx="191">
                  <c:v>40269</c:v>
                </c:pt>
                <c:pt idx="192">
                  <c:v>40238</c:v>
                </c:pt>
                <c:pt idx="193">
                  <c:v>40210</c:v>
                </c:pt>
                <c:pt idx="194">
                  <c:v>40179</c:v>
                </c:pt>
                <c:pt idx="195">
                  <c:v>40148</c:v>
                </c:pt>
                <c:pt idx="196">
                  <c:v>40118</c:v>
                </c:pt>
                <c:pt idx="197">
                  <c:v>40087</c:v>
                </c:pt>
                <c:pt idx="198">
                  <c:v>40057</c:v>
                </c:pt>
                <c:pt idx="199">
                  <c:v>40026</c:v>
                </c:pt>
                <c:pt idx="200">
                  <c:v>39995</c:v>
                </c:pt>
                <c:pt idx="201">
                  <c:v>39965</c:v>
                </c:pt>
                <c:pt idx="202">
                  <c:v>39934</c:v>
                </c:pt>
                <c:pt idx="203">
                  <c:v>39904</c:v>
                </c:pt>
                <c:pt idx="204">
                  <c:v>39873</c:v>
                </c:pt>
                <c:pt idx="205">
                  <c:v>39845</c:v>
                </c:pt>
                <c:pt idx="206">
                  <c:v>39814</c:v>
                </c:pt>
                <c:pt idx="207">
                  <c:v>39783</c:v>
                </c:pt>
                <c:pt idx="208">
                  <c:v>39753</c:v>
                </c:pt>
                <c:pt idx="209">
                  <c:v>39722</c:v>
                </c:pt>
                <c:pt idx="210">
                  <c:v>39692</c:v>
                </c:pt>
                <c:pt idx="211">
                  <c:v>39661</c:v>
                </c:pt>
                <c:pt idx="212">
                  <c:v>39630</c:v>
                </c:pt>
                <c:pt idx="213">
                  <c:v>39600</c:v>
                </c:pt>
                <c:pt idx="214">
                  <c:v>39569</c:v>
                </c:pt>
                <c:pt idx="215">
                  <c:v>39539</c:v>
                </c:pt>
                <c:pt idx="216">
                  <c:v>39508</c:v>
                </c:pt>
                <c:pt idx="217">
                  <c:v>39479</c:v>
                </c:pt>
                <c:pt idx="218">
                  <c:v>39448</c:v>
                </c:pt>
                <c:pt idx="219">
                  <c:v>39417</c:v>
                </c:pt>
                <c:pt idx="220">
                  <c:v>39387</c:v>
                </c:pt>
                <c:pt idx="221">
                  <c:v>39356</c:v>
                </c:pt>
                <c:pt idx="222">
                  <c:v>39326</c:v>
                </c:pt>
                <c:pt idx="223">
                  <c:v>39295</c:v>
                </c:pt>
                <c:pt idx="224">
                  <c:v>39264</c:v>
                </c:pt>
                <c:pt idx="225">
                  <c:v>39234</c:v>
                </c:pt>
                <c:pt idx="226">
                  <c:v>39203</c:v>
                </c:pt>
                <c:pt idx="227">
                  <c:v>39173</c:v>
                </c:pt>
                <c:pt idx="228">
                  <c:v>39142</c:v>
                </c:pt>
                <c:pt idx="229">
                  <c:v>39114</c:v>
                </c:pt>
                <c:pt idx="230">
                  <c:v>39083</c:v>
                </c:pt>
                <c:pt idx="231">
                  <c:v>39052</c:v>
                </c:pt>
                <c:pt idx="232">
                  <c:v>39022</c:v>
                </c:pt>
                <c:pt idx="233">
                  <c:v>38991</c:v>
                </c:pt>
                <c:pt idx="234">
                  <c:v>38961</c:v>
                </c:pt>
                <c:pt idx="235">
                  <c:v>38930</c:v>
                </c:pt>
                <c:pt idx="236">
                  <c:v>38899</c:v>
                </c:pt>
                <c:pt idx="237">
                  <c:v>38869</c:v>
                </c:pt>
                <c:pt idx="238">
                  <c:v>38838</c:v>
                </c:pt>
                <c:pt idx="239">
                  <c:v>38808</c:v>
                </c:pt>
                <c:pt idx="240">
                  <c:v>38777</c:v>
                </c:pt>
                <c:pt idx="241">
                  <c:v>38749</c:v>
                </c:pt>
                <c:pt idx="242">
                  <c:v>38718</c:v>
                </c:pt>
                <c:pt idx="243">
                  <c:v>38687</c:v>
                </c:pt>
                <c:pt idx="244">
                  <c:v>38657</c:v>
                </c:pt>
                <c:pt idx="245">
                  <c:v>38626</c:v>
                </c:pt>
                <c:pt idx="246">
                  <c:v>38596</c:v>
                </c:pt>
                <c:pt idx="247">
                  <c:v>38565</c:v>
                </c:pt>
                <c:pt idx="248">
                  <c:v>38534</c:v>
                </c:pt>
                <c:pt idx="249">
                  <c:v>38504</c:v>
                </c:pt>
                <c:pt idx="250">
                  <c:v>38473</c:v>
                </c:pt>
                <c:pt idx="251">
                  <c:v>38443</c:v>
                </c:pt>
                <c:pt idx="252">
                  <c:v>38412</c:v>
                </c:pt>
                <c:pt idx="253">
                  <c:v>38384</c:v>
                </c:pt>
                <c:pt idx="254">
                  <c:v>38353</c:v>
                </c:pt>
                <c:pt idx="255">
                  <c:v>38322</c:v>
                </c:pt>
                <c:pt idx="256">
                  <c:v>38292</c:v>
                </c:pt>
                <c:pt idx="257">
                  <c:v>38261</c:v>
                </c:pt>
                <c:pt idx="258">
                  <c:v>38231</c:v>
                </c:pt>
                <c:pt idx="259">
                  <c:v>38200</c:v>
                </c:pt>
                <c:pt idx="260">
                  <c:v>38169</c:v>
                </c:pt>
                <c:pt idx="261">
                  <c:v>38139</c:v>
                </c:pt>
                <c:pt idx="262">
                  <c:v>38108</c:v>
                </c:pt>
                <c:pt idx="263">
                  <c:v>38078</c:v>
                </c:pt>
                <c:pt idx="264">
                  <c:v>38047</c:v>
                </c:pt>
                <c:pt idx="265">
                  <c:v>38018</c:v>
                </c:pt>
                <c:pt idx="266">
                  <c:v>37987</c:v>
                </c:pt>
                <c:pt idx="267">
                  <c:v>37956</c:v>
                </c:pt>
                <c:pt idx="268">
                  <c:v>37926</c:v>
                </c:pt>
                <c:pt idx="269">
                  <c:v>37895</c:v>
                </c:pt>
                <c:pt idx="270">
                  <c:v>37865</c:v>
                </c:pt>
                <c:pt idx="271">
                  <c:v>37834</c:v>
                </c:pt>
                <c:pt idx="272">
                  <c:v>37803</c:v>
                </c:pt>
                <c:pt idx="273">
                  <c:v>37773</c:v>
                </c:pt>
                <c:pt idx="274">
                  <c:v>37742</c:v>
                </c:pt>
                <c:pt idx="275">
                  <c:v>37712</c:v>
                </c:pt>
                <c:pt idx="276">
                  <c:v>37681</c:v>
                </c:pt>
                <c:pt idx="277">
                  <c:v>37653</c:v>
                </c:pt>
                <c:pt idx="278">
                  <c:v>37622</c:v>
                </c:pt>
                <c:pt idx="279">
                  <c:v>37591</c:v>
                </c:pt>
                <c:pt idx="280">
                  <c:v>37561</c:v>
                </c:pt>
                <c:pt idx="281">
                  <c:v>37530</c:v>
                </c:pt>
                <c:pt idx="282">
                  <c:v>37500</c:v>
                </c:pt>
                <c:pt idx="283">
                  <c:v>37469</c:v>
                </c:pt>
                <c:pt idx="284">
                  <c:v>37438</c:v>
                </c:pt>
                <c:pt idx="285">
                  <c:v>37408</c:v>
                </c:pt>
                <c:pt idx="286">
                  <c:v>37377</c:v>
                </c:pt>
                <c:pt idx="287">
                  <c:v>37347</c:v>
                </c:pt>
                <c:pt idx="288">
                  <c:v>37316</c:v>
                </c:pt>
                <c:pt idx="289">
                  <c:v>37288</c:v>
                </c:pt>
                <c:pt idx="290">
                  <c:v>37257</c:v>
                </c:pt>
                <c:pt idx="291">
                  <c:v>37226</c:v>
                </c:pt>
                <c:pt idx="292">
                  <c:v>37196</c:v>
                </c:pt>
                <c:pt idx="293">
                  <c:v>37165</c:v>
                </c:pt>
                <c:pt idx="294">
                  <c:v>37135</c:v>
                </c:pt>
                <c:pt idx="295">
                  <c:v>37104</c:v>
                </c:pt>
                <c:pt idx="296">
                  <c:v>37073</c:v>
                </c:pt>
                <c:pt idx="297">
                  <c:v>37043</c:v>
                </c:pt>
                <c:pt idx="298">
                  <c:v>37012</c:v>
                </c:pt>
                <c:pt idx="299">
                  <c:v>36982</c:v>
                </c:pt>
                <c:pt idx="300">
                  <c:v>36951</c:v>
                </c:pt>
                <c:pt idx="301">
                  <c:v>36923</c:v>
                </c:pt>
                <c:pt idx="302">
                  <c:v>36892</c:v>
                </c:pt>
                <c:pt idx="303">
                  <c:v>36861</c:v>
                </c:pt>
                <c:pt idx="304">
                  <c:v>36831</c:v>
                </c:pt>
                <c:pt idx="305">
                  <c:v>36800</c:v>
                </c:pt>
                <c:pt idx="306">
                  <c:v>36770</c:v>
                </c:pt>
                <c:pt idx="307">
                  <c:v>36739</c:v>
                </c:pt>
                <c:pt idx="308">
                  <c:v>36708</c:v>
                </c:pt>
                <c:pt idx="309">
                  <c:v>36678</c:v>
                </c:pt>
                <c:pt idx="310">
                  <c:v>36647</c:v>
                </c:pt>
                <c:pt idx="311">
                  <c:v>36617</c:v>
                </c:pt>
                <c:pt idx="312">
                  <c:v>36586</c:v>
                </c:pt>
                <c:pt idx="313">
                  <c:v>36557</c:v>
                </c:pt>
                <c:pt idx="314">
                  <c:v>36526</c:v>
                </c:pt>
                <c:pt idx="315">
                  <c:v>36495</c:v>
                </c:pt>
                <c:pt idx="316">
                  <c:v>36465</c:v>
                </c:pt>
                <c:pt idx="317">
                  <c:v>36434</c:v>
                </c:pt>
                <c:pt idx="318">
                  <c:v>36404</c:v>
                </c:pt>
                <c:pt idx="319">
                  <c:v>36373</c:v>
                </c:pt>
                <c:pt idx="320">
                  <c:v>36342</c:v>
                </c:pt>
                <c:pt idx="321">
                  <c:v>36312</c:v>
                </c:pt>
                <c:pt idx="322">
                  <c:v>36281</c:v>
                </c:pt>
                <c:pt idx="323">
                  <c:v>36251</c:v>
                </c:pt>
                <c:pt idx="324">
                  <c:v>36220</c:v>
                </c:pt>
                <c:pt idx="325">
                  <c:v>36192</c:v>
                </c:pt>
                <c:pt idx="326">
                  <c:v>36161</c:v>
                </c:pt>
                <c:pt idx="327">
                  <c:v>36130</c:v>
                </c:pt>
                <c:pt idx="328">
                  <c:v>36100</c:v>
                </c:pt>
                <c:pt idx="329">
                  <c:v>36069</c:v>
                </c:pt>
                <c:pt idx="330">
                  <c:v>36039</c:v>
                </c:pt>
                <c:pt idx="331">
                  <c:v>36008</c:v>
                </c:pt>
                <c:pt idx="332">
                  <c:v>35977</c:v>
                </c:pt>
                <c:pt idx="333">
                  <c:v>35947</c:v>
                </c:pt>
                <c:pt idx="334">
                  <c:v>35916</c:v>
                </c:pt>
                <c:pt idx="335">
                  <c:v>35886</c:v>
                </c:pt>
                <c:pt idx="336">
                  <c:v>35855</c:v>
                </c:pt>
                <c:pt idx="337">
                  <c:v>35827</c:v>
                </c:pt>
                <c:pt idx="338">
                  <c:v>35796</c:v>
                </c:pt>
                <c:pt idx="339">
                  <c:v>35765</c:v>
                </c:pt>
                <c:pt idx="340">
                  <c:v>35735</c:v>
                </c:pt>
                <c:pt idx="341">
                  <c:v>35704</c:v>
                </c:pt>
                <c:pt idx="342">
                  <c:v>35674</c:v>
                </c:pt>
                <c:pt idx="343">
                  <c:v>35643</c:v>
                </c:pt>
                <c:pt idx="344">
                  <c:v>35612</c:v>
                </c:pt>
                <c:pt idx="345">
                  <c:v>35582</c:v>
                </c:pt>
                <c:pt idx="346">
                  <c:v>35551</c:v>
                </c:pt>
                <c:pt idx="347">
                  <c:v>35521</c:v>
                </c:pt>
                <c:pt idx="348">
                  <c:v>35490</c:v>
                </c:pt>
                <c:pt idx="349">
                  <c:v>35462</c:v>
                </c:pt>
                <c:pt idx="350">
                  <c:v>35431</c:v>
                </c:pt>
                <c:pt idx="351">
                  <c:v>35400</c:v>
                </c:pt>
                <c:pt idx="352">
                  <c:v>35370</c:v>
                </c:pt>
                <c:pt idx="353">
                  <c:v>35339</c:v>
                </c:pt>
                <c:pt idx="354">
                  <c:v>35309</c:v>
                </c:pt>
                <c:pt idx="355">
                  <c:v>35278</c:v>
                </c:pt>
                <c:pt idx="356">
                  <c:v>35247</c:v>
                </c:pt>
                <c:pt idx="357">
                  <c:v>35217</c:v>
                </c:pt>
                <c:pt idx="358">
                  <c:v>35186</c:v>
                </c:pt>
                <c:pt idx="359">
                  <c:v>35156</c:v>
                </c:pt>
                <c:pt idx="360">
                  <c:v>35125</c:v>
                </c:pt>
                <c:pt idx="361">
                  <c:v>35096</c:v>
                </c:pt>
                <c:pt idx="362">
                  <c:v>35065</c:v>
                </c:pt>
                <c:pt idx="363">
                  <c:v>35034</c:v>
                </c:pt>
              </c:numCache>
            </c:numRef>
          </c:cat>
          <c:val>
            <c:numRef>
              <c:f>'Price prediction'!$C$4:$C$367</c:f>
              <c:numCache>
                <c:formatCode>#,##0.00</c:formatCode>
                <c:ptCount val="364"/>
                <c:pt idx="0">
                  <c:v>1288.9000000000001</c:v>
                </c:pt>
                <c:pt idx="1">
                  <c:v>1300.0999999999999</c:v>
                </c:pt>
                <c:pt idx="2">
                  <c:v>1641</c:v>
                </c:pt>
                <c:pt idx="3">
                  <c:v>1615.4</c:v>
                </c:pt>
                <c:pt idx="4">
                  <c:v>1560.1</c:v>
                </c:pt>
                <c:pt idx="5">
                  <c:v>1482.3</c:v>
                </c:pt>
                <c:pt idx="6">
                  <c:v>1441.8</c:v>
                </c:pt>
                <c:pt idx="7">
                  <c:v>1469.6</c:v>
                </c:pt>
                <c:pt idx="8">
                  <c:v>1509</c:v>
                </c:pt>
                <c:pt idx="9">
                  <c:v>1601.8</c:v>
                </c:pt>
                <c:pt idx="10">
                  <c:v>1562.7</c:v>
                </c:pt>
                <c:pt idx="11">
                  <c:v>1500.1</c:v>
                </c:pt>
                <c:pt idx="12">
                  <c:v>1570.65</c:v>
                </c:pt>
                <c:pt idx="13">
                  <c:v>1687.7</c:v>
                </c:pt>
                <c:pt idx="14">
                  <c:v>1879.8</c:v>
                </c:pt>
                <c:pt idx="15">
                  <c:v>1880</c:v>
                </c:pt>
                <c:pt idx="16">
                  <c:v>1857.85</c:v>
                </c:pt>
                <c:pt idx="17">
                  <c:v>1757.25</c:v>
                </c:pt>
                <c:pt idx="18">
                  <c:v>1875.6</c:v>
                </c:pt>
                <c:pt idx="19">
                  <c:v>1943.7</c:v>
                </c:pt>
                <c:pt idx="20">
                  <c:v>1868.25</c:v>
                </c:pt>
                <c:pt idx="21">
                  <c:v>1566.75</c:v>
                </c:pt>
                <c:pt idx="22">
                  <c:v>1406.9</c:v>
                </c:pt>
                <c:pt idx="23">
                  <c:v>1412.59</c:v>
                </c:pt>
                <c:pt idx="24">
                  <c:v>1489.66</c:v>
                </c:pt>
                <c:pt idx="25">
                  <c:v>1664.52</c:v>
                </c:pt>
                <c:pt idx="26">
                  <c:v>1651.59</c:v>
                </c:pt>
                <c:pt idx="27">
                  <c:v>1534.25</c:v>
                </c:pt>
                <c:pt idx="28">
                  <c:v>1446.99</c:v>
                </c:pt>
                <c:pt idx="29">
                  <c:v>1360.73</c:v>
                </c:pt>
                <c:pt idx="30">
                  <c:v>1427.41</c:v>
                </c:pt>
                <c:pt idx="31">
                  <c:v>1427.41</c:v>
                </c:pt>
                <c:pt idx="32">
                  <c:v>1348.1</c:v>
                </c:pt>
                <c:pt idx="33">
                  <c:v>1328.02</c:v>
                </c:pt>
                <c:pt idx="34">
                  <c:v>1310.91</c:v>
                </c:pt>
                <c:pt idx="35">
                  <c:v>1245.73</c:v>
                </c:pt>
                <c:pt idx="36">
                  <c:v>1419.95</c:v>
                </c:pt>
                <c:pt idx="37">
                  <c:v>1479.21</c:v>
                </c:pt>
                <c:pt idx="38">
                  <c:v>1525.16</c:v>
                </c:pt>
                <c:pt idx="39">
                  <c:v>1499.75</c:v>
                </c:pt>
                <c:pt idx="40">
                  <c:v>1625.79</c:v>
                </c:pt>
                <c:pt idx="41">
                  <c:v>1529.03</c:v>
                </c:pt>
                <c:pt idx="42">
                  <c:v>1405.53</c:v>
                </c:pt>
                <c:pt idx="43">
                  <c:v>1484.58</c:v>
                </c:pt>
                <c:pt idx="44">
                  <c:v>1541.02</c:v>
                </c:pt>
                <c:pt idx="45">
                  <c:v>1453.71</c:v>
                </c:pt>
                <c:pt idx="46">
                  <c:v>1495.17</c:v>
                </c:pt>
                <c:pt idx="47">
                  <c:v>1558.77</c:v>
                </c:pt>
                <c:pt idx="48">
                  <c:v>1896.16</c:v>
                </c:pt>
                <c:pt idx="49">
                  <c:v>1705.99</c:v>
                </c:pt>
                <c:pt idx="50">
                  <c:v>1726.47</c:v>
                </c:pt>
                <c:pt idx="51">
                  <c:v>1877.17</c:v>
                </c:pt>
                <c:pt idx="52">
                  <c:v>1703.05</c:v>
                </c:pt>
                <c:pt idx="53">
                  <c:v>1658.4</c:v>
                </c:pt>
                <c:pt idx="54">
                  <c:v>1665.81</c:v>
                </c:pt>
                <c:pt idx="55">
                  <c:v>1696.89</c:v>
                </c:pt>
                <c:pt idx="56">
                  <c:v>1601.47</c:v>
                </c:pt>
                <c:pt idx="57">
                  <c:v>1571.94</c:v>
                </c:pt>
                <c:pt idx="58">
                  <c:v>1385.94</c:v>
                </c:pt>
                <c:pt idx="59">
                  <c:v>1346.76</c:v>
                </c:pt>
                <c:pt idx="60">
                  <c:v>1360.38</c:v>
                </c:pt>
                <c:pt idx="61">
                  <c:v>1246.28</c:v>
                </c:pt>
                <c:pt idx="62">
                  <c:v>1232.1099999999999</c:v>
                </c:pt>
                <c:pt idx="63">
                  <c:v>1248.76</c:v>
                </c:pt>
                <c:pt idx="64">
                  <c:v>1093.8399999999999</c:v>
                </c:pt>
                <c:pt idx="65">
                  <c:v>1054.6600000000001</c:v>
                </c:pt>
                <c:pt idx="66">
                  <c:v>1002.6</c:v>
                </c:pt>
                <c:pt idx="67" formatCode="General">
                  <c:v>923.4</c:v>
                </c:pt>
                <c:pt idx="68" formatCode="General">
                  <c:v>960.59</c:v>
                </c:pt>
                <c:pt idx="69" formatCode="General">
                  <c:v>731.83</c:v>
                </c:pt>
                <c:pt idx="70" formatCode="General">
                  <c:v>687.13</c:v>
                </c:pt>
                <c:pt idx="71" formatCode="General">
                  <c:v>711.49</c:v>
                </c:pt>
                <c:pt idx="72" formatCode="General">
                  <c:v>637.91</c:v>
                </c:pt>
                <c:pt idx="73" formatCode="General">
                  <c:v>727.6</c:v>
                </c:pt>
                <c:pt idx="74" formatCode="General">
                  <c:v>771.6</c:v>
                </c:pt>
                <c:pt idx="75" formatCode="General">
                  <c:v>727.05</c:v>
                </c:pt>
                <c:pt idx="76" formatCode="General">
                  <c:v>692.45</c:v>
                </c:pt>
                <c:pt idx="77" formatCode="General">
                  <c:v>681.76</c:v>
                </c:pt>
                <c:pt idx="78" formatCode="General">
                  <c:v>801.14</c:v>
                </c:pt>
                <c:pt idx="79" formatCode="General">
                  <c:v>810.33</c:v>
                </c:pt>
                <c:pt idx="80" formatCode="General">
                  <c:v>789.2</c:v>
                </c:pt>
                <c:pt idx="81" formatCode="General">
                  <c:v>727.9</c:v>
                </c:pt>
                <c:pt idx="82" formatCode="General">
                  <c:v>733.62</c:v>
                </c:pt>
                <c:pt idx="83" formatCode="General">
                  <c:v>747.14</c:v>
                </c:pt>
                <c:pt idx="84" formatCode="General">
                  <c:v>739.68</c:v>
                </c:pt>
                <c:pt idx="85" formatCode="General">
                  <c:v>730.18</c:v>
                </c:pt>
                <c:pt idx="86" formatCode="General">
                  <c:v>745.35</c:v>
                </c:pt>
                <c:pt idx="87" formatCode="General">
                  <c:v>651.66999999999996</c:v>
                </c:pt>
                <c:pt idx="88" formatCode="General">
                  <c:v>660.08</c:v>
                </c:pt>
                <c:pt idx="89" formatCode="General">
                  <c:v>678.82</c:v>
                </c:pt>
                <c:pt idx="90" formatCode="General">
                  <c:v>721.99</c:v>
                </c:pt>
                <c:pt idx="91" formatCode="General">
                  <c:v>712.59</c:v>
                </c:pt>
                <c:pt idx="92" formatCode="General">
                  <c:v>675.01</c:v>
                </c:pt>
                <c:pt idx="93" formatCode="General">
                  <c:v>646.38</c:v>
                </c:pt>
                <c:pt idx="94" formatCode="General">
                  <c:v>604.32000000000005</c:v>
                </c:pt>
                <c:pt idx="95" formatCode="General">
                  <c:v>588.48</c:v>
                </c:pt>
                <c:pt idx="96" formatCode="General">
                  <c:v>555.26</c:v>
                </c:pt>
                <c:pt idx="97" formatCode="General">
                  <c:v>575.28</c:v>
                </c:pt>
                <c:pt idx="98" formatCode="General">
                  <c:v>564.30999999999995</c:v>
                </c:pt>
                <c:pt idx="99" formatCode="General">
                  <c:v>511.23</c:v>
                </c:pt>
                <c:pt idx="100" formatCode="General">
                  <c:v>478.88</c:v>
                </c:pt>
                <c:pt idx="101" formatCode="General">
                  <c:v>452.26</c:v>
                </c:pt>
                <c:pt idx="102" formatCode="General">
                  <c:v>441.49</c:v>
                </c:pt>
                <c:pt idx="103" formatCode="General">
                  <c:v>448.88</c:v>
                </c:pt>
                <c:pt idx="104" formatCode="General">
                  <c:v>496.1</c:v>
                </c:pt>
                <c:pt idx="105" formatCode="General">
                  <c:v>458.98</c:v>
                </c:pt>
                <c:pt idx="106" formatCode="General">
                  <c:v>479.34</c:v>
                </c:pt>
                <c:pt idx="107" formatCode="General">
                  <c:v>450.84</c:v>
                </c:pt>
                <c:pt idx="108" formatCode="General">
                  <c:v>501.52</c:v>
                </c:pt>
                <c:pt idx="109" formatCode="General">
                  <c:v>496.68</c:v>
                </c:pt>
                <c:pt idx="110" formatCode="General">
                  <c:v>455.57</c:v>
                </c:pt>
                <c:pt idx="111" formatCode="General">
                  <c:v>495.8</c:v>
                </c:pt>
                <c:pt idx="112" formatCode="General">
                  <c:v>478.61</c:v>
                </c:pt>
                <c:pt idx="113" formatCode="General">
                  <c:v>491.63</c:v>
                </c:pt>
                <c:pt idx="114" formatCode="General">
                  <c:v>508.29</c:v>
                </c:pt>
                <c:pt idx="115" formatCode="General">
                  <c:v>508.19</c:v>
                </c:pt>
                <c:pt idx="116" formatCode="General">
                  <c:v>526.83000000000004</c:v>
                </c:pt>
                <c:pt idx="117" formatCode="General">
                  <c:v>574.4</c:v>
                </c:pt>
                <c:pt idx="118" formatCode="General">
                  <c:v>612.59</c:v>
                </c:pt>
                <c:pt idx="119" formatCode="General">
                  <c:v>592.70000000000005</c:v>
                </c:pt>
                <c:pt idx="120" formatCode="General">
                  <c:v>597.70000000000005</c:v>
                </c:pt>
                <c:pt idx="121" formatCode="General">
                  <c:v>531.84</c:v>
                </c:pt>
                <c:pt idx="122" formatCode="General">
                  <c:v>571.5</c:v>
                </c:pt>
                <c:pt idx="123" formatCode="General">
                  <c:v>542.30999999999995</c:v>
                </c:pt>
                <c:pt idx="124" formatCode="General">
                  <c:v>533.72</c:v>
                </c:pt>
                <c:pt idx="125" formatCode="General">
                  <c:v>557.04999999999995</c:v>
                </c:pt>
                <c:pt idx="126" formatCode="General">
                  <c:v>570.04999999999995</c:v>
                </c:pt>
                <c:pt idx="127" formatCode="General">
                  <c:v>536.91</c:v>
                </c:pt>
                <c:pt idx="128" formatCode="General">
                  <c:v>528.4</c:v>
                </c:pt>
                <c:pt idx="129" formatCode="General">
                  <c:v>482.92</c:v>
                </c:pt>
                <c:pt idx="130" formatCode="General">
                  <c:v>496.28</c:v>
                </c:pt>
                <c:pt idx="131" formatCode="General">
                  <c:v>476.43</c:v>
                </c:pt>
                <c:pt idx="132" formatCode="General">
                  <c:v>544.16</c:v>
                </c:pt>
                <c:pt idx="133" formatCode="General">
                  <c:v>563.32000000000005</c:v>
                </c:pt>
                <c:pt idx="134" formatCode="General">
                  <c:v>525.41</c:v>
                </c:pt>
                <c:pt idx="135" formatCode="General">
                  <c:v>483.87</c:v>
                </c:pt>
                <c:pt idx="136" formatCode="General">
                  <c:v>534.74</c:v>
                </c:pt>
                <c:pt idx="137" formatCode="General">
                  <c:v>496.89</c:v>
                </c:pt>
                <c:pt idx="138" formatCode="General">
                  <c:v>459.66</c:v>
                </c:pt>
                <c:pt idx="139" formatCode="General">
                  <c:v>441.39</c:v>
                </c:pt>
                <c:pt idx="140" formatCode="General">
                  <c:v>413.04</c:v>
                </c:pt>
                <c:pt idx="141" formatCode="General">
                  <c:v>399.29</c:v>
                </c:pt>
                <c:pt idx="142" formatCode="General">
                  <c:v>360.52</c:v>
                </c:pt>
                <c:pt idx="143" formatCode="General">
                  <c:v>392.33</c:v>
                </c:pt>
                <c:pt idx="144" formatCode="General">
                  <c:v>404.9</c:v>
                </c:pt>
                <c:pt idx="145" formatCode="General">
                  <c:v>471.76</c:v>
                </c:pt>
                <c:pt idx="146" formatCode="General">
                  <c:v>456.5</c:v>
                </c:pt>
                <c:pt idx="147" formatCode="General">
                  <c:v>429.92</c:v>
                </c:pt>
                <c:pt idx="148" formatCode="General">
                  <c:v>413.76</c:v>
                </c:pt>
                <c:pt idx="149" formatCode="General">
                  <c:v>408.25</c:v>
                </c:pt>
                <c:pt idx="150" formatCode="General">
                  <c:v>371.63</c:v>
                </c:pt>
                <c:pt idx="151" formatCode="General">
                  <c:v>383.08</c:v>
                </c:pt>
                <c:pt idx="152" formatCode="General">
                  <c:v>366.28</c:v>
                </c:pt>
                <c:pt idx="153" formatCode="General">
                  <c:v>308.20999999999998</c:v>
                </c:pt>
                <c:pt idx="154" formatCode="General">
                  <c:v>297.45999999999998</c:v>
                </c:pt>
                <c:pt idx="155" formatCode="General">
                  <c:v>275.72000000000003</c:v>
                </c:pt>
                <c:pt idx="156" formatCode="General">
                  <c:v>356.38</c:v>
                </c:pt>
                <c:pt idx="157" formatCode="General">
                  <c:v>358.55</c:v>
                </c:pt>
                <c:pt idx="158" formatCode="General">
                  <c:v>344.06</c:v>
                </c:pt>
                <c:pt idx="159" formatCode="General">
                  <c:v>285.99</c:v>
                </c:pt>
                <c:pt idx="160" formatCode="General">
                  <c:v>300.57</c:v>
                </c:pt>
                <c:pt idx="161" formatCode="General">
                  <c:v>291.45999999999998</c:v>
                </c:pt>
                <c:pt idx="162" formatCode="General">
                  <c:v>312.66000000000003</c:v>
                </c:pt>
                <c:pt idx="163" formatCode="General">
                  <c:v>291.29000000000002</c:v>
                </c:pt>
                <c:pt idx="164" formatCode="General">
                  <c:v>274.67</c:v>
                </c:pt>
                <c:pt idx="165" formatCode="General">
                  <c:v>309.49</c:v>
                </c:pt>
                <c:pt idx="166" formatCode="General">
                  <c:v>299.64</c:v>
                </c:pt>
                <c:pt idx="167" formatCode="General">
                  <c:v>303.68</c:v>
                </c:pt>
                <c:pt idx="168" formatCode="General">
                  <c:v>353.53</c:v>
                </c:pt>
                <c:pt idx="169" formatCode="General">
                  <c:v>355.65</c:v>
                </c:pt>
                <c:pt idx="170" formatCode="General">
                  <c:v>338.7</c:v>
                </c:pt>
                <c:pt idx="171" formatCode="General">
                  <c:v>341.37</c:v>
                </c:pt>
                <c:pt idx="172" formatCode="General">
                  <c:v>321.52999999999997</c:v>
                </c:pt>
                <c:pt idx="173" formatCode="General">
                  <c:v>354.92</c:v>
                </c:pt>
                <c:pt idx="174" formatCode="General">
                  <c:v>312.43</c:v>
                </c:pt>
                <c:pt idx="175" formatCode="General">
                  <c:v>288.98</c:v>
                </c:pt>
                <c:pt idx="176" formatCode="General">
                  <c:v>342.38</c:v>
                </c:pt>
                <c:pt idx="177" formatCode="General">
                  <c:v>358.98</c:v>
                </c:pt>
                <c:pt idx="178" formatCode="General">
                  <c:v>343.59</c:v>
                </c:pt>
                <c:pt idx="179" formatCode="General">
                  <c:v>358.46</c:v>
                </c:pt>
                <c:pt idx="180" formatCode="General">
                  <c:v>399.79</c:v>
                </c:pt>
                <c:pt idx="181" formatCode="General">
                  <c:v>369.67</c:v>
                </c:pt>
                <c:pt idx="182" formatCode="General">
                  <c:v>384.54</c:v>
                </c:pt>
                <c:pt idx="183" formatCode="General">
                  <c:v>424.63</c:v>
                </c:pt>
                <c:pt idx="184" formatCode="General">
                  <c:v>376.32</c:v>
                </c:pt>
                <c:pt idx="185" formatCode="General">
                  <c:v>366.53</c:v>
                </c:pt>
                <c:pt idx="186" formatCode="General">
                  <c:v>378.32</c:v>
                </c:pt>
                <c:pt idx="187" formatCode="General">
                  <c:v>336.57</c:v>
                </c:pt>
                <c:pt idx="188" formatCode="General">
                  <c:v>345.82</c:v>
                </c:pt>
                <c:pt idx="189" formatCode="General">
                  <c:v>346.14</c:v>
                </c:pt>
                <c:pt idx="190" formatCode="General">
                  <c:v>329.64</c:v>
                </c:pt>
                <c:pt idx="191" formatCode="General">
                  <c:v>339.58</c:v>
                </c:pt>
                <c:pt idx="192" formatCode="General">
                  <c:v>324.43</c:v>
                </c:pt>
                <c:pt idx="193" formatCode="General">
                  <c:v>322.69</c:v>
                </c:pt>
                <c:pt idx="194" formatCode="General">
                  <c:v>307.01</c:v>
                </c:pt>
                <c:pt idx="195" formatCode="General">
                  <c:v>322.58999999999997</c:v>
                </c:pt>
                <c:pt idx="196" formatCode="General">
                  <c:v>295.08999999999997</c:v>
                </c:pt>
                <c:pt idx="197" formatCode="General">
                  <c:v>273.61</c:v>
                </c:pt>
                <c:pt idx="198" formatCode="General">
                  <c:v>286.04000000000002</c:v>
                </c:pt>
                <c:pt idx="199" formatCode="General">
                  <c:v>264.3</c:v>
                </c:pt>
                <c:pt idx="200" formatCode="General">
                  <c:v>256.02</c:v>
                </c:pt>
                <c:pt idx="201" formatCode="General">
                  <c:v>220.32</c:v>
                </c:pt>
                <c:pt idx="202" formatCode="General">
                  <c:v>199.06</c:v>
                </c:pt>
                <c:pt idx="203" formatCode="General">
                  <c:v>187.18</c:v>
                </c:pt>
                <c:pt idx="204" formatCode="General">
                  <c:v>164.19</c:v>
                </c:pt>
                <c:pt idx="205" formatCode="General">
                  <c:v>152.69999999999999</c:v>
                </c:pt>
                <c:pt idx="206" formatCode="General">
                  <c:v>162.05000000000001</c:v>
                </c:pt>
                <c:pt idx="207" formatCode="General">
                  <c:v>138.34</c:v>
                </c:pt>
                <c:pt idx="208" formatCode="General">
                  <c:v>154.26</c:v>
                </c:pt>
                <c:pt idx="209" formatCode="General">
                  <c:v>172.26</c:v>
                </c:pt>
                <c:pt idx="210" formatCode="General">
                  <c:v>173.39</c:v>
                </c:pt>
                <c:pt idx="211" formatCode="General">
                  <c:v>216.92</c:v>
                </c:pt>
                <c:pt idx="212" formatCode="General">
                  <c:v>196.38</c:v>
                </c:pt>
                <c:pt idx="213" formatCode="General">
                  <c:v>215.4</c:v>
                </c:pt>
                <c:pt idx="214" formatCode="General">
                  <c:v>243.43</c:v>
                </c:pt>
                <c:pt idx="215" formatCode="General">
                  <c:v>217.42</c:v>
                </c:pt>
                <c:pt idx="216" formatCode="General">
                  <c:v>178.58</c:v>
                </c:pt>
                <c:pt idx="217" formatCode="General">
                  <c:v>192.01</c:v>
                </c:pt>
                <c:pt idx="218" formatCode="General">
                  <c:v>185.91</c:v>
                </c:pt>
                <c:pt idx="219" formatCode="General">
                  <c:v>219.5</c:v>
                </c:pt>
                <c:pt idx="220" formatCode="General">
                  <c:v>198.74</c:v>
                </c:pt>
                <c:pt idx="221" formatCode="General">
                  <c:v>227.88</c:v>
                </c:pt>
                <c:pt idx="222" formatCode="General">
                  <c:v>234.74</c:v>
                </c:pt>
                <c:pt idx="223" formatCode="General">
                  <c:v>230</c:v>
                </c:pt>
                <c:pt idx="224" formatCode="General">
                  <c:v>245.04</c:v>
                </c:pt>
                <c:pt idx="225" formatCode="General">
                  <c:v>239.24</c:v>
                </c:pt>
                <c:pt idx="226" formatCode="General">
                  <c:v>238.55</c:v>
                </c:pt>
                <c:pt idx="227" formatCode="General">
                  <c:v>254.35</c:v>
                </c:pt>
                <c:pt idx="228" formatCode="General">
                  <c:v>250.35</c:v>
                </c:pt>
                <c:pt idx="229" formatCode="General">
                  <c:v>257.66000000000003</c:v>
                </c:pt>
                <c:pt idx="230" formatCode="General">
                  <c:v>278.70999999999998</c:v>
                </c:pt>
                <c:pt idx="231" formatCode="General">
                  <c:v>278.02999999999997</c:v>
                </c:pt>
                <c:pt idx="232" formatCode="General">
                  <c:v>270.33</c:v>
                </c:pt>
                <c:pt idx="233" formatCode="General">
                  <c:v>259.88</c:v>
                </c:pt>
                <c:pt idx="234" formatCode="General">
                  <c:v>229.39</c:v>
                </c:pt>
                <c:pt idx="235" formatCode="General">
                  <c:v>224.03</c:v>
                </c:pt>
                <c:pt idx="236" formatCode="General">
                  <c:v>205.32</c:v>
                </c:pt>
                <c:pt idx="237" formatCode="General">
                  <c:v>190.92</c:v>
                </c:pt>
                <c:pt idx="238" formatCode="General">
                  <c:v>180.44</c:v>
                </c:pt>
                <c:pt idx="239" formatCode="General">
                  <c:v>197.03</c:v>
                </c:pt>
                <c:pt idx="240" formatCode="General">
                  <c:v>184.88</c:v>
                </c:pt>
                <c:pt idx="241" formatCode="General">
                  <c:v>175.42</c:v>
                </c:pt>
                <c:pt idx="242" formatCode="General">
                  <c:v>178.61</c:v>
                </c:pt>
                <c:pt idx="243" formatCode="General">
                  <c:v>185.83</c:v>
                </c:pt>
                <c:pt idx="244" formatCode="General">
                  <c:v>166.46</c:v>
                </c:pt>
                <c:pt idx="245" formatCode="General">
                  <c:v>156.38999999999999</c:v>
                </c:pt>
                <c:pt idx="246" formatCode="General">
                  <c:v>155.97</c:v>
                </c:pt>
                <c:pt idx="247" formatCode="General">
                  <c:v>147.34</c:v>
                </c:pt>
                <c:pt idx="248" formatCode="General">
                  <c:v>140.66999999999999</c:v>
                </c:pt>
                <c:pt idx="249" formatCode="General">
                  <c:v>146.22999999999999</c:v>
                </c:pt>
                <c:pt idx="250" formatCode="General">
                  <c:v>139.55000000000001</c:v>
                </c:pt>
                <c:pt idx="251" formatCode="General">
                  <c:v>117</c:v>
                </c:pt>
                <c:pt idx="252" formatCode="General">
                  <c:v>139.97</c:v>
                </c:pt>
                <c:pt idx="253" formatCode="General">
                  <c:v>138.91</c:v>
                </c:pt>
                <c:pt idx="254" formatCode="General">
                  <c:v>128.28</c:v>
                </c:pt>
                <c:pt idx="255" formatCode="General">
                  <c:v>129.71</c:v>
                </c:pt>
                <c:pt idx="256" formatCode="General">
                  <c:v>133.27000000000001</c:v>
                </c:pt>
                <c:pt idx="257" formatCode="General">
                  <c:v>118.21</c:v>
                </c:pt>
                <c:pt idx="258" formatCode="General">
                  <c:v>105.14</c:v>
                </c:pt>
                <c:pt idx="259" formatCode="General">
                  <c:v>97.7</c:v>
                </c:pt>
                <c:pt idx="260" formatCode="General">
                  <c:v>96.33</c:v>
                </c:pt>
                <c:pt idx="261" formatCode="General">
                  <c:v>85.64</c:v>
                </c:pt>
                <c:pt idx="262" formatCode="General">
                  <c:v>80.63</c:v>
                </c:pt>
                <c:pt idx="263" formatCode="General">
                  <c:v>79.78</c:v>
                </c:pt>
                <c:pt idx="264" formatCode="General">
                  <c:v>76.55</c:v>
                </c:pt>
                <c:pt idx="265" formatCode="General">
                  <c:v>78.48</c:v>
                </c:pt>
                <c:pt idx="266" formatCode="General">
                  <c:v>80.81</c:v>
                </c:pt>
                <c:pt idx="267" formatCode="General">
                  <c:v>86.27</c:v>
                </c:pt>
                <c:pt idx="268" formatCode="General">
                  <c:v>76.36</c:v>
                </c:pt>
                <c:pt idx="269" formatCode="General">
                  <c:v>73.459999999999994</c:v>
                </c:pt>
                <c:pt idx="270" formatCode="General">
                  <c:v>70.2</c:v>
                </c:pt>
                <c:pt idx="271" formatCode="General">
                  <c:v>60.86</c:v>
                </c:pt>
                <c:pt idx="272" formatCode="General">
                  <c:v>55.84</c:v>
                </c:pt>
                <c:pt idx="273" formatCode="General">
                  <c:v>50.75</c:v>
                </c:pt>
                <c:pt idx="274" formatCode="General">
                  <c:v>41.46</c:v>
                </c:pt>
                <c:pt idx="275" formatCode="General">
                  <c:v>43.2</c:v>
                </c:pt>
                <c:pt idx="276" formatCode="General">
                  <c:v>62.83</c:v>
                </c:pt>
                <c:pt idx="277" formatCode="General">
                  <c:v>66.430000000000007</c:v>
                </c:pt>
                <c:pt idx="278" formatCode="General">
                  <c:v>66.66</c:v>
                </c:pt>
                <c:pt idx="279" formatCode="General">
                  <c:v>74</c:v>
                </c:pt>
                <c:pt idx="280" formatCode="General">
                  <c:v>70.66</c:v>
                </c:pt>
                <c:pt idx="281" formatCode="General">
                  <c:v>58.86</c:v>
                </c:pt>
                <c:pt idx="282" formatCode="General">
                  <c:v>52.81</c:v>
                </c:pt>
                <c:pt idx="283" formatCode="General">
                  <c:v>55.88</c:v>
                </c:pt>
                <c:pt idx="284" formatCode="General">
                  <c:v>47.03</c:v>
                </c:pt>
                <c:pt idx="285" formatCode="General">
                  <c:v>50.85</c:v>
                </c:pt>
                <c:pt idx="286" formatCode="General">
                  <c:v>52.53</c:v>
                </c:pt>
                <c:pt idx="287" formatCode="General">
                  <c:v>57.11</c:v>
                </c:pt>
                <c:pt idx="288" formatCode="General">
                  <c:v>58.11</c:v>
                </c:pt>
                <c:pt idx="289" formatCode="General">
                  <c:v>54.77</c:v>
                </c:pt>
                <c:pt idx="290" formatCode="General">
                  <c:v>60.11</c:v>
                </c:pt>
                <c:pt idx="291" formatCode="General">
                  <c:v>63.31</c:v>
                </c:pt>
                <c:pt idx="292" formatCode="General">
                  <c:v>60.35</c:v>
                </c:pt>
                <c:pt idx="293" formatCode="General">
                  <c:v>45.21</c:v>
                </c:pt>
                <c:pt idx="294" formatCode="General">
                  <c:v>36.700000000000003</c:v>
                </c:pt>
                <c:pt idx="295" formatCode="General">
                  <c:v>54.86</c:v>
                </c:pt>
                <c:pt idx="296" formatCode="General">
                  <c:v>58.18</c:v>
                </c:pt>
                <c:pt idx="297" formatCode="General">
                  <c:v>58.11</c:v>
                </c:pt>
                <c:pt idx="298" formatCode="General">
                  <c:v>58.48</c:v>
                </c:pt>
                <c:pt idx="299" formatCode="General">
                  <c:v>57.5</c:v>
                </c:pt>
                <c:pt idx="300" formatCode="General">
                  <c:v>63.31</c:v>
                </c:pt>
                <c:pt idx="301" formatCode="General">
                  <c:v>96.76</c:v>
                </c:pt>
                <c:pt idx="302" formatCode="General">
                  <c:v>105.3</c:v>
                </c:pt>
                <c:pt idx="303" formatCode="General">
                  <c:v>88.27</c:v>
                </c:pt>
                <c:pt idx="304" formatCode="General">
                  <c:v>111.37</c:v>
                </c:pt>
                <c:pt idx="305" formatCode="General">
                  <c:v>110.58</c:v>
                </c:pt>
                <c:pt idx="306" formatCode="General">
                  <c:v>114.12</c:v>
                </c:pt>
                <c:pt idx="307" formatCode="General">
                  <c:v>129.09</c:v>
                </c:pt>
                <c:pt idx="308" formatCode="General">
                  <c:v>104.82</c:v>
                </c:pt>
                <c:pt idx="309" formatCode="General">
                  <c:v>128.83000000000001</c:v>
                </c:pt>
                <c:pt idx="310" formatCode="General">
                  <c:v>108.5</c:v>
                </c:pt>
                <c:pt idx="311" formatCode="General">
                  <c:v>125.91</c:v>
                </c:pt>
                <c:pt idx="312" formatCode="General">
                  <c:v>139.06</c:v>
                </c:pt>
                <c:pt idx="313" formatCode="General">
                  <c:v>136.1</c:v>
                </c:pt>
                <c:pt idx="314" formatCode="General">
                  <c:v>111.95</c:v>
                </c:pt>
                <c:pt idx="315" formatCode="General">
                  <c:v>112.14</c:v>
                </c:pt>
                <c:pt idx="316" formatCode="General">
                  <c:v>71.52</c:v>
                </c:pt>
                <c:pt idx="317" formatCode="General">
                  <c:v>54.08</c:v>
                </c:pt>
                <c:pt idx="318" formatCode="General">
                  <c:v>55.29</c:v>
                </c:pt>
                <c:pt idx="319" formatCode="General">
                  <c:v>43.02</c:v>
                </c:pt>
                <c:pt idx="320" formatCode="General">
                  <c:v>37.549999999999997</c:v>
                </c:pt>
                <c:pt idx="321" formatCode="General">
                  <c:v>28.22</c:v>
                </c:pt>
                <c:pt idx="322" formatCode="General">
                  <c:v>25.23</c:v>
                </c:pt>
                <c:pt idx="323" formatCode="General">
                  <c:v>20.54</c:v>
                </c:pt>
                <c:pt idx="324" formatCode="General">
                  <c:v>22.71</c:v>
                </c:pt>
                <c:pt idx="325" formatCode="General">
                  <c:v>22.44</c:v>
                </c:pt>
                <c:pt idx="326" formatCode="General">
                  <c:v>18.27</c:v>
                </c:pt>
                <c:pt idx="327" formatCode="General">
                  <c:v>11.5</c:v>
                </c:pt>
                <c:pt idx="328" formatCode="General">
                  <c:v>9.0299999999999994</c:v>
                </c:pt>
                <c:pt idx="329" formatCode="General">
                  <c:v>9.4499999999999993</c:v>
                </c:pt>
                <c:pt idx="330" formatCode="General">
                  <c:v>9.7899999999999991</c:v>
                </c:pt>
                <c:pt idx="331" formatCode="General">
                  <c:v>9.9499999999999993</c:v>
                </c:pt>
                <c:pt idx="332" formatCode="General">
                  <c:v>10.1</c:v>
                </c:pt>
                <c:pt idx="333" formatCode="General">
                  <c:v>8.56</c:v>
                </c:pt>
                <c:pt idx="334" formatCode="General">
                  <c:v>9.4600000000000009</c:v>
                </c:pt>
                <c:pt idx="335" formatCode="General">
                  <c:v>8.41</c:v>
                </c:pt>
                <c:pt idx="336" formatCode="General">
                  <c:v>7.17</c:v>
                </c:pt>
                <c:pt idx="337" formatCode="General">
                  <c:v>5.42</c:v>
                </c:pt>
                <c:pt idx="338" formatCode="General">
                  <c:v>4.28</c:v>
                </c:pt>
                <c:pt idx="339" formatCode="General">
                  <c:v>4.8099999999999996</c:v>
                </c:pt>
                <c:pt idx="340" formatCode="General">
                  <c:v>5.37</c:v>
                </c:pt>
                <c:pt idx="341" formatCode="General">
                  <c:v>5.22</c:v>
                </c:pt>
                <c:pt idx="342" formatCode="General">
                  <c:v>6.28</c:v>
                </c:pt>
                <c:pt idx="343" formatCode="General">
                  <c:v>4.93</c:v>
                </c:pt>
                <c:pt idx="344" formatCode="General">
                  <c:v>3.99</c:v>
                </c:pt>
                <c:pt idx="345" formatCode="General">
                  <c:v>3.6</c:v>
                </c:pt>
                <c:pt idx="346" formatCode="General">
                  <c:v>2.87</c:v>
                </c:pt>
                <c:pt idx="347" formatCode="General">
                  <c:v>2.81</c:v>
                </c:pt>
                <c:pt idx="348" formatCode="General">
                  <c:v>1.98</c:v>
                </c:pt>
                <c:pt idx="349" formatCode="General">
                  <c:v>1.99</c:v>
                </c:pt>
                <c:pt idx="350" formatCode="General">
                  <c:v>1.62</c:v>
                </c:pt>
                <c:pt idx="351" formatCode="General">
                  <c:v>1.49</c:v>
                </c:pt>
                <c:pt idx="352" formatCode="General">
                  <c:v>1.35</c:v>
                </c:pt>
                <c:pt idx="353" formatCode="General">
                  <c:v>1.32</c:v>
                </c:pt>
                <c:pt idx="354" formatCode="General">
                  <c:v>1.28</c:v>
                </c:pt>
                <c:pt idx="355" formatCode="General">
                  <c:v>1.3</c:v>
                </c:pt>
                <c:pt idx="356" formatCode="General">
                  <c:v>1.28</c:v>
                </c:pt>
                <c:pt idx="357" formatCode="General">
                  <c:v>1.37</c:v>
                </c:pt>
                <c:pt idx="358" formatCode="General">
                  <c:v>1.25</c:v>
                </c:pt>
                <c:pt idx="359" formatCode="General">
                  <c:v>1.22</c:v>
                </c:pt>
                <c:pt idx="360" formatCode="General">
                  <c:v>0.97</c:v>
                </c:pt>
                <c:pt idx="361" formatCode="General">
                  <c:v>0.91</c:v>
                </c:pt>
                <c:pt idx="362" formatCode="General">
                  <c:v>0.78</c:v>
                </c:pt>
                <c:pt idx="363" formatCode="General">
                  <c:v>0.79</c:v>
                </c:pt>
              </c:numCache>
            </c:numRef>
          </c:val>
          <c:smooth val="0"/>
          <c:extLst>
            <c:ext xmlns:c16="http://schemas.microsoft.com/office/drawing/2014/chart" uri="{C3380CC4-5D6E-409C-BE32-E72D297353CC}">
              <c16:uniqueId val="{00000001-AB8E-4AAB-8AA8-1FE090394108}"/>
            </c:ext>
          </c:extLst>
        </c:ser>
        <c:dLbls>
          <c:showLegendKey val="0"/>
          <c:showVal val="0"/>
          <c:showCatName val="0"/>
          <c:showSerName val="0"/>
          <c:showPercent val="0"/>
          <c:showBubbleSize val="0"/>
        </c:dLbls>
        <c:smooth val="0"/>
        <c:axId val="2137562096"/>
        <c:axId val="2137558736"/>
      </c:lineChart>
      <c:dateAx>
        <c:axId val="2137562096"/>
        <c:scaling>
          <c:orientation val="minMax"/>
        </c:scaling>
        <c:delete val="0"/>
        <c:axPos val="b"/>
        <c:numFmt formatCode="mm/yy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58736"/>
        <c:crosses val="autoZero"/>
        <c:auto val="1"/>
        <c:lblOffset val="100"/>
        <c:baseTimeUnit val="months"/>
      </c:dateAx>
      <c:valAx>
        <c:axId val="2137558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6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421342</xdr:colOff>
      <xdr:row>43</xdr:row>
      <xdr:rowOff>37779</xdr:rowOff>
    </xdr:from>
    <xdr:to>
      <xdr:col>19</xdr:col>
      <xdr:colOff>267657</xdr:colOff>
      <xdr:row>74</xdr:row>
      <xdr:rowOff>26893</xdr:rowOff>
    </xdr:to>
    <xdr:grpSp>
      <xdr:nvGrpSpPr>
        <xdr:cNvPr id="8" name="Group 7">
          <a:extLst>
            <a:ext uri="{FF2B5EF4-FFF2-40B4-BE49-F238E27FC236}">
              <a16:creationId xmlns:a16="http://schemas.microsoft.com/office/drawing/2014/main" id="{B2312303-DC20-8901-897D-21B0069B3812}"/>
            </a:ext>
          </a:extLst>
        </xdr:cNvPr>
        <xdr:cNvGrpSpPr/>
      </xdr:nvGrpSpPr>
      <xdr:grpSpPr>
        <a:xfrm>
          <a:off x="5405718" y="7388838"/>
          <a:ext cx="8291068" cy="5269326"/>
          <a:chOff x="5486400" y="7053942"/>
          <a:chExt cx="8098971" cy="5050971"/>
        </a:xfrm>
      </xdr:grpSpPr>
      <xdr:graphicFrame macro="">
        <xdr:nvGraphicFramePr>
          <xdr:cNvPr id="2" name="Chart 1">
            <a:extLst>
              <a:ext uri="{FF2B5EF4-FFF2-40B4-BE49-F238E27FC236}">
                <a16:creationId xmlns:a16="http://schemas.microsoft.com/office/drawing/2014/main" id="{664DC072-A94D-7439-3DBA-E855F1F4E93F}"/>
              </a:ext>
            </a:extLst>
          </xdr:cNvPr>
          <xdr:cNvGraphicFramePr/>
        </xdr:nvGraphicFramePr>
        <xdr:xfrm>
          <a:off x="5486400" y="7053942"/>
          <a:ext cx="8098971" cy="5050971"/>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4" name="Straight Connector 3">
            <a:extLst>
              <a:ext uri="{FF2B5EF4-FFF2-40B4-BE49-F238E27FC236}">
                <a16:creationId xmlns:a16="http://schemas.microsoft.com/office/drawing/2014/main" id="{CADA7B3C-3723-54AB-1C71-BEED26FC272B}"/>
              </a:ext>
            </a:extLst>
          </xdr:cNvPr>
          <xdr:cNvCxnSpPr/>
        </xdr:nvCxnSpPr>
        <xdr:spPr>
          <a:xfrm>
            <a:off x="6041571" y="9670534"/>
            <a:ext cx="7347858" cy="0"/>
          </a:xfrm>
          <a:prstGeom prst="line">
            <a:avLst/>
          </a:prstGeom>
          <a:ln>
            <a:solidFill>
              <a:srgbClr val="00004D"/>
            </a:solidFill>
            <a:prstDash val="dash"/>
          </a:ln>
        </xdr:spPr>
        <xdr:style>
          <a:lnRef idx="2">
            <a:schemeClr val="accent2"/>
          </a:lnRef>
          <a:fillRef idx="0">
            <a:schemeClr val="accent2"/>
          </a:fillRef>
          <a:effectRef idx="1">
            <a:schemeClr val="accent2"/>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556260</xdr:colOff>
      <xdr:row>2</xdr:row>
      <xdr:rowOff>106680</xdr:rowOff>
    </xdr:from>
    <xdr:to>
      <xdr:col>20</xdr:col>
      <xdr:colOff>251460</xdr:colOff>
      <xdr:row>17</xdr:row>
      <xdr:rowOff>83820</xdr:rowOff>
    </xdr:to>
    <xdr:graphicFrame macro="">
      <xdr:nvGraphicFramePr>
        <xdr:cNvPr id="9" name="Chart 8">
          <a:extLst>
            <a:ext uri="{FF2B5EF4-FFF2-40B4-BE49-F238E27FC236}">
              <a16:creationId xmlns:a16="http://schemas.microsoft.com/office/drawing/2014/main" id="{6E3F7272-6F6E-46DE-93D5-6070F86B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826EC-05B6-4765-9112-E5A4EA942541}">
  <dimension ref="B2:V34"/>
  <sheetViews>
    <sheetView showGridLines="0" workbookViewId="0">
      <selection activeCell="R9" sqref="R9"/>
    </sheetView>
  </sheetViews>
  <sheetFormatPr defaultRowHeight="13.2" x14ac:dyDescent="0.25"/>
  <cols>
    <col min="1" max="1" width="2.88671875" style="1" customWidth="1"/>
    <col min="2" max="2" width="2.88671875" style="89" customWidth="1"/>
    <col min="3" max="6" width="8.88671875" style="1"/>
    <col min="7" max="7" width="22.5546875" style="1" bestFit="1" customWidth="1"/>
    <col min="8" max="10" width="8.88671875" style="1" customWidth="1"/>
    <col min="11" max="11" width="2.88671875" style="1" customWidth="1"/>
    <col min="12" max="14" width="10.77734375" style="1" customWidth="1"/>
    <col min="15" max="15" width="6" style="1" customWidth="1"/>
    <col min="16" max="16" width="9.21875" style="1" bestFit="1" customWidth="1"/>
    <col min="17" max="16384" width="8.88671875" style="1"/>
  </cols>
  <sheetData>
    <row r="2" spans="2:22" ht="13.8" x14ac:dyDescent="0.25">
      <c r="C2" s="93" t="s">
        <v>131</v>
      </c>
      <c r="D2" s="12"/>
      <c r="E2" s="12"/>
      <c r="F2" s="12"/>
      <c r="G2" s="12"/>
      <c r="H2" s="12"/>
      <c r="I2" s="12"/>
      <c r="J2" s="12"/>
      <c r="K2" s="12"/>
      <c r="L2" s="12"/>
      <c r="M2" s="12"/>
      <c r="N2" s="12"/>
    </row>
    <row r="3" spans="2:22" ht="13.8" x14ac:dyDescent="0.25">
      <c r="C3" s="8" t="s">
        <v>23</v>
      </c>
      <c r="D3" s="12"/>
      <c r="E3" s="12"/>
      <c r="F3" s="12"/>
      <c r="G3" s="12"/>
      <c r="H3" s="12"/>
      <c r="I3" s="12"/>
      <c r="J3" s="12"/>
      <c r="K3" s="12"/>
      <c r="L3" s="12"/>
      <c r="M3" s="12"/>
      <c r="N3" s="12"/>
    </row>
    <row r="4" spans="2:22" ht="13.8" x14ac:dyDescent="0.25">
      <c r="C4" s="92" t="s">
        <v>274</v>
      </c>
      <c r="D4" s="12"/>
      <c r="E4" s="12"/>
      <c r="F4" s="12"/>
      <c r="G4" s="12"/>
      <c r="H4" s="12"/>
      <c r="I4" s="12"/>
      <c r="J4" s="12"/>
      <c r="K4" s="12"/>
      <c r="L4" s="12"/>
      <c r="M4" s="12"/>
      <c r="N4" s="12"/>
    </row>
    <row r="6" spans="2:22" ht="13.8" x14ac:dyDescent="0.25">
      <c r="B6" s="89" t="s">
        <v>25</v>
      </c>
      <c r="C6" s="98" t="s">
        <v>12</v>
      </c>
      <c r="D6" s="98"/>
      <c r="E6" s="98"/>
      <c r="F6" s="98"/>
      <c r="G6" s="99"/>
      <c r="H6" s="100"/>
      <c r="I6" s="100"/>
      <c r="J6" s="100"/>
      <c r="K6" s="100"/>
      <c r="L6" s="100"/>
      <c r="M6" s="100"/>
      <c r="N6" s="100"/>
    </row>
    <row r="8" spans="2:22" x14ac:dyDescent="0.25">
      <c r="C8" s="16" t="s">
        <v>271</v>
      </c>
      <c r="G8" s="165" t="str">
        <f>C2</f>
        <v>Infosys Ltd.</v>
      </c>
      <c r="I8" s="256" t="s">
        <v>347</v>
      </c>
      <c r="J8" s="304"/>
      <c r="K8" s="304"/>
      <c r="L8" s="305"/>
    </row>
    <row r="9" spans="2:22" x14ac:dyDescent="0.25">
      <c r="C9" s="16" t="s">
        <v>272</v>
      </c>
      <c r="G9" s="165" t="s">
        <v>24</v>
      </c>
      <c r="I9" s="90"/>
      <c r="L9" s="114"/>
      <c r="U9" s="2"/>
      <c r="V9" s="2"/>
    </row>
    <row r="10" spans="2:22" x14ac:dyDescent="0.25">
      <c r="C10" s="16" t="s">
        <v>303</v>
      </c>
      <c r="G10" s="166" t="s">
        <v>387</v>
      </c>
      <c r="I10" s="90" t="s">
        <v>348</v>
      </c>
      <c r="L10" s="302">
        <v>1280</v>
      </c>
      <c r="U10" s="2"/>
      <c r="V10" s="2"/>
    </row>
    <row r="11" spans="2:22" x14ac:dyDescent="0.25">
      <c r="I11" s="90" t="s">
        <v>349</v>
      </c>
      <c r="L11" s="302">
        <f ca="1">DCF!G41</f>
        <v>1078.4773186490954</v>
      </c>
      <c r="U11" s="2"/>
      <c r="V11" s="2"/>
    </row>
    <row r="12" spans="2:22" ht="13.8" x14ac:dyDescent="0.3">
      <c r="C12" s="3" t="s">
        <v>5</v>
      </c>
      <c r="D12" s="3"/>
      <c r="E12" s="3"/>
      <c r="F12" s="3"/>
      <c r="G12" s="244" t="s">
        <v>101</v>
      </c>
      <c r="I12" s="190" t="s">
        <v>350</v>
      </c>
      <c r="J12" s="108"/>
      <c r="K12" s="108"/>
      <c r="L12" s="303">
        <f ca="1">L10/L11-1</f>
        <v>0.18685852531728031</v>
      </c>
      <c r="U12" s="2"/>
      <c r="V12" s="2"/>
    </row>
    <row r="13" spans="2:22" x14ac:dyDescent="0.25">
      <c r="C13" s="3" t="s">
        <v>132</v>
      </c>
      <c r="D13" s="3"/>
      <c r="E13" s="3"/>
      <c r="F13" s="3"/>
      <c r="G13" s="244" t="s">
        <v>128</v>
      </c>
      <c r="U13" s="2"/>
      <c r="V13" s="2"/>
    </row>
    <row r="14" spans="2:22" x14ac:dyDescent="0.25">
      <c r="U14" s="2"/>
      <c r="V14" s="2"/>
    </row>
    <row r="15" spans="2:22" x14ac:dyDescent="0.25">
      <c r="C15" s="16" t="s">
        <v>6</v>
      </c>
      <c r="G15" s="70">
        <f>Financials!I6</f>
        <v>45747</v>
      </c>
      <c r="I15" s="256" t="s">
        <v>454</v>
      </c>
      <c r="J15" s="304"/>
      <c r="K15" s="304"/>
      <c r="L15" s="359">
        <v>45747</v>
      </c>
      <c r="M15" s="360">
        <v>46112</v>
      </c>
      <c r="N15" s="361">
        <v>46477</v>
      </c>
      <c r="U15" s="2"/>
      <c r="V15" s="2"/>
    </row>
    <row r="16" spans="2:22" x14ac:dyDescent="0.25">
      <c r="C16" s="16" t="s">
        <v>7</v>
      </c>
      <c r="G16" s="70">
        <f>Financials!N6</f>
        <v>47573</v>
      </c>
      <c r="I16" s="90" t="s">
        <v>455</v>
      </c>
      <c r="L16" s="363">
        <f>'Ratio Analysis'!H9</f>
        <v>0.257134281769614</v>
      </c>
      <c r="M16" s="363">
        <f ca="1">'Ratio Analysis'!I9</f>
        <v>0.24261009746661905</v>
      </c>
      <c r="N16" s="364">
        <f ca="1">'Ratio Analysis'!J9</f>
        <v>0.23696324692416354</v>
      </c>
      <c r="U16" s="2"/>
      <c r="V16" s="2"/>
    </row>
    <row r="17" spans="2:22" x14ac:dyDescent="0.25">
      <c r="C17" s="16" t="s">
        <v>8</v>
      </c>
      <c r="G17" s="91">
        <f>YEARFRAC(G15,G16,1)</f>
        <v>5.0004564125969875</v>
      </c>
      <c r="I17" s="90" t="s">
        <v>456</v>
      </c>
      <c r="L17" s="363">
        <f>'Ratio Analysis'!H10</f>
        <v>0.22575184584909058</v>
      </c>
      <c r="M17" s="363">
        <f ca="1">'Ratio Analysis'!I10</f>
        <v>0.23365542905530659</v>
      </c>
      <c r="N17" s="364">
        <f ca="1">'Ratio Analysis'!J10</f>
        <v>0.22618369583296358</v>
      </c>
      <c r="U17" s="2"/>
      <c r="V17" s="2"/>
    </row>
    <row r="18" spans="2:22" x14ac:dyDescent="0.25">
      <c r="C18" s="16" t="s">
        <v>9</v>
      </c>
      <c r="G18" s="101">
        <v>365</v>
      </c>
      <c r="I18" s="90" t="s">
        <v>457</v>
      </c>
      <c r="L18" s="363">
        <f>'Ratio Analysis'!H12</f>
        <v>0.16057386397742962</v>
      </c>
      <c r="M18" s="363">
        <f ca="1">'Ratio Analysis'!I12</f>
        <v>0.16355880033871464</v>
      </c>
      <c r="N18" s="364">
        <f ca="1">'Ratio Analysis'!J12</f>
        <v>0.15832858708307451</v>
      </c>
      <c r="U18" s="2"/>
      <c r="V18" s="2"/>
    </row>
    <row r="19" spans="2:22" x14ac:dyDescent="0.25">
      <c r="I19" s="90" t="s">
        <v>458</v>
      </c>
      <c r="L19" s="363">
        <f>'Ratio Analysis'!H13</f>
        <v>0.2780578568235918</v>
      </c>
      <c r="M19" s="363">
        <f ca="1">'Ratio Analysis'!I13</f>
        <v>0.26471994934015292</v>
      </c>
      <c r="N19" s="364">
        <f ca="1">'Ratio Analysis'!J13</f>
        <v>0.27490185384943128</v>
      </c>
    </row>
    <row r="20" spans="2:22" ht="14.4" customHeight="1" x14ac:dyDescent="0.25">
      <c r="B20" s="89" t="s">
        <v>25</v>
      </c>
      <c r="C20" s="372" t="s">
        <v>251</v>
      </c>
      <c r="D20" s="373"/>
      <c r="E20" s="374"/>
      <c r="I20" s="90" t="s">
        <v>459</v>
      </c>
      <c r="L20" s="363">
        <f>'Ratio Analysis'!H15</f>
        <v>0.35461514525755988</v>
      </c>
      <c r="M20" s="363">
        <f ca="1">'Ratio Analysis'!I15</f>
        <v>0.34452035583273388</v>
      </c>
      <c r="N20" s="364">
        <f ca="1">'Ratio Analysis'!J15</f>
        <v>0.3575247379436704</v>
      </c>
    </row>
    <row r="21" spans="2:22" x14ac:dyDescent="0.25">
      <c r="C21" s="300" t="s">
        <v>270</v>
      </c>
      <c r="D21" s="369" t="s">
        <v>252</v>
      </c>
      <c r="E21" s="301"/>
      <c r="I21" s="90" t="s">
        <v>462</v>
      </c>
      <c r="L21" s="363">
        <f>'Ratio Analysis'!H16</f>
        <v>0.6789848344165893</v>
      </c>
      <c r="M21" s="363">
        <f ca="1">'Ratio Analysis'!I16</f>
        <v>0.69643090184019452</v>
      </c>
      <c r="N21" s="364">
        <f ca="1">'Ratio Analysis'!J16</f>
        <v>0.67620645666694101</v>
      </c>
    </row>
    <row r="22" spans="2:22" x14ac:dyDescent="0.25">
      <c r="C22" s="140">
        <v>1</v>
      </c>
      <c r="D22" s="370" t="s">
        <v>23</v>
      </c>
      <c r="E22" s="114"/>
      <c r="I22" s="90" t="s">
        <v>461</v>
      </c>
      <c r="L22" s="362">
        <f>'Ratio Analysis'!H27</f>
        <v>1.1187820258826215</v>
      </c>
      <c r="M22" s="362">
        <f ca="1">'Ratio Analysis'!I27</f>
        <v>1.0666472866357286</v>
      </c>
      <c r="N22" s="365">
        <f ca="1">'Ratio Analysis'!J27</f>
        <v>1.1224261547895091</v>
      </c>
    </row>
    <row r="23" spans="2:22" x14ac:dyDescent="0.25">
      <c r="C23" s="140">
        <v>2</v>
      </c>
      <c r="D23" s="370" t="s">
        <v>258</v>
      </c>
      <c r="E23" s="114"/>
      <c r="I23" s="190" t="s">
        <v>460</v>
      </c>
      <c r="J23" s="108"/>
      <c r="K23" s="108"/>
      <c r="L23" s="366">
        <f>'Ratio Analysis'!H37</f>
        <v>8.5517083666829516E-2</v>
      </c>
      <c r="M23" s="366">
        <f ca="1">'Ratio Analysis'!I37</f>
        <v>7.6734620397920783E-2</v>
      </c>
      <c r="N23" s="367">
        <f ca="1">'Ratio Analysis'!J37</f>
        <v>7.7851049039351611E-2</v>
      </c>
    </row>
    <row r="24" spans="2:22" x14ac:dyDescent="0.25">
      <c r="C24" s="140">
        <v>3</v>
      </c>
      <c r="D24" s="370" t="s">
        <v>342</v>
      </c>
      <c r="E24" s="114"/>
    </row>
    <row r="25" spans="2:22" x14ac:dyDescent="0.25">
      <c r="C25" s="140">
        <v>4</v>
      </c>
      <c r="D25" s="370" t="s">
        <v>91</v>
      </c>
      <c r="E25" s="114"/>
    </row>
    <row r="26" spans="2:22" x14ac:dyDescent="0.25">
      <c r="C26" s="140">
        <v>5</v>
      </c>
      <c r="D26" s="370" t="s">
        <v>10</v>
      </c>
      <c r="E26" s="114"/>
    </row>
    <row r="27" spans="2:22" x14ac:dyDescent="0.25">
      <c r="C27" s="140">
        <v>6</v>
      </c>
      <c r="D27" s="370" t="s">
        <v>147</v>
      </c>
      <c r="E27" s="114"/>
    </row>
    <row r="28" spans="2:22" x14ac:dyDescent="0.25">
      <c r="C28" s="140">
        <v>7</v>
      </c>
      <c r="D28" s="370" t="s">
        <v>268</v>
      </c>
      <c r="E28" s="114"/>
    </row>
    <row r="29" spans="2:22" x14ac:dyDescent="0.25">
      <c r="C29" s="140">
        <v>8</v>
      </c>
      <c r="D29" s="370" t="s">
        <v>216</v>
      </c>
      <c r="E29" s="114"/>
    </row>
    <row r="30" spans="2:22" x14ac:dyDescent="0.25">
      <c r="C30" s="140">
        <v>9</v>
      </c>
      <c r="D30" s="370" t="s">
        <v>217</v>
      </c>
      <c r="E30" s="114"/>
    </row>
    <row r="31" spans="2:22" x14ac:dyDescent="0.25">
      <c r="C31" s="140">
        <v>10</v>
      </c>
      <c r="D31" s="370" t="s">
        <v>388</v>
      </c>
      <c r="E31" s="114"/>
    </row>
    <row r="32" spans="2:22" x14ac:dyDescent="0.25">
      <c r="C32" s="140">
        <v>11</v>
      </c>
      <c r="D32" s="370" t="s">
        <v>253</v>
      </c>
      <c r="E32" s="114"/>
    </row>
    <row r="33" spans="2:5" x14ac:dyDescent="0.25">
      <c r="C33" s="368">
        <v>12</v>
      </c>
      <c r="D33" s="371" t="s">
        <v>269</v>
      </c>
      <c r="E33" s="116"/>
    </row>
    <row r="34" spans="2:5" x14ac:dyDescent="0.25">
      <c r="B34" s="1"/>
    </row>
  </sheetData>
  <mergeCells count="1">
    <mergeCell ref="C20:E20"/>
  </mergeCells>
  <dataValidations count="1">
    <dataValidation type="list" allowBlank="1" showInputMessage="1" showErrorMessage="1" sqref="G12" xr:uid="{D8C8D7D8-48EB-49CE-BD5A-11487FC86F41}">
      <formula1>"Best,Street,Worst"</formula1>
    </dataValidation>
  </dataValidations>
  <hyperlinks>
    <hyperlink ref="D22" location="Dashboard!A1" display="Dashboard" xr:uid="{913FB0F0-1BD1-452C-B00C-7C87250FB063}"/>
    <hyperlink ref="D23" location="Equity_report!A1" display="Equity Report" xr:uid="{1BA2A28C-F8FE-4DF0-8BAA-D18C3B641278}"/>
    <hyperlink ref="D24" location="Financials!A1" display="Financials" xr:uid="{2AEC083B-1D74-4327-8F02-C9038BC07003}"/>
    <hyperlink ref="D25" location="Scenario!A1" display="Scenario" xr:uid="{C2500127-9FF5-4552-B4B7-65800C811040}"/>
    <hyperlink ref="D26" location="Assumptions!A1" display="Assumptions" xr:uid="{C5770B18-2551-4E09-97B5-0CBBD8E89F57}"/>
    <hyperlink ref="D27" location="Schedule!A1" display="Schedule" xr:uid="{5C063860-40C1-40AF-91E7-14AB2EB8FE15}"/>
    <hyperlink ref="D28" location="DCF!A1" display="DCF" xr:uid="{E2B91291-270B-4809-A055-7D6365CFB790}"/>
    <hyperlink ref="D29" location="WACC!A1" display="WACC" xr:uid="{7F3AEF7C-DCF5-41D0-B8D6-A4E2E583D24B}"/>
    <hyperlink ref="D30" location="Beta!A1" display="Beta" xr:uid="{6FA32497-F9F2-46A6-A034-9E4ED80A31A7}"/>
    <hyperlink ref="D31" location="Comps!A1" display="Comps" xr:uid="{D993EB23-ED6F-4272-A352-DE746609B733}"/>
    <hyperlink ref="D32" location="'Ratio Analysis'!A1" display="Ratio Analysis" xr:uid="{C950715D-BC8D-4308-B408-612F8E00B86D}"/>
    <hyperlink ref="D33" location="Analysis!A1" display="Analysis" xr:uid="{F7579754-49FC-4D34-8773-21F2B6CF038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promptTitle="AI adoption by Infosys" xr:uid="{C5F419B0-181C-42AC-AB85-237B0D090E56}">
          <x14:formula1>
            <xm:f>Scenario!$B$55:$B$57</xm:f>
          </x14:formula1>
          <xm:sqref>G13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1017-92C3-47EE-BC03-2E86C95B2A19}">
  <dimension ref="A2:P59"/>
  <sheetViews>
    <sheetView showGridLines="0" topLeftCell="A37" zoomScale="85" zoomScaleNormal="85" workbookViewId="0">
      <selection activeCell="F62" sqref="F62"/>
    </sheetView>
  </sheetViews>
  <sheetFormatPr defaultRowHeight="13.2" x14ac:dyDescent="0.25"/>
  <cols>
    <col min="1" max="1" width="2.88671875" style="16" customWidth="1"/>
    <col min="2" max="2" width="2.88671875" style="1" customWidth="1"/>
    <col min="3" max="3" width="10.77734375" style="1" customWidth="1"/>
    <col min="4" max="4" width="13.21875" style="1" bestFit="1" customWidth="1"/>
    <col min="5" max="5" width="14.88671875" style="1" bestFit="1" customWidth="1"/>
    <col min="6" max="6" width="13.21875" style="1" bestFit="1" customWidth="1"/>
    <col min="7" max="7" width="14.88671875" style="1" bestFit="1" customWidth="1"/>
    <col min="8" max="16" width="10.77734375" style="1" customWidth="1"/>
    <col min="17" max="16384" width="8.88671875" style="1"/>
  </cols>
  <sheetData>
    <row r="2" spans="2:16" ht="13.8" x14ac:dyDescent="0.25">
      <c r="C2" s="107" t="str">
        <f>Dashboard!C2</f>
        <v>Infosys Ltd.</v>
      </c>
      <c r="D2" s="7"/>
      <c r="E2" s="7"/>
      <c r="F2" s="7"/>
      <c r="G2" s="7"/>
      <c r="H2" s="7"/>
      <c r="I2" s="7"/>
      <c r="J2" s="7"/>
      <c r="K2" s="7"/>
      <c r="L2" s="7"/>
      <c r="M2" s="7"/>
      <c r="N2" s="7"/>
      <c r="O2" s="7"/>
      <c r="P2" s="7"/>
    </row>
    <row r="3" spans="2:16" ht="13.8" x14ac:dyDescent="0.25">
      <c r="C3" s="8" t="s">
        <v>258</v>
      </c>
      <c r="D3" s="7"/>
      <c r="E3" s="7"/>
      <c r="F3" s="7"/>
      <c r="G3" s="7"/>
      <c r="H3" s="7"/>
      <c r="I3" s="7"/>
      <c r="J3" s="7"/>
      <c r="K3" s="7"/>
      <c r="L3" s="7"/>
      <c r="M3" s="7"/>
      <c r="N3" s="7"/>
      <c r="O3" s="7"/>
      <c r="P3" s="7"/>
    </row>
    <row r="4" spans="2:16" ht="13.8" x14ac:dyDescent="0.25">
      <c r="C4" s="95" t="str">
        <f>Dashboard!C4</f>
        <v>(In ₹ Crore, except equity share and per equity share data)</v>
      </c>
      <c r="D4" s="7"/>
      <c r="E4" s="7"/>
      <c r="F4" s="7"/>
      <c r="G4" s="7"/>
      <c r="H4" s="7"/>
      <c r="I4" s="7"/>
      <c r="J4" s="7"/>
      <c r="K4" s="7"/>
      <c r="L4" s="7"/>
      <c r="M4" s="7"/>
      <c r="N4" s="7"/>
      <c r="O4" s="7"/>
      <c r="P4" s="7"/>
    </row>
    <row r="5" spans="2:16" x14ac:dyDescent="0.25">
      <c r="C5" s="1" t="s">
        <v>364</v>
      </c>
    </row>
    <row r="7" spans="2:16" x14ac:dyDescent="0.25">
      <c r="B7" s="89" t="s">
        <v>25</v>
      </c>
      <c r="C7" s="109" t="s">
        <v>363</v>
      </c>
      <c r="D7" s="108"/>
      <c r="E7" s="108"/>
      <c r="F7" s="108"/>
      <c r="G7" s="108"/>
    </row>
    <row r="8" spans="2:16" x14ac:dyDescent="0.25">
      <c r="B8" s="89"/>
      <c r="C8" s="1" t="s">
        <v>365</v>
      </c>
    </row>
    <row r="9" spans="2:16" x14ac:dyDescent="0.25">
      <c r="B9" s="89"/>
      <c r="C9" s="1" t="s">
        <v>366</v>
      </c>
    </row>
    <row r="10" spans="2:16" x14ac:dyDescent="0.25">
      <c r="B10" s="89"/>
    </row>
    <row r="11" spans="2:16" x14ac:dyDescent="0.25">
      <c r="B11" s="89"/>
    </row>
    <row r="12" spans="2:16" x14ac:dyDescent="0.25">
      <c r="B12" s="89" t="s">
        <v>25</v>
      </c>
      <c r="C12" s="109" t="s">
        <v>368</v>
      </c>
      <c r="D12" s="108"/>
      <c r="E12" s="108"/>
      <c r="F12" s="108"/>
      <c r="G12" s="108"/>
    </row>
    <row r="13" spans="2:16" x14ac:dyDescent="0.25">
      <c r="B13" s="89"/>
      <c r="C13" s="1" t="s">
        <v>417</v>
      </c>
    </row>
    <row r="14" spans="2:16" x14ac:dyDescent="0.25">
      <c r="B14" s="89"/>
      <c r="C14" s="1" t="s">
        <v>418</v>
      </c>
    </row>
    <row r="15" spans="2:16" x14ac:dyDescent="0.25">
      <c r="B15" s="89"/>
    </row>
    <row r="16" spans="2:16" x14ac:dyDescent="0.25">
      <c r="B16" s="89" t="s">
        <v>25</v>
      </c>
      <c r="C16" s="109" t="s">
        <v>419</v>
      </c>
      <c r="D16" s="108"/>
      <c r="E16" s="108"/>
      <c r="F16" s="108"/>
      <c r="G16" s="108"/>
    </row>
    <row r="17" spans="2:7" x14ac:dyDescent="0.25">
      <c r="B17" s="89"/>
      <c r="C17" s="1" t="s">
        <v>420</v>
      </c>
    </row>
    <row r="18" spans="2:7" x14ac:dyDescent="0.25">
      <c r="B18" s="89"/>
      <c r="C18" s="1" t="s">
        <v>421</v>
      </c>
    </row>
    <row r="19" spans="2:7" x14ac:dyDescent="0.25">
      <c r="B19" s="89"/>
      <c r="C19" s="1" t="s">
        <v>422</v>
      </c>
    </row>
    <row r="20" spans="2:7" x14ac:dyDescent="0.25">
      <c r="B20" s="89"/>
      <c r="C20" s="1" t="s">
        <v>423</v>
      </c>
    </row>
    <row r="21" spans="2:7" x14ac:dyDescent="0.25">
      <c r="B21" s="89"/>
      <c r="C21" s="1" t="s">
        <v>424</v>
      </c>
    </row>
    <row r="22" spans="2:7" x14ac:dyDescent="0.25">
      <c r="B22" s="89"/>
      <c r="C22" s="1" t="s">
        <v>425</v>
      </c>
    </row>
    <row r="23" spans="2:7" x14ac:dyDescent="0.25">
      <c r="B23" s="89"/>
    </row>
    <row r="24" spans="2:7" x14ac:dyDescent="0.25">
      <c r="B24" s="89" t="s">
        <v>25</v>
      </c>
      <c r="C24" s="109" t="s">
        <v>426</v>
      </c>
      <c r="D24" s="108"/>
      <c r="E24" s="108"/>
      <c r="F24" s="108"/>
      <c r="G24" s="108"/>
    </row>
    <row r="25" spans="2:7" x14ac:dyDescent="0.25">
      <c r="B25" s="89"/>
      <c r="C25" s="1" t="s">
        <v>427</v>
      </c>
    </row>
    <row r="26" spans="2:7" x14ac:dyDescent="0.25">
      <c r="B26" s="89"/>
      <c r="C26" s="1" t="s">
        <v>428</v>
      </c>
    </row>
    <row r="27" spans="2:7" x14ac:dyDescent="0.25">
      <c r="B27" s="89"/>
    </row>
    <row r="28" spans="2:7" x14ac:dyDescent="0.25">
      <c r="B28" s="89"/>
      <c r="C28" s="1" t="s">
        <v>441</v>
      </c>
    </row>
    <row r="29" spans="2:7" x14ac:dyDescent="0.25">
      <c r="B29" s="89"/>
      <c r="C29" s="1" t="s">
        <v>429</v>
      </c>
    </row>
    <row r="30" spans="2:7" x14ac:dyDescent="0.25">
      <c r="B30" s="89"/>
      <c r="C30" s="1" t="s">
        <v>430</v>
      </c>
    </row>
    <row r="31" spans="2:7" x14ac:dyDescent="0.25">
      <c r="B31" s="89"/>
      <c r="C31" s="1" t="s">
        <v>431</v>
      </c>
    </row>
    <row r="32" spans="2:7" x14ac:dyDescent="0.25">
      <c r="B32" s="89"/>
      <c r="C32" s="1" t="s">
        <v>432</v>
      </c>
    </row>
    <row r="33" spans="2:7" x14ac:dyDescent="0.25">
      <c r="B33" s="89"/>
    </row>
    <row r="34" spans="2:7" x14ac:dyDescent="0.25">
      <c r="B34" s="89"/>
      <c r="C34" s="1" t="s">
        <v>433</v>
      </c>
    </row>
    <row r="35" spans="2:7" x14ac:dyDescent="0.25">
      <c r="B35" s="89"/>
      <c r="C35" s="1" t="s">
        <v>434</v>
      </c>
    </row>
    <row r="36" spans="2:7" x14ac:dyDescent="0.25">
      <c r="B36" s="89"/>
      <c r="C36" s="1" t="s">
        <v>435</v>
      </c>
    </row>
    <row r="37" spans="2:7" x14ac:dyDescent="0.25">
      <c r="B37" s="89"/>
      <c r="C37" s="1" t="s">
        <v>436</v>
      </c>
    </row>
    <row r="38" spans="2:7" x14ac:dyDescent="0.25">
      <c r="B38" s="89"/>
    </row>
    <row r="39" spans="2:7" x14ac:dyDescent="0.25">
      <c r="B39" s="89" t="s">
        <v>25</v>
      </c>
      <c r="C39" s="109" t="s">
        <v>437</v>
      </c>
      <c r="D39" s="108"/>
      <c r="E39" s="108"/>
      <c r="F39" s="108"/>
      <c r="G39" s="108"/>
    </row>
    <row r="40" spans="2:7" x14ac:dyDescent="0.25">
      <c r="C40" s="1" t="s">
        <v>438</v>
      </c>
    </row>
    <row r="41" spans="2:7" x14ac:dyDescent="0.25">
      <c r="C41" s="1" t="s">
        <v>439</v>
      </c>
    </row>
    <row r="42" spans="2:7" x14ac:dyDescent="0.25">
      <c r="C42" s="1" t="s">
        <v>440</v>
      </c>
    </row>
    <row r="45" spans="2:7" x14ac:dyDescent="0.25">
      <c r="B45" s="89" t="s">
        <v>25</v>
      </c>
      <c r="C45" s="109" t="s">
        <v>448</v>
      </c>
      <c r="D45" s="108"/>
      <c r="E45" s="108"/>
      <c r="F45" s="108"/>
      <c r="G45" s="108"/>
    </row>
    <row r="46" spans="2:7" x14ac:dyDescent="0.25">
      <c r="C46" s="333" t="s">
        <v>443</v>
      </c>
      <c r="D46" s="304"/>
      <c r="E46" s="334" t="s">
        <v>414</v>
      </c>
      <c r="F46" s="335" t="s">
        <v>412</v>
      </c>
      <c r="G46" s="336" t="s">
        <v>413</v>
      </c>
    </row>
    <row r="47" spans="2:7" x14ac:dyDescent="0.25">
      <c r="C47" s="183" t="s">
        <v>452</v>
      </c>
      <c r="E47" s="90"/>
      <c r="G47" s="114"/>
    </row>
    <row r="48" spans="2:7" x14ac:dyDescent="0.25">
      <c r="C48" s="90" t="s">
        <v>451</v>
      </c>
      <c r="E48" s="234">
        <f>Comps!E24</f>
        <v>675.25</v>
      </c>
      <c r="F48" s="332">
        <f>Comps!E22</f>
        <v>1401.9</v>
      </c>
      <c r="G48" s="235">
        <f>Comps!E23</f>
        <v>2409</v>
      </c>
    </row>
    <row r="49" spans="3:7" x14ac:dyDescent="0.25">
      <c r="C49" s="90" t="s">
        <v>393</v>
      </c>
      <c r="E49" s="234">
        <f t="array" ref="E49:E52">TRANSPOSE(Comps!K37:N37)</f>
        <v>253.05749828869844</v>
      </c>
      <c r="F49" s="332">
        <f t="array" ref="F49:F52">TRANSPOSE(Comps!K35:N35)</f>
        <v>701.11369078311509</v>
      </c>
      <c r="G49" s="235">
        <f t="array" ref="G49:G52">TRANSPOSE(Comps!K36:N36)</f>
        <v>287.94447262614074</v>
      </c>
    </row>
    <row r="50" spans="3:7" x14ac:dyDescent="0.25">
      <c r="C50" s="90" t="s">
        <v>394</v>
      </c>
      <c r="E50" s="234">
        <v>264.64866990210362</v>
      </c>
      <c r="F50" s="332">
        <v>843.36798583333177</v>
      </c>
      <c r="G50" s="235">
        <v>413.15751780210002</v>
      </c>
    </row>
    <row r="51" spans="3:7" x14ac:dyDescent="0.25">
      <c r="C51" s="90" t="s">
        <v>446</v>
      </c>
      <c r="E51" s="234">
        <v>925.45346745831114</v>
      </c>
      <c r="F51" s="332">
        <v>793.69399073543275</v>
      </c>
      <c r="G51" s="235">
        <v>701.01714750584642</v>
      </c>
    </row>
    <row r="52" spans="3:7" x14ac:dyDescent="0.25">
      <c r="C52" s="90" t="s">
        <v>396</v>
      </c>
      <c r="E52" s="234">
        <v>778.04435342701345</v>
      </c>
      <c r="F52" s="332">
        <v>595.61519610352616</v>
      </c>
      <c r="G52" s="235">
        <v>468.8926624765777</v>
      </c>
    </row>
    <row r="53" spans="3:7" x14ac:dyDescent="0.25">
      <c r="C53" s="183"/>
      <c r="E53" s="90"/>
      <c r="G53" s="114"/>
    </row>
    <row r="54" spans="3:7" x14ac:dyDescent="0.25">
      <c r="C54" s="183" t="s">
        <v>449</v>
      </c>
      <c r="E54" s="90"/>
      <c r="G54" s="114"/>
    </row>
    <row r="55" spans="3:7" x14ac:dyDescent="0.25">
      <c r="C55" s="90" t="s">
        <v>101</v>
      </c>
      <c r="E55" s="234">
        <f>DCF!D86</f>
        <v>969.32715299285269</v>
      </c>
      <c r="F55" s="332">
        <f>DCF!D84</f>
        <v>1115.2321337966416</v>
      </c>
      <c r="G55" s="235">
        <f>DCF!D85</f>
        <v>1333.3568491944195</v>
      </c>
    </row>
    <row r="56" spans="3:7" x14ac:dyDescent="0.25">
      <c r="C56" s="90" t="s">
        <v>351</v>
      </c>
      <c r="E56" s="234">
        <f>DCF!L86</f>
        <v>1113.1404055189967</v>
      </c>
      <c r="F56" s="332">
        <f>DCF!L84</f>
        <v>1286.3382639244321</v>
      </c>
      <c r="G56" s="235">
        <f>DCF!L85</f>
        <v>1540.9985570527674</v>
      </c>
    </row>
    <row r="57" spans="3:7" x14ac:dyDescent="0.25">
      <c r="C57" s="90" t="s">
        <v>352</v>
      </c>
      <c r="E57" s="234">
        <f>DCF!T86</f>
        <v>832.70446568135276</v>
      </c>
      <c r="F57" s="332">
        <f>DCF!T84</f>
        <v>946.97005311516727</v>
      </c>
      <c r="G57" s="235">
        <f>DCF!T85</f>
        <v>1122.7221642313857</v>
      </c>
    </row>
    <row r="58" spans="3:7" x14ac:dyDescent="0.25">
      <c r="C58" s="183"/>
      <c r="E58" s="90"/>
      <c r="G58" s="114"/>
    </row>
    <row r="59" spans="3:7" x14ac:dyDescent="0.25">
      <c r="C59" s="133" t="s">
        <v>450</v>
      </c>
      <c r="D59" s="108"/>
      <c r="E59" s="229">
        <f>Beta!P12</f>
        <v>1472.7749999999999</v>
      </c>
      <c r="F59" s="233">
        <f>Beta!P10</f>
        <v>1534.55</v>
      </c>
      <c r="G59" s="231">
        <f>Beta!P11</f>
        <v>1594.0125</v>
      </c>
    </row>
  </sheetData>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CFEF-B378-4225-B4E0-924531738075}">
  <sheetPr>
    <tabColor rgb="FF00004D"/>
  </sheetPr>
  <dimension ref="A1"/>
  <sheetViews>
    <sheetView showGridLines="0"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86AC-83E4-4BFE-86DE-94869AE10D6C}">
  <dimension ref="A1:T139"/>
  <sheetViews>
    <sheetView showGridLines="0" zoomScale="85" zoomScaleNormal="85" workbookViewId="0">
      <selection activeCell="F8" sqref="F8"/>
    </sheetView>
  </sheetViews>
  <sheetFormatPr defaultRowHeight="13.2" outlineLevelRow="1" x14ac:dyDescent="0.25"/>
  <cols>
    <col min="1" max="1" width="2.88671875" style="1" customWidth="1"/>
    <col min="2" max="2" width="12.21875" style="1" customWidth="1"/>
    <col min="3" max="4" width="8.88671875" style="1"/>
    <col min="5" max="5" width="9.77734375" style="1" customWidth="1"/>
    <col min="6" max="14" width="12.109375" style="1" customWidth="1"/>
    <col min="15" max="16" width="12" style="1" customWidth="1"/>
    <col min="17" max="19" width="16" style="1" customWidth="1"/>
    <col min="20" max="16384" width="8.88671875" style="1"/>
  </cols>
  <sheetData>
    <row r="1" spans="1:20" s="5" customFormat="1" ht="13.8" x14ac:dyDescent="0.25"/>
    <row r="2" spans="1:20" s="5" customFormat="1" ht="15.6" x14ac:dyDescent="0.3">
      <c r="A2" s="4"/>
      <c r="B2" s="6" t="str">
        <f>Dashboard!C2</f>
        <v>Infosys Ltd.</v>
      </c>
      <c r="C2" s="7"/>
      <c r="D2" s="7"/>
      <c r="E2" s="7"/>
      <c r="F2" s="7"/>
      <c r="G2" s="7"/>
      <c r="H2" s="7"/>
      <c r="I2" s="7"/>
      <c r="J2" s="7"/>
      <c r="K2" s="7"/>
      <c r="L2" s="7"/>
      <c r="M2" s="7"/>
      <c r="N2" s="7"/>
      <c r="O2" s="7"/>
      <c r="P2" s="7"/>
      <c r="Q2" s="7"/>
      <c r="R2" s="7"/>
      <c r="S2" s="7"/>
    </row>
    <row r="3" spans="1:20" s="5" customFormat="1" ht="13.8" x14ac:dyDescent="0.25">
      <c r="B3" s="8" t="s">
        <v>90</v>
      </c>
      <c r="C3" s="7"/>
      <c r="D3" s="7"/>
      <c r="E3" s="7"/>
      <c r="F3" s="7"/>
      <c r="G3" s="7"/>
      <c r="H3" s="7"/>
      <c r="I3" s="7"/>
      <c r="J3" s="7"/>
      <c r="K3" s="7"/>
      <c r="L3" s="7"/>
      <c r="M3" s="7"/>
      <c r="N3" s="7"/>
      <c r="O3" s="7"/>
      <c r="P3" s="7"/>
      <c r="Q3" s="7"/>
      <c r="R3" s="7"/>
      <c r="S3" s="7"/>
    </row>
    <row r="4" spans="1:20" s="5" customFormat="1" ht="13.8" x14ac:dyDescent="0.25">
      <c r="B4" s="95" t="str">
        <f>Dashboard!C4</f>
        <v>(In ₹ Crore, except equity share and per equity share data)</v>
      </c>
      <c r="C4" s="7"/>
      <c r="D4" s="7"/>
      <c r="E4" s="7"/>
      <c r="F4" s="7"/>
      <c r="G4" s="7"/>
      <c r="H4" s="7"/>
      <c r="I4" s="7"/>
      <c r="J4" s="7"/>
      <c r="K4" s="7"/>
      <c r="L4" s="7"/>
      <c r="M4" s="7"/>
      <c r="N4" s="7"/>
      <c r="O4" s="7"/>
      <c r="P4" s="7"/>
      <c r="Q4" s="7"/>
      <c r="R4" s="7"/>
      <c r="S4" s="7"/>
    </row>
    <row r="5" spans="1:20" s="5" customFormat="1" ht="13.8" x14ac:dyDescent="0.25">
      <c r="B5" s="8" t="s">
        <v>1</v>
      </c>
      <c r="C5" s="10"/>
      <c r="D5" s="10"/>
      <c r="E5" s="10"/>
      <c r="F5" s="375" t="s">
        <v>68</v>
      </c>
      <c r="G5" s="376"/>
      <c r="H5" s="376"/>
      <c r="I5" s="376"/>
      <c r="J5" s="375" t="s">
        <v>2</v>
      </c>
      <c r="K5" s="376"/>
      <c r="L5" s="376"/>
      <c r="M5" s="376"/>
      <c r="N5" s="376"/>
      <c r="O5" s="375" t="s">
        <v>22</v>
      </c>
      <c r="P5" s="377"/>
      <c r="Q5" s="378" t="s">
        <v>11</v>
      </c>
      <c r="R5" s="379"/>
      <c r="S5" s="379"/>
    </row>
    <row r="6" spans="1:20" s="5" customFormat="1" ht="13.8" x14ac:dyDescent="0.25">
      <c r="B6" s="8" t="s">
        <v>304</v>
      </c>
      <c r="C6" s="10"/>
      <c r="D6" s="10"/>
      <c r="E6" s="10"/>
      <c r="F6" s="18">
        <v>44651</v>
      </c>
      <c r="G6" s="18">
        <f>EDATE(F6,12)</f>
        <v>45016</v>
      </c>
      <c r="H6" s="18">
        <f t="shared" ref="H6:N6" si="0">EDATE(G6,12)</f>
        <v>45382</v>
      </c>
      <c r="I6" s="11">
        <f t="shared" si="0"/>
        <v>45747</v>
      </c>
      <c r="J6" s="20">
        <f t="shared" si="0"/>
        <v>46112</v>
      </c>
      <c r="K6" s="20">
        <f t="shared" si="0"/>
        <v>46477</v>
      </c>
      <c r="L6" s="15">
        <f t="shared" si="0"/>
        <v>46843</v>
      </c>
      <c r="M6" s="20">
        <f t="shared" si="0"/>
        <v>47208</v>
      </c>
      <c r="N6" s="15">
        <f t="shared" si="0"/>
        <v>47573</v>
      </c>
      <c r="O6" s="96" t="s">
        <v>104</v>
      </c>
      <c r="P6" s="97" t="s">
        <v>103</v>
      </c>
      <c r="Q6" s="380"/>
      <c r="R6" s="381"/>
      <c r="S6" s="381"/>
    </row>
    <row r="7" spans="1:20" x14ac:dyDescent="0.25">
      <c r="G7" s="19"/>
      <c r="H7" s="19"/>
      <c r="L7" s="21"/>
    </row>
    <row r="8" spans="1:20" ht="14.4" x14ac:dyDescent="0.3">
      <c r="B8" s="43" t="s">
        <v>214</v>
      </c>
    </row>
    <row r="9" spans="1:20" ht="14.4" x14ac:dyDescent="0.3">
      <c r="B9" s="43"/>
      <c r="C9" s="46"/>
      <c r="E9" s="46"/>
      <c r="F9" s="46"/>
    </row>
    <row r="10" spans="1:20" x14ac:dyDescent="0.25">
      <c r="B10" s="16" t="s">
        <v>13</v>
      </c>
      <c r="C10" s="1" t="s">
        <v>17</v>
      </c>
      <c r="E10" s="16" t="s">
        <v>19</v>
      </c>
      <c r="F10" s="1" t="s">
        <v>47</v>
      </c>
      <c r="H10" s="16" t="s">
        <v>15</v>
      </c>
      <c r="I10" s="1" t="s">
        <v>20</v>
      </c>
    </row>
    <row r="11" spans="1:20" x14ac:dyDescent="0.25">
      <c r="B11" s="16" t="s">
        <v>14</v>
      </c>
      <c r="C11" s="1" t="s">
        <v>18</v>
      </c>
      <c r="E11" s="16" t="s">
        <v>4</v>
      </c>
      <c r="F11" s="1" t="s">
        <v>273</v>
      </c>
      <c r="H11" s="16" t="s">
        <v>16</v>
      </c>
      <c r="I11" s="1" t="s">
        <v>21</v>
      </c>
    </row>
    <row r="13" spans="1:20" s="5" customFormat="1" ht="13.8" x14ac:dyDescent="0.25">
      <c r="A13" s="5" t="s">
        <v>25</v>
      </c>
      <c r="B13" s="134" t="s">
        <v>88</v>
      </c>
      <c r="C13" s="135"/>
      <c r="D13" s="135"/>
      <c r="E13" s="135"/>
      <c r="F13" s="136">
        <v>44651</v>
      </c>
      <c r="G13" s="137">
        <f>EDATE(F13,12)</f>
        <v>45016</v>
      </c>
      <c r="H13" s="137">
        <f t="shared" ref="H13" si="1">EDATE(G13,12)</f>
        <v>45382</v>
      </c>
      <c r="I13" s="137">
        <f t="shared" ref="I13" si="2">EDATE(H13,12)</f>
        <v>45747</v>
      </c>
      <c r="J13" s="138">
        <f t="shared" ref="J13" si="3">EDATE(I13,12)</f>
        <v>46112</v>
      </c>
      <c r="K13" s="138">
        <f t="shared" ref="K13" si="4">EDATE(J13,12)</f>
        <v>46477</v>
      </c>
      <c r="L13" s="138">
        <f t="shared" ref="L13" si="5">EDATE(K13,12)</f>
        <v>46843</v>
      </c>
      <c r="M13" s="138">
        <f t="shared" ref="M13" si="6">EDATE(L13,12)</f>
        <v>47208</v>
      </c>
      <c r="N13" s="139">
        <f t="shared" ref="N13" si="7">EDATE(M13,12)</f>
        <v>47573</v>
      </c>
      <c r="O13" s="1"/>
      <c r="P13" s="1"/>
      <c r="Q13" s="1"/>
      <c r="R13" s="1"/>
      <c r="S13" s="1"/>
      <c r="T13" s="1"/>
    </row>
    <row r="14" spans="1:20" x14ac:dyDescent="0.25">
      <c r="B14" s="90"/>
      <c r="F14" s="140"/>
      <c r="G14" s="2"/>
      <c r="H14" s="2"/>
      <c r="I14" s="2"/>
      <c r="J14" s="2"/>
      <c r="K14" s="2"/>
      <c r="L14" s="2"/>
      <c r="M14" s="2"/>
      <c r="N14" s="141"/>
    </row>
    <row r="15" spans="1:20" hidden="1" outlineLevel="1" x14ac:dyDescent="0.25">
      <c r="B15" s="113" t="s">
        <v>26</v>
      </c>
      <c r="F15" s="142">
        <v>121641</v>
      </c>
      <c r="G15" s="143">
        <v>146767</v>
      </c>
      <c r="H15" s="143">
        <v>153670</v>
      </c>
      <c r="I15" s="143">
        <v>162990</v>
      </c>
      <c r="J15" s="143">
        <f ca="1">Scenario!J24</f>
        <v>169706.34600000002</v>
      </c>
      <c r="K15" s="143">
        <f ca="1">Scenario!K24</f>
        <v>179444.66064000002</v>
      </c>
      <c r="L15" s="143">
        <f ca="1">Scenario!L24</f>
        <v>190694.57180680006</v>
      </c>
      <c r="M15" s="143">
        <f ca="1">Scenario!M24</f>
        <v>203696.62958995806</v>
      </c>
      <c r="N15" s="144">
        <f ca="1">Scenario!N24</f>
        <v>218358.89164426457</v>
      </c>
      <c r="O15" s="26">
        <f t="shared" ref="O15" si="8">_xlfn.RRI(4,F15,I15)</f>
        <v>7.5895880119244863E-2</v>
      </c>
      <c r="P15" s="26">
        <f ca="1">_xlfn.RRI(5,J15,N15)</f>
        <v>5.1706504031229672E-2</v>
      </c>
    </row>
    <row r="16" spans="1:20" hidden="1" outlineLevel="1" x14ac:dyDescent="0.25">
      <c r="B16" s="113" t="s">
        <v>27</v>
      </c>
      <c r="F16" s="142">
        <v>2295</v>
      </c>
      <c r="G16" s="143">
        <v>2701</v>
      </c>
      <c r="H16" s="143">
        <v>4711</v>
      </c>
      <c r="I16" s="143">
        <v>3600</v>
      </c>
      <c r="J16" s="143">
        <f ca="1">Assumptions!K12</f>
        <v>3818.9935383199345</v>
      </c>
      <c r="K16" s="143">
        <f ca="1">Assumptions!L12</f>
        <v>4038.1400909437616</v>
      </c>
      <c r="L16" s="143">
        <f ca="1">Assumptions!M12</f>
        <v>4291.3029164086538</v>
      </c>
      <c r="M16" s="143">
        <f ca="1">Assumptions!N12</f>
        <v>4583.8952432668539</v>
      </c>
      <c r="N16" s="144">
        <f ca="1">Assumptions!O12</f>
        <v>4913.8480432791184</v>
      </c>
      <c r="O16" s="26">
        <f t="shared" ref="O16:O17" si="9">_xlfn.RRI(4,F16,I16)</f>
        <v>0.11912849225202859</v>
      </c>
      <c r="P16" s="26">
        <f t="shared" ref="P16:P17" ca="1" si="10">_xlfn.RRI(5,J16,N16)</f>
        <v>5.1706504031229672E-2</v>
      </c>
    </row>
    <row r="17" spans="2:16" hidden="1" outlineLevel="1" x14ac:dyDescent="0.25">
      <c r="B17" s="131" t="s">
        <v>28</v>
      </c>
      <c r="C17" s="111"/>
      <c r="D17" s="111"/>
      <c r="E17" s="111"/>
      <c r="F17" s="145">
        <f>SUM(F15:F16)</f>
        <v>123936</v>
      </c>
      <c r="G17" s="146">
        <f>SUM(G15:G16)</f>
        <v>149468</v>
      </c>
      <c r="H17" s="146">
        <f>SUM(H15:H16)</f>
        <v>158381</v>
      </c>
      <c r="I17" s="146">
        <f>SUM(I15:I16)</f>
        <v>166590</v>
      </c>
      <c r="J17" s="146">
        <f ca="1">SUM(J15:J16)</f>
        <v>173525.33953831997</v>
      </c>
      <c r="K17" s="146">
        <f t="shared" ref="K17:N17" ca="1" si="11">SUM(K15:K16)</f>
        <v>183482.80073094377</v>
      </c>
      <c r="L17" s="146">
        <f t="shared" ca="1" si="11"/>
        <v>194985.87472320872</v>
      </c>
      <c r="M17" s="146">
        <f t="shared" ca="1" si="11"/>
        <v>208280.52483322492</v>
      </c>
      <c r="N17" s="147">
        <f t="shared" ca="1" si="11"/>
        <v>223272.73968754368</v>
      </c>
      <c r="O17" s="130">
        <f t="shared" si="9"/>
        <v>7.6744998718087487E-2</v>
      </c>
      <c r="P17" s="130">
        <f t="shared" ca="1" si="10"/>
        <v>5.1706504031229672E-2</v>
      </c>
    </row>
    <row r="18" spans="2:16" hidden="1" outlineLevel="1" x14ac:dyDescent="0.25">
      <c r="B18" s="90"/>
      <c r="F18" s="142"/>
      <c r="G18" s="143"/>
      <c r="H18" s="143"/>
      <c r="I18" s="143"/>
      <c r="J18" s="143"/>
      <c r="K18" s="143"/>
      <c r="L18" s="143"/>
      <c r="M18" s="143"/>
      <c r="N18" s="144"/>
    </row>
    <row r="19" spans="2:16" hidden="1" outlineLevel="1" x14ac:dyDescent="0.25">
      <c r="B19" s="113" t="s">
        <v>29</v>
      </c>
      <c r="F19" s="142">
        <v>63986</v>
      </c>
      <c r="G19" s="143">
        <v>78359</v>
      </c>
      <c r="H19" s="143">
        <v>82620</v>
      </c>
      <c r="I19" s="143">
        <v>85950</v>
      </c>
      <c r="J19" s="143">
        <f ca="1">Scenario!J52</f>
        <v>89559.900000000009</v>
      </c>
      <c r="K19" s="143">
        <f ca="1">Scenario!K52</f>
        <v>93455.755650000021</v>
      </c>
      <c r="L19" s="143">
        <f ca="1">Scenario!L52</f>
        <v>97661.264654250015</v>
      </c>
      <c r="M19" s="143">
        <f ca="1">Scenario!M52</f>
        <v>102202.51346067264</v>
      </c>
      <c r="N19" s="144">
        <f ca="1">Scenario!N52</f>
        <v>107108.23410678492</v>
      </c>
      <c r="O19" s="26">
        <f t="shared" ref="O19:O28" si="12">_xlfn.RRI(4,F19,I19)</f>
        <v>7.6564934045618704E-2</v>
      </c>
      <c r="P19" s="26">
        <f t="shared" ref="P19:P28" ca="1" si="13">_xlfn.RRI(5,J19,N19)</f>
        <v>3.6434478124478975E-2</v>
      </c>
    </row>
    <row r="20" spans="2:16" hidden="1" outlineLevel="1" x14ac:dyDescent="0.25">
      <c r="B20" s="113" t="s">
        <v>30</v>
      </c>
      <c r="F20" s="142">
        <v>12606</v>
      </c>
      <c r="G20" s="143">
        <v>14062</v>
      </c>
      <c r="H20" s="143">
        <v>12232</v>
      </c>
      <c r="I20" s="143">
        <v>12937</v>
      </c>
      <c r="J20" s="143">
        <f ca="1">Scenario!J90</f>
        <v>13713.220000000001</v>
      </c>
      <c r="K20" s="143">
        <f ca="1">Scenario!K90</f>
        <v>14577.15286</v>
      </c>
      <c r="L20" s="143">
        <f ca="1">Scenario!L90</f>
        <v>15539.244948760001</v>
      </c>
      <c r="M20" s="143">
        <f ca="1">Scenario!M90</f>
        <v>16611.452850224439</v>
      </c>
      <c r="N20" s="144">
        <f ca="1">Scenario!N90</f>
        <v>17807.477455440599</v>
      </c>
      <c r="O20" s="26">
        <f t="shared" si="12"/>
        <v>6.5006711983390808E-3</v>
      </c>
      <c r="P20" s="26">
        <f t="shared" ca="1" si="13"/>
        <v>5.3640830437844622E-2</v>
      </c>
    </row>
    <row r="21" spans="2:16" hidden="1" outlineLevel="1" x14ac:dyDescent="0.25">
      <c r="B21" s="113" t="s">
        <v>31</v>
      </c>
      <c r="F21" s="142">
        <v>827</v>
      </c>
      <c r="G21" s="143">
        <v>1525</v>
      </c>
      <c r="H21" s="143">
        <v>1759</v>
      </c>
      <c r="I21" s="143">
        <v>1894</v>
      </c>
      <c r="J21" s="143">
        <f ca="1">Scenario!J91</f>
        <v>2045.5200000000002</v>
      </c>
      <c r="K21" s="143">
        <f ca="1">Scenario!K91</f>
        <v>2219.3892000000001</v>
      </c>
      <c r="L21" s="143">
        <f ca="1">Scenario!L91</f>
        <v>2419.1342280000003</v>
      </c>
      <c r="M21" s="143">
        <f ca="1">Scenario!M91</f>
        <v>2648.9519796600002</v>
      </c>
      <c r="N21" s="144">
        <f ca="1">Scenario!N91</f>
        <v>2913.8471776260003</v>
      </c>
      <c r="O21" s="26">
        <f t="shared" si="12"/>
        <v>0.23017987026486697</v>
      </c>
      <c r="P21" s="26">
        <f t="shared" ca="1" si="13"/>
        <v>7.33283685052184E-2</v>
      </c>
    </row>
    <row r="22" spans="2:16" hidden="1" outlineLevel="1" x14ac:dyDescent="0.25">
      <c r="B22" s="113" t="s">
        <v>48</v>
      </c>
      <c r="F22" s="142">
        <v>6811</v>
      </c>
      <c r="G22" s="143">
        <v>10902</v>
      </c>
      <c r="H22" s="143">
        <v>13515</v>
      </c>
      <c r="I22" s="143">
        <v>15911</v>
      </c>
      <c r="J22" s="143">
        <f ca="1">Scenario!J62</f>
        <v>18774.98</v>
      </c>
      <c r="K22" s="143">
        <f ca="1">Scenario!K62</f>
        <v>22098.151460000001</v>
      </c>
      <c r="L22" s="143">
        <f ca="1">Scenario!L62</f>
        <v>25943.229814039998</v>
      </c>
      <c r="M22" s="143">
        <f ca="1">Scenario!M62</f>
        <v>30379.52211224084</v>
      </c>
      <c r="N22" s="144">
        <f ca="1">Scenario!N62</f>
        <v>35483.2818270973</v>
      </c>
      <c r="O22" s="26">
        <f t="shared" si="12"/>
        <v>0.23629367929133371</v>
      </c>
      <c r="P22" s="26">
        <f t="shared" ca="1" si="13"/>
        <v>0.13576598929617534</v>
      </c>
    </row>
    <row r="23" spans="2:16" hidden="1" outlineLevel="1" x14ac:dyDescent="0.25">
      <c r="B23" s="113" t="s">
        <v>32</v>
      </c>
      <c r="F23" s="142">
        <v>611</v>
      </c>
      <c r="G23" s="143">
        <v>713</v>
      </c>
      <c r="H23" s="143">
        <v>677</v>
      </c>
      <c r="I23" s="143">
        <v>620</v>
      </c>
      <c r="J23" s="143">
        <f ca="1">Scenario!J92</f>
        <v>570.4</v>
      </c>
      <c r="K23" s="143">
        <f ca="1">Scenario!K92</f>
        <v>529.04599999999994</v>
      </c>
      <c r="L23" s="143">
        <f ca="1">Scenario!L92</f>
        <v>494.65800999999999</v>
      </c>
      <c r="M23" s="143">
        <f ca="1">Scenario!M92</f>
        <v>466.21517442499999</v>
      </c>
      <c r="N23" s="144">
        <f ca="1">Scenario!N92</f>
        <v>442.90441570374998</v>
      </c>
      <c r="O23" s="26">
        <f t="shared" si="12"/>
        <v>3.6623196807252789E-3</v>
      </c>
      <c r="P23" s="26">
        <f t="shared" ca="1" si="13"/>
        <v>-4.9338078604809765E-2</v>
      </c>
    </row>
    <row r="24" spans="2:16" hidden="1" outlineLevel="1" x14ac:dyDescent="0.25">
      <c r="B24" s="113" t="s">
        <v>33</v>
      </c>
      <c r="F24" s="142">
        <v>1885</v>
      </c>
      <c r="G24" s="143">
        <v>1684</v>
      </c>
      <c r="H24" s="143">
        <v>1726</v>
      </c>
      <c r="I24" s="143">
        <v>1655</v>
      </c>
      <c r="J24" s="143">
        <f ca="1">Scenario!J93</f>
        <v>1688.1000000000001</v>
      </c>
      <c r="K24" s="143">
        <f ca="1">Scenario!K93</f>
        <v>1728.1923750000001</v>
      </c>
      <c r="L24" s="143">
        <f ca="1">Scenario!L93</f>
        <v>1775.7176653125002</v>
      </c>
      <c r="M24" s="143">
        <f ca="1">Scenario!M93</f>
        <v>1831.2088423535158</v>
      </c>
      <c r="N24" s="144">
        <f ca="1">Scenario!N93</f>
        <v>1895.3011518358887</v>
      </c>
      <c r="O24" s="26">
        <f t="shared" si="12"/>
        <v>-3.2008238915125276E-2</v>
      </c>
      <c r="P24" s="26">
        <f t="shared" ca="1" si="13"/>
        <v>2.3424975770421685E-2</v>
      </c>
    </row>
    <row r="25" spans="2:16" hidden="1" outlineLevel="1" x14ac:dyDescent="0.25">
      <c r="B25" s="113" t="s">
        <v>34</v>
      </c>
      <c r="F25" s="142">
        <v>3476</v>
      </c>
      <c r="G25" s="143">
        <v>4225</v>
      </c>
      <c r="H25" s="143">
        <v>4678</v>
      </c>
      <c r="I25" s="143">
        <v>4812</v>
      </c>
      <c r="J25" s="143">
        <f ca="1">Schedule!K37+Schedule!K32</f>
        <v>1553.8618765260544</v>
      </c>
      <c r="K25" s="143">
        <f ca="1">Schedule!L37+Schedule!L32</f>
        <v>1977.8622248356583</v>
      </c>
      <c r="L25" s="143">
        <f ca="1">Schedule!M37+Schedule!M32</f>
        <v>2339.7887043155206</v>
      </c>
      <c r="M25" s="143">
        <f ca="1">Schedule!N37+Schedule!N32</f>
        <v>2829.4995187671361</v>
      </c>
      <c r="N25" s="144">
        <f ca="1">Schedule!O37+Schedule!O32</f>
        <v>3356.1537286120729</v>
      </c>
      <c r="O25" s="26">
        <f t="shared" si="12"/>
        <v>8.470455207598393E-2</v>
      </c>
      <c r="P25" s="26">
        <f t="shared" ca="1" si="13"/>
        <v>0.16650307181934321</v>
      </c>
    </row>
    <row r="26" spans="2:16" hidden="1" outlineLevel="1" x14ac:dyDescent="0.25">
      <c r="B26" s="113" t="s">
        <v>35</v>
      </c>
      <c r="F26" s="142">
        <v>200</v>
      </c>
      <c r="G26" s="143">
        <v>284</v>
      </c>
      <c r="H26" s="143">
        <v>470</v>
      </c>
      <c r="I26" s="143">
        <v>416</v>
      </c>
      <c r="J26" s="143">
        <v>0</v>
      </c>
      <c r="K26" s="143">
        <v>0</v>
      </c>
      <c r="L26" s="143">
        <v>0</v>
      </c>
      <c r="M26" s="143">
        <v>0</v>
      </c>
      <c r="N26" s="144">
        <v>0</v>
      </c>
      <c r="O26" s="26">
        <f t="shared" si="12"/>
        <v>0.20092485617776923</v>
      </c>
      <c r="P26" s="26">
        <f t="shared" si="13"/>
        <v>0</v>
      </c>
    </row>
    <row r="27" spans="2:16" hidden="1" outlineLevel="1" x14ac:dyDescent="0.25">
      <c r="B27" s="113" t="s">
        <v>36</v>
      </c>
      <c r="F27" s="142">
        <v>3424</v>
      </c>
      <c r="G27" s="143">
        <v>4392</v>
      </c>
      <c r="H27" s="143">
        <v>4716</v>
      </c>
      <c r="I27" s="143">
        <v>4787</v>
      </c>
      <c r="J27" s="143">
        <f ca="1">Scenario!J82</f>
        <v>5074.22</v>
      </c>
      <c r="K27" s="143">
        <f ca="1">Scenario!K82</f>
        <v>5396.4329699999998</v>
      </c>
      <c r="L27" s="143">
        <f ca="1">Scenario!L82</f>
        <v>5757.99397899</v>
      </c>
      <c r="M27" s="143">
        <f ca="1">Scenario!M82</f>
        <v>6163.932554508795</v>
      </c>
      <c r="N27" s="144">
        <f ca="1">Scenario!N82</f>
        <v>6620.063563542446</v>
      </c>
      <c r="O27" s="26">
        <f t="shared" si="12"/>
        <v>8.7382696670992965E-2</v>
      </c>
      <c r="P27" s="26">
        <f t="shared" ca="1" si="13"/>
        <v>5.462624141959771E-2</v>
      </c>
    </row>
    <row r="28" spans="2:16" hidden="1" outlineLevel="1" x14ac:dyDescent="0.25">
      <c r="B28" s="131" t="s">
        <v>37</v>
      </c>
      <c r="C28" s="111"/>
      <c r="D28" s="111"/>
      <c r="E28" s="111"/>
      <c r="F28" s="145">
        <f>SUM(F19:F27)</f>
        <v>93826</v>
      </c>
      <c r="G28" s="146">
        <f>SUM(G19:G27)</f>
        <v>116146</v>
      </c>
      <c r="H28" s="146">
        <f>SUM(H19:H27)</f>
        <v>122393</v>
      </c>
      <c r="I28" s="146">
        <f>SUM(I19:I27)</f>
        <v>128982</v>
      </c>
      <c r="J28" s="146">
        <f t="shared" ref="J28:N28" ca="1" si="14">SUM(J19:J27)</f>
        <v>132980.20187652606</v>
      </c>
      <c r="K28" s="146">
        <f t="shared" ca="1" si="14"/>
        <v>141981.98273983572</v>
      </c>
      <c r="L28" s="146">
        <f t="shared" ca="1" si="14"/>
        <v>151931.03200366805</v>
      </c>
      <c r="M28" s="146">
        <f t="shared" ca="1" si="14"/>
        <v>163133.29649285236</v>
      </c>
      <c r="N28" s="147">
        <f t="shared" ca="1" si="14"/>
        <v>175627.26342664298</v>
      </c>
      <c r="O28" s="130">
        <f t="shared" si="12"/>
        <v>8.2808051082560841E-2</v>
      </c>
      <c r="P28" s="130">
        <f t="shared" ca="1" si="13"/>
        <v>5.7209335124288385E-2</v>
      </c>
    </row>
    <row r="29" spans="2:16" hidden="1" outlineLevel="1" x14ac:dyDescent="0.25">
      <c r="B29" s="90"/>
      <c r="F29" s="142"/>
      <c r="G29" s="143"/>
      <c r="H29" s="143"/>
      <c r="I29" s="143"/>
      <c r="J29" s="143"/>
      <c r="K29" s="143"/>
      <c r="L29" s="143"/>
      <c r="M29" s="143"/>
      <c r="N29" s="144"/>
    </row>
    <row r="30" spans="2:16" hidden="1" outlineLevel="1" x14ac:dyDescent="0.25">
      <c r="B30" s="132" t="s">
        <v>38</v>
      </c>
      <c r="C30" s="104"/>
      <c r="D30" s="104"/>
      <c r="E30" s="104"/>
      <c r="F30" s="148">
        <f>F17-F28</f>
        <v>30110</v>
      </c>
      <c r="G30" s="149">
        <f>G17-G28</f>
        <v>33322</v>
      </c>
      <c r="H30" s="149">
        <f>H17-H28</f>
        <v>35988</v>
      </c>
      <c r="I30" s="149">
        <f>I17-I28</f>
        <v>37608</v>
      </c>
      <c r="J30" s="149">
        <f t="shared" ref="J30:N30" ca="1" si="15">J17-J28</f>
        <v>40545.13766179391</v>
      </c>
      <c r="K30" s="149">
        <f t="shared" ca="1" si="15"/>
        <v>41500.817991108052</v>
      </c>
      <c r="L30" s="149">
        <f t="shared" ca="1" si="15"/>
        <v>43054.842719540669</v>
      </c>
      <c r="M30" s="149">
        <f t="shared" ca="1" si="15"/>
        <v>45147.22834037256</v>
      </c>
      <c r="N30" s="150">
        <f t="shared" ca="1" si="15"/>
        <v>47645.476260900701</v>
      </c>
      <c r="O30" s="123">
        <f t="shared" ref="O30" si="16">_xlfn.RRI(4,F30,I30)</f>
        <v>5.7164012529754338E-2</v>
      </c>
      <c r="P30" s="123">
        <f t="shared" ref="P30" ca="1" si="17">_xlfn.RRI(5,J30,N30)</f>
        <v>3.2800830857969032E-2</v>
      </c>
    </row>
    <row r="31" spans="2:16" hidden="1" outlineLevel="1" x14ac:dyDescent="0.25">
      <c r="B31" s="90"/>
      <c r="F31" s="142"/>
      <c r="G31" s="143"/>
      <c r="H31" s="143"/>
      <c r="I31" s="143"/>
      <c r="J31" s="143"/>
      <c r="K31" s="143"/>
      <c r="L31" s="143"/>
      <c r="M31" s="143"/>
      <c r="N31" s="144"/>
    </row>
    <row r="32" spans="2:16" hidden="1" outlineLevel="1" x14ac:dyDescent="0.25">
      <c r="B32" s="113" t="s">
        <v>39</v>
      </c>
      <c r="F32" s="142">
        <v>7811</v>
      </c>
      <c r="G32" s="143">
        <v>9287</v>
      </c>
      <c r="H32" s="143">
        <v>8390</v>
      </c>
      <c r="I32" s="143">
        <v>12130</v>
      </c>
      <c r="J32" s="143">
        <f ca="1">Assumptions!K15</f>
        <v>12163.541298538172</v>
      </c>
      <c r="K32" s="143">
        <f ca="1">Assumptions!L15</f>
        <v>12450.245397332415</v>
      </c>
      <c r="L32" s="143">
        <f ca="1">Assumptions!M15</f>
        <v>12916.4528158622</v>
      </c>
      <c r="M32" s="143">
        <f ca="1">Assumptions!N15</f>
        <v>13544.168502111768</v>
      </c>
      <c r="N32" s="144">
        <f ca="1">Assumptions!O15</f>
        <v>14293.64287827021</v>
      </c>
      <c r="O32" s="30">
        <f t="shared" ref="O32" si="18">_xlfn.RRI(4,F32,I32)</f>
        <v>0.11631957621504663</v>
      </c>
      <c r="P32" s="30">
        <f t="shared" ref="P32" ca="1" si="19">_xlfn.RRI(5,J32,N32)</f>
        <v>3.2800830857969032E-2</v>
      </c>
    </row>
    <row r="33" spans="1:16" hidden="1" outlineLevel="1" x14ac:dyDescent="0.25">
      <c r="B33" s="113" t="s">
        <v>40</v>
      </c>
      <c r="F33" s="142">
        <v>153</v>
      </c>
      <c r="G33" s="143">
        <v>-73</v>
      </c>
      <c r="H33" s="143">
        <v>1350</v>
      </c>
      <c r="I33" s="143">
        <v>-1272</v>
      </c>
      <c r="J33" s="143">
        <v>0</v>
      </c>
      <c r="K33" s="143">
        <v>0</v>
      </c>
      <c r="L33" s="143">
        <v>0</v>
      </c>
      <c r="M33" s="143">
        <v>0</v>
      </c>
      <c r="N33" s="144">
        <v>0</v>
      </c>
    </row>
    <row r="34" spans="1:16" hidden="1" outlineLevel="1" x14ac:dyDescent="0.25">
      <c r="B34" s="131" t="s">
        <v>41</v>
      </c>
      <c r="C34" s="111"/>
      <c r="D34" s="111"/>
      <c r="E34" s="111"/>
      <c r="F34" s="145">
        <f>F30-SUM(F32:F33)</f>
        <v>22146</v>
      </c>
      <c r="G34" s="146">
        <f>G30-SUM(G32:G33)</f>
        <v>24108</v>
      </c>
      <c r="H34" s="146">
        <f>H30-SUM(H32:H33)</f>
        <v>26248</v>
      </c>
      <c r="I34" s="146">
        <f>I30-SUM(I32:I33)</f>
        <v>26750</v>
      </c>
      <c r="J34" s="146">
        <f t="shared" ref="J34:N34" ca="1" si="20">J30-SUM(J32:J33)</f>
        <v>28381.59636325574</v>
      </c>
      <c r="K34" s="146">
        <f t="shared" ca="1" si="20"/>
        <v>29050.572593775636</v>
      </c>
      <c r="L34" s="146">
        <f t="shared" ca="1" si="20"/>
        <v>30138.389903678471</v>
      </c>
      <c r="M34" s="146">
        <f t="shared" ca="1" si="20"/>
        <v>31603.059838260793</v>
      </c>
      <c r="N34" s="147">
        <f t="shared" ca="1" si="20"/>
        <v>33351.833382630488</v>
      </c>
      <c r="O34" s="130">
        <f t="shared" ref="O34" si="21">_xlfn.RRI(4,F34,I34)</f>
        <v>4.8351987052245748E-2</v>
      </c>
      <c r="P34" s="130">
        <f t="shared" ref="P34" ca="1" si="22">_xlfn.RRI(5,J34,N34)</f>
        <v>3.2800830857969032E-2</v>
      </c>
    </row>
    <row r="35" spans="1:16" hidden="1" outlineLevel="1" x14ac:dyDescent="0.25">
      <c r="B35" s="90"/>
      <c r="F35" s="142"/>
      <c r="G35" s="143"/>
      <c r="H35" s="143"/>
      <c r="I35" s="143"/>
      <c r="J35" s="143"/>
      <c r="K35" s="143"/>
      <c r="L35" s="143"/>
      <c r="M35" s="143"/>
      <c r="N35" s="144"/>
    </row>
    <row r="36" spans="1:16" hidden="1" outlineLevel="1" x14ac:dyDescent="0.25">
      <c r="B36" s="133" t="s">
        <v>42</v>
      </c>
      <c r="C36" s="108"/>
      <c r="D36" s="108"/>
      <c r="E36" s="108"/>
      <c r="F36" s="151"/>
      <c r="G36" s="152"/>
      <c r="H36" s="152"/>
      <c r="I36" s="152"/>
      <c r="J36" s="152"/>
      <c r="K36" s="152"/>
      <c r="L36" s="152"/>
      <c r="M36" s="152"/>
      <c r="N36" s="153"/>
      <c r="O36" s="108"/>
      <c r="P36" s="108"/>
    </row>
    <row r="37" spans="1:16" hidden="1" outlineLevel="1" x14ac:dyDescent="0.25">
      <c r="B37" s="113" t="s">
        <v>43</v>
      </c>
      <c r="F37" s="142">
        <v>22110</v>
      </c>
      <c r="G37" s="143">
        <v>24095</v>
      </c>
      <c r="H37" s="143">
        <v>26233</v>
      </c>
      <c r="I37" s="143">
        <v>26713</v>
      </c>
      <c r="J37" s="143">
        <f ca="1">J34-J38</f>
        <v>28352.367111540163</v>
      </c>
      <c r="K37" s="143">
        <f t="shared" ref="K37:N37" ca="1" si="23">K34-K38</f>
        <v>29020.654385935697</v>
      </c>
      <c r="L37" s="143">
        <f t="shared" ca="1" si="23"/>
        <v>30107.351389370753</v>
      </c>
      <c r="M37" s="143">
        <f t="shared" ca="1" si="23"/>
        <v>31570.512909639438</v>
      </c>
      <c r="N37" s="144">
        <f t="shared" ca="1" si="23"/>
        <v>33317.48545094124</v>
      </c>
    </row>
    <row r="38" spans="1:16" hidden="1" outlineLevel="1" x14ac:dyDescent="0.25">
      <c r="B38" s="113" t="s">
        <v>44</v>
      </c>
      <c r="F38" s="142">
        <v>36</v>
      </c>
      <c r="G38" s="143">
        <v>13</v>
      </c>
      <c r="H38" s="143">
        <v>15</v>
      </c>
      <c r="I38" s="143">
        <v>37</v>
      </c>
      <c r="J38" s="143">
        <f ca="1">Assumptions!K18</f>
        <v>29.2292517155777</v>
      </c>
      <c r="K38" s="143">
        <f ca="1">Assumptions!L18</f>
        <v>29.918207839938614</v>
      </c>
      <c r="L38" s="143">
        <f ca="1">Assumptions!M18</f>
        <v>31.038514307719876</v>
      </c>
      <c r="M38" s="143">
        <f ca="1">Assumptions!N18</f>
        <v>32.546928621354851</v>
      </c>
      <c r="N38" s="144">
        <f ca="1">Assumptions!O18</f>
        <v>34.347931689247865</v>
      </c>
    </row>
    <row r="39" spans="1:16" hidden="1" outlineLevel="1" x14ac:dyDescent="0.25">
      <c r="B39" s="90"/>
      <c r="F39" s="142"/>
      <c r="G39" s="143"/>
      <c r="H39" s="143"/>
      <c r="I39" s="143"/>
      <c r="J39" s="143"/>
      <c r="K39" s="143"/>
      <c r="L39" s="143"/>
      <c r="M39" s="143"/>
      <c r="N39" s="144"/>
    </row>
    <row r="40" spans="1:16" hidden="1" outlineLevel="1" x14ac:dyDescent="0.25">
      <c r="B40" s="133" t="s">
        <v>93</v>
      </c>
      <c r="C40" s="108"/>
      <c r="D40" s="108"/>
      <c r="E40" s="108"/>
      <c r="F40" s="151"/>
      <c r="G40" s="152"/>
      <c r="H40" s="152"/>
      <c r="I40" s="152"/>
      <c r="J40" s="152"/>
      <c r="K40" s="152"/>
      <c r="L40" s="152"/>
      <c r="M40" s="152"/>
      <c r="N40" s="153"/>
      <c r="O40" s="108"/>
      <c r="P40" s="108"/>
    </row>
    <row r="41" spans="1:16" hidden="1" outlineLevel="1" x14ac:dyDescent="0.25">
      <c r="B41" s="113" t="s">
        <v>45</v>
      </c>
      <c r="F41" s="154">
        <f t="shared" ref="F41:G41" si="24">F37/F44</f>
        <v>52.523469745432855</v>
      </c>
      <c r="G41" s="155">
        <f t="shared" si="24"/>
        <v>57.631161592857829</v>
      </c>
      <c r="H41" s="155">
        <f>H37/H44</f>
        <v>63.386657968456909</v>
      </c>
      <c r="I41" s="155">
        <f>I37/I44</f>
        <v>64.499044550467232</v>
      </c>
      <c r="J41" s="155">
        <f t="shared" ref="J41:N41" ca="1" si="25">J37/J44</f>
        <v>68.457327497414397</v>
      </c>
      <c r="K41" s="155">
        <f t="shared" ca="1" si="25"/>
        <v>70.070919781461413</v>
      </c>
      <c r="L41" s="155">
        <f t="shared" ca="1" si="25"/>
        <v>72.694770282618791</v>
      </c>
      <c r="M41" s="155">
        <f t="shared" ca="1" si="25"/>
        <v>76.227601491406247</v>
      </c>
      <c r="N41" s="156">
        <f t="shared" ca="1" si="25"/>
        <v>80.445699786987717</v>
      </c>
      <c r="O41" s="30">
        <f t="shared" ref="O41" si="26">_xlfn.RRI(4,F41,I41)</f>
        <v>5.2688717470960489E-2</v>
      </c>
      <c r="P41" s="30">
        <f t="shared" ref="P41" ca="1" si="27">_xlfn.RRI(5,J41,N41)</f>
        <v>3.2800830857969032E-2</v>
      </c>
    </row>
    <row r="42" spans="1:16" hidden="1" outlineLevel="1" x14ac:dyDescent="0.25">
      <c r="B42" s="90"/>
      <c r="F42" s="157"/>
      <c r="G42" s="158"/>
      <c r="H42" s="158"/>
      <c r="I42" s="158"/>
      <c r="J42" s="143"/>
      <c r="K42" s="143"/>
      <c r="L42" s="143"/>
      <c r="M42" s="143"/>
      <c r="N42" s="144"/>
    </row>
    <row r="43" spans="1:16" hidden="1" outlineLevel="1" x14ac:dyDescent="0.25">
      <c r="B43" s="133" t="s">
        <v>280</v>
      </c>
      <c r="C43" s="108"/>
      <c r="D43" s="108"/>
      <c r="E43" s="108"/>
      <c r="F43" s="159"/>
      <c r="G43" s="160"/>
      <c r="H43" s="160"/>
      <c r="I43" s="160"/>
      <c r="J43" s="152"/>
      <c r="K43" s="152"/>
      <c r="L43" s="152"/>
      <c r="M43" s="152"/>
      <c r="N43" s="153"/>
      <c r="O43" s="108"/>
      <c r="P43" s="108"/>
    </row>
    <row r="44" spans="1:16" ht="14.4" hidden="1" outlineLevel="1" x14ac:dyDescent="0.3">
      <c r="B44" s="115" t="s">
        <v>46</v>
      </c>
      <c r="C44" s="108"/>
      <c r="D44" s="108"/>
      <c r="E44" s="108"/>
      <c r="F44" s="161">
        <v>420.95467239999999</v>
      </c>
      <c r="G44" s="162">
        <v>418.08978569999999</v>
      </c>
      <c r="H44" s="162">
        <v>413.856809</v>
      </c>
      <c r="I44" s="162">
        <v>414.16117379999997</v>
      </c>
      <c r="J44" s="163">
        <f>I44</f>
        <v>414.16117379999997</v>
      </c>
      <c r="K44" s="163">
        <f t="shared" ref="K44:N44" si="28">J44</f>
        <v>414.16117379999997</v>
      </c>
      <c r="L44" s="163">
        <f t="shared" si="28"/>
        <v>414.16117379999997</v>
      </c>
      <c r="M44" s="163">
        <f t="shared" si="28"/>
        <v>414.16117379999997</v>
      </c>
      <c r="N44" s="164">
        <f t="shared" si="28"/>
        <v>414.16117379999997</v>
      </c>
    </row>
    <row r="45" spans="1:16" collapsed="1" x14ac:dyDescent="0.25"/>
    <row r="47" spans="1:16" ht="13.8" x14ac:dyDescent="0.25">
      <c r="A47" s="5" t="s">
        <v>25</v>
      </c>
      <c r="B47" s="134" t="s">
        <v>49</v>
      </c>
      <c r="C47" s="135"/>
      <c r="D47" s="135"/>
      <c r="E47" s="135"/>
      <c r="F47" s="193">
        <v>44651</v>
      </c>
      <c r="G47" s="194">
        <f>EDATE(F47,12)</f>
        <v>45016</v>
      </c>
      <c r="H47" s="194">
        <f t="shared" ref="H47" si="29">EDATE(G47,12)</f>
        <v>45382</v>
      </c>
      <c r="I47" s="194">
        <f t="shared" ref="I47" si="30">EDATE(H47,12)</f>
        <v>45747</v>
      </c>
      <c r="J47" s="195">
        <f t="shared" ref="J47" si="31">EDATE(I47,12)</f>
        <v>46112</v>
      </c>
      <c r="K47" s="195">
        <f t="shared" ref="K47" si="32">EDATE(J47,12)</f>
        <v>46477</v>
      </c>
      <c r="L47" s="195">
        <f t="shared" ref="L47" si="33">EDATE(K47,12)</f>
        <v>46843</v>
      </c>
      <c r="M47" s="195">
        <f t="shared" ref="M47" si="34">EDATE(L47,12)</f>
        <v>47208</v>
      </c>
      <c r="N47" s="196">
        <f t="shared" ref="N47" si="35">EDATE(M47,12)</f>
        <v>47573</v>
      </c>
    </row>
    <row r="48" spans="1:16" x14ac:dyDescent="0.25">
      <c r="B48" s="90"/>
      <c r="F48" s="90"/>
      <c r="N48" s="114"/>
    </row>
    <row r="49" spans="2:14" hidden="1" outlineLevel="1" x14ac:dyDescent="0.25">
      <c r="B49" s="183" t="s">
        <v>50</v>
      </c>
      <c r="F49" s="90"/>
      <c r="N49" s="114"/>
    </row>
    <row r="50" spans="2:14" hidden="1" outlineLevel="1" x14ac:dyDescent="0.25">
      <c r="B50" s="110" t="s">
        <v>51</v>
      </c>
      <c r="C50" s="111"/>
      <c r="D50" s="111"/>
      <c r="E50" s="111"/>
      <c r="F50" s="199">
        <v>13075</v>
      </c>
      <c r="G50" s="169">
        <v>13346</v>
      </c>
      <c r="H50" s="169">
        <v>12370</v>
      </c>
      <c r="I50" s="169">
        <v>11778</v>
      </c>
      <c r="J50" s="169">
        <f ca="1">Schedule!K47</f>
        <v>12737.446759499053</v>
      </c>
      <c r="K50" s="169">
        <f ca="1">Schedule!L47</f>
        <v>13376.66652311397</v>
      </c>
      <c r="L50" s="169">
        <f ca="1">Schedule!M47</f>
        <v>14157.525104373617</v>
      </c>
      <c r="M50" s="169">
        <f ca="1">Schedule!N47</f>
        <v>14997.930672836512</v>
      </c>
      <c r="N50" s="200">
        <f ca="1">Schedule!O47</f>
        <v>15860.938512006665</v>
      </c>
    </row>
    <row r="51" spans="2:14" hidden="1" outlineLevel="1" x14ac:dyDescent="0.25">
      <c r="B51" s="113" t="s">
        <v>52</v>
      </c>
      <c r="F51" s="191">
        <v>4823</v>
      </c>
      <c r="G51" s="22">
        <v>6882</v>
      </c>
      <c r="H51" s="22">
        <v>6552</v>
      </c>
      <c r="I51" s="22">
        <v>6311</v>
      </c>
      <c r="J51" s="22">
        <f>I51</f>
        <v>6311</v>
      </c>
      <c r="K51" s="22">
        <f t="shared" ref="K51:N51" si="36">J51</f>
        <v>6311</v>
      </c>
      <c r="L51" s="22">
        <f t="shared" si="36"/>
        <v>6311</v>
      </c>
      <c r="M51" s="22">
        <f t="shared" si="36"/>
        <v>6311</v>
      </c>
      <c r="N51" s="184">
        <f t="shared" si="36"/>
        <v>6311</v>
      </c>
    </row>
    <row r="52" spans="2:14" hidden="1" outlineLevel="1" x14ac:dyDescent="0.25">
      <c r="B52" s="113" t="s">
        <v>53</v>
      </c>
      <c r="F52" s="191">
        <v>416</v>
      </c>
      <c r="G52" s="22">
        <v>288</v>
      </c>
      <c r="H52" s="22">
        <v>293</v>
      </c>
      <c r="I52" s="22">
        <v>814</v>
      </c>
      <c r="J52" s="22">
        <f>I52-Schedule!K18</f>
        <v>238</v>
      </c>
      <c r="K52" s="22">
        <f>J52-Schedule!L18</f>
        <v>34</v>
      </c>
      <c r="L52" s="22">
        <f>K52-Schedule!M18</f>
        <v>12</v>
      </c>
      <c r="M52" s="22">
        <f>L52-Schedule!N18</f>
        <v>0</v>
      </c>
      <c r="N52" s="184">
        <f>M52-Schedule!O18</f>
        <v>0</v>
      </c>
    </row>
    <row r="53" spans="2:14" hidden="1" outlineLevel="1" x14ac:dyDescent="0.25">
      <c r="B53" s="113" t="s">
        <v>54</v>
      </c>
      <c r="F53" s="191">
        <v>6195</v>
      </c>
      <c r="G53" s="22">
        <v>7248</v>
      </c>
      <c r="H53" s="22">
        <v>7303</v>
      </c>
      <c r="I53" s="22">
        <v>10106</v>
      </c>
      <c r="J53" s="22">
        <f>I53</f>
        <v>10106</v>
      </c>
      <c r="K53" s="22">
        <f t="shared" ref="K53:N53" si="37">J53</f>
        <v>10106</v>
      </c>
      <c r="L53" s="22">
        <f t="shared" si="37"/>
        <v>10106</v>
      </c>
      <c r="M53" s="22">
        <f t="shared" si="37"/>
        <v>10106</v>
      </c>
      <c r="N53" s="184">
        <f t="shared" si="37"/>
        <v>10106</v>
      </c>
    </row>
    <row r="54" spans="2:14" hidden="1" outlineLevel="1" x14ac:dyDescent="0.25">
      <c r="B54" s="113" t="s">
        <v>55</v>
      </c>
      <c r="F54" s="191">
        <v>1707</v>
      </c>
      <c r="G54" s="22">
        <v>1749</v>
      </c>
      <c r="H54" s="22">
        <v>1397</v>
      </c>
      <c r="I54" s="22">
        <v>2766</v>
      </c>
      <c r="J54" s="22">
        <f ca="1">Schedule!K55</f>
        <v>2547.4684017975933</v>
      </c>
      <c r="K54" s="22">
        <f ca="1">Schedule!L55</f>
        <v>2273.4898360663783</v>
      </c>
      <c r="L54" s="22">
        <f ca="1">Schedule!M55</f>
        <v>2062.5654543588525</v>
      </c>
      <c r="M54" s="22">
        <f ca="1">Schedule!N55</f>
        <v>1852.2543502450399</v>
      </c>
      <c r="N54" s="184">
        <f ca="1">Schedule!O55</f>
        <v>1679.1169484309248</v>
      </c>
    </row>
    <row r="55" spans="2:14" hidden="1" outlineLevel="1" x14ac:dyDescent="0.25">
      <c r="B55" s="113" t="s">
        <v>282</v>
      </c>
      <c r="F55" s="191"/>
      <c r="G55" s="22"/>
      <c r="H55" s="22"/>
      <c r="I55" s="22"/>
      <c r="J55" s="22"/>
      <c r="K55" s="22"/>
      <c r="L55" s="22"/>
      <c r="M55" s="22"/>
      <c r="N55" s="184"/>
    </row>
    <row r="56" spans="2:14" hidden="1" outlineLevel="1" x14ac:dyDescent="0.25">
      <c r="B56" s="185" t="s">
        <v>56</v>
      </c>
      <c r="F56" s="191">
        <v>13651</v>
      </c>
      <c r="G56" s="22">
        <v>12569</v>
      </c>
      <c r="H56" s="22">
        <v>11708</v>
      </c>
      <c r="I56" s="22">
        <v>11059</v>
      </c>
      <c r="J56" s="22">
        <f>I56</f>
        <v>11059</v>
      </c>
      <c r="K56" s="22">
        <f t="shared" ref="K56:N56" si="38">J56</f>
        <v>11059</v>
      </c>
      <c r="L56" s="22">
        <f t="shared" si="38"/>
        <v>11059</v>
      </c>
      <c r="M56" s="22">
        <f t="shared" si="38"/>
        <v>11059</v>
      </c>
      <c r="N56" s="184">
        <f t="shared" si="38"/>
        <v>11059</v>
      </c>
    </row>
    <row r="57" spans="2:14" hidden="1" outlineLevel="1" x14ac:dyDescent="0.25">
      <c r="B57" s="185" t="s">
        <v>57</v>
      </c>
      <c r="F57" s="191">
        <v>34</v>
      </c>
      <c r="G57" s="22">
        <v>39</v>
      </c>
      <c r="H57" s="22">
        <v>34</v>
      </c>
      <c r="I57" s="22">
        <v>16</v>
      </c>
      <c r="J57" s="22">
        <f>I57</f>
        <v>16</v>
      </c>
      <c r="K57" s="22">
        <f t="shared" ref="K57:N57" si="39">J57</f>
        <v>16</v>
      </c>
      <c r="L57" s="22">
        <f t="shared" si="39"/>
        <v>16</v>
      </c>
      <c r="M57" s="22">
        <f t="shared" si="39"/>
        <v>16</v>
      </c>
      <c r="N57" s="184">
        <f t="shared" si="39"/>
        <v>16</v>
      </c>
    </row>
    <row r="58" spans="2:14" hidden="1" outlineLevel="1" x14ac:dyDescent="0.25">
      <c r="B58" s="185" t="s">
        <v>58</v>
      </c>
      <c r="F58" s="191">
        <v>1460</v>
      </c>
      <c r="G58" s="22">
        <v>2798</v>
      </c>
      <c r="H58" s="22">
        <v>3105</v>
      </c>
      <c r="I58" s="22">
        <v>3511</v>
      </c>
      <c r="J58" s="22">
        <f ca="1">Schedule!K93</f>
        <v>3089.2323884787234</v>
      </c>
      <c r="K58" s="22">
        <f ca="1">Schedule!L93</f>
        <v>3544.6809513543067</v>
      </c>
      <c r="L58" s="22">
        <f ca="1">Schedule!M93</f>
        <v>3799.7728785067911</v>
      </c>
      <c r="M58" s="22">
        <f ca="1">Schedule!N93</f>
        <v>4044.6092820871295</v>
      </c>
      <c r="N58" s="184">
        <f ca="1">Schedule!O93</f>
        <v>4243.7516808213359</v>
      </c>
    </row>
    <row r="59" spans="2:14" hidden="1" outlineLevel="1" x14ac:dyDescent="0.25">
      <c r="B59" s="113" t="s">
        <v>59</v>
      </c>
      <c r="F59" s="191">
        <v>1212</v>
      </c>
      <c r="G59" s="22">
        <v>1245</v>
      </c>
      <c r="H59" s="22">
        <v>454</v>
      </c>
      <c r="I59" s="22">
        <v>1108</v>
      </c>
      <c r="J59" s="22">
        <f>I59</f>
        <v>1108</v>
      </c>
      <c r="K59" s="22">
        <f t="shared" ref="K59:N59" si="40">J59</f>
        <v>1108</v>
      </c>
      <c r="L59" s="22">
        <f t="shared" si="40"/>
        <v>1108</v>
      </c>
      <c r="M59" s="22">
        <f t="shared" si="40"/>
        <v>1108</v>
      </c>
      <c r="N59" s="184">
        <f t="shared" si="40"/>
        <v>1108</v>
      </c>
    </row>
    <row r="60" spans="2:14" hidden="1" outlineLevel="1" x14ac:dyDescent="0.25">
      <c r="B60" s="113" t="s">
        <v>60</v>
      </c>
      <c r="F60" s="191">
        <v>6098</v>
      </c>
      <c r="G60" s="22">
        <v>6453</v>
      </c>
      <c r="H60" s="22">
        <v>3045</v>
      </c>
      <c r="I60" s="22">
        <v>1622</v>
      </c>
      <c r="J60" s="22">
        <f>I60</f>
        <v>1622</v>
      </c>
      <c r="K60" s="22">
        <f t="shared" ref="K60:N60" si="41">J60</f>
        <v>1622</v>
      </c>
      <c r="L60" s="22">
        <f t="shared" si="41"/>
        <v>1622</v>
      </c>
      <c r="M60" s="22">
        <f t="shared" si="41"/>
        <v>1622</v>
      </c>
      <c r="N60" s="184">
        <f t="shared" si="41"/>
        <v>1622</v>
      </c>
    </row>
    <row r="61" spans="2:14" hidden="1" outlineLevel="1" x14ac:dyDescent="0.25">
      <c r="B61" s="113" t="s">
        <v>61</v>
      </c>
      <c r="F61" s="191">
        <v>2029</v>
      </c>
      <c r="G61" s="22">
        <v>2318</v>
      </c>
      <c r="H61" s="22">
        <v>2121</v>
      </c>
      <c r="I61" s="22">
        <v>2713</v>
      </c>
      <c r="J61" s="22">
        <f ca="1">Schedule!K94</f>
        <v>2669.5431415581374</v>
      </c>
      <c r="K61" s="22">
        <f ca="1">Schedule!L94</f>
        <v>2780.1184031279372</v>
      </c>
      <c r="L61" s="22">
        <f ca="1">Schedule!M94</f>
        <v>2940.0700330037221</v>
      </c>
      <c r="M61" s="22">
        <f ca="1">Schedule!N94</f>
        <v>3222.7939991629273</v>
      </c>
      <c r="N61" s="184">
        <f ca="1">Schedule!O94</f>
        <v>3409.8104509992936</v>
      </c>
    </row>
    <row r="62" spans="2:14" hidden="1" outlineLevel="1" x14ac:dyDescent="0.25">
      <c r="B62" s="132" t="s">
        <v>67</v>
      </c>
      <c r="C62" s="104"/>
      <c r="D62" s="104"/>
      <c r="E62" s="104"/>
      <c r="F62" s="197">
        <f>SUM(F50:F61)</f>
        <v>50700</v>
      </c>
      <c r="G62" s="44">
        <f>SUM(G50:G61)</f>
        <v>54935</v>
      </c>
      <c r="H62" s="44">
        <f>SUM(H50:H61)</f>
        <v>48382</v>
      </c>
      <c r="I62" s="44">
        <f>SUM(I50:I61)</f>
        <v>51804</v>
      </c>
      <c r="J62" s="44">
        <f t="shared" ref="J62:N62" ca="1" si="42">SUM(J50:J61)</f>
        <v>51503.690691333511</v>
      </c>
      <c r="K62" s="44">
        <f t="shared" ca="1" si="42"/>
        <v>52230.955713662595</v>
      </c>
      <c r="L62" s="44">
        <f t="shared" ca="1" si="42"/>
        <v>53193.933470242977</v>
      </c>
      <c r="M62" s="44">
        <f t="shared" ca="1" si="42"/>
        <v>54339.588304331606</v>
      </c>
      <c r="N62" s="198">
        <f t="shared" ca="1" si="42"/>
        <v>55415.617592258219</v>
      </c>
    </row>
    <row r="63" spans="2:14" hidden="1" outlineLevel="1" x14ac:dyDescent="0.25">
      <c r="B63" s="132" t="s">
        <v>62</v>
      </c>
      <c r="C63" s="104"/>
      <c r="D63" s="104"/>
      <c r="E63" s="104"/>
      <c r="F63" s="201"/>
      <c r="G63" s="202"/>
      <c r="H63" s="202"/>
      <c r="I63" s="202"/>
      <c r="J63" s="202"/>
      <c r="K63" s="202"/>
      <c r="L63" s="202"/>
      <c r="M63" s="202"/>
      <c r="N63" s="203"/>
    </row>
    <row r="64" spans="2:14" hidden="1" outlineLevel="1" x14ac:dyDescent="0.25">
      <c r="B64" s="113" t="s">
        <v>282</v>
      </c>
      <c r="F64" s="191"/>
      <c r="G64" s="22"/>
      <c r="H64" s="22"/>
      <c r="I64" s="22"/>
      <c r="J64" s="22"/>
      <c r="K64" s="22"/>
      <c r="L64" s="22"/>
      <c r="M64" s="22"/>
      <c r="N64" s="184"/>
    </row>
    <row r="65" spans="2:14" hidden="1" outlineLevel="1" x14ac:dyDescent="0.25">
      <c r="B65" s="185" t="s">
        <v>56</v>
      </c>
      <c r="F65" s="191">
        <v>6673</v>
      </c>
      <c r="G65" s="22">
        <v>6909</v>
      </c>
      <c r="H65" s="22">
        <v>12915</v>
      </c>
      <c r="I65" s="22">
        <v>12482</v>
      </c>
      <c r="J65" s="22">
        <f>I65</f>
        <v>12482</v>
      </c>
      <c r="K65" s="22">
        <f t="shared" ref="K65:N65" si="43">J65</f>
        <v>12482</v>
      </c>
      <c r="L65" s="22">
        <f t="shared" si="43"/>
        <v>12482</v>
      </c>
      <c r="M65" s="22">
        <f t="shared" si="43"/>
        <v>12482</v>
      </c>
      <c r="N65" s="184">
        <f t="shared" si="43"/>
        <v>12482</v>
      </c>
    </row>
    <row r="66" spans="2:14" hidden="1" outlineLevel="1" x14ac:dyDescent="0.25">
      <c r="B66" s="185" t="s">
        <v>63</v>
      </c>
      <c r="F66" s="191">
        <v>22698</v>
      </c>
      <c r="G66" s="22">
        <v>25424</v>
      </c>
      <c r="H66" s="22">
        <v>30193</v>
      </c>
      <c r="I66" s="22">
        <v>31158</v>
      </c>
      <c r="J66" s="22">
        <f ca="1">Schedule!K61</f>
        <v>32441.930969188295</v>
      </c>
      <c r="K66" s="22">
        <f ca="1">Schedule!L61</f>
        <v>34303.556882146884</v>
      </c>
      <c r="L66" s="22">
        <f ca="1">Schedule!M61</f>
        <v>36454.147299566081</v>
      </c>
      <c r="M66" s="22">
        <f ca="1">Schedule!N61</f>
        <v>38939.687003889274</v>
      </c>
      <c r="N66" s="184">
        <f ca="1">Schedule!O61</f>
        <v>41742.599827302256</v>
      </c>
    </row>
    <row r="67" spans="2:14" hidden="1" outlineLevel="1" x14ac:dyDescent="0.25">
      <c r="B67" s="185" t="s">
        <v>64</v>
      </c>
      <c r="F67" s="191">
        <v>17472</v>
      </c>
      <c r="G67" s="22">
        <v>12173</v>
      </c>
      <c r="H67" s="22">
        <v>14786</v>
      </c>
      <c r="I67" s="22">
        <v>24455</v>
      </c>
      <c r="J67" s="22">
        <f ca="1">J136</f>
        <v>36189.020747481234</v>
      </c>
      <c r="K67" s="22">
        <f t="shared" ref="K67:N67" ca="1" si="44">K136</f>
        <v>32846.686009938923</v>
      </c>
      <c r="L67" s="22">
        <f t="shared" ca="1" si="44"/>
        <v>41677.884032191963</v>
      </c>
      <c r="M67" s="22">
        <f t="shared" ca="1" si="44"/>
        <v>50036.362030717959</v>
      </c>
      <c r="N67" s="184">
        <f t="shared" ca="1" si="44"/>
        <v>49244.756366290487</v>
      </c>
    </row>
    <row r="68" spans="2:14" hidden="1" outlineLevel="1" x14ac:dyDescent="0.25">
      <c r="B68" s="185" t="s">
        <v>57</v>
      </c>
      <c r="F68" s="191">
        <v>248</v>
      </c>
      <c r="G68" s="22">
        <v>289</v>
      </c>
      <c r="H68" s="22">
        <v>248</v>
      </c>
      <c r="I68" s="22">
        <v>249</v>
      </c>
      <c r="J68" s="22">
        <f>I68</f>
        <v>249</v>
      </c>
      <c r="K68" s="22">
        <f t="shared" ref="K68:N68" si="45">J68</f>
        <v>249</v>
      </c>
      <c r="L68" s="22">
        <f t="shared" si="45"/>
        <v>249</v>
      </c>
      <c r="M68" s="22">
        <f t="shared" si="45"/>
        <v>249</v>
      </c>
      <c r="N68" s="184">
        <f t="shared" si="45"/>
        <v>249</v>
      </c>
    </row>
    <row r="69" spans="2:14" hidden="1" outlineLevel="1" x14ac:dyDescent="0.25">
      <c r="B69" s="185" t="s">
        <v>58</v>
      </c>
      <c r="F69" s="191">
        <v>8727</v>
      </c>
      <c r="G69" s="22">
        <v>11604</v>
      </c>
      <c r="H69" s="22">
        <v>12085</v>
      </c>
      <c r="I69" s="22">
        <v>13840</v>
      </c>
      <c r="J69" s="22">
        <f ca="1">Schedule!K62</f>
        <v>14410.306329468067</v>
      </c>
      <c r="K69" s="22">
        <f ca="1">Schedule!L62</f>
        <v>15237.217640699431</v>
      </c>
      <c r="L69" s="22">
        <f ca="1">Schedule!M62</f>
        <v>16192.483427241626</v>
      </c>
      <c r="M69" s="22">
        <f ca="1">Schedule!N62</f>
        <v>17296.529563316886</v>
      </c>
      <c r="N69" s="184">
        <f ca="1">Schedule!O62</f>
        <v>18541.548931570167</v>
      </c>
    </row>
    <row r="70" spans="2:14" hidden="1" outlineLevel="1" x14ac:dyDescent="0.25">
      <c r="B70" s="113" t="s">
        <v>60</v>
      </c>
      <c r="F70" s="191">
        <v>54</v>
      </c>
      <c r="G70" s="22">
        <v>6</v>
      </c>
      <c r="H70" s="22">
        <v>6397</v>
      </c>
      <c r="I70" s="22">
        <v>2975</v>
      </c>
      <c r="J70" s="22">
        <f>I70</f>
        <v>2975</v>
      </c>
      <c r="K70" s="22">
        <f t="shared" ref="K70:N70" si="46">J70</f>
        <v>2975</v>
      </c>
      <c r="L70" s="22">
        <f t="shared" si="46"/>
        <v>2975</v>
      </c>
      <c r="M70" s="22">
        <f t="shared" si="46"/>
        <v>2975</v>
      </c>
      <c r="N70" s="184">
        <f t="shared" si="46"/>
        <v>2975</v>
      </c>
    </row>
    <row r="71" spans="2:14" hidden="1" outlineLevel="1" x14ac:dyDescent="0.25">
      <c r="B71" s="113" t="s">
        <v>65</v>
      </c>
      <c r="F71" s="191">
        <v>11313</v>
      </c>
      <c r="G71" s="22">
        <v>14476</v>
      </c>
      <c r="H71" s="22">
        <v>12808</v>
      </c>
      <c r="I71" s="22">
        <v>11940</v>
      </c>
      <c r="J71" s="22">
        <f ca="1">Schedule!K63</f>
        <v>12432.0128304804</v>
      </c>
      <c r="K71" s="22">
        <f ca="1">Schedule!L63</f>
        <v>13145.403080198786</v>
      </c>
      <c r="L71" s="22">
        <f ca="1">Schedule!M63</f>
        <v>13969.526887374639</v>
      </c>
      <c r="M71" s="22">
        <f ca="1">Schedule!N63</f>
        <v>14922.005996098527</v>
      </c>
      <c r="N71" s="184">
        <f ca="1">Schedule!O63</f>
        <v>15996.1050753575</v>
      </c>
    </row>
    <row r="72" spans="2:14" hidden="1" outlineLevel="1" x14ac:dyDescent="0.25">
      <c r="B72" s="131" t="s">
        <v>66</v>
      </c>
      <c r="C72" s="111"/>
      <c r="D72" s="111"/>
      <c r="E72" s="111"/>
      <c r="F72" s="204">
        <f t="shared" ref="F72:G72" si="47">SUM(F65:F71)</f>
        <v>67185</v>
      </c>
      <c r="G72" s="40">
        <f t="shared" si="47"/>
        <v>70881</v>
      </c>
      <c r="H72" s="40">
        <f>SUM(H65:H71)</f>
        <v>89432</v>
      </c>
      <c r="I72" s="40">
        <f>SUM(I65:I71)</f>
        <v>97099</v>
      </c>
      <c r="J72" s="40">
        <f t="shared" ref="J72:N72" ca="1" si="48">SUM(J65:J71)</f>
        <v>111179.27087661799</v>
      </c>
      <c r="K72" s="40">
        <f t="shared" ca="1" si="48"/>
        <v>111238.86361298402</v>
      </c>
      <c r="L72" s="40">
        <f t="shared" ca="1" si="48"/>
        <v>124000.0416463743</v>
      </c>
      <c r="M72" s="40">
        <f t="shared" ca="1" si="48"/>
        <v>136900.58459402266</v>
      </c>
      <c r="N72" s="205">
        <f t="shared" ca="1" si="48"/>
        <v>141231.01020052042</v>
      </c>
    </row>
    <row r="73" spans="2:14" hidden="1" outlineLevel="1" x14ac:dyDescent="0.25">
      <c r="B73" s="132" t="s">
        <v>69</v>
      </c>
      <c r="C73" s="104"/>
      <c r="D73" s="104"/>
      <c r="E73" s="104"/>
      <c r="F73" s="197">
        <f t="shared" ref="F73:G73" si="49">F72+F62</f>
        <v>117885</v>
      </c>
      <c r="G73" s="44">
        <f t="shared" si="49"/>
        <v>125816</v>
      </c>
      <c r="H73" s="44">
        <f>H72+H62</f>
        <v>137814</v>
      </c>
      <c r="I73" s="44">
        <f>I72+I62</f>
        <v>148903</v>
      </c>
      <c r="J73" s="44">
        <f t="shared" ref="J73:N73" ca="1" si="50">J72+J62</f>
        <v>162682.96156795148</v>
      </c>
      <c r="K73" s="44">
        <f t="shared" ca="1" si="50"/>
        <v>163469.81932664663</v>
      </c>
      <c r="L73" s="44">
        <f t="shared" ca="1" si="50"/>
        <v>177193.97511661728</v>
      </c>
      <c r="M73" s="44">
        <f t="shared" ca="1" si="50"/>
        <v>191240.17289835427</v>
      </c>
      <c r="N73" s="198">
        <f t="shared" ca="1" si="50"/>
        <v>196646.62779277866</v>
      </c>
    </row>
    <row r="74" spans="2:14" hidden="1" outlineLevel="1" x14ac:dyDescent="0.25">
      <c r="B74" s="90"/>
      <c r="F74" s="191"/>
      <c r="G74" s="22"/>
      <c r="H74" s="22"/>
      <c r="I74" s="22"/>
      <c r="J74" s="22"/>
      <c r="K74" s="22"/>
      <c r="L74" s="22"/>
      <c r="M74" s="22"/>
      <c r="N74" s="184"/>
    </row>
    <row r="75" spans="2:14" hidden="1" outlineLevel="1" x14ac:dyDescent="0.25">
      <c r="B75" s="133" t="s">
        <v>70</v>
      </c>
      <c r="C75" s="108"/>
      <c r="D75" s="108"/>
      <c r="E75" s="108"/>
      <c r="F75" s="206"/>
      <c r="G75" s="172"/>
      <c r="H75" s="172"/>
      <c r="I75" s="172"/>
      <c r="J75" s="172"/>
      <c r="K75" s="172"/>
      <c r="L75" s="172"/>
      <c r="M75" s="172"/>
      <c r="N75" s="207"/>
    </row>
    <row r="76" spans="2:14" hidden="1" outlineLevel="1" x14ac:dyDescent="0.25">
      <c r="B76" s="113" t="s">
        <v>71</v>
      </c>
      <c r="F76" s="191">
        <v>2098</v>
      </c>
      <c r="G76" s="22">
        <v>2069</v>
      </c>
      <c r="H76" s="22">
        <v>2071</v>
      </c>
      <c r="I76" s="22">
        <v>2073</v>
      </c>
      <c r="J76" s="22">
        <f>I76</f>
        <v>2073</v>
      </c>
      <c r="K76" s="22">
        <f t="shared" ref="K76:N76" si="51">J76</f>
        <v>2073</v>
      </c>
      <c r="L76" s="22">
        <f t="shared" si="51"/>
        <v>2073</v>
      </c>
      <c r="M76" s="22">
        <f t="shared" si="51"/>
        <v>2073</v>
      </c>
      <c r="N76" s="184">
        <f t="shared" si="51"/>
        <v>2073</v>
      </c>
    </row>
    <row r="77" spans="2:14" hidden="1" outlineLevel="1" x14ac:dyDescent="0.25">
      <c r="B77" s="113" t="s">
        <v>72</v>
      </c>
      <c r="F77" s="191">
        <v>73252</v>
      </c>
      <c r="G77" s="22">
        <v>73338</v>
      </c>
      <c r="H77" s="22">
        <v>86045</v>
      </c>
      <c r="I77" s="22">
        <v>93745</v>
      </c>
      <c r="J77" s="22">
        <f ca="1">Schedule!K104</f>
        <v>104726.43724376526</v>
      </c>
      <c r="K77" s="22">
        <f ca="1">Schedule!L104</f>
        <v>103159.0136393331</v>
      </c>
      <c r="L77" s="22">
        <f ca="1">Schedule!M104</f>
        <v>114057.63759276035</v>
      </c>
      <c r="M77" s="22">
        <f ca="1">Schedule!N104</f>
        <v>124860.02177999524</v>
      </c>
      <c r="N77" s="184">
        <f ca="1">Schedule!O104</f>
        <v>126589.17183379401</v>
      </c>
    </row>
    <row r="78" spans="2:14" hidden="1" outlineLevel="1" x14ac:dyDescent="0.25">
      <c r="B78" s="113" t="s">
        <v>44</v>
      </c>
      <c r="F78" s="191">
        <v>386</v>
      </c>
      <c r="G78" s="22">
        <v>388</v>
      </c>
      <c r="H78" s="22">
        <v>345</v>
      </c>
      <c r="I78" s="22">
        <v>385</v>
      </c>
      <c r="J78" s="22">
        <f ca="1">I78+J38</f>
        <v>414.22925171557767</v>
      </c>
      <c r="K78" s="22">
        <f ca="1">J78+K38</f>
        <v>444.14745955551626</v>
      </c>
      <c r="L78" s="22">
        <f ca="1">K78+L38</f>
        <v>475.18597386323614</v>
      </c>
      <c r="M78" s="22">
        <f ca="1">L78+M38</f>
        <v>507.73290248459102</v>
      </c>
      <c r="N78" s="184">
        <f ca="1">M78+N38</f>
        <v>542.08083417383887</v>
      </c>
    </row>
    <row r="79" spans="2:14" hidden="1" outlineLevel="1" x14ac:dyDescent="0.25">
      <c r="B79" s="132" t="s">
        <v>73</v>
      </c>
      <c r="C79" s="104"/>
      <c r="D79" s="104"/>
      <c r="E79" s="104"/>
      <c r="F79" s="197">
        <f t="shared" ref="F79:G79" si="52">SUM(F76:F78)</f>
        <v>75736</v>
      </c>
      <c r="G79" s="44">
        <f t="shared" si="52"/>
        <v>75795</v>
      </c>
      <c r="H79" s="44">
        <f>SUM(H76:H78)</f>
        <v>88461</v>
      </c>
      <c r="I79" s="44">
        <f>SUM(I76:I78)</f>
        <v>96203</v>
      </c>
      <c r="J79" s="44">
        <f t="shared" ref="J79:N79" ca="1" si="53">SUM(J76:J78)</f>
        <v>107213.66649548084</v>
      </c>
      <c r="K79" s="44">
        <f t="shared" ca="1" si="53"/>
        <v>105676.16109888862</v>
      </c>
      <c r="L79" s="44">
        <f t="shared" ca="1" si="53"/>
        <v>116605.82356662359</v>
      </c>
      <c r="M79" s="44">
        <f t="shared" ca="1" si="53"/>
        <v>127440.75468247983</v>
      </c>
      <c r="N79" s="198">
        <f t="shared" ca="1" si="53"/>
        <v>129204.25266796786</v>
      </c>
    </row>
    <row r="80" spans="2:14" hidden="1" outlineLevel="1" x14ac:dyDescent="0.25">
      <c r="B80" s="132" t="s">
        <v>74</v>
      </c>
      <c r="C80" s="104"/>
      <c r="D80" s="104"/>
      <c r="E80" s="104"/>
      <c r="F80" s="201"/>
      <c r="G80" s="202"/>
      <c r="H80" s="202"/>
      <c r="I80" s="202"/>
      <c r="J80" s="202"/>
      <c r="K80" s="202"/>
      <c r="L80" s="202"/>
      <c r="M80" s="202"/>
      <c r="N80" s="203"/>
    </row>
    <row r="81" spans="2:14" hidden="1" outlineLevel="1" x14ac:dyDescent="0.25">
      <c r="B81" s="113" t="s">
        <v>283</v>
      </c>
      <c r="F81" s="191"/>
      <c r="G81" s="22"/>
      <c r="H81" s="22"/>
      <c r="I81" s="22"/>
      <c r="J81" s="22"/>
      <c r="K81" s="22"/>
      <c r="L81" s="22"/>
      <c r="M81" s="22"/>
      <c r="N81" s="184"/>
    </row>
    <row r="82" spans="2:14" hidden="1" outlineLevel="1" x14ac:dyDescent="0.25">
      <c r="B82" s="185" t="s">
        <v>75</v>
      </c>
      <c r="F82" s="191">
        <v>4602</v>
      </c>
      <c r="G82" s="22">
        <v>7057</v>
      </c>
      <c r="H82" s="22">
        <v>6400</v>
      </c>
      <c r="I82" s="22">
        <v>5772</v>
      </c>
      <c r="J82" s="22">
        <f>I82</f>
        <v>5772</v>
      </c>
      <c r="K82" s="22">
        <f t="shared" ref="K82:N82" si="54">J82</f>
        <v>5772</v>
      </c>
      <c r="L82" s="22">
        <f t="shared" si="54"/>
        <v>5772</v>
      </c>
      <c r="M82" s="22">
        <f t="shared" si="54"/>
        <v>5772</v>
      </c>
      <c r="N82" s="184">
        <f t="shared" si="54"/>
        <v>5772</v>
      </c>
    </row>
    <row r="83" spans="2:14" hidden="1" outlineLevel="1" x14ac:dyDescent="0.25">
      <c r="B83" s="185" t="s">
        <v>76</v>
      </c>
      <c r="F83" s="191">
        <v>2337</v>
      </c>
      <c r="G83" s="22">
        <v>2058</v>
      </c>
      <c r="H83" s="22">
        <v>2130</v>
      </c>
      <c r="I83" s="22">
        <v>2141</v>
      </c>
      <c r="J83" s="22">
        <f ca="1">Schedule!K86</f>
        <v>2555.4018315988169</v>
      </c>
      <c r="K83" s="22">
        <f ca="1">Schedule!L86</f>
        <v>2515.6641958682549</v>
      </c>
      <c r="L83" s="22">
        <f ca="1">Schedule!M86</f>
        <v>2673.2326056839561</v>
      </c>
      <c r="M83" s="22">
        <f ca="1">Schedule!N86</f>
        <v>2863.5226392832997</v>
      </c>
      <c r="N83" s="184">
        <f ca="1">Schedule!O86</f>
        <v>3119.9735595237653</v>
      </c>
    </row>
    <row r="84" spans="2:14" hidden="1" outlineLevel="1" x14ac:dyDescent="0.25">
      <c r="B84" s="113" t="s">
        <v>77</v>
      </c>
      <c r="F84" s="191">
        <v>1156</v>
      </c>
      <c r="G84" s="22">
        <v>1220</v>
      </c>
      <c r="H84" s="22">
        <v>1794</v>
      </c>
      <c r="I84" s="22">
        <v>1722</v>
      </c>
      <c r="J84" s="22">
        <f>I84</f>
        <v>1722</v>
      </c>
      <c r="K84" s="22">
        <f t="shared" ref="K84:N84" si="55">J84</f>
        <v>1722</v>
      </c>
      <c r="L84" s="22">
        <f t="shared" si="55"/>
        <v>1722</v>
      </c>
      <c r="M84" s="22">
        <f t="shared" si="55"/>
        <v>1722</v>
      </c>
      <c r="N84" s="184">
        <f t="shared" si="55"/>
        <v>1722</v>
      </c>
    </row>
    <row r="85" spans="2:14" hidden="1" outlineLevel="1" x14ac:dyDescent="0.25">
      <c r="B85" s="113" t="s">
        <v>78</v>
      </c>
      <c r="F85" s="191">
        <v>451</v>
      </c>
      <c r="G85" s="22">
        <v>500</v>
      </c>
      <c r="H85" s="22">
        <v>235</v>
      </c>
      <c r="I85" s="22">
        <v>215</v>
      </c>
      <c r="J85" s="22">
        <f ca="1">Schedule!K87</f>
        <v>422.68514253175141</v>
      </c>
      <c r="K85" s="22">
        <f ca="1">Schedule!L87</f>
        <v>392.34660966305017</v>
      </c>
      <c r="L85" s="22">
        <f ca="1">Schedule!M87</f>
        <v>358.76728145160331</v>
      </c>
      <c r="M85" s="22">
        <f ca="1">Schedule!N87</f>
        <v>401.16040541172907</v>
      </c>
      <c r="N85" s="184">
        <f ca="1">Schedule!O87</f>
        <v>465.53608706435165</v>
      </c>
    </row>
    <row r="86" spans="2:14" hidden="1" outlineLevel="1" x14ac:dyDescent="0.25">
      <c r="B86" s="132" t="s">
        <v>79</v>
      </c>
      <c r="C86" s="104"/>
      <c r="D86" s="104"/>
      <c r="E86" s="104"/>
      <c r="F86" s="197">
        <f t="shared" ref="F86:G86" si="56">SUM(F82:F85)</f>
        <v>8546</v>
      </c>
      <c r="G86" s="44">
        <f t="shared" si="56"/>
        <v>10835</v>
      </c>
      <c r="H86" s="44">
        <f>SUM(H82:H85)</f>
        <v>10559</v>
      </c>
      <c r="I86" s="44">
        <f>SUM(I82:I85)</f>
        <v>9850</v>
      </c>
      <c r="J86" s="44">
        <f t="shared" ref="J86:N86" ca="1" si="57">SUM(J82:J85)</f>
        <v>10472.086974130569</v>
      </c>
      <c r="K86" s="44">
        <f t="shared" ca="1" si="57"/>
        <v>10402.010805531307</v>
      </c>
      <c r="L86" s="44">
        <f t="shared" ca="1" si="57"/>
        <v>10525.999887135558</v>
      </c>
      <c r="M86" s="44">
        <f t="shared" ca="1" si="57"/>
        <v>10758.683044695028</v>
      </c>
      <c r="N86" s="198">
        <f t="shared" ca="1" si="57"/>
        <v>11079.509646588116</v>
      </c>
    </row>
    <row r="87" spans="2:14" hidden="1" outlineLevel="1" x14ac:dyDescent="0.25">
      <c r="B87" s="132" t="s">
        <v>80</v>
      </c>
      <c r="C87" s="104"/>
      <c r="D87" s="104"/>
      <c r="E87" s="104"/>
      <c r="F87" s="201"/>
      <c r="G87" s="202"/>
      <c r="H87" s="202"/>
      <c r="I87" s="202"/>
      <c r="J87" s="202"/>
      <c r="K87" s="202"/>
      <c r="L87" s="202"/>
      <c r="M87" s="202"/>
      <c r="N87" s="203"/>
    </row>
    <row r="88" spans="2:14" hidden="1" outlineLevel="1" x14ac:dyDescent="0.25">
      <c r="B88" s="113" t="s">
        <v>283</v>
      </c>
      <c r="F88" s="191"/>
      <c r="G88" s="22"/>
      <c r="H88" s="22"/>
      <c r="I88" s="22"/>
      <c r="J88" s="22"/>
      <c r="K88" s="22"/>
      <c r="L88" s="22"/>
      <c r="M88" s="22"/>
      <c r="N88" s="184"/>
    </row>
    <row r="89" spans="2:14" hidden="1" outlineLevel="1" x14ac:dyDescent="0.25">
      <c r="B89" s="185" t="s">
        <v>75</v>
      </c>
      <c r="F89" s="191">
        <v>872</v>
      </c>
      <c r="G89" s="22">
        <v>1242</v>
      </c>
      <c r="H89" s="22">
        <v>1959</v>
      </c>
      <c r="I89" s="22">
        <v>2455</v>
      </c>
      <c r="J89" s="22">
        <f>I89</f>
        <v>2455</v>
      </c>
      <c r="K89" s="22">
        <f t="shared" ref="K89:N89" si="58">J89</f>
        <v>2455</v>
      </c>
      <c r="L89" s="22">
        <f t="shared" si="58"/>
        <v>2455</v>
      </c>
      <c r="M89" s="22">
        <f t="shared" si="58"/>
        <v>2455</v>
      </c>
      <c r="N89" s="184">
        <f t="shared" si="58"/>
        <v>2455</v>
      </c>
    </row>
    <row r="90" spans="2:14" hidden="1" outlineLevel="1" x14ac:dyDescent="0.25">
      <c r="B90" s="185" t="s">
        <v>81</v>
      </c>
      <c r="F90" s="191">
        <v>4134</v>
      </c>
      <c r="G90" s="22">
        <v>3865</v>
      </c>
      <c r="H90" s="22">
        <v>3956</v>
      </c>
      <c r="I90" s="22">
        <v>4164</v>
      </c>
      <c r="J90" s="22">
        <f ca="1">Schedule!K67</f>
        <v>4426.4526527574526</v>
      </c>
      <c r="K90" s="22">
        <f ca="1">Schedule!L67</f>
        <v>4719.1243099231515</v>
      </c>
      <c r="L90" s="22">
        <f ca="1">Schedule!M67</f>
        <v>5045.5393056078155</v>
      </c>
      <c r="M90" s="22">
        <f ca="1">Schedule!N67</f>
        <v>5409.6107450844247</v>
      </c>
      <c r="N90" s="184">
        <f ca="1">Schedule!O67</f>
        <v>5815.6738148741988</v>
      </c>
    </row>
    <row r="91" spans="2:14" hidden="1" outlineLevel="1" x14ac:dyDescent="0.25">
      <c r="B91" s="185" t="s">
        <v>76</v>
      </c>
      <c r="F91" s="191">
        <v>15837</v>
      </c>
      <c r="G91" s="22">
        <v>18558</v>
      </c>
      <c r="H91" s="22">
        <v>16959</v>
      </c>
      <c r="I91" s="22">
        <v>18138</v>
      </c>
      <c r="J91" s="22">
        <f ca="1">Schedule!K68</f>
        <v>19281.219552284987</v>
      </c>
      <c r="K91" s="22">
        <f ca="1">Schedule!L68</f>
        <v>20556.070301005315</v>
      </c>
      <c r="L91" s="22">
        <f ca="1">Schedule!M68</f>
        <v>21977.903920536639</v>
      </c>
      <c r="M91" s="22">
        <f ca="1">Schedule!N68</f>
        <v>23563.765536585328</v>
      </c>
      <c r="N91" s="184">
        <f ca="1">Schedule!O68</f>
        <v>25332.538821851154</v>
      </c>
    </row>
    <row r="92" spans="2:14" hidden="1" outlineLevel="1" x14ac:dyDescent="0.25">
      <c r="B92" s="113" t="s">
        <v>82</v>
      </c>
      <c r="F92" s="191">
        <v>9178</v>
      </c>
      <c r="G92" s="22">
        <v>10830</v>
      </c>
      <c r="H92" s="22">
        <v>10539</v>
      </c>
      <c r="I92" s="22">
        <v>11765</v>
      </c>
      <c r="J92" s="22">
        <f ca="1">Schedule!K69</f>
        <v>12506.535893297654</v>
      </c>
      <c r="K92" s="22">
        <f ca="1">Schedule!L69</f>
        <v>13333.452811298244</v>
      </c>
      <c r="L92" s="22">
        <f ca="1">Schedule!M69</f>
        <v>14255.708436713725</v>
      </c>
      <c r="M92" s="22">
        <f ca="1">Schedule!N69</f>
        <v>15284.358889509669</v>
      </c>
      <c r="N92" s="184">
        <f ca="1">Schedule!O69</f>
        <v>16431.652841497344</v>
      </c>
    </row>
    <row r="93" spans="2:14" hidden="1" outlineLevel="1" x14ac:dyDescent="0.25">
      <c r="B93" s="113" t="s">
        <v>83</v>
      </c>
      <c r="F93" s="191">
        <v>975</v>
      </c>
      <c r="G93" s="22">
        <v>1307</v>
      </c>
      <c r="H93" s="22">
        <v>1796</v>
      </c>
      <c r="I93" s="22">
        <v>1475</v>
      </c>
      <c r="J93" s="22">
        <f>I93</f>
        <v>1475</v>
      </c>
      <c r="K93" s="22">
        <f t="shared" ref="K93:N93" si="59">J93</f>
        <v>1475</v>
      </c>
      <c r="L93" s="22">
        <f t="shared" si="59"/>
        <v>1475</v>
      </c>
      <c r="M93" s="22">
        <f t="shared" si="59"/>
        <v>1475</v>
      </c>
      <c r="N93" s="184">
        <f t="shared" si="59"/>
        <v>1475</v>
      </c>
    </row>
    <row r="94" spans="2:14" hidden="1" outlineLevel="1" x14ac:dyDescent="0.25">
      <c r="B94" s="113" t="s">
        <v>84</v>
      </c>
      <c r="F94" s="191">
        <v>2607</v>
      </c>
      <c r="G94" s="22">
        <v>3384</v>
      </c>
      <c r="H94" s="22">
        <v>3585</v>
      </c>
      <c r="I94" s="22">
        <v>4853</v>
      </c>
      <c r="J94" s="22">
        <f>I94</f>
        <v>4853</v>
      </c>
      <c r="K94" s="22">
        <f t="shared" ref="K94:N94" si="60">J94</f>
        <v>4853</v>
      </c>
      <c r="L94" s="22">
        <f t="shared" si="60"/>
        <v>4853</v>
      </c>
      <c r="M94" s="22">
        <f t="shared" si="60"/>
        <v>4853</v>
      </c>
      <c r="N94" s="184">
        <f t="shared" si="60"/>
        <v>4853</v>
      </c>
    </row>
    <row r="95" spans="2:14" hidden="1" outlineLevel="1" x14ac:dyDescent="0.25">
      <c r="B95" s="131" t="s">
        <v>85</v>
      </c>
      <c r="C95" s="111"/>
      <c r="D95" s="111"/>
      <c r="E95" s="111"/>
      <c r="F95" s="204">
        <f t="shared" ref="F95:G95" si="61">SUM(F89:F94)</f>
        <v>33603</v>
      </c>
      <c r="G95" s="40">
        <f t="shared" si="61"/>
        <v>39186</v>
      </c>
      <c r="H95" s="40">
        <f>SUM(H89:H94)</f>
        <v>38794</v>
      </c>
      <c r="I95" s="40">
        <f>SUM(I89:I94)</f>
        <v>42850</v>
      </c>
      <c r="J95" s="40">
        <f t="shared" ref="J95:N95" ca="1" si="62">SUM(J89:J94)</f>
        <v>44997.208098340096</v>
      </c>
      <c r="K95" s="40">
        <f t="shared" ca="1" si="62"/>
        <v>47391.647422226713</v>
      </c>
      <c r="L95" s="40">
        <f t="shared" ca="1" si="62"/>
        <v>50062.151662858174</v>
      </c>
      <c r="M95" s="40">
        <f t="shared" ca="1" si="62"/>
        <v>53040.735171179418</v>
      </c>
      <c r="N95" s="205">
        <f t="shared" ca="1" si="62"/>
        <v>56362.865478222695</v>
      </c>
    </row>
    <row r="96" spans="2:14" hidden="1" outlineLevel="1" x14ac:dyDescent="0.25">
      <c r="B96" s="132" t="s">
        <v>86</v>
      </c>
      <c r="C96" s="104"/>
      <c r="D96" s="104"/>
      <c r="E96" s="104"/>
      <c r="F96" s="197">
        <f t="shared" ref="F96:G96" si="63">F95+F86+F79</f>
        <v>117885</v>
      </c>
      <c r="G96" s="44">
        <f t="shared" si="63"/>
        <v>125816</v>
      </c>
      <c r="H96" s="44">
        <f>H95+H86+H79</f>
        <v>137814</v>
      </c>
      <c r="I96" s="44">
        <f>I95+I86+I79</f>
        <v>148903</v>
      </c>
      <c r="J96" s="44">
        <f t="shared" ref="J96:N96" ca="1" si="64">J95+J86+J79</f>
        <v>162682.96156795148</v>
      </c>
      <c r="K96" s="44">
        <f t="shared" ca="1" si="64"/>
        <v>163469.81932664663</v>
      </c>
      <c r="L96" s="44">
        <f t="shared" ca="1" si="64"/>
        <v>177193.97511661731</v>
      </c>
      <c r="M96" s="44">
        <f t="shared" ca="1" si="64"/>
        <v>191240.17289835427</v>
      </c>
      <c r="N96" s="198">
        <f t="shared" ca="1" si="64"/>
        <v>196646.62779277866</v>
      </c>
    </row>
    <row r="97" spans="1:14" hidden="1" outlineLevel="1" x14ac:dyDescent="0.25">
      <c r="B97" s="90"/>
      <c r="F97" s="90"/>
      <c r="N97" s="114"/>
    </row>
    <row r="98" spans="1:14" ht="14.4" hidden="1" outlineLevel="1" x14ac:dyDescent="0.3">
      <c r="B98" s="186" t="s">
        <v>89</v>
      </c>
      <c r="C98" s="187"/>
      <c r="D98" s="187"/>
      <c r="E98" s="187"/>
      <c r="F98" s="186" t="b">
        <f>IF(F96=F73,TRUE,F73-F96)</f>
        <v>1</v>
      </c>
      <c r="G98" s="187" t="b">
        <f t="shared" ref="G98:N98" si="65">IF(G96=G73,TRUE,G73-G96)</f>
        <v>1</v>
      </c>
      <c r="H98" s="187" t="b">
        <f t="shared" si="65"/>
        <v>1</v>
      </c>
      <c r="I98" s="187" t="b">
        <f t="shared" si="65"/>
        <v>1</v>
      </c>
      <c r="J98" s="188" t="b">
        <f ca="1">IF(J96=J73,TRUE,J73-J96)</f>
        <v>1</v>
      </c>
      <c r="K98" s="188" t="b">
        <f t="shared" ca="1" si="65"/>
        <v>1</v>
      </c>
      <c r="L98" s="188" t="b">
        <f t="shared" ca="1" si="65"/>
        <v>1</v>
      </c>
      <c r="M98" s="188" t="b">
        <f t="shared" ca="1" si="65"/>
        <v>1</v>
      </c>
      <c r="N98" s="189" t="b">
        <f t="shared" ca="1" si="65"/>
        <v>1</v>
      </c>
    </row>
    <row r="99" spans="1:14" collapsed="1" x14ac:dyDescent="0.25">
      <c r="B99" s="190"/>
      <c r="C99" s="108"/>
      <c r="D99" s="108"/>
      <c r="E99" s="108"/>
      <c r="F99" s="190"/>
      <c r="G99" s="108"/>
      <c r="H99" s="108"/>
      <c r="I99" s="108"/>
      <c r="J99" s="108"/>
      <c r="K99" s="108"/>
      <c r="L99" s="108"/>
      <c r="M99" s="108"/>
      <c r="N99" s="116"/>
    </row>
    <row r="101" spans="1:14" ht="13.8" x14ac:dyDescent="0.25">
      <c r="A101" s="5" t="s">
        <v>25</v>
      </c>
      <c r="B101" s="134" t="s">
        <v>87</v>
      </c>
      <c r="C101" s="135"/>
      <c r="D101" s="135"/>
      <c r="E101" s="135"/>
      <c r="F101" s="194">
        <v>44651</v>
      </c>
      <c r="G101" s="194">
        <f>EDATE(F101,12)</f>
        <v>45016</v>
      </c>
      <c r="H101" s="194">
        <f t="shared" ref="H101" si="66">EDATE(G101,12)</f>
        <v>45382</v>
      </c>
      <c r="I101" s="194">
        <f t="shared" ref="I101" si="67">EDATE(H101,12)</f>
        <v>45747</v>
      </c>
      <c r="J101" s="195">
        <f t="shared" ref="J101" si="68">EDATE(I101,12)</f>
        <v>46112</v>
      </c>
      <c r="K101" s="195">
        <f t="shared" ref="K101" si="69">EDATE(J101,12)</f>
        <v>46477</v>
      </c>
      <c r="L101" s="195">
        <f t="shared" ref="L101" si="70">EDATE(K101,12)</f>
        <v>46843</v>
      </c>
      <c r="M101" s="195">
        <f t="shared" ref="M101" si="71">EDATE(L101,12)</f>
        <v>47208</v>
      </c>
      <c r="N101" s="196">
        <f t="shared" ref="N101" si="72">EDATE(M101,12)</f>
        <v>47573</v>
      </c>
    </row>
    <row r="102" spans="1:14" x14ac:dyDescent="0.25">
      <c r="B102" s="90"/>
      <c r="N102" s="114"/>
    </row>
    <row r="103" spans="1:14" hidden="1" outlineLevel="1" x14ac:dyDescent="0.25">
      <c r="B103" s="133" t="s">
        <v>192</v>
      </c>
      <c r="C103" s="108"/>
      <c r="D103" s="108"/>
      <c r="E103" s="108"/>
      <c r="F103" s="108"/>
      <c r="G103" s="108"/>
      <c r="H103" s="108"/>
      <c r="I103" s="108"/>
      <c r="J103" s="108"/>
      <c r="K103" s="108"/>
      <c r="L103" s="108"/>
      <c r="M103" s="108"/>
      <c r="N103" s="116"/>
    </row>
    <row r="104" spans="1:14" hidden="1" outlineLevel="1" x14ac:dyDescent="0.25">
      <c r="B104" s="90" t="s">
        <v>190</v>
      </c>
      <c r="F104" s="174"/>
      <c r="G104" s="174"/>
      <c r="H104" s="174"/>
      <c r="I104" s="174"/>
      <c r="J104" s="22">
        <f ca="1">J34</f>
        <v>28381.59636325574</v>
      </c>
      <c r="K104" s="22">
        <f ca="1">K34</f>
        <v>29050.572593775636</v>
      </c>
      <c r="L104" s="22">
        <f ca="1">L34</f>
        <v>30138.389903678471</v>
      </c>
      <c r="M104" s="22">
        <f ca="1">M34</f>
        <v>31603.059838260793</v>
      </c>
      <c r="N104" s="184">
        <f ca="1">N34</f>
        <v>33351.833382630488</v>
      </c>
    </row>
    <row r="105" spans="1:14" hidden="1" outlineLevel="1" x14ac:dyDescent="0.25">
      <c r="B105" s="183" t="s">
        <v>191</v>
      </c>
      <c r="F105" s="174"/>
      <c r="G105" s="174"/>
      <c r="H105" s="174"/>
      <c r="I105" s="174"/>
      <c r="N105" s="114"/>
    </row>
    <row r="106" spans="1:14" hidden="1" outlineLevel="1" x14ac:dyDescent="0.25">
      <c r="B106" s="113" t="s">
        <v>193</v>
      </c>
      <c r="F106" s="174"/>
      <c r="G106" s="174"/>
      <c r="H106" s="174"/>
      <c r="I106" s="174"/>
      <c r="J106" s="22">
        <f ca="1">J25</f>
        <v>1553.8618765260544</v>
      </c>
      <c r="K106" s="22">
        <f ca="1">K25</f>
        <v>1977.8622248356583</v>
      </c>
      <c r="L106" s="22">
        <f ca="1">L25</f>
        <v>2339.7887043155206</v>
      </c>
      <c r="M106" s="22">
        <f ca="1">M25</f>
        <v>2829.4995187671361</v>
      </c>
      <c r="N106" s="184">
        <f ca="1">N25</f>
        <v>3356.1537286120729</v>
      </c>
    </row>
    <row r="107" spans="1:14" hidden="1" outlineLevel="1" x14ac:dyDescent="0.25">
      <c r="B107" s="183" t="s">
        <v>196</v>
      </c>
      <c r="F107" s="174"/>
      <c r="G107" s="174"/>
      <c r="H107" s="174"/>
      <c r="I107" s="174"/>
      <c r="N107" s="114"/>
    </row>
    <row r="108" spans="1:14" hidden="1" outlineLevel="1" x14ac:dyDescent="0.25">
      <c r="B108" s="113" t="s">
        <v>63</v>
      </c>
      <c r="F108" s="174"/>
      <c r="G108" s="174"/>
      <c r="H108" s="174"/>
      <c r="I108" s="174"/>
      <c r="J108" s="22">
        <f ca="1">I66-J66</f>
        <v>-1283.9309691882954</v>
      </c>
      <c r="K108" s="22">
        <f ca="1">J66-K66</f>
        <v>-1861.6259129585887</v>
      </c>
      <c r="L108" s="22">
        <f ca="1">K66-L66</f>
        <v>-2150.5904174191965</v>
      </c>
      <c r="M108" s="22">
        <f ca="1">L66-M66</f>
        <v>-2485.5397043231933</v>
      </c>
      <c r="N108" s="184">
        <f ca="1">M66-N66</f>
        <v>-2802.9128234129821</v>
      </c>
    </row>
    <row r="109" spans="1:14" hidden="1" outlineLevel="1" x14ac:dyDescent="0.25">
      <c r="B109" s="113" t="s">
        <v>58</v>
      </c>
      <c r="F109" s="174"/>
      <c r="G109" s="174"/>
      <c r="H109" s="174"/>
      <c r="I109" s="174"/>
      <c r="J109" s="22">
        <f ca="1">I69-J69</f>
        <v>-570.30632946806691</v>
      </c>
      <c r="K109" s="22">
        <f ca="1">J69-K69</f>
        <v>-826.91131123136438</v>
      </c>
      <c r="L109" s="22">
        <f ca="1">K69-L69</f>
        <v>-955.2657865421952</v>
      </c>
      <c r="M109" s="22">
        <f ca="1">L69-M69</f>
        <v>-1104.0461360752597</v>
      </c>
      <c r="N109" s="184">
        <f ca="1">M69-N69</f>
        <v>-1245.0193682532808</v>
      </c>
    </row>
    <row r="110" spans="1:14" hidden="1" outlineLevel="1" x14ac:dyDescent="0.25">
      <c r="B110" s="113" t="s">
        <v>65</v>
      </c>
      <c r="F110" s="174"/>
      <c r="G110" s="174"/>
      <c r="H110" s="174"/>
      <c r="I110" s="174"/>
      <c r="J110" s="22">
        <f ca="1">I71-J71</f>
        <v>-492.01283048040023</v>
      </c>
      <c r="K110" s="22">
        <f ca="1">J71-K71</f>
        <v>-713.39024971838626</v>
      </c>
      <c r="L110" s="22">
        <f ca="1">K71-L71</f>
        <v>-824.12380717585256</v>
      </c>
      <c r="M110" s="22">
        <f ca="1">L71-M71</f>
        <v>-952.4791087238882</v>
      </c>
      <c r="N110" s="184">
        <f ca="1">M71-N71</f>
        <v>-1074.0990792589728</v>
      </c>
    </row>
    <row r="111" spans="1:14" hidden="1" outlineLevel="1" x14ac:dyDescent="0.25">
      <c r="B111" s="113" t="s">
        <v>81</v>
      </c>
      <c r="F111" s="174"/>
      <c r="G111" s="174"/>
      <c r="H111" s="174"/>
      <c r="I111" s="174"/>
      <c r="J111" s="22">
        <f t="shared" ref="J111:N113" ca="1" si="73">J90-I90</f>
        <v>262.4526527574526</v>
      </c>
      <c r="K111" s="22">
        <f t="shared" ca="1" si="73"/>
        <v>292.67165716569889</v>
      </c>
      <c r="L111" s="22">
        <f t="shared" ca="1" si="73"/>
        <v>326.41499568466406</v>
      </c>
      <c r="M111" s="22">
        <f t="shared" ca="1" si="73"/>
        <v>364.07143947660916</v>
      </c>
      <c r="N111" s="184">
        <f t="shared" ca="1" si="73"/>
        <v>406.06306978977409</v>
      </c>
    </row>
    <row r="112" spans="1:14" hidden="1" outlineLevel="1" x14ac:dyDescent="0.25">
      <c r="B112" s="113" t="s">
        <v>76</v>
      </c>
      <c r="F112" s="174"/>
      <c r="G112" s="174"/>
      <c r="H112" s="174"/>
      <c r="I112" s="174"/>
      <c r="J112" s="22">
        <f t="shared" ca="1" si="73"/>
        <v>1143.219552284987</v>
      </c>
      <c r="K112" s="22">
        <f t="shared" ca="1" si="73"/>
        <v>1274.8507487203278</v>
      </c>
      <c r="L112" s="22">
        <f t="shared" ca="1" si="73"/>
        <v>1421.8336195313241</v>
      </c>
      <c r="M112" s="22">
        <f t="shared" ca="1" si="73"/>
        <v>1585.861616048689</v>
      </c>
      <c r="N112" s="184">
        <f t="shared" ca="1" si="73"/>
        <v>1768.7732852658264</v>
      </c>
    </row>
    <row r="113" spans="2:15" hidden="1" outlineLevel="1" x14ac:dyDescent="0.25">
      <c r="B113" s="113" t="s">
        <v>82</v>
      </c>
      <c r="F113" s="174"/>
      <c r="G113" s="174"/>
      <c r="H113" s="174"/>
      <c r="I113" s="174"/>
      <c r="J113" s="22">
        <f t="shared" ca="1" si="73"/>
        <v>741.53589329765418</v>
      </c>
      <c r="K113" s="22">
        <f t="shared" ca="1" si="73"/>
        <v>826.91691800059016</v>
      </c>
      <c r="L113" s="22">
        <f t="shared" ca="1" si="73"/>
        <v>922.25562541548061</v>
      </c>
      <c r="M113" s="22">
        <f t="shared" ca="1" si="73"/>
        <v>1028.6504527959441</v>
      </c>
      <c r="N113" s="184">
        <f t="shared" ca="1" si="73"/>
        <v>1147.2939519876745</v>
      </c>
      <c r="O113" s="22"/>
    </row>
    <row r="114" spans="2:15" hidden="1" outlineLevel="1" x14ac:dyDescent="0.25">
      <c r="B114" s="131" t="s">
        <v>213</v>
      </c>
      <c r="C114" s="111"/>
      <c r="D114" s="111"/>
      <c r="E114" s="111"/>
      <c r="F114" s="175"/>
      <c r="G114" s="175"/>
      <c r="H114" s="175"/>
      <c r="I114" s="175"/>
      <c r="J114" s="40">
        <f ca="1">SUM(J104:J113)</f>
        <v>29736.416208985123</v>
      </c>
      <c r="K114" s="40">
        <f t="shared" ref="K114:N114" ca="1" si="74">SUM(K104:K113)</f>
        <v>30020.946668589575</v>
      </c>
      <c r="L114" s="40">
        <f t="shared" ca="1" si="74"/>
        <v>31218.702837488217</v>
      </c>
      <c r="M114" s="40">
        <f t="shared" ca="1" si="74"/>
        <v>32869.07791622683</v>
      </c>
      <c r="N114" s="205">
        <f t="shared" ca="1" si="74"/>
        <v>34908.086147360598</v>
      </c>
    </row>
    <row r="115" spans="2:15" hidden="1" outlineLevel="1" x14ac:dyDescent="0.25">
      <c r="B115" s="90" t="s">
        <v>44</v>
      </c>
      <c r="F115" s="174"/>
      <c r="G115" s="174"/>
      <c r="H115" s="174"/>
      <c r="I115" s="174"/>
      <c r="J115" s="22">
        <f ca="1">J38</f>
        <v>29.2292517155777</v>
      </c>
      <c r="K115" s="22">
        <f ca="1">K38</f>
        <v>29.918207839938614</v>
      </c>
      <c r="L115" s="22">
        <f ca="1">L38</f>
        <v>31.038514307719876</v>
      </c>
      <c r="M115" s="22">
        <f ca="1">M38</f>
        <v>32.546928621354851</v>
      </c>
      <c r="N115" s="184">
        <f ca="1">N38</f>
        <v>34.347931689247865</v>
      </c>
    </row>
    <row r="116" spans="2:15" hidden="1" outlineLevel="1" x14ac:dyDescent="0.25">
      <c r="B116" s="132" t="s">
        <v>197</v>
      </c>
      <c r="C116" s="104"/>
      <c r="D116" s="104"/>
      <c r="E116" s="104"/>
      <c r="F116" s="178"/>
      <c r="G116" s="178"/>
      <c r="H116" s="178"/>
      <c r="I116" s="178"/>
      <c r="J116" s="44">
        <f ca="1">SUM(J114:J115)</f>
        <v>29765.6454607007</v>
      </c>
      <c r="K116" s="44">
        <f t="shared" ref="K116:N116" ca="1" si="75">SUM(K114:K115)</f>
        <v>30050.864876429514</v>
      </c>
      <c r="L116" s="44">
        <f t="shared" ca="1" si="75"/>
        <v>31249.741351795936</v>
      </c>
      <c r="M116" s="44">
        <f t="shared" ca="1" si="75"/>
        <v>32901.624844848186</v>
      </c>
      <c r="N116" s="198">
        <f t="shared" ca="1" si="75"/>
        <v>34942.434079049846</v>
      </c>
    </row>
    <row r="117" spans="2:15" hidden="1" outlineLevel="1" x14ac:dyDescent="0.25">
      <c r="B117" s="90"/>
      <c r="F117" s="174"/>
      <c r="G117" s="174"/>
      <c r="H117" s="174"/>
      <c r="I117" s="174"/>
      <c r="N117" s="114"/>
    </row>
    <row r="118" spans="2:15" hidden="1" outlineLevel="1" x14ac:dyDescent="0.25">
      <c r="B118" s="133" t="s">
        <v>198</v>
      </c>
      <c r="C118" s="108"/>
      <c r="D118" s="108"/>
      <c r="E118" s="108"/>
      <c r="F118" s="208"/>
      <c r="G118" s="208"/>
      <c r="H118" s="208"/>
      <c r="I118" s="208"/>
      <c r="J118" s="108"/>
      <c r="K118" s="108"/>
      <c r="L118" s="108"/>
      <c r="M118" s="108"/>
      <c r="N118" s="116"/>
    </row>
    <row r="119" spans="2:15" hidden="1" outlineLevel="1" x14ac:dyDescent="0.25">
      <c r="B119" s="90" t="s">
        <v>201</v>
      </c>
      <c r="F119" s="174"/>
      <c r="G119" s="174"/>
      <c r="H119" s="174"/>
      <c r="I119" s="174"/>
      <c r="J119" s="22">
        <f ca="1">-Schedule!K42</f>
        <v>-2796.3236091014755</v>
      </c>
      <c r="K119" s="22">
        <f ca="1">-Schedule!L42</f>
        <v>-3252.4645553461955</v>
      </c>
      <c r="L119" s="22">
        <f ca="1">-Schedule!M42</f>
        <v>-3770.5866339554668</v>
      </c>
      <c r="M119" s="22">
        <f ca="1">-Schedule!N42</f>
        <v>-4363.3147504209255</v>
      </c>
      <c r="N119" s="184">
        <f ca="1">-Schedule!O42</f>
        <v>-5037.1892017928603</v>
      </c>
    </row>
    <row r="120" spans="2:15" hidden="1" outlineLevel="1" x14ac:dyDescent="0.25">
      <c r="B120" s="90" t="s">
        <v>199</v>
      </c>
      <c r="F120" s="174"/>
      <c r="G120" s="174"/>
      <c r="H120" s="174"/>
      <c r="I120" s="174"/>
      <c r="J120" s="22">
        <f ca="1">Schedule!K44</f>
        <v>1675.3498821773062</v>
      </c>
      <c r="K120" s="22">
        <f ca="1">Schedule!L44</f>
        <v>1808.6791113606382</v>
      </c>
      <c r="L120" s="22">
        <f ca="1">Schedule!M44</f>
        <v>1688.9468194955539</v>
      </c>
      <c r="M120" s="22">
        <f ca="1">Schedule!N44</f>
        <v>1848.5183862226902</v>
      </c>
      <c r="N120" s="184">
        <f ca="1">Schedule!O44</f>
        <v>2068.0248000712968</v>
      </c>
    </row>
    <row r="121" spans="2:15" hidden="1" outlineLevel="1" x14ac:dyDescent="0.25">
      <c r="B121" s="90" t="s">
        <v>200</v>
      </c>
      <c r="F121" s="174"/>
      <c r="G121" s="174"/>
      <c r="H121" s="174"/>
      <c r="I121" s="174"/>
      <c r="J121" s="22">
        <f ca="1">-Schedule!K52</f>
        <v>-597.80331089852496</v>
      </c>
      <c r="K121" s="22">
        <f ca="1">-Schedule!L52</f>
        <v>-695.31797873380424</v>
      </c>
      <c r="L121" s="22">
        <f ca="1">-Schedule!M52</f>
        <v>-806.08308940773418</v>
      </c>
      <c r="M121" s="22">
        <f ca="1">-Schedule!N52</f>
        <v>-932.79761891798421</v>
      </c>
      <c r="N121" s="184">
        <f ca="1">-Schedule!O52</f>
        <v>-1076.8597642465475</v>
      </c>
    </row>
    <row r="122" spans="2:15" hidden="1" outlineLevel="1" x14ac:dyDescent="0.25">
      <c r="B122" s="90" t="s">
        <v>205</v>
      </c>
      <c r="F122" s="174"/>
      <c r="G122" s="174"/>
      <c r="H122" s="174"/>
      <c r="I122" s="174"/>
      <c r="J122" s="22">
        <f ca="1">I61-J61</f>
        <v>43.456858441862551</v>
      </c>
      <c r="K122" s="22">
        <f ca="1">J61-K61</f>
        <v>-110.57526156979975</v>
      </c>
      <c r="L122" s="22">
        <f ca="1">K61-L61</f>
        <v>-159.95162987578487</v>
      </c>
      <c r="M122" s="22">
        <f ca="1">L61-M61</f>
        <v>-282.72396615920525</v>
      </c>
      <c r="N122" s="184">
        <f ca="1">M61-N61</f>
        <v>-187.01645183636629</v>
      </c>
    </row>
    <row r="123" spans="2:15" hidden="1" outlineLevel="1" x14ac:dyDescent="0.25">
      <c r="B123" s="90" t="s">
        <v>206</v>
      </c>
      <c r="F123" s="174"/>
      <c r="G123" s="174"/>
      <c r="H123" s="174"/>
      <c r="I123" s="174"/>
      <c r="J123" s="22">
        <f ca="1">I58-J58</f>
        <v>421.76761152127665</v>
      </c>
      <c r="K123" s="22">
        <f ca="1">J58-K58</f>
        <v>-455.44856287558332</v>
      </c>
      <c r="L123" s="22">
        <f ca="1">K58-L58</f>
        <v>-255.09192715248446</v>
      </c>
      <c r="M123" s="22">
        <f ca="1">L58-M58</f>
        <v>-244.83640358033836</v>
      </c>
      <c r="N123" s="184">
        <f ca="1">M58-N58</f>
        <v>-199.14239873420638</v>
      </c>
    </row>
    <row r="124" spans="2:15" hidden="1" outlineLevel="1" x14ac:dyDescent="0.25">
      <c r="B124" s="132" t="s">
        <v>202</v>
      </c>
      <c r="C124" s="104"/>
      <c r="D124" s="104"/>
      <c r="E124" s="104"/>
      <c r="F124" s="178"/>
      <c r="G124" s="178"/>
      <c r="H124" s="178"/>
      <c r="I124" s="178"/>
      <c r="J124" s="44">
        <f ca="1">SUM(J119:J123)</f>
        <v>-1253.552567859555</v>
      </c>
      <c r="K124" s="44">
        <f t="shared" ref="K124:N124" ca="1" si="76">SUM(K119:K123)</f>
        <v>-2705.1272471647444</v>
      </c>
      <c r="L124" s="44">
        <f t="shared" ca="1" si="76"/>
        <v>-3302.7664608959162</v>
      </c>
      <c r="M124" s="44">
        <f t="shared" ca="1" si="76"/>
        <v>-3975.1543528557631</v>
      </c>
      <c r="N124" s="198">
        <f t="shared" ca="1" si="76"/>
        <v>-4432.1830165386837</v>
      </c>
    </row>
    <row r="125" spans="2:15" hidden="1" outlineLevel="1" x14ac:dyDescent="0.25">
      <c r="B125" s="90"/>
      <c r="F125" s="174"/>
      <c r="G125" s="174"/>
      <c r="H125" s="174"/>
      <c r="I125" s="174"/>
      <c r="N125" s="114"/>
    </row>
    <row r="126" spans="2:15" hidden="1" outlineLevel="1" x14ac:dyDescent="0.25">
      <c r="B126" s="133" t="s">
        <v>203</v>
      </c>
      <c r="C126" s="108"/>
      <c r="D126" s="108"/>
      <c r="E126" s="108"/>
      <c r="F126" s="208"/>
      <c r="G126" s="208"/>
      <c r="H126" s="208"/>
      <c r="I126" s="208"/>
      <c r="J126" s="108"/>
      <c r="K126" s="108"/>
      <c r="L126" s="108"/>
      <c r="M126" s="108"/>
      <c r="N126" s="116"/>
    </row>
    <row r="127" spans="2:15" hidden="1" outlineLevel="1" x14ac:dyDescent="0.25">
      <c r="B127" s="90" t="s">
        <v>220</v>
      </c>
      <c r="F127" s="174"/>
      <c r="G127" s="174"/>
      <c r="H127" s="174"/>
      <c r="I127" s="174"/>
      <c r="J127" s="22">
        <f ca="1">-Schedule!K102</f>
        <v>-17400.159119490476</v>
      </c>
      <c r="K127" s="22">
        <f ca="1">-Schedule!L102</f>
        <v>-18117.996198207817</v>
      </c>
      <c r="L127" s="22">
        <f ca="1">-Schedule!M102</f>
        <v>-19239.765950251232</v>
      </c>
      <c r="M127" s="22">
        <f ca="1">-Schedule!N102</f>
        <v>-20800.675651025897</v>
      </c>
      <c r="N127" s="184">
        <f ca="1">-Schedule!O102</f>
        <v>-21122.683328831721</v>
      </c>
    </row>
    <row r="128" spans="2:15" hidden="1" outlineLevel="1" x14ac:dyDescent="0.25">
      <c r="B128" s="90" t="s">
        <v>219</v>
      </c>
      <c r="F128" s="174"/>
      <c r="G128" s="174"/>
      <c r="H128" s="174"/>
      <c r="I128" s="174"/>
      <c r="J128" s="22">
        <f>-Schedule!K103</f>
        <v>0</v>
      </c>
      <c r="K128" s="22">
        <f>-Schedule!L103</f>
        <v>-12500</v>
      </c>
      <c r="L128" s="22">
        <f>-Schedule!M103</f>
        <v>0</v>
      </c>
      <c r="M128" s="22">
        <f>-Schedule!N103</f>
        <v>0</v>
      </c>
      <c r="N128" s="184">
        <f>-Schedule!O103</f>
        <v>-10500</v>
      </c>
    </row>
    <row r="129" spans="2:14" hidden="1" outlineLevel="1" x14ac:dyDescent="0.25">
      <c r="B129" s="90" t="s">
        <v>204</v>
      </c>
      <c r="F129" s="174"/>
      <c r="G129" s="174"/>
      <c r="H129" s="174"/>
      <c r="I129" s="174"/>
      <c r="J129" s="22">
        <f ca="1">J83-I83</f>
        <v>414.4018315988169</v>
      </c>
      <c r="K129" s="22">
        <f ca="1">K83-J83</f>
        <v>-39.737635730562033</v>
      </c>
      <c r="L129" s="22">
        <f ca="1">L83-K83</f>
        <v>157.56840981570122</v>
      </c>
      <c r="M129" s="22">
        <f ca="1">M83-L83</f>
        <v>190.29003359934359</v>
      </c>
      <c r="N129" s="184">
        <f ca="1">N83-M83</f>
        <v>256.45092024046562</v>
      </c>
    </row>
    <row r="130" spans="2:14" hidden="1" outlineLevel="1" x14ac:dyDescent="0.25">
      <c r="B130" s="90" t="s">
        <v>207</v>
      </c>
      <c r="F130" s="174"/>
      <c r="G130" s="174"/>
      <c r="H130" s="174"/>
      <c r="I130" s="174"/>
      <c r="J130" s="22">
        <f ca="1">J85-I85</f>
        <v>207.68514253175141</v>
      </c>
      <c r="K130" s="22">
        <f ca="1">K85-J85</f>
        <v>-30.338532868701236</v>
      </c>
      <c r="L130" s="22">
        <f ca="1">L85-K85</f>
        <v>-33.579328211446864</v>
      </c>
      <c r="M130" s="22">
        <f ca="1">M85-L85</f>
        <v>42.393123960125763</v>
      </c>
      <c r="N130" s="184">
        <f ca="1">N85-M85</f>
        <v>64.375681652622575</v>
      </c>
    </row>
    <row r="131" spans="2:14" hidden="1" outlineLevel="1" x14ac:dyDescent="0.25">
      <c r="B131" s="132" t="s">
        <v>208</v>
      </c>
      <c r="C131" s="104"/>
      <c r="D131" s="104"/>
      <c r="E131" s="104"/>
      <c r="F131" s="178"/>
      <c r="G131" s="178"/>
      <c r="H131" s="178"/>
      <c r="I131" s="178"/>
      <c r="J131" s="44">
        <f ca="1">SUM(J127:J130)</f>
        <v>-16778.072145359907</v>
      </c>
      <c r="K131" s="44">
        <f t="shared" ref="K131:N131" ca="1" si="77">SUM(K127:K130)</f>
        <v>-30688.072366807079</v>
      </c>
      <c r="L131" s="44">
        <f t="shared" ca="1" si="77"/>
        <v>-19115.776868646979</v>
      </c>
      <c r="M131" s="44">
        <f t="shared" ca="1" si="77"/>
        <v>-20567.992493466427</v>
      </c>
      <c r="N131" s="198">
        <f t="shared" ca="1" si="77"/>
        <v>-31301.856726938633</v>
      </c>
    </row>
    <row r="132" spans="2:14" hidden="1" outlineLevel="1" x14ac:dyDescent="0.25">
      <c r="B132" s="90"/>
      <c r="F132" s="174"/>
      <c r="G132" s="174"/>
      <c r="H132" s="174"/>
      <c r="I132" s="174"/>
      <c r="N132" s="114"/>
    </row>
    <row r="133" spans="2:14" hidden="1" outlineLevel="1" x14ac:dyDescent="0.25">
      <c r="B133" s="132" t="s">
        <v>209</v>
      </c>
      <c r="C133" s="104"/>
      <c r="D133" s="104"/>
      <c r="E133" s="104"/>
      <c r="F133" s="178"/>
      <c r="G133" s="178"/>
      <c r="H133" s="178"/>
      <c r="I133" s="178"/>
      <c r="J133" s="44">
        <f ca="1">J116+J124+J131</f>
        <v>11734.020747481238</v>
      </c>
      <c r="K133" s="44">
        <f t="shared" ref="K133:N133" ca="1" si="78">K116+K124+K131</f>
        <v>-3342.3347375423109</v>
      </c>
      <c r="L133" s="44">
        <f t="shared" ca="1" si="78"/>
        <v>8831.1980222530401</v>
      </c>
      <c r="M133" s="44">
        <f t="shared" ca="1" si="78"/>
        <v>8358.4779985259956</v>
      </c>
      <c r="N133" s="198">
        <f t="shared" ca="1" si="78"/>
        <v>-791.60566442747222</v>
      </c>
    </row>
    <row r="134" spans="2:14" hidden="1" outlineLevel="1" x14ac:dyDescent="0.25">
      <c r="B134" s="90"/>
      <c r="F134" s="174"/>
      <c r="G134" s="174"/>
      <c r="H134" s="174"/>
      <c r="I134" s="174"/>
      <c r="N134" s="114"/>
    </row>
    <row r="135" spans="2:14" hidden="1" outlineLevel="1" x14ac:dyDescent="0.25">
      <c r="B135" s="90" t="s">
        <v>210</v>
      </c>
      <c r="F135" s="174"/>
      <c r="G135" s="174"/>
      <c r="H135" s="174"/>
      <c r="I135" s="174"/>
      <c r="J135" s="22">
        <f>I67</f>
        <v>24455</v>
      </c>
      <c r="K135" s="22">
        <f ca="1">J136</f>
        <v>36189.020747481234</v>
      </c>
      <c r="L135" s="22">
        <f t="shared" ref="L135:N135" ca="1" si="79">K136</f>
        <v>32846.686009938923</v>
      </c>
      <c r="M135" s="22">
        <f t="shared" ca="1" si="79"/>
        <v>41677.884032191963</v>
      </c>
      <c r="N135" s="184">
        <f t="shared" ca="1" si="79"/>
        <v>50036.362030717959</v>
      </c>
    </row>
    <row r="136" spans="2:14" hidden="1" outlineLevel="1" x14ac:dyDescent="0.25">
      <c r="B136" s="132" t="s">
        <v>211</v>
      </c>
      <c r="C136" s="104"/>
      <c r="D136" s="104"/>
      <c r="E136" s="104"/>
      <c r="F136" s="178"/>
      <c r="G136" s="178"/>
      <c r="H136" s="178"/>
      <c r="I136" s="178"/>
      <c r="J136" s="44">
        <f ca="1">J133+J135</f>
        <v>36189.020747481234</v>
      </c>
      <c r="K136" s="44">
        <f t="shared" ref="K136" ca="1" si="80">K133+K135</f>
        <v>32846.686009938923</v>
      </c>
      <c r="L136" s="44">
        <f t="shared" ref="L136" ca="1" si="81">L133+L135</f>
        <v>41677.884032191963</v>
      </c>
      <c r="M136" s="44">
        <f t="shared" ref="M136" ca="1" si="82">M133+M135</f>
        <v>50036.362030717959</v>
      </c>
      <c r="N136" s="198">
        <f t="shared" ref="N136" ca="1" si="83">N133+N135</f>
        <v>49244.756366290487</v>
      </c>
    </row>
    <row r="137" spans="2:14" hidden="1" outlineLevel="1" x14ac:dyDescent="0.25">
      <c r="B137" s="190"/>
      <c r="C137" s="108"/>
      <c r="D137" s="108"/>
      <c r="E137" s="108"/>
      <c r="F137" s="108"/>
      <c r="G137" s="108"/>
      <c r="H137" s="108"/>
      <c r="I137" s="108"/>
      <c r="J137" s="108"/>
      <c r="K137" s="108"/>
      <c r="L137" s="108"/>
      <c r="M137" s="108"/>
      <c r="N137" s="116"/>
    </row>
    <row r="138" spans="2:14" collapsed="1" x14ac:dyDescent="0.25"/>
    <row r="139" spans="2:14" ht="14.4" x14ac:dyDescent="0.3">
      <c r="B139" s="72" t="s">
        <v>218</v>
      </c>
      <c r="C139" s="14"/>
    </row>
  </sheetData>
  <mergeCells count="4">
    <mergeCell ref="F5:I5"/>
    <mergeCell ref="J5:N5"/>
    <mergeCell ref="O5:P5"/>
    <mergeCell ref="Q5:S6"/>
  </mergeCells>
  <hyperlinks>
    <hyperlink ref="B8" location="Dashboard!A1" display="&lt;-Back to dashboard" xr:uid="{344A16CC-67D3-41F6-BC16-98B2BE8FE9C8}"/>
    <hyperlink ref="B139" location="Statements!A8" display="&lt;- Go back to the top" xr:uid="{01C862AD-BBFF-44E1-A1C3-BBE9E7A273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0C779-B767-4076-B300-FA107F1CBF6C}">
  <sheetPr>
    <pageSetUpPr autoPageBreaks="0"/>
  </sheetPr>
  <dimension ref="A1:S112"/>
  <sheetViews>
    <sheetView showGridLines="0" zoomScale="85" zoomScaleNormal="85" workbookViewId="0">
      <selection activeCell="O13" sqref="O13"/>
    </sheetView>
  </sheetViews>
  <sheetFormatPr defaultRowHeight="13.2" x14ac:dyDescent="0.25"/>
  <cols>
    <col min="1" max="1" width="2.88671875" style="89" customWidth="1"/>
    <col min="2" max="16" width="10.77734375" style="1" customWidth="1"/>
    <col min="17" max="19" width="13.88671875" style="1" customWidth="1"/>
    <col min="20" max="16384" width="8.88671875" style="1"/>
  </cols>
  <sheetData>
    <row r="1" spans="1:19" s="5" customFormat="1" ht="13.8" x14ac:dyDescent="0.25">
      <c r="A1" s="105"/>
    </row>
    <row r="2" spans="1:19" s="5" customFormat="1" ht="13.8" x14ac:dyDescent="0.25">
      <c r="A2" s="106"/>
      <c r="B2" s="107" t="str">
        <f>Dashboard!C2</f>
        <v>Infosys Ltd.</v>
      </c>
      <c r="C2" s="7"/>
      <c r="D2" s="7"/>
      <c r="E2" s="7"/>
      <c r="F2" s="7"/>
      <c r="G2" s="7"/>
      <c r="H2" s="7"/>
      <c r="I2" s="7"/>
      <c r="J2" s="7"/>
      <c r="K2" s="7"/>
      <c r="L2" s="7"/>
      <c r="M2" s="7"/>
      <c r="N2" s="7"/>
      <c r="O2" s="7"/>
      <c r="P2" s="7"/>
      <c r="Q2" s="7"/>
      <c r="R2" s="7"/>
      <c r="S2" s="7"/>
    </row>
    <row r="3" spans="1:19" s="5" customFormat="1" ht="13.8" x14ac:dyDescent="0.25">
      <c r="A3" s="105"/>
      <c r="B3" s="8" t="s">
        <v>91</v>
      </c>
      <c r="C3" s="7"/>
      <c r="D3" s="7"/>
      <c r="E3" s="7"/>
      <c r="F3" s="7"/>
      <c r="G3" s="7"/>
      <c r="H3" s="7"/>
      <c r="I3" s="7"/>
      <c r="J3" s="7"/>
      <c r="K3" s="7"/>
      <c r="L3" s="7"/>
      <c r="M3" s="7"/>
      <c r="N3" s="7"/>
      <c r="O3" s="7"/>
      <c r="P3" s="7"/>
      <c r="Q3" s="7"/>
      <c r="R3" s="7"/>
      <c r="S3" s="7"/>
    </row>
    <row r="4" spans="1:19" s="5" customFormat="1" ht="13.8" x14ac:dyDescent="0.25">
      <c r="A4" s="105"/>
      <c r="B4" s="9" t="str">
        <f>Dashboard!C4</f>
        <v>(In ₹ Crore, except equity share and per equity share data)</v>
      </c>
      <c r="C4" s="7"/>
      <c r="D4" s="7"/>
      <c r="E4" s="7"/>
      <c r="F4" s="7"/>
      <c r="G4" s="7"/>
      <c r="H4" s="7"/>
      <c r="I4" s="7"/>
      <c r="J4" s="7"/>
      <c r="K4" s="7"/>
      <c r="L4" s="7"/>
      <c r="M4" s="7"/>
      <c r="N4" s="7"/>
      <c r="O4" s="7"/>
      <c r="P4" s="7"/>
      <c r="Q4" s="7"/>
      <c r="R4" s="7"/>
      <c r="S4" s="7"/>
    </row>
    <row r="5" spans="1:19" s="5" customFormat="1" ht="13.8" x14ac:dyDescent="0.25">
      <c r="A5" s="105"/>
      <c r="B5" s="8" t="s">
        <v>0</v>
      </c>
      <c r="C5" s="10"/>
      <c r="D5" s="10"/>
      <c r="E5" s="10"/>
      <c r="F5" s="375" t="s">
        <v>92</v>
      </c>
      <c r="G5" s="376"/>
      <c r="H5" s="376"/>
      <c r="I5" s="376"/>
      <c r="J5" s="375" t="s">
        <v>2</v>
      </c>
      <c r="K5" s="376"/>
      <c r="L5" s="376"/>
      <c r="M5" s="376"/>
      <c r="N5" s="376"/>
      <c r="O5" s="382" t="s">
        <v>22</v>
      </c>
      <c r="P5" s="383"/>
      <c r="Q5" s="384" t="s">
        <v>11</v>
      </c>
      <c r="R5" s="385"/>
      <c r="S5" s="385"/>
    </row>
    <row r="6" spans="1:19" s="5" customFormat="1" ht="13.8" x14ac:dyDescent="0.25">
      <c r="A6" s="105"/>
      <c r="B6" s="8" t="s">
        <v>1</v>
      </c>
      <c r="C6" s="10"/>
      <c r="D6" s="10"/>
      <c r="E6" s="10"/>
      <c r="F6" s="18">
        <f>Financials!F6</f>
        <v>44651</v>
      </c>
      <c r="G6" s="18">
        <f>EDATE(F6,12)</f>
        <v>45016</v>
      </c>
      <c r="H6" s="18">
        <f t="shared" ref="H6:N6" si="0">EDATE(G6,12)</f>
        <v>45382</v>
      </c>
      <c r="I6" s="11">
        <f t="shared" si="0"/>
        <v>45747</v>
      </c>
      <c r="J6" s="20">
        <f t="shared" si="0"/>
        <v>46112</v>
      </c>
      <c r="K6" s="20">
        <f t="shared" si="0"/>
        <v>46477</v>
      </c>
      <c r="L6" s="15">
        <f t="shared" si="0"/>
        <v>46843</v>
      </c>
      <c r="M6" s="20">
        <f t="shared" si="0"/>
        <v>47208</v>
      </c>
      <c r="N6" s="15">
        <f t="shared" si="0"/>
        <v>47573</v>
      </c>
      <c r="O6" s="29" t="s">
        <v>104</v>
      </c>
      <c r="P6" s="28" t="s">
        <v>108</v>
      </c>
      <c r="Q6" s="386"/>
      <c r="R6" s="387"/>
      <c r="S6" s="387"/>
    </row>
    <row r="8" spans="1:19" ht="14.4" x14ac:dyDescent="0.3">
      <c r="B8" s="43" t="s">
        <v>214</v>
      </c>
    </row>
    <row r="10" spans="1:19" x14ac:dyDescent="0.25">
      <c r="A10" s="89" t="s">
        <v>25</v>
      </c>
      <c r="B10" s="17" t="s">
        <v>10</v>
      </c>
      <c r="C10" s="24"/>
      <c r="D10" s="24"/>
      <c r="E10" s="24"/>
      <c r="F10" s="24"/>
      <c r="G10" s="24"/>
      <c r="H10" s="24"/>
      <c r="I10" s="24"/>
      <c r="J10" s="24"/>
      <c r="K10" s="24"/>
      <c r="L10" s="24"/>
      <c r="M10" s="24"/>
      <c r="N10" s="24"/>
      <c r="O10" s="24"/>
      <c r="P10" s="24"/>
      <c r="Q10" s="24"/>
      <c r="R10" s="24"/>
      <c r="S10" s="24"/>
    </row>
    <row r="12" spans="1:19" x14ac:dyDescent="0.25">
      <c r="B12" s="109" t="s">
        <v>275</v>
      </c>
      <c r="C12" s="109"/>
      <c r="D12" s="109"/>
      <c r="E12" s="109"/>
      <c r="G12" s="117" t="s">
        <v>351</v>
      </c>
      <c r="H12" s="112">
        <v>1</v>
      </c>
      <c r="J12" s="110" t="s">
        <v>128</v>
      </c>
      <c r="K12" s="111"/>
      <c r="L12" s="112">
        <v>1</v>
      </c>
    </row>
    <row r="13" spans="1:19" x14ac:dyDescent="0.25">
      <c r="G13" s="90" t="s">
        <v>101</v>
      </c>
      <c r="H13" s="114">
        <v>2</v>
      </c>
      <c r="J13" s="113" t="s">
        <v>130</v>
      </c>
      <c r="L13" s="114">
        <v>2</v>
      </c>
    </row>
    <row r="14" spans="1:19" x14ac:dyDescent="0.25">
      <c r="B14" s="1" t="s">
        <v>5</v>
      </c>
      <c r="E14" s="243">
        <f>VLOOKUP(Dashboard!$G$12,Scenario!$G$12:$H$14,2,1)</f>
        <v>2</v>
      </c>
      <c r="G14" s="118" t="s">
        <v>352</v>
      </c>
      <c r="H14" s="116">
        <v>3</v>
      </c>
      <c r="J14" s="115" t="s">
        <v>129</v>
      </c>
      <c r="K14" s="108"/>
      <c r="L14" s="116">
        <v>3</v>
      </c>
    </row>
    <row r="15" spans="1:19" x14ac:dyDescent="0.25">
      <c r="B15" s="1" t="s">
        <v>276</v>
      </c>
      <c r="E15" s="243">
        <f>VLOOKUP(Dashboard!$G$13,Scenario!$J$12:$L$14,3,)</f>
        <v>1</v>
      </c>
    </row>
    <row r="17" spans="1:19" x14ac:dyDescent="0.25">
      <c r="A17" s="89" t="s">
        <v>25</v>
      </c>
      <c r="B17" s="17" t="s">
        <v>94</v>
      </c>
      <c r="C17" s="24"/>
      <c r="D17" s="24"/>
      <c r="E17" s="24"/>
      <c r="F17" s="102">
        <v>44651</v>
      </c>
      <c r="G17" s="102">
        <f>EDATE(F17,12)</f>
        <v>45016</v>
      </c>
      <c r="H17" s="102">
        <f t="shared" ref="H17:N17" si="1">EDATE(G17,12)</f>
        <v>45382</v>
      </c>
      <c r="I17" s="102">
        <f t="shared" si="1"/>
        <v>45747</v>
      </c>
      <c r="J17" s="103">
        <f t="shared" si="1"/>
        <v>46112</v>
      </c>
      <c r="K17" s="103">
        <f t="shared" si="1"/>
        <v>46477</v>
      </c>
      <c r="L17" s="103">
        <f t="shared" si="1"/>
        <v>46843</v>
      </c>
      <c r="M17" s="103">
        <f t="shared" si="1"/>
        <v>47208</v>
      </c>
      <c r="N17" s="103">
        <f t="shared" si="1"/>
        <v>47573</v>
      </c>
      <c r="O17" s="24"/>
      <c r="P17" s="24"/>
      <c r="Q17" s="24"/>
      <c r="R17" s="24"/>
      <c r="S17" s="24"/>
    </row>
    <row r="19" spans="1:19" x14ac:dyDescent="0.25">
      <c r="B19" s="109" t="s">
        <v>95</v>
      </c>
      <c r="C19" s="108"/>
      <c r="D19" s="108"/>
      <c r="E19" s="108"/>
      <c r="F19" s="108"/>
      <c r="G19" s="108"/>
      <c r="H19" s="108"/>
      <c r="I19" s="108"/>
      <c r="J19" s="108"/>
      <c r="K19" s="108"/>
      <c r="L19" s="108"/>
      <c r="M19" s="108"/>
      <c r="N19" s="108"/>
    </row>
    <row r="20" spans="1:19" x14ac:dyDescent="0.25">
      <c r="B20" s="27" t="s">
        <v>96</v>
      </c>
      <c r="F20" s="47">
        <v>75058</v>
      </c>
      <c r="G20" s="47">
        <v>90724</v>
      </c>
      <c r="H20" s="47">
        <v>92411</v>
      </c>
      <c r="I20" s="47">
        <v>94397</v>
      </c>
      <c r="J20" s="22">
        <f ca="1">I20*(1+J28)</f>
        <v>96096.146000000008</v>
      </c>
      <c r="K20" s="22">
        <f ca="1">J20*(1+K28)</f>
        <v>99939.991840000017</v>
      </c>
      <c r="L20" s="22">
        <f ca="1">K20*(1+L28)</f>
        <v>104437.29147280002</v>
      </c>
      <c r="M20" s="22">
        <f ca="1">L20*(1+M28)</f>
        <v>109659.15604644002</v>
      </c>
      <c r="N20" s="22">
        <f ca="1">M20*(1+N28)</f>
        <v>115690.40962899422</v>
      </c>
      <c r="O20" s="26">
        <f>_xlfn.RRI(4,F20,I20)</f>
        <v>5.8986200924600718E-2</v>
      </c>
      <c r="P20" s="26">
        <f ca="1">_xlfn.RRI(5,J20,N20)</f>
        <v>3.7811019400222801E-2</v>
      </c>
    </row>
    <row r="21" spans="1:19" x14ac:dyDescent="0.25">
      <c r="B21" s="27" t="s">
        <v>97</v>
      </c>
      <c r="F21" s="47">
        <v>30129</v>
      </c>
      <c r="G21" s="47">
        <v>37675</v>
      </c>
      <c r="H21" s="47">
        <v>42267</v>
      </c>
      <c r="I21" s="47">
        <v>48595</v>
      </c>
      <c r="J21" s="22">
        <f ca="1">I21*(1+J32)</f>
        <v>52482.600000000006</v>
      </c>
      <c r="K21" s="22">
        <f ca="1">J21*(1+K32)</f>
        <v>57206.034000000007</v>
      </c>
      <c r="L21" s="22">
        <f ca="1">K21*(1+L32)</f>
        <v>62583.401196000013</v>
      </c>
      <c r="M21" s="22">
        <f ca="1">L21*(1+M32)</f>
        <v>68716.574513208019</v>
      </c>
      <c r="N21" s="22">
        <f ca="1">M21*(1+N32)</f>
        <v>75588.231964528823</v>
      </c>
      <c r="O21" s="26">
        <f t="shared" ref="O21:O23" si="2">_xlfn.RRI(4,F21,I21)</f>
        <v>0.12694239533087015</v>
      </c>
      <c r="P21" s="26">
        <f ca="1">_xlfn.RRI(5,J21,N21)</f>
        <v>7.5691579636955497E-2</v>
      </c>
    </row>
    <row r="22" spans="1:19" x14ac:dyDescent="0.25">
      <c r="B22" s="27" t="s">
        <v>98</v>
      </c>
      <c r="F22" s="47">
        <v>3585</v>
      </c>
      <c r="G22" s="47">
        <v>3861</v>
      </c>
      <c r="H22" s="47">
        <v>3881</v>
      </c>
      <c r="I22" s="47">
        <v>5014</v>
      </c>
      <c r="J22" s="22">
        <f ca="1">I22*(1+J36)</f>
        <v>6518.2</v>
      </c>
      <c r="K22" s="22">
        <f ca="1">J22*(1+K36)</f>
        <v>7952.2039999999997</v>
      </c>
      <c r="L22" s="22">
        <f ca="1">K22*(1+L36)</f>
        <v>9542.6448</v>
      </c>
      <c r="M22" s="22">
        <f ca="1">L22*(1+M36)</f>
        <v>11260.320863999999</v>
      </c>
      <c r="N22" s="22">
        <f ca="1">M22*(1+N36)</f>
        <v>12949.368993599997</v>
      </c>
      <c r="O22" s="26">
        <f t="shared" si="2"/>
        <v>8.7486294802825215E-2</v>
      </c>
      <c r="P22" s="26">
        <f ca="1">_xlfn.RRI(5,J22,N22)</f>
        <v>0.14716050076587628</v>
      </c>
    </row>
    <row r="23" spans="1:19" x14ac:dyDescent="0.25">
      <c r="B23" s="27" t="s">
        <v>99</v>
      </c>
      <c r="F23" s="47">
        <v>12869</v>
      </c>
      <c r="G23" s="47">
        <v>14507</v>
      </c>
      <c r="H23" s="47">
        <v>15111</v>
      </c>
      <c r="I23" s="47">
        <v>14984</v>
      </c>
      <c r="J23" s="22">
        <f ca="1">I23*(1+J40)</f>
        <v>14609.4</v>
      </c>
      <c r="K23" s="22">
        <f ca="1">J23*(1+K40)</f>
        <v>14346.4308</v>
      </c>
      <c r="L23" s="22">
        <f ca="1">K23*(1+L40)</f>
        <v>14131.234338</v>
      </c>
      <c r="M23" s="22">
        <f ca="1">L23*(1+M40)</f>
        <v>14060.578166310001</v>
      </c>
      <c r="N23" s="22">
        <f ca="1">M23*(1+N40)</f>
        <v>14130.881057141549</v>
      </c>
      <c r="O23" s="26">
        <f t="shared" si="2"/>
        <v>3.8773210577571326E-2</v>
      </c>
      <c r="P23" s="26">
        <f ca="1">_xlfn.RRI(5,J23,N23)</f>
        <v>-6.6383896394492936E-3</v>
      </c>
    </row>
    <row r="24" spans="1:19" x14ac:dyDescent="0.25">
      <c r="B24" s="3" t="s">
        <v>100</v>
      </c>
      <c r="C24" s="104"/>
      <c r="D24" s="104"/>
      <c r="E24" s="104"/>
      <c r="F24" s="44">
        <f t="shared" ref="F24:N24" si="3">SUM(F20:F23)</f>
        <v>121641</v>
      </c>
      <c r="G24" s="44">
        <f t="shared" si="3"/>
        <v>146767</v>
      </c>
      <c r="H24" s="44">
        <f t="shared" si="3"/>
        <v>153670</v>
      </c>
      <c r="I24" s="44">
        <f t="shared" si="3"/>
        <v>162990</v>
      </c>
      <c r="J24" s="44">
        <f t="shared" ca="1" si="3"/>
        <v>169706.34600000002</v>
      </c>
      <c r="K24" s="44">
        <f t="shared" ca="1" si="3"/>
        <v>179444.66064000002</v>
      </c>
      <c r="L24" s="44">
        <f t="shared" ca="1" si="3"/>
        <v>190694.57180680006</v>
      </c>
      <c r="M24" s="44">
        <f t="shared" ca="1" si="3"/>
        <v>203696.62958995806</v>
      </c>
      <c r="N24" s="44">
        <f t="shared" ca="1" si="3"/>
        <v>218358.89164426457</v>
      </c>
      <c r="O24" s="30">
        <f>_xlfn.RRI(4,F24,I24)</f>
        <v>7.5895880119244863E-2</v>
      </c>
      <c r="P24" s="30">
        <f ca="1">_xlfn.RRI(5,J24,N24)</f>
        <v>5.1706504031229672E-2</v>
      </c>
    </row>
    <row r="26" spans="1:19" x14ac:dyDescent="0.25">
      <c r="B26" s="109" t="s">
        <v>277</v>
      </c>
      <c r="C26" s="119"/>
      <c r="D26" s="119"/>
      <c r="E26" s="119"/>
      <c r="F26" s="119"/>
      <c r="G26" s="119"/>
      <c r="H26" s="119"/>
      <c r="I26" s="119"/>
      <c r="J26" s="119"/>
      <c r="K26" s="119"/>
      <c r="L26" s="119"/>
      <c r="M26" s="119"/>
      <c r="N26" s="119"/>
      <c r="O26" s="35"/>
      <c r="P26" s="35"/>
      <c r="Q26" s="35"/>
      <c r="R26" s="35"/>
      <c r="S26" s="35"/>
    </row>
    <row r="27" spans="1:19" x14ac:dyDescent="0.25">
      <c r="B27" s="16" t="s">
        <v>95</v>
      </c>
    </row>
    <row r="28" spans="1:19" x14ac:dyDescent="0.25">
      <c r="B28" s="121" t="s">
        <v>96</v>
      </c>
      <c r="C28" s="108"/>
      <c r="D28" s="108"/>
      <c r="E28" s="108"/>
      <c r="F28" s="122">
        <v>0</v>
      </c>
      <c r="G28" s="122">
        <f>G20/F20-1</f>
        <v>0.20871859095632717</v>
      </c>
      <c r="H28" s="122">
        <f>H20/G20-1</f>
        <v>1.8594859133195252E-2</v>
      </c>
      <c r="I28" s="122">
        <f>I20/H20-1</f>
        <v>2.1490948047310443E-2</v>
      </c>
      <c r="J28" s="122">
        <f ca="1">OFFSET(J28,$E$14,0)</f>
        <v>1.7999999999999999E-2</v>
      </c>
      <c r="K28" s="122">
        <f t="shared" ref="K28:N28" ca="1" si="4">OFFSET(K28,$E$14,0)</f>
        <v>0.04</v>
      </c>
      <c r="L28" s="122">
        <f t="shared" ca="1" si="4"/>
        <v>4.4999999999999998E-2</v>
      </c>
      <c r="M28" s="122">
        <f t="shared" ca="1" si="4"/>
        <v>0.05</v>
      </c>
      <c r="N28" s="122">
        <f t="shared" ca="1" si="4"/>
        <v>5.5E-2</v>
      </c>
      <c r="O28" s="26"/>
      <c r="Q28" s="1" t="s">
        <v>102</v>
      </c>
    </row>
    <row r="29" spans="1:19" x14ac:dyDescent="0.25">
      <c r="B29" s="27" t="s">
        <v>351</v>
      </c>
      <c r="F29" s="26"/>
      <c r="G29" s="26"/>
      <c r="H29" s="26"/>
      <c r="I29" s="26"/>
      <c r="J29" s="125">
        <f>J30+1%</f>
        <v>2.7999999999999997E-2</v>
      </c>
      <c r="K29" s="125">
        <f t="shared" ref="K29:N29" si="5">K30+1%</f>
        <v>0.05</v>
      </c>
      <c r="L29" s="125">
        <f t="shared" si="5"/>
        <v>5.5E-2</v>
      </c>
      <c r="M29" s="125">
        <f t="shared" si="5"/>
        <v>6.0000000000000005E-2</v>
      </c>
      <c r="N29" s="125">
        <f t="shared" si="5"/>
        <v>6.5000000000000002E-2</v>
      </c>
    </row>
    <row r="30" spans="1:19" x14ac:dyDescent="0.25">
      <c r="B30" s="27" t="s">
        <v>101</v>
      </c>
      <c r="F30" s="26"/>
      <c r="G30" s="26"/>
      <c r="H30" s="26"/>
      <c r="I30" s="26"/>
      <c r="J30" s="124">
        <v>1.7999999999999999E-2</v>
      </c>
      <c r="K30" s="124">
        <v>0.04</v>
      </c>
      <c r="L30" s="124">
        <v>4.4999999999999998E-2</v>
      </c>
      <c r="M30" s="124">
        <v>0.05</v>
      </c>
      <c r="N30" s="124">
        <v>5.5E-2</v>
      </c>
    </row>
    <row r="31" spans="1:19" x14ac:dyDescent="0.25">
      <c r="B31" s="27" t="s">
        <v>352</v>
      </c>
      <c r="F31" s="26"/>
      <c r="G31" s="26"/>
      <c r="H31" s="26"/>
      <c r="I31" s="26"/>
      <c r="J31" s="125">
        <f>J30-1%</f>
        <v>7.9999999999999984E-3</v>
      </c>
      <c r="K31" s="125">
        <f t="shared" ref="K31:N31" si="6">K30-1%</f>
        <v>0.03</v>
      </c>
      <c r="L31" s="125">
        <f t="shared" si="6"/>
        <v>3.4999999999999996E-2</v>
      </c>
      <c r="M31" s="125">
        <f t="shared" si="6"/>
        <v>0.04</v>
      </c>
      <c r="N31" s="125">
        <f t="shared" si="6"/>
        <v>4.4999999999999998E-2</v>
      </c>
    </row>
    <row r="32" spans="1:19" x14ac:dyDescent="0.25">
      <c r="B32" s="121" t="s">
        <v>97</v>
      </c>
      <c r="C32" s="108"/>
      <c r="D32" s="108"/>
      <c r="E32" s="108"/>
      <c r="F32" s="122">
        <v>0</v>
      </c>
      <c r="G32" s="122">
        <f>G21/F21-1</f>
        <v>0.25045637093829876</v>
      </c>
      <c r="H32" s="122">
        <f>H24/G24-1</f>
        <v>4.7033733741236095E-2</v>
      </c>
      <c r="I32" s="122">
        <f>I24/H24-1</f>
        <v>6.0649443612936782E-2</v>
      </c>
      <c r="J32" s="122">
        <f ca="1">OFFSET(J32,$E$14,0)</f>
        <v>0.08</v>
      </c>
      <c r="K32" s="122">
        <f t="shared" ref="K32:N32" ca="1" si="7">OFFSET(K32,$E$14,0)</f>
        <v>0.09</v>
      </c>
      <c r="L32" s="122">
        <f t="shared" ca="1" si="7"/>
        <v>9.4E-2</v>
      </c>
      <c r="M32" s="122">
        <f t="shared" ca="1" si="7"/>
        <v>9.8000000000000004E-2</v>
      </c>
      <c r="N32" s="122">
        <f t="shared" ca="1" si="7"/>
        <v>0.1</v>
      </c>
      <c r="Q32" s="1" t="s">
        <v>105</v>
      </c>
    </row>
    <row r="33" spans="1:19" x14ac:dyDescent="0.25">
      <c r="B33" s="27" t="s">
        <v>351</v>
      </c>
      <c r="F33" s="26"/>
      <c r="G33" s="26"/>
      <c r="H33" s="26"/>
      <c r="I33" s="26"/>
      <c r="J33" s="125">
        <f>J34+1%</f>
        <v>0.09</v>
      </c>
      <c r="K33" s="125">
        <f t="shared" ref="K33" si="8">K34+1%</f>
        <v>9.9999999999999992E-2</v>
      </c>
      <c r="L33" s="125">
        <f t="shared" ref="L33" si="9">L34+1%</f>
        <v>0.104</v>
      </c>
      <c r="M33" s="125">
        <f t="shared" ref="M33" si="10">M34+1%</f>
        <v>0.108</v>
      </c>
      <c r="N33" s="125">
        <f t="shared" ref="N33" si="11">N34+1%</f>
        <v>0.11</v>
      </c>
    </row>
    <row r="34" spans="1:19" x14ac:dyDescent="0.25">
      <c r="B34" s="27" t="s">
        <v>101</v>
      </c>
      <c r="F34" s="26"/>
      <c r="G34" s="26"/>
      <c r="H34" s="26"/>
      <c r="I34" s="26"/>
      <c r="J34" s="124">
        <v>0.08</v>
      </c>
      <c r="K34" s="124">
        <v>0.09</v>
      </c>
      <c r="L34" s="124">
        <v>9.4E-2</v>
      </c>
      <c r="M34" s="124">
        <v>9.8000000000000004E-2</v>
      </c>
      <c r="N34" s="124">
        <v>0.1</v>
      </c>
    </row>
    <row r="35" spans="1:19" x14ac:dyDescent="0.25">
      <c r="B35" s="27" t="s">
        <v>352</v>
      </c>
      <c r="F35" s="26"/>
      <c r="G35" s="26"/>
      <c r="H35" s="26"/>
      <c r="I35" s="26"/>
      <c r="J35" s="125">
        <f>J34-1%</f>
        <v>7.0000000000000007E-2</v>
      </c>
      <c r="K35" s="125">
        <f t="shared" ref="K35" si="12">K34-1%</f>
        <v>0.08</v>
      </c>
      <c r="L35" s="125">
        <f t="shared" ref="L35" si="13">L34-1%</f>
        <v>8.4000000000000005E-2</v>
      </c>
      <c r="M35" s="125">
        <f t="shared" ref="M35" si="14">M34-1%</f>
        <v>8.8000000000000009E-2</v>
      </c>
      <c r="N35" s="125">
        <f t="shared" ref="N35" si="15">N34-1%</f>
        <v>9.0000000000000011E-2</v>
      </c>
    </row>
    <row r="36" spans="1:19" x14ac:dyDescent="0.25">
      <c r="B36" s="121" t="s">
        <v>98</v>
      </c>
      <c r="C36" s="108"/>
      <c r="D36" s="108"/>
      <c r="E36" s="108"/>
      <c r="F36" s="122">
        <v>0</v>
      </c>
      <c r="G36" s="122">
        <f>G22/F22-1</f>
        <v>7.698744769874466E-2</v>
      </c>
      <c r="H36" s="122">
        <f>H22/G22-1</f>
        <v>5.180005180005276E-3</v>
      </c>
      <c r="I36" s="122">
        <f>I22/H22-1</f>
        <v>0.29193506828137084</v>
      </c>
      <c r="J36" s="122">
        <f ca="1">OFFSET(J36,$E$14,0)</f>
        <v>0.3</v>
      </c>
      <c r="K36" s="122">
        <f t="shared" ref="K36:N36" ca="1" si="16">OFFSET(K36,$E$14,0)</f>
        <v>0.22</v>
      </c>
      <c r="L36" s="122">
        <f t="shared" ca="1" si="16"/>
        <v>0.2</v>
      </c>
      <c r="M36" s="122">
        <f t="shared" ca="1" si="16"/>
        <v>0.18</v>
      </c>
      <c r="N36" s="122">
        <f t="shared" ca="1" si="16"/>
        <v>0.15</v>
      </c>
      <c r="Q36" s="1" t="s">
        <v>106</v>
      </c>
    </row>
    <row r="37" spans="1:19" x14ac:dyDescent="0.25">
      <c r="B37" s="27" t="s">
        <v>351</v>
      </c>
      <c r="F37" s="26"/>
      <c r="G37" s="26"/>
      <c r="H37" s="26"/>
      <c r="I37" s="26"/>
      <c r="J37" s="125">
        <f>J38+1%</f>
        <v>0.31</v>
      </c>
      <c r="K37" s="125">
        <f t="shared" ref="K37" si="17">K38+1%</f>
        <v>0.23</v>
      </c>
      <c r="L37" s="125">
        <f t="shared" ref="L37" si="18">L38+1%</f>
        <v>0.21000000000000002</v>
      </c>
      <c r="M37" s="125">
        <f t="shared" ref="M37" si="19">M38+1%</f>
        <v>0.19</v>
      </c>
      <c r="N37" s="125">
        <f t="shared" ref="N37" si="20">N38+1%</f>
        <v>0.16</v>
      </c>
    </row>
    <row r="38" spans="1:19" x14ac:dyDescent="0.25">
      <c r="B38" s="27" t="s">
        <v>101</v>
      </c>
      <c r="F38" s="26"/>
      <c r="G38" s="26"/>
      <c r="H38" s="26"/>
      <c r="I38" s="26"/>
      <c r="J38" s="124">
        <v>0.3</v>
      </c>
      <c r="K38" s="124">
        <v>0.22</v>
      </c>
      <c r="L38" s="124">
        <v>0.2</v>
      </c>
      <c r="M38" s="124">
        <v>0.18</v>
      </c>
      <c r="N38" s="124">
        <v>0.15</v>
      </c>
    </row>
    <row r="39" spans="1:19" x14ac:dyDescent="0.25">
      <c r="B39" s="27" t="s">
        <v>352</v>
      </c>
      <c r="F39" s="26"/>
      <c r="G39" s="26"/>
      <c r="H39" s="26"/>
      <c r="I39" s="26"/>
      <c r="J39" s="125">
        <f>J38-1%</f>
        <v>0.28999999999999998</v>
      </c>
      <c r="K39" s="125">
        <f t="shared" ref="K39" si="21">K38-1%</f>
        <v>0.21</v>
      </c>
      <c r="L39" s="125">
        <f t="shared" ref="L39" si="22">L38-1%</f>
        <v>0.19</v>
      </c>
      <c r="M39" s="125">
        <f t="shared" ref="M39" si="23">M38-1%</f>
        <v>0.16999999999999998</v>
      </c>
      <c r="N39" s="125">
        <f t="shared" ref="N39" si="24">N38-1%</f>
        <v>0.13999999999999999</v>
      </c>
    </row>
    <row r="40" spans="1:19" x14ac:dyDescent="0.25">
      <c r="B40" s="121" t="s">
        <v>99</v>
      </c>
      <c r="C40" s="108"/>
      <c r="D40" s="108"/>
      <c r="E40" s="108"/>
      <c r="F40" s="122">
        <v>0</v>
      </c>
      <c r="G40" s="122">
        <f>G23/F23-1</f>
        <v>0.12728261714196898</v>
      </c>
      <c r="H40" s="122">
        <f>H23/G23-1</f>
        <v>4.1635072723512856E-2</v>
      </c>
      <c r="I40" s="122">
        <f>I23/H23-1</f>
        <v>-8.4044735623055589E-3</v>
      </c>
      <c r="J40" s="122">
        <f ca="1">OFFSET(J40,$E$14,0)</f>
        <v>-2.5000000000000001E-2</v>
      </c>
      <c r="K40" s="122">
        <f t="shared" ref="K40:N40" ca="1" si="25">OFFSET(K40,$E$14,0)</f>
        <v>-1.7999999999999999E-2</v>
      </c>
      <c r="L40" s="122">
        <f t="shared" ca="1" si="25"/>
        <v>-1.4999999999999999E-2</v>
      </c>
      <c r="M40" s="122">
        <f t="shared" ca="1" si="25"/>
        <v>-5.0000000000000001E-3</v>
      </c>
      <c r="N40" s="122">
        <f t="shared" ca="1" si="25"/>
        <v>5.0000000000000001E-3</v>
      </c>
      <c r="Q40" s="1" t="s">
        <v>107</v>
      </c>
    </row>
    <row r="41" spans="1:19" x14ac:dyDescent="0.25">
      <c r="B41" s="27" t="s">
        <v>351</v>
      </c>
      <c r="F41" s="26"/>
      <c r="G41" s="26"/>
      <c r="H41" s="26"/>
      <c r="I41" s="26"/>
      <c r="J41" s="125">
        <f>J42+1%</f>
        <v>-1.5000000000000001E-2</v>
      </c>
      <c r="K41" s="125">
        <f t="shared" ref="K41" si="26">K42+1%</f>
        <v>-7.9999999999999984E-3</v>
      </c>
      <c r="L41" s="125">
        <f t="shared" ref="L41" si="27">L42+1%</f>
        <v>-4.9999999999999992E-3</v>
      </c>
      <c r="M41" s="125">
        <f t="shared" ref="M41" si="28">M42+1%</f>
        <v>5.0000000000000001E-3</v>
      </c>
      <c r="N41" s="125">
        <f t="shared" ref="N41" si="29">N42+1%</f>
        <v>1.4999999999999999E-2</v>
      </c>
    </row>
    <row r="42" spans="1:19" x14ac:dyDescent="0.25">
      <c r="B42" s="27" t="s">
        <v>101</v>
      </c>
      <c r="F42" s="26"/>
      <c r="G42" s="26"/>
      <c r="H42" s="26"/>
      <c r="I42" s="26"/>
      <c r="J42" s="124">
        <v>-2.5000000000000001E-2</v>
      </c>
      <c r="K42" s="124">
        <v>-1.7999999999999999E-2</v>
      </c>
      <c r="L42" s="124">
        <v>-1.4999999999999999E-2</v>
      </c>
      <c r="M42" s="124">
        <v>-5.0000000000000001E-3</v>
      </c>
      <c r="N42" s="124">
        <v>5.0000000000000001E-3</v>
      </c>
    </row>
    <row r="43" spans="1:19" x14ac:dyDescent="0.25">
      <c r="B43" s="27" t="s">
        <v>352</v>
      </c>
      <c r="F43" s="26"/>
      <c r="G43" s="26"/>
      <c r="H43" s="26"/>
      <c r="I43" s="26"/>
      <c r="J43" s="125">
        <f>J42-1%</f>
        <v>-3.5000000000000003E-2</v>
      </c>
      <c r="K43" s="125">
        <f t="shared" ref="K43" si="30">K42-1%</f>
        <v>-2.7999999999999997E-2</v>
      </c>
      <c r="L43" s="125">
        <f t="shared" ref="L43" si="31">L42-1%</f>
        <v>-2.5000000000000001E-2</v>
      </c>
      <c r="M43" s="125">
        <f t="shared" ref="M43" si="32">M42-1%</f>
        <v>-1.4999999999999999E-2</v>
      </c>
      <c r="N43" s="125">
        <f t="shared" ref="N43" si="33">N42-1%</f>
        <v>-5.0000000000000001E-3</v>
      </c>
    </row>
    <row r="45" spans="1:19" ht="13.8" x14ac:dyDescent="0.25">
      <c r="A45" s="105" t="s">
        <v>25</v>
      </c>
      <c r="B45" s="17" t="s">
        <v>133</v>
      </c>
      <c r="C45" s="14"/>
      <c r="D45" s="25"/>
      <c r="E45" s="14"/>
      <c r="F45" s="14"/>
      <c r="G45" s="14"/>
      <c r="H45" s="14"/>
      <c r="I45" s="14"/>
      <c r="J45" s="14"/>
      <c r="K45" s="14"/>
      <c r="L45" s="14"/>
      <c r="M45" s="14"/>
      <c r="N45" s="14"/>
      <c r="O45" s="14"/>
      <c r="P45" s="14"/>
      <c r="Q45" s="14"/>
      <c r="R45" s="14"/>
      <c r="S45" s="14"/>
    </row>
    <row r="46" spans="1:19" ht="13.8" x14ac:dyDescent="0.25">
      <c r="A46" s="105"/>
    </row>
    <row r="47" spans="1:19" x14ac:dyDescent="0.25">
      <c r="A47" s="89" t="s">
        <v>136</v>
      </c>
      <c r="B47" s="109" t="s">
        <v>109</v>
      </c>
      <c r="C47" s="108"/>
      <c r="D47" s="108"/>
      <c r="E47" s="108"/>
      <c r="F47" s="108"/>
      <c r="G47" s="108"/>
      <c r="H47" s="108"/>
      <c r="I47" s="108"/>
      <c r="J47" s="108"/>
      <c r="K47" s="108"/>
      <c r="L47" s="108"/>
      <c r="M47" s="108"/>
      <c r="N47" s="108"/>
    </row>
    <row r="48" spans="1:19" x14ac:dyDescent="0.25">
      <c r="B48" s="27" t="s">
        <v>110</v>
      </c>
      <c r="F48" s="47">
        <v>61522</v>
      </c>
      <c r="G48" s="47">
        <v>75239</v>
      </c>
      <c r="H48" s="47">
        <v>79315</v>
      </c>
      <c r="I48" s="47">
        <v>82232</v>
      </c>
      <c r="J48" s="47">
        <v>0</v>
      </c>
      <c r="K48" s="47">
        <v>0</v>
      </c>
      <c r="L48" s="47">
        <v>0</v>
      </c>
      <c r="M48" s="47">
        <v>0</v>
      </c>
      <c r="N48" s="47">
        <v>0</v>
      </c>
      <c r="O48" s="26">
        <f>_xlfn.RRI(4,F48,I48)</f>
        <v>7.5233042248205484E-2</v>
      </c>
      <c r="P48" s="26"/>
    </row>
    <row r="49" spans="1:16" x14ac:dyDescent="0.25">
      <c r="B49" s="27" t="s">
        <v>111</v>
      </c>
      <c r="F49" s="47">
        <v>1617</v>
      </c>
      <c r="G49" s="47">
        <v>2143</v>
      </c>
      <c r="H49" s="47">
        <v>2213</v>
      </c>
      <c r="I49" s="47">
        <v>2338</v>
      </c>
      <c r="J49" s="47">
        <v>0</v>
      </c>
      <c r="K49" s="47">
        <v>0</v>
      </c>
      <c r="L49" s="47">
        <v>0</v>
      </c>
      <c r="M49" s="47">
        <v>0</v>
      </c>
      <c r="N49" s="47">
        <v>0</v>
      </c>
      <c r="O49" s="26">
        <f>_xlfn.RRI(4,F49,I49)</f>
        <v>9.6563085365318102E-2</v>
      </c>
      <c r="P49" s="26"/>
    </row>
    <row r="50" spans="1:16" x14ac:dyDescent="0.25">
      <c r="B50" s="27" t="s">
        <v>112</v>
      </c>
      <c r="F50" s="47">
        <v>415</v>
      </c>
      <c r="G50" s="47">
        <v>519</v>
      </c>
      <c r="H50" s="47">
        <v>652</v>
      </c>
      <c r="I50" s="47">
        <v>802</v>
      </c>
      <c r="J50" s="47">
        <v>0</v>
      </c>
      <c r="K50" s="47">
        <v>0</v>
      </c>
      <c r="L50" s="47">
        <v>0</v>
      </c>
      <c r="M50" s="47">
        <v>0</v>
      </c>
      <c r="N50" s="47">
        <v>0</v>
      </c>
      <c r="O50" s="26">
        <f>_xlfn.RRI(4,F50,I50)</f>
        <v>0.17904822250318797</v>
      </c>
      <c r="P50" s="26"/>
    </row>
    <row r="51" spans="1:16" x14ac:dyDescent="0.25">
      <c r="B51" s="27" t="s">
        <v>127</v>
      </c>
      <c r="F51" s="47">
        <v>432</v>
      </c>
      <c r="G51" s="47">
        <v>458</v>
      </c>
      <c r="H51" s="47">
        <v>440</v>
      </c>
      <c r="I51" s="47">
        <v>578</v>
      </c>
      <c r="J51" s="47">
        <v>0</v>
      </c>
      <c r="K51" s="47">
        <v>0</v>
      </c>
      <c r="L51" s="47">
        <v>0</v>
      </c>
      <c r="M51" s="47">
        <v>0</v>
      </c>
      <c r="N51" s="47">
        <v>0</v>
      </c>
      <c r="O51" s="26">
        <f>_xlfn.RRI(4,F51,I51)</f>
        <v>7.5501506111270711E-2</v>
      </c>
      <c r="P51" s="26"/>
    </row>
    <row r="52" spans="1:16" x14ac:dyDescent="0.25">
      <c r="B52" s="3" t="s">
        <v>113</v>
      </c>
      <c r="C52" s="104"/>
      <c r="D52" s="104"/>
      <c r="E52" s="104"/>
      <c r="F52" s="44">
        <f>SUM(F48:F51)</f>
        <v>63986</v>
      </c>
      <c r="G52" s="44">
        <f>SUM(G48:G51)</f>
        <v>78359</v>
      </c>
      <c r="H52" s="44">
        <f>SUM(H48:H51)</f>
        <v>82620</v>
      </c>
      <c r="I52" s="44">
        <f>SUM(I48:I51)</f>
        <v>85950</v>
      </c>
      <c r="J52" s="44">
        <f ca="1">I52*(1+J54)</f>
        <v>89559.900000000009</v>
      </c>
      <c r="K52" s="44">
        <f ca="1">J52*(1+K54)</f>
        <v>93455.755650000021</v>
      </c>
      <c r="L52" s="44">
        <f ca="1">K52*(1+L54)</f>
        <v>97661.264654250015</v>
      </c>
      <c r="M52" s="44">
        <f ca="1">L52*(1+M54)</f>
        <v>102202.51346067264</v>
      </c>
      <c r="N52" s="44">
        <f ca="1">M52*(1+N54)</f>
        <v>107108.23410678492</v>
      </c>
      <c r="O52" s="30">
        <f>_xlfn.RRI(4,F52,I52)</f>
        <v>7.6564934045618704E-2</v>
      </c>
      <c r="P52" s="30">
        <f ca="1">_xlfn.RRI(5,J52,N52)</f>
        <v>3.6434478124478975E-2</v>
      </c>
    </row>
    <row r="53" spans="1:16" x14ac:dyDescent="0.25">
      <c r="H53" s="16"/>
      <c r="I53" s="16"/>
    </row>
    <row r="54" spans="1:16" x14ac:dyDescent="0.25">
      <c r="B54" s="109" t="s">
        <v>278</v>
      </c>
      <c r="C54" s="108"/>
      <c r="D54" s="108"/>
      <c r="E54" s="108"/>
      <c r="F54" s="122">
        <v>0</v>
      </c>
      <c r="G54" s="122">
        <f>G52/F52-1</f>
        <v>0.22462726221360918</v>
      </c>
      <c r="H54" s="122">
        <f>H52/G52-1</f>
        <v>5.4377927232353684E-2</v>
      </c>
      <c r="I54" s="122">
        <f>I52/H52-1</f>
        <v>4.0305010893246118E-2</v>
      </c>
      <c r="J54" s="122">
        <f ca="1">OFFSET(J54,$E$15,0)</f>
        <v>4.2000000000000003E-2</v>
      </c>
      <c r="K54" s="122">
        <f t="shared" ref="K54:N54" ca="1" si="34">OFFSET(K54,$E$15,0)</f>
        <v>4.3500000000000004E-2</v>
      </c>
      <c r="L54" s="122">
        <f t="shared" ca="1" si="34"/>
        <v>4.5000000000000005E-2</v>
      </c>
      <c r="M54" s="122">
        <f t="shared" ca="1" si="34"/>
        <v>4.6500000000000007E-2</v>
      </c>
      <c r="N54" s="122">
        <f t="shared" ca="1" si="34"/>
        <v>4.8000000000000001E-2</v>
      </c>
    </row>
    <row r="55" spans="1:16" x14ac:dyDescent="0.25">
      <c r="B55" s="41" t="s">
        <v>128</v>
      </c>
      <c r="J55" s="120">
        <v>4.2000000000000003E-2</v>
      </c>
      <c r="K55" s="127">
        <f>J55+($N$55-$J$55)/4</f>
        <v>4.3500000000000004E-2</v>
      </c>
      <c r="L55" s="127">
        <f t="shared" ref="L55:M55" si="35">K55+($N$55-$J$55)/4</f>
        <v>4.5000000000000005E-2</v>
      </c>
      <c r="M55" s="127">
        <f t="shared" si="35"/>
        <v>4.6500000000000007E-2</v>
      </c>
      <c r="N55" s="120">
        <v>4.8000000000000001E-2</v>
      </c>
    </row>
    <row r="56" spans="1:16" x14ac:dyDescent="0.25">
      <c r="B56" s="41" t="s">
        <v>130</v>
      </c>
      <c r="J56" s="126">
        <f>J55-0.75%</f>
        <v>3.4500000000000003E-2</v>
      </c>
      <c r="K56" s="126">
        <f t="shared" ref="K56:N57" si="36">K55-0.75%</f>
        <v>3.6000000000000004E-2</v>
      </c>
      <c r="L56" s="126">
        <f t="shared" si="36"/>
        <v>3.7500000000000006E-2</v>
      </c>
      <c r="M56" s="126">
        <f t="shared" si="36"/>
        <v>3.9000000000000007E-2</v>
      </c>
      <c r="N56" s="126">
        <f t="shared" si="36"/>
        <v>4.0500000000000001E-2</v>
      </c>
    </row>
    <row r="57" spans="1:16" x14ac:dyDescent="0.25">
      <c r="B57" s="41" t="s">
        <v>129</v>
      </c>
      <c r="J57" s="126">
        <f>J56-0.75%</f>
        <v>2.7000000000000003E-2</v>
      </c>
      <c r="K57" s="126">
        <f t="shared" si="36"/>
        <v>2.8500000000000004E-2</v>
      </c>
      <c r="L57" s="126">
        <f t="shared" si="36"/>
        <v>3.0000000000000006E-2</v>
      </c>
      <c r="M57" s="126">
        <f t="shared" si="36"/>
        <v>3.1500000000000007E-2</v>
      </c>
      <c r="N57" s="126">
        <f t="shared" si="36"/>
        <v>3.3000000000000002E-2</v>
      </c>
    </row>
    <row r="59" spans="1:16" x14ac:dyDescent="0.25">
      <c r="A59" s="89" t="s">
        <v>136</v>
      </c>
      <c r="B59" s="109" t="s">
        <v>48</v>
      </c>
      <c r="C59" s="108"/>
      <c r="D59" s="108"/>
      <c r="E59" s="108"/>
      <c r="F59" s="108"/>
      <c r="G59" s="108"/>
      <c r="H59" s="108"/>
      <c r="I59" s="108"/>
      <c r="J59" s="108"/>
      <c r="K59" s="108"/>
      <c r="L59" s="108"/>
      <c r="M59" s="108"/>
      <c r="N59" s="108"/>
    </row>
    <row r="60" spans="1:16" x14ac:dyDescent="0.25">
      <c r="B60" s="27" t="s">
        <v>114</v>
      </c>
      <c r="F60" s="47">
        <v>1417</v>
      </c>
      <c r="G60" s="47">
        <v>1937</v>
      </c>
      <c r="H60" s="47">
        <v>2145</v>
      </c>
      <c r="I60" s="47">
        <v>2467</v>
      </c>
      <c r="J60" s="47">
        <v>0</v>
      </c>
      <c r="K60" s="47">
        <v>0</v>
      </c>
      <c r="L60" s="47">
        <v>0</v>
      </c>
      <c r="M60" s="47">
        <v>0</v>
      </c>
      <c r="N60" s="47">
        <v>0</v>
      </c>
      <c r="O60" s="26">
        <f>_xlfn.RRI(4,F60,I60)</f>
        <v>0.148682024180814</v>
      </c>
    </row>
    <row r="61" spans="1:16" x14ac:dyDescent="0.25">
      <c r="B61" s="27" t="s">
        <v>115</v>
      </c>
      <c r="F61" s="47">
        <v>5394</v>
      </c>
      <c r="G61" s="47">
        <v>8965</v>
      </c>
      <c r="H61" s="47">
        <v>11370</v>
      </c>
      <c r="I61" s="47">
        <v>13444</v>
      </c>
      <c r="J61" s="47">
        <v>0</v>
      </c>
      <c r="K61" s="47">
        <v>0</v>
      </c>
      <c r="L61" s="47">
        <v>0</v>
      </c>
      <c r="M61" s="47">
        <v>0</v>
      </c>
      <c r="N61" s="47">
        <v>0</v>
      </c>
      <c r="O61" s="26">
        <f t="shared" ref="O61:O62" si="37">_xlfn.RRI(4,F61,I61)</f>
        <v>0.25647655805605241</v>
      </c>
    </row>
    <row r="62" spans="1:16" x14ac:dyDescent="0.25">
      <c r="B62" s="3" t="s">
        <v>100</v>
      </c>
      <c r="C62" s="104"/>
      <c r="D62" s="104"/>
      <c r="E62" s="104"/>
      <c r="F62" s="44">
        <f>SUM(F60:F61)</f>
        <v>6811</v>
      </c>
      <c r="G62" s="44">
        <f>SUM(G60:G61)</f>
        <v>10902</v>
      </c>
      <c r="H62" s="44">
        <f>SUM(H60:H61)</f>
        <v>13515</v>
      </c>
      <c r="I62" s="44">
        <f>SUM(I60:I61)</f>
        <v>15911</v>
      </c>
      <c r="J62" s="44">
        <f ca="1">I62*(1+J64)</f>
        <v>18774.98</v>
      </c>
      <c r="K62" s="44">
        <f ca="1">J62*(1+K64)</f>
        <v>22098.151460000001</v>
      </c>
      <c r="L62" s="44">
        <f ca="1">K62*(1+L64)</f>
        <v>25943.229814039998</v>
      </c>
      <c r="M62" s="44">
        <f ca="1">L62*(1+M64)</f>
        <v>30379.52211224084</v>
      </c>
      <c r="N62" s="44">
        <f ca="1">M62*(1+N64)</f>
        <v>35483.2818270973</v>
      </c>
      <c r="O62" s="30">
        <f t="shared" si="37"/>
        <v>0.23629367929133371</v>
      </c>
      <c r="P62" s="30">
        <f ca="1">_xlfn.RRI(5,J62,N62)</f>
        <v>0.13576598929617534</v>
      </c>
    </row>
    <row r="63" spans="1:16" x14ac:dyDescent="0.25">
      <c r="B63" s="16"/>
      <c r="F63" s="23"/>
      <c r="G63" s="23"/>
      <c r="H63" s="23"/>
      <c r="I63" s="23"/>
      <c r="J63" s="23"/>
      <c r="K63" s="23"/>
      <c r="L63" s="23"/>
      <c r="M63" s="23"/>
      <c r="N63" s="23"/>
    </row>
    <row r="64" spans="1:16" x14ac:dyDescent="0.25">
      <c r="B64" s="109" t="s">
        <v>279</v>
      </c>
      <c r="C64" s="108"/>
      <c r="D64" s="108"/>
      <c r="E64" s="108"/>
      <c r="F64" s="122">
        <v>0</v>
      </c>
      <c r="G64" s="122">
        <f>G62/F62-1</f>
        <v>0.60064601380120397</v>
      </c>
      <c r="H64" s="122">
        <f>H62/G62-1</f>
        <v>0.23968079251513474</v>
      </c>
      <c r="I64" s="122">
        <f>I62/H62-1</f>
        <v>0.17728449870514251</v>
      </c>
      <c r="J64" s="122">
        <f ca="1">OFFSET(J64,$E$15,0)</f>
        <v>0.18</v>
      </c>
      <c r="K64" s="122">
        <f t="shared" ref="K64:N64" ca="1" si="38">OFFSET(K64,$E$15,0)</f>
        <v>0.17699999999999999</v>
      </c>
      <c r="L64" s="122">
        <f t="shared" ca="1" si="38"/>
        <v>0.17399999999999999</v>
      </c>
      <c r="M64" s="122">
        <f t="shared" ca="1" si="38"/>
        <v>0.17099999999999999</v>
      </c>
      <c r="N64" s="122">
        <f t="shared" ca="1" si="38"/>
        <v>0.16800000000000001</v>
      </c>
    </row>
    <row r="65" spans="1:15" x14ac:dyDescent="0.25">
      <c r="B65" s="41" t="s">
        <v>128</v>
      </c>
      <c r="J65" s="120">
        <v>0.18</v>
      </c>
      <c r="K65" s="127">
        <f>J65+($N$65-$J$65)/4</f>
        <v>0.17699999999999999</v>
      </c>
      <c r="L65" s="127">
        <f t="shared" ref="L65:M65" si="39">K65+($N$65-$J$65)/4</f>
        <v>0.17399999999999999</v>
      </c>
      <c r="M65" s="127">
        <f t="shared" si="39"/>
        <v>0.17099999999999999</v>
      </c>
      <c r="N65" s="120">
        <v>0.16800000000000001</v>
      </c>
    </row>
    <row r="66" spans="1:15" x14ac:dyDescent="0.25">
      <c r="B66" s="41" t="s">
        <v>130</v>
      </c>
      <c r="J66" s="126">
        <f>J65+0.75%</f>
        <v>0.1875</v>
      </c>
      <c r="K66" s="126">
        <f t="shared" ref="K66:N67" si="40">K65+0.75%</f>
        <v>0.1845</v>
      </c>
      <c r="L66" s="126">
        <f t="shared" si="40"/>
        <v>0.18149999999999999</v>
      </c>
      <c r="M66" s="126">
        <f t="shared" si="40"/>
        <v>0.17849999999999999</v>
      </c>
      <c r="N66" s="126">
        <f t="shared" si="40"/>
        <v>0.17550000000000002</v>
      </c>
    </row>
    <row r="67" spans="1:15" x14ac:dyDescent="0.25">
      <c r="B67" s="41" t="s">
        <v>129</v>
      </c>
      <c r="J67" s="126">
        <f>J66+0.75%</f>
        <v>0.19500000000000001</v>
      </c>
      <c r="K67" s="126">
        <f t="shared" si="40"/>
        <v>0.192</v>
      </c>
      <c r="L67" s="126">
        <f t="shared" si="40"/>
        <v>0.189</v>
      </c>
      <c r="M67" s="126">
        <f t="shared" si="40"/>
        <v>0.186</v>
      </c>
      <c r="N67" s="126">
        <f t="shared" si="40"/>
        <v>0.18300000000000002</v>
      </c>
    </row>
    <row r="69" spans="1:15" x14ac:dyDescent="0.25">
      <c r="A69" s="89" t="s">
        <v>136</v>
      </c>
      <c r="B69" s="109" t="s">
        <v>36</v>
      </c>
      <c r="C69" s="108"/>
      <c r="D69" s="108"/>
      <c r="E69" s="108"/>
      <c r="F69" s="108"/>
      <c r="G69" s="108"/>
      <c r="H69" s="108"/>
      <c r="I69" s="108"/>
      <c r="J69" s="108"/>
      <c r="K69" s="108"/>
      <c r="L69" s="108"/>
      <c r="M69" s="108"/>
      <c r="N69" s="108"/>
    </row>
    <row r="70" spans="1:15" x14ac:dyDescent="0.25">
      <c r="B70" s="27" t="s">
        <v>116</v>
      </c>
      <c r="F70" s="47">
        <v>1066</v>
      </c>
      <c r="G70" s="47">
        <v>1208</v>
      </c>
      <c r="H70" s="47">
        <v>1278</v>
      </c>
      <c r="I70" s="47">
        <v>1320</v>
      </c>
      <c r="J70" s="47">
        <v>0</v>
      </c>
      <c r="K70" s="47">
        <v>0</v>
      </c>
      <c r="L70" s="47">
        <v>0</v>
      </c>
      <c r="M70" s="47">
        <v>0</v>
      </c>
      <c r="N70" s="47">
        <v>0</v>
      </c>
      <c r="O70" s="26">
        <f>_xlfn.RRI(4,F70,I70)</f>
        <v>5.4882728272166892E-2</v>
      </c>
    </row>
    <row r="71" spans="1:15" x14ac:dyDescent="0.25">
      <c r="B71" s="27" t="s">
        <v>117</v>
      </c>
      <c r="F71" s="47">
        <v>132</v>
      </c>
      <c r="G71" s="47">
        <v>176</v>
      </c>
      <c r="H71" s="47">
        <v>199</v>
      </c>
      <c r="I71" s="47">
        <v>222</v>
      </c>
      <c r="J71" s="47">
        <v>0</v>
      </c>
      <c r="K71" s="47">
        <v>0</v>
      </c>
      <c r="L71" s="47">
        <v>0</v>
      </c>
      <c r="M71" s="47">
        <v>0</v>
      </c>
      <c r="N71" s="47">
        <v>0</v>
      </c>
      <c r="O71" s="26">
        <f t="shared" ref="O71:O82" si="41">_xlfn.RRI(4,F71,I71)</f>
        <v>0.13879292625158413</v>
      </c>
    </row>
    <row r="72" spans="1:15" x14ac:dyDescent="0.25">
      <c r="B72" s="27" t="s">
        <v>118</v>
      </c>
      <c r="F72" s="47">
        <v>553</v>
      </c>
      <c r="G72" s="47">
        <v>905</v>
      </c>
      <c r="H72" s="47">
        <v>1007</v>
      </c>
      <c r="I72" s="47">
        <v>1223</v>
      </c>
      <c r="J72" s="47">
        <v>0</v>
      </c>
      <c r="K72" s="47">
        <v>0</v>
      </c>
      <c r="L72" s="47">
        <v>0</v>
      </c>
      <c r="M72" s="47">
        <v>0</v>
      </c>
      <c r="N72" s="47">
        <v>0</v>
      </c>
      <c r="O72" s="26">
        <f t="shared" si="41"/>
        <v>0.21948182332622279</v>
      </c>
    </row>
    <row r="73" spans="1:15" x14ac:dyDescent="0.25">
      <c r="B73" s="27" t="s">
        <v>134</v>
      </c>
      <c r="F73" s="47">
        <v>61</v>
      </c>
      <c r="G73" s="47">
        <v>92</v>
      </c>
      <c r="H73" s="47">
        <v>0</v>
      </c>
      <c r="I73" s="47">
        <v>0</v>
      </c>
      <c r="J73" s="47">
        <v>0</v>
      </c>
      <c r="K73" s="47">
        <v>0</v>
      </c>
      <c r="L73" s="47">
        <v>0</v>
      </c>
      <c r="M73" s="47">
        <v>0</v>
      </c>
      <c r="N73" s="47">
        <v>0</v>
      </c>
      <c r="O73" s="26">
        <v>0</v>
      </c>
    </row>
    <row r="74" spans="1:15" x14ac:dyDescent="0.25">
      <c r="B74" s="27" t="s">
        <v>119</v>
      </c>
      <c r="F74" s="47">
        <v>265</v>
      </c>
      <c r="G74" s="47">
        <v>299</v>
      </c>
      <c r="H74" s="47">
        <v>326</v>
      </c>
      <c r="I74" s="47">
        <v>346</v>
      </c>
      <c r="J74" s="47">
        <v>0</v>
      </c>
      <c r="K74" s="47">
        <v>0</v>
      </c>
      <c r="L74" s="47">
        <v>0</v>
      </c>
      <c r="M74" s="47">
        <v>0</v>
      </c>
      <c r="N74" s="47">
        <v>0</v>
      </c>
      <c r="O74" s="26">
        <f t="shared" si="41"/>
        <v>6.8950405135970172E-2</v>
      </c>
    </row>
    <row r="75" spans="1:15" x14ac:dyDescent="0.25">
      <c r="B75" s="27" t="s">
        <v>120</v>
      </c>
      <c r="F75" s="47">
        <v>146</v>
      </c>
      <c r="G75" s="47">
        <v>158</v>
      </c>
      <c r="H75" s="47">
        <v>170</v>
      </c>
      <c r="I75" s="47">
        <v>227</v>
      </c>
      <c r="J75" s="47">
        <v>0</v>
      </c>
      <c r="K75" s="47">
        <v>0</v>
      </c>
      <c r="L75" s="47">
        <v>0</v>
      </c>
      <c r="M75" s="47">
        <v>0</v>
      </c>
      <c r="N75" s="47">
        <v>0</v>
      </c>
      <c r="O75" s="26">
        <f t="shared" si="41"/>
        <v>0.11665303423129547</v>
      </c>
    </row>
    <row r="76" spans="1:15" x14ac:dyDescent="0.25">
      <c r="B76" s="27" t="s">
        <v>121</v>
      </c>
      <c r="F76" s="47">
        <v>164</v>
      </c>
      <c r="G76" s="47">
        <v>174</v>
      </c>
      <c r="H76" s="47">
        <v>210</v>
      </c>
      <c r="I76" s="47">
        <v>301</v>
      </c>
      <c r="J76" s="47">
        <v>0</v>
      </c>
      <c r="K76" s="47">
        <v>0</v>
      </c>
      <c r="L76" s="47">
        <v>0</v>
      </c>
      <c r="M76" s="47">
        <v>0</v>
      </c>
      <c r="N76" s="47">
        <v>0</v>
      </c>
      <c r="O76" s="26">
        <f t="shared" si="41"/>
        <v>0.16394018348611938</v>
      </c>
    </row>
    <row r="77" spans="1:15" x14ac:dyDescent="0.25">
      <c r="B77" s="27" t="s">
        <v>122</v>
      </c>
      <c r="F77" s="47">
        <v>78</v>
      </c>
      <c r="G77" s="47">
        <v>120</v>
      </c>
      <c r="H77" s="47">
        <v>75</v>
      </c>
      <c r="I77" s="47">
        <v>-110</v>
      </c>
      <c r="J77" s="47">
        <v>0</v>
      </c>
      <c r="K77" s="47">
        <v>0</v>
      </c>
      <c r="L77" s="47">
        <v>0</v>
      </c>
      <c r="M77" s="47">
        <v>0</v>
      </c>
      <c r="N77" s="47">
        <v>0</v>
      </c>
      <c r="O77" s="26">
        <v>0</v>
      </c>
    </row>
    <row r="78" spans="1:15" x14ac:dyDescent="0.25">
      <c r="B78" s="27" t="s">
        <v>123</v>
      </c>
      <c r="F78" s="47">
        <v>11</v>
      </c>
      <c r="G78" s="47">
        <v>15</v>
      </c>
      <c r="H78" s="47">
        <v>16</v>
      </c>
      <c r="I78" s="47">
        <v>18</v>
      </c>
      <c r="J78" s="47">
        <v>0</v>
      </c>
      <c r="K78" s="47">
        <v>0</v>
      </c>
      <c r="L78" s="47">
        <v>0</v>
      </c>
      <c r="M78" s="47">
        <v>0</v>
      </c>
      <c r="N78" s="47">
        <v>0</v>
      </c>
      <c r="O78" s="26">
        <f t="shared" si="41"/>
        <v>0.13101914136484116</v>
      </c>
    </row>
    <row r="79" spans="1:15" x14ac:dyDescent="0.25">
      <c r="B79" s="27" t="s">
        <v>124</v>
      </c>
      <c r="F79" s="47">
        <v>170</v>
      </c>
      <c r="G79" s="47">
        <v>283</v>
      </c>
      <c r="H79" s="47">
        <v>121</v>
      </c>
      <c r="I79" s="47">
        <v>48</v>
      </c>
      <c r="J79" s="47">
        <v>0</v>
      </c>
      <c r="K79" s="47">
        <v>0</v>
      </c>
      <c r="L79" s="47">
        <v>0</v>
      </c>
      <c r="M79" s="47">
        <v>0</v>
      </c>
      <c r="N79" s="47">
        <v>0</v>
      </c>
      <c r="O79" s="26">
        <f t="shared" si="41"/>
        <v>-0.27104943149479799</v>
      </c>
    </row>
    <row r="80" spans="1:15" x14ac:dyDescent="0.25">
      <c r="B80" s="27" t="s">
        <v>125</v>
      </c>
      <c r="F80" s="47">
        <v>426</v>
      </c>
      <c r="G80" s="47">
        <v>471</v>
      </c>
      <c r="H80" s="47">
        <v>533</v>
      </c>
      <c r="I80" s="47">
        <v>585</v>
      </c>
      <c r="J80" s="47">
        <v>0</v>
      </c>
      <c r="K80" s="47">
        <v>0</v>
      </c>
      <c r="L80" s="47">
        <v>0</v>
      </c>
      <c r="M80" s="47">
        <v>0</v>
      </c>
      <c r="N80" s="47">
        <v>0</v>
      </c>
      <c r="O80" s="26">
        <f t="shared" si="41"/>
        <v>8.252158996996628E-2</v>
      </c>
    </row>
    <row r="81" spans="1:16" x14ac:dyDescent="0.25">
      <c r="B81" s="27" t="s">
        <v>126</v>
      </c>
      <c r="F81" s="47">
        <v>352</v>
      </c>
      <c r="G81" s="47">
        <v>491</v>
      </c>
      <c r="H81" s="47">
        <v>781</v>
      </c>
      <c r="I81" s="47">
        <v>607</v>
      </c>
      <c r="J81" s="47">
        <v>0</v>
      </c>
      <c r="K81" s="47">
        <v>0</v>
      </c>
      <c r="L81" s="47">
        <v>0</v>
      </c>
      <c r="M81" s="47">
        <v>0</v>
      </c>
      <c r="N81" s="47">
        <v>0</v>
      </c>
      <c r="O81" s="26">
        <f t="shared" si="41"/>
        <v>0.14593901788901009</v>
      </c>
    </row>
    <row r="82" spans="1:16" x14ac:dyDescent="0.25">
      <c r="B82" s="3" t="s">
        <v>100</v>
      </c>
      <c r="C82" s="104"/>
      <c r="D82" s="104"/>
      <c r="E82" s="104"/>
      <c r="F82" s="44">
        <f>SUM(F70:F81)</f>
        <v>3424</v>
      </c>
      <c r="G82" s="44">
        <f>SUM(G70:G81)</f>
        <v>4392</v>
      </c>
      <c r="H82" s="44">
        <f>SUM(H70:H81)</f>
        <v>4716</v>
      </c>
      <c r="I82" s="44">
        <f>SUM(I70:I81)</f>
        <v>4787</v>
      </c>
      <c r="J82" s="44">
        <f ca="1">I82*(1+J84)</f>
        <v>5074.22</v>
      </c>
      <c r="K82" s="44">
        <f ca="1">J82*(1+K84)</f>
        <v>5396.4329699999998</v>
      </c>
      <c r="L82" s="44">
        <f ca="1">K82*(1+L84)</f>
        <v>5757.99397899</v>
      </c>
      <c r="M82" s="44">
        <f ca="1">L82*(1+M84)</f>
        <v>6163.932554508795</v>
      </c>
      <c r="N82" s="44">
        <f ca="1">M82*(1+N84)</f>
        <v>6620.063563542446</v>
      </c>
      <c r="O82" s="30">
        <f t="shared" si="41"/>
        <v>8.7382696670992965E-2</v>
      </c>
      <c r="P82" s="30">
        <f ca="1">_xlfn.RRI(5,J82,N82)</f>
        <v>5.462624141959771E-2</v>
      </c>
    </row>
    <row r="84" spans="1:16" x14ac:dyDescent="0.25">
      <c r="A84" s="89" t="s">
        <v>136</v>
      </c>
      <c r="B84" s="109" t="s">
        <v>135</v>
      </c>
      <c r="C84" s="108"/>
      <c r="D84" s="108"/>
      <c r="E84" s="108"/>
      <c r="F84" s="122">
        <v>0</v>
      </c>
      <c r="G84" s="122">
        <f>G82/F82-1</f>
        <v>0.28271028037383172</v>
      </c>
      <c r="H84" s="122">
        <f>H82/G82-1</f>
        <v>7.3770491803278659E-2</v>
      </c>
      <c r="I84" s="122">
        <f>I82/H82-1</f>
        <v>1.5055131467345273E-2</v>
      </c>
      <c r="J84" s="122">
        <f ca="1">OFFSET(J84,$E$15,0)</f>
        <v>0.06</v>
      </c>
      <c r="K84" s="122">
        <f t="shared" ref="K84:N84" ca="1" si="42">OFFSET(K84,$E$15,0)</f>
        <v>6.3500000000000001E-2</v>
      </c>
      <c r="L84" s="122">
        <f t="shared" ca="1" si="42"/>
        <v>6.7000000000000004E-2</v>
      </c>
      <c r="M84" s="122">
        <f t="shared" ca="1" si="42"/>
        <v>7.0500000000000007E-2</v>
      </c>
      <c r="N84" s="122">
        <f t="shared" ca="1" si="42"/>
        <v>7.3999999999999996E-2</v>
      </c>
    </row>
    <row r="85" spans="1:16" x14ac:dyDescent="0.25">
      <c r="B85" s="41" t="s">
        <v>128</v>
      </c>
      <c r="J85" s="120">
        <v>0.06</v>
      </c>
      <c r="K85" s="127">
        <f>J85+($N$85-$J$85)/4</f>
        <v>6.3500000000000001E-2</v>
      </c>
      <c r="L85" s="127">
        <f t="shared" ref="L85:M85" si="43">K85+($N$85-$J$85)/4</f>
        <v>6.7000000000000004E-2</v>
      </c>
      <c r="M85" s="127">
        <f t="shared" si="43"/>
        <v>7.0500000000000007E-2</v>
      </c>
      <c r="N85" s="120">
        <v>7.3999999999999996E-2</v>
      </c>
    </row>
    <row r="86" spans="1:16" x14ac:dyDescent="0.25">
      <c r="B86" s="41" t="s">
        <v>130</v>
      </c>
      <c r="J86" s="126">
        <f>J85-1%</f>
        <v>4.9999999999999996E-2</v>
      </c>
      <c r="K86" s="126">
        <f t="shared" ref="K86:N86" si="44">K85-1%</f>
        <v>5.3499999999999999E-2</v>
      </c>
      <c r="L86" s="126">
        <f t="shared" si="44"/>
        <v>5.7000000000000002E-2</v>
      </c>
      <c r="M86" s="126">
        <f t="shared" si="44"/>
        <v>6.0500000000000005E-2</v>
      </c>
      <c r="N86" s="126">
        <f t="shared" si="44"/>
        <v>6.4000000000000001E-2</v>
      </c>
    </row>
    <row r="87" spans="1:16" x14ac:dyDescent="0.25">
      <c r="B87" s="41" t="s">
        <v>129</v>
      </c>
      <c r="J87" s="126">
        <f>J86-1%</f>
        <v>3.9999999999999994E-2</v>
      </c>
      <c r="K87" s="126">
        <f t="shared" ref="K87:N87" si="45">K86-1%</f>
        <v>4.3499999999999997E-2</v>
      </c>
      <c r="L87" s="126">
        <f t="shared" si="45"/>
        <v>4.7E-2</v>
      </c>
      <c r="M87" s="126">
        <f t="shared" si="45"/>
        <v>5.0500000000000003E-2</v>
      </c>
      <c r="N87" s="126">
        <f t="shared" si="45"/>
        <v>5.3999999999999999E-2</v>
      </c>
    </row>
    <row r="89" spans="1:16" x14ac:dyDescent="0.25">
      <c r="A89" s="89" t="s">
        <v>136</v>
      </c>
      <c r="B89" s="109" t="s">
        <v>137</v>
      </c>
      <c r="C89" s="108"/>
      <c r="D89" s="108"/>
      <c r="E89" s="108"/>
      <c r="F89" s="108"/>
      <c r="G89" s="108"/>
      <c r="H89" s="108"/>
      <c r="I89" s="108"/>
      <c r="J89" s="108"/>
      <c r="K89" s="108"/>
      <c r="L89" s="108"/>
      <c r="M89" s="108"/>
      <c r="N89" s="108"/>
    </row>
    <row r="90" spans="1:16" x14ac:dyDescent="0.25">
      <c r="B90" s="27" t="s">
        <v>30</v>
      </c>
      <c r="F90" s="22">
        <f>Financials!F20</f>
        <v>12606</v>
      </c>
      <c r="G90" s="22">
        <f>Financials!G20</f>
        <v>14062</v>
      </c>
      <c r="H90" s="22">
        <f>Financials!H20</f>
        <v>12232</v>
      </c>
      <c r="I90" s="22">
        <f>Financials!I20</f>
        <v>12937</v>
      </c>
      <c r="J90" s="22">
        <f ca="1">I90*(1+J95)</f>
        <v>13713.220000000001</v>
      </c>
      <c r="K90" s="22">
        <f ca="1">J90*(1+K95)</f>
        <v>14577.15286</v>
      </c>
      <c r="L90" s="22">
        <f ca="1">K90*(1+L95)</f>
        <v>15539.244948760001</v>
      </c>
      <c r="M90" s="22">
        <f ca="1">L90*(1+M95)</f>
        <v>16611.452850224439</v>
      </c>
      <c r="N90" s="22">
        <f ca="1">M90*(1+N95)</f>
        <v>17807.477455440599</v>
      </c>
      <c r="O90" s="30">
        <f>_xlfn.RRI(4,F90,I90)</f>
        <v>6.5006711983390808E-3</v>
      </c>
      <c r="P90" s="30">
        <f ca="1">_xlfn.RRI(5,J90,N90)</f>
        <v>5.3640830437844622E-2</v>
      </c>
    </row>
    <row r="91" spans="1:16" x14ac:dyDescent="0.25">
      <c r="B91" s="27" t="s">
        <v>31</v>
      </c>
      <c r="F91" s="22">
        <f>Financials!F21</f>
        <v>827</v>
      </c>
      <c r="G91" s="22">
        <f>Financials!G21</f>
        <v>1525</v>
      </c>
      <c r="H91" s="22">
        <f>Financials!H21</f>
        <v>1759</v>
      </c>
      <c r="I91" s="22">
        <f>Financials!I21</f>
        <v>1894</v>
      </c>
      <c r="J91" s="22">
        <f ca="1">I91*(1+J99)</f>
        <v>2045.5200000000002</v>
      </c>
      <c r="K91" s="22">
        <f ca="1">J91*(1+K99)</f>
        <v>2219.3892000000001</v>
      </c>
      <c r="L91" s="22">
        <f ca="1">K91*(1+L99)</f>
        <v>2419.1342280000003</v>
      </c>
      <c r="M91" s="22">
        <f ca="1">L91*(1+M99)</f>
        <v>2648.9519796600002</v>
      </c>
      <c r="N91" s="22">
        <f ca="1">M91*(1+N99)</f>
        <v>2913.8471776260003</v>
      </c>
      <c r="O91" s="30">
        <f t="shared" ref="O91:O93" si="46">_xlfn.RRI(4,F91,I91)</f>
        <v>0.23017987026486697</v>
      </c>
      <c r="P91" s="30">
        <f ca="1">_xlfn.RRI(5,J91,N91)</f>
        <v>7.33283685052184E-2</v>
      </c>
    </row>
    <row r="92" spans="1:16" x14ac:dyDescent="0.25">
      <c r="B92" s="27" t="s">
        <v>32</v>
      </c>
      <c r="F92" s="22">
        <f>Financials!F23</f>
        <v>611</v>
      </c>
      <c r="G92" s="22">
        <f>Financials!G23</f>
        <v>713</v>
      </c>
      <c r="H92" s="22">
        <f>Financials!H23</f>
        <v>677</v>
      </c>
      <c r="I92" s="22">
        <f>Financials!I23</f>
        <v>620</v>
      </c>
      <c r="J92" s="22">
        <f ca="1">I92*(1+J103)</f>
        <v>570.4</v>
      </c>
      <c r="K92" s="22">
        <f ca="1">J92*(1+K103)</f>
        <v>529.04599999999994</v>
      </c>
      <c r="L92" s="22">
        <f ca="1">K92*(1+L103)</f>
        <v>494.65800999999999</v>
      </c>
      <c r="M92" s="22">
        <f ca="1">L92*(1+M103)</f>
        <v>466.21517442499999</v>
      </c>
      <c r="N92" s="22">
        <f ca="1">M92*(1+N103)</f>
        <v>442.90441570374998</v>
      </c>
      <c r="O92" s="30">
        <f t="shared" si="46"/>
        <v>3.6623196807252789E-3</v>
      </c>
      <c r="P92" s="30">
        <f t="shared" ref="P92:P93" ca="1" si="47">_xlfn.RRI(5,J92,N92)</f>
        <v>-4.9338078604809765E-2</v>
      </c>
    </row>
    <row r="93" spans="1:16" x14ac:dyDescent="0.25">
      <c r="B93" s="27" t="s">
        <v>33</v>
      </c>
      <c r="F93" s="22">
        <f>Financials!F24</f>
        <v>1885</v>
      </c>
      <c r="G93" s="22">
        <f>Financials!G24</f>
        <v>1684</v>
      </c>
      <c r="H93" s="22">
        <f>Financials!H24</f>
        <v>1726</v>
      </c>
      <c r="I93" s="22">
        <f>Financials!I24</f>
        <v>1655</v>
      </c>
      <c r="J93" s="22">
        <f ca="1">I93*(1+J107)</f>
        <v>1688.1000000000001</v>
      </c>
      <c r="K93" s="22">
        <f ca="1">J93*(1+K107)</f>
        <v>1728.1923750000001</v>
      </c>
      <c r="L93" s="22">
        <f ca="1">K93*(1+L107)</f>
        <v>1775.7176653125002</v>
      </c>
      <c r="M93" s="22">
        <f ca="1">L93*(1+M107)</f>
        <v>1831.2088423535158</v>
      </c>
      <c r="N93" s="22">
        <f ca="1">M93*(1+N107)</f>
        <v>1895.3011518358887</v>
      </c>
      <c r="O93" s="30">
        <f t="shared" si="46"/>
        <v>-3.2008238915125276E-2</v>
      </c>
      <c r="P93" s="30">
        <f t="shared" ca="1" si="47"/>
        <v>2.3424975770421685E-2</v>
      </c>
    </row>
    <row r="95" spans="1:16" x14ac:dyDescent="0.25">
      <c r="B95" s="128" t="s">
        <v>30</v>
      </c>
      <c r="C95" s="108"/>
      <c r="D95" s="108"/>
      <c r="E95" s="108"/>
      <c r="F95" s="122">
        <v>0</v>
      </c>
      <c r="G95" s="122">
        <f>G90/F90-1</f>
        <v>0.11550055529113123</v>
      </c>
      <c r="H95" s="122">
        <f>H90/G90-1</f>
        <v>-0.13013796046081638</v>
      </c>
      <c r="I95" s="122">
        <f>I90/H90-1</f>
        <v>5.7635709614126895E-2</v>
      </c>
      <c r="J95" s="122">
        <f ca="1">OFFSET(J95,$E$15,0)</f>
        <v>0.06</v>
      </c>
      <c r="K95" s="122">
        <f t="shared" ref="K95:N95" ca="1" si="48">OFFSET(K95,$E$15,0)</f>
        <v>6.3E-2</v>
      </c>
      <c r="L95" s="122">
        <f t="shared" ca="1" si="48"/>
        <v>6.6000000000000003E-2</v>
      </c>
      <c r="M95" s="122">
        <f t="shared" ca="1" si="48"/>
        <v>6.9000000000000006E-2</v>
      </c>
      <c r="N95" s="122">
        <f t="shared" ca="1" si="48"/>
        <v>7.1999999999999995E-2</v>
      </c>
    </row>
    <row r="96" spans="1:16" x14ac:dyDescent="0.25">
      <c r="B96" s="41" t="s">
        <v>128</v>
      </c>
      <c r="G96" s="26"/>
      <c r="H96" s="26"/>
      <c r="I96" s="26"/>
      <c r="J96" s="120">
        <v>0.06</v>
      </c>
      <c r="K96" s="127">
        <f>J96+($N$96-$J$96)/4</f>
        <v>6.3E-2</v>
      </c>
      <c r="L96" s="127">
        <f>K96+($N$96-$J$96)/4</f>
        <v>6.6000000000000003E-2</v>
      </c>
      <c r="M96" s="127">
        <f>L96+($N$96-$J$96)/4</f>
        <v>6.9000000000000006E-2</v>
      </c>
      <c r="N96" s="120">
        <v>7.1999999999999995E-2</v>
      </c>
    </row>
    <row r="97" spans="2:14" x14ac:dyDescent="0.25">
      <c r="B97" s="41" t="s">
        <v>130</v>
      </c>
      <c r="G97" s="26"/>
      <c r="H97" s="26"/>
      <c r="I97" s="26"/>
      <c r="J97" s="126">
        <f>J96+0.75%</f>
        <v>6.7500000000000004E-2</v>
      </c>
      <c r="K97" s="126">
        <f t="shared" ref="K97:N98" si="49">K96+0.75%</f>
        <v>7.0500000000000007E-2</v>
      </c>
      <c r="L97" s="126">
        <f t="shared" si="49"/>
        <v>7.350000000000001E-2</v>
      </c>
      <c r="M97" s="126">
        <f t="shared" si="49"/>
        <v>7.6500000000000012E-2</v>
      </c>
      <c r="N97" s="126">
        <f t="shared" si="49"/>
        <v>7.9499999999999987E-2</v>
      </c>
    </row>
    <row r="98" spans="2:14" x14ac:dyDescent="0.25">
      <c r="B98" s="41" t="s">
        <v>129</v>
      </c>
      <c r="G98" s="26"/>
      <c r="H98" s="26"/>
      <c r="I98" s="26"/>
      <c r="J98" s="126">
        <f>J97+0.75%</f>
        <v>7.5000000000000011E-2</v>
      </c>
      <c r="K98" s="126">
        <f t="shared" si="49"/>
        <v>7.8000000000000014E-2</v>
      </c>
      <c r="L98" s="126">
        <f t="shared" si="49"/>
        <v>8.1000000000000016E-2</v>
      </c>
      <c r="M98" s="126">
        <f t="shared" si="49"/>
        <v>8.4000000000000019E-2</v>
      </c>
      <c r="N98" s="126">
        <f t="shared" si="49"/>
        <v>8.6999999999999994E-2</v>
      </c>
    </row>
    <row r="99" spans="2:14" x14ac:dyDescent="0.25">
      <c r="B99" s="128" t="s">
        <v>31</v>
      </c>
      <c r="C99" s="108"/>
      <c r="D99" s="108"/>
      <c r="E99" s="108"/>
      <c r="F99" s="122">
        <v>0</v>
      </c>
      <c r="G99" s="122">
        <f>G91/F91-1</f>
        <v>0.84401451027811358</v>
      </c>
      <c r="H99" s="122">
        <f>H91/G91-1</f>
        <v>0.15344262295081967</v>
      </c>
      <c r="I99" s="122">
        <f>I91/H91-1</f>
        <v>7.6748152359294997E-2</v>
      </c>
      <c r="J99" s="122">
        <f ca="1">OFFSET(J99,$E$15,0)</f>
        <v>0.08</v>
      </c>
      <c r="K99" s="122">
        <f t="shared" ref="K99:N99" ca="1" si="50">OFFSET(K99,$E$15,0)</f>
        <v>8.5000000000000006E-2</v>
      </c>
      <c r="L99" s="122">
        <f t="shared" ca="1" si="50"/>
        <v>9.0000000000000011E-2</v>
      </c>
      <c r="M99" s="122">
        <f t="shared" ca="1" si="50"/>
        <v>9.5000000000000015E-2</v>
      </c>
      <c r="N99" s="122">
        <f t="shared" ca="1" si="50"/>
        <v>0.1</v>
      </c>
    </row>
    <row r="100" spans="2:14" x14ac:dyDescent="0.25">
      <c r="B100" s="41" t="s">
        <v>128</v>
      </c>
      <c r="G100" s="26"/>
      <c r="H100" s="26"/>
      <c r="I100" s="26"/>
      <c r="J100" s="120">
        <v>0.08</v>
      </c>
      <c r="K100" s="127">
        <f>J100+($N$100-$J$100)/4</f>
        <v>8.5000000000000006E-2</v>
      </c>
      <c r="L100" s="127">
        <f>K100+($N$100-$J$100)/4</f>
        <v>9.0000000000000011E-2</v>
      </c>
      <c r="M100" s="127">
        <f>L100+($N$100-$J$100)/4</f>
        <v>9.5000000000000015E-2</v>
      </c>
      <c r="N100" s="120">
        <v>0.1</v>
      </c>
    </row>
    <row r="101" spans="2:14" x14ac:dyDescent="0.25">
      <c r="B101" s="41" t="s">
        <v>130</v>
      </c>
      <c r="G101" s="26"/>
      <c r="H101" s="26"/>
      <c r="I101" s="26"/>
      <c r="J101" s="126">
        <f>J100-1.5%</f>
        <v>6.5000000000000002E-2</v>
      </c>
      <c r="K101" s="126">
        <f>J101+($N$101-$J$101)/4</f>
        <v>0.06</v>
      </c>
      <c r="L101" s="126">
        <f>K101+($N$100-$J$100)/4</f>
        <v>6.5000000000000002E-2</v>
      </c>
      <c r="M101" s="126">
        <f>L101+($N$100-$J$100)/4</f>
        <v>7.0000000000000007E-2</v>
      </c>
      <c r="N101" s="31">
        <v>4.4999999999999998E-2</v>
      </c>
    </row>
    <row r="102" spans="2:14" x14ac:dyDescent="0.25">
      <c r="B102" s="41" t="s">
        <v>129</v>
      </c>
      <c r="G102" s="26"/>
      <c r="H102" s="26"/>
      <c r="I102" s="26"/>
      <c r="J102" s="126">
        <f>J101-1.5%</f>
        <v>0.05</v>
      </c>
      <c r="K102" s="126">
        <f>J102+($N$102-$J$102)/4</f>
        <v>4.4999999999999998E-2</v>
      </c>
      <c r="L102" s="126">
        <f>K102+($N$100-$J$100)/4</f>
        <v>0.05</v>
      </c>
      <c r="M102" s="126">
        <f>L102+($N$100-$J$100)/4</f>
        <v>5.5000000000000007E-2</v>
      </c>
      <c r="N102" s="31">
        <v>0.03</v>
      </c>
    </row>
    <row r="103" spans="2:14" x14ac:dyDescent="0.25">
      <c r="B103" s="128" t="s">
        <v>32</v>
      </c>
      <c r="C103" s="108"/>
      <c r="D103" s="108"/>
      <c r="E103" s="108"/>
      <c r="F103" s="122">
        <v>0</v>
      </c>
      <c r="G103" s="122">
        <f>G92/F92-1</f>
        <v>0.1669394435351883</v>
      </c>
      <c r="H103" s="122">
        <f>H92/G92-1</f>
        <v>-5.0490883590462832E-2</v>
      </c>
      <c r="I103" s="122">
        <f>I92/H92-1</f>
        <v>-8.4194977843426888E-2</v>
      </c>
      <c r="J103" s="122">
        <f ca="1">OFFSET(J103,$E$15,0)</f>
        <v>-0.08</v>
      </c>
      <c r="K103" s="122">
        <f t="shared" ref="K103:N103" ca="1" si="51">OFFSET(K103,$E$15,0)</f>
        <v>-7.2500000000000009E-2</v>
      </c>
      <c r="L103" s="122">
        <f t="shared" ca="1" si="51"/>
        <v>-6.5000000000000002E-2</v>
      </c>
      <c r="M103" s="122">
        <f t="shared" ca="1" si="51"/>
        <v>-5.7500000000000002E-2</v>
      </c>
      <c r="N103" s="122">
        <f t="shared" ca="1" si="51"/>
        <v>-0.05</v>
      </c>
    </row>
    <row r="104" spans="2:14" x14ac:dyDescent="0.25">
      <c r="B104" s="41" t="s">
        <v>128</v>
      </c>
      <c r="G104" s="26"/>
      <c r="H104" s="26"/>
      <c r="I104" s="26"/>
      <c r="J104" s="120">
        <v>-0.08</v>
      </c>
      <c r="K104" s="127">
        <f>J104+($N$104-$J$104)/4</f>
        <v>-7.2500000000000009E-2</v>
      </c>
      <c r="L104" s="127">
        <f t="shared" ref="L104:M104" si="52">K104+($N$104-$J$104)/4</f>
        <v>-6.5000000000000002E-2</v>
      </c>
      <c r="M104" s="127">
        <f t="shared" si="52"/>
        <v>-5.7500000000000002E-2</v>
      </c>
      <c r="N104" s="120">
        <v>-0.05</v>
      </c>
    </row>
    <row r="105" spans="2:14" x14ac:dyDescent="0.25">
      <c r="B105" s="41" t="s">
        <v>130</v>
      </c>
      <c r="G105" s="26"/>
      <c r="H105" s="26"/>
      <c r="I105" s="26"/>
      <c r="J105" s="126">
        <f>J104+0.75%</f>
        <v>-7.2500000000000009E-2</v>
      </c>
      <c r="K105" s="126">
        <f t="shared" ref="K105:N106" si="53">K104+0.75%</f>
        <v>-6.5000000000000002E-2</v>
      </c>
      <c r="L105" s="126">
        <f t="shared" si="53"/>
        <v>-5.7500000000000002E-2</v>
      </c>
      <c r="M105" s="126">
        <f t="shared" si="53"/>
        <v>-0.05</v>
      </c>
      <c r="N105" s="126">
        <f t="shared" si="53"/>
        <v>-4.2500000000000003E-2</v>
      </c>
    </row>
    <row r="106" spans="2:14" x14ac:dyDescent="0.25">
      <c r="B106" s="41" t="s">
        <v>129</v>
      </c>
      <c r="G106" s="26"/>
      <c r="H106" s="26"/>
      <c r="I106" s="26"/>
      <c r="J106" s="126">
        <f>J105+0.75%</f>
        <v>-6.5000000000000002E-2</v>
      </c>
      <c r="K106" s="126">
        <f t="shared" si="53"/>
        <v>-5.7500000000000002E-2</v>
      </c>
      <c r="L106" s="126">
        <f t="shared" si="53"/>
        <v>-0.05</v>
      </c>
      <c r="M106" s="126">
        <f t="shared" si="53"/>
        <v>-4.2500000000000003E-2</v>
      </c>
      <c r="N106" s="126">
        <f t="shared" si="53"/>
        <v>-3.5000000000000003E-2</v>
      </c>
    </row>
    <row r="107" spans="2:14" x14ac:dyDescent="0.25">
      <c r="B107" s="128" t="s">
        <v>33</v>
      </c>
      <c r="C107" s="108"/>
      <c r="D107" s="108"/>
      <c r="E107" s="108"/>
      <c r="F107" s="122">
        <v>0</v>
      </c>
      <c r="G107" s="122">
        <f>G93/F93-1</f>
        <v>-0.10663129973474805</v>
      </c>
      <c r="H107" s="122">
        <f>H93/G93-1</f>
        <v>2.4940617577197122E-2</v>
      </c>
      <c r="I107" s="122">
        <f>I93/H93-1</f>
        <v>-4.1135573580532991E-2</v>
      </c>
      <c r="J107" s="122">
        <f ca="1">OFFSET(J107,$E$15,0)</f>
        <v>0.02</v>
      </c>
      <c r="K107" s="122">
        <f t="shared" ref="K107:N107" ca="1" si="54">OFFSET(K107,$E$15,0)</f>
        <v>2.375E-2</v>
      </c>
      <c r="L107" s="122">
        <f t="shared" ca="1" si="54"/>
        <v>2.75E-2</v>
      </c>
      <c r="M107" s="122">
        <f t="shared" ca="1" si="54"/>
        <v>3.125E-2</v>
      </c>
      <c r="N107" s="122">
        <f t="shared" ca="1" si="54"/>
        <v>3.5000000000000003E-2</v>
      </c>
    </row>
    <row r="108" spans="2:14" x14ac:dyDescent="0.25">
      <c r="B108" s="41" t="s">
        <v>128</v>
      </c>
      <c r="J108" s="120">
        <v>0.02</v>
      </c>
      <c r="K108" s="127">
        <f>J108+($N$108-$J$108)/4</f>
        <v>2.375E-2</v>
      </c>
      <c r="L108" s="127">
        <f t="shared" ref="L108:M108" si="55">K108+($N$108-$J$108)/4</f>
        <v>2.75E-2</v>
      </c>
      <c r="M108" s="127">
        <f t="shared" si="55"/>
        <v>3.125E-2</v>
      </c>
      <c r="N108" s="120">
        <v>3.5000000000000003E-2</v>
      </c>
    </row>
    <row r="109" spans="2:14" x14ac:dyDescent="0.25">
      <c r="B109" s="41" t="s">
        <v>130</v>
      </c>
      <c r="J109" s="126">
        <f>J108+0.75%</f>
        <v>2.75E-2</v>
      </c>
      <c r="K109" s="126">
        <f t="shared" ref="K109:N110" si="56">K108+0.75%</f>
        <v>3.125E-2</v>
      </c>
      <c r="L109" s="126">
        <f t="shared" si="56"/>
        <v>3.5000000000000003E-2</v>
      </c>
      <c r="M109" s="126">
        <f t="shared" si="56"/>
        <v>3.875E-2</v>
      </c>
      <c r="N109" s="126">
        <f t="shared" si="56"/>
        <v>4.2500000000000003E-2</v>
      </c>
    </row>
    <row r="110" spans="2:14" x14ac:dyDescent="0.25">
      <c r="B110" s="41" t="s">
        <v>129</v>
      </c>
      <c r="J110" s="126">
        <f>J109+0.75%</f>
        <v>3.5000000000000003E-2</v>
      </c>
      <c r="K110" s="126">
        <f t="shared" si="56"/>
        <v>3.875E-2</v>
      </c>
      <c r="L110" s="126">
        <f t="shared" si="56"/>
        <v>4.2500000000000003E-2</v>
      </c>
      <c r="M110" s="126">
        <f t="shared" si="56"/>
        <v>4.6249999999999999E-2</v>
      </c>
      <c r="N110" s="126">
        <f t="shared" si="56"/>
        <v>0.05</v>
      </c>
    </row>
    <row r="112" spans="2:14" ht="14.4" x14ac:dyDescent="0.3">
      <c r="B112" s="129" t="s">
        <v>218</v>
      </c>
      <c r="C112" s="14"/>
    </row>
  </sheetData>
  <mergeCells count="4">
    <mergeCell ref="F5:I5"/>
    <mergeCell ref="J5:N5"/>
    <mergeCell ref="O5:P5"/>
    <mergeCell ref="Q5:S6"/>
  </mergeCells>
  <hyperlinks>
    <hyperlink ref="B8" location="Dashboard!A1" display="&lt;-Back to dashboard" xr:uid="{DCD15C9F-E496-4456-ADAB-79454FB5E8D0}"/>
    <hyperlink ref="B112" location="Scenario!A8" display="&lt;- Go back to the top" xr:uid="{A12DDDAB-D9CA-432D-8C9D-4006ABCBCFAA}"/>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9DCA-4D1C-4402-96E5-93D1A5CE7238}">
  <dimension ref="A1:T36"/>
  <sheetViews>
    <sheetView showGridLines="0" zoomScale="85" zoomScaleNormal="85" workbookViewId="0">
      <selection activeCell="K16" sqref="K16:O16"/>
    </sheetView>
  </sheetViews>
  <sheetFormatPr defaultRowHeight="13.2" x14ac:dyDescent="0.25"/>
  <cols>
    <col min="1" max="1" width="1.88671875" style="1" customWidth="1"/>
    <col min="2" max="6" width="8.88671875" style="1"/>
    <col min="7" max="15" width="11.6640625" style="1" customWidth="1"/>
    <col min="16" max="17" width="10.6640625" style="1" customWidth="1"/>
    <col min="18" max="20" width="12.5546875" style="1" customWidth="1"/>
    <col min="21" max="16384" width="8.88671875" style="1"/>
  </cols>
  <sheetData>
    <row r="1" spans="1:20" s="5" customFormat="1" ht="13.8" x14ac:dyDescent="0.25"/>
    <row r="2" spans="1:20" s="5" customFormat="1" ht="13.8" x14ac:dyDescent="0.25">
      <c r="A2" s="4"/>
      <c r="B2" s="107" t="str">
        <f>Dashboard!C2</f>
        <v>Infosys Ltd.</v>
      </c>
      <c r="C2" s="7"/>
      <c r="D2" s="7"/>
      <c r="E2" s="7"/>
      <c r="F2" s="7"/>
      <c r="G2" s="7"/>
      <c r="H2" s="7"/>
      <c r="I2" s="7"/>
      <c r="J2" s="7"/>
      <c r="K2" s="7"/>
      <c r="L2" s="7"/>
      <c r="M2" s="7"/>
      <c r="N2" s="7"/>
      <c r="O2" s="7"/>
      <c r="P2" s="7"/>
      <c r="Q2" s="7"/>
      <c r="R2" s="7"/>
      <c r="S2" s="7"/>
      <c r="T2" s="7"/>
    </row>
    <row r="3" spans="1:20" s="5" customFormat="1" ht="13.8" x14ac:dyDescent="0.25">
      <c r="B3" s="8" t="s">
        <v>10</v>
      </c>
      <c r="C3" s="7"/>
      <c r="D3" s="7"/>
      <c r="E3" s="7"/>
      <c r="F3" s="7"/>
      <c r="G3" s="7"/>
      <c r="H3" s="7"/>
      <c r="I3" s="7"/>
      <c r="J3" s="7"/>
      <c r="K3" s="7"/>
      <c r="L3" s="7"/>
      <c r="M3" s="7"/>
      <c r="N3" s="7"/>
      <c r="O3" s="7"/>
      <c r="P3" s="7"/>
      <c r="Q3" s="7"/>
      <c r="R3" s="7"/>
      <c r="S3" s="7"/>
      <c r="T3" s="7"/>
    </row>
    <row r="4" spans="1:20" s="5" customFormat="1" ht="13.8" x14ac:dyDescent="0.25">
      <c r="B4" s="95" t="str">
        <f>Dashboard!C4</f>
        <v>(In ₹ Crore, except equity share and per equity share data)</v>
      </c>
      <c r="C4" s="7"/>
      <c r="D4" s="7"/>
      <c r="E4" s="7"/>
      <c r="F4" s="7"/>
      <c r="G4" s="7"/>
      <c r="H4" s="7"/>
      <c r="I4" s="7"/>
      <c r="J4" s="7"/>
      <c r="K4" s="7"/>
      <c r="L4" s="7"/>
      <c r="M4" s="7"/>
      <c r="N4" s="7"/>
      <c r="O4" s="7"/>
      <c r="P4" s="7"/>
      <c r="Q4" s="7"/>
      <c r="R4" s="7"/>
      <c r="S4" s="7"/>
      <c r="T4" s="7"/>
    </row>
    <row r="5" spans="1:20" s="5" customFormat="1" ht="13.8" x14ac:dyDescent="0.25">
      <c r="B5" s="8" t="s">
        <v>0</v>
      </c>
      <c r="C5" s="10"/>
      <c r="D5" s="10"/>
      <c r="E5" s="10"/>
      <c r="F5" s="10"/>
      <c r="G5" s="375" t="s">
        <v>92</v>
      </c>
      <c r="H5" s="376"/>
      <c r="I5" s="376"/>
      <c r="J5" s="376"/>
      <c r="K5" s="375" t="s">
        <v>2</v>
      </c>
      <c r="L5" s="376"/>
      <c r="M5" s="376"/>
      <c r="N5" s="376"/>
      <c r="O5" s="376"/>
      <c r="P5" s="382" t="s">
        <v>22</v>
      </c>
      <c r="Q5" s="383"/>
      <c r="R5" s="384" t="s">
        <v>11</v>
      </c>
      <c r="S5" s="385"/>
      <c r="T5" s="385"/>
    </row>
    <row r="6" spans="1:20" s="5" customFormat="1" ht="13.8" x14ac:dyDescent="0.25">
      <c r="B6" s="8" t="s">
        <v>1</v>
      </c>
      <c r="C6" s="10"/>
      <c r="D6" s="10"/>
      <c r="E6" s="10"/>
      <c r="F6" s="10"/>
      <c r="G6" s="18">
        <f>Financials!F6</f>
        <v>44651</v>
      </c>
      <c r="H6" s="18">
        <f>EDATE(G6,12)</f>
        <v>45016</v>
      </c>
      <c r="I6" s="18">
        <f t="shared" ref="I6:O6" si="0">EDATE(H6,12)</f>
        <v>45382</v>
      </c>
      <c r="J6" s="11">
        <f t="shared" si="0"/>
        <v>45747</v>
      </c>
      <c r="K6" s="20">
        <f t="shared" si="0"/>
        <v>46112</v>
      </c>
      <c r="L6" s="20">
        <f t="shared" si="0"/>
        <v>46477</v>
      </c>
      <c r="M6" s="15">
        <f t="shared" si="0"/>
        <v>46843</v>
      </c>
      <c r="N6" s="20">
        <f t="shared" si="0"/>
        <v>47208</v>
      </c>
      <c r="O6" s="15">
        <f t="shared" si="0"/>
        <v>47573</v>
      </c>
      <c r="P6" s="29" t="s">
        <v>104</v>
      </c>
      <c r="Q6" s="28" t="s">
        <v>108</v>
      </c>
      <c r="R6" s="386"/>
      <c r="S6" s="387"/>
      <c r="T6" s="387"/>
    </row>
    <row r="7" spans="1:20" customFormat="1" ht="14.4" x14ac:dyDescent="0.3"/>
    <row r="8" spans="1:20" customFormat="1" ht="14.4" x14ac:dyDescent="0.3">
      <c r="B8" s="43" t="s">
        <v>214</v>
      </c>
    </row>
    <row r="9" spans="1:20" customFormat="1" ht="14.4" x14ac:dyDescent="0.3"/>
    <row r="10" spans="1:20" s="5" customFormat="1" ht="13.8" x14ac:dyDescent="0.25">
      <c r="A10" s="5" t="s">
        <v>25</v>
      </c>
      <c r="B10" s="17" t="s">
        <v>10</v>
      </c>
      <c r="C10" s="14"/>
      <c r="D10" s="14"/>
      <c r="E10" s="14"/>
      <c r="F10" s="14"/>
      <c r="G10" s="14"/>
      <c r="H10" s="14"/>
      <c r="I10" s="14"/>
      <c r="J10" s="14"/>
      <c r="K10" s="14"/>
      <c r="L10" s="14"/>
      <c r="M10" s="14"/>
      <c r="N10" s="14"/>
      <c r="O10" s="14"/>
      <c r="P10" s="14"/>
      <c r="Q10" s="14"/>
      <c r="R10" s="14"/>
      <c r="S10" s="14"/>
      <c r="T10" s="14"/>
    </row>
    <row r="12" spans="1:20" x14ac:dyDescent="0.25">
      <c r="B12" s="1" t="s">
        <v>138</v>
      </c>
      <c r="G12" s="51">
        <f>Financials!F16</f>
        <v>2295</v>
      </c>
      <c r="H12" s="51">
        <f>Financials!G16</f>
        <v>2701</v>
      </c>
      <c r="I12" s="51">
        <f>Financials!H16</f>
        <v>4711</v>
      </c>
      <c r="J12" s="51">
        <f>Financials!I16</f>
        <v>3600</v>
      </c>
      <c r="K12" s="22">
        <f ca="1">K13*Financials!J$15</f>
        <v>3818.9935383199345</v>
      </c>
      <c r="L12" s="22">
        <f ca="1">L13*Financials!K$15</f>
        <v>4038.1400909437616</v>
      </c>
      <c r="M12" s="22">
        <f ca="1">M13*Financials!L$15</f>
        <v>4291.3029164086538</v>
      </c>
      <c r="N12" s="22">
        <f ca="1">N13*Financials!M$15</f>
        <v>4583.8952432668539</v>
      </c>
      <c r="O12" s="22">
        <f ca="1">O13*Financials!N$15</f>
        <v>4913.8480432791184</v>
      </c>
      <c r="P12" s="30">
        <f>_xlfn.RRI(4,G12,J12)</f>
        <v>0.11912849225202859</v>
      </c>
      <c r="Q12" s="30">
        <f ca="1">_xlfn.RRI(5,K12,O12)</f>
        <v>5.1706504031229672E-2</v>
      </c>
      <c r="R12" s="1" t="s">
        <v>143</v>
      </c>
    </row>
    <row r="13" spans="1:20" x14ac:dyDescent="0.25">
      <c r="B13" s="1" t="s">
        <v>142</v>
      </c>
      <c r="G13" s="26">
        <f>G12/Financials!F$15</f>
        <v>1.886699385897847E-2</v>
      </c>
      <c r="H13" s="26">
        <f>H12/Financials!G$15</f>
        <v>1.8403319547309682E-2</v>
      </c>
      <c r="I13" s="26">
        <f>I12/Financials!H$15</f>
        <v>3.0656601809071388E-2</v>
      </c>
      <c r="J13" s="26">
        <f>J12/Financials!I$15</f>
        <v>2.2087244616234125E-2</v>
      </c>
      <c r="K13" s="26">
        <f>AVERAGE(G13:J13)</f>
        <v>2.2503539957898416E-2</v>
      </c>
      <c r="L13" s="26">
        <f>K13</f>
        <v>2.2503539957898416E-2</v>
      </c>
      <c r="M13" s="26">
        <f t="shared" ref="M13:O13" si="1">L13</f>
        <v>2.2503539957898416E-2</v>
      </c>
      <c r="N13" s="26">
        <f t="shared" si="1"/>
        <v>2.2503539957898416E-2</v>
      </c>
      <c r="O13" s="26">
        <f t="shared" si="1"/>
        <v>2.2503539957898416E-2</v>
      </c>
      <c r="P13" s="30"/>
      <c r="Q13" s="30"/>
    </row>
    <row r="15" spans="1:20" x14ac:dyDescent="0.25">
      <c r="B15" s="1" t="s">
        <v>139</v>
      </c>
      <c r="G15" s="51">
        <f>Financials!F32</f>
        <v>7811</v>
      </c>
      <c r="H15" s="51">
        <f>Financials!G32</f>
        <v>9287</v>
      </c>
      <c r="I15" s="51">
        <f>Financials!H32</f>
        <v>8390</v>
      </c>
      <c r="J15" s="51">
        <f>Financials!I32</f>
        <v>12130</v>
      </c>
      <c r="K15" s="22">
        <f ca="1">K16*Financials!J30</f>
        <v>12163.541298538172</v>
      </c>
      <c r="L15" s="22">
        <f ca="1">L16*Financials!K30</f>
        <v>12450.245397332415</v>
      </c>
      <c r="M15" s="22">
        <f ca="1">M16*Financials!L30</f>
        <v>12916.4528158622</v>
      </c>
      <c r="N15" s="22">
        <f ca="1">N16*Financials!M30</f>
        <v>13544.168502111768</v>
      </c>
      <c r="O15" s="22">
        <f ca="1">O16*Financials!N30</f>
        <v>14293.64287827021</v>
      </c>
      <c r="P15" s="30">
        <f>_xlfn.RRI(4,G15,J15)</f>
        <v>0.11631957621504663</v>
      </c>
      <c r="Q15" s="30">
        <f ca="1">_xlfn.RRI(5,K15,O15)</f>
        <v>3.2800830857969032E-2</v>
      </c>
      <c r="R15" s="1" t="s">
        <v>141</v>
      </c>
    </row>
    <row r="16" spans="1:20" x14ac:dyDescent="0.25">
      <c r="B16" s="1" t="s">
        <v>140</v>
      </c>
      <c r="G16" s="26">
        <f>G15/Financials!F$30</f>
        <v>0.2594154765858519</v>
      </c>
      <c r="H16" s="26">
        <f>H15/Financials!G$30</f>
        <v>0.27870475961827024</v>
      </c>
      <c r="I16" s="26">
        <f>I15/Financials!H$30</f>
        <v>0.23313326664443704</v>
      </c>
      <c r="J16" s="26">
        <f>J15/Financials!I$30</f>
        <v>0.32253775792384598</v>
      </c>
      <c r="K16" s="36">
        <v>0.3</v>
      </c>
      <c r="L16" s="36">
        <f>K16</f>
        <v>0.3</v>
      </c>
      <c r="M16" s="36">
        <f t="shared" ref="M16:O16" si="2">L16</f>
        <v>0.3</v>
      </c>
      <c r="N16" s="36">
        <f t="shared" si="2"/>
        <v>0.3</v>
      </c>
      <c r="O16" s="36">
        <f t="shared" si="2"/>
        <v>0.3</v>
      </c>
    </row>
    <row r="18" spans="1:18" x14ac:dyDescent="0.25">
      <c r="B18" s="1" t="s">
        <v>144</v>
      </c>
      <c r="G18" s="51">
        <f>Financials!F38</f>
        <v>36</v>
      </c>
      <c r="H18" s="51">
        <f>Financials!G38</f>
        <v>13</v>
      </c>
      <c r="I18" s="51">
        <f>Financials!H38</f>
        <v>15</v>
      </c>
      <c r="J18" s="51">
        <f>Financials!I38</f>
        <v>37</v>
      </c>
      <c r="K18" s="22">
        <f ca="1">K19*Financials!J34</f>
        <v>29.2292517155777</v>
      </c>
      <c r="L18" s="22">
        <f ca="1">L19*Financials!K34</f>
        <v>29.918207839938614</v>
      </c>
      <c r="M18" s="22">
        <f ca="1">M19*Financials!L34</f>
        <v>31.038514307719876</v>
      </c>
      <c r="N18" s="22">
        <f ca="1">N19*Financials!M34</f>
        <v>32.546928621354851</v>
      </c>
      <c r="O18" s="22">
        <f ca="1">O19*Financials!N34</f>
        <v>34.347931689247865</v>
      </c>
      <c r="P18" s="30">
        <f>_xlfn.RRI(4,G18,J18)</f>
        <v>6.87325669604677E-3</v>
      </c>
      <c r="Q18" s="30">
        <f ca="1">_xlfn.RRI(5,K18,O18)</f>
        <v>3.2800830857969032E-2</v>
      </c>
      <c r="R18" s="1" t="s">
        <v>146</v>
      </c>
    </row>
    <row r="19" spans="1:18" x14ac:dyDescent="0.25">
      <c r="B19" s="1" t="s">
        <v>145</v>
      </c>
      <c r="G19" s="26">
        <f>G18/Financials!F$34</f>
        <v>1.625575724735844E-3</v>
      </c>
      <c r="H19" s="26">
        <f>H18/Financials!G$34</f>
        <v>5.3924008627841385E-4</v>
      </c>
      <c r="I19" s="26">
        <f>I18/Financials!H$34</f>
        <v>5.7147211216092655E-4</v>
      </c>
      <c r="J19" s="26">
        <f>J18/Financials!I$34</f>
        <v>1.3831775700934579E-3</v>
      </c>
      <c r="K19" s="36">
        <f>AVERAGE(G19:J19)</f>
        <v>1.0298663733171605E-3</v>
      </c>
      <c r="L19" s="36">
        <f>K19</f>
        <v>1.0298663733171605E-3</v>
      </c>
      <c r="M19" s="36">
        <f t="shared" ref="M19:O19" si="3">L19</f>
        <v>1.0298663733171605E-3</v>
      </c>
      <c r="N19" s="36">
        <f t="shared" si="3"/>
        <v>1.0298663733171605E-3</v>
      </c>
      <c r="O19" s="36">
        <f t="shared" si="3"/>
        <v>1.0298663733171605E-3</v>
      </c>
    </row>
    <row r="21" spans="1:18" x14ac:dyDescent="0.25">
      <c r="B21" s="1" t="s">
        <v>188</v>
      </c>
      <c r="G21" s="52">
        <v>12652</v>
      </c>
      <c r="H21" s="52">
        <v>13631</v>
      </c>
      <c r="I21" s="52">
        <v>14692</v>
      </c>
      <c r="J21" s="52">
        <v>20287</v>
      </c>
      <c r="K21" s="22">
        <f ca="1">K22*Financials!J37</f>
        <v>17400.159119490476</v>
      </c>
      <c r="L21" s="22">
        <f ca="1">L22*Financials!K37</f>
        <v>18117.996198207817</v>
      </c>
      <c r="M21" s="22">
        <f ca="1">M22*Financials!L37</f>
        <v>19239.765950251232</v>
      </c>
      <c r="N21" s="22">
        <f ca="1">N22*Financials!M37</f>
        <v>20800.675651025897</v>
      </c>
      <c r="O21" s="22">
        <f ca="1">O22*Financials!N37</f>
        <v>21122.683328831721</v>
      </c>
      <c r="P21" s="30">
        <f>_xlfn.RRI(4,G21,J21)</f>
        <v>0.12529052340487423</v>
      </c>
      <c r="Q21" s="30">
        <f ca="1">_xlfn.RRI(5,K21,O21)</f>
        <v>3.953513772412709E-2</v>
      </c>
    </row>
    <row r="22" spans="1:18" x14ac:dyDescent="0.25">
      <c r="B22" s="1" t="s">
        <v>189</v>
      </c>
      <c r="G22" s="26">
        <f>G21/Financials!F$34</f>
        <v>0.57129955748216377</v>
      </c>
      <c r="H22" s="26">
        <f>H21/Financials!G$34</f>
        <v>0.56541397046623532</v>
      </c>
      <c r="I22" s="26">
        <f>I21/Financials!H$34</f>
        <v>0.55973788479122222</v>
      </c>
      <c r="J22" s="26">
        <f>J21/Financials!I$34</f>
        <v>0.75839252336448593</v>
      </c>
      <c r="K22" s="36">
        <f>AVERAGE(G22:J22)</f>
        <v>0.61371098402602686</v>
      </c>
      <c r="L22" s="36">
        <f t="shared" ref="L22:O22" si="4">AVERAGE(H22:K22)</f>
        <v>0.62431384066199258</v>
      </c>
      <c r="M22" s="36">
        <f t="shared" si="4"/>
        <v>0.63903880821093195</v>
      </c>
      <c r="N22" s="36">
        <f t="shared" si="4"/>
        <v>0.65886403906585933</v>
      </c>
      <c r="O22" s="36">
        <f t="shared" si="4"/>
        <v>0.63398191799120274</v>
      </c>
    </row>
    <row r="24" spans="1:18" x14ac:dyDescent="0.25">
      <c r="B24" s="1" t="s">
        <v>194</v>
      </c>
      <c r="G24" s="47">
        <v>11125</v>
      </c>
      <c r="H24" s="47">
        <v>11499</v>
      </c>
      <c r="I24" s="47">
        <v>0</v>
      </c>
      <c r="J24" s="47">
        <v>0</v>
      </c>
      <c r="K24" s="47">
        <v>0</v>
      </c>
      <c r="L24" s="47">
        <v>12500</v>
      </c>
      <c r="M24" s="47">
        <v>0</v>
      </c>
      <c r="N24" s="47">
        <v>0</v>
      </c>
      <c r="O24" s="47">
        <v>10500</v>
      </c>
    </row>
    <row r="25" spans="1:18" x14ac:dyDescent="0.25">
      <c r="B25" s="1" t="s">
        <v>195</v>
      </c>
      <c r="G25" s="26">
        <f>IF(G24/Financials!F$34,G24/Financials!F$34,"-")</f>
        <v>0.50234805382461845</v>
      </c>
      <c r="H25" s="26">
        <f>IF(H24/Financials!G$34,H24/Financials!G$34,"-")</f>
        <v>0.47697859631657541</v>
      </c>
      <c r="I25" s="45" t="str">
        <f>IF(I24/Financials!H$34,I24/Financials!H$34,"-")</f>
        <v>-</v>
      </c>
      <c r="J25" s="45" t="str">
        <f>IF(J24/Financials!I$34,J24/Financials!I$34,"-")</f>
        <v>-</v>
      </c>
      <c r="K25" s="45" t="str">
        <f ca="1">IF(K24/Financials!J$34,K24/Financials!J$34,"-")</f>
        <v>-</v>
      </c>
      <c r="L25" s="45">
        <f ca="1">IF(L24/Financials!K$34,L24/Financials!K$34,"-")</f>
        <v>0.43028411779664011</v>
      </c>
      <c r="M25" s="45" t="str">
        <f ca="1">IF(M24/Financials!L$34,M24/Financials!L$34,"-")</f>
        <v>-</v>
      </c>
      <c r="N25" s="45" t="str">
        <f ca="1">IF(N24/Financials!M$34,N24/Financials!M$34,"-")</f>
        <v>-</v>
      </c>
      <c r="O25" s="45">
        <f ca="1">IF(O24/Financials!M$34,O24/Financials!M$34,"-")</f>
        <v>0.33224630949462663</v>
      </c>
    </row>
    <row r="28" spans="1:18" x14ac:dyDescent="0.25">
      <c r="A28" s="1" t="s">
        <v>25</v>
      </c>
      <c r="B28" s="17" t="s">
        <v>305</v>
      </c>
    </row>
    <row r="34" spans="9:10" x14ac:dyDescent="0.25">
      <c r="I34" s="16"/>
      <c r="J34" s="16"/>
    </row>
    <row r="35" spans="9:10" x14ac:dyDescent="0.25">
      <c r="I35" s="16"/>
      <c r="J35" s="16"/>
    </row>
    <row r="36" spans="9:10" x14ac:dyDescent="0.25">
      <c r="I36" s="16"/>
      <c r="J36" s="16"/>
    </row>
  </sheetData>
  <mergeCells count="4">
    <mergeCell ref="R5:T6"/>
    <mergeCell ref="G5:J5"/>
    <mergeCell ref="K5:O5"/>
    <mergeCell ref="P5:Q5"/>
  </mergeCells>
  <hyperlinks>
    <hyperlink ref="B8" location="Dashboard!A1" display="&lt;-Back to dashboard" xr:uid="{43FCBDE0-6A65-4DDE-B9B3-B19FE57C44B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44F4-48FD-47E7-8572-BBAC6143B4D1}">
  <dimension ref="A2:O106"/>
  <sheetViews>
    <sheetView showGridLines="0" zoomScaleNormal="100" workbookViewId="0">
      <selection activeCell="F114" sqref="F114"/>
    </sheetView>
  </sheetViews>
  <sheetFormatPr defaultRowHeight="13.2" x14ac:dyDescent="0.25"/>
  <cols>
    <col min="1" max="1" width="1.88671875" style="1" customWidth="1"/>
    <col min="2" max="3" width="8.88671875" style="1"/>
    <col min="4" max="4" width="10.109375" style="1" customWidth="1"/>
    <col min="5" max="6" width="8.88671875" style="1"/>
    <col min="7" max="16" width="12.6640625" style="1" customWidth="1"/>
    <col min="17" max="16384" width="8.88671875" style="1"/>
  </cols>
  <sheetData>
    <row r="2" spans="1:15" s="5" customFormat="1" ht="13.8" x14ac:dyDescent="0.25">
      <c r="B2" s="107" t="str">
        <f>Dashboard!C2</f>
        <v>Infosys Ltd.</v>
      </c>
      <c r="C2" s="7"/>
      <c r="D2" s="7"/>
      <c r="E2" s="7"/>
      <c r="F2" s="7"/>
      <c r="G2" s="7"/>
      <c r="H2" s="7"/>
      <c r="I2" s="7"/>
      <c r="J2" s="7"/>
      <c r="K2" s="7"/>
      <c r="L2" s="7"/>
      <c r="M2" s="7"/>
      <c r="N2" s="7"/>
      <c r="O2" s="7"/>
    </row>
    <row r="3" spans="1:15" s="5" customFormat="1" ht="13.8" x14ac:dyDescent="0.25">
      <c r="B3" s="8" t="s">
        <v>147</v>
      </c>
      <c r="C3" s="7"/>
      <c r="D3" s="7"/>
      <c r="E3" s="7"/>
      <c r="F3" s="7"/>
      <c r="G3" s="7"/>
      <c r="H3" s="7"/>
      <c r="I3" s="7"/>
      <c r="J3" s="7"/>
      <c r="K3" s="7"/>
      <c r="L3" s="7"/>
      <c r="M3" s="7"/>
      <c r="N3" s="7"/>
      <c r="O3" s="7"/>
    </row>
    <row r="4" spans="1:15" s="5" customFormat="1" ht="13.8" x14ac:dyDescent="0.25">
      <c r="B4" s="95" t="str">
        <f>Dashboard!C4</f>
        <v>(In ₹ Crore, except equity share and per equity share data)</v>
      </c>
      <c r="C4" s="7"/>
      <c r="D4" s="7"/>
      <c r="E4" s="7"/>
      <c r="F4" s="7"/>
      <c r="G4" s="7"/>
      <c r="H4" s="7"/>
      <c r="I4" s="7"/>
      <c r="J4" s="7"/>
      <c r="K4" s="7"/>
      <c r="L4" s="7"/>
      <c r="M4" s="7"/>
      <c r="N4" s="7"/>
      <c r="O4" s="7"/>
    </row>
    <row r="5" spans="1:15" s="5" customFormat="1" ht="13.8" x14ac:dyDescent="0.25">
      <c r="B5" s="8" t="s">
        <v>0</v>
      </c>
      <c r="C5" s="10"/>
      <c r="D5" s="10"/>
      <c r="E5" s="10"/>
      <c r="F5" s="10"/>
      <c r="G5" s="388" t="s">
        <v>92</v>
      </c>
      <c r="H5" s="389"/>
      <c r="I5" s="389"/>
      <c r="J5" s="390"/>
      <c r="K5" s="375" t="s">
        <v>2</v>
      </c>
      <c r="L5" s="376"/>
      <c r="M5" s="376"/>
      <c r="N5" s="376"/>
      <c r="O5" s="376"/>
    </row>
    <row r="6" spans="1:15" s="5" customFormat="1" ht="13.8" x14ac:dyDescent="0.25">
      <c r="B6" s="8" t="s">
        <v>1</v>
      </c>
      <c r="C6" s="10"/>
      <c r="D6" s="10"/>
      <c r="E6" s="10"/>
      <c r="F6" s="10"/>
      <c r="G6" s="18">
        <f>Financials!F6</f>
        <v>44651</v>
      </c>
      <c r="H6" s="18">
        <f>EDATE(G6,12)</f>
        <v>45016</v>
      </c>
      <c r="I6" s="18">
        <f t="shared" ref="I6:O6" si="0">EDATE(H6,12)</f>
        <v>45382</v>
      </c>
      <c r="J6" s="20">
        <f t="shared" si="0"/>
        <v>45747</v>
      </c>
      <c r="K6" s="20">
        <f t="shared" si="0"/>
        <v>46112</v>
      </c>
      <c r="L6" s="20">
        <f t="shared" si="0"/>
        <v>46477</v>
      </c>
      <c r="M6" s="15">
        <f t="shared" si="0"/>
        <v>46843</v>
      </c>
      <c r="N6" s="20">
        <f t="shared" si="0"/>
        <v>47208</v>
      </c>
      <c r="O6" s="15">
        <f t="shared" si="0"/>
        <v>47573</v>
      </c>
    </row>
    <row r="8" spans="1:15" ht="14.4" x14ac:dyDescent="0.3">
      <c r="B8" s="43" t="s">
        <v>214</v>
      </c>
    </row>
    <row r="10" spans="1:15" x14ac:dyDescent="0.25">
      <c r="A10" s="1" t="s">
        <v>25</v>
      </c>
      <c r="B10" s="17" t="s">
        <v>153</v>
      </c>
      <c r="C10" s="24"/>
      <c r="D10" s="24"/>
      <c r="E10" s="24"/>
      <c r="F10" s="24"/>
      <c r="G10" s="24"/>
      <c r="H10" s="24"/>
      <c r="I10" s="24"/>
      <c r="J10" s="24"/>
      <c r="K10" s="24"/>
      <c r="L10" s="24"/>
      <c r="M10" s="24"/>
      <c r="N10" s="24"/>
      <c r="O10" s="24"/>
    </row>
    <row r="12" spans="1:15" x14ac:dyDescent="0.25">
      <c r="B12" s="1" t="s">
        <v>148</v>
      </c>
      <c r="G12" s="174"/>
      <c r="H12" s="174"/>
      <c r="I12" s="47">
        <v>2201</v>
      </c>
      <c r="J12" s="47">
        <v>2237</v>
      </c>
      <c r="K12" s="22">
        <f ca="1">K13*Financials!J15</f>
        <v>3394.1269200000006</v>
      </c>
      <c r="L12" s="22">
        <f ca="1">L13*Financials!K15</f>
        <v>3947.78253408</v>
      </c>
      <c r="M12" s="22">
        <f ca="1">M13*Financials!L15</f>
        <v>4576.6697233632012</v>
      </c>
      <c r="N12" s="22">
        <f ca="1">N13*Financials!M15</f>
        <v>5296.11236933891</v>
      </c>
      <c r="O12" s="22">
        <f ca="1">O13*Financials!N15</f>
        <v>6114.0489660394078</v>
      </c>
    </row>
    <row r="13" spans="1:15" x14ac:dyDescent="0.25">
      <c r="B13" s="1" t="s">
        <v>151</v>
      </c>
      <c r="G13" s="174"/>
      <c r="H13" s="174"/>
      <c r="I13" s="26">
        <f>I12/Financials!H$15</f>
        <v>1.4322899720179605E-2</v>
      </c>
      <c r="J13" s="26">
        <f>J12/Financials!I$15</f>
        <v>1.3724768390698815E-2</v>
      </c>
      <c r="K13" s="48">
        <v>0.02</v>
      </c>
      <c r="L13" s="37">
        <f>K13+($O$13-$K$13)/4</f>
        <v>2.1999999999999999E-2</v>
      </c>
      <c r="M13" s="37">
        <f t="shared" ref="M13:N13" si="1">L13+($O$13-$K$13)/4</f>
        <v>2.4E-2</v>
      </c>
      <c r="N13" s="37">
        <f t="shared" si="1"/>
        <v>2.6000000000000002E-2</v>
      </c>
      <c r="O13" s="48">
        <v>2.8000000000000001E-2</v>
      </c>
    </row>
    <row r="14" spans="1:15" x14ac:dyDescent="0.25">
      <c r="G14" s="174"/>
      <c r="H14" s="174"/>
    </row>
    <row r="15" spans="1:15" x14ac:dyDescent="0.25">
      <c r="B15" s="1" t="s">
        <v>149</v>
      </c>
      <c r="G15" s="174"/>
      <c r="H15" s="174"/>
      <c r="I15" s="47">
        <v>1761</v>
      </c>
      <c r="J15" s="47">
        <v>1843</v>
      </c>
      <c r="K15" s="22">
        <f ca="1">($J15/$J$12)*K$12</f>
        <v>2796.3236091014755</v>
      </c>
      <c r="L15" s="22">
        <f t="shared" ref="L15:O16" ca="1" si="2">($J15/$J$12)*L$12</f>
        <v>3252.4645553461955</v>
      </c>
      <c r="M15" s="22">
        <f t="shared" ca="1" si="2"/>
        <v>3770.5866339554668</v>
      </c>
      <c r="N15" s="22">
        <f t="shared" ca="1" si="2"/>
        <v>4363.3147504209255</v>
      </c>
      <c r="O15" s="22">
        <f t="shared" ca="1" si="2"/>
        <v>5037.1892017928603</v>
      </c>
    </row>
    <row r="16" spans="1:15" x14ac:dyDescent="0.25">
      <c r="B16" s="1" t="s">
        <v>150</v>
      </c>
      <c r="G16" s="174"/>
      <c r="H16" s="174"/>
      <c r="I16" s="22">
        <f>I12-I15</f>
        <v>440</v>
      </c>
      <c r="J16" s="22">
        <f>J12-J15</f>
        <v>394</v>
      </c>
      <c r="K16" s="22">
        <f ca="1">($J16/$J$12)*K$12</f>
        <v>597.80331089852496</v>
      </c>
      <c r="L16" s="22">
        <f t="shared" ca="1" si="2"/>
        <v>695.31797873380424</v>
      </c>
      <c r="M16" s="22">
        <f t="shared" ca="1" si="2"/>
        <v>806.08308940773418</v>
      </c>
      <c r="N16" s="22">
        <f t="shared" ca="1" si="2"/>
        <v>932.79761891798421</v>
      </c>
      <c r="O16" s="22">
        <f t="shared" ca="1" si="2"/>
        <v>1076.8597642465475</v>
      </c>
    </row>
    <row r="17" spans="2:15" x14ac:dyDescent="0.25">
      <c r="G17" s="174"/>
      <c r="H17" s="174"/>
    </row>
    <row r="18" spans="2:15" x14ac:dyDescent="0.25">
      <c r="B18" s="1" t="s">
        <v>162</v>
      </c>
      <c r="G18" s="174"/>
      <c r="H18" s="174"/>
      <c r="K18" s="47">
        <v>576</v>
      </c>
      <c r="L18" s="47">
        <v>204</v>
      </c>
      <c r="M18" s="47">
        <v>22</v>
      </c>
      <c r="N18" s="47">
        <v>12</v>
      </c>
      <c r="O18" s="47">
        <v>0</v>
      </c>
    </row>
    <row r="19" spans="2:15" x14ac:dyDescent="0.25">
      <c r="G19" s="174"/>
      <c r="H19" s="174"/>
    </row>
    <row r="20" spans="2:15" x14ac:dyDescent="0.25">
      <c r="B20" s="1" t="s">
        <v>170</v>
      </c>
      <c r="G20" s="174"/>
      <c r="H20" s="174"/>
      <c r="I20" s="47">
        <v>2685</v>
      </c>
      <c r="J20" s="47">
        <v>2360</v>
      </c>
    </row>
    <row r="21" spans="2:15" x14ac:dyDescent="0.25">
      <c r="B21" s="1" t="s">
        <v>172</v>
      </c>
      <c r="E21" s="39">
        <v>5</v>
      </c>
      <c r="I21" s="26"/>
      <c r="J21" s="26"/>
      <c r="K21" s="36"/>
      <c r="M21" s="22"/>
      <c r="N21" s="22"/>
      <c r="O21" s="22"/>
    </row>
    <row r="22" spans="2:15" x14ac:dyDescent="0.25">
      <c r="I22" s="26"/>
      <c r="J22" s="26"/>
      <c r="K22" s="22"/>
      <c r="L22" s="22"/>
      <c r="M22" s="22"/>
      <c r="N22" s="22"/>
      <c r="O22" s="22"/>
    </row>
    <row r="23" spans="2:15" x14ac:dyDescent="0.25">
      <c r="B23" s="1" t="s">
        <v>171</v>
      </c>
      <c r="I23" s="26"/>
      <c r="J23" s="26"/>
      <c r="K23" s="36"/>
      <c r="L23" s="36"/>
      <c r="M23" s="22"/>
      <c r="N23" s="22"/>
      <c r="O23" s="22"/>
    </row>
    <row r="24" spans="2:15" x14ac:dyDescent="0.25">
      <c r="B24" s="1" t="s">
        <v>172</v>
      </c>
      <c r="E24" s="167">
        <v>12</v>
      </c>
      <c r="I24" s="26"/>
      <c r="J24" s="26"/>
      <c r="K24" s="36"/>
      <c r="L24" s="36"/>
      <c r="M24" s="36"/>
      <c r="N24" s="22"/>
      <c r="O24" s="22"/>
    </row>
    <row r="25" spans="2:15" x14ac:dyDescent="0.25">
      <c r="B25" s="111" t="s">
        <v>173</v>
      </c>
      <c r="C25" s="111"/>
      <c r="D25" s="111"/>
      <c r="E25" s="168"/>
      <c r="F25" s="111"/>
      <c r="G25" s="175"/>
      <c r="H25" s="175"/>
      <c r="I25" s="176"/>
      <c r="J25" s="176"/>
      <c r="K25" s="169">
        <f>AVERAGE($I$20:$J$20)/$E$21</f>
        <v>504.5</v>
      </c>
      <c r="L25" s="169">
        <f t="shared" ref="L25:O25" si="3">AVERAGE($I$20:$J$20)/$E$21</f>
        <v>504.5</v>
      </c>
      <c r="M25" s="169">
        <f t="shared" si="3"/>
        <v>504.5</v>
      </c>
      <c r="N25" s="169">
        <f t="shared" si="3"/>
        <v>504.5</v>
      </c>
      <c r="O25" s="169">
        <f t="shared" si="3"/>
        <v>504.5</v>
      </c>
    </row>
    <row r="26" spans="2:15" x14ac:dyDescent="0.25">
      <c r="B26" s="1" t="s">
        <v>174</v>
      </c>
      <c r="E26" s="20">
        <v>46112</v>
      </c>
      <c r="G26" s="174"/>
      <c r="H26" s="174"/>
      <c r="I26" s="177"/>
      <c r="J26" s="177"/>
      <c r="K26" s="22">
        <f ca="1">SLN($K$15,0,$E$24)</f>
        <v>233.02696742512296</v>
      </c>
      <c r="L26" s="22">
        <f t="shared" ref="L26:O26" ca="1" si="4">SLN($K$15,0,$E$24)</f>
        <v>233.02696742512296</v>
      </c>
      <c r="M26" s="22">
        <f t="shared" ca="1" si="4"/>
        <v>233.02696742512296</v>
      </c>
      <c r="N26" s="22">
        <f t="shared" ca="1" si="4"/>
        <v>233.02696742512296</v>
      </c>
      <c r="O26" s="22">
        <f t="shared" ca="1" si="4"/>
        <v>233.02696742512296</v>
      </c>
    </row>
    <row r="27" spans="2:15" x14ac:dyDescent="0.25">
      <c r="B27" s="1" t="s">
        <v>174</v>
      </c>
      <c r="E27" s="20">
        <v>46477</v>
      </c>
      <c r="G27" s="174"/>
      <c r="H27" s="174"/>
      <c r="I27" s="177"/>
      <c r="J27" s="177"/>
      <c r="K27" s="22"/>
      <c r="L27" s="22">
        <f ca="1">SLN($L$15,0,$E$24)</f>
        <v>271.03871294551629</v>
      </c>
      <c r="M27" s="22">
        <f t="shared" ref="M27:O27" ca="1" si="5">SLN($L$15,0,$E$24)</f>
        <v>271.03871294551629</v>
      </c>
      <c r="N27" s="22">
        <f t="shared" ca="1" si="5"/>
        <v>271.03871294551629</v>
      </c>
      <c r="O27" s="22">
        <f t="shared" ca="1" si="5"/>
        <v>271.03871294551629</v>
      </c>
    </row>
    <row r="28" spans="2:15" x14ac:dyDescent="0.25">
      <c r="B28" s="1" t="s">
        <v>174</v>
      </c>
      <c r="E28" s="15">
        <v>46843</v>
      </c>
      <c r="G28" s="174"/>
      <c r="H28" s="174"/>
      <c r="I28" s="177"/>
      <c r="J28" s="177"/>
      <c r="K28" s="22"/>
      <c r="L28" s="22"/>
      <c r="M28" s="22">
        <f ca="1">SLN($M$15,0,$E$24)</f>
        <v>314.21555282962225</v>
      </c>
      <c r="N28" s="22">
        <f t="shared" ref="N28:O28" ca="1" si="6">SLN($M$15,0,$E$24)</f>
        <v>314.21555282962225</v>
      </c>
      <c r="O28" s="22">
        <f t="shared" ca="1" si="6"/>
        <v>314.21555282962225</v>
      </c>
    </row>
    <row r="29" spans="2:15" x14ac:dyDescent="0.25">
      <c r="B29" s="1" t="s">
        <v>174</v>
      </c>
      <c r="E29" s="20">
        <v>47208</v>
      </c>
      <c r="G29" s="174"/>
      <c r="H29" s="174"/>
      <c r="I29" s="177"/>
      <c r="J29" s="177"/>
      <c r="K29" s="22"/>
      <c r="L29" s="22"/>
      <c r="M29" s="22"/>
      <c r="N29" s="22">
        <f ca="1">SLN($N$15,0,$E$24)</f>
        <v>363.60956253507715</v>
      </c>
      <c r="O29" s="22">
        <f ca="1">SLN($N$15,0,$E$24)</f>
        <v>363.60956253507715</v>
      </c>
    </row>
    <row r="30" spans="2:15" x14ac:dyDescent="0.25">
      <c r="B30" s="1" t="s">
        <v>174</v>
      </c>
      <c r="E30" s="15">
        <v>47573</v>
      </c>
      <c r="G30" s="174"/>
      <c r="H30" s="174"/>
      <c r="I30" s="177"/>
      <c r="J30" s="177"/>
      <c r="K30" s="22"/>
      <c r="L30" s="22"/>
      <c r="M30" s="22"/>
      <c r="N30" s="22"/>
      <c r="O30" s="22">
        <f ca="1">SLN($O$15,0,$E$24)</f>
        <v>419.76576681607168</v>
      </c>
    </row>
    <row r="31" spans="2:15" x14ac:dyDescent="0.25">
      <c r="E31" s="38"/>
      <c r="G31" s="174"/>
      <c r="H31" s="174"/>
      <c r="I31" s="177"/>
      <c r="J31" s="177"/>
      <c r="K31" s="36"/>
      <c r="L31" s="36"/>
      <c r="M31" s="36"/>
      <c r="N31" s="36"/>
      <c r="O31" s="36"/>
    </row>
    <row r="32" spans="2:15" x14ac:dyDescent="0.25">
      <c r="B32" s="3" t="s">
        <v>281</v>
      </c>
      <c r="C32" s="104"/>
      <c r="D32" s="104"/>
      <c r="E32" s="170"/>
      <c r="F32" s="104"/>
      <c r="G32" s="178"/>
      <c r="H32" s="178"/>
      <c r="I32" s="179"/>
      <c r="J32" s="179"/>
      <c r="K32" s="44">
        <f ca="1">SUM(K25,K26:K30)</f>
        <v>737.52696742512296</v>
      </c>
      <c r="L32" s="44">
        <f ca="1">SUM(L25,L26:L30)</f>
        <v>1008.5656803706393</v>
      </c>
      <c r="M32" s="44">
        <f ca="1">SUM(M25,M26:M30)</f>
        <v>1322.7812332002616</v>
      </c>
      <c r="N32" s="44">
        <f ca="1">SUM(N25,N26:N30)</f>
        <v>1686.3907957353388</v>
      </c>
      <c r="O32" s="44">
        <f ca="1">SUM(O25,O26:O30)</f>
        <v>2106.1565625514104</v>
      </c>
    </row>
    <row r="33" spans="2:15" x14ac:dyDescent="0.25">
      <c r="I33" s="22"/>
      <c r="J33" s="22" t="s">
        <v>160</v>
      </c>
    </row>
    <row r="34" spans="2:15" x14ac:dyDescent="0.25">
      <c r="B34" s="1" t="s">
        <v>156</v>
      </c>
      <c r="G34" s="49">
        <v>1100</v>
      </c>
      <c r="H34" s="49">
        <v>2197</v>
      </c>
      <c r="I34" s="47">
        <v>1227</v>
      </c>
      <c r="J34" s="47">
        <v>1221</v>
      </c>
      <c r="K34" s="22">
        <f ca="1">K35*Financials!J15</f>
        <v>1675.3498821773062</v>
      </c>
      <c r="L34" s="22">
        <f ca="1">L35*Financials!K15</f>
        <v>1808.6791113606382</v>
      </c>
      <c r="M34" s="22">
        <f ca="1">M35*Financials!L15</f>
        <v>1688.9468194955539</v>
      </c>
      <c r="N34" s="22">
        <f ca="1">N35*Financials!M15</f>
        <v>1848.5183862226902</v>
      </c>
      <c r="O34" s="22">
        <f ca="1">O35*Financials!N15</f>
        <v>2068.0248000712968</v>
      </c>
    </row>
    <row r="35" spans="2:15" x14ac:dyDescent="0.25">
      <c r="B35" s="1" t="s">
        <v>175</v>
      </c>
      <c r="G35" s="26">
        <f>G34/Financials!F$15</f>
        <v>9.0430035925386995E-3</v>
      </c>
      <c r="H35" s="26">
        <f>H34/Financials!G$15</f>
        <v>1.4969305089018649E-2</v>
      </c>
      <c r="I35" s="26">
        <f>I34/Financials!H$15</f>
        <v>7.9846424155658232E-3</v>
      </c>
      <c r="J35" s="26">
        <f>J34/Financials!I$15</f>
        <v>7.4912571323394071E-3</v>
      </c>
      <c r="K35" s="36">
        <f>AVERAGE(G35:J35)</f>
        <v>9.8720520573656444E-3</v>
      </c>
      <c r="L35" s="36">
        <f t="shared" ref="L35:O35" si="7">AVERAGE(H35:K35)</f>
        <v>1.0079314173572381E-2</v>
      </c>
      <c r="M35" s="36">
        <f t="shared" si="7"/>
        <v>8.8568164447108133E-3</v>
      </c>
      <c r="N35" s="36">
        <f t="shared" si="7"/>
        <v>9.0748599519970621E-3</v>
      </c>
      <c r="O35" s="36">
        <f t="shared" si="7"/>
        <v>9.4707606569114748E-3</v>
      </c>
    </row>
    <row r="36" spans="2:15" x14ac:dyDescent="0.25">
      <c r="I36" s="22"/>
      <c r="J36" s="22"/>
    </row>
    <row r="37" spans="2:15" x14ac:dyDescent="0.25">
      <c r="B37" s="1" t="s">
        <v>152</v>
      </c>
      <c r="I37" s="47">
        <v>432</v>
      </c>
      <c r="J37" s="47">
        <v>777</v>
      </c>
      <c r="K37" s="22">
        <f ca="1">K38*AVERAGE(K51,K53)</f>
        <v>816.33490910093133</v>
      </c>
      <c r="L37" s="22">
        <f ca="1">L38*AVERAGE(L51,L53)</f>
        <v>969.29654446501888</v>
      </c>
      <c r="M37" s="22">
        <f ca="1">M38*AVERAGE(M51,M53)</f>
        <v>1017.0074711152589</v>
      </c>
      <c r="N37" s="22">
        <f ca="1">N38*AVERAGE(N51,N53)</f>
        <v>1143.1087230317974</v>
      </c>
      <c r="O37" s="22">
        <f ca="1">O38*AVERAGE(O51,O53)</f>
        <v>1249.9971660606625</v>
      </c>
    </row>
    <row r="38" spans="2:15" x14ac:dyDescent="0.25">
      <c r="B38" s="1" t="s">
        <v>159</v>
      </c>
      <c r="I38" s="26">
        <f>I37/AVERAGE(I$51,I$53)</f>
        <v>9.17879528311909E-2</v>
      </c>
      <c r="J38" s="26">
        <f>J37/AVERAGE(J$51,J$53)</f>
        <v>0.13239052649514399</v>
      </c>
      <c r="K38" s="36">
        <f>AVERAGE(I38:J38)</f>
        <v>0.11208923966316744</v>
      </c>
      <c r="L38" s="36">
        <f t="shared" ref="L38:O38" si="8">AVERAGE(J38:K38)</f>
        <v>0.12223988307915572</v>
      </c>
      <c r="M38" s="36">
        <f t="shared" si="8"/>
        <v>0.11716456137116157</v>
      </c>
      <c r="N38" s="36">
        <f t="shared" si="8"/>
        <v>0.11970222222515864</v>
      </c>
      <c r="O38" s="36">
        <f t="shared" si="8"/>
        <v>0.11843339179816011</v>
      </c>
    </row>
    <row r="40" spans="2:15" x14ac:dyDescent="0.25">
      <c r="B40" s="109" t="s">
        <v>51</v>
      </c>
      <c r="C40" s="108"/>
      <c r="D40" s="108"/>
      <c r="E40" s="108"/>
      <c r="F40" s="108"/>
      <c r="G40" s="108"/>
      <c r="H40" s="108"/>
      <c r="I40" s="108"/>
      <c r="J40" s="108"/>
      <c r="K40" s="108"/>
      <c r="L40" s="108"/>
      <c r="M40" s="108"/>
      <c r="N40" s="108"/>
      <c r="O40" s="108"/>
    </row>
    <row r="41" spans="2:15" x14ac:dyDescent="0.25">
      <c r="B41" s="1" t="s">
        <v>154</v>
      </c>
      <c r="G41" s="174"/>
      <c r="H41" s="174"/>
      <c r="I41" s="47">
        <v>30089</v>
      </c>
      <c r="J41" s="22">
        <f>I45</f>
        <v>30587</v>
      </c>
      <c r="K41" s="22">
        <f t="shared" ref="K41:O41" si="9">J45</f>
        <v>31290</v>
      </c>
      <c r="L41" s="22">
        <f t="shared" ca="1" si="9"/>
        <v>32986.973726924174</v>
      </c>
      <c r="M41" s="22">
        <f t="shared" ca="1" si="9"/>
        <v>34634.759170909732</v>
      </c>
      <c r="N41" s="22">
        <f t="shared" ca="1" si="9"/>
        <v>36738.39898536964</v>
      </c>
      <c r="O41" s="22">
        <f t="shared" ca="1" si="9"/>
        <v>39265.195349567875</v>
      </c>
    </row>
    <row r="42" spans="2:15" x14ac:dyDescent="0.25">
      <c r="B42" s="27" t="s">
        <v>155</v>
      </c>
      <c r="G42" s="174"/>
      <c r="H42" s="174"/>
      <c r="I42" s="22"/>
      <c r="J42" s="22"/>
      <c r="K42" s="22">
        <f ca="1">K15</f>
        <v>2796.3236091014755</v>
      </c>
      <c r="L42" s="22">
        <f ca="1">L15</f>
        <v>3252.4645553461955</v>
      </c>
      <c r="M42" s="22">
        <f ca="1">M15</f>
        <v>3770.5866339554668</v>
      </c>
      <c r="N42" s="22">
        <f ca="1">N15</f>
        <v>4363.3147504209255</v>
      </c>
      <c r="O42" s="22">
        <f ca="1">O15</f>
        <v>5037.1892017928603</v>
      </c>
    </row>
    <row r="43" spans="2:15" x14ac:dyDescent="0.25">
      <c r="B43" s="27" t="s">
        <v>161</v>
      </c>
      <c r="G43" s="174"/>
      <c r="H43" s="174"/>
      <c r="I43" s="22"/>
      <c r="J43" s="22"/>
      <c r="K43" s="22">
        <f>K18</f>
        <v>576</v>
      </c>
      <c r="L43" s="22">
        <f>L18</f>
        <v>204</v>
      </c>
      <c r="M43" s="22">
        <f>M18</f>
        <v>22</v>
      </c>
      <c r="N43" s="22">
        <f>N18</f>
        <v>12</v>
      </c>
      <c r="O43" s="22">
        <f>O18</f>
        <v>0</v>
      </c>
    </row>
    <row r="44" spans="2:15" x14ac:dyDescent="0.25">
      <c r="B44" s="27" t="s">
        <v>156</v>
      </c>
      <c r="G44" s="174"/>
      <c r="H44" s="174"/>
      <c r="I44" s="22"/>
      <c r="J44" s="22"/>
      <c r="K44" s="22">
        <f ca="1">K34</f>
        <v>1675.3498821773062</v>
      </c>
      <c r="L44" s="22">
        <f ca="1">L34</f>
        <v>1808.6791113606382</v>
      </c>
      <c r="M44" s="22">
        <f ca="1">M34</f>
        <v>1688.9468194955539</v>
      </c>
      <c r="N44" s="22">
        <f ca="1">N34</f>
        <v>1848.5183862226902</v>
      </c>
      <c r="O44" s="22">
        <f ca="1">O34</f>
        <v>2068.0248000712968</v>
      </c>
    </row>
    <row r="45" spans="2:15" x14ac:dyDescent="0.25">
      <c r="B45" s="171" t="s">
        <v>157</v>
      </c>
      <c r="C45" s="171"/>
      <c r="D45" s="171"/>
      <c r="E45" s="171"/>
      <c r="F45" s="171"/>
      <c r="G45" s="180"/>
      <c r="H45" s="180"/>
      <c r="I45" s="50">
        <v>30587</v>
      </c>
      <c r="J45" s="50">
        <v>31290</v>
      </c>
      <c r="K45" s="40">
        <f ca="1">K41+K42+K43-K44</f>
        <v>32986.973726924174</v>
      </c>
      <c r="L45" s="40">
        <f t="shared" ref="L45:O45" ca="1" si="10">L41+L42+L43-L44</f>
        <v>34634.759170909732</v>
      </c>
      <c r="M45" s="40">
        <f t="shared" ca="1" si="10"/>
        <v>36738.39898536964</v>
      </c>
      <c r="N45" s="40">
        <f t="shared" ca="1" si="10"/>
        <v>39265.195349567875</v>
      </c>
      <c r="O45" s="40">
        <f t="shared" ca="1" si="10"/>
        <v>42234.359751289441</v>
      </c>
    </row>
    <row r="46" spans="2:15" x14ac:dyDescent="0.25">
      <c r="B46" s="27" t="s">
        <v>169</v>
      </c>
      <c r="G46" s="174"/>
      <c r="H46" s="174"/>
      <c r="I46" s="22"/>
      <c r="J46" s="47">
        <v>-19512</v>
      </c>
      <c r="K46" s="22">
        <f ca="1">J46-K32</f>
        <v>-20249.526967425121</v>
      </c>
      <c r="L46" s="22">
        <f ca="1">K46-L32</f>
        <v>-21258.092647795762</v>
      </c>
      <c r="M46" s="22">
        <f ca="1">L46-M32</f>
        <v>-22580.873880996023</v>
      </c>
      <c r="N46" s="22">
        <f ca="1">M46-N32</f>
        <v>-24267.264676731364</v>
      </c>
      <c r="O46" s="22">
        <f ca="1">N46-O32</f>
        <v>-26373.421239282776</v>
      </c>
    </row>
    <row r="47" spans="2:15" x14ac:dyDescent="0.25">
      <c r="B47" s="3" t="s">
        <v>158</v>
      </c>
      <c r="C47" s="3"/>
      <c r="D47" s="3"/>
      <c r="E47" s="3"/>
      <c r="F47" s="3"/>
      <c r="G47" s="181"/>
      <c r="H47" s="181"/>
      <c r="I47" s="44"/>
      <c r="J47" s="44"/>
      <c r="K47" s="44">
        <f ca="1">K45+K46</f>
        <v>12737.446759499053</v>
      </c>
      <c r="L47" s="44">
        <f t="shared" ref="L47:O47" ca="1" si="11">L45+L46</f>
        <v>13376.66652311397</v>
      </c>
      <c r="M47" s="44">
        <f t="shared" ca="1" si="11"/>
        <v>14157.525104373617</v>
      </c>
      <c r="N47" s="44">
        <f t="shared" ca="1" si="11"/>
        <v>14997.930672836512</v>
      </c>
      <c r="O47" s="44">
        <f t="shared" ca="1" si="11"/>
        <v>15860.938512006665</v>
      </c>
    </row>
    <row r="50" spans="1:15" x14ac:dyDescent="0.25">
      <c r="B50" s="109" t="s">
        <v>163</v>
      </c>
      <c r="C50" s="108"/>
      <c r="D50" s="108"/>
      <c r="E50" s="108"/>
      <c r="F50" s="108"/>
      <c r="G50" s="108"/>
      <c r="H50" s="108"/>
      <c r="I50" s="108"/>
      <c r="J50" s="108"/>
      <c r="K50" s="108"/>
      <c r="L50" s="108"/>
      <c r="M50" s="108"/>
      <c r="N50" s="108"/>
      <c r="O50" s="108"/>
    </row>
    <row r="51" spans="1:15" x14ac:dyDescent="0.25">
      <c r="B51" s="1" t="s">
        <v>164</v>
      </c>
      <c r="G51" s="174"/>
      <c r="H51" s="174"/>
      <c r="I51" s="47">
        <v>4659</v>
      </c>
      <c r="J51" s="22">
        <f>I53</f>
        <v>4754</v>
      </c>
      <c r="K51" s="22">
        <f t="shared" ref="K51:O51" si="12">J53</f>
        <v>6984</v>
      </c>
      <c r="L51" s="22">
        <f t="shared" ca="1" si="12"/>
        <v>7581.8033108985246</v>
      </c>
      <c r="M51" s="22">
        <f t="shared" ca="1" si="12"/>
        <v>8277.1212896323286</v>
      </c>
      <c r="N51" s="22">
        <f t="shared" ca="1" si="12"/>
        <v>9083.2043790400621</v>
      </c>
      <c r="O51" s="22">
        <f t="shared" ca="1" si="12"/>
        <v>10016.001997958047</v>
      </c>
    </row>
    <row r="52" spans="1:15" x14ac:dyDescent="0.25">
      <c r="B52" s="27" t="s">
        <v>165</v>
      </c>
      <c r="G52" s="174"/>
      <c r="H52" s="174"/>
      <c r="I52" s="22"/>
      <c r="J52" s="22"/>
      <c r="K52" s="22">
        <f ca="1">K16</f>
        <v>597.80331089852496</v>
      </c>
      <c r="L52" s="22">
        <f ca="1">L16</f>
        <v>695.31797873380424</v>
      </c>
      <c r="M52" s="22">
        <f ca="1">M16</f>
        <v>806.08308940773418</v>
      </c>
      <c r="N52" s="22">
        <f ca="1">N16</f>
        <v>932.79761891798421</v>
      </c>
      <c r="O52" s="22">
        <f ca="1">O16</f>
        <v>1076.8597642465475</v>
      </c>
    </row>
    <row r="53" spans="1:15" s="16" customFormat="1" x14ac:dyDescent="0.25">
      <c r="B53" s="171" t="s">
        <v>166</v>
      </c>
      <c r="C53" s="171"/>
      <c r="D53" s="171"/>
      <c r="E53" s="171"/>
      <c r="F53" s="171"/>
      <c r="G53" s="180"/>
      <c r="H53" s="180"/>
      <c r="I53" s="50">
        <v>4754</v>
      </c>
      <c r="J53" s="50">
        <v>6984</v>
      </c>
      <c r="K53" s="40">
        <f ca="1">K51+K52</f>
        <v>7581.8033108985246</v>
      </c>
      <c r="L53" s="40">
        <f t="shared" ref="L53:O53" ca="1" si="13">L51+L52</f>
        <v>8277.1212896323286</v>
      </c>
      <c r="M53" s="40">
        <f t="shared" ca="1" si="13"/>
        <v>9083.2043790400621</v>
      </c>
      <c r="N53" s="40">
        <f t="shared" ca="1" si="13"/>
        <v>10016.001997958047</v>
      </c>
      <c r="O53" s="40">
        <f t="shared" ca="1" si="13"/>
        <v>11092.861762204593</v>
      </c>
    </row>
    <row r="54" spans="1:15" x14ac:dyDescent="0.25">
      <c r="B54" s="27" t="s">
        <v>168</v>
      </c>
      <c r="G54" s="174"/>
      <c r="H54" s="174"/>
      <c r="I54" s="22"/>
      <c r="J54" s="47">
        <v>-4218</v>
      </c>
      <c r="K54" s="22">
        <f ca="1">J54-K37</f>
        <v>-5034.3349091009313</v>
      </c>
      <c r="L54" s="22">
        <f ca="1">K54-L37</f>
        <v>-6003.6314535659503</v>
      </c>
      <c r="M54" s="22">
        <f ca="1">L54-M37</f>
        <v>-7020.6389246812096</v>
      </c>
      <c r="N54" s="22">
        <f ca="1">M54-N37</f>
        <v>-8163.7476477130067</v>
      </c>
      <c r="O54" s="22">
        <f ca="1">N54-O37</f>
        <v>-9413.7448137736683</v>
      </c>
    </row>
    <row r="55" spans="1:15" s="16" customFormat="1" x14ac:dyDescent="0.25">
      <c r="B55" s="3" t="s">
        <v>167</v>
      </c>
      <c r="C55" s="3"/>
      <c r="D55" s="3"/>
      <c r="E55" s="3"/>
      <c r="F55" s="3"/>
      <c r="G55" s="181"/>
      <c r="H55" s="181"/>
      <c r="I55" s="44"/>
      <c r="J55" s="44"/>
      <c r="K55" s="44">
        <f ca="1">K53+K54</f>
        <v>2547.4684017975933</v>
      </c>
      <c r="L55" s="44">
        <f t="shared" ref="L55:O55" ca="1" si="14">L53+L54</f>
        <v>2273.4898360663783</v>
      </c>
      <c r="M55" s="44">
        <f t="shared" ca="1" si="14"/>
        <v>2062.5654543588525</v>
      </c>
      <c r="N55" s="44">
        <f t="shared" ca="1" si="14"/>
        <v>1852.2543502450399</v>
      </c>
      <c r="O55" s="44">
        <f t="shared" ca="1" si="14"/>
        <v>1679.1169484309248</v>
      </c>
    </row>
    <row r="58" spans="1:15" x14ac:dyDescent="0.25">
      <c r="A58" s="1" t="s">
        <v>25</v>
      </c>
      <c r="B58" s="17" t="s">
        <v>176</v>
      </c>
      <c r="C58" s="24"/>
      <c r="D58" s="24"/>
      <c r="E58" s="24"/>
      <c r="F58" s="24"/>
      <c r="G58" s="24"/>
      <c r="H58" s="24"/>
      <c r="I58" s="24"/>
      <c r="J58" s="24"/>
      <c r="K58" s="24"/>
      <c r="L58" s="24"/>
      <c r="M58" s="24"/>
      <c r="N58" s="24"/>
      <c r="O58" s="24"/>
    </row>
    <row r="60" spans="1:15" x14ac:dyDescent="0.25">
      <c r="B60" s="109" t="s">
        <v>177</v>
      </c>
      <c r="C60" s="108"/>
      <c r="D60" s="108"/>
      <c r="E60" s="108"/>
      <c r="F60" s="108"/>
      <c r="G60" s="108"/>
      <c r="H60" s="108"/>
      <c r="I60" s="108"/>
      <c r="J60" s="108"/>
      <c r="K60" s="108"/>
      <c r="L60" s="108"/>
      <c r="M60" s="108"/>
      <c r="N60" s="108"/>
      <c r="O60" s="108"/>
    </row>
    <row r="61" spans="1:15" x14ac:dyDescent="0.25">
      <c r="B61" s="27" t="s">
        <v>63</v>
      </c>
      <c r="G61" s="51">
        <f>Financials!F66</f>
        <v>22698</v>
      </c>
      <c r="H61" s="51">
        <f>Financials!G66</f>
        <v>25424</v>
      </c>
      <c r="I61" s="51">
        <f>Financials!H66</f>
        <v>30193</v>
      </c>
      <c r="J61" s="51">
        <f>Financials!I66</f>
        <v>31158</v>
      </c>
      <c r="K61" s="22">
        <f ca="1">K77*Financials!J$15/days</f>
        <v>32441.930969188295</v>
      </c>
      <c r="L61" s="22">
        <f ca="1">L77*Financials!K$15/days</f>
        <v>34303.556882146884</v>
      </c>
      <c r="M61" s="22">
        <f ca="1">M77*Financials!L$15/days</f>
        <v>36454.147299566081</v>
      </c>
      <c r="N61" s="22">
        <f ca="1">N77*Financials!M$15/days</f>
        <v>38939.687003889274</v>
      </c>
      <c r="O61" s="22">
        <f ca="1">O77*Financials!N$15/days</f>
        <v>41742.599827302256</v>
      </c>
    </row>
    <row r="62" spans="1:15" x14ac:dyDescent="0.25">
      <c r="B62" s="27" t="s">
        <v>58</v>
      </c>
      <c r="G62" s="51">
        <f>Financials!F69</f>
        <v>8727</v>
      </c>
      <c r="H62" s="51">
        <f>Financials!G69</f>
        <v>11604</v>
      </c>
      <c r="I62" s="51">
        <f>Financials!H69</f>
        <v>12085</v>
      </c>
      <c r="J62" s="51">
        <f>Financials!I69</f>
        <v>13840</v>
      </c>
      <c r="K62" s="22">
        <f ca="1">K78*Financials!J$15/days</f>
        <v>14410.306329468067</v>
      </c>
      <c r="L62" s="22">
        <f ca="1">L78*Financials!K$15/days</f>
        <v>15237.217640699431</v>
      </c>
      <c r="M62" s="22">
        <f ca="1">M78*Financials!L$15/days</f>
        <v>16192.483427241626</v>
      </c>
      <c r="N62" s="22">
        <f ca="1">N78*Financials!M$15/days</f>
        <v>17296.529563316886</v>
      </c>
      <c r="O62" s="22">
        <f ca="1">O78*Financials!N$15/days</f>
        <v>18541.548931570167</v>
      </c>
    </row>
    <row r="63" spans="1:15" x14ac:dyDescent="0.25">
      <c r="B63" s="27" t="s">
        <v>65</v>
      </c>
      <c r="G63" s="51">
        <f>Financials!F71</f>
        <v>11313</v>
      </c>
      <c r="H63" s="51">
        <f>Financials!G71</f>
        <v>14476</v>
      </c>
      <c r="I63" s="51">
        <f>Financials!H71</f>
        <v>12808</v>
      </c>
      <c r="J63" s="51">
        <f>Financials!I71</f>
        <v>11940</v>
      </c>
      <c r="K63" s="22">
        <f ca="1">K79*Financials!J$15/days</f>
        <v>12432.0128304804</v>
      </c>
      <c r="L63" s="22">
        <f ca="1">L79*Financials!K$15/days</f>
        <v>13145.403080198786</v>
      </c>
      <c r="M63" s="22">
        <f ca="1">M79*Financials!L$15/days</f>
        <v>13969.526887374639</v>
      </c>
      <c r="N63" s="22">
        <f ca="1">N79*Financials!M$15/days</f>
        <v>14922.005996098527</v>
      </c>
      <c r="O63" s="22">
        <f ca="1">O79*Financials!N$15/days</f>
        <v>15996.1050753575</v>
      </c>
    </row>
    <row r="64" spans="1:15" x14ac:dyDescent="0.25">
      <c r="B64" s="173" t="s">
        <v>66</v>
      </c>
      <c r="C64" s="104"/>
      <c r="D64" s="104"/>
      <c r="E64" s="104"/>
      <c r="F64" s="104"/>
      <c r="G64" s="182">
        <f>SUM(G61:G63)</f>
        <v>42738</v>
      </c>
      <c r="H64" s="182">
        <f t="shared" ref="H64:I64" si="15">SUM(H61:H63)</f>
        <v>51504</v>
      </c>
      <c r="I64" s="182">
        <f t="shared" si="15"/>
        <v>55086</v>
      </c>
      <c r="J64" s="44">
        <f>SUM(J61:J63)</f>
        <v>56938</v>
      </c>
      <c r="K64" s="44">
        <f ca="1">SUM(K61:K63)</f>
        <v>59284.250129136766</v>
      </c>
      <c r="L64" s="44">
        <f t="shared" ref="L64:O64" ca="1" si="16">SUM(L61:L63)</f>
        <v>62686.1776030451</v>
      </c>
      <c r="M64" s="44">
        <f t="shared" ca="1" si="16"/>
        <v>66616.157614182346</v>
      </c>
      <c r="N64" s="44">
        <f t="shared" ca="1" si="16"/>
        <v>71158.222563304691</v>
      </c>
      <c r="O64" s="44">
        <f t="shared" ca="1" si="16"/>
        <v>76280.253834229923</v>
      </c>
    </row>
    <row r="65" spans="2:15" x14ac:dyDescent="0.25">
      <c r="G65" s="22"/>
      <c r="H65" s="22"/>
      <c r="I65" s="22"/>
      <c r="J65" s="22"/>
      <c r="K65" s="22"/>
      <c r="L65" s="22"/>
      <c r="M65" s="22"/>
      <c r="N65" s="22"/>
      <c r="O65" s="22"/>
    </row>
    <row r="66" spans="2:15" x14ac:dyDescent="0.25">
      <c r="B66" s="109" t="s">
        <v>80</v>
      </c>
      <c r="C66" s="108"/>
      <c r="D66" s="108"/>
      <c r="E66" s="108"/>
      <c r="F66" s="108"/>
      <c r="G66" s="172"/>
      <c r="H66" s="172"/>
      <c r="I66" s="172"/>
      <c r="J66" s="172"/>
      <c r="K66" s="172"/>
      <c r="L66" s="172"/>
      <c r="M66" s="172"/>
      <c r="N66" s="172"/>
      <c r="O66" s="172"/>
    </row>
    <row r="67" spans="2:15" x14ac:dyDescent="0.25">
      <c r="B67" s="27" t="s">
        <v>81</v>
      </c>
      <c r="G67" s="51">
        <f>Financials!F90</f>
        <v>4134</v>
      </c>
      <c r="H67" s="51">
        <f>Financials!G90</f>
        <v>3865</v>
      </c>
      <c r="I67" s="51">
        <f>Financials!H90</f>
        <v>3956</v>
      </c>
      <c r="J67" s="51">
        <f>Financials!I90</f>
        <v>4164</v>
      </c>
      <c r="K67" s="22">
        <f ca="1">K81*(Financials!J$19+Financials!J$20+Financials!J$22+Financials!J$27)/days</f>
        <v>4426.4526527574526</v>
      </c>
      <c r="L67" s="22">
        <f ca="1">L81*(Financials!K$19+Financials!K$20+Financials!K$22+Financials!K$27)/days</f>
        <v>4719.1243099231515</v>
      </c>
      <c r="M67" s="22">
        <f ca="1">M81*(Financials!L$19+Financials!L$20+Financials!L$22+Financials!L$27)/days</f>
        <v>5045.5393056078155</v>
      </c>
      <c r="N67" s="22">
        <f ca="1">N81*(Financials!M$19+Financials!M$20+Financials!M$22+Financials!M$27)/days</f>
        <v>5409.6107450844247</v>
      </c>
      <c r="O67" s="22">
        <f ca="1">O81*(Financials!N$19+Financials!N$20+Financials!N$22+Financials!N$27)/days</f>
        <v>5815.6738148741988</v>
      </c>
    </row>
    <row r="68" spans="2:15" x14ac:dyDescent="0.25">
      <c r="B68" s="27" t="s">
        <v>76</v>
      </c>
      <c r="G68" s="51">
        <f>Financials!F91</f>
        <v>15837</v>
      </c>
      <c r="H68" s="51">
        <f>Financials!G91</f>
        <v>18558</v>
      </c>
      <c r="I68" s="51">
        <f>Financials!H91</f>
        <v>16959</v>
      </c>
      <c r="J68" s="51">
        <f>Financials!I91</f>
        <v>18138</v>
      </c>
      <c r="K68" s="22">
        <f ca="1">K82*(Financials!J$19+Financials!J$20+Financials!J$22+Financials!J$27)/days</f>
        <v>19281.219552284987</v>
      </c>
      <c r="L68" s="22">
        <f ca="1">L82*(Financials!K$19+Financials!K$20+Financials!K$22+Financials!K$27)/days</f>
        <v>20556.070301005315</v>
      </c>
      <c r="M68" s="22">
        <f ca="1">M82*(Financials!L$19+Financials!L$20+Financials!L$22+Financials!L$27)/days</f>
        <v>21977.903920536639</v>
      </c>
      <c r="N68" s="22">
        <f ca="1">N82*(Financials!M$19+Financials!M$20+Financials!M$22+Financials!M$27)/days</f>
        <v>23563.765536585328</v>
      </c>
      <c r="O68" s="22">
        <f ca="1">O82*(Financials!N$19+Financials!N$20+Financials!N$22+Financials!N$27)/days</f>
        <v>25332.538821851154</v>
      </c>
    </row>
    <row r="69" spans="2:15" x14ac:dyDescent="0.25">
      <c r="B69" s="27" t="s">
        <v>82</v>
      </c>
      <c r="G69" s="51">
        <f>Financials!F92</f>
        <v>9178</v>
      </c>
      <c r="H69" s="51">
        <f>Financials!G92</f>
        <v>10830</v>
      </c>
      <c r="I69" s="51">
        <f>Financials!H92</f>
        <v>10539</v>
      </c>
      <c r="J69" s="51">
        <f>Financials!I92</f>
        <v>11765</v>
      </c>
      <c r="K69" s="22">
        <f ca="1">K83*(Financials!J$19+Financials!J$20+Financials!J$22+Financials!J$27)/days</f>
        <v>12506.535893297654</v>
      </c>
      <c r="L69" s="22">
        <f ca="1">L83*(Financials!K$19+Financials!K$20+Financials!K$22+Financials!K$27)/days</f>
        <v>13333.452811298244</v>
      </c>
      <c r="M69" s="22">
        <f ca="1">M83*(Financials!L$19+Financials!L$20+Financials!L$22+Financials!L$27)/days</f>
        <v>14255.708436713725</v>
      </c>
      <c r="N69" s="22">
        <f ca="1">N83*(Financials!M$19+Financials!M$20+Financials!M$22+Financials!M$27)/days</f>
        <v>15284.358889509669</v>
      </c>
      <c r="O69" s="22">
        <f ca="1">O83*(Financials!N$19+Financials!N$20+Financials!N$22+Financials!N$27)/days</f>
        <v>16431.652841497344</v>
      </c>
    </row>
    <row r="70" spans="2:15" x14ac:dyDescent="0.25">
      <c r="B70" s="173" t="s">
        <v>85</v>
      </c>
      <c r="C70" s="104"/>
      <c r="D70" s="104"/>
      <c r="E70" s="104"/>
      <c r="F70" s="104"/>
      <c r="G70" s="182">
        <f>SUM(G67:G69)</f>
        <v>29149</v>
      </c>
      <c r="H70" s="182">
        <f t="shared" ref="H70:I70" si="17">SUM(H67:H69)</f>
        <v>33253</v>
      </c>
      <c r="I70" s="182">
        <f t="shared" si="17"/>
        <v>31454</v>
      </c>
      <c r="J70" s="44">
        <f>SUM(J67:J69)</f>
        <v>34067</v>
      </c>
      <c r="K70" s="44">
        <f t="shared" ref="K70:O70" ca="1" si="18">SUM(K67:K69)</f>
        <v>36214.208098340096</v>
      </c>
      <c r="L70" s="44">
        <f t="shared" ca="1" si="18"/>
        <v>38608.647422226713</v>
      </c>
      <c r="M70" s="44">
        <f t="shared" ca="1" si="18"/>
        <v>41279.151662858174</v>
      </c>
      <c r="N70" s="44">
        <f t="shared" ca="1" si="18"/>
        <v>44257.735171179418</v>
      </c>
      <c r="O70" s="44">
        <f t="shared" ca="1" si="18"/>
        <v>47579.865478222695</v>
      </c>
    </row>
    <row r="71" spans="2:15" x14ac:dyDescent="0.25">
      <c r="B71" s="41"/>
      <c r="G71" s="22"/>
      <c r="H71" s="22"/>
      <c r="I71" s="22"/>
      <c r="J71" s="22"/>
      <c r="K71" s="22"/>
      <c r="L71" s="22"/>
      <c r="M71" s="22"/>
      <c r="N71" s="22"/>
      <c r="O71" s="22"/>
    </row>
    <row r="72" spans="2:15" x14ac:dyDescent="0.25">
      <c r="B72" s="173" t="s">
        <v>314</v>
      </c>
      <c r="C72" s="104"/>
      <c r="D72" s="104"/>
      <c r="E72" s="104"/>
      <c r="F72" s="104"/>
      <c r="G72" s="202">
        <f>G61-G67</f>
        <v>18564</v>
      </c>
      <c r="H72" s="202">
        <f t="shared" ref="H72:O72" si="19">H61-H67</f>
        <v>21559</v>
      </c>
      <c r="I72" s="202">
        <f t="shared" si="19"/>
        <v>26237</v>
      </c>
      <c r="J72" s="202">
        <f t="shared" si="19"/>
        <v>26994</v>
      </c>
      <c r="K72" s="202">
        <f t="shared" ca="1" si="19"/>
        <v>28015.478316430843</v>
      </c>
      <c r="L72" s="202">
        <f t="shared" ca="1" si="19"/>
        <v>29584.432572223734</v>
      </c>
      <c r="M72" s="202">
        <f t="shared" ca="1" si="19"/>
        <v>31408.607993958263</v>
      </c>
      <c r="N72" s="202">
        <f t="shared" ca="1" si="19"/>
        <v>33530.076258804853</v>
      </c>
      <c r="O72" s="202">
        <f t="shared" ca="1" si="19"/>
        <v>35926.926012428055</v>
      </c>
    </row>
    <row r="73" spans="2:15" x14ac:dyDescent="0.25">
      <c r="B73" s="41"/>
      <c r="G73" s="22"/>
      <c r="H73" s="22"/>
      <c r="I73" s="22"/>
      <c r="J73" s="22"/>
      <c r="K73" s="22"/>
      <c r="L73" s="22"/>
      <c r="M73" s="22"/>
      <c r="N73" s="22"/>
      <c r="O73" s="22"/>
    </row>
    <row r="74" spans="2:15" x14ac:dyDescent="0.25">
      <c r="B74" s="250" t="s">
        <v>212</v>
      </c>
      <c r="C74" s="111"/>
      <c r="D74" s="111"/>
      <c r="E74" s="111"/>
      <c r="F74" s="111"/>
      <c r="G74" s="251"/>
      <c r="H74" s="251"/>
      <c r="I74" s="251"/>
      <c r="J74" s="251"/>
      <c r="K74" s="40">
        <f ca="1">(J64-K64)+(K70-J70)</f>
        <v>-199.04203079667059</v>
      </c>
      <c r="L74" s="40">
        <f ca="1">(K64-L64)+(L70-K70)</f>
        <v>-1007.4881500217161</v>
      </c>
      <c r="M74" s="40">
        <f ca="1">(L64-M64)+(M70-L70)</f>
        <v>-1259.4757705057855</v>
      </c>
      <c r="N74" s="40">
        <f ca="1">(M64-N64)+(N70-M70)</f>
        <v>-1563.4814408011007</v>
      </c>
      <c r="O74" s="40">
        <f ca="1">(N64-O64)+(O70-N70)</f>
        <v>-1799.9009638819552</v>
      </c>
    </row>
    <row r="76" spans="2:15" x14ac:dyDescent="0.25">
      <c r="B76" s="109" t="s">
        <v>178</v>
      </c>
      <c r="C76" s="108"/>
      <c r="D76" s="108"/>
      <c r="E76" s="108"/>
      <c r="F76" s="108"/>
      <c r="G76" s="108"/>
      <c r="H76" s="108"/>
      <c r="I76" s="108"/>
      <c r="J76" s="108"/>
      <c r="K76" s="108"/>
      <c r="L76" s="108"/>
      <c r="M76" s="108"/>
      <c r="N76" s="108"/>
      <c r="O76" s="108"/>
    </row>
    <row r="77" spans="2:15" x14ac:dyDescent="0.25">
      <c r="B77" s="41" t="s">
        <v>63</v>
      </c>
      <c r="G77" s="42">
        <f>G61*days/Financials!F$15</f>
        <v>68.108368066688044</v>
      </c>
      <c r="H77" s="42">
        <f>H61*days/Financials!G$15</f>
        <v>63.227837320378562</v>
      </c>
      <c r="I77" s="42">
        <f>I61*days/Financials!H$15</f>
        <v>71.715006182078483</v>
      </c>
      <c r="J77" s="42">
        <f>J61*days/Financials!I$15</f>
        <v>69.775262286029815</v>
      </c>
      <c r="K77" s="42">
        <f>J77</f>
        <v>69.775262286029815</v>
      </c>
      <c r="L77" s="42">
        <f t="shared" ref="L77:O77" si="20">K77</f>
        <v>69.775262286029815</v>
      </c>
      <c r="M77" s="42">
        <f t="shared" si="20"/>
        <v>69.775262286029815</v>
      </c>
      <c r="N77" s="42">
        <f t="shared" si="20"/>
        <v>69.775262286029815</v>
      </c>
      <c r="O77" s="42">
        <f t="shared" si="20"/>
        <v>69.775262286029815</v>
      </c>
    </row>
    <row r="78" spans="2:15" x14ac:dyDescent="0.25">
      <c r="B78" s="41" t="s">
        <v>58</v>
      </c>
      <c r="G78" s="42">
        <f>G62*days/Financials!F$15</f>
        <v>26.186524280464646</v>
      </c>
      <c r="H78" s="42">
        <f>H62*days/Financials!G$15</f>
        <v>28.85839459824075</v>
      </c>
      <c r="I78" s="42">
        <f>I62*days/Financials!H$15</f>
        <v>28.704529185917877</v>
      </c>
      <c r="J78" s="42">
        <f>J62*days/Financials!I$15</f>
        <v>30.993312473157861</v>
      </c>
      <c r="K78" s="42">
        <f t="shared" ref="K78:O78" si="21">J78</f>
        <v>30.993312473157861</v>
      </c>
      <c r="L78" s="42">
        <f t="shared" si="21"/>
        <v>30.993312473157861</v>
      </c>
      <c r="M78" s="42">
        <f t="shared" si="21"/>
        <v>30.993312473157861</v>
      </c>
      <c r="N78" s="42">
        <f t="shared" si="21"/>
        <v>30.993312473157861</v>
      </c>
      <c r="O78" s="42">
        <f t="shared" si="21"/>
        <v>30.993312473157861</v>
      </c>
    </row>
    <row r="79" spans="2:15" x14ac:dyDescent="0.25">
      <c r="B79" s="41" t="s">
        <v>65</v>
      </c>
      <c r="G79" s="42">
        <f>G63*days/Financials!F$15</f>
        <v>33.946161244974967</v>
      </c>
      <c r="H79" s="42">
        <f>H63*days/Financials!G$15</f>
        <v>36.000872130656077</v>
      </c>
      <c r="I79" s="42">
        <f>I63*days/Financials!H$15</f>
        <v>30.421812975857357</v>
      </c>
      <c r="J79" s="42">
        <f>J63*days/Financials!I$15</f>
        <v>26.738450211669427</v>
      </c>
      <c r="K79" s="42">
        <f t="shared" ref="K79:O79" si="22">J79</f>
        <v>26.738450211669427</v>
      </c>
      <c r="L79" s="42">
        <f t="shared" si="22"/>
        <v>26.738450211669427</v>
      </c>
      <c r="M79" s="42">
        <f t="shared" si="22"/>
        <v>26.738450211669427</v>
      </c>
      <c r="N79" s="42">
        <f t="shared" si="22"/>
        <v>26.738450211669427</v>
      </c>
      <c r="O79" s="42">
        <f t="shared" si="22"/>
        <v>26.738450211669427</v>
      </c>
    </row>
    <row r="81" spans="2:15" x14ac:dyDescent="0.25">
      <c r="B81" s="41" t="s">
        <v>81</v>
      </c>
      <c r="G81" s="42">
        <f>G67*days/(Financials!F$19+Financials!F$20+Financials!F$22+Financials!F$27)</f>
        <v>17.378350052403054</v>
      </c>
      <c r="H81" s="42">
        <f>H67*days/(Financials!G$19+Financials!G$20+Financials!G$22+Financials!G$27)</f>
        <v>13.096829596620712</v>
      </c>
      <c r="I81" s="42">
        <f>I67*days/(Financials!H$19+Financials!H$20+Financials!H$22+Financials!H$27)</f>
        <v>12.768851197792772</v>
      </c>
      <c r="J81" s="42">
        <f>J67*days/(Financials!I$19+Financials!I$20+Financials!I$22+Financials!I$27)</f>
        <v>12.709453526780115</v>
      </c>
      <c r="K81" s="42">
        <f>J81</f>
        <v>12.709453526780115</v>
      </c>
      <c r="L81" s="42">
        <f t="shared" ref="L81:O81" si="23">K81</f>
        <v>12.709453526780115</v>
      </c>
      <c r="M81" s="42">
        <f t="shared" si="23"/>
        <v>12.709453526780115</v>
      </c>
      <c r="N81" s="42">
        <f t="shared" si="23"/>
        <v>12.709453526780115</v>
      </c>
      <c r="O81" s="42">
        <f t="shared" si="23"/>
        <v>12.709453526780115</v>
      </c>
    </row>
    <row r="82" spans="2:15" x14ac:dyDescent="0.25">
      <c r="B82" s="41" t="s">
        <v>76</v>
      </c>
      <c r="G82" s="42">
        <f>G68*days/(Financials!F$19+Financials!F$20+Financials!F$22+Financials!F$27)</f>
        <v>66.574970919184125</v>
      </c>
      <c r="H82" s="42">
        <f>H68*days/(Financials!G$19+Financials!G$20+Financials!G$22+Financials!G$27)</f>
        <v>62.885113493942349</v>
      </c>
      <c r="I82" s="42">
        <f>I68*days/(Financials!H$19+Financials!H$20+Financials!H$22+Financials!H$27)</f>
        <v>54.738864373955415</v>
      </c>
      <c r="J82" s="42">
        <f>J68*days/(Financials!I$19+Financials!I$20+Financials!I$22+Financials!I$27)</f>
        <v>55.361207509303007</v>
      </c>
      <c r="K82" s="42">
        <f t="shared" ref="K82:O83" si="24">J82</f>
        <v>55.361207509303007</v>
      </c>
      <c r="L82" s="42">
        <f t="shared" si="24"/>
        <v>55.361207509303007</v>
      </c>
      <c r="M82" s="42">
        <f t="shared" si="24"/>
        <v>55.361207509303007</v>
      </c>
      <c r="N82" s="42">
        <f t="shared" si="24"/>
        <v>55.361207509303007</v>
      </c>
      <c r="O82" s="42">
        <f t="shared" si="24"/>
        <v>55.361207509303007</v>
      </c>
    </row>
    <row r="83" spans="2:15" x14ac:dyDescent="0.25">
      <c r="B83" s="41" t="s">
        <v>82</v>
      </c>
      <c r="G83" s="42">
        <f>G69*days/(Financials!F$19+Financials!F$20+Financials!F$22+Financials!F$27)</f>
        <v>38.582123072316215</v>
      </c>
      <c r="H83" s="42">
        <f>H69*days/(Financials!G$19+Financials!G$20+Financials!G$22+Financials!G$27)</f>
        <v>36.69823144408857</v>
      </c>
      <c r="I83" s="42">
        <f>I69*days/(Financials!H$19+Financials!H$20+Financials!H$22+Financials!H$27)</f>
        <v>34.016916777941866</v>
      </c>
      <c r="J83" s="42">
        <f>J69*days/(Financials!I$19+Financials!I$20+Financials!I$22+Financials!I$27)</f>
        <v>35.909394991010579</v>
      </c>
      <c r="K83" s="42">
        <f t="shared" si="24"/>
        <v>35.909394991010579</v>
      </c>
      <c r="L83" s="42">
        <f t="shared" si="24"/>
        <v>35.909394991010579</v>
      </c>
      <c r="M83" s="42">
        <f t="shared" si="24"/>
        <v>35.909394991010579</v>
      </c>
      <c r="N83" s="42">
        <f t="shared" si="24"/>
        <v>35.909394991010579</v>
      </c>
      <c r="O83" s="42">
        <f t="shared" si="24"/>
        <v>35.909394991010579</v>
      </c>
    </row>
    <row r="85" spans="2:15" x14ac:dyDescent="0.25">
      <c r="B85" s="109" t="s">
        <v>74</v>
      </c>
      <c r="C85" s="108"/>
      <c r="D85" s="108"/>
      <c r="E85" s="108"/>
      <c r="F85" s="108"/>
      <c r="G85" s="108"/>
      <c r="H85" s="108"/>
      <c r="I85" s="108"/>
      <c r="J85" s="108"/>
      <c r="K85" s="108"/>
      <c r="L85" s="108"/>
      <c r="M85" s="108"/>
      <c r="N85" s="108"/>
      <c r="O85" s="108"/>
    </row>
    <row r="86" spans="2:15" x14ac:dyDescent="0.25">
      <c r="B86" s="41" t="s">
        <v>76</v>
      </c>
      <c r="G86" s="51">
        <f>Financials!F83</f>
        <v>2337</v>
      </c>
      <c r="H86" s="51">
        <f>Financials!G83</f>
        <v>2058</v>
      </c>
      <c r="I86" s="51">
        <f>Financials!H83</f>
        <v>2130</v>
      </c>
      <c r="J86" s="51">
        <f>Financials!I83</f>
        <v>2141</v>
      </c>
      <c r="K86" s="22">
        <f ca="1">K89*Financials!J$15</f>
        <v>2555.4018315988169</v>
      </c>
      <c r="L86" s="22">
        <f ca="1">L89*Financials!K$15</f>
        <v>2515.6641958682549</v>
      </c>
      <c r="M86" s="22">
        <f ca="1">M89*Financials!L$15</f>
        <v>2673.2326056839561</v>
      </c>
      <c r="N86" s="22">
        <f ca="1">N89*Financials!M$15</f>
        <v>2863.5226392832997</v>
      </c>
      <c r="O86" s="22">
        <f ca="1">O89*Financials!N$15</f>
        <v>3119.9735595237653</v>
      </c>
    </row>
    <row r="87" spans="2:15" x14ac:dyDescent="0.25">
      <c r="B87" s="41" t="s">
        <v>78</v>
      </c>
      <c r="G87" s="51">
        <f>Financials!F85</f>
        <v>451</v>
      </c>
      <c r="H87" s="51">
        <f>Financials!G85</f>
        <v>500</v>
      </c>
      <c r="I87" s="51">
        <f>Financials!H85</f>
        <v>235</v>
      </c>
      <c r="J87" s="51">
        <f>Financials!I85</f>
        <v>215</v>
      </c>
      <c r="K87" s="22">
        <f ca="1">K90*Financials!J$15</f>
        <v>422.68514253175141</v>
      </c>
      <c r="L87" s="22">
        <f ca="1">L90*Financials!K$15</f>
        <v>392.34660966305017</v>
      </c>
      <c r="M87" s="22">
        <f ca="1">M90*Financials!L$15</f>
        <v>358.76728145160331</v>
      </c>
      <c r="N87" s="22">
        <f ca="1">N90*Financials!M$15</f>
        <v>401.16040541172907</v>
      </c>
      <c r="O87" s="22">
        <f ca="1">O90*Financials!N$15</f>
        <v>465.53608706435165</v>
      </c>
    </row>
    <row r="89" spans="2:15" x14ac:dyDescent="0.25">
      <c r="B89" s="1" t="s">
        <v>179</v>
      </c>
      <c r="G89" s="26">
        <f>G86/Financials!F$15</f>
        <v>1.9212272177966311E-2</v>
      </c>
      <c r="H89" s="26">
        <f>H86/Financials!G$15</f>
        <v>1.4022225704688383E-2</v>
      </c>
      <c r="I89" s="26">
        <f>I86/Financials!H$15</f>
        <v>1.3860870696948005E-2</v>
      </c>
      <c r="J89" s="26">
        <f>J86/Financials!I$15</f>
        <v>1.3135775200932573E-2</v>
      </c>
      <c r="K89" s="37">
        <f>AVERAGE(G89:J89)</f>
        <v>1.5057785945133817E-2</v>
      </c>
      <c r="L89" s="37">
        <f t="shared" ref="L89:O89" si="25">AVERAGE(H89:K89)</f>
        <v>1.4019164386925693E-2</v>
      </c>
      <c r="M89" s="37">
        <f t="shared" si="25"/>
        <v>1.4018399057485023E-2</v>
      </c>
      <c r="N89" s="37">
        <f t="shared" si="25"/>
        <v>1.4057781147619278E-2</v>
      </c>
      <c r="O89" s="37">
        <f t="shared" si="25"/>
        <v>1.4288282634290952E-2</v>
      </c>
    </row>
    <row r="90" spans="2:15" x14ac:dyDescent="0.25">
      <c r="B90" s="1" t="s">
        <v>181</v>
      </c>
      <c r="G90" s="26">
        <f>G87/Financials!F$15</f>
        <v>3.7076314729408669E-3</v>
      </c>
      <c r="H90" s="26">
        <f>H87/Financials!G$15</f>
        <v>3.4067603752887228E-3</v>
      </c>
      <c r="I90" s="26">
        <f>I87/Financials!H$15</f>
        <v>1.5292509923862823E-3</v>
      </c>
      <c r="J90" s="26">
        <f>J87/Financials!I$15</f>
        <v>1.3190993312473158E-3</v>
      </c>
      <c r="K90" s="37">
        <f>AVERAGE(G90:J90)</f>
        <v>2.4906855429657968E-3</v>
      </c>
      <c r="L90" s="37">
        <f t="shared" ref="L90" si="26">AVERAGE(H90:K90)</f>
        <v>2.1864490604720293E-3</v>
      </c>
      <c r="M90" s="37">
        <f t="shared" ref="M90" si="27">AVERAGE(I90:L90)</f>
        <v>1.8813712317678562E-3</v>
      </c>
      <c r="N90" s="37">
        <f t="shared" ref="N90" si="28">AVERAGE(J90:M90)</f>
        <v>1.9694012916132496E-3</v>
      </c>
      <c r="O90" s="37">
        <f t="shared" ref="O90" si="29">AVERAGE(K90:N90)</f>
        <v>2.1319767817047329E-3</v>
      </c>
    </row>
    <row r="92" spans="2:15" x14ac:dyDescent="0.25">
      <c r="B92" s="109" t="s">
        <v>50</v>
      </c>
      <c r="C92" s="108"/>
      <c r="D92" s="108"/>
      <c r="E92" s="108"/>
      <c r="F92" s="108"/>
      <c r="G92" s="108"/>
      <c r="H92" s="108"/>
      <c r="I92" s="108"/>
      <c r="J92" s="108"/>
      <c r="K92" s="108"/>
      <c r="L92" s="108"/>
      <c r="M92" s="108"/>
      <c r="N92" s="108"/>
      <c r="O92" s="108"/>
    </row>
    <row r="93" spans="2:15" x14ac:dyDescent="0.25">
      <c r="B93" s="41" t="s">
        <v>58</v>
      </c>
      <c r="G93" s="33">
        <f>Financials!F58</f>
        <v>1460</v>
      </c>
      <c r="H93" s="33">
        <f>Financials!G58</f>
        <v>2798</v>
      </c>
      <c r="I93" s="33">
        <f>Financials!H58</f>
        <v>3105</v>
      </c>
      <c r="J93" s="33">
        <f>Financials!I58</f>
        <v>3511</v>
      </c>
      <c r="K93" s="22">
        <f ca="1">K96*Financials!J$15</f>
        <v>3089.2323884787234</v>
      </c>
      <c r="L93" s="22">
        <f ca="1">L96*Financials!K$15</f>
        <v>3544.6809513543067</v>
      </c>
      <c r="M93" s="22">
        <f ca="1">M96*Financials!L$15</f>
        <v>3799.7728785067911</v>
      </c>
      <c r="N93" s="22">
        <f ca="1">N96*Financials!M$15</f>
        <v>4044.6092820871295</v>
      </c>
      <c r="O93" s="22">
        <f ca="1">O96*Financials!N$15</f>
        <v>4243.7516808213359</v>
      </c>
    </row>
    <row r="94" spans="2:15" x14ac:dyDescent="0.25">
      <c r="B94" s="41" t="s">
        <v>61</v>
      </c>
      <c r="G94" s="33">
        <f>Financials!F61</f>
        <v>2029</v>
      </c>
      <c r="H94" s="33">
        <f>Financials!G61</f>
        <v>2318</v>
      </c>
      <c r="I94" s="33">
        <f>Financials!H61</f>
        <v>2121</v>
      </c>
      <c r="J94" s="33">
        <f>Financials!I61</f>
        <v>2713</v>
      </c>
      <c r="K94" s="22">
        <f ca="1">K97*Financials!J$15</f>
        <v>2669.5431415581374</v>
      </c>
      <c r="L94" s="22">
        <f ca="1">L97*Financials!K$15</f>
        <v>2780.1184031279372</v>
      </c>
      <c r="M94" s="22">
        <f ca="1">M97*Financials!L$15</f>
        <v>2940.0700330037221</v>
      </c>
      <c r="N94" s="22">
        <f ca="1">N97*Financials!M$15</f>
        <v>3222.7939991629273</v>
      </c>
      <c r="O94" s="22">
        <f ca="1">O97*Financials!N$15</f>
        <v>3409.8104509992936</v>
      </c>
    </row>
    <row r="96" spans="2:15" x14ac:dyDescent="0.25">
      <c r="B96" s="1" t="s">
        <v>182</v>
      </c>
      <c r="G96" s="26">
        <f>G93/Financials!F$15</f>
        <v>1.200253204100591E-2</v>
      </c>
      <c r="H96" s="26">
        <f>H93/Financials!G$15</f>
        <v>1.9064231060115695E-2</v>
      </c>
      <c r="I96" s="26">
        <f>I93/Financials!H$15</f>
        <v>2.0205635452593219E-2</v>
      </c>
      <c r="J96" s="26">
        <f>J93/Financials!I$15</f>
        <v>2.1541198846555004E-2</v>
      </c>
      <c r="K96" s="37">
        <f>AVERAGE(G96:J96)</f>
        <v>1.8203399350067456E-2</v>
      </c>
      <c r="L96" s="37">
        <f t="shared" ref="L96:L97" si="30">AVERAGE(H96:K96)</f>
        <v>1.9753616177332844E-2</v>
      </c>
      <c r="M96" s="37">
        <f t="shared" ref="M96:M97" si="31">AVERAGE(I96:L96)</f>
        <v>1.9925962456637129E-2</v>
      </c>
      <c r="N96" s="37">
        <f t="shared" ref="N96:N97" si="32">AVERAGE(J96:M96)</f>
        <v>1.985604420764811E-2</v>
      </c>
      <c r="O96" s="37">
        <f t="shared" ref="O96:O97" si="33">AVERAGE(K96:N96)</f>
        <v>1.9434755547921387E-2</v>
      </c>
    </row>
    <row r="97" spans="1:15" x14ac:dyDescent="0.25">
      <c r="B97" s="1" t="s">
        <v>180</v>
      </c>
      <c r="G97" s="26">
        <f>G94/Financials!F$15</f>
        <v>1.6680231172055474E-2</v>
      </c>
      <c r="H97" s="26">
        <f>H94/Financials!G$15</f>
        <v>1.5793741099838519E-2</v>
      </c>
      <c r="I97" s="26">
        <f>I94/Financials!H$15</f>
        <v>1.3802303637665126E-2</v>
      </c>
      <c r="J97" s="26">
        <f>J94/Financials!I$15</f>
        <v>1.6645192956623107E-2</v>
      </c>
      <c r="K97" s="37">
        <f>AVERAGE(G97:J97)</f>
        <v>1.5730367216545558E-2</v>
      </c>
      <c r="L97" s="37">
        <f t="shared" si="30"/>
        <v>1.5492901227668075E-2</v>
      </c>
      <c r="M97" s="37">
        <f t="shared" si="31"/>
        <v>1.5417691259625466E-2</v>
      </c>
      <c r="N97" s="37">
        <f t="shared" si="32"/>
        <v>1.5821538165115553E-2</v>
      </c>
      <c r="O97" s="37">
        <f t="shared" si="33"/>
        <v>1.5615624467238663E-2</v>
      </c>
    </row>
    <row r="99" spans="1:15" x14ac:dyDescent="0.25">
      <c r="A99" s="1" t="s">
        <v>25</v>
      </c>
      <c r="B99" s="17" t="s">
        <v>183</v>
      </c>
      <c r="C99" s="24"/>
      <c r="D99" s="24"/>
      <c r="E99" s="24"/>
      <c r="F99" s="24"/>
      <c r="G99" s="24"/>
      <c r="H99" s="24"/>
      <c r="I99" s="24"/>
      <c r="J99" s="24"/>
      <c r="K99" s="24"/>
      <c r="L99" s="24"/>
      <c r="M99" s="24"/>
      <c r="N99" s="24"/>
      <c r="O99" s="24"/>
    </row>
    <row r="100" spans="1:15" x14ac:dyDescent="0.25">
      <c r="B100" s="1" t="s">
        <v>184</v>
      </c>
      <c r="G100" s="174"/>
      <c r="H100" s="174"/>
      <c r="I100" s="174"/>
      <c r="J100" s="174"/>
      <c r="K100" s="22">
        <f>Financials!I77</f>
        <v>93745</v>
      </c>
      <c r="L100" s="22">
        <f ca="1">K104</f>
        <v>104726.43724376526</v>
      </c>
      <c r="M100" s="22">
        <f t="shared" ref="M100:O100" ca="1" si="34">L104</f>
        <v>103159.0136393331</v>
      </c>
      <c r="N100" s="22">
        <f t="shared" ca="1" si="34"/>
        <v>114057.63759276035</v>
      </c>
      <c r="O100" s="22">
        <f t="shared" ca="1" si="34"/>
        <v>124860.02177999524</v>
      </c>
    </row>
    <row r="101" spans="1:15" x14ac:dyDescent="0.25">
      <c r="B101" s="27" t="s">
        <v>185</v>
      </c>
      <c r="G101" s="174"/>
      <c r="H101" s="174"/>
      <c r="I101" s="174"/>
      <c r="J101" s="174"/>
      <c r="K101" s="22">
        <f ca="1">Financials!J34</f>
        <v>28381.59636325574</v>
      </c>
      <c r="L101" s="22">
        <f ca="1">Financials!K34</f>
        <v>29050.572593775636</v>
      </c>
      <c r="M101" s="22">
        <f ca="1">Financials!L34</f>
        <v>30138.389903678471</v>
      </c>
      <c r="N101" s="22">
        <f ca="1">Financials!M34</f>
        <v>31603.059838260793</v>
      </c>
      <c r="O101" s="22">
        <f ca="1">Financials!N34</f>
        <v>33351.833382630488</v>
      </c>
    </row>
    <row r="102" spans="1:15" x14ac:dyDescent="0.25">
      <c r="B102" s="27" t="s">
        <v>186</v>
      </c>
      <c r="G102" s="174"/>
      <c r="H102" s="174"/>
      <c r="I102" s="174"/>
      <c r="J102" s="174"/>
      <c r="K102" s="22">
        <f ca="1">Assumptions!K21</f>
        <v>17400.159119490476</v>
      </c>
      <c r="L102" s="22">
        <f ca="1">Assumptions!L21</f>
        <v>18117.996198207817</v>
      </c>
      <c r="M102" s="22">
        <f ca="1">Assumptions!M21</f>
        <v>19239.765950251232</v>
      </c>
      <c r="N102" s="22">
        <f ca="1">Assumptions!N21</f>
        <v>20800.675651025897</v>
      </c>
      <c r="O102" s="22">
        <f ca="1">Assumptions!O21</f>
        <v>21122.683328831721</v>
      </c>
    </row>
    <row r="103" spans="1:15" x14ac:dyDescent="0.25">
      <c r="B103" s="27" t="s">
        <v>221</v>
      </c>
      <c r="G103" s="174"/>
      <c r="H103" s="174"/>
      <c r="I103" s="174"/>
      <c r="J103" s="174"/>
      <c r="K103" s="22">
        <f>Assumptions!K24</f>
        <v>0</v>
      </c>
      <c r="L103" s="22">
        <f>Assumptions!L24</f>
        <v>12500</v>
      </c>
      <c r="M103" s="22">
        <f>Assumptions!M24</f>
        <v>0</v>
      </c>
      <c r="N103" s="22">
        <f>Assumptions!N24</f>
        <v>0</v>
      </c>
      <c r="O103" s="22">
        <f>Assumptions!O24</f>
        <v>10500</v>
      </c>
    </row>
    <row r="104" spans="1:15" x14ac:dyDescent="0.25">
      <c r="B104" s="3" t="s">
        <v>187</v>
      </c>
      <c r="C104" s="3"/>
      <c r="D104" s="3"/>
      <c r="E104" s="3"/>
      <c r="F104" s="3"/>
      <c r="G104" s="181"/>
      <c r="H104" s="181"/>
      <c r="I104" s="181"/>
      <c r="J104" s="181"/>
      <c r="K104" s="44">
        <f ca="1">K100+K101-K102-K103</f>
        <v>104726.43724376526</v>
      </c>
      <c r="L104" s="44">
        <f t="shared" ref="L104:O104" ca="1" si="35">L100+L101-L102-L103</f>
        <v>103159.0136393331</v>
      </c>
      <c r="M104" s="44">
        <f t="shared" ca="1" si="35"/>
        <v>114057.63759276035</v>
      </c>
      <c r="N104" s="44">
        <f t="shared" ca="1" si="35"/>
        <v>124860.02177999524</v>
      </c>
      <c r="O104" s="44">
        <f t="shared" ca="1" si="35"/>
        <v>126589.17183379401</v>
      </c>
    </row>
    <row r="106" spans="1:15" ht="14.4" x14ac:dyDescent="0.3">
      <c r="B106" s="72" t="s">
        <v>218</v>
      </c>
      <c r="C106" s="24"/>
    </row>
  </sheetData>
  <mergeCells count="2">
    <mergeCell ref="G5:J5"/>
    <mergeCell ref="K5:O5"/>
  </mergeCells>
  <hyperlinks>
    <hyperlink ref="B106" location="Schedule!A8" display="&lt;- Go back to the top" xr:uid="{BD6AFDFD-951C-4A5E-A975-D7F35E747FA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7E9B-182C-4605-86F7-8C19CB228200}">
  <sheetPr>
    <tabColor rgb="FF00004D"/>
  </sheetPr>
  <dimension ref="A1"/>
  <sheetViews>
    <sheetView showGridLines="0" workbookViewId="0">
      <selection activeCell="I13" sqref="I13"/>
    </sheetView>
  </sheetViews>
  <sheetFormatPr defaultRowHeight="14.4" x14ac:dyDescent="0.3"/>
  <sheetData>
    <row r="1" spans="1:1" x14ac:dyDescent="0.3">
      <c r="A1" t="s">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E337-656A-46C9-8BDE-DC1FB398E8E9}">
  <dimension ref="A2:X86"/>
  <sheetViews>
    <sheetView showGridLines="0" topLeftCell="A13" zoomScale="85" zoomScaleNormal="85" workbookViewId="0">
      <selection activeCell="N37" sqref="N37"/>
    </sheetView>
  </sheetViews>
  <sheetFormatPr defaultRowHeight="13.2" x14ac:dyDescent="0.25"/>
  <cols>
    <col min="1" max="1" width="2.88671875" style="89" customWidth="1"/>
    <col min="2" max="29" width="10.77734375" style="1" customWidth="1"/>
    <col min="30" max="16384" width="8.88671875" style="1"/>
  </cols>
  <sheetData>
    <row r="2" spans="1:15" s="5" customFormat="1" ht="13.8" x14ac:dyDescent="0.25">
      <c r="A2" s="105"/>
      <c r="B2" s="107" t="str">
        <f>Dashboard!C2</f>
        <v>Infosys Ltd.</v>
      </c>
      <c r="C2" s="7"/>
      <c r="D2" s="7"/>
      <c r="E2" s="7"/>
      <c r="F2" s="7"/>
      <c r="G2" s="7"/>
      <c r="H2" s="7"/>
      <c r="I2" s="7"/>
      <c r="J2" s="7"/>
      <c r="K2" s="7"/>
      <c r="L2" s="7"/>
      <c r="M2" s="7"/>
      <c r="N2" s="7"/>
      <c r="O2" s="7"/>
    </row>
    <row r="3" spans="1:15" s="5" customFormat="1" ht="13.8" x14ac:dyDescent="0.25">
      <c r="A3" s="105"/>
      <c r="B3" s="8" t="s">
        <v>215</v>
      </c>
      <c r="C3" s="7"/>
      <c r="D3" s="7"/>
      <c r="E3" s="7"/>
      <c r="F3" s="7"/>
      <c r="G3" s="7"/>
      <c r="H3" s="7"/>
      <c r="I3" s="7"/>
      <c r="J3" s="7"/>
      <c r="K3" s="7"/>
      <c r="L3" s="7"/>
      <c r="M3" s="7"/>
      <c r="N3" s="7"/>
      <c r="O3" s="7"/>
    </row>
    <row r="4" spans="1:15" s="5" customFormat="1" ht="13.8" x14ac:dyDescent="0.25">
      <c r="A4" s="105"/>
      <c r="B4" s="95" t="str">
        <f>Dashboard!C4</f>
        <v>(In ₹ Crore, except equity share and per equity share data)</v>
      </c>
      <c r="C4" s="7"/>
      <c r="D4" s="7"/>
      <c r="E4" s="7"/>
      <c r="F4" s="7"/>
      <c r="G4" s="7"/>
      <c r="H4" s="7"/>
      <c r="I4" s="7"/>
      <c r="J4" s="7"/>
      <c r="K4" s="7"/>
      <c r="L4" s="7"/>
      <c r="M4" s="7"/>
      <c r="N4" s="7"/>
      <c r="O4" s="7"/>
    </row>
    <row r="6" spans="1:15" ht="14.4" x14ac:dyDescent="0.3">
      <c r="B6" s="43" t="s">
        <v>214</v>
      </c>
    </row>
    <row r="7" spans="1:15" ht="14.4" x14ac:dyDescent="0.3">
      <c r="B7" s="43"/>
    </row>
    <row r="8" spans="1:15" x14ac:dyDescent="0.25">
      <c r="B8" s="393" t="s">
        <v>249</v>
      </c>
      <c r="C8" s="393"/>
      <c r="D8" s="393"/>
      <c r="E8" s="70">
        <v>46084</v>
      </c>
    </row>
    <row r="9" spans="1:15" x14ac:dyDescent="0.25">
      <c r="B9" s="393" t="s">
        <v>250</v>
      </c>
      <c r="C9" s="393"/>
      <c r="D9" s="393"/>
      <c r="E9" s="70">
        <v>46387</v>
      </c>
    </row>
    <row r="10" spans="1:15" x14ac:dyDescent="0.25">
      <c r="A10" s="1"/>
    </row>
    <row r="11" spans="1:15" x14ac:dyDescent="0.25">
      <c r="A11" s="89" t="s">
        <v>25</v>
      </c>
      <c r="B11" s="13" t="s">
        <v>284</v>
      </c>
      <c r="C11" s="13"/>
      <c r="D11" s="13"/>
      <c r="E11" s="13"/>
      <c r="F11" s="13"/>
      <c r="G11" s="94"/>
      <c r="H11" s="94"/>
      <c r="I11" s="94"/>
      <c r="J11" s="94"/>
      <c r="K11" s="94"/>
      <c r="L11" s="94"/>
      <c r="M11" s="94"/>
      <c r="N11" s="94"/>
      <c r="O11" s="94"/>
    </row>
    <row r="13" spans="1:15" x14ac:dyDescent="0.25">
      <c r="B13" s="109" t="s">
        <v>275</v>
      </c>
      <c r="C13" s="108"/>
      <c r="D13" s="108"/>
      <c r="E13" s="108"/>
      <c r="G13" s="109" t="s">
        <v>351</v>
      </c>
      <c r="H13" s="108"/>
      <c r="J13" s="109" t="s">
        <v>101</v>
      </c>
      <c r="K13" s="108"/>
      <c r="M13" s="109" t="s">
        <v>352</v>
      </c>
      <c r="N13" s="108"/>
    </row>
    <row r="15" spans="1:15" x14ac:dyDescent="0.25">
      <c r="B15" s="1" t="s">
        <v>359</v>
      </c>
      <c r="E15" s="213">
        <f>VLOOKUP(Dashboard!$G$12,Scenario!$G$12:$H$14,2,TRUE)</f>
        <v>2</v>
      </c>
      <c r="G15" s="1" t="s">
        <v>216</v>
      </c>
      <c r="H15" s="214">
        <f>K15-1%</f>
        <v>9.9163542510932526E-2</v>
      </c>
      <c r="J15" s="1" t="s">
        <v>216</v>
      </c>
      <c r="K15" s="71">
        <f>WACC!H16</f>
        <v>0.10916354251093252</v>
      </c>
      <c r="M15" s="1" t="s">
        <v>216</v>
      </c>
      <c r="N15" s="214">
        <f>K15+1%</f>
        <v>0.11916354251093252</v>
      </c>
    </row>
    <row r="16" spans="1:15" x14ac:dyDescent="0.25">
      <c r="B16" s="1" t="s">
        <v>360</v>
      </c>
      <c r="E16" s="213">
        <f>VLOOKUP(Dashboard!$G$13,Scenario!$J$12:$L$14,3,)</f>
        <v>1</v>
      </c>
      <c r="G16" s="1" t="s">
        <v>286</v>
      </c>
      <c r="H16" s="71">
        <v>0.05</v>
      </c>
      <c r="J16" s="1" t="s">
        <v>286</v>
      </c>
      <c r="K16" s="71">
        <v>0.04</v>
      </c>
      <c r="M16" s="1" t="s">
        <v>286</v>
      </c>
      <c r="N16" s="71">
        <v>0.03</v>
      </c>
      <c r="O16" s="68" t="s">
        <v>346</v>
      </c>
    </row>
    <row r="18" spans="1:11" x14ac:dyDescent="0.25">
      <c r="B18" s="1" t="s">
        <v>361</v>
      </c>
      <c r="E18" s="215">
        <f>CHOOSE($E$15,H15,K15,N15)</f>
        <v>0.10916354251093252</v>
      </c>
    </row>
    <row r="19" spans="1:11" x14ac:dyDescent="0.25">
      <c r="B19" s="1" t="s">
        <v>362</v>
      </c>
      <c r="E19" s="215">
        <f>CHOOSE($E$15,H16,K16,N16)</f>
        <v>0.04</v>
      </c>
    </row>
    <row r="21" spans="1:11" x14ac:dyDescent="0.25">
      <c r="A21" s="89" t="s">
        <v>25</v>
      </c>
      <c r="B21" s="13" t="s">
        <v>248</v>
      </c>
      <c r="C21" s="13"/>
      <c r="D21" s="13"/>
      <c r="E21" s="13"/>
      <c r="F21" s="13"/>
      <c r="G21" s="217">
        <f>Financials!J6</f>
        <v>46112</v>
      </c>
      <c r="H21" s="94">
        <f t="shared" ref="H21:K21" si="0">EDATE(G21,12)</f>
        <v>46477</v>
      </c>
      <c r="I21" s="94">
        <f t="shared" si="0"/>
        <v>46843</v>
      </c>
      <c r="J21" s="94">
        <f t="shared" si="0"/>
        <v>47208</v>
      </c>
      <c r="K21" s="94">
        <f t="shared" si="0"/>
        <v>47573</v>
      </c>
    </row>
    <row r="22" spans="1:11" x14ac:dyDescent="0.25">
      <c r="G22" s="90"/>
    </row>
    <row r="23" spans="1:11" x14ac:dyDescent="0.25">
      <c r="B23" s="1" t="s">
        <v>246</v>
      </c>
      <c r="G23" s="191">
        <f ca="1">Financials!J30</f>
        <v>40545.13766179391</v>
      </c>
      <c r="H23" s="22">
        <f ca="1">Financials!K30</f>
        <v>41500.817991108052</v>
      </c>
      <c r="I23" s="22">
        <f ca="1">Financials!L30</f>
        <v>43054.842719540669</v>
      </c>
      <c r="J23" s="22">
        <f ca="1">Financials!M30</f>
        <v>45147.22834037256</v>
      </c>
      <c r="K23" s="22">
        <f ca="1">Financials!N30</f>
        <v>47645.476260900701</v>
      </c>
    </row>
    <row r="24" spans="1:11" x14ac:dyDescent="0.25">
      <c r="B24" s="68" t="s">
        <v>239</v>
      </c>
      <c r="G24" s="218">
        <v>0.3</v>
      </c>
      <c r="H24" s="209">
        <v>0.3</v>
      </c>
      <c r="I24" s="209">
        <v>0.3</v>
      </c>
      <c r="J24" s="209">
        <v>0.3</v>
      </c>
      <c r="K24" s="209">
        <v>0.3</v>
      </c>
    </row>
    <row r="25" spans="1:11" x14ac:dyDescent="0.25">
      <c r="B25" s="171" t="s">
        <v>247</v>
      </c>
      <c r="C25" s="171"/>
      <c r="D25" s="171"/>
      <c r="E25" s="171"/>
      <c r="F25" s="171"/>
      <c r="G25" s="204">
        <f ca="1">G23*(1-G24)</f>
        <v>28381.596363255736</v>
      </c>
      <c r="H25" s="40">
        <f t="shared" ref="H25:K25" ca="1" si="1">H23*(1-H24)</f>
        <v>29050.572593775632</v>
      </c>
      <c r="I25" s="40">
        <f t="shared" ca="1" si="1"/>
        <v>30138.389903678468</v>
      </c>
      <c r="J25" s="40">
        <f t="shared" ca="1" si="1"/>
        <v>31603.05983826079</v>
      </c>
      <c r="K25" s="40">
        <f t="shared" ca="1" si="1"/>
        <v>33351.833382630488</v>
      </c>
    </row>
    <row r="26" spans="1:11" x14ac:dyDescent="0.25">
      <c r="G26" s="90"/>
    </row>
    <row r="27" spans="1:11" x14ac:dyDescent="0.25">
      <c r="B27" s="1" t="s">
        <v>287</v>
      </c>
      <c r="G27" s="191">
        <f ca="1">Financials!J106</f>
        <v>1553.8618765260544</v>
      </c>
      <c r="H27" s="22">
        <f ca="1">Financials!K106</f>
        <v>1977.8622248356583</v>
      </c>
      <c r="I27" s="22">
        <f ca="1">Financials!L106</f>
        <v>2339.7887043155206</v>
      </c>
      <c r="J27" s="22">
        <f ca="1">Financials!M106</f>
        <v>2829.4995187671361</v>
      </c>
      <c r="K27" s="22">
        <f ca="1">Financials!N106</f>
        <v>3356.1537286120729</v>
      </c>
    </row>
    <row r="28" spans="1:11" x14ac:dyDescent="0.25">
      <c r="B28" s="1" t="s">
        <v>288</v>
      </c>
      <c r="G28" s="191">
        <f ca="1">Financials!J119+Financials!J121+Financials!J122+Financials!J123</f>
        <v>-2928.9024500368614</v>
      </c>
      <c r="H28" s="22">
        <f ca="1">Financials!K119+Financials!K121+Financials!K122+Financials!K123</f>
        <v>-4513.8063585253831</v>
      </c>
      <c r="I28" s="22">
        <f ca="1">Financials!L119+Financials!L121+Financials!L122+Financials!L123</f>
        <v>-4991.713280391471</v>
      </c>
      <c r="J28" s="22">
        <f ca="1">Financials!M119+Financials!M121+Financials!M122+Financials!M123</f>
        <v>-5823.6727390784545</v>
      </c>
      <c r="K28" s="22">
        <f ca="1">Financials!N119+Financials!N121+Financials!N122+Financials!N123</f>
        <v>-6500.20781660998</v>
      </c>
    </row>
    <row r="29" spans="1:11" x14ac:dyDescent="0.25">
      <c r="B29" s="1" t="s">
        <v>289</v>
      </c>
      <c r="G29" s="191">
        <f ca="1">SUM(Financials!J108:J113)</f>
        <v>-199.04203079666877</v>
      </c>
      <c r="H29" s="22">
        <f ca="1">SUM(Financials!K108:K113)</f>
        <v>-1007.4881500217225</v>
      </c>
      <c r="I29" s="22">
        <f ca="1">SUM(Financials!L108:L113)</f>
        <v>-1259.4757705057755</v>
      </c>
      <c r="J29" s="22">
        <f ca="1">SUM(Financials!M108:M113)</f>
        <v>-1563.4814408010989</v>
      </c>
      <c r="K29" s="22">
        <f ca="1">SUM(Financials!N108:N113)</f>
        <v>-1799.9009638819607</v>
      </c>
    </row>
    <row r="30" spans="1:11" x14ac:dyDescent="0.25">
      <c r="B30" s="3" t="s">
        <v>290</v>
      </c>
      <c r="C30" s="104"/>
      <c r="D30" s="104"/>
      <c r="E30" s="104"/>
      <c r="F30" s="104"/>
      <c r="G30" s="197">
        <f ca="1">SUM(G25:G29)</f>
        <v>26807.513758948262</v>
      </c>
      <c r="H30" s="44">
        <f t="shared" ref="H30:K30" ca="1" si="2">SUM(H25:H29)</f>
        <v>25507.140310064184</v>
      </c>
      <c r="I30" s="44">
        <f t="shared" ca="1" si="2"/>
        <v>26226.989557096742</v>
      </c>
      <c r="J30" s="44">
        <f t="shared" ca="1" si="2"/>
        <v>27045.405177148372</v>
      </c>
      <c r="K30" s="44">
        <f t="shared" ca="1" si="2"/>
        <v>28407.878330750616</v>
      </c>
    </row>
    <row r="31" spans="1:11" x14ac:dyDescent="0.25">
      <c r="G31" s="90"/>
    </row>
    <row r="32" spans="1:11" x14ac:dyDescent="0.25">
      <c r="B32" s="111" t="s">
        <v>291</v>
      </c>
      <c r="C32" s="111"/>
      <c r="D32" s="111"/>
      <c r="E32" s="111"/>
      <c r="F32" s="111"/>
      <c r="G32" s="219">
        <f>G33/2</f>
        <v>0.41506849315068495</v>
      </c>
      <c r="H32" s="216">
        <f>G32+1</f>
        <v>1.4150684931506849</v>
      </c>
      <c r="I32" s="216">
        <f t="shared" ref="I32:K32" si="3">H32+1</f>
        <v>2.4150684931506849</v>
      </c>
      <c r="J32" s="216">
        <f t="shared" si="3"/>
        <v>3.4150684931506849</v>
      </c>
      <c r="K32" s="216">
        <f t="shared" si="3"/>
        <v>4.4150684931506845</v>
      </c>
    </row>
    <row r="33" spans="1:11" x14ac:dyDescent="0.25">
      <c r="B33" s="1" t="s">
        <v>292</v>
      </c>
      <c r="G33" s="220">
        <f>(E9-E8)/365</f>
        <v>0.83013698630136989</v>
      </c>
    </row>
    <row r="34" spans="1:11" x14ac:dyDescent="0.25">
      <c r="B34" s="1" t="s">
        <v>293</v>
      </c>
      <c r="G34" s="90"/>
      <c r="K34" s="22">
        <f ca="1">K30*(1+tgr)/(wacc-tgr)</f>
        <v>427164.26012028899</v>
      </c>
    </row>
    <row r="35" spans="1:11" x14ac:dyDescent="0.25">
      <c r="B35" s="108" t="s">
        <v>294</v>
      </c>
      <c r="C35" s="108"/>
      <c r="D35" s="108"/>
      <c r="E35" s="108"/>
      <c r="F35" s="108"/>
      <c r="G35" s="206">
        <f ca="1">G30/(1+wacc)^G32</f>
        <v>25679.12890705984</v>
      </c>
      <c r="H35" s="172">
        <f ca="1">H30/(1+wacc)^H32</f>
        <v>22028.754088653106</v>
      </c>
      <c r="I35" s="172">
        <f ca="1">I30/(1+wacc)^I32</f>
        <v>20421.188815537811</v>
      </c>
      <c r="J35" s="172">
        <f ca="1">J30/(1+wacc)^J32</f>
        <v>18985.869155126758</v>
      </c>
      <c r="K35" s="172">
        <f ca="1">(K30+K34)/(1+wacc)^K32</f>
        <v>288335.79540623061</v>
      </c>
    </row>
    <row r="36" spans="1:11" x14ac:dyDescent="0.25">
      <c r="B36" s="16" t="s">
        <v>295</v>
      </c>
      <c r="G36" s="192">
        <f ca="1">SUM(G35:K35)</f>
        <v>375450.73637260811</v>
      </c>
    </row>
    <row r="37" spans="1:11" x14ac:dyDescent="0.25">
      <c r="B37" s="1" t="s">
        <v>296</v>
      </c>
      <c r="G37" s="191">
        <f>Financials!I67+Financials!I69+Financials!I65+Financials!I56</f>
        <v>61836</v>
      </c>
    </row>
    <row r="38" spans="1:11" x14ac:dyDescent="0.25">
      <c r="B38" s="1" t="s">
        <v>297</v>
      </c>
      <c r="G38" s="191">
        <v>0</v>
      </c>
    </row>
    <row r="39" spans="1:11" x14ac:dyDescent="0.25">
      <c r="B39" s="171" t="s">
        <v>298</v>
      </c>
      <c r="C39" s="111"/>
      <c r="D39" s="111"/>
      <c r="E39" s="111"/>
      <c r="F39" s="111"/>
      <c r="G39" s="204">
        <f ca="1">SUM(G36:G38)</f>
        <v>437286.73637260811</v>
      </c>
      <c r="H39" s="111"/>
      <c r="I39" s="111"/>
      <c r="J39" s="111"/>
      <c r="K39" s="111"/>
    </row>
    <row r="40" spans="1:11" x14ac:dyDescent="0.25">
      <c r="B40" s="1" t="s">
        <v>299</v>
      </c>
      <c r="G40" s="221">
        <f>4054667899/10^7</f>
        <v>405.46678989999998</v>
      </c>
    </row>
    <row r="41" spans="1:11" x14ac:dyDescent="0.25">
      <c r="B41" s="3" t="s">
        <v>300</v>
      </c>
      <c r="C41" s="104"/>
      <c r="D41" s="104"/>
      <c r="E41" s="104"/>
      <c r="F41" s="104"/>
      <c r="G41" s="222">
        <f ca="1">G39/G40</f>
        <v>1078.4773186490954</v>
      </c>
      <c r="H41" s="104"/>
      <c r="I41" s="104"/>
      <c r="J41" s="104"/>
      <c r="K41" s="104"/>
    </row>
    <row r="43" spans="1:11" x14ac:dyDescent="0.25">
      <c r="A43" s="89" t="s">
        <v>25</v>
      </c>
      <c r="B43" s="109" t="s">
        <v>301</v>
      </c>
      <c r="C43" s="109"/>
      <c r="D43" s="109"/>
      <c r="E43" s="109"/>
      <c r="F43" s="109"/>
      <c r="G43" s="109"/>
      <c r="H43" s="109"/>
      <c r="I43" s="109"/>
      <c r="J43" s="109"/>
      <c r="K43" s="109"/>
    </row>
    <row r="45" spans="1:11" x14ac:dyDescent="0.25">
      <c r="B45" s="10"/>
      <c r="C45" s="392" t="s">
        <v>302</v>
      </c>
      <c r="D45" s="392"/>
      <c r="E45" s="392"/>
      <c r="F45" s="392"/>
      <c r="G45" s="392"/>
      <c r="H45" s="392"/>
    </row>
    <row r="46" spans="1:11" x14ac:dyDescent="0.25">
      <c r="B46" s="391" t="s">
        <v>216</v>
      </c>
      <c r="C46" s="238">
        <f ca="1">G41</f>
        <v>1078.4773186490954</v>
      </c>
      <c r="D46" s="236">
        <v>0.02</v>
      </c>
      <c r="E46" s="236">
        <f>D46+1%</f>
        <v>0.03</v>
      </c>
      <c r="F46" s="237">
        <f t="shared" ref="F46:H46" si="4">E46+1%</f>
        <v>0.04</v>
      </c>
      <c r="G46" s="236">
        <f t="shared" si="4"/>
        <v>0.05</v>
      </c>
      <c r="H46" s="239">
        <f t="shared" si="4"/>
        <v>6.0000000000000005E-2</v>
      </c>
    </row>
    <row r="47" spans="1:11" x14ac:dyDescent="0.25">
      <c r="B47" s="391"/>
      <c r="C47" s="240">
        <f t="shared" ref="C47:C49" si="5">C48+1%</f>
        <v>0.12999999999999998</v>
      </c>
      <c r="D47" s="223">
        <f t="dataTable" ref="D47:H51" dt2D="1" dtr="1" r1="E19" r2="E18" ca="1"/>
        <v>779.94916531275135</v>
      </c>
      <c r="E47" s="232">
        <v>821.90808571558489</v>
      </c>
      <c r="F47" s="224">
        <v>873.19121065238164</v>
      </c>
      <c r="G47" s="232">
        <v>937.29511682337738</v>
      </c>
      <c r="H47" s="225">
        <v>1019.7144247575147</v>
      </c>
    </row>
    <row r="48" spans="1:11" x14ac:dyDescent="0.25">
      <c r="B48" s="391"/>
      <c r="C48" s="240">
        <f t="shared" si="5"/>
        <v>0.11999999999999998</v>
      </c>
      <c r="D48" s="234">
        <v>839.43515339854207</v>
      </c>
      <c r="E48" s="223">
        <v>892.29891740487949</v>
      </c>
      <c r="F48" s="224">
        <v>958.37862241280152</v>
      </c>
      <c r="G48" s="225">
        <v>1043.3382431372727</v>
      </c>
      <c r="H48" s="235">
        <v>1156.6177374365677</v>
      </c>
    </row>
    <row r="49" spans="1:24" x14ac:dyDescent="0.25">
      <c r="B49" s="391"/>
      <c r="C49" s="241">
        <f t="shared" si="5"/>
        <v>0.10999999999999999</v>
      </c>
      <c r="D49" s="226">
        <v>912.14655077684608</v>
      </c>
      <c r="E49" s="226">
        <v>980.28150009251488</v>
      </c>
      <c r="F49" s="227">
        <v>1067.8835777840893</v>
      </c>
      <c r="G49" s="228">
        <v>1184.6863480395218</v>
      </c>
      <c r="H49" s="228">
        <v>1348.2102263971271</v>
      </c>
    </row>
    <row r="50" spans="1:24" x14ac:dyDescent="0.25">
      <c r="B50" s="391"/>
      <c r="C50" s="240">
        <f>C51+1%</f>
        <v>9.9999999999999992E-2</v>
      </c>
      <c r="D50" s="234">
        <v>1003.043871082417</v>
      </c>
      <c r="E50" s="229">
        <v>1093.395633531348</v>
      </c>
      <c r="F50" s="230">
        <v>1213.8646501299229</v>
      </c>
      <c r="G50" s="231">
        <v>1382.5212733679277</v>
      </c>
      <c r="H50" s="235">
        <v>1635.5062082249356</v>
      </c>
    </row>
    <row r="51" spans="1:24" x14ac:dyDescent="0.25">
      <c r="B51" s="391"/>
      <c r="C51" s="242">
        <v>0.09</v>
      </c>
      <c r="D51" s="229">
        <v>1119.9222823158282</v>
      </c>
      <c r="E51" s="233">
        <v>1244.2076971346426</v>
      </c>
      <c r="F51" s="230">
        <v>1418.2072778809829</v>
      </c>
      <c r="G51" s="233">
        <v>1679.2066490004934</v>
      </c>
      <c r="H51" s="231">
        <v>2114.2056008663449</v>
      </c>
    </row>
    <row r="53" spans="1:24" x14ac:dyDescent="0.25">
      <c r="A53" s="89" t="s">
        <v>25</v>
      </c>
      <c r="B53" s="109" t="s">
        <v>343</v>
      </c>
      <c r="C53" s="108"/>
      <c r="D53" s="108"/>
      <c r="E53" s="108"/>
      <c r="F53" s="108"/>
      <c r="G53" s="108"/>
      <c r="H53" s="108"/>
      <c r="J53" s="109" t="s">
        <v>353</v>
      </c>
      <c r="K53" s="108"/>
      <c r="L53" s="108"/>
      <c r="M53" s="108"/>
      <c r="N53" s="108"/>
      <c r="O53" s="108"/>
      <c r="P53" s="108"/>
      <c r="R53" s="109" t="s">
        <v>356</v>
      </c>
      <c r="S53" s="108"/>
      <c r="T53" s="108"/>
      <c r="U53" s="108"/>
      <c r="V53" s="108"/>
      <c r="W53" s="108"/>
      <c r="X53" s="108"/>
    </row>
    <row r="55" spans="1:24" x14ac:dyDescent="0.25">
      <c r="B55" s="10"/>
      <c r="C55" s="392" t="s">
        <v>302</v>
      </c>
      <c r="D55" s="392"/>
      <c r="E55" s="392"/>
      <c r="F55" s="392"/>
      <c r="G55" s="392"/>
      <c r="H55" s="392"/>
      <c r="J55" s="10"/>
      <c r="K55" s="392" t="s">
        <v>302</v>
      </c>
      <c r="L55" s="392"/>
      <c r="M55" s="392"/>
      <c r="N55" s="392"/>
      <c r="O55" s="392"/>
      <c r="P55" s="392"/>
      <c r="R55" s="10"/>
      <c r="S55" s="392" t="s">
        <v>302</v>
      </c>
      <c r="T55" s="392"/>
      <c r="U55" s="392"/>
      <c r="V55" s="392"/>
      <c r="W55" s="392"/>
      <c r="X55" s="392"/>
    </row>
    <row r="56" spans="1:24" ht="13.2" customHeight="1" x14ac:dyDescent="0.25">
      <c r="B56" s="391" t="s">
        <v>216</v>
      </c>
      <c r="C56" s="238">
        <f>G51</f>
        <v>1679.2066490004934</v>
      </c>
      <c r="D56" s="236">
        <v>0.02</v>
      </c>
      <c r="E56" s="236">
        <f>D56+1%</f>
        <v>0.03</v>
      </c>
      <c r="F56" s="237">
        <f t="shared" ref="F56" si="6">E56+1%</f>
        <v>0.04</v>
      </c>
      <c r="G56" s="236">
        <f t="shared" ref="G56" si="7">F56+1%</f>
        <v>0.05</v>
      </c>
      <c r="H56" s="239">
        <f t="shared" ref="H56" si="8">G56+1%</f>
        <v>6.0000000000000005E-2</v>
      </c>
      <c r="J56" s="391" t="s">
        <v>216</v>
      </c>
      <c r="K56" s="238">
        <f>O51</f>
        <v>0</v>
      </c>
      <c r="L56" s="236">
        <v>0.02</v>
      </c>
      <c r="M56" s="236">
        <f>L56+1%</f>
        <v>0.03</v>
      </c>
      <c r="N56" s="237">
        <f t="shared" ref="N56" si="9">M56+1%</f>
        <v>0.04</v>
      </c>
      <c r="O56" s="236">
        <f t="shared" ref="O56" si="10">N56+1%</f>
        <v>0.05</v>
      </c>
      <c r="P56" s="239">
        <f t="shared" ref="P56" si="11">O56+1%</f>
        <v>6.0000000000000005E-2</v>
      </c>
      <c r="R56" s="391" t="s">
        <v>216</v>
      </c>
      <c r="S56" s="238">
        <f>W51</f>
        <v>0</v>
      </c>
      <c r="T56" s="236">
        <v>0.02</v>
      </c>
      <c r="U56" s="236">
        <f>T56+1%</f>
        <v>0.03</v>
      </c>
      <c r="V56" s="237">
        <f t="shared" ref="V56" si="12">U56+1%</f>
        <v>0.04</v>
      </c>
      <c r="W56" s="236">
        <f t="shared" ref="W56" si="13">V56+1%</f>
        <v>0.05</v>
      </c>
      <c r="X56" s="239">
        <f t="shared" ref="X56" si="14">W56+1%</f>
        <v>6.0000000000000005E-2</v>
      </c>
    </row>
    <row r="57" spans="1:24" x14ac:dyDescent="0.25">
      <c r="B57" s="391"/>
      <c r="C57" s="240">
        <f t="shared" ref="C57:C59" si="15">C58+1%</f>
        <v>0.12999999999999998</v>
      </c>
      <c r="D57" s="223">
        <v>779.94916531275135</v>
      </c>
      <c r="E57" s="232">
        <v>821.90808571558489</v>
      </c>
      <c r="F57" s="224">
        <v>873.19121065238164</v>
      </c>
      <c r="G57" s="232">
        <v>937.29511682337738</v>
      </c>
      <c r="H57" s="225">
        <v>1019.7144247575147</v>
      </c>
      <c r="J57" s="391"/>
      <c r="K57" s="240">
        <f t="shared" ref="K57:K59" si="16">K58+1%</f>
        <v>0.12999999999999998</v>
      </c>
      <c r="L57" s="223">
        <v>888.94210705713556</v>
      </c>
      <c r="M57" s="232">
        <v>940.04881614778435</v>
      </c>
      <c r="N57" s="224">
        <v>1002.5125717030219</v>
      </c>
      <c r="O57" s="232">
        <v>1080.5922661470686</v>
      </c>
      <c r="P57" s="225">
        <v>1180.9804447179861</v>
      </c>
      <c r="R57" s="391"/>
      <c r="S57" s="240">
        <f t="shared" ref="S57:S59" si="17">S58+1%</f>
        <v>0.12999999999999998</v>
      </c>
      <c r="T57" s="223">
        <v>674.21001513959914</v>
      </c>
      <c r="U57" s="232">
        <v>707.31906485276488</v>
      </c>
      <c r="V57" s="224">
        <v>747.78568116885629</v>
      </c>
      <c r="W57" s="232">
        <v>798.36895156397043</v>
      </c>
      <c r="X57" s="225">
        <v>863.40458492911739</v>
      </c>
    </row>
    <row r="58" spans="1:24" x14ac:dyDescent="0.25">
      <c r="B58" s="391"/>
      <c r="C58" s="240">
        <f t="shared" si="15"/>
        <v>0.11999999999999998</v>
      </c>
      <c r="D58" s="234">
        <v>839.43515339854207</v>
      </c>
      <c r="E58" s="223">
        <v>892.29891740487949</v>
      </c>
      <c r="F58" s="224">
        <v>958.37862241280152</v>
      </c>
      <c r="G58" s="225">
        <v>1043.3382431372727</v>
      </c>
      <c r="H58" s="235">
        <v>1156.6177374365677</v>
      </c>
      <c r="J58" s="391"/>
      <c r="K58" s="240">
        <f t="shared" si="16"/>
        <v>0.11999999999999998</v>
      </c>
      <c r="L58" s="234">
        <v>961.0707752177575</v>
      </c>
      <c r="M58" s="223">
        <v>1025.4597771885078</v>
      </c>
      <c r="N58" s="224">
        <v>1105.9460296519455</v>
      </c>
      <c r="O58" s="225">
        <v>1209.4283542477945</v>
      </c>
      <c r="P58" s="235">
        <v>1347.4047870422594</v>
      </c>
      <c r="R58" s="391"/>
      <c r="S58" s="240">
        <f t="shared" si="17"/>
        <v>0.11999999999999998</v>
      </c>
      <c r="T58" s="234">
        <v>721.45959064255464</v>
      </c>
      <c r="U58" s="223">
        <v>763.17346158363557</v>
      </c>
      <c r="V58" s="224">
        <v>815.31580025998676</v>
      </c>
      <c r="W58" s="225">
        <v>882.35594998672423</v>
      </c>
      <c r="X58" s="235">
        <v>971.74281628904066</v>
      </c>
    </row>
    <row r="59" spans="1:24" x14ac:dyDescent="0.25">
      <c r="B59" s="391"/>
      <c r="C59" s="241">
        <f t="shared" si="15"/>
        <v>0.10999999999999999</v>
      </c>
      <c r="D59" s="226">
        <v>912.14655077684608</v>
      </c>
      <c r="E59" s="226">
        <v>980.28150009251488</v>
      </c>
      <c r="F59" s="227">
        <v>1067.8835777840893</v>
      </c>
      <c r="G59" s="228">
        <v>1184.6863480395218</v>
      </c>
      <c r="H59" s="228">
        <v>1348.2102263971271</v>
      </c>
      <c r="J59" s="391"/>
      <c r="K59" s="241">
        <f t="shared" si="16"/>
        <v>0.10999999999999999</v>
      </c>
      <c r="L59" s="226">
        <v>1049.2992473974523</v>
      </c>
      <c r="M59" s="226">
        <v>1132.2888238725141</v>
      </c>
      <c r="N59" s="227">
        <v>1238.9897079118796</v>
      </c>
      <c r="O59" s="228">
        <v>1381.2575532977003</v>
      </c>
      <c r="P59" s="228">
        <v>1580.4325368378488</v>
      </c>
      <c r="R59" s="391"/>
      <c r="S59" s="241">
        <f t="shared" si="17"/>
        <v>0.10999999999999999</v>
      </c>
      <c r="T59" s="226">
        <v>779.15361727246477</v>
      </c>
      <c r="U59" s="226">
        <v>832.91771326060075</v>
      </c>
      <c r="V59" s="227">
        <v>902.04297953106163</v>
      </c>
      <c r="W59" s="228">
        <v>994.21000122500902</v>
      </c>
      <c r="X59" s="228">
        <v>1123.243831596536</v>
      </c>
    </row>
    <row r="60" spans="1:24" x14ac:dyDescent="0.25">
      <c r="B60" s="391"/>
      <c r="C60" s="240">
        <f>C61+1%</f>
        <v>9.9999999999999992E-2</v>
      </c>
      <c r="D60" s="234">
        <v>1003.043871082417</v>
      </c>
      <c r="E60" s="229">
        <v>1093.395633531348</v>
      </c>
      <c r="F60" s="230">
        <v>1213.8646501299229</v>
      </c>
      <c r="G60" s="231">
        <v>1382.5212733679277</v>
      </c>
      <c r="H60" s="235">
        <v>1635.5062082249356</v>
      </c>
      <c r="J60" s="391"/>
      <c r="K60" s="240">
        <f>K61+1%</f>
        <v>9.9999999999999992E-2</v>
      </c>
      <c r="L60" s="234">
        <v>1159.6691593993496</v>
      </c>
      <c r="M60" s="229">
        <v>1269.719208232186</v>
      </c>
      <c r="N60" s="230">
        <v>1416.4526066759679</v>
      </c>
      <c r="O60" s="231">
        <v>1621.8793644972625</v>
      </c>
      <c r="P60" s="235">
        <v>1930.0195012292045</v>
      </c>
      <c r="R60" s="391"/>
      <c r="S60" s="240">
        <f>S61+1%</f>
        <v>9.9999999999999992E-2</v>
      </c>
      <c r="T60" s="234">
        <v>851.20668810204711</v>
      </c>
      <c r="U60" s="229">
        <v>922.50168248878958</v>
      </c>
      <c r="V60" s="230">
        <v>1017.5616750044464</v>
      </c>
      <c r="W60" s="231">
        <v>1150.6456645263659</v>
      </c>
      <c r="X60" s="235">
        <v>1350.2716488092449</v>
      </c>
    </row>
    <row r="61" spans="1:24" x14ac:dyDescent="0.25">
      <c r="B61" s="391"/>
      <c r="C61" s="242">
        <v>0.09</v>
      </c>
      <c r="D61" s="229">
        <v>1119.9222823158282</v>
      </c>
      <c r="E61" s="233">
        <v>1244.2076971346426</v>
      </c>
      <c r="F61" s="230">
        <v>1418.2072778809829</v>
      </c>
      <c r="G61" s="233">
        <v>1679.2066490004934</v>
      </c>
      <c r="H61" s="231">
        <v>2114.2056008663449</v>
      </c>
      <c r="J61" s="391"/>
      <c r="K61" s="242">
        <v>0.09</v>
      </c>
      <c r="L61" s="229">
        <v>1301.6747879734107</v>
      </c>
      <c r="M61" s="233">
        <v>1453.0566271240391</v>
      </c>
      <c r="N61" s="230">
        <v>1664.9912019349185</v>
      </c>
      <c r="O61" s="233">
        <v>1982.8930641512381</v>
      </c>
      <c r="P61" s="231">
        <v>2512.7295011784372</v>
      </c>
      <c r="R61" s="391"/>
      <c r="S61" s="242">
        <v>0.09</v>
      </c>
      <c r="T61" s="229">
        <v>943.77018968401865</v>
      </c>
      <c r="U61" s="233">
        <v>1041.8416352396018</v>
      </c>
      <c r="V61" s="230">
        <v>1179.1416590174188</v>
      </c>
      <c r="W61" s="233">
        <v>1385.0916946841437</v>
      </c>
      <c r="X61" s="231">
        <v>1728.3417541286858</v>
      </c>
    </row>
    <row r="63" spans="1:24" x14ac:dyDescent="0.25">
      <c r="A63" s="89" t="s">
        <v>25</v>
      </c>
      <c r="B63" s="109" t="s">
        <v>344</v>
      </c>
      <c r="C63" s="108"/>
      <c r="D63" s="108"/>
      <c r="E63" s="108"/>
      <c r="F63" s="108"/>
      <c r="G63" s="108"/>
      <c r="H63" s="108"/>
      <c r="J63" s="109" t="s">
        <v>354</v>
      </c>
      <c r="K63" s="108"/>
      <c r="L63" s="108"/>
      <c r="M63" s="108"/>
      <c r="N63" s="108"/>
      <c r="O63" s="108"/>
      <c r="P63" s="108"/>
      <c r="R63" s="109" t="s">
        <v>357</v>
      </c>
      <c r="S63" s="108"/>
      <c r="T63" s="108"/>
      <c r="U63" s="108"/>
      <c r="V63" s="108"/>
      <c r="W63" s="108"/>
      <c r="X63" s="108"/>
    </row>
    <row r="65" spans="1:24" x14ac:dyDescent="0.25">
      <c r="B65" s="10"/>
      <c r="C65" s="392" t="s">
        <v>302</v>
      </c>
      <c r="D65" s="392"/>
      <c r="E65" s="392"/>
      <c r="F65" s="392"/>
      <c r="G65" s="392"/>
      <c r="H65" s="392"/>
      <c r="J65" s="10"/>
      <c r="K65" s="392" t="s">
        <v>302</v>
      </c>
      <c r="L65" s="392"/>
      <c r="M65" s="392"/>
      <c r="N65" s="392"/>
      <c r="O65" s="392"/>
      <c r="P65" s="392"/>
      <c r="R65" s="10"/>
      <c r="S65" s="392" t="s">
        <v>302</v>
      </c>
      <c r="T65" s="392"/>
      <c r="U65" s="392"/>
      <c r="V65" s="392"/>
      <c r="W65" s="392"/>
      <c r="X65" s="392"/>
    </row>
    <row r="66" spans="1:24" ht="13.2" customHeight="1" x14ac:dyDescent="0.25">
      <c r="B66" s="391" t="s">
        <v>216</v>
      </c>
      <c r="C66" s="238">
        <f>G61</f>
        <v>1679.2066490004934</v>
      </c>
      <c r="D66" s="236">
        <v>0.02</v>
      </c>
      <c r="E66" s="236">
        <f>D66+1%</f>
        <v>0.03</v>
      </c>
      <c r="F66" s="237">
        <f t="shared" ref="F66" si="18">E66+1%</f>
        <v>0.04</v>
      </c>
      <c r="G66" s="236">
        <f t="shared" ref="G66" si="19">F66+1%</f>
        <v>0.05</v>
      </c>
      <c r="H66" s="239">
        <f t="shared" ref="H66" si="20">G66+1%</f>
        <v>6.0000000000000005E-2</v>
      </c>
      <c r="J66" s="391" t="s">
        <v>216</v>
      </c>
      <c r="K66" s="238">
        <f>O61</f>
        <v>1982.8930641512381</v>
      </c>
      <c r="L66" s="236">
        <v>0.02</v>
      </c>
      <c r="M66" s="236">
        <f>L66+1%</f>
        <v>0.03</v>
      </c>
      <c r="N66" s="237">
        <f t="shared" ref="N66" si="21">M66+1%</f>
        <v>0.04</v>
      </c>
      <c r="O66" s="236">
        <f t="shared" ref="O66" si="22">N66+1%</f>
        <v>0.05</v>
      </c>
      <c r="P66" s="239">
        <f t="shared" ref="P66" si="23">O66+1%</f>
        <v>6.0000000000000005E-2</v>
      </c>
      <c r="R66" s="391" t="s">
        <v>216</v>
      </c>
      <c r="S66" s="238">
        <f>W61</f>
        <v>1385.0916946841437</v>
      </c>
      <c r="T66" s="236">
        <v>0.02</v>
      </c>
      <c r="U66" s="236">
        <f>T66+1%</f>
        <v>0.03</v>
      </c>
      <c r="V66" s="237">
        <f t="shared" ref="V66" si="24">U66+1%</f>
        <v>0.04</v>
      </c>
      <c r="W66" s="236">
        <f t="shared" ref="W66" si="25">V66+1%</f>
        <v>0.05</v>
      </c>
      <c r="X66" s="239">
        <f t="shared" ref="X66" si="26">W66+1%</f>
        <v>6.0000000000000005E-2</v>
      </c>
    </row>
    <row r="67" spans="1:24" x14ac:dyDescent="0.25">
      <c r="B67" s="391"/>
      <c r="C67" s="240">
        <f t="shared" ref="C67:C69" si="27">C68+1%</f>
        <v>0.12999999999999998</v>
      </c>
      <c r="D67" s="223">
        <v>810.3352326686603</v>
      </c>
      <c r="E67" s="232">
        <v>854.78920584031255</v>
      </c>
      <c r="F67" s="224">
        <v>909.12183971677655</v>
      </c>
      <c r="G67" s="232">
        <v>977.03763206235624</v>
      </c>
      <c r="H67" s="225">
        <v>1064.3579365066732</v>
      </c>
      <c r="J67" s="391"/>
      <c r="K67" s="240">
        <f t="shared" ref="K67:K69" si="28">K68+1%</f>
        <v>0.12999999999999998</v>
      </c>
      <c r="L67" s="223">
        <v>919.32817441304462</v>
      </c>
      <c r="M67" s="232">
        <v>972.92993627251201</v>
      </c>
      <c r="N67" s="224">
        <v>1038.443200767417</v>
      </c>
      <c r="O67" s="232">
        <v>1120.3347813860478</v>
      </c>
      <c r="P67" s="225">
        <v>1225.6239564671448</v>
      </c>
      <c r="R67" s="391"/>
      <c r="S67" s="240">
        <f t="shared" ref="S67:S69" si="29">S68+1%</f>
        <v>0.12999999999999998</v>
      </c>
      <c r="T67" s="223">
        <v>704.59608249550809</v>
      </c>
      <c r="U67" s="232">
        <v>740.20018497749254</v>
      </c>
      <c r="V67" s="224">
        <v>783.71631023325119</v>
      </c>
      <c r="W67" s="232">
        <v>838.11146680294939</v>
      </c>
      <c r="X67" s="225">
        <v>908.0480966782759</v>
      </c>
    </row>
    <row r="68" spans="1:24" x14ac:dyDescent="0.25">
      <c r="B68" s="391"/>
      <c r="C68" s="240">
        <f t="shared" si="27"/>
        <v>0.11999999999999998</v>
      </c>
      <c r="D68" s="234">
        <v>873.27992586430344</v>
      </c>
      <c r="E68" s="223">
        <v>929.2871902154518</v>
      </c>
      <c r="F68" s="224">
        <v>999.29627065438694</v>
      </c>
      <c r="G68" s="225">
        <v>1089.3079455044467</v>
      </c>
      <c r="H68" s="235">
        <v>1209.3235119711931</v>
      </c>
      <c r="J68" s="391"/>
      <c r="K68" s="240">
        <f t="shared" si="28"/>
        <v>0.11999999999999998</v>
      </c>
      <c r="L68" s="234">
        <v>994.91554768351898</v>
      </c>
      <c r="M68" s="223">
        <v>1062.44804999908</v>
      </c>
      <c r="N68" s="224">
        <v>1146.8636778935313</v>
      </c>
      <c r="O68" s="225">
        <v>1255.3980566149687</v>
      </c>
      <c r="P68" s="235">
        <v>1400.1105615768852</v>
      </c>
      <c r="R68" s="391"/>
      <c r="S68" s="240">
        <f t="shared" si="29"/>
        <v>0.11999999999999998</v>
      </c>
      <c r="T68" s="234">
        <v>755.30436310831624</v>
      </c>
      <c r="U68" s="223">
        <v>800.16173439420766</v>
      </c>
      <c r="V68" s="224">
        <v>856.2334485015723</v>
      </c>
      <c r="W68" s="225">
        <v>928.32565235389825</v>
      </c>
      <c r="X68" s="235">
        <v>1024.4485908236661</v>
      </c>
    </row>
    <row r="69" spans="1:24" x14ac:dyDescent="0.25">
      <c r="B69" s="391"/>
      <c r="C69" s="241">
        <f t="shared" si="27"/>
        <v>0.10999999999999999</v>
      </c>
      <c r="D69" s="226">
        <v>950.23433228158297</v>
      </c>
      <c r="E69" s="226">
        <v>1022.420870444421</v>
      </c>
      <c r="F69" s="227">
        <v>1115.2321337966416</v>
      </c>
      <c r="G69" s="228">
        <v>1238.9804849329353</v>
      </c>
      <c r="H69" s="228">
        <v>1412.2281765237472</v>
      </c>
      <c r="J69" s="391"/>
      <c r="K69" s="241">
        <f t="shared" si="28"/>
        <v>0.10999999999999999</v>
      </c>
      <c r="L69" s="226">
        <v>1087.3870289021893</v>
      </c>
      <c r="M69" s="226">
        <v>1174.4281942244204</v>
      </c>
      <c r="N69" s="227">
        <v>1286.3382639244321</v>
      </c>
      <c r="O69" s="228">
        <v>1435.5516901911142</v>
      </c>
      <c r="P69" s="228">
        <v>1644.4504869644688</v>
      </c>
      <c r="R69" s="391"/>
      <c r="S69" s="241">
        <f t="shared" si="29"/>
        <v>0.10999999999999999</v>
      </c>
      <c r="T69" s="226">
        <v>817.24139877720154</v>
      </c>
      <c r="U69" s="226">
        <v>875.05708361250686</v>
      </c>
      <c r="V69" s="227">
        <v>949.39153554361383</v>
      </c>
      <c r="W69" s="228">
        <v>1048.5041381184228</v>
      </c>
      <c r="X69" s="228">
        <v>1187.2617817231555</v>
      </c>
    </row>
    <row r="70" spans="1:24" x14ac:dyDescent="0.25">
      <c r="B70" s="391"/>
      <c r="C70" s="240">
        <f>C71+1%</f>
        <v>9.9999999999999992E-2</v>
      </c>
      <c r="D70" s="234">
        <v>1046.4538539998746</v>
      </c>
      <c r="E70" s="229">
        <v>1142.178309857062</v>
      </c>
      <c r="F70" s="230">
        <v>1269.8109176666453</v>
      </c>
      <c r="G70" s="231">
        <v>1448.4965686000619</v>
      </c>
      <c r="H70" s="235">
        <v>1716.5250450001868</v>
      </c>
      <c r="J70" s="391"/>
      <c r="K70" s="240">
        <f>K71+1%</f>
        <v>9.9999999999999992E-2</v>
      </c>
      <c r="L70" s="234">
        <v>1203.0791423168073</v>
      </c>
      <c r="M70" s="229">
        <v>1318.5018845579</v>
      </c>
      <c r="N70" s="230">
        <v>1472.3988742126903</v>
      </c>
      <c r="O70" s="231">
        <v>1687.8546597293969</v>
      </c>
      <c r="P70" s="235">
        <v>2011.0383380044566</v>
      </c>
      <c r="R70" s="391"/>
      <c r="S70" s="240">
        <f>S71+1%</f>
        <v>9.9999999999999992E-2</v>
      </c>
      <c r="T70" s="234">
        <v>894.61667101950468</v>
      </c>
      <c r="U70" s="229">
        <v>971.28435881450355</v>
      </c>
      <c r="V70" s="230">
        <v>1073.5079425411686</v>
      </c>
      <c r="W70" s="231">
        <v>1216.6209597584998</v>
      </c>
      <c r="X70" s="235">
        <v>1431.2904855844968</v>
      </c>
    </row>
    <row r="71" spans="1:24" x14ac:dyDescent="0.25">
      <c r="B71" s="391"/>
      <c r="C71" s="242">
        <v>0.09</v>
      </c>
      <c r="D71" s="229">
        <v>1170.1971035525648</v>
      </c>
      <c r="E71" s="233">
        <v>1301.8730485706865</v>
      </c>
      <c r="F71" s="230">
        <v>1486.2193715960568</v>
      </c>
      <c r="G71" s="233">
        <v>1762.7388561341122</v>
      </c>
      <c r="H71" s="231">
        <v>2223.6046636975384</v>
      </c>
      <c r="J71" s="391"/>
      <c r="K71" s="242">
        <v>0.09</v>
      </c>
      <c r="L71" s="229">
        <v>1351.9496092101481</v>
      </c>
      <c r="M71" s="233">
        <v>1510.7219785600832</v>
      </c>
      <c r="N71" s="230">
        <v>1733.0032956499931</v>
      </c>
      <c r="O71" s="233">
        <v>2066.425271284857</v>
      </c>
      <c r="P71" s="231">
        <v>2622.1285640096312</v>
      </c>
      <c r="R71" s="391"/>
      <c r="S71" s="242">
        <v>0.09</v>
      </c>
      <c r="T71" s="229">
        <v>994.04501092075554</v>
      </c>
      <c r="U71" s="233">
        <v>1099.506986675646</v>
      </c>
      <c r="V71" s="230">
        <v>1247.1537527324924</v>
      </c>
      <c r="W71" s="233">
        <v>1468.6239018177625</v>
      </c>
      <c r="X71" s="231">
        <v>1837.7408169598789</v>
      </c>
    </row>
    <row r="73" spans="1:24" x14ac:dyDescent="0.25">
      <c r="A73" s="89" t="s">
        <v>25</v>
      </c>
      <c r="B73" s="109" t="s">
        <v>345</v>
      </c>
      <c r="C73" s="108"/>
      <c r="D73" s="108"/>
      <c r="E73" s="108"/>
      <c r="F73" s="108"/>
      <c r="G73" s="108"/>
      <c r="H73" s="108"/>
      <c r="J73" s="109" t="s">
        <v>355</v>
      </c>
      <c r="K73" s="108"/>
      <c r="L73" s="108"/>
      <c r="M73" s="108"/>
      <c r="N73" s="108"/>
      <c r="O73" s="108"/>
      <c r="P73" s="108"/>
      <c r="R73" s="109" t="s">
        <v>358</v>
      </c>
      <c r="S73" s="108"/>
      <c r="T73" s="108"/>
      <c r="U73" s="108"/>
      <c r="V73" s="108"/>
      <c r="W73" s="108"/>
      <c r="X73" s="108"/>
    </row>
    <row r="75" spans="1:24" x14ac:dyDescent="0.25">
      <c r="B75" s="10"/>
      <c r="C75" s="392" t="s">
        <v>302</v>
      </c>
      <c r="D75" s="392"/>
      <c r="E75" s="392"/>
      <c r="F75" s="392"/>
      <c r="G75" s="392"/>
      <c r="H75" s="392"/>
      <c r="J75" s="10"/>
      <c r="K75" s="392" t="s">
        <v>302</v>
      </c>
      <c r="L75" s="392"/>
      <c r="M75" s="392"/>
      <c r="N75" s="392"/>
      <c r="O75" s="392"/>
      <c r="P75" s="392"/>
      <c r="R75" s="10"/>
      <c r="S75" s="392" t="s">
        <v>302</v>
      </c>
      <c r="T75" s="392"/>
      <c r="U75" s="392"/>
      <c r="V75" s="392"/>
      <c r="W75" s="392"/>
      <c r="X75" s="392"/>
    </row>
    <row r="76" spans="1:24" ht="13.2" customHeight="1" x14ac:dyDescent="0.25">
      <c r="B76" s="391" t="s">
        <v>216</v>
      </c>
      <c r="C76" s="238">
        <f>G71</f>
        <v>1762.7388561341122</v>
      </c>
      <c r="D76" s="236">
        <v>0.02</v>
      </c>
      <c r="E76" s="236">
        <f>D76+1%</f>
        <v>0.03</v>
      </c>
      <c r="F76" s="237">
        <f t="shared" ref="F76" si="30">E76+1%</f>
        <v>0.04</v>
      </c>
      <c r="G76" s="236">
        <f t="shared" ref="G76" si="31">F76+1%</f>
        <v>0.05</v>
      </c>
      <c r="H76" s="239">
        <f t="shared" ref="H76" si="32">G76+1%</f>
        <v>6.0000000000000005E-2</v>
      </c>
      <c r="J76" s="391" t="s">
        <v>216</v>
      </c>
      <c r="K76" s="238">
        <f>O71</f>
        <v>2066.425271284857</v>
      </c>
      <c r="L76" s="236">
        <v>0.02</v>
      </c>
      <c r="M76" s="236">
        <f>L76+1%</f>
        <v>0.03</v>
      </c>
      <c r="N76" s="237">
        <f t="shared" ref="N76" si="33">M76+1%</f>
        <v>0.04</v>
      </c>
      <c r="O76" s="236">
        <f t="shared" ref="O76" si="34">N76+1%</f>
        <v>0.05</v>
      </c>
      <c r="P76" s="239">
        <f t="shared" ref="P76" si="35">O76+1%</f>
        <v>6.0000000000000005E-2</v>
      </c>
      <c r="R76" s="391" t="s">
        <v>216</v>
      </c>
      <c r="S76" s="238">
        <f>W71</f>
        <v>1468.6239018177625</v>
      </c>
      <c r="T76" s="236">
        <v>0.02</v>
      </c>
      <c r="U76" s="236">
        <f>T76+1%</f>
        <v>0.03</v>
      </c>
      <c r="V76" s="237">
        <f t="shared" ref="V76" si="36">U76+1%</f>
        <v>0.04</v>
      </c>
      <c r="W76" s="236">
        <f t="shared" ref="W76" si="37">V76+1%</f>
        <v>0.05</v>
      </c>
      <c r="X76" s="239">
        <f t="shared" ref="X76" si="38">W76+1%</f>
        <v>6.0000000000000005E-2</v>
      </c>
    </row>
    <row r="77" spans="1:24" x14ac:dyDescent="0.25">
      <c r="B77" s="391"/>
      <c r="C77" s="240">
        <f t="shared" ref="C77:C79" si="39">C78+1%</f>
        <v>0.12999999999999998</v>
      </c>
      <c r="D77" s="223">
        <v>836.9640318748236</v>
      </c>
      <c r="E77" s="232">
        <v>883.56930756185329</v>
      </c>
      <c r="F77" s="224">
        <v>940.53131117933401</v>
      </c>
      <c r="G77" s="232">
        <v>1011.7338157011852</v>
      </c>
      <c r="H77" s="225">
        <v>1103.2798929435651</v>
      </c>
      <c r="J77" s="391"/>
      <c r="K77" s="240">
        <f t="shared" ref="K77:K79" si="40">K78+1%</f>
        <v>0.12999999999999998</v>
      </c>
      <c r="L77" s="223">
        <v>945.95697361920793</v>
      </c>
      <c r="M77" s="232">
        <v>1001.7100379940528</v>
      </c>
      <c r="N77" s="224">
        <v>1069.8526722299744</v>
      </c>
      <c r="O77" s="232">
        <v>1155.0309650248764</v>
      </c>
      <c r="P77" s="225">
        <v>1264.5459129040362</v>
      </c>
      <c r="R77" s="391"/>
      <c r="S77" s="240">
        <f t="shared" ref="S77:S79" si="41">S78+1%</f>
        <v>0.12999999999999998</v>
      </c>
      <c r="T77" s="223">
        <v>731.22488170167128</v>
      </c>
      <c r="U77" s="232">
        <v>768.98028669903306</v>
      </c>
      <c r="V77" s="224">
        <v>815.12578169580866</v>
      </c>
      <c r="W77" s="232">
        <v>872.80765044177815</v>
      </c>
      <c r="X77" s="225">
        <v>946.97005311516727</v>
      </c>
    </row>
    <row r="78" spans="1:24" x14ac:dyDescent="0.25">
      <c r="B78" s="391"/>
      <c r="C78" s="240">
        <f t="shared" si="39"/>
        <v>0.11999999999999998</v>
      </c>
      <c r="D78" s="234">
        <v>902.8989978793519</v>
      </c>
      <c r="E78" s="223">
        <v>961.61667392334903</v>
      </c>
      <c r="F78" s="224">
        <v>1035.0137689783453</v>
      </c>
      <c r="G78" s="225">
        <v>1129.3814626204837</v>
      </c>
      <c r="H78" s="235">
        <v>1255.2050541433348</v>
      </c>
      <c r="J78" s="391"/>
      <c r="K78" s="240">
        <f t="shared" si="40"/>
        <v>0.11999999999999998</v>
      </c>
      <c r="L78" s="234">
        <v>1024.5346196985674</v>
      </c>
      <c r="M78" s="223">
        <v>1094.777533706977</v>
      </c>
      <c r="N78" s="224">
        <v>1182.5811762174894</v>
      </c>
      <c r="O78" s="225">
        <v>1295.4715737310055</v>
      </c>
      <c r="P78" s="235">
        <v>1445.9921037490265</v>
      </c>
      <c r="R78" s="391"/>
      <c r="S78" s="240">
        <f t="shared" si="41"/>
        <v>0.11999999999999998</v>
      </c>
      <c r="T78" s="234">
        <v>784.92343512336424</v>
      </c>
      <c r="U78" s="223">
        <v>832.49121810210477</v>
      </c>
      <c r="V78" s="224">
        <v>891.95094682553042</v>
      </c>
      <c r="W78" s="225">
        <v>968.39916946993492</v>
      </c>
      <c r="X78" s="235">
        <v>1070.3301329958074</v>
      </c>
    </row>
    <row r="79" spans="1:24" x14ac:dyDescent="0.25">
      <c r="B79" s="391"/>
      <c r="C79" s="241">
        <f t="shared" si="39"/>
        <v>0.10999999999999999</v>
      </c>
      <c r="D79" s="226">
        <v>983.52018972154201</v>
      </c>
      <c r="E79" s="226">
        <v>1059.2001182395338</v>
      </c>
      <c r="F79" s="227">
        <v>1156.5028834769516</v>
      </c>
      <c r="G79" s="228">
        <v>1286.239903793509</v>
      </c>
      <c r="H79" s="228">
        <v>1467.871732236689</v>
      </c>
      <c r="J79" s="391"/>
      <c r="K79" s="241">
        <f t="shared" si="40"/>
        <v>0.10999999999999999</v>
      </c>
      <c r="L79" s="226">
        <v>1120.6728863421486</v>
      </c>
      <c r="M79" s="226">
        <v>1211.2074420195331</v>
      </c>
      <c r="N79" s="227">
        <v>1327.6090136047421</v>
      </c>
      <c r="O79" s="228">
        <v>1482.811109051687</v>
      </c>
      <c r="P79" s="228">
        <v>1700.0940426774107</v>
      </c>
      <c r="R79" s="391"/>
      <c r="S79" s="241">
        <f t="shared" si="41"/>
        <v>0.10999999999999999</v>
      </c>
      <c r="T79" s="226">
        <v>850.5272562171607</v>
      </c>
      <c r="U79" s="226">
        <v>911.83633140761958</v>
      </c>
      <c r="V79" s="227">
        <v>990.66228522392396</v>
      </c>
      <c r="W79" s="228">
        <v>1095.7635569789961</v>
      </c>
      <c r="X79" s="228">
        <v>1242.9053374360974</v>
      </c>
    </row>
    <row r="80" spans="1:24" x14ac:dyDescent="0.25">
      <c r="B80" s="391"/>
      <c r="C80" s="240">
        <f>C81+1%</f>
        <v>9.9999999999999992E-2</v>
      </c>
      <c r="D80" s="234">
        <v>1084.3372819722024</v>
      </c>
      <c r="E80" s="229">
        <v>1184.6942205519922</v>
      </c>
      <c r="F80" s="230">
        <v>1318.5034719917119</v>
      </c>
      <c r="G80" s="231">
        <v>1505.8364240073195</v>
      </c>
      <c r="H80" s="235">
        <v>1786.8358520307313</v>
      </c>
      <c r="J80" s="391"/>
      <c r="K80" s="240">
        <f>K81+1%</f>
        <v>9.9999999999999992E-2</v>
      </c>
      <c r="L80" s="234">
        <v>1240.9625702891356</v>
      </c>
      <c r="M80" s="229">
        <v>1361.0177952528302</v>
      </c>
      <c r="N80" s="230">
        <v>1521.0914285377569</v>
      </c>
      <c r="O80" s="231">
        <v>1745.1945151366544</v>
      </c>
      <c r="P80" s="235">
        <v>2081.3491450350002</v>
      </c>
      <c r="R80" s="391"/>
      <c r="S80" s="240">
        <f>S81+1%</f>
        <v>9.9999999999999992E-2</v>
      </c>
      <c r="T80" s="234">
        <v>932.50009899183237</v>
      </c>
      <c r="U80" s="229">
        <v>1013.8002695094335</v>
      </c>
      <c r="V80" s="230">
        <v>1122.2004968662352</v>
      </c>
      <c r="W80" s="231">
        <v>1273.9608151657571</v>
      </c>
      <c r="X80" s="235">
        <v>1501.6012926150406</v>
      </c>
    </row>
    <row r="81" spans="2:24" x14ac:dyDescent="0.25">
      <c r="B81" s="391"/>
      <c r="C81" s="242">
        <v>0.09</v>
      </c>
      <c r="D81" s="229">
        <v>1214.0084939477858</v>
      </c>
      <c r="E81" s="233">
        <v>1352.0567555783814</v>
      </c>
      <c r="F81" s="230">
        <v>1545.3243218612151</v>
      </c>
      <c r="G81" s="233">
        <v>1835.225671285466</v>
      </c>
      <c r="H81" s="231">
        <v>2318.3945869925506</v>
      </c>
      <c r="J81" s="391"/>
      <c r="K81" s="242">
        <v>0.09</v>
      </c>
      <c r="L81" s="229">
        <v>1395.7609996053691</v>
      </c>
      <c r="M81" s="233">
        <v>1560.9056855677779</v>
      </c>
      <c r="N81" s="230">
        <v>1792.1082459151514</v>
      </c>
      <c r="O81" s="233">
        <v>2138.9120864362103</v>
      </c>
      <c r="P81" s="231">
        <v>2716.9184873046429</v>
      </c>
      <c r="R81" s="391"/>
      <c r="S81" s="242">
        <v>0.09</v>
      </c>
      <c r="T81" s="229">
        <v>1037.8564013159764</v>
      </c>
      <c r="U81" s="233">
        <v>1149.6906936833407</v>
      </c>
      <c r="V81" s="230">
        <v>1306.2587029976505</v>
      </c>
      <c r="W81" s="233">
        <v>1541.1107169691159</v>
      </c>
      <c r="X81" s="231">
        <v>1932.5307402548908</v>
      </c>
    </row>
    <row r="84" spans="2:24" x14ac:dyDescent="0.25">
      <c r="B84" s="171" t="s">
        <v>453</v>
      </c>
      <c r="C84" s="171"/>
      <c r="D84" s="224">
        <f>MEDIAN($D$57:$H$61,$D$67:$H$71,$D$77:$H$81)</f>
        <v>1115.2321337966416</v>
      </c>
      <c r="E84" s="16"/>
      <c r="F84" s="16"/>
      <c r="G84" s="16"/>
      <c r="H84" s="16"/>
      <c r="I84" s="16"/>
      <c r="J84" s="171" t="s">
        <v>453</v>
      </c>
      <c r="K84" s="171"/>
      <c r="L84" s="224">
        <f>MEDIAN($L$57:$P$61,$L$67:$P$71,$L$77:$P$81)</f>
        <v>1286.3382639244321</v>
      </c>
      <c r="M84" s="16"/>
      <c r="N84" s="16"/>
      <c r="O84" s="16"/>
      <c r="P84" s="16"/>
      <c r="Q84" s="16"/>
      <c r="R84" s="171" t="s">
        <v>453</v>
      </c>
      <c r="S84" s="171"/>
      <c r="T84" s="224">
        <f>MEDIAN($T$57:$X$61,$T$67:$X$71,$T$77:$X$81)</f>
        <v>946.97005311516727</v>
      </c>
    </row>
    <row r="85" spans="2:24" x14ac:dyDescent="0.25">
      <c r="B85" s="16" t="s">
        <v>413</v>
      </c>
      <c r="C85" s="16"/>
      <c r="D85" s="227">
        <f>PERCENTILE(($D$57:$H$61,$D$67:$H$71,$D$77:$H$81),75%)</f>
        <v>1333.3568491944195</v>
      </c>
      <c r="E85" s="16"/>
      <c r="F85" s="16"/>
      <c r="G85" s="16"/>
      <c r="H85" s="16"/>
      <c r="I85" s="16"/>
      <c r="J85" s="16" t="s">
        <v>413</v>
      </c>
      <c r="K85" s="16"/>
      <c r="L85" s="227">
        <f>PERCENTILE(($L$57:$P$61,$L$67:$P$71,$L$77:$P$81),0.75)</f>
        <v>1540.9985570527674</v>
      </c>
      <c r="M85" s="16"/>
      <c r="N85" s="16"/>
      <c r="O85" s="16"/>
      <c r="P85" s="16"/>
      <c r="Q85" s="16"/>
      <c r="R85" s="16" t="s">
        <v>413</v>
      </c>
      <c r="S85" s="16"/>
      <c r="T85" s="227">
        <f>PERCENTILE(($T$57:$X$61,$T$67:$X$71,$T$77:$X$81),0.75)</f>
        <v>1122.7221642313857</v>
      </c>
    </row>
    <row r="86" spans="2:24" x14ac:dyDescent="0.25">
      <c r="B86" s="109" t="s">
        <v>414</v>
      </c>
      <c r="C86" s="109"/>
      <c r="D86" s="230">
        <f>PERCENTILE(($D$57:$H$61,$D$67:$H$71,$D$77:$H$81),25%)</f>
        <v>969.32715299285269</v>
      </c>
      <c r="E86" s="16"/>
      <c r="F86" s="16"/>
      <c r="G86" s="16"/>
      <c r="H86" s="16"/>
      <c r="I86" s="16"/>
      <c r="J86" s="109" t="s">
        <v>414</v>
      </c>
      <c r="K86" s="109"/>
      <c r="L86" s="230">
        <f>PERCENTILE(($L$57:$P$61,$L$67:$P$71,$L$77:$P$81),0.25)</f>
        <v>1113.1404055189967</v>
      </c>
      <c r="M86" s="16"/>
      <c r="N86" s="16"/>
      <c r="O86" s="16"/>
      <c r="P86" s="16"/>
      <c r="Q86" s="16"/>
      <c r="R86" s="109" t="s">
        <v>414</v>
      </c>
      <c r="S86" s="109"/>
      <c r="T86" s="230">
        <f>PERCENTILE(($T$57:$X$61,$T$67:$X$71,$T$77:$X$81),0.25)</f>
        <v>832.70446568135276</v>
      </c>
    </row>
  </sheetData>
  <mergeCells count="22">
    <mergeCell ref="B46:B51"/>
    <mergeCell ref="C45:H45"/>
    <mergeCell ref="B8:D8"/>
    <mergeCell ref="B9:D9"/>
    <mergeCell ref="B76:B81"/>
    <mergeCell ref="K55:P55"/>
    <mergeCell ref="J56:J61"/>
    <mergeCell ref="K65:P65"/>
    <mergeCell ref="J66:J71"/>
    <mergeCell ref="K75:P75"/>
    <mergeCell ref="J76:J81"/>
    <mergeCell ref="C55:H55"/>
    <mergeCell ref="B56:B61"/>
    <mergeCell ref="C65:H65"/>
    <mergeCell ref="B66:B71"/>
    <mergeCell ref="C75:H75"/>
    <mergeCell ref="R76:R81"/>
    <mergeCell ref="S55:X55"/>
    <mergeCell ref="R56:R61"/>
    <mergeCell ref="S65:X65"/>
    <mergeCell ref="R66:R71"/>
    <mergeCell ref="S75:X75"/>
  </mergeCells>
  <hyperlinks>
    <hyperlink ref="B6" location="Dashboard!A1" display="&lt;-Back to dashboard" xr:uid="{F062D85C-EB45-4F30-96FC-9A66AA255C6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99F9-B230-4756-966C-30D72BA1C5DB}">
  <dimension ref="A2:O23"/>
  <sheetViews>
    <sheetView showGridLines="0" workbookViewId="0">
      <selection activeCell="L20" sqref="L20"/>
    </sheetView>
  </sheetViews>
  <sheetFormatPr defaultRowHeight="13.2" x14ac:dyDescent="0.25"/>
  <cols>
    <col min="1" max="1" width="2.88671875" style="1" customWidth="1"/>
    <col min="2" max="2" width="8.88671875" style="1"/>
    <col min="3" max="3" width="11.5546875" style="1" customWidth="1"/>
    <col min="4" max="4" width="11.77734375" style="1" customWidth="1"/>
    <col min="5" max="5" width="8.21875" style="1" customWidth="1"/>
    <col min="6" max="6" width="4.77734375" style="1" customWidth="1"/>
    <col min="7" max="7" width="12.21875" style="1" bestFit="1" customWidth="1"/>
    <col min="8" max="8" width="15.109375" style="1" customWidth="1"/>
    <col min="9" max="9" width="9.44140625" style="1" customWidth="1"/>
    <col min="10" max="16384" width="8.88671875" style="1"/>
  </cols>
  <sheetData>
    <row r="2" spans="2:15" s="5" customFormat="1" ht="13.8" x14ac:dyDescent="0.25">
      <c r="B2" s="107" t="str">
        <f>Dashboard!C2</f>
        <v>Infosys Ltd.</v>
      </c>
      <c r="C2" s="7"/>
      <c r="D2" s="7"/>
      <c r="E2" s="7"/>
      <c r="F2" s="7"/>
      <c r="G2" s="7"/>
      <c r="H2" s="7"/>
      <c r="I2" s="7"/>
      <c r="J2" s="7"/>
      <c r="K2" s="7"/>
      <c r="L2" s="7"/>
      <c r="M2" s="1"/>
      <c r="N2" s="1"/>
      <c r="O2" s="1"/>
    </row>
    <row r="3" spans="2:15" s="5" customFormat="1" ht="13.8" x14ac:dyDescent="0.25">
      <c r="B3" s="8" t="s">
        <v>216</v>
      </c>
      <c r="C3" s="7"/>
      <c r="D3" s="7"/>
      <c r="E3" s="7"/>
      <c r="F3" s="7"/>
      <c r="G3" s="7"/>
      <c r="H3" s="7"/>
      <c r="I3" s="7"/>
      <c r="J3" s="7"/>
      <c r="K3" s="7"/>
      <c r="L3" s="7"/>
      <c r="M3" s="1"/>
      <c r="N3" s="1"/>
      <c r="O3" s="1"/>
    </row>
    <row r="4" spans="2:15" s="5" customFormat="1" ht="13.8" x14ac:dyDescent="0.25">
      <c r="B4" s="95" t="str">
        <f>Dashboard!C4</f>
        <v>(In ₹ Crore, except equity share and per equity share data)</v>
      </c>
      <c r="C4" s="7"/>
      <c r="D4" s="7"/>
      <c r="E4" s="7"/>
      <c r="F4" s="7"/>
      <c r="G4" s="7"/>
      <c r="H4" s="7"/>
      <c r="I4" s="7"/>
      <c r="J4" s="7"/>
      <c r="K4" s="7"/>
      <c r="L4" s="7"/>
      <c r="M4" s="1"/>
      <c r="N4" s="1"/>
      <c r="O4" s="1"/>
    </row>
    <row r="6" spans="2:15" ht="14.4" x14ac:dyDescent="0.3">
      <c r="B6" s="43" t="s">
        <v>214</v>
      </c>
    </row>
    <row r="8" spans="2:15" x14ac:dyDescent="0.25">
      <c r="B8" s="109" t="s">
        <v>232</v>
      </c>
      <c r="C8" s="108"/>
      <c r="D8" s="108"/>
      <c r="G8" s="109" t="s">
        <v>241</v>
      </c>
      <c r="H8" s="108"/>
    </row>
    <row r="9" spans="2:15" ht="14.4" customHeight="1" x14ac:dyDescent="0.25">
      <c r="B9" s="1" t="s">
        <v>306</v>
      </c>
      <c r="D9" s="54">
        <v>6.6799999999999998E-2</v>
      </c>
      <c r="G9" s="1" t="s">
        <v>242</v>
      </c>
      <c r="H9" s="69">
        <v>589562</v>
      </c>
    </row>
    <row r="10" spans="2:15" x14ac:dyDescent="0.25">
      <c r="B10" s="1" t="s">
        <v>307</v>
      </c>
      <c r="D10" s="54">
        <f>Beta!L21</f>
        <v>0.11561994084430172</v>
      </c>
      <c r="G10" s="1" t="s">
        <v>243</v>
      </c>
      <c r="H10" s="69">
        <f>0</f>
        <v>0</v>
      </c>
    </row>
    <row r="11" spans="2:15" x14ac:dyDescent="0.25">
      <c r="B11" s="1" t="s">
        <v>226</v>
      </c>
      <c r="D11" s="65">
        <f>Beta!L18</f>
        <v>0.86775079564393232</v>
      </c>
      <c r="G11" s="181" t="s">
        <v>244</v>
      </c>
      <c r="H11" s="247">
        <f>H9+H10</f>
        <v>589562</v>
      </c>
    </row>
    <row r="12" spans="2:15" x14ac:dyDescent="0.25">
      <c r="B12" s="181" t="s">
        <v>235</v>
      </c>
      <c r="C12" s="181"/>
      <c r="D12" s="245">
        <f>D9+(D10-D9)*D11</f>
        <v>0.10916354251093252</v>
      </c>
    </row>
    <row r="14" spans="2:15" x14ac:dyDescent="0.25">
      <c r="B14" s="109" t="s">
        <v>236</v>
      </c>
      <c r="C14" s="108"/>
      <c r="D14" s="108"/>
      <c r="G14" s="1" t="s">
        <v>245</v>
      </c>
      <c r="H14" s="54">
        <f>D12*(H9/H11)</f>
        <v>0.10916354251093252</v>
      </c>
    </row>
    <row r="15" spans="2:15" x14ac:dyDescent="0.25">
      <c r="B15" s="212" t="s">
        <v>285</v>
      </c>
      <c r="G15" s="1" t="s">
        <v>236</v>
      </c>
      <c r="H15" s="67">
        <f>D20*(H10/H11)</f>
        <v>0</v>
      </c>
    </row>
    <row r="16" spans="2:15" x14ac:dyDescent="0.25">
      <c r="B16" s="1" t="s">
        <v>306</v>
      </c>
      <c r="D16" s="54">
        <v>6.6799999999999998E-2</v>
      </c>
      <c r="G16" s="181" t="s">
        <v>216</v>
      </c>
      <c r="H16" s="246">
        <f>H14+H15</f>
        <v>0.10916354251093252</v>
      </c>
    </row>
    <row r="17" spans="1:4" x14ac:dyDescent="0.25">
      <c r="B17" s="1" t="s">
        <v>237</v>
      </c>
      <c r="D17" s="54">
        <v>4.0000000000000001E-3</v>
      </c>
    </row>
    <row r="18" spans="1:4" x14ac:dyDescent="0.25">
      <c r="B18" s="171" t="s">
        <v>238</v>
      </c>
      <c r="C18" s="111"/>
      <c r="D18" s="211">
        <f>D16+D17</f>
        <v>7.0800000000000002E-2</v>
      </c>
    </row>
    <row r="19" spans="1:4" x14ac:dyDescent="0.25">
      <c r="B19" s="1" t="s">
        <v>239</v>
      </c>
      <c r="D19" s="54">
        <v>0.3</v>
      </c>
    </row>
    <row r="20" spans="1:4" x14ac:dyDescent="0.25">
      <c r="B20" s="181" t="s">
        <v>240</v>
      </c>
      <c r="C20" s="178"/>
      <c r="D20" s="245">
        <f>D18*(1-D19)</f>
        <v>4.956E-2</v>
      </c>
    </row>
    <row r="22" spans="1:4" ht="13.8" x14ac:dyDescent="0.25">
      <c r="B22" s="7" t="s">
        <v>305</v>
      </c>
    </row>
    <row r="23" spans="1:4" x14ac:dyDescent="0.25">
      <c r="A23" s="89" t="s">
        <v>25</v>
      </c>
    </row>
  </sheetData>
  <hyperlinks>
    <hyperlink ref="B6" location="Dashboard!A1" display="&lt;-Back to dashboard" xr:uid="{8A726ABA-FF8B-4FCE-A982-76721E34544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7110-6571-4E63-B74B-852FE0B133C5}">
  <dimension ref="A2:P386"/>
  <sheetViews>
    <sheetView showGridLines="0" zoomScale="85" zoomScaleNormal="85" workbookViewId="0">
      <selection activeCell="J386" sqref="J386"/>
    </sheetView>
  </sheetViews>
  <sheetFormatPr defaultRowHeight="13.2" outlineLevelRow="1" x14ac:dyDescent="0.25"/>
  <cols>
    <col min="1" max="1" width="2.88671875" style="1" customWidth="1"/>
    <col min="2" max="2" width="12.33203125" style="1" customWidth="1"/>
    <col min="3" max="3" width="9.21875" style="1" customWidth="1"/>
    <col min="4" max="5" width="8.88671875" style="1"/>
    <col min="6" max="6" width="12.44140625" style="1" bestFit="1" customWidth="1"/>
    <col min="7" max="7" width="10.88671875" style="1" bestFit="1" customWidth="1"/>
    <col min="8" max="11" width="8.88671875" style="1"/>
    <col min="12" max="12" width="9.21875" style="1" bestFit="1" customWidth="1"/>
    <col min="13" max="16384" width="8.88671875" style="1"/>
  </cols>
  <sheetData>
    <row r="2" spans="1:16" s="5" customFormat="1" ht="13.8" x14ac:dyDescent="0.25">
      <c r="B2" s="107" t="str">
        <f>Dashboard!C2</f>
        <v>Infosys Ltd.</v>
      </c>
      <c r="C2" s="7"/>
      <c r="D2" s="7"/>
      <c r="E2" s="7"/>
      <c r="F2" s="7"/>
      <c r="G2" s="7"/>
      <c r="H2" s="7"/>
      <c r="I2" s="7"/>
      <c r="J2" s="7"/>
      <c r="K2" s="7"/>
      <c r="L2" s="7"/>
      <c r="M2" s="1"/>
      <c r="N2" s="1"/>
      <c r="O2" s="1"/>
    </row>
    <row r="3" spans="1:16" s="5" customFormat="1" ht="13.8" x14ac:dyDescent="0.25">
      <c r="B3" s="8" t="s">
        <v>217</v>
      </c>
      <c r="C3" s="7"/>
      <c r="D3" s="7"/>
      <c r="E3" s="7"/>
      <c r="F3" s="7"/>
      <c r="G3" s="7"/>
      <c r="H3" s="7"/>
      <c r="I3" s="7"/>
      <c r="J3" s="7"/>
      <c r="K3" s="7"/>
      <c r="L3" s="7"/>
      <c r="M3" s="1"/>
      <c r="N3" s="1"/>
      <c r="O3" s="1"/>
    </row>
    <row r="4" spans="1:16" s="5" customFormat="1" ht="13.8" x14ac:dyDescent="0.25">
      <c r="B4" s="95" t="str">
        <f>Dashboard!C4</f>
        <v>(In ₹ Crore, except equity share and per equity share data)</v>
      </c>
      <c r="C4" s="7"/>
      <c r="D4" s="7"/>
      <c r="E4" s="7"/>
      <c r="F4" s="7"/>
      <c r="G4" s="7"/>
      <c r="H4" s="7"/>
      <c r="I4" s="7"/>
      <c r="J4" s="7"/>
      <c r="K4" s="7"/>
      <c r="L4" s="7"/>
      <c r="M4" s="1"/>
      <c r="N4" s="1"/>
      <c r="O4" s="1"/>
    </row>
    <row r="6" spans="1:16" ht="14.4" x14ac:dyDescent="0.3">
      <c r="B6" s="43" t="s">
        <v>214</v>
      </c>
    </row>
    <row r="7" spans="1:16" ht="14.4" x14ac:dyDescent="0.3">
      <c r="B7" s="43"/>
    </row>
    <row r="8" spans="1:16" x14ac:dyDescent="0.25">
      <c r="B8" s="394" t="s">
        <v>224</v>
      </c>
      <c r="C8" s="394"/>
      <c r="D8" s="394"/>
      <c r="F8" s="394" t="s">
        <v>225</v>
      </c>
      <c r="G8" s="394"/>
      <c r="H8" s="394"/>
      <c r="J8" s="394" t="s">
        <v>217</v>
      </c>
      <c r="K8" s="394"/>
      <c r="L8" s="394"/>
    </row>
    <row r="10" spans="1:16" x14ac:dyDescent="0.25">
      <c r="A10" s="34"/>
      <c r="B10" s="61" t="s">
        <v>0</v>
      </c>
      <c r="C10" s="61" t="s">
        <v>222</v>
      </c>
      <c r="D10" s="61" t="s">
        <v>223</v>
      </c>
      <c r="F10" s="61" t="s">
        <v>0</v>
      </c>
      <c r="G10" s="61" t="s">
        <v>222</v>
      </c>
      <c r="H10" s="61" t="s">
        <v>223</v>
      </c>
      <c r="J10" s="268" t="s">
        <v>230</v>
      </c>
      <c r="K10" s="269"/>
      <c r="L10" s="270">
        <f>SLOPE(D12:D374,H12:H374)</f>
        <v>0.82366772752524309</v>
      </c>
      <c r="N10" s="131" t="s">
        <v>412</v>
      </c>
      <c r="O10" s="111"/>
      <c r="P10" s="331">
        <f>MEDIAN(C11:C24)</f>
        <v>1534.55</v>
      </c>
    </row>
    <row r="11" spans="1:16" ht="13.8" x14ac:dyDescent="0.25">
      <c r="B11" s="59">
        <v>46082</v>
      </c>
      <c r="C11" s="62">
        <v>1288.9000000000001</v>
      </c>
      <c r="D11" s="63"/>
      <c r="E11" s="55"/>
      <c r="F11" s="59">
        <v>46082</v>
      </c>
      <c r="G11" s="62">
        <v>24865.7</v>
      </c>
      <c r="H11" s="63"/>
      <c r="I11" s="53"/>
      <c r="J11" s="271"/>
      <c r="K11" s="272"/>
      <c r="L11" s="273"/>
      <c r="N11" s="183" t="s">
        <v>413</v>
      </c>
      <c r="P11" s="114">
        <f>PERCENTILE(C11:C24,75%)</f>
        <v>1594.0125</v>
      </c>
    </row>
    <row r="12" spans="1:16" ht="13.8" x14ac:dyDescent="0.25">
      <c r="B12" s="59">
        <v>46054</v>
      </c>
      <c r="C12" s="62">
        <v>1300.0999999999999</v>
      </c>
      <c r="D12" s="60">
        <f>C12/C11-1</f>
        <v>8.6895802622388718E-3</v>
      </c>
      <c r="E12" s="55"/>
      <c r="F12" s="59">
        <v>46054</v>
      </c>
      <c r="G12" s="62">
        <v>25178.65</v>
      </c>
      <c r="H12" s="60">
        <f>G12/G11-1</f>
        <v>1.2585609896363259E-2</v>
      </c>
      <c r="I12" s="53"/>
      <c r="J12" s="271" t="s">
        <v>226</v>
      </c>
      <c r="K12" s="272"/>
      <c r="L12" s="274">
        <f>L10</f>
        <v>0.82366772752524309</v>
      </c>
      <c r="N12" s="133" t="s">
        <v>414</v>
      </c>
      <c r="O12" s="108"/>
      <c r="P12" s="116">
        <f>PERCENTILE(C11:C24,25%)</f>
        <v>1472.7749999999999</v>
      </c>
    </row>
    <row r="13" spans="1:16" ht="13.8" x14ac:dyDescent="0.25">
      <c r="B13" s="59">
        <v>46023</v>
      </c>
      <c r="C13" s="62">
        <v>1641</v>
      </c>
      <c r="D13" s="60">
        <f t="shared" ref="D13:D76" si="0">C13/C12-1</f>
        <v>0.26221059918467815</v>
      </c>
      <c r="E13" s="55"/>
      <c r="F13" s="59">
        <v>46023</v>
      </c>
      <c r="G13" s="62">
        <v>25320.65</v>
      </c>
      <c r="H13" s="60">
        <f t="shared" ref="H13:H76" si="1">G13/G12-1</f>
        <v>5.6396987129969656E-3</v>
      </c>
      <c r="I13" s="53"/>
      <c r="J13" s="275" t="s">
        <v>227</v>
      </c>
      <c r="K13" s="272"/>
      <c r="L13" s="276">
        <v>0.75</v>
      </c>
    </row>
    <row r="14" spans="1:16" ht="13.8" x14ac:dyDescent="0.25">
      <c r="B14" s="59">
        <v>45992</v>
      </c>
      <c r="C14" s="62">
        <v>1615.4</v>
      </c>
      <c r="D14" s="60">
        <f t="shared" si="0"/>
        <v>-1.560024375380864E-2</v>
      </c>
      <c r="E14" s="55"/>
      <c r="F14" s="59">
        <v>45992</v>
      </c>
      <c r="G14" s="62">
        <v>26129.599999999999</v>
      </c>
      <c r="H14" s="60">
        <f t="shared" si="1"/>
        <v>3.1948231976667074E-2</v>
      </c>
      <c r="I14" s="53"/>
      <c r="J14" s="275"/>
      <c r="K14" s="272"/>
      <c r="L14" s="276"/>
    </row>
    <row r="15" spans="1:16" ht="13.8" x14ac:dyDescent="0.25">
      <c r="B15" s="59">
        <v>45962</v>
      </c>
      <c r="C15" s="62">
        <v>1560.1</v>
      </c>
      <c r="D15" s="60">
        <f t="shared" si="0"/>
        <v>-3.4233007304692475E-2</v>
      </c>
      <c r="E15" s="55"/>
      <c r="F15" s="59">
        <v>45962</v>
      </c>
      <c r="G15" s="62">
        <v>26202.95</v>
      </c>
      <c r="H15" s="60">
        <f t="shared" si="1"/>
        <v>2.8071612271141078E-3</v>
      </c>
      <c r="I15" s="53"/>
      <c r="J15" s="275" t="s">
        <v>228</v>
      </c>
      <c r="K15" s="272"/>
      <c r="L15" s="277">
        <f>SLOPE(H12:H374,H12:H374)</f>
        <v>1</v>
      </c>
    </row>
    <row r="16" spans="1:16" ht="13.8" x14ac:dyDescent="0.25">
      <c r="B16" s="59">
        <v>45931</v>
      </c>
      <c r="C16" s="62">
        <v>1482.3</v>
      </c>
      <c r="D16" s="60">
        <f t="shared" si="0"/>
        <v>-4.9868598166784128E-2</v>
      </c>
      <c r="E16" s="55"/>
      <c r="F16" s="59">
        <v>45931</v>
      </c>
      <c r="G16" s="62">
        <v>25722.1</v>
      </c>
      <c r="H16" s="60">
        <f t="shared" si="1"/>
        <v>-1.835098719800643E-2</v>
      </c>
      <c r="I16" s="53"/>
      <c r="J16" s="275" t="s">
        <v>229</v>
      </c>
      <c r="K16" s="272"/>
      <c r="L16" s="276">
        <v>0.25</v>
      </c>
    </row>
    <row r="17" spans="2:12" ht="13.8" x14ac:dyDescent="0.25">
      <c r="B17" s="59">
        <v>45901</v>
      </c>
      <c r="C17" s="62">
        <v>1441.8</v>
      </c>
      <c r="D17" s="60">
        <f t="shared" si="0"/>
        <v>-2.732240437158473E-2</v>
      </c>
      <c r="E17" s="55"/>
      <c r="F17" s="59">
        <v>45901</v>
      </c>
      <c r="G17" s="62">
        <v>24611.1</v>
      </c>
      <c r="H17" s="60">
        <f t="shared" si="1"/>
        <v>-4.3192429856038217E-2</v>
      </c>
      <c r="I17" s="53"/>
      <c r="J17" s="275"/>
      <c r="K17" s="272"/>
      <c r="L17" s="276"/>
    </row>
    <row r="18" spans="2:12" ht="13.8" x14ac:dyDescent="0.25">
      <c r="B18" s="59">
        <v>45870</v>
      </c>
      <c r="C18" s="62">
        <v>1469.6</v>
      </c>
      <c r="D18" s="60">
        <f t="shared" si="0"/>
        <v>1.9281453738382526E-2</v>
      </c>
      <c r="E18" s="55"/>
      <c r="F18" s="59">
        <v>45870</v>
      </c>
      <c r="G18" s="62">
        <v>24426.85</v>
      </c>
      <c r="H18" s="60">
        <f t="shared" si="1"/>
        <v>-7.4864593618326758E-3</v>
      </c>
      <c r="I18" s="53"/>
      <c r="J18" s="280" t="s">
        <v>231</v>
      </c>
      <c r="K18" s="210"/>
      <c r="L18" s="281">
        <f>(L12*L13)+(L15*L16)</f>
        <v>0.86775079564393232</v>
      </c>
    </row>
    <row r="19" spans="2:12" ht="13.8" x14ac:dyDescent="0.25">
      <c r="B19" s="59">
        <v>45839</v>
      </c>
      <c r="C19" s="62">
        <v>1509</v>
      </c>
      <c r="D19" s="60">
        <f t="shared" si="0"/>
        <v>2.6810016330974573E-2</v>
      </c>
      <c r="E19" s="55"/>
      <c r="F19" s="59">
        <v>45839</v>
      </c>
      <c r="G19" s="62">
        <v>24768.35</v>
      </c>
      <c r="H19" s="60">
        <f t="shared" si="1"/>
        <v>1.3980517340549392E-2</v>
      </c>
      <c r="I19" s="53"/>
      <c r="J19" s="53"/>
      <c r="L19" s="54"/>
    </row>
    <row r="20" spans="2:12" ht="13.8" x14ac:dyDescent="0.25">
      <c r="B20" s="59">
        <v>45809</v>
      </c>
      <c r="C20" s="62">
        <v>1601.8</v>
      </c>
      <c r="D20" s="60">
        <f t="shared" si="0"/>
        <v>6.1497680583167735E-2</v>
      </c>
      <c r="E20" s="55"/>
      <c r="F20" s="59">
        <v>45809</v>
      </c>
      <c r="G20" s="62">
        <v>25517.05</v>
      </c>
      <c r="H20" s="60">
        <f t="shared" si="1"/>
        <v>3.0228093514505394E-2</v>
      </c>
      <c r="I20" s="53"/>
      <c r="J20" s="282" t="s">
        <v>233</v>
      </c>
      <c r="K20" s="283"/>
      <c r="L20" s="284">
        <f>YEARFRAC(F374,F11,1)</f>
        <v>30.247775496235455</v>
      </c>
    </row>
    <row r="21" spans="2:12" ht="13.8" x14ac:dyDescent="0.25">
      <c r="B21" s="59">
        <v>45778</v>
      </c>
      <c r="C21" s="62">
        <v>1562.7</v>
      </c>
      <c r="D21" s="60">
        <f t="shared" si="0"/>
        <v>-2.4410038706455195E-2</v>
      </c>
      <c r="E21" s="55"/>
      <c r="F21" s="59">
        <v>45778</v>
      </c>
      <c r="G21" s="62">
        <v>24750.7</v>
      </c>
      <c r="H21" s="60">
        <f t="shared" si="1"/>
        <v>-3.0032860381587922E-2</v>
      </c>
      <c r="I21" s="53"/>
      <c r="J21" s="278" t="s">
        <v>234</v>
      </c>
      <c r="K21" s="279"/>
      <c r="L21" s="285">
        <f>_xlfn.RRI(L20,G374,G11)</f>
        <v>0.11561994084430172</v>
      </c>
    </row>
    <row r="22" spans="2:12" ht="13.8" x14ac:dyDescent="0.25">
      <c r="B22" s="59">
        <v>45748</v>
      </c>
      <c r="C22" s="62">
        <v>1500.1</v>
      </c>
      <c r="D22" s="60">
        <f t="shared" si="0"/>
        <v>-4.0058872464324602E-2</v>
      </c>
      <c r="E22" s="55"/>
      <c r="F22" s="59">
        <v>45748</v>
      </c>
      <c r="G22" s="62">
        <v>24334.2</v>
      </c>
      <c r="H22" s="60">
        <f t="shared" si="1"/>
        <v>-1.682780689031016E-2</v>
      </c>
      <c r="I22" s="53"/>
      <c r="J22" s="53"/>
      <c r="L22" s="54"/>
    </row>
    <row r="23" spans="2:12" ht="13.8" hidden="1" outlineLevel="1" x14ac:dyDescent="0.25">
      <c r="B23" s="59">
        <v>45717</v>
      </c>
      <c r="C23" s="62">
        <v>1570.65</v>
      </c>
      <c r="D23" s="60">
        <f t="shared" si="0"/>
        <v>4.7030197986801081E-2</v>
      </c>
      <c r="E23" s="55"/>
      <c r="F23" s="59">
        <v>45717</v>
      </c>
      <c r="G23" s="62">
        <v>23519.35</v>
      </c>
      <c r="H23" s="60">
        <f t="shared" si="1"/>
        <v>-3.3485793656664375E-2</v>
      </c>
      <c r="I23" s="53"/>
      <c r="J23" s="53"/>
      <c r="L23" s="54"/>
    </row>
    <row r="24" spans="2:12" ht="13.8" hidden="1" outlineLevel="1" x14ac:dyDescent="0.25">
      <c r="B24" s="59">
        <v>45689</v>
      </c>
      <c r="C24" s="62">
        <v>1687.7</v>
      </c>
      <c r="D24" s="60">
        <f t="shared" si="0"/>
        <v>7.4523286537420796E-2</v>
      </c>
      <c r="E24" s="55"/>
      <c r="F24" s="59">
        <v>45689</v>
      </c>
      <c r="G24" s="62">
        <v>22124.7</v>
      </c>
      <c r="H24" s="60">
        <f t="shared" si="1"/>
        <v>-5.9297982299680863E-2</v>
      </c>
      <c r="I24" s="53"/>
      <c r="J24" s="53"/>
      <c r="L24" s="54"/>
    </row>
    <row r="25" spans="2:12" ht="13.8" hidden="1" outlineLevel="1" x14ac:dyDescent="0.25">
      <c r="B25" s="59">
        <v>45658</v>
      </c>
      <c r="C25" s="62">
        <v>1879.8</v>
      </c>
      <c r="D25" s="60">
        <f t="shared" si="0"/>
        <v>0.11382354683889306</v>
      </c>
      <c r="E25" s="55"/>
      <c r="F25" s="59">
        <v>45658</v>
      </c>
      <c r="G25" s="62">
        <v>23508.400000000001</v>
      </c>
      <c r="H25" s="60">
        <f t="shared" si="1"/>
        <v>6.2540961007380824E-2</v>
      </c>
      <c r="I25" s="53"/>
      <c r="J25" s="53"/>
      <c r="L25" s="54"/>
    </row>
    <row r="26" spans="2:12" ht="13.8" hidden="1" outlineLevel="1" x14ac:dyDescent="0.25">
      <c r="B26" s="59">
        <v>45627</v>
      </c>
      <c r="C26" s="62">
        <v>1880</v>
      </c>
      <c r="D26" s="60">
        <f t="shared" si="0"/>
        <v>1.0639429726566618E-4</v>
      </c>
      <c r="E26" s="55"/>
      <c r="F26" s="59">
        <v>45627</v>
      </c>
      <c r="G26" s="62">
        <v>23644.799999999999</v>
      </c>
      <c r="H26" s="60">
        <f t="shared" si="1"/>
        <v>5.8021813479436357E-3</v>
      </c>
      <c r="I26" s="53"/>
      <c r="J26" s="53"/>
      <c r="L26" s="54"/>
    </row>
    <row r="27" spans="2:12" ht="13.8" hidden="1" outlineLevel="1" x14ac:dyDescent="0.25">
      <c r="B27" s="59">
        <v>45597</v>
      </c>
      <c r="C27" s="62">
        <v>1857.85</v>
      </c>
      <c r="D27" s="60">
        <f t="shared" si="0"/>
        <v>-1.1781914893617018E-2</v>
      </c>
      <c r="E27" s="55"/>
      <c r="F27" s="59">
        <v>45597</v>
      </c>
      <c r="G27" s="62">
        <v>24131.1</v>
      </c>
      <c r="H27" s="60">
        <f t="shared" si="1"/>
        <v>2.0566889971579405E-2</v>
      </c>
      <c r="I27" s="53"/>
      <c r="J27" s="53"/>
      <c r="L27" s="54"/>
    </row>
    <row r="28" spans="2:12" ht="13.8" hidden="1" outlineLevel="1" x14ac:dyDescent="0.25">
      <c r="B28" s="59">
        <v>45566</v>
      </c>
      <c r="C28" s="62">
        <v>1757.25</v>
      </c>
      <c r="D28" s="60">
        <f t="shared" si="0"/>
        <v>-5.4148612643647231E-2</v>
      </c>
      <c r="E28" s="55"/>
      <c r="F28" s="59">
        <v>45566</v>
      </c>
      <c r="G28" s="62">
        <v>24205.35</v>
      </c>
      <c r="H28" s="60">
        <f t="shared" si="1"/>
        <v>3.0769422032148608E-3</v>
      </c>
      <c r="I28" s="53"/>
      <c r="J28" s="53"/>
      <c r="L28" s="54"/>
    </row>
    <row r="29" spans="2:12" ht="13.8" hidden="1" outlineLevel="1" x14ac:dyDescent="0.25">
      <c r="B29" s="59">
        <v>45536</v>
      </c>
      <c r="C29" s="62">
        <v>1875.6</v>
      </c>
      <c r="D29" s="60">
        <f t="shared" si="0"/>
        <v>6.7349551856594081E-2</v>
      </c>
      <c r="E29" s="55"/>
      <c r="F29" s="59">
        <v>45536</v>
      </c>
      <c r="G29" s="62">
        <v>25810.85</v>
      </c>
      <c r="H29" s="60">
        <f t="shared" si="1"/>
        <v>6.6328311716211452E-2</v>
      </c>
      <c r="I29" s="53"/>
      <c r="J29" s="53"/>
      <c r="L29" s="54"/>
    </row>
    <row r="30" spans="2:12" ht="13.8" hidden="1" outlineLevel="1" x14ac:dyDescent="0.25">
      <c r="B30" s="59">
        <v>45505</v>
      </c>
      <c r="C30" s="62">
        <v>1943.7</v>
      </c>
      <c r="D30" s="60">
        <f t="shared" si="0"/>
        <v>3.6308381317978311E-2</v>
      </c>
      <c r="E30" s="55"/>
      <c r="F30" s="59">
        <v>45505</v>
      </c>
      <c r="G30" s="62">
        <v>25235.9</v>
      </c>
      <c r="H30" s="60">
        <f t="shared" si="1"/>
        <v>-2.2275515916755806E-2</v>
      </c>
      <c r="I30" s="53"/>
      <c r="J30" s="53"/>
      <c r="L30" s="54"/>
    </row>
    <row r="31" spans="2:12" ht="13.8" hidden="1" outlineLevel="1" x14ac:dyDescent="0.25">
      <c r="B31" s="59">
        <v>45474</v>
      </c>
      <c r="C31" s="62">
        <v>1868.25</v>
      </c>
      <c r="D31" s="60">
        <f t="shared" si="0"/>
        <v>-3.8817718783762944E-2</v>
      </c>
      <c r="E31" s="55"/>
      <c r="F31" s="59">
        <v>45474</v>
      </c>
      <c r="G31" s="62">
        <v>24951.15</v>
      </c>
      <c r="H31" s="60">
        <f t="shared" si="1"/>
        <v>-1.1283528623904804E-2</v>
      </c>
      <c r="I31" s="53"/>
      <c r="J31" s="53"/>
      <c r="L31" s="54"/>
    </row>
    <row r="32" spans="2:12" ht="13.8" hidden="1" outlineLevel="1" x14ac:dyDescent="0.25">
      <c r="B32" s="59">
        <v>45444</v>
      </c>
      <c r="C32" s="62">
        <v>1566.75</v>
      </c>
      <c r="D32" s="60">
        <f t="shared" si="0"/>
        <v>-0.16138097149739061</v>
      </c>
      <c r="E32" s="55"/>
      <c r="F32" s="59">
        <v>45444</v>
      </c>
      <c r="G32" s="62">
        <v>24010.6</v>
      </c>
      <c r="H32" s="60">
        <f t="shared" si="1"/>
        <v>-3.7695657314392395E-2</v>
      </c>
      <c r="I32" s="53"/>
      <c r="J32" s="53"/>
      <c r="L32" s="54"/>
    </row>
    <row r="33" spans="2:12" ht="13.8" hidden="1" outlineLevel="1" x14ac:dyDescent="0.25">
      <c r="B33" s="59">
        <v>45413</v>
      </c>
      <c r="C33" s="62">
        <v>1406.9</v>
      </c>
      <c r="D33" s="60">
        <f t="shared" si="0"/>
        <v>-0.10202648795276836</v>
      </c>
      <c r="E33" s="55"/>
      <c r="F33" s="59">
        <v>45413</v>
      </c>
      <c r="G33" s="62">
        <v>22530.7</v>
      </c>
      <c r="H33" s="60">
        <f t="shared" si="1"/>
        <v>-6.1635277752326023E-2</v>
      </c>
      <c r="I33" s="53"/>
      <c r="J33" s="53"/>
      <c r="L33" s="54"/>
    </row>
    <row r="34" spans="2:12" ht="13.8" hidden="1" outlineLevel="1" x14ac:dyDescent="0.25">
      <c r="B34" s="59">
        <v>45383</v>
      </c>
      <c r="C34" s="62">
        <v>1412.59</v>
      </c>
      <c r="D34" s="60">
        <f t="shared" si="0"/>
        <v>4.0443528324685118E-3</v>
      </c>
      <c r="E34" s="55"/>
      <c r="F34" s="59">
        <v>45383</v>
      </c>
      <c r="G34" s="62">
        <v>22604.85</v>
      </c>
      <c r="H34" s="60">
        <f t="shared" si="1"/>
        <v>3.2910650800905827E-3</v>
      </c>
      <c r="I34" s="53"/>
      <c r="J34" s="53"/>
      <c r="L34" s="54"/>
    </row>
    <row r="35" spans="2:12" ht="13.8" hidden="1" outlineLevel="1" x14ac:dyDescent="0.25">
      <c r="B35" s="59">
        <v>45352</v>
      </c>
      <c r="C35" s="62">
        <v>1489.66</v>
      </c>
      <c r="D35" s="60">
        <f t="shared" si="0"/>
        <v>5.4559355510091612E-2</v>
      </c>
      <c r="E35" s="55"/>
      <c r="F35" s="59">
        <v>45352</v>
      </c>
      <c r="G35" s="62">
        <v>22326.9</v>
      </c>
      <c r="H35" s="60">
        <f t="shared" si="1"/>
        <v>-1.2296033815751839E-2</v>
      </c>
      <c r="I35" s="53"/>
      <c r="J35" s="53"/>
      <c r="L35" s="54"/>
    </row>
    <row r="36" spans="2:12" ht="13.8" hidden="1" outlineLevel="1" x14ac:dyDescent="0.25">
      <c r="B36" s="59">
        <v>45323</v>
      </c>
      <c r="C36" s="62">
        <v>1664.52</v>
      </c>
      <c r="D36" s="60">
        <f t="shared" si="0"/>
        <v>0.1173824899641529</v>
      </c>
      <c r="E36" s="55"/>
      <c r="F36" s="59">
        <v>45323</v>
      </c>
      <c r="G36" s="62">
        <v>21982.799999999999</v>
      </c>
      <c r="H36" s="60">
        <f t="shared" si="1"/>
        <v>-1.5411902234524377E-2</v>
      </c>
      <c r="I36" s="53"/>
      <c r="J36" s="53"/>
      <c r="L36" s="54"/>
    </row>
    <row r="37" spans="2:12" ht="13.8" hidden="1" outlineLevel="1" x14ac:dyDescent="0.25">
      <c r="B37" s="59">
        <v>45292</v>
      </c>
      <c r="C37" s="62">
        <v>1651.59</v>
      </c>
      <c r="D37" s="60">
        <f t="shared" si="0"/>
        <v>-7.7680051906856562E-3</v>
      </c>
      <c r="E37" s="55"/>
      <c r="F37" s="59">
        <v>45292</v>
      </c>
      <c r="G37" s="62">
        <v>21725.7</v>
      </c>
      <c r="H37" s="60">
        <f t="shared" si="1"/>
        <v>-1.1695507396691895E-2</v>
      </c>
      <c r="I37" s="53"/>
      <c r="J37" s="53"/>
      <c r="L37" s="54"/>
    </row>
    <row r="38" spans="2:12" ht="13.8" hidden="1" outlineLevel="1" x14ac:dyDescent="0.25">
      <c r="B38" s="59">
        <v>45261</v>
      </c>
      <c r="C38" s="62">
        <v>1534.25</v>
      </c>
      <c r="D38" s="60">
        <f t="shared" si="0"/>
        <v>-7.104668834274841E-2</v>
      </c>
      <c r="E38" s="55"/>
      <c r="F38" s="59">
        <v>45261</v>
      </c>
      <c r="G38" s="62">
        <v>21731.4</v>
      </c>
      <c r="H38" s="60">
        <f t="shared" si="1"/>
        <v>2.6236208729746302E-4</v>
      </c>
      <c r="I38" s="53"/>
      <c r="J38" s="53"/>
      <c r="L38" s="54"/>
    </row>
    <row r="39" spans="2:12" ht="13.8" hidden="1" outlineLevel="1" x14ac:dyDescent="0.25">
      <c r="B39" s="59">
        <v>45231</v>
      </c>
      <c r="C39" s="62">
        <v>1446.99</v>
      </c>
      <c r="D39" s="60">
        <f t="shared" si="0"/>
        <v>-5.6874694476128362E-2</v>
      </c>
      <c r="E39" s="55"/>
      <c r="F39" s="59">
        <v>45231</v>
      </c>
      <c r="G39" s="62">
        <v>20133.150000000001</v>
      </c>
      <c r="H39" s="60">
        <f t="shared" si="1"/>
        <v>-7.3545652834147823E-2</v>
      </c>
      <c r="I39" s="53"/>
      <c r="J39" s="53"/>
      <c r="L39" s="54"/>
    </row>
    <row r="40" spans="2:12" ht="13.8" hidden="1" outlineLevel="1" x14ac:dyDescent="0.25">
      <c r="B40" s="59">
        <v>45200</v>
      </c>
      <c r="C40" s="62">
        <v>1360.73</v>
      </c>
      <c r="D40" s="60">
        <f t="shared" si="0"/>
        <v>-5.9613404377362622E-2</v>
      </c>
      <c r="E40" s="55"/>
      <c r="F40" s="59">
        <v>45200</v>
      </c>
      <c r="G40" s="62">
        <v>19079.599999999999</v>
      </c>
      <c r="H40" s="60">
        <f t="shared" si="1"/>
        <v>-5.2329118890983461E-2</v>
      </c>
      <c r="I40" s="53"/>
      <c r="J40" s="53"/>
      <c r="L40" s="54"/>
    </row>
    <row r="41" spans="2:12" ht="13.8" hidden="1" outlineLevel="1" x14ac:dyDescent="0.25">
      <c r="B41" s="59">
        <v>45170</v>
      </c>
      <c r="C41" s="62">
        <v>1427.41</v>
      </c>
      <c r="D41" s="60">
        <f t="shared" si="0"/>
        <v>4.9003108625517156E-2</v>
      </c>
      <c r="E41" s="55"/>
      <c r="F41" s="59">
        <v>45170</v>
      </c>
      <c r="G41" s="62">
        <v>19638.3</v>
      </c>
      <c r="H41" s="60">
        <f t="shared" si="1"/>
        <v>2.9282584540556433E-2</v>
      </c>
      <c r="I41" s="53"/>
      <c r="J41" s="53"/>
      <c r="L41" s="54"/>
    </row>
    <row r="42" spans="2:12" ht="13.8" hidden="1" outlineLevel="1" x14ac:dyDescent="0.25">
      <c r="B42" s="59">
        <v>45139</v>
      </c>
      <c r="C42" s="62">
        <v>1427.41</v>
      </c>
      <c r="D42" s="60">
        <f t="shared" si="0"/>
        <v>0</v>
      </c>
      <c r="E42" s="55"/>
      <c r="F42" s="59">
        <v>45139</v>
      </c>
      <c r="G42" s="62">
        <v>19253.8</v>
      </c>
      <c r="H42" s="60">
        <f t="shared" si="1"/>
        <v>-1.9579087802915729E-2</v>
      </c>
      <c r="I42" s="53"/>
      <c r="J42" s="53"/>
      <c r="L42" s="54"/>
    </row>
    <row r="43" spans="2:12" ht="13.8" hidden="1" outlineLevel="1" x14ac:dyDescent="0.25">
      <c r="B43" s="59">
        <v>45108</v>
      </c>
      <c r="C43" s="62">
        <v>1348.1</v>
      </c>
      <c r="D43" s="60">
        <f t="shared" si="0"/>
        <v>-5.5562172045873437E-2</v>
      </c>
      <c r="E43" s="55"/>
      <c r="F43" s="59">
        <v>45108</v>
      </c>
      <c r="G43" s="62">
        <v>19753.8</v>
      </c>
      <c r="H43" s="60">
        <f t="shared" si="1"/>
        <v>2.5968899645784305E-2</v>
      </c>
      <c r="I43" s="53"/>
      <c r="J43" s="53"/>
      <c r="L43" s="54"/>
    </row>
    <row r="44" spans="2:12" ht="13.8" hidden="1" outlineLevel="1" x14ac:dyDescent="0.25">
      <c r="B44" s="59">
        <v>45078</v>
      </c>
      <c r="C44" s="62">
        <v>1328.02</v>
      </c>
      <c r="D44" s="60">
        <f t="shared" si="0"/>
        <v>-1.489503746012899E-2</v>
      </c>
      <c r="E44" s="55"/>
      <c r="F44" s="59">
        <v>45078</v>
      </c>
      <c r="G44" s="62">
        <v>19189.05</v>
      </c>
      <c r="H44" s="60">
        <f t="shared" si="1"/>
        <v>-2.8589435956626108E-2</v>
      </c>
      <c r="I44" s="53"/>
      <c r="J44" s="53"/>
      <c r="L44" s="54"/>
    </row>
    <row r="45" spans="2:12" ht="13.8" hidden="1" outlineLevel="1" x14ac:dyDescent="0.25">
      <c r="B45" s="59">
        <v>45047</v>
      </c>
      <c r="C45" s="62">
        <v>1310.91</v>
      </c>
      <c r="D45" s="60">
        <f t="shared" si="0"/>
        <v>-1.2883842110811505E-2</v>
      </c>
      <c r="E45" s="55"/>
      <c r="F45" s="59">
        <v>45047</v>
      </c>
      <c r="G45" s="62">
        <v>18534.400000000001</v>
      </c>
      <c r="H45" s="60">
        <f t="shared" si="1"/>
        <v>-3.4115810840036231E-2</v>
      </c>
      <c r="I45" s="53"/>
      <c r="J45" s="53"/>
      <c r="L45" s="54"/>
    </row>
    <row r="46" spans="2:12" ht="13.8" hidden="1" outlineLevel="1" x14ac:dyDescent="0.25">
      <c r="B46" s="59">
        <v>45017</v>
      </c>
      <c r="C46" s="62">
        <v>1245.73</v>
      </c>
      <c r="D46" s="60">
        <f t="shared" si="0"/>
        <v>-4.9721186046334243E-2</v>
      </c>
      <c r="E46" s="55"/>
      <c r="F46" s="59">
        <v>45017</v>
      </c>
      <c r="G46" s="62">
        <v>18065</v>
      </c>
      <c r="H46" s="60">
        <f t="shared" si="1"/>
        <v>-2.5325880524861955E-2</v>
      </c>
      <c r="I46" s="53"/>
      <c r="J46" s="53"/>
      <c r="L46" s="54"/>
    </row>
    <row r="47" spans="2:12" ht="13.8" hidden="1" outlineLevel="1" x14ac:dyDescent="0.25">
      <c r="B47" s="59">
        <v>44986</v>
      </c>
      <c r="C47" s="62">
        <v>1419.95</v>
      </c>
      <c r="D47" s="60">
        <f t="shared" si="0"/>
        <v>0.13985374037712828</v>
      </c>
      <c r="E47" s="55"/>
      <c r="F47" s="59">
        <v>44986</v>
      </c>
      <c r="G47" s="62">
        <v>17359.75</v>
      </c>
      <c r="H47" s="60">
        <f t="shared" si="1"/>
        <v>-3.9039579296983096E-2</v>
      </c>
      <c r="I47" s="53"/>
      <c r="J47" s="53"/>
      <c r="L47" s="54"/>
    </row>
    <row r="48" spans="2:12" ht="13.8" hidden="1" outlineLevel="1" x14ac:dyDescent="0.25">
      <c r="B48" s="59">
        <v>44958</v>
      </c>
      <c r="C48" s="62">
        <v>1479.21</v>
      </c>
      <c r="D48" s="60">
        <f t="shared" si="0"/>
        <v>4.173386386844613E-2</v>
      </c>
      <c r="E48" s="55"/>
      <c r="F48" s="59">
        <v>44958</v>
      </c>
      <c r="G48" s="62">
        <v>17303.95</v>
      </c>
      <c r="H48" s="60">
        <f t="shared" si="1"/>
        <v>-3.2143320036290834E-3</v>
      </c>
      <c r="I48" s="53"/>
      <c r="J48" s="53"/>
      <c r="L48" s="54"/>
    </row>
    <row r="49" spans="2:12" ht="13.8" hidden="1" outlineLevel="1" x14ac:dyDescent="0.25">
      <c r="B49" s="59">
        <v>44927</v>
      </c>
      <c r="C49" s="62">
        <v>1525.16</v>
      </c>
      <c r="D49" s="60">
        <f t="shared" si="0"/>
        <v>3.1063878692004554E-2</v>
      </c>
      <c r="E49" s="55"/>
      <c r="F49" s="59">
        <v>44927</v>
      </c>
      <c r="G49" s="62">
        <v>17662.150000000001</v>
      </c>
      <c r="H49" s="60">
        <f t="shared" si="1"/>
        <v>2.0700475902900806E-2</v>
      </c>
      <c r="I49" s="53"/>
      <c r="J49" s="53"/>
      <c r="L49" s="54"/>
    </row>
    <row r="50" spans="2:12" ht="13.8" hidden="1" outlineLevel="1" x14ac:dyDescent="0.25">
      <c r="B50" s="59">
        <v>44896</v>
      </c>
      <c r="C50" s="62">
        <v>1499.75</v>
      </c>
      <c r="D50" s="60">
        <f t="shared" si="0"/>
        <v>-1.666054709014142E-2</v>
      </c>
      <c r="E50" s="55"/>
      <c r="F50" s="59">
        <v>44896</v>
      </c>
      <c r="G50" s="62">
        <v>18105.3</v>
      </c>
      <c r="H50" s="60">
        <f t="shared" si="1"/>
        <v>2.5090376879371767E-2</v>
      </c>
      <c r="I50" s="53"/>
      <c r="J50" s="53"/>
      <c r="L50" s="54"/>
    </row>
    <row r="51" spans="2:12" ht="13.8" hidden="1" outlineLevel="1" x14ac:dyDescent="0.25">
      <c r="B51" s="59">
        <v>44866</v>
      </c>
      <c r="C51" s="62">
        <v>1625.79</v>
      </c>
      <c r="D51" s="60">
        <f t="shared" si="0"/>
        <v>8.404067344557431E-2</v>
      </c>
      <c r="E51" s="55"/>
      <c r="F51" s="59">
        <v>44866</v>
      </c>
      <c r="G51" s="62">
        <v>18758.349999999999</v>
      </c>
      <c r="H51" s="60">
        <f t="shared" si="1"/>
        <v>3.6069548695685683E-2</v>
      </c>
      <c r="I51" s="53"/>
      <c r="J51" s="53"/>
      <c r="L51" s="54"/>
    </row>
    <row r="52" spans="2:12" ht="13.8" hidden="1" outlineLevel="1" x14ac:dyDescent="0.25">
      <c r="B52" s="59">
        <v>44835</v>
      </c>
      <c r="C52" s="62">
        <v>1529.03</v>
      </c>
      <c r="D52" s="60">
        <f t="shared" si="0"/>
        <v>-5.9515681607095638E-2</v>
      </c>
      <c r="E52" s="55"/>
      <c r="F52" s="59">
        <v>44835</v>
      </c>
      <c r="G52" s="62">
        <v>18012.2</v>
      </c>
      <c r="H52" s="60">
        <f t="shared" si="1"/>
        <v>-3.9776952663746923E-2</v>
      </c>
      <c r="I52" s="53"/>
      <c r="J52" s="53"/>
      <c r="L52" s="54"/>
    </row>
    <row r="53" spans="2:12" ht="13.8" hidden="1" outlineLevel="1" x14ac:dyDescent="0.25">
      <c r="B53" s="59">
        <v>44805</v>
      </c>
      <c r="C53" s="62">
        <v>1405.53</v>
      </c>
      <c r="D53" s="60">
        <f t="shared" si="0"/>
        <v>-8.0770161474921998E-2</v>
      </c>
      <c r="E53" s="55"/>
      <c r="F53" s="59">
        <v>44805</v>
      </c>
      <c r="G53" s="62">
        <v>17094.349999999999</v>
      </c>
      <c r="H53" s="60">
        <f t="shared" si="1"/>
        <v>-5.0957129056972583E-2</v>
      </c>
      <c r="I53" s="53"/>
      <c r="J53" s="53"/>
      <c r="L53" s="54"/>
    </row>
    <row r="54" spans="2:12" ht="13.8" hidden="1" outlineLevel="1" x14ac:dyDescent="0.25">
      <c r="B54" s="59">
        <v>44774</v>
      </c>
      <c r="C54" s="62">
        <v>1484.58</v>
      </c>
      <c r="D54" s="60">
        <f t="shared" si="0"/>
        <v>5.624212930353667E-2</v>
      </c>
      <c r="E54" s="55"/>
      <c r="F54" s="59">
        <v>44774</v>
      </c>
      <c r="G54" s="62">
        <v>17759.3</v>
      </c>
      <c r="H54" s="60">
        <f t="shared" si="1"/>
        <v>3.8898817445530254E-2</v>
      </c>
      <c r="I54" s="53"/>
      <c r="J54" s="53"/>
      <c r="L54" s="54"/>
    </row>
    <row r="55" spans="2:12" ht="13.8" hidden="1" outlineLevel="1" x14ac:dyDescent="0.25">
      <c r="B55" s="59">
        <v>44743</v>
      </c>
      <c r="C55" s="62">
        <v>1541.02</v>
      </c>
      <c r="D55" s="60">
        <f t="shared" si="0"/>
        <v>3.8017486427137648E-2</v>
      </c>
      <c r="E55" s="55"/>
      <c r="F55" s="59">
        <v>44743</v>
      </c>
      <c r="G55" s="62">
        <v>17158.25</v>
      </c>
      <c r="H55" s="60">
        <f t="shared" si="1"/>
        <v>-3.3844239356280892E-2</v>
      </c>
      <c r="I55" s="53"/>
      <c r="J55" s="53"/>
      <c r="L55" s="54"/>
    </row>
    <row r="56" spans="2:12" ht="13.8" hidden="1" outlineLevel="1" x14ac:dyDescent="0.25">
      <c r="B56" s="59">
        <v>44713</v>
      </c>
      <c r="C56" s="62">
        <v>1453.71</v>
      </c>
      <c r="D56" s="60">
        <f t="shared" si="0"/>
        <v>-5.6657278945114187E-2</v>
      </c>
      <c r="E56" s="55"/>
      <c r="F56" s="59">
        <v>44713</v>
      </c>
      <c r="G56" s="62">
        <v>15780.25</v>
      </c>
      <c r="H56" s="60">
        <f t="shared" si="1"/>
        <v>-8.0311220549881268E-2</v>
      </c>
      <c r="I56" s="53"/>
      <c r="J56" s="53"/>
      <c r="L56" s="54"/>
    </row>
    <row r="57" spans="2:12" ht="13.8" hidden="1" outlineLevel="1" x14ac:dyDescent="0.25">
      <c r="B57" s="59">
        <v>44682</v>
      </c>
      <c r="C57" s="62">
        <v>1495.17</v>
      </c>
      <c r="D57" s="60">
        <f t="shared" si="0"/>
        <v>2.8520131250386882E-2</v>
      </c>
      <c r="E57" s="55"/>
      <c r="F57" s="59">
        <v>44682</v>
      </c>
      <c r="G57" s="62">
        <v>16584.55</v>
      </c>
      <c r="H57" s="60">
        <f t="shared" si="1"/>
        <v>5.0968774258962846E-2</v>
      </c>
      <c r="I57" s="53"/>
      <c r="J57" s="53"/>
      <c r="L57" s="54"/>
    </row>
    <row r="58" spans="2:12" ht="13.8" hidden="1" outlineLevel="1" x14ac:dyDescent="0.25">
      <c r="B58" s="59">
        <v>44652</v>
      </c>
      <c r="C58" s="62">
        <v>1558.77</v>
      </c>
      <c r="D58" s="60">
        <f t="shared" si="0"/>
        <v>4.253696904030968E-2</v>
      </c>
      <c r="E58" s="55"/>
      <c r="F58" s="59">
        <v>44652</v>
      </c>
      <c r="G58" s="62">
        <v>17102.55</v>
      </c>
      <c r="H58" s="60">
        <f t="shared" si="1"/>
        <v>3.1233889372940471E-2</v>
      </c>
      <c r="I58" s="53"/>
      <c r="J58" s="53"/>
      <c r="L58" s="54"/>
    </row>
    <row r="59" spans="2:12" ht="13.8" hidden="1" outlineLevel="1" x14ac:dyDescent="0.25">
      <c r="B59" s="59">
        <v>44621</v>
      </c>
      <c r="C59" s="62">
        <v>1896.16</v>
      </c>
      <c r="D59" s="60">
        <f t="shared" si="0"/>
        <v>0.21644630060881354</v>
      </c>
      <c r="E59" s="55"/>
      <c r="F59" s="59">
        <v>44621</v>
      </c>
      <c r="G59" s="62">
        <v>17464.75</v>
      </c>
      <c r="H59" s="60">
        <f t="shared" si="1"/>
        <v>2.1178128407752128E-2</v>
      </c>
      <c r="I59" s="53"/>
      <c r="J59" s="53"/>
      <c r="L59" s="54"/>
    </row>
    <row r="60" spans="2:12" ht="13.8" hidden="1" outlineLevel="1" x14ac:dyDescent="0.25">
      <c r="B60" s="59">
        <v>44593</v>
      </c>
      <c r="C60" s="62">
        <v>1705.99</v>
      </c>
      <c r="D60" s="60">
        <f t="shared" si="0"/>
        <v>-0.10029216943717834</v>
      </c>
      <c r="E60" s="55"/>
      <c r="F60" s="59">
        <v>44593</v>
      </c>
      <c r="G60" s="62">
        <v>16793.900000000001</v>
      </c>
      <c r="H60" s="60">
        <f t="shared" si="1"/>
        <v>-3.841165776778932E-2</v>
      </c>
      <c r="I60" s="53"/>
      <c r="J60" s="53"/>
      <c r="L60" s="54"/>
    </row>
    <row r="61" spans="2:12" ht="13.8" hidden="1" outlineLevel="1" x14ac:dyDescent="0.25">
      <c r="B61" s="59">
        <v>44562</v>
      </c>
      <c r="C61" s="62">
        <v>1726.47</v>
      </c>
      <c r="D61" s="60">
        <f t="shared" si="0"/>
        <v>1.200475969964665E-2</v>
      </c>
      <c r="E61" s="55"/>
      <c r="F61" s="59">
        <v>44562</v>
      </c>
      <c r="G61" s="62">
        <v>17339.849999999999</v>
      </c>
      <c r="H61" s="60">
        <f t="shared" si="1"/>
        <v>3.2508827610024937E-2</v>
      </c>
      <c r="I61" s="53"/>
      <c r="J61" s="53"/>
      <c r="L61" s="54"/>
    </row>
    <row r="62" spans="2:12" ht="13.8" hidden="1" outlineLevel="1" x14ac:dyDescent="0.25">
      <c r="B62" s="59">
        <v>44531</v>
      </c>
      <c r="C62" s="62">
        <v>1877.17</v>
      </c>
      <c r="D62" s="60">
        <f t="shared" si="0"/>
        <v>8.7287934340011697E-2</v>
      </c>
      <c r="E62" s="55"/>
      <c r="F62" s="59">
        <v>44531</v>
      </c>
      <c r="G62" s="62">
        <v>17354.05</v>
      </c>
      <c r="H62" s="60">
        <f t="shared" si="1"/>
        <v>8.189228857227171E-4</v>
      </c>
      <c r="I62" s="53"/>
      <c r="J62" s="53"/>
      <c r="L62" s="54"/>
    </row>
    <row r="63" spans="2:12" ht="13.8" hidden="1" outlineLevel="1" x14ac:dyDescent="0.25">
      <c r="B63" s="59">
        <v>44501</v>
      </c>
      <c r="C63" s="62">
        <v>1703.05</v>
      </c>
      <c r="D63" s="60">
        <f t="shared" si="0"/>
        <v>-9.275664963748631E-2</v>
      </c>
      <c r="E63" s="55"/>
      <c r="F63" s="59">
        <v>44501</v>
      </c>
      <c r="G63" s="62">
        <v>16983.2</v>
      </c>
      <c r="H63" s="60">
        <f t="shared" si="1"/>
        <v>-2.1369651464643646E-2</v>
      </c>
      <c r="I63" s="53"/>
      <c r="J63" s="53"/>
      <c r="L63" s="54"/>
    </row>
    <row r="64" spans="2:12" ht="13.8" hidden="1" outlineLevel="1" x14ac:dyDescent="0.25">
      <c r="B64" s="59">
        <v>44470</v>
      </c>
      <c r="C64" s="62">
        <v>1658.4</v>
      </c>
      <c r="D64" s="60">
        <f t="shared" si="0"/>
        <v>-2.6217668300989372E-2</v>
      </c>
      <c r="E64" s="55"/>
      <c r="F64" s="59">
        <v>44470</v>
      </c>
      <c r="G64" s="62">
        <v>17671.650000000001</v>
      </c>
      <c r="H64" s="60">
        <f t="shared" si="1"/>
        <v>4.0537119035281899E-2</v>
      </c>
      <c r="I64" s="53"/>
      <c r="J64" s="53"/>
      <c r="L64" s="54"/>
    </row>
    <row r="65" spans="2:12" ht="13.8" hidden="1" outlineLevel="1" x14ac:dyDescent="0.25">
      <c r="B65" s="59">
        <v>44440</v>
      </c>
      <c r="C65" s="62">
        <v>1665.81</v>
      </c>
      <c r="D65" s="60">
        <f t="shared" si="0"/>
        <v>4.4681620839361891E-3</v>
      </c>
      <c r="E65" s="55"/>
      <c r="F65" s="59">
        <v>44440</v>
      </c>
      <c r="G65" s="62">
        <v>17618.150000000001</v>
      </c>
      <c r="H65" s="60">
        <f t="shared" si="1"/>
        <v>-3.0274479179929203E-3</v>
      </c>
      <c r="I65" s="53"/>
      <c r="J65" s="53"/>
      <c r="L65" s="54"/>
    </row>
    <row r="66" spans="2:12" ht="13.8" hidden="1" outlineLevel="1" x14ac:dyDescent="0.25">
      <c r="B66" s="59">
        <v>44409</v>
      </c>
      <c r="C66" s="62">
        <v>1696.89</v>
      </c>
      <c r="D66" s="60">
        <f t="shared" si="0"/>
        <v>1.865759000126066E-2</v>
      </c>
      <c r="E66" s="55"/>
      <c r="F66" s="59">
        <v>44409</v>
      </c>
      <c r="G66" s="62">
        <v>17132.2</v>
      </c>
      <c r="H66" s="60">
        <f t="shared" si="1"/>
        <v>-2.7582351154917029E-2</v>
      </c>
      <c r="I66" s="53"/>
      <c r="J66" s="53"/>
      <c r="L66" s="54"/>
    </row>
    <row r="67" spans="2:12" ht="13.8" hidden="1" outlineLevel="1" x14ac:dyDescent="0.25">
      <c r="B67" s="59">
        <v>44378</v>
      </c>
      <c r="C67" s="62">
        <v>1601.47</v>
      </c>
      <c r="D67" s="60">
        <f t="shared" si="0"/>
        <v>-5.6232283766184055E-2</v>
      </c>
      <c r="E67" s="55"/>
      <c r="F67" s="59">
        <v>44378</v>
      </c>
      <c r="G67" s="62">
        <v>15763.05</v>
      </c>
      <c r="H67" s="60">
        <f t="shared" si="1"/>
        <v>-7.9916764922193351E-2</v>
      </c>
      <c r="I67" s="53"/>
      <c r="J67" s="53"/>
      <c r="L67" s="54"/>
    </row>
    <row r="68" spans="2:12" ht="13.8" hidden="1" outlineLevel="1" x14ac:dyDescent="0.25">
      <c r="B68" s="59">
        <v>44348</v>
      </c>
      <c r="C68" s="62">
        <v>1571.94</v>
      </c>
      <c r="D68" s="60">
        <f t="shared" si="0"/>
        <v>-1.8439308884961925E-2</v>
      </c>
      <c r="E68" s="55"/>
      <c r="F68" s="59">
        <v>44348</v>
      </c>
      <c r="G68" s="62">
        <v>15721.5</v>
      </c>
      <c r="H68" s="60">
        <f t="shared" si="1"/>
        <v>-2.6359111973888183E-3</v>
      </c>
      <c r="I68" s="53"/>
      <c r="J68" s="53"/>
      <c r="L68" s="54"/>
    </row>
    <row r="69" spans="2:12" ht="13.8" hidden="1" outlineLevel="1" x14ac:dyDescent="0.25">
      <c r="B69" s="59">
        <v>44317</v>
      </c>
      <c r="C69" s="62">
        <v>1385.94</v>
      </c>
      <c r="D69" s="60">
        <f t="shared" si="0"/>
        <v>-0.11832512691324093</v>
      </c>
      <c r="E69" s="55"/>
      <c r="F69" s="59">
        <v>44317</v>
      </c>
      <c r="G69" s="62">
        <v>15582.8</v>
      </c>
      <c r="H69" s="60">
        <f t="shared" si="1"/>
        <v>-8.8223133924880681E-3</v>
      </c>
      <c r="I69" s="53"/>
      <c r="J69" s="53"/>
      <c r="L69" s="54"/>
    </row>
    <row r="70" spans="2:12" ht="13.8" hidden="1" outlineLevel="1" x14ac:dyDescent="0.25">
      <c r="B70" s="59">
        <v>44287</v>
      </c>
      <c r="C70" s="62">
        <v>1346.76</v>
      </c>
      <c r="D70" s="60">
        <f t="shared" si="0"/>
        <v>-2.8269622061561139E-2</v>
      </c>
      <c r="E70" s="55"/>
      <c r="F70" s="59">
        <v>44287</v>
      </c>
      <c r="G70" s="62">
        <v>14631.1</v>
      </c>
      <c r="H70" s="60">
        <f t="shared" si="1"/>
        <v>-6.1073747978540371E-2</v>
      </c>
      <c r="I70" s="53"/>
      <c r="J70" s="53"/>
      <c r="L70" s="54"/>
    </row>
    <row r="71" spans="2:12" ht="13.8" hidden="1" outlineLevel="1" x14ac:dyDescent="0.25">
      <c r="B71" s="59">
        <v>44256</v>
      </c>
      <c r="C71" s="62">
        <v>1360.38</v>
      </c>
      <c r="D71" s="60">
        <f t="shared" si="0"/>
        <v>1.011316047402655E-2</v>
      </c>
      <c r="E71" s="55"/>
      <c r="F71" s="59">
        <v>44256</v>
      </c>
      <c r="G71" s="62">
        <v>14690.7</v>
      </c>
      <c r="H71" s="60">
        <f t="shared" si="1"/>
        <v>4.0735146366301933E-3</v>
      </c>
      <c r="I71" s="53"/>
      <c r="J71" s="53"/>
      <c r="L71" s="54"/>
    </row>
    <row r="72" spans="2:12" ht="13.8" hidden="1" outlineLevel="1" x14ac:dyDescent="0.25">
      <c r="B72" s="59">
        <v>44228</v>
      </c>
      <c r="C72" s="62">
        <v>1246.28</v>
      </c>
      <c r="D72" s="60">
        <f t="shared" si="0"/>
        <v>-8.3873623546362186E-2</v>
      </c>
      <c r="E72" s="55"/>
      <c r="F72" s="59">
        <v>44228</v>
      </c>
      <c r="G72" s="62">
        <v>14529.15</v>
      </c>
      <c r="H72" s="60">
        <f t="shared" si="1"/>
        <v>-1.0996753047846641E-2</v>
      </c>
      <c r="I72" s="53"/>
      <c r="J72" s="53"/>
      <c r="L72" s="54"/>
    </row>
    <row r="73" spans="2:12" ht="13.8" hidden="1" outlineLevel="1" x14ac:dyDescent="0.25">
      <c r="B73" s="59">
        <v>44197</v>
      </c>
      <c r="C73" s="62">
        <v>1232.1099999999999</v>
      </c>
      <c r="D73" s="60">
        <f t="shared" si="0"/>
        <v>-1.1369836633822294E-2</v>
      </c>
      <c r="E73" s="55"/>
      <c r="F73" s="59">
        <v>44197</v>
      </c>
      <c r="G73" s="62">
        <v>13634.6</v>
      </c>
      <c r="H73" s="60">
        <f t="shared" si="1"/>
        <v>-6.156932786845748E-2</v>
      </c>
      <c r="I73" s="53"/>
      <c r="J73" s="53"/>
      <c r="L73" s="54"/>
    </row>
    <row r="74" spans="2:12" ht="13.8" hidden="1" outlineLevel="1" x14ac:dyDescent="0.25">
      <c r="B74" s="59">
        <v>44166</v>
      </c>
      <c r="C74" s="62">
        <v>1248.76</v>
      </c>
      <c r="D74" s="60">
        <f t="shared" si="0"/>
        <v>1.3513403835696547E-2</v>
      </c>
      <c r="E74" s="55"/>
      <c r="F74" s="59">
        <v>44166</v>
      </c>
      <c r="G74" s="62">
        <v>13981.75</v>
      </c>
      <c r="H74" s="60">
        <f t="shared" si="1"/>
        <v>2.5460959617443768E-2</v>
      </c>
      <c r="I74" s="53"/>
      <c r="J74" s="53"/>
      <c r="L74" s="54"/>
    </row>
    <row r="75" spans="2:12" ht="13.8" hidden="1" outlineLevel="1" x14ac:dyDescent="0.25">
      <c r="B75" s="59">
        <v>44136</v>
      </c>
      <c r="C75" s="62">
        <v>1093.8399999999999</v>
      </c>
      <c r="D75" s="60">
        <f t="shared" si="0"/>
        <v>-0.12405906659406141</v>
      </c>
      <c r="E75" s="55"/>
      <c r="F75" s="59">
        <v>44136</v>
      </c>
      <c r="G75" s="62">
        <v>12968.95</v>
      </c>
      <c r="H75" s="60">
        <f t="shared" si="1"/>
        <v>-7.2437284317056094E-2</v>
      </c>
      <c r="I75" s="53"/>
      <c r="J75" s="53"/>
      <c r="L75" s="54"/>
    </row>
    <row r="76" spans="2:12" ht="13.8" hidden="1" outlineLevel="1" x14ac:dyDescent="0.25">
      <c r="B76" s="59">
        <v>44105</v>
      </c>
      <c r="C76" s="62">
        <v>1054.6600000000001</v>
      </c>
      <c r="D76" s="60">
        <f t="shared" si="0"/>
        <v>-3.5818766912893873E-2</v>
      </c>
      <c r="E76" s="55"/>
      <c r="F76" s="59">
        <v>44105</v>
      </c>
      <c r="G76" s="62">
        <v>11642.4</v>
      </c>
      <c r="H76" s="60">
        <f t="shared" si="1"/>
        <v>-0.10228661533894423</v>
      </c>
      <c r="I76" s="53"/>
      <c r="J76" s="53"/>
      <c r="L76" s="54"/>
    </row>
    <row r="77" spans="2:12" ht="13.8" hidden="1" outlineLevel="1" x14ac:dyDescent="0.25">
      <c r="B77" s="59">
        <v>44075</v>
      </c>
      <c r="C77" s="62">
        <v>1002.6</v>
      </c>
      <c r="D77" s="60">
        <f t="shared" ref="D77:D140" si="2">C77/C76-1</f>
        <v>-4.9361879657899288E-2</v>
      </c>
      <c r="E77" s="55"/>
      <c r="F77" s="59">
        <v>44075</v>
      </c>
      <c r="G77" s="62">
        <v>11247.55</v>
      </c>
      <c r="H77" s="60">
        <f t="shared" ref="H77:H140" si="3">G77/G76-1</f>
        <v>-3.3914828557685683E-2</v>
      </c>
      <c r="I77" s="53"/>
      <c r="J77" s="53"/>
      <c r="L77" s="54"/>
    </row>
    <row r="78" spans="2:12" ht="13.8" hidden="1" outlineLevel="1" x14ac:dyDescent="0.25">
      <c r="B78" s="59">
        <v>44044</v>
      </c>
      <c r="C78" s="64">
        <v>923.4</v>
      </c>
      <c r="D78" s="60">
        <f t="shared" si="2"/>
        <v>-7.8994614003590757E-2</v>
      </c>
      <c r="E78" s="56"/>
      <c r="F78" s="59">
        <v>44044</v>
      </c>
      <c r="G78" s="62">
        <v>11387.5</v>
      </c>
      <c r="H78" s="60">
        <f t="shared" si="3"/>
        <v>1.2442709745678071E-2</v>
      </c>
      <c r="I78" s="53"/>
      <c r="J78" s="53"/>
      <c r="L78" s="54"/>
    </row>
    <row r="79" spans="2:12" ht="13.8" hidden="1" outlineLevel="1" x14ac:dyDescent="0.25">
      <c r="B79" s="59">
        <v>44013</v>
      </c>
      <c r="C79" s="64">
        <v>960.59</v>
      </c>
      <c r="D79" s="60">
        <f t="shared" si="2"/>
        <v>4.0275070392029599E-2</v>
      </c>
      <c r="E79" s="56"/>
      <c r="F79" s="59">
        <v>44013</v>
      </c>
      <c r="G79" s="62">
        <v>11073.45</v>
      </c>
      <c r="H79" s="60">
        <f t="shared" si="3"/>
        <v>-2.7578485181119605E-2</v>
      </c>
      <c r="I79" s="53"/>
      <c r="J79" s="53"/>
      <c r="L79" s="54"/>
    </row>
    <row r="80" spans="2:12" ht="13.8" hidden="1" outlineLevel="1" x14ac:dyDescent="0.25">
      <c r="B80" s="59">
        <v>43983</v>
      </c>
      <c r="C80" s="64">
        <v>731.83</v>
      </c>
      <c r="D80" s="60">
        <f t="shared" si="2"/>
        <v>-0.23814530653036148</v>
      </c>
      <c r="E80" s="56"/>
      <c r="F80" s="59">
        <v>43983</v>
      </c>
      <c r="G80" s="62">
        <v>10302.1</v>
      </c>
      <c r="H80" s="60">
        <f t="shared" si="3"/>
        <v>-6.9657604450284238E-2</v>
      </c>
      <c r="I80" s="53"/>
      <c r="J80" s="53"/>
      <c r="L80" s="54"/>
    </row>
    <row r="81" spans="2:12" ht="13.8" hidden="1" outlineLevel="1" x14ac:dyDescent="0.25">
      <c r="B81" s="59">
        <v>43952</v>
      </c>
      <c r="C81" s="64">
        <v>687.13</v>
      </c>
      <c r="D81" s="60">
        <f t="shared" si="2"/>
        <v>-6.1079758960414399E-2</v>
      </c>
      <c r="E81" s="56"/>
      <c r="F81" s="59">
        <v>43952</v>
      </c>
      <c r="G81" s="62">
        <v>9580.2999999999993</v>
      </c>
      <c r="H81" s="60">
        <f t="shared" si="3"/>
        <v>-7.00633851350696E-2</v>
      </c>
      <c r="I81" s="53"/>
      <c r="J81" s="53"/>
      <c r="L81" s="54"/>
    </row>
    <row r="82" spans="2:12" ht="13.8" hidden="1" outlineLevel="1" x14ac:dyDescent="0.25">
      <c r="B82" s="59">
        <v>43922</v>
      </c>
      <c r="C82" s="64">
        <v>711.49</v>
      </c>
      <c r="D82" s="60">
        <f t="shared" si="2"/>
        <v>3.5451806790563589E-2</v>
      </c>
      <c r="E82" s="56"/>
      <c r="F82" s="59">
        <v>43922</v>
      </c>
      <c r="G82" s="62">
        <v>9859.9</v>
      </c>
      <c r="H82" s="60">
        <f t="shared" si="3"/>
        <v>2.9184889825997207E-2</v>
      </c>
      <c r="I82" s="53"/>
      <c r="J82" s="53"/>
      <c r="L82" s="54"/>
    </row>
    <row r="83" spans="2:12" ht="13.8" hidden="1" outlineLevel="1" x14ac:dyDescent="0.25">
      <c r="B83" s="59">
        <v>43891</v>
      </c>
      <c r="C83" s="64">
        <v>637.91</v>
      </c>
      <c r="D83" s="60">
        <f t="shared" si="2"/>
        <v>-0.10341677325050247</v>
      </c>
      <c r="E83" s="56"/>
      <c r="F83" s="59">
        <v>43891</v>
      </c>
      <c r="G83" s="62">
        <v>8597.75</v>
      </c>
      <c r="H83" s="60">
        <f t="shared" si="3"/>
        <v>-0.12800839765109173</v>
      </c>
      <c r="I83" s="53"/>
      <c r="J83" s="53"/>
      <c r="L83" s="54"/>
    </row>
    <row r="84" spans="2:12" ht="13.8" hidden="1" outlineLevel="1" x14ac:dyDescent="0.25">
      <c r="B84" s="59">
        <v>43862</v>
      </c>
      <c r="C84" s="64">
        <v>727.6</v>
      </c>
      <c r="D84" s="60">
        <f t="shared" si="2"/>
        <v>0.14059977112758859</v>
      </c>
      <c r="E84" s="56"/>
      <c r="F84" s="59">
        <v>43862</v>
      </c>
      <c r="G84" s="62">
        <v>11201.75</v>
      </c>
      <c r="H84" s="60">
        <f t="shared" si="3"/>
        <v>0.3028699369020964</v>
      </c>
      <c r="I84" s="53"/>
      <c r="J84" s="53"/>
      <c r="L84" s="54"/>
    </row>
    <row r="85" spans="2:12" ht="13.8" hidden="1" outlineLevel="1" x14ac:dyDescent="0.25">
      <c r="B85" s="59">
        <v>43831</v>
      </c>
      <c r="C85" s="64">
        <v>771.6</v>
      </c>
      <c r="D85" s="60">
        <f t="shared" si="2"/>
        <v>6.0472787245739346E-2</v>
      </c>
      <c r="E85" s="56"/>
      <c r="F85" s="59">
        <v>43831</v>
      </c>
      <c r="G85" s="62">
        <v>11962.1</v>
      </c>
      <c r="H85" s="60">
        <f t="shared" si="3"/>
        <v>6.7877786952931451E-2</v>
      </c>
      <c r="I85" s="53"/>
      <c r="J85" s="53"/>
      <c r="L85" s="54"/>
    </row>
    <row r="86" spans="2:12" ht="13.8" hidden="1" outlineLevel="1" x14ac:dyDescent="0.25">
      <c r="B86" s="59">
        <v>43800</v>
      </c>
      <c r="C86" s="64">
        <v>727.05</v>
      </c>
      <c r="D86" s="60">
        <f t="shared" si="2"/>
        <v>-5.773716951788499E-2</v>
      </c>
      <c r="E86" s="56"/>
      <c r="F86" s="59">
        <v>43800</v>
      </c>
      <c r="G86" s="62">
        <v>12168.45</v>
      </c>
      <c r="H86" s="60">
        <f t="shared" si="3"/>
        <v>1.725031558004031E-2</v>
      </c>
      <c r="I86" s="53"/>
      <c r="J86" s="53"/>
      <c r="L86" s="54"/>
    </row>
    <row r="87" spans="2:12" ht="13.8" hidden="1" outlineLevel="1" x14ac:dyDescent="0.25">
      <c r="B87" s="59">
        <v>43770</v>
      </c>
      <c r="C87" s="64">
        <v>692.45</v>
      </c>
      <c r="D87" s="60">
        <f t="shared" si="2"/>
        <v>-4.7589574307131399E-2</v>
      </c>
      <c r="E87" s="56"/>
      <c r="F87" s="59">
        <v>43770</v>
      </c>
      <c r="G87" s="62">
        <v>12056.05</v>
      </c>
      <c r="H87" s="60">
        <f t="shared" si="3"/>
        <v>-9.2370022476159219E-3</v>
      </c>
      <c r="I87" s="53"/>
      <c r="J87" s="53"/>
      <c r="L87" s="54"/>
    </row>
    <row r="88" spans="2:12" ht="13.8" hidden="1" outlineLevel="1" x14ac:dyDescent="0.25">
      <c r="B88" s="59">
        <v>43739</v>
      </c>
      <c r="C88" s="64">
        <v>681.76</v>
      </c>
      <c r="D88" s="60">
        <f t="shared" si="2"/>
        <v>-1.5437937757238895E-2</v>
      </c>
      <c r="E88" s="56"/>
      <c r="F88" s="59">
        <v>43739</v>
      </c>
      <c r="G88" s="62">
        <v>11877.45</v>
      </c>
      <c r="H88" s="60">
        <f t="shared" si="3"/>
        <v>-1.4814138959277634E-2</v>
      </c>
      <c r="I88" s="53"/>
      <c r="J88" s="53"/>
      <c r="L88" s="54"/>
    </row>
    <row r="89" spans="2:12" ht="13.8" hidden="1" outlineLevel="1" x14ac:dyDescent="0.25">
      <c r="B89" s="59">
        <v>43709</v>
      </c>
      <c r="C89" s="64">
        <v>801.14</v>
      </c>
      <c r="D89" s="60">
        <f t="shared" si="2"/>
        <v>0.17510560901196892</v>
      </c>
      <c r="E89" s="56"/>
      <c r="F89" s="59">
        <v>43709</v>
      </c>
      <c r="G89" s="62">
        <v>11474.45</v>
      </c>
      <c r="H89" s="60">
        <f t="shared" si="3"/>
        <v>-3.3929841843156616E-2</v>
      </c>
      <c r="I89" s="53"/>
      <c r="J89" s="53"/>
      <c r="L89" s="54"/>
    </row>
    <row r="90" spans="2:12" ht="13.8" hidden="1" outlineLevel="1" x14ac:dyDescent="0.25">
      <c r="B90" s="59">
        <v>43678</v>
      </c>
      <c r="C90" s="64">
        <v>810.33</v>
      </c>
      <c r="D90" s="60">
        <f t="shared" si="2"/>
        <v>1.1471153606111395E-2</v>
      </c>
      <c r="E90" s="56"/>
      <c r="F90" s="59">
        <v>43678</v>
      </c>
      <c r="G90" s="62">
        <v>11023.25</v>
      </c>
      <c r="H90" s="60">
        <f t="shared" si="3"/>
        <v>-3.9322146159511018E-2</v>
      </c>
      <c r="I90" s="53"/>
      <c r="J90" s="53"/>
      <c r="L90" s="54"/>
    </row>
    <row r="91" spans="2:12" ht="13.8" hidden="1" outlineLevel="1" x14ac:dyDescent="0.25">
      <c r="B91" s="59">
        <v>43647</v>
      </c>
      <c r="C91" s="64">
        <v>789.2</v>
      </c>
      <c r="D91" s="60">
        <f t="shared" si="2"/>
        <v>-2.6075796280527697E-2</v>
      </c>
      <c r="E91" s="56"/>
      <c r="F91" s="59">
        <v>43647</v>
      </c>
      <c r="G91" s="62">
        <v>11118</v>
      </c>
      <c r="H91" s="60">
        <f t="shared" si="3"/>
        <v>8.5954686684961423E-3</v>
      </c>
      <c r="I91" s="53"/>
      <c r="J91" s="53"/>
      <c r="L91" s="54"/>
    </row>
    <row r="92" spans="2:12" ht="13.8" hidden="1" outlineLevel="1" x14ac:dyDescent="0.25">
      <c r="B92" s="59">
        <v>43617</v>
      </c>
      <c r="C92" s="64">
        <v>727.9</v>
      </c>
      <c r="D92" s="60">
        <f t="shared" si="2"/>
        <v>-7.767359351241776E-2</v>
      </c>
      <c r="E92" s="56"/>
      <c r="F92" s="59">
        <v>43617</v>
      </c>
      <c r="G92" s="62">
        <v>11788.85</v>
      </c>
      <c r="H92" s="60">
        <f t="shared" si="3"/>
        <v>6.0339089764346099E-2</v>
      </c>
      <c r="I92" s="53"/>
      <c r="J92" s="53"/>
      <c r="L92" s="54"/>
    </row>
    <row r="93" spans="2:12" ht="13.8" hidden="1" outlineLevel="1" x14ac:dyDescent="0.25">
      <c r="B93" s="59">
        <v>43586</v>
      </c>
      <c r="C93" s="64">
        <v>733.62</v>
      </c>
      <c r="D93" s="60">
        <f t="shared" si="2"/>
        <v>7.8582222832808135E-3</v>
      </c>
      <c r="E93" s="56"/>
      <c r="F93" s="59">
        <v>43586</v>
      </c>
      <c r="G93" s="62">
        <v>11922.8</v>
      </c>
      <c r="H93" s="60">
        <f t="shared" si="3"/>
        <v>1.1362431450056443E-2</v>
      </c>
      <c r="I93" s="53"/>
      <c r="J93" s="53"/>
      <c r="L93" s="54"/>
    </row>
    <row r="94" spans="2:12" ht="13.8" hidden="1" outlineLevel="1" x14ac:dyDescent="0.25">
      <c r="B94" s="59">
        <v>43556</v>
      </c>
      <c r="C94" s="64">
        <v>747.14</v>
      </c>
      <c r="D94" s="60">
        <f t="shared" si="2"/>
        <v>1.8429159510373161E-2</v>
      </c>
      <c r="E94" s="56"/>
      <c r="F94" s="59">
        <v>43556</v>
      </c>
      <c r="G94" s="62">
        <v>11748.15</v>
      </c>
      <c r="H94" s="60">
        <f t="shared" si="3"/>
        <v>-1.464840473714224E-2</v>
      </c>
      <c r="I94" s="53"/>
      <c r="J94" s="53"/>
      <c r="L94" s="54"/>
    </row>
    <row r="95" spans="2:12" ht="13.8" hidden="1" outlineLevel="1" x14ac:dyDescent="0.25">
      <c r="B95" s="59">
        <v>43525</v>
      </c>
      <c r="C95" s="64">
        <v>739.68</v>
      </c>
      <c r="D95" s="60">
        <f t="shared" si="2"/>
        <v>-9.9847418154562773E-3</v>
      </c>
      <c r="E95" s="56"/>
      <c r="F95" s="59">
        <v>43525</v>
      </c>
      <c r="G95" s="62">
        <v>11623.9</v>
      </c>
      <c r="H95" s="60">
        <f t="shared" si="3"/>
        <v>-1.0576133263535126E-2</v>
      </c>
      <c r="I95" s="53"/>
      <c r="J95" s="53"/>
      <c r="L95" s="54"/>
    </row>
    <row r="96" spans="2:12" ht="13.8" hidden="1" outlineLevel="1" x14ac:dyDescent="0.25">
      <c r="B96" s="59">
        <v>43497</v>
      </c>
      <c r="C96" s="64">
        <v>730.18</v>
      </c>
      <c r="D96" s="60">
        <f t="shared" si="2"/>
        <v>-1.2843391736967358E-2</v>
      </c>
      <c r="E96" s="56"/>
      <c r="F96" s="59">
        <v>43497</v>
      </c>
      <c r="G96" s="62">
        <v>10792.5</v>
      </c>
      <c r="H96" s="60">
        <f t="shared" si="3"/>
        <v>-7.1525047531379338E-2</v>
      </c>
      <c r="I96" s="53"/>
      <c r="J96" s="53"/>
      <c r="L96" s="54"/>
    </row>
    <row r="97" spans="2:12" ht="13.8" hidden="1" outlineLevel="1" x14ac:dyDescent="0.25">
      <c r="B97" s="59">
        <v>43466</v>
      </c>
      <c r="C97" s="64">
        <v>745.35</v>
      </c>
      <c r="D97" s="60">
        <f t="shared" si="2"/>
        <v>2.0775699142677295E-2</v>
      </c>
      <c r="E97" s="56"/>
      <c r="F97" s="59">
        <v>43466</v>
      </c>
      <c r="G97" s="62">
        <v>10830.95</v>
      </c>
      <c r="H97" s="60">
        <f t="shared" si="3"/>
        <v>3.5626592541118107E-3</v>
      </c>
      <c r="I97" s="53"/>
      <c r="J97" s="53"/>
      <c r="L97" s="54"/>
    </row>
    <row r="98" spans="2:12" ht="13.8" hidden="1" outlineLevel="1" x14ac:dyDescent="0.25">
      <c r="B98" s="59">
        <v>43435</v>
      </c>
      <c r="C98" s="64">
        <v>651.66999999999996</v>
      </c>
      <c r="D98" s="60">
        <f t="shared" si="2"/>
        <v>-0.12568591936674056</v>
      </c>
      <c r="E98" s="56"/>
      <c r="F98" s="59">
        <v>43435</v>
      </c>
      <c r="G98" s="62">
        <v>10862.55</v>
      </c>
      <c r="H98" s="60">
        <f t="shared" si="3"/>
        <v>2.9175649412100935E-3</v>
      </c>
      <c r="I98" s="53"/>
      <c r="J98" s="53"/>
      <c r="L98" s="54"/>
    </row>
    <row r="99" spans="2:12" ht="13.8" hidden="1" outlineLevel="1" x14ac:dyDescent="0.25">
      <c r="B99" s="59">
        <v>43405</v>
      </c>
      <c r="C99" s="64">
        <v>660.08</v>
      </c>
      <c r="D99" s="60">
        <f t="shared" si="2"/>
        <v>1.2905304832200537E-2</v>
      </c>
      <c r="E99" s="56"/>
      <c r="F99" s="59">
        <v>43405</v>
      </c>
      <c r="G99" s="62">
        <v>10876.75</v>
      </c>
      <c r="H99" s="60">
        <f t="shared" si="3"/>
        <v>1.3072436950809507E-3</v>
      </c>
      <c r="I99" s="53"/>
      <c r="J99" s="53"/>
      <c r="L99" s="54"/>
    </row>
    <row r="100" spans="2:12" ht="13.8" hidden="1" outlineLevel="1" x14ac:dyDescent="0.25">
      <c r="B100" s="59">
        <v>43374</v>
      </c>
      <c r="C100" s="64">
        <v>678.82</v>
      </c>
      <c r="D100" s="60">
        <f t="shared" si="2"/>
        <v>2.8390498121439789E-2</v>
      </c>
      <c r="E100" s="56"/>
      <c r="F100" s="59">
        <v>43374</v>
      </c>
      <c r="G100" s="62">
        <v>10386.6</v>
      </c>
      <c r="H100" s="60">
        <f t="shared" si="3"/>
        <v>-4.5064012687613508E-2</v>
      </c>
      <c r="I100" s="53"/>
      <c r="J100" s="53"/>
      <c r="L100" s="54"/>
    </row>
    <row r="101" spans="2:12" ht="13.8" hidden="1" outlineLevel="1" x14ac:dyDescent="0.25">
      <c r="B101" s="59">
        <v>43344</v>
      </c>
      <c r="C101" s="64">
        <v>721.99</v>
      </c>
      <c r="D101" s="60">
        <f t="shared" si="2"/>
        <v>6.3595651277216225E-2</v>
      </c>
      <c r="E101" s="56"/>
      <c r="F101" s="59">
        <v>43344</v>
      </c>
      <c r="G101" s="62">
        <v>10930.45</v>
      </c>
      <c r="H101" s="60">
        <f t="shared" si="3"/>
        <v>5.2360734022683042E-2</v>
      </c>
      <c r="I101" s="53"/>
      <c r="J101" s="53"/>
      <c r="L101" s="54"/>
    </row>
    <row r="102" spans="2:12" ht="13.8" hidden="1" outlineLevel="1" x14ac:dyDescent="0.25">
      <c r="B102" s="59">
        <v>43313</v>
      </c>
      <c r="C102" s="64">
        <v>712.59</v>
      </c>
      <c r="D102" s="60">
        <f t="shared" si="2"/>
        <v>-1.3019570908184286E-2</v>
      </c>
      <c r="E102" s="56"/>
      <c r="F102" s="59">
        <v>43313</v>
      </c>
      <c r="G102" s="62">
        <v>11680.5</v>
      </c>
      <c r="H102" s="60">
        <f t="shared" si="3"/>
        <v>6.8620230640092483E-2</v>
      </c>
      <c r="I102" s="53"/>
      <c r="J102" s="53"/>
      <c r="L102" s="54"/>
    </row>
    <row r="103" spans="2:12" ht="13.8" hidden="1" outlineLevel="1" x14ac:dyDescent="0.25">
      <c r="B103" s="59">
        <v>43282</v>
      </c>
      <c r="C103" s="64">
        <v>675.01</v>
      </c>
      <c r="D103" s="60">
        <f t="shared" si="2"/>
        <v>-5.2737198108309236E-2</v>
      </c>
      <c r="E103" s="56"/>
      <c r="F103" s="59">
        <v>43282</v>
      </c>
      <c r="G103" s="62">
        <v>11356.5</v>
      </c>
      <c r="H103" s="60">
        <f t="shared" si="3"/>
        <v>-2.7738538589957673E-2</v>
      </c>
      <c r="I103" s="53"/>
      <c r="J103" s="53"/>
      <c r="L103" s="54"/>
    </row>
    <row r="104" spans="2:12" ht="13.8" hidden="1" outlineLevel="1" x14ac:dyDescent="0.25">
      <c r="B104" s="59">
        <v>43252</v>
      </c>
      <c r="C104" s="64">
        <v>646.38</v>
      </c>
      <c r="D104" s="60">
        <f t="shared" si="2"/>
        <v>-4.2414186456496972E-2</v>
      </c>
      <c r="E104" s="56"/>
      <c r="F104" s="59">
        <v>43252</v>
      </c>
      <c r="G104" s="62">
        <v>10714.3</v>
      </c>
      <c r="H104" s="60">
        <f t="shared" si="3"/>
        <v>-5.6549112842865346E-2</v>
      </c>
      <c r="I104" s="53"/>
      <c r="J104" s="53"/>
      <c r="L104" s="54"/>
    </row>
    <row r="105" spans="2:12" ht="13.8" hidden="1" outlineLevel="1" x14ac:dyDescent="0.25">
      <c r="B105" s="59">
        <v>43221</v>
      </c>
      <c r="C105" s="64">
        <v>604.32000000000005</v>
      </c>
      <c r="D105" s="60">
        <f t="shared" si="2"/>
        <v>-6.5070082613942204E-2</v>
      </c>
      <c r="E105" s="56"/>
      <c r="F105" s="59">
        <v>43221</v>
      </c>
      <c r="G105" s="62">
        <v>10736.15</v>
      </c>
      <c r="H105" s="60">
        <f t="shared" si="3"/>
        <v>2.0393306142258982E-3</v>
      </c>
      <c r="I105" s="53"/>
      <c r="J105" s="53"/>
      <c r="L105" s="54"/>
    </row>
    <row r="106" spans="2:12" ht="13.8" hidden="1" outlineLevel="1" x14ac:dyDescent="0.25">
      <c r="B106" s="59">
        <v>43191</v>
      </c>
      <c r="C106" s="64">
        <v>588.48</v>
      </c>
      <c r="D106" s="60">
        <f t="shared" si="2"/>
        <v>-2.6211278792692694E-2</v>
      </c>
      <c r="E106" s="56"/>
      <c r="F106" s="59">
        <v>43191</v>
      </c>
      <c r="G106" s="62">
        <v>10739.35</v>
      </c>
      <c r="H106" s="60">
        <f t="shared" si="3"/>
        <v>2.9805842876640121E-4</v>
      </c>
      <c r="I106" s="53"/>
      <c r="J106" s="53"/>
      <c r="L106" s="54"/>
    </row>
    <row r="107" spans="2:12" ht="13.8" hidden="1" outlineLevel="1" x14ac:dyDescent="0.25">
      <c r="B107" s="59">
        <v>43160</v>
      </c>
      <c r="C107" s="64">
        <v>555.26</v>
      </c>
      <c r="D107" s="60">
        <f t="shared" si="2"/>
        <v>-5.6450516585100696E-2</v>
      </c>
      <c r="E107" s="56"/>
      <c r="F107" s="59">
        <v>43160</v>
      </c>
      <c r="G107" s="62">
        <v>10113.700000000001</v>
      </c>
      <c r="H107" s="60">
        <f t="shared" si="3"/>
        <v>-5.8257715783543662E-2</v>
      </c>
      <c r="I107" s="53"/>
      <c r="J107" s="53"/>
      <c r="L107" s="54"/>
    </row>
    <row r="108" spans="2:12" ht="13.8" hidden="1" outlineLevel="1" x14ac:dyDescent="0.25">
      <c r="B108" s="59">
        <v>43132</v>
      </c>
      <c r="C108" s="64">
        <v>575.28</v>
      </c>
      <c r="D108" s="60">
        <f t="shared" si="2"/>
        <v>3.6055181356481558E-2</v>
      </c>
      <c r="E108" s="56"/>
      <c r="F108" s="59">
        <v>43132</v>
      </c>
      <c r="G108" s="62">
        <v>10492.85</v>
      </c>
      <c r="H108" s="60">
        <f t="shared" si="3"/>
        <v>3.748875287975717E-2</v>
      </c>
      <c r="I108" s="53"/>
      <c r="J108" s="53"/>
      <c r="L108" s="54"/>
    </row>
    <row r="109" spans="2:12" ht="13.8" hidden="1" outlineLevel="1" x14ac:dyDescent="0.25">
      <c r="B109" s="59">
        <v>43101</v>
      </c>
      <c r="C109" s="64">
        <v>564.30999999999995</v>
      </c>
      <c r="D109" s="60">
        <f t="shared" si="2"/>
        <v>-1.9068975107773611E-2</v>
      </c>
      <c r="E109" s="56"/>
      <c r="F109" s="59">
        <v>43101</v>
      </c>
      <c r="G109" s="62">
        <v>11027.7</v>
      </c>
      <c r="H109" s="60">
        <f t="shared" si="3"/>
        <v>5.0972805291222167E-2</v>
      </c>
      <c r="I109" s="53"/>
      <c r="J109" s="53"/>
      <c r="L109" s="54"/>
    </row>
    <row r="110" spans="2:12" ht="13.8" hidden="1" outlineLevel="1" x14ac:dyDescent="0.25">
      <c r="B110" s="59">
        <v>43070</v>
      </c>
      <c r="C110" s="64">
        <v>511.23</v>
      </c>
      <c r="D110" s="60">
        <f t="shared" si="2"/>
        <v>-9.4061774556537969E-2</v>
      </c>
      <c r="E110" s="56"/>
      <c r="F110" s="59">
        <v>43070</v>
      </c>
      <c r="G110" s="62">
        <v>10530.7</v>
      </c>
      <c r="H110" s="60">
        <f t="shared" si="3"/>
        <v>-4.5068327937829333E-2</v>
      </c>
      <c r="I110" s="53"/>
      <c r="J110" s="53"/>
      <c r="L110" s="54"/>
    </row>
    <row r="111" spans="2:12" ht="13.8" hidden="1" outlineLevel="1" x14ac:dyDescent="0.25">
      <c r="B111" s="59">
        <v>43040</v>
      </c>
      <c r="C111" s="64">
        <v>478.88</v>
      </c>
      <c r="D111" s="60">
        <f t="shared" si="2"/>
        <v>-6.3278759071259572E-2</v>
      </c>
      <c r="E111" s="56"/>
      <c r="F111" s="59">
        <v>43040</v>
      </c>
      <c r="G111" s="62">
        <v>10226.549999999999</v>
      </c>
      <c r="H111" s="60">
        <f t="shared" si="3"/>
        <v>-2.8882220555138893E-2</v>
      </c>
      <c r="I111" s="53"/>
      <c r="J111" s="53"/>
      <c r="L111" s="54"/>
    </row>
    <row r="112" spans="2:12" ht="13.8" hidden="1" outlineLevel="1" x14ac:dyDescent="0.25">
      <c r="B112" s="59">
        <v>43009</v>
      </c>
      <c r="C112" s="64">
        <v>452.26</v>
      </c>
      <c r="D112" s="60">
        <f t="shared" si="2"/>
        <v>-5.5588038757099945E-2</v>
      </c>
      <c r="E112" s="56"/>
      <c r="F112" s="59">
        <v>43009</v>
      </c>
      <c r="G112" s="62">
        <v>10335.299999999999</v>
      </c>
      <c r="H112" s="60">
        <f t="shared" si="3"/>
        <v>1.0634084808659905E-2</v>
      </c>
      <c r="I112" s="53"/>
      <c r="J112" s="53"/>
      <c r="L112" s="54"/>
    </row>
    <row r="113" spans="2:12" ht="13.8" hidden="1" outlineLevel="1" x14ac:dyDescent="0.25">
      <c r="B113" s="59">
        <v>42979</v>
      </c>
      <c r="C113" s="64">
        <v>441.49</v>
      </c>
      <c r="D113" s="60">
        <f t="shared" si="2"/>
        <v>-2.3813735461902352E-2</v>
      </c>
      <c r="E113" s="56"/>
      <c r="F113" s="59">
        <v>42979</v>
      </c>
      <c r="G113" s="62">
        <v>9788.6</v>
      </c>
      <c r="H113" s="60">
        <f t="shared" si="3"/>
        <v>-5.289638423654841E-2</v>
      </c>
      <c r="I113" s="53"/>
      <c r="J113" s="53"/>
      <c r="L113" s="54"/>
    </row>
    <row r="114" spans="2:12" ht="13.8" hidden="1" outlineLevel="1" x14ac:dyDescent="0.25">
      <c r="B114" s="59">
        <v>42948</v>
      </c>
      <c r="C114" s="64">
        <v>448.88</v>
      </c>
      <c r="D114" s="60">
        <f t="shared" si="2"/>
        <v>1.6738770980090134E-2</v>
      </c>
      <c r="E114" s="56"/>
      <c r="F114" s="59">
        <v>42948</v>
      </c>
      <c r="G114" s="62">
        <v>9917.9</v>
      </c>
      <c r="H114" s="60">
        <f t="shared" si="3"/>
        <v>1.3209243405594151E-2</v>
      </c>
      <c r="I114" s="53"/>
      <c r="J114" s="53"/>
      <c r="L114" s="54"/>
    </row>
    <row r="115" spans="2:12" ht="13.8" hidden="1" outlineLevel="1" x14ac:dyDescent="0.25">
      <c r="B115" s="59">
        <v>42917</v>
      </c>
      <c r="C115" s="64">
        <v>496.1</v>
      </c>
      <c r="D115" s="60">
        <f t="shared" si="2"/>
        <v>0.10519515237925514</v>
      </c>
      <c r="E115" s="56"/>
      <c r="F115" s="59">
        <v>42917</v>
      </c>
      <c r="G115" s="62">
        <v>10077.1</v>
      </c>
      <c r="H115" s="60">
        <f t="shared" si="3"/>
        <v>1.6051785156131926E-2</v>
      </c>
      <c r="I115" s="53"/>
      <c r="J115" s="53"/>
      <c r="L115" s="54"/>
    </row>
    <row r="116" spans="2:12" ht="13.8" hidden="1" outlineLevel="1" x14ac:dyDescent="0.25">
      <c r="B116" s="59">
        <v>42887</v>
      </c>
      <c r="C116" s="64">
        <v>458.98</v>
      </c>
      <c r="D116" s="60">
        <f t="shared" si="2"/>
        <v>-7.4823624269300559E-2</v>
      </c>
      <c r="E116" s="56"/>
      <c r="F116" s="59">
        <v>42887</v>
      </c>
      <c r="G116" s="62">
        <v>9520.9</v>
      </c>
      <c r="H116" s="60">
        <f t="shared" si="3"/>
        <v>-5.5194450784451954E-2</v>
      </c>
      <c r="I116" s="53"/>
      <c r="J116" s="53"/>
      <c r="L116" s="54"/>
    </row>
    <row r="117" spans="2:12" ht="13.8" hidden="1" outlineLevel="1" x14ac:dyDescent="0.25">
      <c r="B117" s="59">
        <v>42856</v>
      </c>
      <c r="C117" s="64">
        <v>479.34</v>
      </c>
      <c r="D117" s="60">
        <f t="shared" si="2"/>
        <v>4.4359231339056171E-2</v>
      </c>
      <c r="E117" s="56"/>
      <c r="F117" s="59">
        <v>42856</v>
      </c>
      <c r="G117" s="62">
        <v>9621.25</v>
      </c>
      <c r="H117" s="60">
        <f t="shared" si="3"/>
        <v>1.053996996082307E-2</v>
      </c>
      <c r="I117" s="53"/>
      <c r="J117" s="53"/>
      <c r="L117" s="54"/>
    </row>
    <row r="118" spans="2:12" ht="13.8" hidden="1" outlineLevel="1" x14ac:dyDescent="0.25">
      <c r="B118" s="59">
        <v>42826</v>
      </c>
      <c r="C118" s="64">
        <v>450.84</v>
      </c>
      <c r="D118" s="60">
        <f t="shared" si="2"/>
        <v>-5.9456753035423748E-2</v>
      </c>
      <c r="E118" s="56"/>
      <c r="F118" s="59">
        <v>42826</v>
      </c>
      <c r="G118" s="62">
        <v>9304.0499999999993</v>
      </c>
      <c r="H118" s="60">
        <f t="shared" si="3"/>
        <v>-3.296868909964934E-2</v>
      </c>
      <c r="I118" s="53"/>
      <c r="J118" s="53"/>
      <c r="L118" s="54"/>
    </row>
    <row r="119" spans="2:12" ht="13.8" hidden="1" outlineLevel="1" x14ac:dyDescent="0.25">
      <c r="B119" s="59">
        <v>42795</v>
      </c>
      <c r="C119" s="64">
        <v>501.52</v>
      </c>
      <c r="D119" s="60">
        <f t="shared" si="2"/>
        <v>0.11241238576878709</v>
      </c>
      <c r="E119" s="56"/>
      <c r="F119" s="59">
        <v>42795</v>
      </c>
      <c r="G119" s="62">
        <v>9173.75</v>
      </c>
      <c r="H119" s="60">
        <f t="shared" si="3"/>
        <v>-1.4004653887285556E-2</v>
      </c>
      <c r="I119" s="53"/>
      <c r="J119" s="53"/>
      <c r="L119" s="54"/>
    </row>
    <row r="120" spans="2:12" ht="13.8" hidden="1" outlineLevel="1" x14ac:dyDescent="0.25">
      <c r="B120" s="59">
        <v>42767</v>
      </c>
      <c r="C120" s="64">
        <v>496.68</v>
      </c>
      <c r="D120" s="60">
        <f t="shared" si="2"/>
        <v>-9.6506619875578181E-3</v>
      </c>
      <c r="E120" s="56"/>
      <c r="F120" s="59">
        <v>42767</v>
      </c>
      <c r="G120" s="62">
        <v>8879.6</v>
      </c>
      <c r="H120" s="60">
        <f t="shared" si="3"/>
        <v>-3.2064313939228706E-2</v>
      </c>
      <c r="I120" s="53"/>
      <c r="J120" s="53"/>
      <c r="L120" s="54"/>
    </row>
    <row r="121" spans="2:12" ht="13.8" hidden="1" outlineLevel="1" x14ac:dyDescent="0.25">
      <c r="B121" s="59">
        <v>42736</v>
      </c>
      <c r="C121" s="64">
        <v>455.57</v>
      </c>
      <c r="D121" s="60">
        <f t="shared" si="2"/>
        <v>-8.2769590078118682E-2</v>
      </c>
      <c r="E121" s="56"/>
      <c r="F121" s="59">
        <v>42736</v>
      </c>
      <c r="G121" s="62">
        <v>8561.2999999999993</v>
      </c>
      <c r="H121" s="60">
        <f t="shared" si="3"/>
        <v>-3.5846209288706854E-2</v>
      </c>
      <c r="I121" s="53"/>
      <c r="J121" s="53"/>
      <c r="L121" s="54"/>
    </row>
    <row r="122" spans="2:12" ht="13.8" hidden="1" outlineLevel="1" x14ac:dyDescent="0.25">
      <c r="B122" s="59">
        <v>42705</v>
      </c>
      <c r="C122" s="64">
        <v>495.8</v>
      </c>
      <c r="D122" s="60">
        <f t="shared" si="2"/>
        <v>8.8306956120903557E-2</v>
      </c>
      <c r="E122" s="56"/>
      <c r="F122" s="59">
        <v>42705</v>
      </c>
      <c r="G122" s="62">
        <v>8185.8</v>
      </c>
      <c r="H122" s="60">
        <f t="shared" si="3"/>
        <v>-4.3860161424082666E-2</v>
      </c>
      <c r="I122" s="53"/>
      <c r="J122" s="53"/>
      <c r="L122" s="54"/>
    </row>
    <row r="123" spans="2:12" ht="13.8" hidden="1" outlineLevel="1" x14ac:dyDescent="0.25">
      <c r="B123" s="59">
        <v>42675</v>
      </c>
      <c r="C123" s="64">
        <v>478.61</v>
      </c>
      <c r="D123" s="60">
        <f t="shared" si="2"/>
        <v>-3.4671238402581683E-2</v>
      </c>
      <c r="E123" s="56"/>
      <c r="F123" s="59">
        <v>42675</v>
      </c>
      <c r="G123" s="62">
        <v>8224.5</v>
      </c>
      <c r="H123" s="60">
        <f t="shared" si="3"/>
        <v>4.7276991863960394E-3</v>
      </c>
      <c r="I123" s="53"/>
      <c r="J123" s="53"/>
      <c r="L123" s="54"/>
    </row>
    <row r="124" spans="2:12" ht="13.8" hidden="1" outlineLevel="1" x14ac:dyDescent="0.25">
      <c r="B124" s="59">
        <v>42644</v>
      </c>
      <c r="C124" s="64">
        <v>491.63</v>
      </c>
      <c r="D124" s="60">
        <f t="shared" si="2"/>
        <v>2.7203777605983914E-2</v>
      </c>
      <c r="E124" s="56"/>
      <c r="F124" s="59">
        <v>42644</v>
      </c>
      <c r="G124" s="62">
        <v>8625.7000000000007</v>
      </c>
      <c r="H124" s="60">
        <f t="shared" si="3"/>
        <v>4.8781080916773245E-2</v>
      </c>
      <c r="I124" s="53"/>
      <c r="J124" s="53"/>
      <c r="L124" s="54"/>
    </row>
    <row r="125" spans="2:12" ht="13.8" hidden="1" outlineLevel="1" x14ac:dyDescent="0.25">
      <c r="B125" s="59">
        <v>42614</v>
      </c>
      <c r="C125" s="64">
        <v>508.29</v>
      </c>
      <c r="D125" s="60">
        <f t="shared" si="2"/>
        <v>3.3887272949169045E-2</v>
      </c>
      <c r="E125" s="56"/>
      <c r="F125" s="59">
        <v>42614</v>
      </c>
      <c r="G125" s="62">
        <v>8611.15</v>
      </c>
      <c r="H125" s="60">
        <f t="shared" si="3"/>
        <v>-1.6868196204367081E-3</v>
      </c>
      <c r="I125" s="53"/>
      <c r="J125" s="53"/>
      <c r="L125" s="54"/>
    </row>
    <row r="126" spans="2:12" ht="13.8" hidden="1" outlineLevel="1" x14ac:dyDescent="0.25">
      <c r="B126" s="59">
        <v>42583</v>
      </c>
      <c r="C126" s="64">
        <v>508.19</v>
      </c>
      <c r="D126" s="60">
        <f t="shared" si="2"/>
        <v>-1.9673808259068615E-4</v>
      </c>
      <c r="E126" s="56"/>
      <c r="F126" s="59">
        <v>42583</v>
      </c>
      <c r="G126" s="62">
        <v>8786.2000000000007</v>
      </c>
      <c r="H126" s="60">
        <f t="shared" si="3"/>
        <v>2.0328295291569765E-2</v>
      </c>
      <c r="I126" s="53"/>
      <c r="J126" s="53"/>
      <c r="L126" s="54"/>
    </row>
    <row r="127" spans="2:12" ht="13.8" hidden="1" outlineLevel="1" x14ac:dyDescent="0.25">
      <c r="B127" s="59">
        <v>42552</v>
      </c>
      <c r="C127" s="64">
        <v>526.83000000000004</v>
      </c>
      <c r="D127" s="60">
        <f t="shared" si="2"/>
        <v>3.6679194789350555E-2</v>
      </c>
      <c r="E127" s="56"/>
      <c r="F127" s="59">
        <v>42552</v>
      </c>
      <c r="G127" s="62">
        <v>8638.5</v>
      </c>
      <c r="H127" s="60">
        <f t="shared" si="3"/>
        <v>-1.681045275545745E-2</v>
      </c>
      <c r="I127" s="53"/>
      <c r="J127" s="53"/>
      <c r="L127" s="54"/>
    </row>
    <row r="128" spans="2:12" ht="13.8" hidden="1" outlineLevel="1" x14ac:dyDescent="0.25">
      <c r="B128" s="59">
        <v>42522</v>
      </c>
      <c r="C128" s="64">
        <v>574.4</v>
      </c>
      <c r="D128" s="60">
        <f t="shared" si="2"/>
        <v>9.0294781997987794E-2</v>
      </c>
      <c r="E128" s="56"/>
      <c r="F128" s="59">
        <v>42522</v>
      </c>
      <c r="G128" s="62">
        <v>8287.75</v>
      </c>
      <c r="H128" s="60">
        <f t="shared" si="3"/>
        <v>-4.0603113966545146E-2</v>
      </c>
      <c r="I128" s="53"/>
      <c r="J128" s="53"/>
      <c r="L128" s="54"/>
    </row>
    <row r="129" spans="2:12" ht="13.8" hidden="1" outlineLevel="1" x14ac:dyDescent="0.25">
      <c r="B129" s="59">
        <v>42491</v>
      </c>
      <c r="C129" s="64">
        <v>612.59</v>
      </c>
      <c r="D129" s="60">
        <f t="shared" si="2"/>
        <v>6.6486768802228591E-2</v>
      </c>
      <c r="E129" s="56"/>
      <c r="F129" s="59">
        <v>42491</v>
      </c>
      <c r="G129" s="62">
        <v>8160.1</v>
      </c>
      <c r="H129" s="60">
        <f t="shared" si="3"/>
        <v>-1.5402250309191179E-2</v>
      </c>
      <c r="I129" s="53"/>
      <c r="J129" s="53"/>
      <c r="L129" s="54"/>
    </row>
    <row r="130" spans="2:12" ht="13.8" hidden="1" outlineLevel="1" x14ac:dyDescent="0.25">
      <c r="B130" s="59">
        <v>42461</v>
      </c>
      <c r="C130" s="64">
        <v>592.70000000000005</v>
      </c>
      <c r="D130" s="60">
        <f t="shared" si="2"/>
        <v>-3.2468698476958435E-2</v>
      </c>
      <c r="E130" s="56"/>
      <c r="F130" s="59">
        <v>42461</v>
      </c>
      <c r="G130" s="62">
        <v>7849.8</v>
      </c>
      <c r="H130" s="60">
        <f t="shared" si="3"/>
        <v>-3.8026494773348407E-2</v>
      </c>
      <c r="I130" s="53"/>
      <c r="J130" s="53"/>
      <c r="L130" s="54"/>
    </row>
    <row r="131" spans="2:12" ht="13.8" hidden="1" outlineLevel="1" x14ac:dyDescent="0.25">
      <c r="B131" s="59">
        <v>42430</v>
      </c>
      <c r="C131" s="64">
        <v>597.70000000000005</v>
      </c>
      <c r="D131" s="60">
        <f t="shared" si="2"/>
        <v>8.4359709802597216E-3</v>
      </c>
      <c r="E131" s="56"/>
      <c r="F131" s="59">
        <v>42430</v>
      </c>
      <c r="G131" s="62">
        <v>7738.4</v>
      </c>
      <c r="H131" s="60">
        <f t="shared" si="3"/>
        <v>-1.4191444368009454E-2</v>
      </c>
      <c r="I131" s="53"/>
      <c r="J131" s="53"/>
      <c r="L131" s="54"/>
    </row>
    <row r="132" spans="2:12" ht="13.8" hidden="1" outlineLevel="1" x14ac:dyDescent="0.25">
      <c r="B132" s="59">
        <v>42401</v>
      </c>
      <c r="C132" s="64">
        <v>531.84</v>
      </c>
      <c r="D132" s="60">
        <f t="shared" si="2"/>
        <v>-0.11018905805588086</v>
      </c>
      <c r="E132" s="56"/>
      <c r="F132" s="59">
        <v>42401</v>
      </c>
      <c r="G132" s="62">
        <v>6987.05</v>
      </c>
      <c r="H132" s="60">
        <f t="shared" si="3"/>
        <v>-9.7093714462938019E-2</v>
      </c>
      <c r="I132" s="53"/>
      <c r="J132" s="53"/>
      <c r="L132" s="54"/>
    </row>
    <row r="133" spans="2:12" ht="13.8" hidden="1" outlineLevel="1" x14ac:dyDescent="0.25">
      <c r="B133" s="59">
        <v>42370</v>
      </c>
      <c r="C133" s="64">
        <v>571.5</v>
      </c>
      <c r="D133" s="60">
        <f t="shared" si="2"/>
        <v>7.4571299638989119E-2</v>
      </c>
      <c r="E133" s="56"/>
      <c r="F133" s="59">
        <v>42370</v>
      </c>
      <c r="G133" s="62">
        <v>7563.55</v>
      </c>
      <c r="H133" s="60">
        <f t="shared" si="3"/>
        <v>8.2509785961170978E-2</v>
      </c>
      <c r="I133" s="53"/>
      <c r="J133" s="53"/>
      <c r="L133" s="54"/>
    </row>
    <row r="134" spans="2:12" ht="13.8" hidden="1" outlineLevel="1" x14ac:dyDescent="0.25">
      <c r="B134" s="59">
        <v>42339</v>
      </c>
      <c r="C134" s="64">
        <v>542.30999999999995</v>
      </c>
      <c r="D134" s="60">
        <f t="shared" si="2"/>
        <v>-5.1076115485564455E-2</v>
      </c>
      <c r="E134" s="56"/>
      <c r="F134" s="59">
        <v>42339</v>
      </c>
      <c r="G134" s="62">
        <v>7946.35</v>
      </c>
      <c r="H134" s="60">
        <f t="shared" si="3"/>
        <v>5.0611154814868664E-2</v>
      </c>
      <c r="I134" s="53"/>
      <c r="J134" s="53"/>
      <c r="L134" s="54"/>
    </row>
    <row r="135" spans="2:12" ht="13.8" hidden="1" outlineLevel="1" x14ac:dyDescent="0.25">
      <c r="B135" s="59">
        <v>42309</v>
      </c>
      <c r="C135" s="64">
        <v>533.72</v>
      </c>
      <c r="D135" s="60">
        <f t="shared" si="2"/>
        <v>-1.5839648909295234E-2</v>
      </c>
      <c r="E135" s="56"/>
      <c r="F135" s="59">
        <v>42309</v>
      </c>
      <c r="G135" s="62">
        <v>7935.25</v>
      </c>
      <c r="H135" s="60">
        <f t="shared" si="3"/>
        <v>-1.3968677443103594E-3</v>
      </c>
      <c r="I135" s="53"/>
      <c r="J135" s="53"/>
      <c r="L135" s="54"/>
    </row>
    <row r="136" spans="2:12" ht="13.8" hidden="1" outlineLevel="1" x14ac:dyDescent="0.25">
      <c r="B136" s="59">
        <v>42278</v>
      </c>
      <c r="C136" s="64">
        <v>557.04999999999995</v>
      </c>
      <c r="D136" s="60">
        <f t="shared" si="2"/>
        <v>4.3712058757400696E-2</v>
      </c>
      <c r="E136" s="56"/>
      <c r="F136" s="59">
        <v>42278</v>
      </c>
      <c r="G136" s="62">
        <v>8065.8</v>
      </c>
      <c r="H136" s="60">
        <f t="shared" si="3"/>
        <v>1.6451907627359041E-2</v>
      </c>
      <c r="I136" s="53"/>
      <c r="J136" s="53"/>
      <c r="L136" s="54"/>
    </row>
    <row r="137" spans="2:12" ht="13.8" hidden="1" outlineLevel="1" x14ac:dyDescent="0.25">
      <c r="B137" s="59">
        <v>42248</v>
      </c>
      <c r="C137" s="64">
        <v>570.04999999999995</v>
      </c>
      <c r="D137" s="60">
        <f t="shared" si="2"/>
        <v>2.3337222870478458E-2</v>
      </c>
      <c r="E137" s="56"/>
      <c r="F137" s="59">
        <v>42248</v>
      </c>
      <c r="G137" s="62">
        <v>7948.9</v>
      </c>
      <c r="H137" s="60">
        <f t="shared" si="3"/>
        <v>-1.44932926678073E-2</v>
      </c>
      <c r="I137" s="53"/>
      <c r="J137" s="53"/>
      <c r="L137" s="54"/>
    </row>
    <row r="138" spans="2:12" ht="13.8" hidden="1" outlineLevel="1" x14ac:dyDescent="0.25">
      <c r="B138" s="59">
        <v>42217</v>
      </c>
      <c r="C138" s="64">
        <v>536.91</v>
      </c>
      <c r="D138" s="60">
        <f t="shared" si="2"/>
        <v>-5.8135251293746193E-2</v>
      </c>
      <c r="E138" s="56"/>
      <c r="F138" s="59">
        <v>42217</v>
      </c>
      <c r="G138" s="62">
        <v>7971.3</v>
      </c>
      <c r="H138" s="60">
        <f t="shared" si="3"/>
        <v>2.8179999748394469E-3</v>
      </c>
      <c r="I138" s="53"/>
      <c r="J138" s="53"/>
      <c r="L138" s="54"/>
    </row>
    <row r="139" spans="2:12" ht="13.8" hidden="1" outlineLevel="1" x14ac:dyDescent="0.25">
      <c r="B139" s="59">
        <v>42186</v>
      </c>
      <c r="C139" s="64">
        <v>528.4</v>
      </c>
      <c r="D139" s="60">
        <f t="shared" si="2"/>
        <v>-1.5849956231025697E-2</v>
      </c>
      <c r="E139" s="56"/>
      <c r="F139" s="59">
        <v>42186</v>
      </c>
      <c r="G139" s="62">
        <v>8532.85</v>
      </c>
      <c r="H139" s="60">
        <f t="shared" si="3"/>
        <v>7.0446476735287922E-2</v>
      </c>
      <c r="I139" s="53"/>
      <c r="J139" s="53"/>
      <c r="L139" s="54"/>
    </row>
    <row r="140" spans="2:12" ht="13.8" hidden="1" outlineLevel="1" x14ac:dyDescent="0.25">
      <c r="B140" s="59">
        <v>42156</v>
      </c>
      <c r="C140" s="64">
        <v>482.92</v>
      </c>
      <c r="D140" s="60">
        <f t="shared" si="2"/>
        <v>-8.6071158213474552E-2</v>
      </c>
      <c r="E140" s="56"/>
      <c r="F140" s="59">
        <v>42156</v>
      </c>
      <c r="G140" s="62">
        <v>8368.5</v>
      </c>
      <c r="H140" s="60">
        <f t="shared" si="3"/>
        <v>-1.926085657195431E-2</v>
      </c>
      <c r="I140" s="53"/>
      <c r="J140" s="53"/>
      <c r="L140" s="54"/>
    </row>
    <row r="141" spans="2:12" ht="13.8" hidden="1" outlineLevel="1" x14ac:dyDescent="0.25">
      <c r="B141" s="59">
        <v>42125</v>
      </c>
      <c r="C141" s="64">
        <v>496.28</v>
      </c>
      <c r="D141" s="60">
        <f t="shared" ref="D141:D204" si="4">C141/C140-1</f>
        <v>2.7665037687401473E-2</v>
      </c>
      <c r="E141" s="56"/>
      <c r="F141" s="59">
        <v>42125</v>
      </c>
      <c r="G141" s="62">
        <v>8433.65</v>
      </c>
      <c r="H141" s="60">
        <f t="shared" ref="H141:H204" si="5">G141/G140-1</f>
        <v>7.7851466810061609E-3</v>
      </c>
      <c r="I141" s="53"/>
      <c r="J141" s="53"/>
      <c r="L141" s="54"/>
    </row>
    <row r="142" spans="2:12" ht="13.8" hidden="1" outlineLevel="1" x14ac:dyDescent="0.25">
      <c r="B142" s="59">
        <v>42095</v>
      </c>
      <c r="C142" s="64">
        <v>476.43</v>
      </c>
      <c r="D142" s="60">
        <f t="shared" si="4"/>
        <v>-3.9997582010155464E-2</v>
      </c>
      <c r="E142" s="56"/>
      <c r="F142" s="59">
        <v>42095</v>
      </c>
      <c r="G142" s="62">
        <v>8181.5</v>
      </c>
      <c r="H142" s="60">
        <f t="shared" si="5"/>
        <v>-2.9898086830731585E-2</v>
      </c>
      <c r="I142" s="53"/>
      <c r="J142" s="53"/>
      <c r="L142" s="54"/>
    </row>
    <row r="143" spans="2:12" ht="13.8" hidden="1" outlineLevel="1" x14ac:dyDescent="0.25">
      <c r="B143" s="59">
        <v>42064</v>
      </c>
      <c r="C143" s="64">
        <v>544.16</v>
      </c>
      <c r="D143" s="60">
        <f t="shared" si="4"/>
        <v>0.14216149276913703</v>
      </c>
      <c r="E143" s="56"/>
      <c r="F143" s="59">
        <v>42064</v>
      </c>
      <c r="G143" s="62">
        <v>8491</v>
      </c>
      <c r="H143" s="60">
        <f t="shared" si="5"/>
        <v>3.7829248915235647E-2</v>
      </c>
      <c r="I143" s="53"/>
      <c r="J143" s="53"/>
      <c r="L143" s="54"/>
    </row>
    <row r="144" spans="2:12" ht="13.8" hidden="1" outlineLevel="1" x14ac:dyDescent="0.25">
      <c r="B144" s="59">
        <v>42036</v>
      </c>
      <c r="C144" s="64">
        <v>563.32000000000005</v>
      </c>
      <c r="D144" s="60">
        <f t="shared" si="4"/>
        <v>3.5210232284622389E-2</v>
      </c>
      <c r="E144" s="56"/>
      <c r="F144" s="59">
        <v>42036</v>
      </c>
      <c r="G144" s="62">
        <v>8901.85</v>
      </c>
      <c r="H144" s="60">
        <f t="shared" si="5"/>
        <v>4.8386526910846772E-2</v>
      </c>
      <c r="I144" s="53"/>
      <c r="J144" s="53"/>
      <c r="L144" s="54"/>
    </row>
    <row r="145" spans="2:12" ht="13.8" hidden="1" outlineLevel="1" x14ac:dyDescent="0.25">
      <c r="B145" s="59">
        <v>42005</v>
      </c>
      <c r="C145" s="64">
        <v>525.41</v>
      </c>
      <c r="D145" s="60">
        <f t="shared" si="4"/>
        <v>-6.7297450827238703E-2</v>
      </c>
      <c r="E145" s="56"/>
      <c r="F145" s="59">
        <v>42005</v>
      </c>
      <c r="G145" s="62">
        <v>8808.9</v>
      </c>
      <c r="H145" s="60">
        <f t="shared" si="5"/>
        <v>-1.0441649769430073E-2</v>
      </c>
      <c r="I145" s="53"/>
      <c r="J145" s="53"/>
      <c r="L145" s="54"/>
    </row>
    <row r="146" spans="2:12" ht="13.8" hidden="1" outlineLevel="1" x14ac:dyDescent="0.25">
      <c r="B146" s="59">
        <v>41974</v>
      </c>
      <c r="C146" s="64">
        <v>483.87</v>
      </c>
      <c r="D146" s="60">
        <f t="shared" si="4"/>
        <v>-7.9062065815267979E-2</v>
      </c>
      <c r="E146" s="56"/>
      <c r="F146" s="59">
        <v>41974</v>
      </c>
      <c r="G146" s="62">
        <v>8282.7000000000007</v>
      </c>
      <c r="H146" s="60">
        <f t="shared" si="5"/>
        <v>-5.973504069747626E-2</v>
      </c>
      <c r="I146" s="53"/>
      <c r="J146" s="53"/>
      <c r="L146" s="54"/>
    </row>
    <row r="147" spans="2:12" ht="13.8" hidden="1" outlineLevel="1" x14ac:dyDescent="0.25">
      <c r="B147" s="59">
        <v>41944</v>
      </c>
      <c r="C147" s="64">
        <v>534.74</v>
      </c>
      <c r="D147" s="60">
        <f t="shared" si="4"/>
        <v>0.10513154359642063</v>
      </c>
      <c r="E147" s="56"/>
      <c r="F147" s="59">
        <v>41944</v>
      </c>
      <c r="G147" s="62">
        <v>8588.25</v>
      </c>
      <c r="H147" s="60">
        <f t="shared" si="5"/>
        <v>3.6890144518091805E-2</v>
      </c>
      <c r="I147" s="53"/>
      <c r="J147" s="53"/>
      <c r="L147" s="54"/>
    </row>
    <row r="148" spans="2:12" ht="13.8" hidden="1" outlineLevel="1" x14ac:dyDescent="0.25">
      <c r="B148" s="59">
        <v>41913</v>
      </c>
      <c r="C148" s="64">
        <v>496.89</v>
      </c>
      <c r="D148" s="60">
        <f t="shared" si="4"/>
        <v>-7.0782062310655647E-2</v>
      </c>
      <c r="E148" s="56"/>
      <c r="F148" s="59">
        <v>41913</v>
      </c>
      <c r="G148" s="62">
        <v>8322.2000000000007</v>
      </c>
      <c r="H148" s="60">
        <f t="shared" si="5"/>
        <v>-3.0978371612377265E-2</v>
      </c>
      <c r="I148" s="53"/>
      <c r="J148" s="53"/>
      <c r="L148" s="54"/>
    </row>
    <row r="149" spans="2:12" ht="13.8" hidden="1" outlineLevel="1" x14ac:dyDescent="0.25">
      <c r="B149" s="59">
        <v>41883</v>
      </c>
      <c r="C149" s="64">
        <v>459.66</v>
      </c>
      <c r="D149" s="60">
        <f t="shared" si="4"/>
        <v>-7.4926039968604696E-2</v>
      </c>
      <c r="E149" s="56"/>
      <c r="F149" s="59">
        <v>41883</v>
      </c>
      <c r="G149" s="62">
        <v>7964.8</v>
      </c>
      <c r="H149" s="60">
        <f t="shared" si="5"/>
        <v>-4.2945375021028132E-2</v>
      </c>
      <c r="I149" s="53"/>
      <c r="J149" s="53"/>
      <c r="L149" s="54"/>
    </row>
    <row r="150" spans="2:12" ht="13.8" hidden="1" outlineLevel="1" x14ac:dyDescent="0.25">
      <c r="B150" s="59">
        <v>41852</v>
      </c>
      <c r="C150" s="64">
        <v>441.39</v>
      </c>
      <c r="D150" s="60">
        <f t="shared" si="4"/>
        <v>-3.9746769351259759E-2</v>
      </c>
      <c r="E150" s="56"/>
      <c r="F150" s="59">
        <v>41852</v>
      </c>
      <c r="G150" s="62">
        <v>7954.35</v>
      </c>
      <c r="H150" s="60">
        <f t="shared" si="5"/>
        <v>-1.3120229007633766E-3</v>
      </c>
      <c r="I150" s="53"/>
      <c r="J150" s="53"/>
      <c r="L150" s="54"/>
    </row>
    <row r="151" spans="2:12" ht="13.8" hidden="1" outlineLevel="1" x14ac:dyDescent="0.25">
      <c r="B151" s="59">
        <v>41821</v>
      </c>
      <c r="C151" s="64">
        <v>413.04</v>
      </c>
      <c r="D151" s="60">
        <f t="shared" si="4"/>
        <v>-6.4228913206008209E-2</v>
      </c>
      <c r="E151" s="56"/>
      <c r="F151" s="59">
        <v>41821</v>
      </c>
      <c r="G151" s="62">
        <v>7721.3</v>
      </c>
      <c r="H151" s="60">
        <f t="shared" si="5"/>
        <v>-2.9298434190097256E-2</v>
      </c>
      <c r="I151" s="53"/>
      <c r="J151" s="53"/>
      <c r="L151" s="54"/>
    </row>
    <row r="152" spans="2:12" ht="13.8" hidden="1" outlineLevel="1" x14ac:dyDescent="0.25">
      <c r="B152" s="59">
        <v>41791</v>
      </c>
      <c r="C152" s="64">
        <v>399.29</v>
      </c>
      <c r="D152" s="60">
        <f t="shared" si="4"/>
        <v>-3.3289754018981266E-2</v>
      </c>
      <c r="E152" s="56"/>
      <c r="F152" s="59">
        <v>41791</v>
      </c>
      <c r="G152" s="62">
        <v>7611.35</v>
      </c>
      <c r="H152" s="60">
        <f t="shared" si="5"/>
        <v>-1.4239830080426841E-2</v>
      </c>
      <c r="I152" s="53"/>
      <c r="J152" s="53"/>
      <c r="L152" s="54"/>
    </row>
    <row r="153" spans="2:12" ht="13.8" hidden="1" outlineLevel="1" x14ac:dyDescent="0.25">
      <c r="B153" s="59">
        <v>41760</v>
      </c>
      <c r="C153" s="64">
        <v>360.52</v>
      </c>
      <c r="D153" s="60">
        <f t="shared" si="4"/>
        <v>-9.7097347792331479E-2</v>
      </c>
      <c r="E153" s="56"/>
      <c r="F153" s="59">
        <v>41760</v>
      </c>
      <c r="G153" s="62">
        <v>7229.95</v>
      </c>
      <c r="H153" s="60">
        <f t="shared" si="5"/>
        <v>-5.0109376129070515E-2</v>
      </c>
      <c r="I153" s="53"/>
      <c r="J153" s="53"/>
      <c r="L153" s="54"/>
    </row>
    <row r="154" spans="2:12" ht="13.8" hidden="1" outlineLevel="1" x14ac:dyDescent="0.25">
      <c r="B154" s="59">
        <v>41730</v>
      </c>
      <c r="C154" s="64">
        <v>392.33</v>
      </c>
      <c r="D154" s="60">
        <f t="shared" si="4"/>
        <v>8.8233662487517961E-2</v>
      </c>
      <c r="E154" s="56"/>
      <c r="F154" s="59">
        <v>41730</v>
      </c>
      <c r="G154" s="62">
        <v>6696.4</v>
      </c>
      <c r="H154" s="60">
        <f t="shared" si="5"/>
        <v>-7.3797190851942251E-2</v>
      </c>
      <c r="I154" s="53"/>
      <c r="J154" s="53"/>
      <c r="L154" s="54"/>
    </row>
    <row r="155" spans="2:12" ht="13.8" hidden="1" outlineLevel="1" x14ac:dyDescent="0.25">
      <c r="B155" s="59">
        <v>41699</v>
      </c>
      <c r="C155" s="64">
        <v>404.9</v>
      </c>
      <c r="D155" s="60">
        <f t="shared" si="4"/>
        <v>3.2039354624933125E-2</v>
      </c>
      <c r="E155" s="56"/>
      <c r="F155" s="59">
        <v>41699</v>
      </c>
      <c r="G155" s="62">
        <v>6704.2</v>
      </c>
      <c r="H155" s="60">
        <f t="shared" si="5"/>
        <v>1.1648049698345098E-3</v>
      </c>
      <c r="I155" s="53"/>
      <c r="J155" s="53"/>
      <c r="L155" s="54"/>
    </row>
    <row r="156" spans="2:12" ht="13.8" hidden="1" outlineLevel="1" x14ac:dyDescent="0.25">
      <c r="B156" s="59">
        <v>41671</v>
      </c>
      <c r="C156" s="64">
        <v>471.76</v>
      </c>
      <c r="D156" s="60">
        <f t="shared" si="4"/>
        <v>0.16512719189923453</v>
      </c>
      <c r="E156" s="56"/>
      <c r="F156" s="59">
        <v>41671</v>
      </c>
      <c r="G156" s="62">
        <v>6276.95</v>
      </c>
      <c r="H156" s="60">
        <f t="shared" si="5"/>
        <v>-6.3728707377464833E-2</v>
      </c>
      <c r="I156" s="53"/>
      <c r="J156" s="53"/>
      <c r="L156" s="54"/>
    </row>
    <row r="157" spans="2:12" ht="13.8" hidden="1" outlineLevel="1" x14ac:dyDescent="0.25">
      <c r="B157" s="59">
        <v>41640</v>
      </c>
      <c r="C157" s="64">
        <v>456.5</v>
      </c>
      <c r="D157" s="60">
        <f t="shared" si="4"/>
        <v>-3.2346956079362332E-2</v>
      </c>
      <c r="E157" s="56"/>
      <c r="F157" s="59">
        <v>41640</v>
      </c>
      <c r="G157" s="62">
        <v>6089.5</v>
      </c>
      <c r="H157" s="60">
        <f t="shared" si="5"/>
        <v>-2.9863229753303688E-2</v>
      </c>
      <c r="I157" s="53"/>
      <c r="J157" s="53"/>
      <c r="L157" s="54"/>
    </row>
    <row r="158" spans="2:12" ht="13.8" hidden="1" outlineLevel="1" x14ac:dyDescent="0.25">
      <c r="B158" s="59">
        <v>41609</v>
      </c>
      <c r="C158" s="64">
        <v>429.92</v>
      </c>
      <c r="D158" s="60">
        <f t="shared" si="4"/>
        <v>-5.8225629791894828E-2</v>
      </c>
      <c r="E158" s="56"/>
      <c r="F158" s="59">
        <v>41609</v>
      </c>
      <c r="G158" s="62">
        <v>6304</v>
      </c>
      <c r="H158" s="60">
        <f t="shared" si="5"/>
        <v>3.5224566877412045E-2</v>
      </c>
      <c r="I158" s="53"/>
      <c r="J158" s="53"/>
      <c r="L158" s="54"/>
    </row>
    <row r="159" spans="2:12" ht="13.8" hidden="1" outlineLevel="1" x14ac:dyDescent="0.25">
      <c r="B159" s="59">
        <v>41579</v>
      </c>
      <c r="C159" s="64">
        <v>413.76</v>
      </c>
      <c r="D159" s="60">
        <f t="shared" si="4"/>
        <v>-3.7588388537402317E-2</v>
      </c>
      <c r="E159" s="56"/>
      <c r="F159" s="59">
        <v>41579</v>
      </c>
      <c r="G159" s="62">
        <v>6176.1</v>
      </c>
      <c r="H159" s="60">
        <f t="shared" si="5"/>
        <v>-2.0288705583756284E-2</v>
      </c>
      <c r="I159" s="53"/>
      <c r="J159" s="53"/>
      <c r="L159" s="54"/>
    </row>
    <row r="160" spans="2:12" ht="13.8" hidden="1" outlineLevel="1" x14ac:dyDescent="0.25">
      <c r="B160" s="59">
        <v>41548</v>
      </c>
      <c r="C160" s="64">
        <v>408.25</v>
      </c>
      <c r="D160" s="60">
        <f t="shared" si="4"/>
        <v>-1.3316898685228118E-2</v>
      </c>
      <c r="E160" s="56"/>
      <c r="F160" s="59">
        <v>41548</v>
      </c>
      <c r="G160" s="62">
        <v>6299.15</v>
      </c>
      <c r="H160" s="60">
        <f t="shared" si="5"/>
        <v>1.9923576366962958E-2</v>
      </c>
      <c r="I160" s="53"/>
      <c r="J160" s="53"/>
      <c r="L160" s="54"/>
    </row>
    <row r="161" spans="2:12" ht="13.8" hidden="1" outlineLevel="1" x14ac:dyDescent="0.25">
      <c r="B161" s="59">
        <v>41518</v>
      </c>
      <c r="C161" s="64">
        <v>371.63</v>
      </c>
      <c r="D161" s="60">
        <f t="shared" si="4"/>
        <v>-8.9699938763012854E-2</v>
      </c>
      <c r="E161" s="56"/>
      <c r="F161" s="59">
        <v>41518</v>
      </c>
      <c r="G161" s="62">
        <v>5735.3</v>
      </c>
      <c r="H161" s="60">
        <f t="shared" si="5"/>
        <v>-8.9512077026265402E-2</v>
      </c>
      <c r="I161" s="53"/>
      <c r="J161" s="53"/>
      <c r="L161" s="54"/>
    </row>
    <row r="162" spans="2:12" ht="13.8" hidden="1" outlineLevel="1" x14ac:dyDescent="0.25">
      <c r="B162" s="59">
        <v>41487</v>
      </c>
      <c r="C162" s="64">
        <v>383.08</v>
      </c>
      <c r="D162" s="60">
        <f t="shared" si="4"/>
        <v>3.0810214460619489E-2</v>
      </c>
      <c r="E162" s="56"/>
      <c r="F162" s="59">
        <v>41487</v>
      </c>
      <c r="G162" s="62">
        <v>5471.8</v>
      </c>
      <c r="H162" s="60">
        <f t="shared" si="5"/>
        <v>-4.5943542622007616E-2</v>
      </c>
      <c r="I162" s="53"/>
      <c r="J162" s="53"/>
      <c r="L162" s="54"/>
    </row>
    <row r="163" spans="2:12" ht="13.8" hidden="1" outlineLevel="1" x14ac:dyDescent="0.25">
      <c r="B163" s="59">
        <v>41456</v>
      </c>
      <c r="C163" s="64">
        <v>366.28</v>
      </c>
      <c r="D163" s="60">
        <f t="shared" si="4"/>
        <v>-4.3855069437193306E-2</v>
      </c>
      <c r="E163" s="56"/>
      <c r="F163" s="59">
        <v>41456</v>
      </c>
      <c r="G163" s="62">
        <v>5742</v>
      </c>
      <c r="H163" s="60">
        <f t="shared" si="5"/>
        <v>4.9380459812127686E-2</v>
      </c>
      <c r="I163" s="53"/>
      <c r="J163" s="53"/>
      <c r="L163" s="54"/>
    </row>
    <row r="164" spans="2:12" ht="13.8" hidden="1" outlineLevel="1" x14ac:dyDescent="0.25">
      <c r="B164" s="59">
        <v>41426</v>
      </c>
      <c r="C164" s="64">
        <v>308.20999999999998</v>
      </c>
      <c r="D164" s="60">
        <f t="shared" si="4"/>
        <v>-0.15853991481926399</v>
      </c>
      <c r="E164" s="56"/>
      <c r="F164" s="59">
        <v>41426</v>
      </c>
      <c r="G164" s="62">
        <v>5842.2</v>
      </c>
      <c r="H164" s="60">
        <f t="shared" si="5"/>
        <v>1.7450365726227712E-2</v>
      </c>
      <c r="I164" s="53"/>
      <c r="J164" s="53"/>
      <c r="L164" s="54"/>
    </row>
    <row r="165" spans="2:12" ht="13.8" hidden="1" outlineLevel="1" x14ac:dyDescent="0.25">
      <c r="B165" s="59">
        <v>41395</v>
      </c>
      <c r="C165" s="64">
        <v>297.45999999999998</v>
      </c>
      <c r="D165" s="60">
        <f t="shared" si="4"/>
        <v>-3.487881639142143E-2</v>
      </c>
      <c r="E165" s="56"/>
      <c r="F165" s="59">
        <v>41395</v>
      </c>
      <c r="G165" s="62">
        <v>5985.95</v>
      </c>
      <c r="H165" s="60">
        <f t="shared" si="5"/>
        <v>2.4605456848447504E-2</v>
      </c>
      <c r="I165" s="53"/>
      <c r="J165" s="53"/>
      <c r="L165" s="54"/>
    </row>
    <row r="166" spans="2:12" ht="13.8" hidden="1" outlineLevel="1" x14ac:dyDescent="0.25">
      <c r="B166" s="59">
        <v>41365</v>
      </c>
      <c r="C166" s="64">
        <v>275.72000000000003</v>
      </c>
      <c r="D166" s="60">
        <f t="shared" si="4"/>
        <v>-7.3085456868150156E-2</v>
      </c>
      <c r="E166" s="56"/>
      <c r="F166" s="59">
        <v>41365</v>
      </c>
      <c r="G166" s="62">
        <v>5930.2</v>
      </c>
      <c r="H166" s="60">
        <f t="shared" si="5"/>
        <v>-9.3134757223164444E-3</v>
      </c>
      <c r="I166" s="53"/>
      <c r="J166" s="53"/>
      <c r="L166" s="54"/>
    </row>
    <row r="167" spans="2:12" ht="13.8" hidden="1" outlineLevel="1" x14ac:dyDescent="0.25">
      <c r="B167" s="59">
        <v>41334</v>
      </c>
      <c r="C167" s="64">
        <v>356.38</v>
      </c>
      <c r="D167" s="60">
        <f t="shared" si="4"/>
        <v>0.29254315972725942</v>
      </c>
      <c r="E167" s="56"/>
      <c r="F167" s="59">
        <v>41334</v>
      </c>
      <c r="G167" s="62">
        <v>5682.55</v>
      </c>
      <c r="H167" s="60">
        <f t="shared" si="5"/>
        <v>-4.176081751037064E-2</v>
      </c>
      <c r="I167" s="53"/>
      <c r="J167" s="53"/>
      <c r="L167" s="54"/>
    </row>
    <row r="168" spans="2:12" ht="13.8" hidden="1" outlineLevel="1" x14ac:dyDescent="0.25">
      <c r="B168" s="59">
        <v>41306</v>
      </c>
      <c r="C168" s="64">
        <v>358.55</v>
      </c>
      <c r="D168" s="60">
        <f t="shared" si="4"/>
        <v>6.089006117066198E-3</v>
      </c>
      <c r="E168" s="56"/>
      <c r="F168" s="59">
        <v>41306</v>
      </c>
      <c r="G168" s="62">
        <v>5693.05</v>
      </c>
      <c r="H168" s="60">
        <f t="shared" si="5"/>
        <v>1.8477620082533175E-3</v>
      </c>
      <c r="I168" s="53"/>
      <c r="J168" s="53"/>
      <c r="L168" s="54"/>
    </row>
    <row r="169" spans="2:12" ht="13.8" hidden="1" outlineLevel="1" x14ac:dyDescent="0.25">
      <c r="B169" s="59">
        <v>41275</v>
      </c>
      <c r="C169" s="64">
        <v>344.06</v>
      </c>
      <c r="D169" s="60">
        <f t="shared" si="4"/>
        <v>-4.0412773671733349E-2</v>
      </c>
      <c r="E169" s="56"/>
      <c r="F169" s="59">
        <v>41275</v>
      </c>
      <c r="G169" s="62">
        <v>6034.75</v>
      </c>
      <c r="H169" s="60">
        <f t="shared" si="5"/>
        <v>6.0020551374043718E-2</v>
      </c>
      <c r="I169" s="53"/>
      <c r="J169" s="53"/>
      <c r="L169" s="54"/>
    </row>
    <row r="170" spans="2:12" ht="13.8" hidden="1" outlineLevel="1" x14ac:dyDescent="0.25">
      <c r="B170" s="59">
        <v>41244</v>
      </c>
      <c r="C170" s="64">
        <v>285.99</v>
      </c>
      <c r="D170" s="60">
        <f t="shared" si="4"/>
        <v>-0.16877870138929252</v>
      </c>
      <c r="E170" s="56"/>
      <c r="F170" s="59">
        <v>41244</v>
      </c>
      <c r="G170" s="62">
        <v>5905.1</v>
      </c>
      <c r="H170" s="60">
        <f t="shared" si="5"/>
        <v>-2.1483905712746942E-2</v>
      </c>
      <c r="I170" s="53"/>
      <c r="J170" s="53"/>
      <c r="L170" s="54"/>
    </row>
    <row r="171" spans="2:12" ht="13.8" hidden="1" outlineLevel="1" x14ac:dyDescent="0.25">
      <c r="B171" s="59">
        <v>41214</v>
      </c>
      <c r="C171" s="64">
        <v>300.57</v>
      </c>
      <c r="D171" s="60">
        <f t="shared" si="4"/>
        <v>5.0980803524598661E-2</v>
      </c>
      <c r="E171" s="56"/>
      <c r="F171" s="59">
        <v>41214</v>
      </c>
      <c r="G171" s="62">
        <v>5879.85</v>
      </c>
      <c r="H171" s="60">
        <f t="shared" si="5"/>
        <v>-4.2759648439484321E-3</v>
      </c>
      <c r="I171" s="53"/>
      <c r="J171" s="53"/>
      <c r="L171" s="54"/>
    </row>
    <row r="172" spans="2:12" ht="13.8" hidden="1" outlineLevel="1" x14ac:dyDescent="0.25">
      <c r="B172" s="59">
        <v>41183</v>
      </c>
      <c r="C172" s="64">
        <v>291.45999999999998</v>
      </c>
      <c r="D172" s="60">
        <f t="shared" si="4"/>
        <v>-3.0309079415776763E-2</v>
      </c>
      <c r="E172" s="56"/>
      <c r="F172" s="59">
        <v>41183</v>
      </c>
      <c r="G172" s="62">
        <v>5619.7</v>
      </c>
      <c r="H172" s="60">
        <f t="shared" si="5"/>
        <v>-4.4244325960696385E-2</v>
      </c>
      <c r="I172" s="53"/>
      <c r="J172" s="53"/>
      <c r="L172" s="54"/>
    </row>
    <row r="173" spans="2:12" ht="13.8" hidden="1" outlineLevel="1" x14ac:dyDescent="0.25">
      <c r="B173" s="59">
        <v>41153</v>
      </c>
      <c r="C173" s="64">
        <v>312.66000000000003</v>
      </c>
      <c r="D173" s="60">
        <f t="shared" si="4"/>
        <v>7.2737253825567949E-2</v>
      </c>
      <c r="E173" s="56"/>
      <c r="F173" s="59">
        <v>41153</v>
      </c>
      <c r="G173" s="62">
        <v>5703.3</v>
      </c>
      <c r="H173" s="60">
        <f t="shared" si="5"/>
        <v>1.4876238945139564E-2</v>
      </c>
      <c r="I173" s="53"/>
      <c r="J173" s="53"/>
      <c r="L173" s="54"/>
    </row>
    <row r="174" spans="2:12" ht="13.8" hidden="1" outlineLevel="1" x14ac:dyDescent="0.25">
      <c r="B174" s="59">
        <v>41122</v>
      </c>
      <c r="C174" s="64">
        <v>291.29000000000002</v>
      </c>
      <c r="D174" s="60">
        <f t="shared" si="4"/>
        <v>-6.8349005309281674E-2</v>
      </c>
      <c r="E174" s="56"/>
      <c r="F174" s="59">
        <v>41122</v>
      </c>
      <c r="G174" s="62">
        <v>5258.5</v>
      </c>
      <c r="H174" s="60">
        <f t="shared" si="5"/>
        <v>-7.7989935651289644E-2</v>
      </c>
      <c r="I174" s="53"/>
      <c r="J174" s="53"/>
      <c r="L174" s="54"/>
    </row>
    <row r="175" spans="2:12" ht="13.8" hidden="1" outlineLevel="1" x14ac:dyDescent="0.25">
      <c r="B175" s="59">
        <v>41091</v>
      </c>
      <c r="C175" s="64">
        <v>274.67</v>
      </c>
      <c r="D175" s="60">
        <f t="shared" si="4"/>
        <v>-5.7056541590854493E-2</v>
      </c>
      <c r="E175" s="56"/>
      <c r="F175" s="59">
        <v>41091</v>
      </c>
      <c r="G175" s="62">
        <v>5229</v>
      </c>
      <c r="H175" s="60">
        <f t="shared" si="5"/>
        <v>-5.6099648188646656E-3</v>
      </c>
      <c r="I175" s="53"/>
      <c r="J175" s="53"/>
      <c r="L175" s="54"/>
    </row>
    <row r="176" spans="2:12" ht="13.8" hidden="1" outlineLevel="1" x14ac:dyDescent="0.25">
      <c r="B176" s="59">
        <v>41061</v>
      </c>
      <c r="C176" s="64">
        <v>309.49</v>
      </c>
      <c r="D176" s="60">
        <f t="shared" si="4"/>
        <v>0.12677030618560448</v>
      </c>
      <c r="E176" s="56"/>
      <c r="F176" s="59">
        <v>41061</v>
      </c>
      <c r="G176" s="62">
        <v>5278.9</v>
      </c>
      <c r="H176" s="60">
        <f t="shared" si="5"/>
        <v>9.5429336393191289E-3</v>
      </c>
      <c r="I176" s="53"/>
      <c r="J176" s="53"/>
      <c r="L176" s="54"/>
    </row>
    <row r="177" spans="2:12" ht="13.8" hidden="1" outlineLevel="1" x14ac:dyDescent="0.25">
      <c r="B177" s="59">
        <v>41030</v>
      </c>
      <c r="C177" s="64">
        <v>299.64</v>
      </c>
      <c r="D177" s="60">
        <f t="shared" si="4"/>
        <v>-3.1826553361982701E-2</v>
      </c>
      <c r="E177" s="56"/>
      <c r="F177" s="59">
        <v>41030</v>
      </c>
      <c r="G177" s="62">
        <v>4924.25</v>
      </c>
      <c r="H177" s="60">
        <f t="shared" si="5"/>
        <v>-6.7182556972096408E-2</v>
      </c>
      <c r="I177" s="53"/>
      <c r="J177" s="53"/>
      <c r="L177" s="54"/>
    </row>
    <row r="178" spans="2:12" ht="13.8" hidden="1" outlineLevel="1" x14ac:dyDescent="0.25">
      <c r="B178" s="59">
        <v>41000</v>
      </c>
      <c r="C178" s="64">
        <v>303.68</v>
      </c>
      <c r="D178" s="60">
        <f t="shared" si="4"/>
        <v>1.348284608196515E-2</v>
      </c>
      <c r="E178" s="56"/>
      <c r="F178" s="59">
        <v>41000</v>
      </c>
      <c r="G178" s="62">
        <v>5248.15</v>
      </c>
      <c r="H178" s="60">
        <f t="shared" si="5"/>
        <v>6.5776514189977986E-2</v>
      </c>
      <c r="I178" s="53"/>
      <c r="J178" s="53"/>
      <c r="L178" s="54"/>
    </row>
    <row r="179" spans="2:12" ht="13.8" hidden="1" outlineLevel="1" x14ac:dyDescent="0.25">
      <c r="B179" s="59">
        <v>40969</v>
      </c>
      <c r="C179" s="64">
        <v>353.53</v>
      </c>
      <c r="D179" s="60">
        <f t="shared" si="4"/>
        <v>0.16415305584826112</v>
      </c>
      <c r="E179" s="56"/>
      <c r="F179" s="59">
        <v>40969</v>
      </c>
      <c r="G179" s="62">
        <v>5295.55</v>
      </c>
      <c r="H179" s="60">
        <f t="shared" si="5"/>
        <v>9.031754046664231E-3</v>
      </c>
      <c r="I179" s="53"/>
      <c r="J179" s="53"/>
      <c r="L179" s="54"/>
    </row>
    <row r="180" spans="2:12" ht="13.8" hidden="1" outlineLevel="1" x14ac:dyDescent="0.25">
      <c r="B180" s="59">
        <v>40940</v>
      </c>
      <c r="C180" s="64">
        <v>355.65</v>
      </c>
      <c r="D180" s="60">
        <f t="shared" si="4"/>
        <v>5.9966622351710352E-3</v>
      </c>
      <c r="E180" s="56"/>
      <c r="F180" s="59">
        <v>40940</v>
      </c>
      <c r="G180" s="62">
        <v>5385.2</v>
      </c>
      <c r="H180" s="60">
        <f t="shared" si="5"/>
        <v>1.6929308570403423E-2</v>
      </c>
      <c r="I180" s="53"/>
      <c r="J180" s="53"/>
      <c r="L180" s="54"/>
    </row>
    <row r="181" spans="2:12" ht="13.8" hidden="1" outlineLevel="1" x14ac:dyDescent="0.25">
      <c r="B181" s="59">
        <v>40909</v>
      </c>
      <c r="C181" s="64">
        <v>338.7</v>
      </c>
      <c r="D181" s="60">
        <f t="shared" si="4"/>
        <v>-4.7659215520877263E-2</v>
      </c>
      <c r="E181" s="56"/>
      <c r="F181" s="59">
        <v>40909</v>
      </c>
      <c r="G181" s="62">
        <v>5199.25</v>
      </c>
      <c r="H181" s="60">
        <f t="shared" si="5"/>
        <v>-3.4529822476416783E-2</v>
      </c>
      <c r="I181" s="53"/>
      <c r="J181" s="53"/>
      <c r="L181" s="54"/>
    </row>
    <row r="182" spans="2:12" ht="13.8" hidden="1" outlineLevel="1" x14ac:dyDescent="0.25">
      <c r="B182" s="59">
        <v>40878</v>
      </c>
      <c r="C182" s="64">
        <v>341.37</v>
      </c>
      <c r="D182" s="60">
        <f t="shared" si="4"/>
        <v>7.8830823737821021E-3</v>
      </c>
      <c r="E182" s="56"/>
      <c r="F182" s="59">
        <v>40878</v>
      </c>
      <c r="G182" s="62">
        <v>4624.3</v>
      </c>
      <c r="H182" s="60">
        <f t="shared" si="5"/>
        <v>-0.11058325720055773</v>
      </c>
      <c r="I182" s="53"/>
      <c r="J182" s="53"/>
      <c r="L182" s="54"/>
    </row>
    <row r="183" spans="2:12" ht="13.8" hidden="1" outlineLevel="1" x14ac:dyDescent="0.25">
      <c r="B183" s="59">
        <v>40848</v>
      </c>
      <c r="C183" s="64">
        <v>321.52999999999997</v>
      </c>
      <c r="D183" s="60">
        <f t="shared" si="4"/>
        <v>-5.8118756774174773E-2</v>
      </c>
      <c r="E183" s="56"/>
      <c r="F183" s="59">
        <v>40848</v>
      </c>
      <c r="G183" s="62">
        <v>4832.05</v>
      </c>
      <c r="H183" s="60">
        <f t="shared" si="5"/>
        <v>4.4925718487122346E-2</v>
      </c>
      <c r="I183" s="53"/>
      <c r="J183" s="53"/>
      <c r="L183" s="54"/>
    </row>
    <row r="184" spans="2:12" ht="13.8" hidden="1" outlineLevel="1" x14ac:dyDescent="0.25">
      <c r="B184" s="59">
        <v>40817</v>
      </c>
      <c r="C184" s="64">
        <v>354.92</v>
      </c>
      <c r="D184" s="60">
        <f t="shared" si="4"/>
        <v>0.10384723042950905</v>
      </c>
      <c r="E184" s="56"/>
      <c r="F184" s="59">
        <v>40817</v>
      </c>
      <c r="G184" s="62">
        <v>5326.6</v>
      </c>
      <c r="H184" s="60">
        <f t="shared" si="5"/>
        <v>0.10234786477788926</v>
      </c>
      <c r="I184" s="53"/>
      <c r="J184" s="53"/>
      <c r="L184" s="54"/>
    </row>
    <row r="185" spans="2:12" ht="13.8" hidden="1" outlineLevel="1" x14ac:dyDescent="0.25">
      <c r="B185" s="59">
        <v>40787</v>
      </c>
      <c r="C185" s="64">
        <v>312.43</v>
      </c>
      <c r="D185" s="60">
        <f t="shared" si="4"/>
        <v>-0.11971711935083962</v>
      </c>
      <c r="E185" s="56"/>
      <c r="F185" s="59">
        <v>40787</v>
      </c>
      <c r="G185" s="62">
        <v>4943.25</v>
      </c>
      <c r="H185" s="60">
        <f t="shared" si="5"/>
        <v>-7.1968985844628852E-2</v>
      </c>
      <c r="I185" s="53"/>
      <c r="J185" s="53"/>
      <c r="L185" s="54"/>
    </row>
    <row r="186" spans="2:12" ht="13.8" hidden="1" outlineLevel="1" x14ac:dyDescent="0.25">
      <c r="B186" s="59">
        <v>40756</v>
      </c>
      <c r="C186" s="64">
        <v>288.98</v>
      </c>
      <c r="D186" s="60">
        <f t="shared" si="4"/>
        <v>-7.5056812726050581E-2</v>
      </c>
      <c r="E186" s="56"/>
      <c r="F186" s="59">
        <v>40756</v>
      </c>
      <c r="G186" s="62">
        <v>5001</v>
      </c>
      <c r="H186" s="60">
        <f t="shared" si="5"/>
        <v>1.1682597481414092E-2</v>
      </c>
      <c r="I186" s="53"/>
      <c r="J186" s="53"/>
      <c r="L186" s="54"/>
    </row>
    <row r="187" spans="2:12" ht="13.8" hidden="1" outlineLevel="1" x14ac:dyDescent="0.25">
      <c r="B187" s="59">
        <v>40725</v>
      </c>
      <c r="C187" s="64">
        <v>342.38</v>
      </c>
      <c r="D187" s="60">
        <f t="shared" si="4"/>
        <v>0.18478787459339729</v>
      </c>
      <c r="E187" s="56"/>
      <c r="F187" s="59">
        <v>40725</v>
      </c>
      <c r="G187" s="62">
        <v>5482</v>
      </c>
      <c r="H187" s="60">
        <f t="shared" si="5"/>
        <v>9.618076384723051E-2</v>
      </c>
      <c r="I187" s="53"/>
      <c r="J187" s="53"/>
      <c r="L187" s="54"/>
    </row>
    <row r="188" spans="2:12" ht="13.8" hidden="1" outlineLevel="1" x14ac:dyDescent="0.25">
      <c r="B188" s="59">
        <v>40695</v>
      </c>
      <c r="C188" s="64">
        <v>358.98</v>
      </c>
      <c r="D188" s="60">
        <f t="shared" si="4"/>
        <v>4.8484140428763478E-2</v>
      </c>
      <c r="E188" s="56"/>
      <c r="F188" s="59">
        <v>40695</v>
      </c>
      <c r="G188" s="62">
        <v>5647.4</v>
      </c>
      <c r="H188" s="60">
        <f t="shared" si="5"/>
        <v>3.017147026632605E-2</v>
      </c>
      <c r="I188" s="53"/>
      <c r="J188" s="53"/>
      <c r="L188" s="54"/>
    </row>
    <row r="189" spans="2:12" ht="13.8" hidden="1" outlineLevel="1" x14ac:dyDescent="0.25">
      <c r="B189" s="59">
        <v>40664</v>
      </c>
      <c r="C189" s="64">
        <v>343.59</v>
      </c>
      <c r="D189" s="60">
        <f t="shared" si="4"/>
        <v>-4.2871469162627518E-2</v>
      </c>
      <c r="E189" s="56"/>
      <c r="F189" s="59">
        <v>40664</v>
      </c>
      <c r="G189" s="62">
        <v>5560.15</v>
      </c>
      <c r="H189" s="60">
        <f t="shared" si="5"/>
        <v>-1.5449587420759969E-2</v>
      </c>
      <c r="I189" s="53"/>
      <c r="J189" s="53"/>
      <c r="L189" s="54"/>
    </row>
    <row r="190" spans="2:12" ht="13.8" hidden="1" outlineLevel="1" x14ac:dyDescent="0.25">
      <c r="B190" s="59">
        <v>40634</v>
      </c>
      <c r="C190" s="64">
        <v>358.46</v>
      </c>
      <c r="D190" s="60">
        <f t="shared" si="4"/>
        <v>4.3278325911697113E-2</v>
      </c>
      <c r="E190" s="56"/>
      <c r="F190" s="59">
        <v>40634</v>
      </c>
      <c r="G190" s="62">
        <v>5749.5</v>
      </c>
      <c r="H190" s="60">
        <f t="shared" si="5"/>
        <v>3.4054836650090348E-2</v>
      </c>
      <c r="I190" s="53"/>
      <c r="J190" s="53"/>
      <c r="L190" s="54"/>
    </row>
    <row r="191" spans="2:12" ht="13.8" hidden="1" outlineLevel="1" x14ac:dyDescent="0.25">
      <c r="B191" s="59">
        <v>40603</v>
      </c>
      <c r="C191" s="64">
        <v>399.79</v>
      </c>
      <c r="D191" s="60">
        <f t="shared" si="4"/>
        <v>0.11529877810634392</v>
      </c>
      <c r="E191" s="56"/>
      <c r="F191" s="59">
        <v>40603</v>
      </c>
      <c r="G191" s="62">
        <v>5833.75</v>
      </c>
      <c r="H191" s="60">
        <f t="shared" si="5"/>
        <v>1.4653448125923951E-2</v>
      </c>
      <c r="I191" s="53"/>
      <c r="J191" s="53"/>
      <c r="L191" s="54"/>
    </row>
    <row r="192" spans="2:12" ht="13.8" hidden="1" outlineLevel="1" x14ac:dyDescent="0.25">
      <c r="B192" s="59">
        <v>40575</v>
      </c>
      <c r="C192" s="64">
        <v>369.67</v>
      </c>
      <c r="D192" s="60">
        <f t="shared" si="4"/>
        <v>-7.5339553265464376E-2</v>
      </c>
      <c r="E192" s="56"/>
      <c r="F192" s="59">
        <v>40575</v>
      </c>
      <c r="G192" s="62">
        <v>5333.25</v>
      </c>
      <c r="H192" s="60">
        <f t="shared" si="5"/>
        <v>-8.5793871866295279E-2</v>
      </c>
      <c r="I192" s="53"/>
      <c r="J192" s="53"/>
      <c r="L192" s="54"/>
    </row>
    <row r="193" spans="2:12" ht="13.8" hidden="1" outlineLevel="1" x14ac:dyDescent="0.25">
      <c r="B193" s="59">
        <v>40544</v>
      </c>
      <c r="C193" s="64">
        <v>384.54</v>
      </c>
      <c r="D193" s="60">
        <f t="shared" si="4"/>
        <v>4.0225065599047705E-2</v>
      </c>
      <c r="E193" s="56"/>
      <c r="F193" s="59">
        <v>40544</v>
      </c>
      <c r="G193" s="62">
        <v>5505.9</v>
      </c>
      <c r="H193" s="60">
        <f t="shared" si="5"/>
        <v>3.2372380818450175E-2</v>
      </c>
      <c r="I193" s="53"/>
      <c r="J193" s="53"/>
      <c r="L193" s="54"/>
    </row>
    <row r="194" spans="2:12" ht="13.8" hidden="1" outlineLevel="1" x14ac:dyDescent="0.25">
      <c r="B194" s="59">
        <v>40513</v>
      </c>
      <c r="C194" s="64">
        <v>424.63</v>
      </c>
      <c r="D194" s="60">
        <f t="shared" si="4"/>
        <v>0.10425443386903832</v>
      </c>
      <c r="E194" s="56"/>
      <c r="F194" s="59">
        <v>40513</v>
      </c>
      <c r="G194" s="62">
        <v>6134.5</v>
      </c>
      <c r="H194" s="60">
        <f t="shared" si="5"/>
        <v>0.11416843749432437</v>
      </c>
      <c r="I194" s="53"/>
      <c r="J194" s="53"/>
      <c r="L194" s="54"/>
    </row>
    <row r="195" spans="2:12" ht="13.8" hidden="1" outlineLevel="1" x14ac:dyDescent="0.25">
      <c r="B195" s="59">
        <v>40483</v>
      </c>
      <c r="C195" s="64">
        <v>376.32</v>
      </c>
      <c r="D195" s="60">
        <f t="shared" si="4"/>
        <v>-0.11376963474083324</v>
      </c>
      <c r="E195" s="56"/>
      <c r="F195" s="59">
        <v>40483</v>
      </c>
      <c r="G195" s="62">
        <v>5862.7</v>
      </c>
      <c r="H195" s="60">
        <f t="shared" si="5"/>
        <v>-4.4306789469394481E-2</v>
      </c>
      <c r="I195" s="53"/>
      <c r="J195" s="53"/>
      <c r="L195" s="54"/>
    </row>
    <row r="196" spans="2:12" ht="13.8" hidden="1" outlineLevel="1" x14ac:dyDescent="0.25">
      <c r="B196" s="59">
        <v>40452</v>
      </c>
      <c r="C196" s="64">
        <v>366.53</v>
      </c>
      <c r="D196" s="60">
        <f t="shared" si="4"/>
        <v>-2.6015093537415046E-2</v>
      </c>
      <c r="E196" s="56"/>
      <c r="F196" s="59">
        <v>40452</v>
      </c>
      <c r="G196" s="62">
        <v>6017.7</v>
      </c>
      <c r="H196" s="60">
        <f t="shared" si="5"/>
        <v>2.6438330462073889E-2</v>
      </c>
      <c r="I196" s="53"/>
      <c r="J196" s="53"/>
      <c r="L196" s="54"/>
    </row>
    <row r="197" spans="2:12" ht="13.8" hidden="1" outlineLevel="1" x14ac:dyDescent="0.25">
      <c r="B197" s="59">
        <v>40422</v>
      </c>
      <c r="C197" s="64">
        <v>378.32</v>
      </c>
      <c r="D197" s="60">
        <f t="shared" si="4"/>
        <v>3.216653479933429E-2</v>
      </c>
      <c r="E197" s="56"/>
      <c r="F197" s="59">
        <v>40422</v>
      </c>
      <c r="G197" s="62">
        <v>6029.95</v>
      </c>
      <c r="H197" s="60">
        <f t="shared" si="5"/>
        <v>2.035661465343841E-3</v>
      </c>
      <c r="I197" s="53"/>
      <c r="J197" s="53"/>
      <c r="L197" s="54"/>
    </row>
    <row r="198" spans="2:12" ht="13.8" hidden="1" outlineLevel="1" x14ac:dyDescent="0.25">
      <c r="B198" s="59">
        <v>40391</v>
      </c>
      <c r="C198" s="64">
        <v>336.57</v>
      </c>
      <c r="D198" s="60">
        <f t="shared" si="4"/>
        <v>-0.11035631211672658</v>
      </c>
      <c r="E198" s="56"/>
      <c r="F198" s="59">
        <v>40391</v>
      </c>
      <c r="G198" s="62">
        <v>5402.4</v>
      </c>
      <c r="H198" s="60">
        <f t="shared" si="5"/>
        <v>-0.10407217306942851</v>
      </c>
      <c r="I198" s="53"/>
      <c r="J198" s="53"/>
      <c r="L198" s="54"/>
    </row>
    <row r="199" spans="2:12" ht="13.8" hidden="1" outlineLevel="1" x14ac:dyDescent="0.25">
      <c r="B199" s="59">
        <v>40360</v>
      </c>
      <c r="C199" s="64">
        <v>345.82</v>
      </c>
      <c r="D199" s="60">
        <f t="shared" si="4"/>
        <v>2.7483138722999678E-2</v>
      </c>
      <c r="E199" s="56"/>
      <c r="F199" s="59">
        <v>40360</v>
      </c>
      <c r="G199" s="62">
        <v>5367.6</v>
      </c>
      <c r="H199" s="60">
        <f t="shared" si="5"/>
        <v>-6.4415815193246129E-3</v>
      </c>
      <c r="I199" s="53"/>
      <c r="J199" s="53"/>
      <c r="L199" s="54"/>
    </row>
    <row r="200" spans="2:12" ht="13.8" hidden="1" outlineLevel="1" x14ac:dyDescent="0.25">
      <c r="B200" s="59">
        <v>40330</v>
      </c>
      <c r="C200" s="64">
        <v>346.14</v>
      </c>
      <c r="D200" s="60">
        <f t="shared" si="4"/>
        <v>9.2533688045803864E-4</v>
      </c>
      <c r="E200" s="56"/>
      <c r="F200" s="59">
        <v>40330</v>
      </c>
      <c r="G200" s="62">
        <v>5312.5</v>
      </c>
      <c r="H200" s="60">
        <f t="shared" si="5"/>
        <v>-1.0265295476563185E-2</v>
      </c>
      <c r="I200" s="53"/>
      <c r="J200" s="53"/>
      <c r="L200" s="54"/>
    </row>
    <row r="201" spans="2:12" ht="13.8" hidden="1" outlineLevel="1" x14ac:dyDescent="0.25">
      <c r="B201" s="59">
        <v>40299</v>
      </c>
      <c r="C201" s="64">
        <v>329.64</v>
      </c>
      <c r="D201" s="60">
        <f t="shared" si="4"/>
        <v>-4.7668573409603066E-2</v>
      </c>
      <c r="E201" s="56"/>
      <c r="F201" s="59">
        <v>40299</v>
      </c>
      <c r="G201" s="62">
        <v>5086.3</v>
      </c>
      <c r="H201" s="60">
        <f t="shared" si="5"/>
        <v>-4.257882352941178E-2</v>
      </c>
      <c r="I201" s="53"/>
      <c r="J201" s="53"/>
      <c r="L201" s="54"/>
    </row>
    <row r="202" spans="2:12" ht="13.8" hidden="1" outlineLevel="1" x14ac:dyDescent="0.25">
      <c r="B202" s="59">
        <v>40269</v>
      </c>
      <c r="C202" s="64">
        <v>339.58</v>
      </c>
      <c r="D202" s="60">
        <f t="shared" si="4"/>
        <v>3.0154107511224382E-2</v>
      </c>
      <c r="E202" s="56"/>
      <c r="F202" s="59">
        <v>40269</v>
      </c>
      <c r="G202" s="62">
        <v>5278</v>
      </c>
      <c r="H202" s="60">
        <f t="shared" si="5"/>
        <v>3.7689479582407648E-2</v>
      </c>
      <c r="I202" s="53"/>
      <c r="J202" s="53"/>
      <c r="L202" s="54"/>
    </row>
    <row r="203" spans="2:12" ht="13.8" hidden="1" outlineLevel="1" x14ac:dyDescent="0.25">
      <c r="B203" s="59">
        <v>40238</v>
      </c>
      <c r="C203" s="64">
        <v>324.43</v>
      </c>
      <c r="D203" s="60">
        <f t="shared" si="4"/>
        <v>-4.4613934860710192E-2</v>
      </c>
      <c r="E203" s="56"/>
      <c r="F203" s="59">
        <v>40238</v>
      </c>
      <c r="G203" s="62">
        <v>5249.1</v>
      </c>
      <c r="H203" s="60">
        <f t="shared" si="5"/>
        <v>-5.4755589238346669E-3</v>
      </c>
      <c r="I203" s="53"/>
      <c r="J203" s="53"/>
      <c r="L203" s="54"/>
    </row>
    <row r="204" spans="2:12" ht="13.8" hidden="1" outlineLevel="1" x14ac:dyDescent="0.25">
      <c r="B204" s="59">
        <v>40210</v>
      </c>
      <c r="C204" s="64">
        <v>322.69</v>
      </c>
      <c r="D204" s="60">
        <f t="shared" si="4"/>
        <v>-5.3632524735690579E-3</v>
      </c>
      <c r="E204" s="56"/>
      <c r="F204" s="59">
        <v>40210</v>
      </c>
      <c r="G204" s="62">
        <v>4922.3</v>
      </c>
      <c r="H204" s="60">
        <f t="shared" si="5"/>
        <v>-6.2258291897658635E-2</v>
      </c>
      <c r="I204" s="53"/>
      <c r="J204" s="53"/>
      <c r="L204" s="54"/>
    </row>
    <row r="205" spans="2:12" ht="13.8" hidden="1" outlineLevel="1" x14ac:dyDescent="0.25">
      <c r="B205" s="59">
        <v>40179</v>
      </c>
      <c r="C205" s="64">
        <v>307.01</v>
      </c>
      <c r="D205" s="60">
        <f t="shared" ref="D205:D268" si="6">C205/C204-1</f>
        <v>-4.8591527472186979E-2</v>
      </c>
      <c r="E205" s="56"/>
      <c r="F205" s="59">
        <v>40179</v>
      </c>
      <c r="G205" s="62">
        <v>4882.05</v>
      </c>
      <c r="H205" s="60">
        <f t="shared" ref="H205:H268" si="7">G205/G204-1</f>
        <v>-8.1770716941267363E-3</v>
      </c>
      <c r="I205" s="53"/>
      <c r="J205" s="53"/>
      <c r="L205" s="54"/>
    </row>
    <row r="206" spans="2:12" ht="13.8" hidden="1" outlineLevel="1" x14ac:dyDescent="0.25">
      <c r="B206" s="59">
        <v>40148</v>
      </c>
      <c r="C206" s="64">
        <v>322.58999999999997</v>
      </c>
      <c r="D206" s="60">
        <f t="shared" si="6"/>
        <v>5.07475326536595E-2</v>
      </c>
      <c r="E206" s="56"/>
      <c r="F206" s="59">
        <v>40148</v>
      </c>
      <c r="G206" s="62">
        <v>5201.05</v>
      </c>
      <c r="H206" s="60">
        <f t="shared" si="7"/>
        <v>6.5341403713603974E-2</v>
      </c>
      <c r="I206" s="53"/>
      <c r="J206" s="53"/>
      <c r="L206" s="54"/>
    </row>
    <row r="207" spans="2:12" ht="13.8" hidden="1" outlineLevel="1" x14ac:dyDescent="0.25">
      <c r="B207" s="59">
        <v>40118</v>
      </c>
      <c r="C207" s="64">
        <v>295.08999999999997</v>
      </c>
      <c r="D207" s="60">
        <f t="shared" si="6"/>
        <v>-8.5247527821693203E-2</v>
      </c>
      <c r="E207" s="56"/>
      <c r="F207" s="59">
        <v>40118</v>
      </c>
      <c r="G207" s="62">
        <v>5032.7</v>
      </c>
      <c r="H207" s="60">
        <f t="shared" si="7"/>
        <v>-3.2368464060141822E-2</v>
      </c>
      <c r="I207" s="53"/>
      <c r="J207" s="53"/>
      <c r="L207" s="54"/>
    </row>
    <row r="208" spans="2:12" ht="13.8" hidden="1" outlineLevel="1" x14ac:dyDescent="0.25">
      <c r="B208" s="59">
        <v>40087</v>
      </c>
      <c r="C208" s="64">
        <v>273.61</v>
      </c>
      <c r="D208" s="60">
        <f t="shared" si="6"/>
        <v>-7.2791351790978953E-2</v>
      </c>
      <c r="E208" s="56"/>
      <c r="F208" s="59">
        <v>40087</v>
      </c>
      <c r="G208" s="62">
        <v>4711.7</v>
      </c>
      <c r="H208" s="60">
        <f t="shared" si="7"/>
        <v>-6.3782860094978799E-2</v>
      </c>
      <c r="I208" s="53"/>
      <c r="J208" s="53"/>
      <c r="L208" s="54"/>
    </row>
    <row r="209" spans="2:12" ht="13.8" hidden="1" outlineLevel="1" x14ac:dyDescent="0.25">
      <c r="B209" s="59">
        <v>40057</v>
      </c>
      <c r="C209" s="64">
        <v>286.04000000000002</v>
      </c>
      <c r="D209" s="60">
        <f t="shared" si="6"/>
        <v>4.5429626110156773E-2</v>
      </c>
      <c r="E209" s="56"/>
      <c r="F209" s="59">
        <v>40057</v>
      </c>
      <c r="G209" s="62">
        <v>5083.95</v>
      </c>
      <c r="H209" s="60">
        <f t="shared" si="7"/>
        <v>7.9005454506865913E-2</v>
      </c>
      <c r="I209" s="53"/>
      <c r="J209" s="53"/>
      <c r="L209" s="54"/>
    </row>
    <row r="210" spans="2:12" ht="13.8" hidden="1" outlineLevel="1" x14ac:dyDescent="0.25">
      <c r="B210" s="59">
        <v>40026</v>
      </c>
      <c r="C210" s="64">
        <v>264.3</v>
      </c>
      <c r="D210" s="60">
        <f t="shared" si="6"/>
        <v>-7.60033561739617E-2</v>
      </c>
      <c r="E210" s="56"/>
      <c r="F210" s="59">
        <v>40026</v>
      </c>
      <c r="G210" s="62">
        <v>4662.1000000000004</v>
      </c>
      <c r="H210" s="60">
        <f t="shared" si="7"/>
        <v>-8.2976819205538899E-2</v>
      </c>
      <c r="I210" s="53"/>
      <c r="J210" s="53"/>
      <c r="L210" s="54"/>
    </row>
    <row r="211" spans="2:12" ht="13.8" hidden="1" outlineLevel="1" x14ac:dyDescent="0.25">
      <c r="B211" s="59">
        <v>39995</v>
      </c>
      <c r="C211" s="64">
        <v>256.02</v>
      </c>
      <c r="D211" s="60">
        <f t="shared" si="6"/>
        <v>-3.132803632236103E-2</v>
      </c>
      <c r="E211" s="56"/>
      <c r="F211" s="59">
        <v>39995</v>
      </c>
      <c r="G211" s="62">
        <v>4636.45</v>
      </c>
      <c r="H211" s="60">
        <f t="shared" si="7"/>
        <v>-5.5018124879346875E-3</v>
      </c>
      <c r="I211" s="53"/>
      <c r="J211" s="53"/>
      <c r="L211" s="54"/>
    </row>
    <row r="212" spans="2:12" ht="13.8" hidden="1" outlineLevel="1" x14ac:dyDescent="0.25">
      <c r="B212" s="59">
        <v>39965</v>
      </c>
      <c r="C212" s="64">
        <v>220.32</v>
      </c>
      <c r="D212" s="60">
        <f t="shared" si="6"/>
        <v>-0.1394422310756972</v>
      </c>
      <c r="E212" s="56"/>
      <c r="F212" s="59">
        <v>39965</v>
      </c>
      <c r="G212" s="62">
        <v>4291.1000000000004</v>
      </c>
      <c r="H212" s="60">
        <f t="shared" si="7"/>
        <v>-7.4485867420116536E-2</v>
      </c>
      <c r="I212" s="53"/>
      <c r="J212" s="53"/>
      <c r="L212" s="54"/>
    </row>
    <row r="213" spans="2:12" ht="13.8" hidden="1" outlineLevel="1" x14ac:dyDescent="0.25">
      <c r="B213" s="59">
        <v>39934</v>
      </c>
      <c r="C213" s="64">
        <v>199.06</v>
      </c>
      <c r="D213" s="60">
        <f t="shared" si="6"/>
        <v>-9.6496005809731278E-2</v>
      </c>
      <c r="E213" s="56"/>
      <c r="F213" s="59">
        <v>39934</v>
      </c>
      <c r="G213" s="62">
        <v>4448.95</v>
      </c>
      <c r="H213" s="60">
        <f t="shared" si="7"/>
        <v>3.6785439630863781E-2</v>
      </c>
      <c r="I213" s="53"/>
      <c r="J213" s="53"/>
      <c r="L213" s="54"/>
    </row>
    <row r="214" spans="2:12" ht="13.8" hidden="1" outlineLevel="1" x14ac:dyDescent="0.25">
      <c r="B214" s="59">
        <v>39904</v>
      </c>
      <c r="C214" s="64">
        <v>187.18</v>
      </c>
      <c r="D214" s="60">
        <f t="shared" si="6"/>
        <v>-5.9680498342208343E-2</v>
      </c>
      <c r="E214" s="56"/>
      <c r="F214" s="59">
        <v>39904</v>
      </c>
      <c r="G214" s="62">
        <v>3473.95</v>
      </c>
      <c r="H214" s="60">
        <f t="shared" si="7"/>
        <v>-0.21915283381472028</v>
      </c>
      <c r="I214" s="53"/>
      <c r="J214" s="53"/>
      <c r="L214" s="54"/>
    </row>
    <row r="215" spans="2:12" ht="13.8" hidden="1" outlineLevel="1" x14ac:dyDescent="0.25">
      <c r="B215" s="59">
        <v>39873</v>
      </c>
      <c r="C215" s="64">
        <v>164.19</v>
      </c>
      <c r="D215" s="60">
        <f t="shared" si="6"/>
        <v>-0.12282295116999686</v>
      </c>
      <c r="E215" s="56"/>
      <c r="F215" s="59">
        <v>39873</v>
      </c>
      <c r="G215" s="62">
        <v>3020.95</v>
      </c>
      <c r="H215" s="60">
        <f t="shared" si="7"/>
        <v>-0.13039911340117161</v>
      </c>
      <c r="I215" s="53"/>
      <c r="J215" s="53"/>
      <c r="L215" s="54"/>
    </row>
    <row r="216" spans="2:12" ht="13.8" hidden="1" outlineLevel="1" x14ac:dyDescent="0.25">
      <c r="B216" s="59">
        <v>39845</v>
      </c>
      <c r="C216" s="64">
        <v>152.69999999999999</v>
      </c>
      <c r="D216" s="60">
        <f t="shared" si="6"/>
        <v>-6.9979901333820593E-2</v>
      </c>
      <c r="E216" s="56"/>
      <c r="F216" s="59">
        <v>39845</v>
      </c>
      <c r="G216" s="62">
        <v>2763.65</v>
      </c>
      <c r="H216" s="60">
        <f t="shared" si="7"/>
        <v>-8.5171883016931682E-2</v>
      </c>
      <c r="I216" s="53"/>
      <c r="J216" s="53"/>
      <c r="L216" s="54"/>
    </row>
    <row r="217" spans="2:12" ht="13.8" hidden="1" outlineLevel="1" x14ac:dyDescent="0.25">
      <c r="B217" s="59">
        <v>39814</v>
      </c>
      <c r="C217" s="64">
        <v>162.05000000000001</v>
      </c>
      <c r="D217" s="60">
        <f t="shared" si="6"/>
        <v>6.1231172233137121E-2</v>
      </c>
      <c r="E217" s="56"/>
      <c r="F217" s="59">
        <v>39814</v>
      </c>
      <c r="G217" s="62">
        <v>2874.8</v>
      </c>
      <c r="H217" s="60">
        <f t="shared" si="7"/>
        <v>4.0218551553199644E-2</v>
      </c>
      <c r="I217" s="53"/>
      <c r="J217" s="53"/>
      <c r="L217" s="54"/>
    </row>
    <row r="218" spans="2:12" ht="13.8" hidden="1" outlineLevel="1" x14ac:dyDescent="0.25">
      <c r="B218" s="59">
        <v>39783</v>
      </c>
      <c r="C218" s="64">
        <v>138.34</v>
      </c>
      <c r="D218" s="60">
        <f t="shared" si="6"/>
        <v>-0.14631286639925956</v>
      </c>
      <c r="E218" s="56"/>
      <c r="F218" s="59">
        <v>39783</v>
      </c>
      <c r="G218" s="62">
        <v>2959.15</v>
      </c>
      <c r="H218" s="60">
        <f t="shared" si="7"/>
        <v>2.9341171559760681E-2</v>
      </c>
      <c r="I218" s="53"/>
      <c r="J218" s="53"/>
      <c r="L218" s="54"/>
    </row>
    <row r="219" spans="2:12" ht="13.8" hidden="1" outlineLevel="1" x14ac:dyDescent="0.25">
      <c r="B219" s="59">
        <v>39753</v>
      </c>
      <c r="C219" s="64">
        <v>154.26</v>
      </c>
      <c r="D219" s="60">
        <f t="shared" si="6"/>
        <v>0.1150787913835476</v>
      </c>
      <c r="E219" s="56"/>
      <c r="F219" s="59">
        <v>39753</v>
      </c>
      <c r="G219" s="62">
        <v>2755.1</v>
      </c>
      <c r="H219" s="60">
        <f t="shared" si="7"/>
        <v>-6.8955612253518761E-2</v>
      </c>
      <c r="I219" s="53"/>
      <c r="J219" s="53"/>
      <c r="L219" s="54"/>
    </row>
    <row r="220" spans="2:12" ht="13.8" hidden="1" outlineLevel="1" x14ac:dyDescent="0.25">
      <c r="B220" s="59">
        <v>39722</v>
      </c>
      <c r="C220" s="64">
        <v>172.26</v>
      </c>
      <c r="D220" s="60">
        <f t="shared" si="6"/>
        <v>0.11668611435239207</v>
      </c>
      <c r="E220" s="56"/>
      <c r="F220" s="59">
        <v>39722</v>
      </c>
      <c r="G220" s="62">
        <v>2885.6</v>
      </c>
      <c r="H220" s="60">
        <f t="shared" si="7"/>
        <v>4.7366701753112306E-2</v>
      </c>
      <c r="I220" s="53"/>
      <c r="J220" s="53"/>
      <c r="L220" s="54"/>
    </row>
    <row r="221" spans="2:12" ht="13.8" hidden="1" outlineLevel="1" x14ac:dyDescent="0.25">
      <c r="B221" s="59">
        <v>39692</v>
      </c>
      <c r="C221" s="64">
        <v>173.39</v>
      </c>
      <c r="D221" s="60">
        <f t="shared" si="6"/>
        <v>6.559851387437643E-3</v>
      </c>
      <c r="E221" s="56"/>
      <c r="F221" s="59">
        <v>39692</v>
      </c>
      <c r="G221" s="62">
        <v>3921.2</v>
      </c>
      <c r="H221" s="60">
        <f t="shared" si="7"/>
        <v>0.35888550041585798</v>
      </c>
      <c r="I221" s="53"/>
      <c r="J221" s="53"/>
      <c r="L221" s="54"/>
    </row>
    <row r="222" spans="2:12" ht="13.8" hidden="1" outlineLevel="1" x14ac:dyDescent="0.25">
      <c r="B222" s="59">
        <v>39661</v>
      </c>
      <c r="C222" s="64">
        <v>216.92</v>
      </c>
      <c r="D222" s="60">
        <f t="shared" si="6"/>
        <v>0.25105254051560077</v>
      </c>
      <c r="E222" s="56"/>
      <c r="F222" s="59">
        <v>39661</v>
      </c>
      <c r="G222" s="62">
        <v>4360</v>
      </c>
      <c r="H222" s="60">
        <f t="shared" si="7"/>
        <v>0.11190451902478848</v>
      </c>
      <c r="I222" s="53"/>
      <c r="J222" s="53"/>
      <c r="L222" s="54"/>
    </row>
    <row r="223" spans="2:12" ht="13.8" hidden="1" outlineLevel="1" x14ac:dyDescent="0.25">
      <c r="B223" s="59">
        <v>39630</v>
      </c>
      <c r="C223" s="64">
        <v>196.38</v>
      </c>
      <c r="D223" s="60">
        <f t="shared" si="6"/>
        <v>-9.4689286372856341E-2</v>
      </c>
      <c r="E223" s="56"/>
      <c r="F223" s="59">
        <v>39630</v>
      </c>
      <c r="G223" s="62">
        <v>4332.95</v>
      </c>
      <c r="H223" s="60">
        <f t="shared" si="7"/>
        <v>-6.2041284403669961E-3</v>
      </c>
      <c r="I223" s="53"/>
      <c r="J223" s="53"/>
      <c r="L223" s="54"/>
    </row>
    <row r="224" spans="2:12" ht="13.8" hidden="1" outlineLevel="1" x14ac:dyDescent="0.25">
      <c r="B224" s="59">
        <v>39600</v>
      </c>
      <c r="C224" s="64">
        <v>215.4</v>
      </c>
      <c r="D224" s="60">
        <f t="shared" si="6"/>
        <v>9.6853040024442505E-2</v>
      </c>
      <c r="E224" s="56"/>
      <c r="F224" s="59">
        <v>39600</v>
      </c>
      <c r="G224" s="62">
        <v>4040.55</v>
      </c>
      <c r="H224" s="60">
        <f t="shared" si="7"/>
        <v>-6.7482892717432574E-2</v>
      </c>
      <c r="I224" s="53"/>
      <c r="J224" s="53"/>
      <c r="L224" s="54"/>
    </row>
    <row r="225" spans="2:12" ht="13.8" hidden="1" outlineLevel="1" x14ac:dyDescent="0.25">
      <c r="B225" s="59">
        <v>39569</v>
      </c>
      <c r="C225" s="64">
        <v>243.43</v>
      </c>
      <c r="D225" s="60">
        <f t="shared" si="6"/>
        <v>0.13012999071494891</v>
      </c>
      <c r="E225" s="56"/>
      <c r="F225" s="59">
        <v>39569</v>
      </c>
      <c r="G225" s="62">
        <v>4870.1000000000004</v>
      </c>
      <c r="H225" s="60">
        <f t="shared" si="7"/>
        <v>0.20530620831322466</v>
      </c>
      <c r="I225" s="53"/>
      <c r="J225" s="53"/>
      <c r="L225" s="54"/>
    </row>
    <row r="226" spans="2:12" ht="13.8" hidden="1" outlineLevel="1" x14ac:dyDescent="0.25">
      <c r="B226" s="59">
        <v>39539</v>
      </c>
      <c r="C226" s="64">
        <v>217.42</v>
      </c>
      <c r="D226" s="60">
        <f t="shared" si="6"/>
        <v>-0.10684796450725065</v>
      </c>
      <c r="E226" s="56"/>
      <c r="F226" s="59">
        <v>39539</v>
      </c>
      <c r="G226" s="62">
        <v>5165.8999999999996</v>
      </c>
      <c r="H226" s="60">
        <f t="shared" si="7"/>
        <v>6.0737972526231365E-2</v>
      </c>
      <c r="I226" s="53"/>
      <c r="J226" s="53"/>
      <c r="L226" s="54"/>
    </row>
    <row r="227" spans="2:12" ht="13.8" hidden="1" outlineLevel="1" x14ac:dyDescent="0.25">
      <c r="B227" s="59">
        <v>39508</v>
      </c>
      <c r="C227" s="64">
        <v>178.58</v>
      </c>
      <c r="D227" s="60">
        <f t="shared" si="6"/>
        <v>-0.17864041946463061</v>
      </c>
      <c r="E227" s="56"/>
      <c r="F227" s="59">
        <v>39508</v>
      </c>
      <c r="G227" s="62">
        <v>4734.5</v>
      </c>
      <c r="H227" s="60">
        <f t="shared" si="7"/>
        <v>-8.3509165876226699E-2</v>
      </c>
      <c r="I227" s="53"/>
      <c r="J227" s="53"/>
      <c r="L227" s="54"/>
    </row>
    <row r="228" spans="2:12" ht="13.8" hidden="1" outlineLevel="1" x14ac:dyDescent="0.25">
      <c r="B228" s="59">
        <v>39479</v>
      </c>
      <c r="C228" s="64">
        <v>192.01</v>
      </c>
      <c r="D228" s="60">
        <f t="shared" si="6"/>
        <v>7.520439018927072E-2</v>
      </c>
      <c r="E228" s="56"/>
      <c r="F228" s="59">
        <v>39479</v>
      </c>
      <c r="G228" s="62">
        <v>5223.5</v>
      </c>
      <c r="H228" s="60">
        <f t="shared" si="7"/>
        <v>0.1032844017319674</v>
      </c>
      <c r="I228" s="53"/>
      <c r="J228" s="53"/>
      <c r="L228" s="54"/>
    </row>
    <row r="229" spans="2:12" ht="13.8" hidden="1" outlineLevel="1" x14ac:dyDescent="0.25">
      <c r="B229" s="59">
        <v>39448</v>
      </c>
      <c r="C229" s="64">
        <v>185.91</v>
      </c>
      <c r="D229" s="60">
        <f t="shared" si="6"/>
        <v>-3.1769178688609956E-2</v>
      </c>
      <c r="E229" s="56"/>
      <c r="F229" s="59">
        <v>39448</v>
      </c>
      <c r="G229" s="62">
        <v>5137.45</v>
      </c>
      <c r="H229" s="60">
        <f t="shared" si="7"/>
        <v>-1.6473628792954997E-2</v>
      </c>
      <c r="I229" s="53"/>
      <c r="J229" s="53"/>
      <c r="L229" s="54"/>
    </row>
    <row r="230" spans="2:12" ht="13.8" hidden="1" outlineLevel="1" x14ac:dyDescent="0.25">
      <c r="B230" s="59">
        <v>39417</v>
      </c>
      <c r="C230" s="64">
        <v>219.5</v>
      </c>
      <c r="D230" s="60">
        <f t="shared" si="6"/>
        <v>0.18067882308643979</v>
      </c>
      <c r="E230" s="56"/>
      <c r="F230" s="59">
        <v>39417</v>
      </c>
      <c r="G230" s="62">
        <v>6138.6</v>
      </c>
      <c r="H230" s="60">
        <f t="shared" si="7"/>
        <v>0.19487294280236322</v>
      </c>
      <c r="I230" s="53"/>
      <c r="J230" s="53"/>
      <c r="L230" s="54"/>
    </row>
    <row r="231" spans="2:12" ht="13.8" hidden="1" outlineLevel="1" x14ac:dyDescent="0.25">
      <c r="B231" s="59">
        <v>39387</v>
      </c>
      <c r="C231" s="64">
        <v>198.74</v>
      </c>
      <c r="D231" s="60">
        <f t="shared" si="6"/>
        <v>-9.4578587699316596E-2</v>
      </c>
      <c r="E231" s="56"/>
      <c r="F231" s="59">
        <v>39387</v>
      </c>
      <c r="G231" s="62">
        <v>5762.75</v>
      </c>
      <c r="H231" s="60">
        <f t="shared" si="7"/>
        <v>-6.1227315674583838E-2</v>
      </c>
      <c r="I231" s="53"/>
      <c r="J231" s="53"/>
      <c r="L231" s="54"/>
    </row>
    <row r="232" spans="2:12" ht="13.8" hidden="1" outlineLevel="1" x14ac:dyDescent="0.25">
      <c r="B232" s="59">
        <v>39356</v>
      </c>
      <c r="C232" s="64">
        <v>227.88</v>
      </c>
      <c r="D232" s="60">
        <f t="shared" si="6"/>
        <v>0.1466237294958237</v>
      </c>
      <c r="E232" s="56"/>
      <c r="F232" s="59">
        <v>39356</v>
      </c>
      <c r="G232" s="62">
        <v>5900.65</v>
      </c>
      <c r="H232" s="60">
        <f t="shared" si="7"/>
        <v>2.3929547525053163E-2</v>
      </c>
      <c r="I232" s="53"/>
      <c r="J232" s="53"/>
      <c r="L232" s="54"/>
    </row>
    <row r="233" spans="2:12" ht="13.8" hidden="1" outlineLevel="1" x14ac:dyDescent="0.25">
      <c r="B233" s="59">
        <v>39326</v>
      </c>
      <c r="C233" s="64">
        <v>234.74</v>
      </c>
      <c r="D233" s="60">
        <f t="shared" si="6"/>
        <v>3.0103563278918832E-2</v>
      </c>
      <c r="E233" s="56"/>
      <c r="F233" s="59">
        <v>39326</v>
      </c>
      <c r="G233" s="62">
        <v>5021.3500000000004</v>
      </c>
      <c r="H233" s="60">
        <f t="shared" si="7"/>
        <v>-0.14901748112496072</v>
      </c>
      <c r="I233" s="53"/>
      <c r="J233" s="53"/>
      <c r="L233" s="54"/>
    </row>
    <row r="234" spans="2:12" ht="13.8" hidden="1" outlineLevel="1" x14ac:dyDescent="0.25">
      <c r="B234" s="59">
        <v>39295</v>
      </c>
      <c r="C234" s="64">
        <v>230</v>
      </c>
      <c r="D234" s="60">
        <f t="shared" si="6"/>
        <v>-2.0192553463406315E-2</v>
      </c>
      <c r="E234" s="56"/>
      <c r="F234" s="59">
        <v>39295</v>
      </c>
      <c r="G234" s="62">
        <v>4464</v>
      </c>
      <c r="H234" s="60">
        <f t="shared" si="7"/>
        <v>-0.11099604687982323</v>
      </c>
      <c r="I234" s="53"/>
      <c r="J234" s="53"/>
      <c r="L234" s="54"/>
    </row>
    <row r="235" spans="2:12" ht="13.8" hidden="1" outlineLevel="1" x14ac:dyDescent="0.25">
      <c r="B235" s="59">
        <v>39264</v>
      </c>
      <c r="C235" s="64">
        <v>245.04</v>
      </c>
      <c r="D235" s="60">
        <f t="shared" si="6"/>
        <v>6.5391304347826029E-2</v>
      </c>
      <c r="E235" s="56"/>
      <c r="F235" s="59">
        <v>39264</v>
      </c>
      <c r="G235" s="62">
        <v>4528.8500000000004</v>
      </c>
      <c r="H235" s="60">
        <f t="shared" si="7"/>
        <v>1.4527329749103979E-2</v>
      </c>
      <c r="I235" s="53"/>
      <c r="J235" s="53"/>
      <c r="L235" s="54"/>
    </row>
    <row r="236" spans="2:12" ht="13.8" hidden="1" outlineLevel="1" x14ac:dyDescent="0.25">
      <c r="B236" s="59">
        <v>39234</v>
      </c>
      <c r="C236" s="64">
        <v>239.24</v>
      </c>
      <c r="D236" s="60">
        <f t="shared" si="6"/>
        <v>-2.3669604962455071E-2</v>
      </c>
      <c r="E236" s="56"/>
      <c r="F236" s="59">
        <v>39234</v>
      </c>
      <c r="G236" s="62">
        <v>4318.3</v>
      </c>
      <c r="H236" s="60">
        <f t="shared" si="7"/>
        <v>-4.6490831005663757E-2</v>
      </c>
      <c r="I236" s="53"/>
      <c r="J236" s="53"/>
      <c r="L236" s="54"/>
    </row>
    <row r="237" spans="2:12" ht="13.8" hidden="1" outlineLevel="1" x14ac:dyDescent="0.25">
      <c r="B237" s="59">
        <v>39203</v>
      </c>
      <c r="C237" s="64">
        <v>238.55</v>
      </c>
      <c r="D237" s="60">
        <f t="shared" si="6"/>
        <v>-2.8841330881123062E-3</v>
      </c>
      <c r="E237" s="56"/>
      <c r="F237" s="59">
        <v>39203</v>
      </c>
      <c r="G237" s="62">
        <v>4295.8</v>
      </c>
      <c r="H237" s="60">
        <f t="shared" si="7"/>
        <v>-5.2103837158140598E-3</v>
      </c>
      <c r="I237" s="53"/>
      <c r="J237" s="53"/>
      <c r="L237" s="54"/>
    </row>
    <row r="238" spans="2:12" ht="13.8" hidden="1" outlineLevel="1" x14ac:dyDescent="0.25">
      <c r="B238" s="59">
        <v>39173</v>
      </c>
      <c r="C238" s="64">
        <v>254.35</v>
      </c>
      <c r="D238" s="60">
        <f t="shared" si="6"/>
        <v>6.6233494026409545E-2</v>
      </c>
      <c r="E238" s="56"/>
      <c r="F238" s="59">
        <v>39173</v>
      </c>
      <c r="G238" s="62">
        <v>4087.9</v>
      </c>
      <c r="H238" s="60">
        <f t="shared" si="7"/>
        <v>-4.8396107826248924E-2</v>
      </c>
      <c r="I238" s="53"/>
      <c r="J238" s="53"/>
      <c r="L238" s="54"/>
    </row>
    <row r="239" spans="2:12" ht="13.8" hidden="1" outlineLevel="1" x14ac:dyDescent="0.25">
      <c r="B239" s="59">
        <v>39142</v>
      </c>
      <c r="C239" s="64">
        <v>250.35</v>
      </c>
      <c r="D239" s="60">
        <f t="shared" si="6"/>
        <v>-1.5726361313151194E-2</v>
      </c>
      <c r="E239" s="56"/>
      <c r="F239" s="59">
        <v>39142</v>
      </c>
      <c r="G239" s="62">
        <v>3821.55</v>
      </c>
      <c r="H239" s="60">
        <f t="shared" si="7"/>
        <v>-6.5155703417402511E-2</v>
      </c>
      <c r="I239" s="53"/>
      <c r="J239" s="53"/>
      <c r="L239" s="54"/>
    </row>
    <row r="240" spans="2:12" ht="13.8" hidden="1" outlineLevel="1" x14ac:dyDescent="0.25">
      <c r="B240" s="59">
        <v>39114</v>
      </c>
      <c r="C240" s="64">
        <v>257.66000000000003</v>
      </c>
      <c r="D240" s="60">
        <f t="shared" si="6"/>
        <v>2.9199121230277791E-2</v>
      </c>
      <c r="E240" s="56"/>
      <c r="F240" s="59">
        <v>39114</v>
      </c>
      <c r="G240" s="62">
        <v>3745.3</v>
      </c>
      <c r="H240" s="60">
        <f t="shared" si="7"/>
        <v>-1.9952637019010622E-2</v>
      </c>
      <c r="I240" s="53"/>
      <c r="J240" s="53"/>
      <c r="L240" s="54"/>
    </row>
    <row r="241" spans="2:12" ht="13.8" hidden="1" outlineLevel="1" x14ac:dyDescent="0.25">
      <c r="B241" s="59">
        <v>39083</v>
      </c>
      <c r="C241" s="64">
        <v>278.70999999999998</v>
      </c>
      <c r="D241" s="60">
        <f t="shared" si="6"/>
        <v>8.169680974928184E-2</v>
      </c>
      <c r="E241" s="56"/>
      <c r="F241" s="59">
        <v>39083</v>
      </c>
      <c r="G241" s="62">
        <v>4082.7</v>
      </c>
      <c r="H241" s="60">
        <f t="shared" si="7"/>
        <v>9.0086241422582924E-2</v>
      </c>
      <c r="I241" s="53"/>
      <c r="J241" s="53"/>
      <c r="L241" s="54"/>
    </row>
    <row r="242" spans="2:12" ht="13.8" hidden="1" outlineLevel="1" x14ac:dyDescent="0.25">
      <c r="B242" s="59">
        <v>39052</v>
      </c>
      <c r="C242" s="64">
        <v>278.02999999999997</v>
      </c>
      <c r="D242" s="60">
        <f t="shared" si="6"/>
        <v>-2.4398119909583293E-3</v>
      </c>
      <c r="E242" s="56"/>
      <c r="F242" s="59">
        <v>39052</v>
      </c>
      <c r="G242" s="62">
        <v>3966.4</v>
      </c>
      <c r="H242" s="60">
        <f t="shared" si="7"/>
        <v>-2.8486050897690185E-2</v>
      </c>
      <c r="I242" s="53"/>
      <c r="J242" s="53"/>
      <c r="L242" s="54"/>
    </row>
    <row r="243" spans="2:12" ht="13.8" hidden="1" outlineLevel="1" x14ac:dyDescent="0.25">
      <c r="B243" s="59">
        <v>39022</v>
      </c>
      <c r="C243" s="64">
        <v>270.33</v>
      </c>
      <c r="D243" s="60">
        <f t="shared" si="6"/>
        <v>-2.7694853073409353E-2</v>
      </c>
      <c r="E243" s="56"/>
      <c r="F243" s="59">
        <v>39022</v>
      </c>
      <c r="G243" s="62">
        <v>3954.5</v>
      </c>
      <c r="H243" s="60">
        <f t="shared" si="7"/>
        <v>-3.0002016942315413E-3</v>
      </c>
      <c r="I243" s="53"/>
      <c r="J243" s="53"/>
      <c r="L243" s="54"/>
    </row>
    <row r="244" spans="2:12" ht="13.8" hidden="1" outlineLevel="1" x14ac:dyDescent="0.25">
      <c r="B244" s="59">
        <v>38991</v>
      </c>
      <c r="C244" s="64">
        <v>259.88</v>
      </c>
      <c r="D244" s="60">
        <f t="shared" si="6"/>
        <v>-3.8656456923019999E-2</v>
      </c>
      <c r="E244" s="56"/>
      <c r="F244" s="59">
        <v>38991</v>
      </c>
      <c r="G244" s="62">
        <v>3744.1</v>
      </c>
      <c r="H244" s="60">
        <f t="shared" si="7"/>
        <v>-5.3205209255278829E-2</v>
      </c>
      <c r="I244" s="53"/>
      <c r="J244" s="53"/>
      <c r="L244" s="54"/>
    </row>
    <row r="245" spans="2:12" ht="13.8" hidden="1" outlineLevel="1" x14ac:dyDescent="0.25">
      <c r="B245" s="59">
        <v>38961</v>
      </c>
      <c r="C245" s="64">
        <v>229.39</v>
      </c>
      <c r="D245" s="60">
        <f t="shared" si="6"/>
        <v>-0.11732338002154841</v>
      </c>
      <c r="E245" s="56"/>
      <c r="F245" s="59">
        <v>38961</v>
      </c>
      <c r="G245" s="62">
        <v>3588.4</v>
      </c>
      <c r="H245" s="60">
        <f t="shared" si="7"/>
        <v>-4.1585427739643688E-2</v>
      </c>
      <c r="I245" s="53"/>
      <c r="J245" s="53"/>
      <c r="L245" s="54"/>
    </row>
    <row r="246" spans="2:12" ht="13.8" hidden="1" outlineLevel="1" x14ac:dyDescent="0.25">
      <c r="B246" s="59">
        <v>38930</v>
      </c>
      <c r="C246" s="64">
        <v>224.03</v>
      </c>
      <c r="D246" s="60">
        <f t="shared" si="6"/>
        <v>-2.3366319368760546E-2</v>
      </c>
      <c r="E246" s="56"/>
      <c r="F246" s="59">
        <v>38930</v>
      </c>
      <c r="G246" s="62">
        <v>3413.9</v>
      </c>
      <c r="H246" s="60">
        <f t="shared" si="7"/>
        <v>-4.8628915394047456E-2</v>
      </c>
      <c r="I246" s="53"/>
      <c r="J246" s="53"/>
      <c r="L246" s="54"/>
    </row>
    <row r="247" spans="2:12" ht="13.8" hidden="1" outlineLevel="1" x14ac:dyDescent="0.25">
      <c r="B247" s="59">
        <v>38899</v>
      </c>
      <c r="C247" s="64">
        <v>205.32</v>
      </c>
      <c r="D247" s="60">
        <f t="shared" si="6"/>
        <v>-8.3515600589206818E-2</v>
      </c>
      <c r="E247" s="56"/>
      <c r="F247" s="59">
        <v>38899</v>
      </c>
      <c r="G247" s="62">
        <v>3143.2</v>
      </c>
      <c r="H247" s="60">
        <f t="shared" si="7"/>
        <v>-7.929347666891251E-2</v>
      </c>
      <c r="I247" s="53"/>
      <c r="J247" s="53"/>
      <c r="L247" s="54"/>
    </row>
    <row r="248" spans="2:12" ht="13.8" hidden="1" outlineLevel="1" x14ac:dyDescent="0.25">
      <c r="B248" s="59">
        <v>38869</v>
      </c>
      <c r="C248" s="64">
        <v>190.92</v>
      </c>
      <c r="D248" s="60">
        <f t="shared" si="6"/>
        <v>-7.0134424313267107E-2</v>
      </c>
      <c r="E248" s="56"/>
      <c r="F248" s="59">
        <v>38869</v>
      </c>
      <c r="G248" s="62">
        <v>3128.2</v>
      </c>
      <c r="H248" s="60">
        <f t="shared" si="7"/>
        <v>-4.7722066683634212E-3</v>
      </c>
      <c r="I248" s="53"/>
      <c r="J248" s="53"/>
      <c r="L248" s="54"/>
    </row>
    <row r="249" spans="2:12" ht="13.8" hidden="1" outlineLevel="1" x14ac:dyDescent="0.25">
      <c r="B249" s="59">
        <v>38838</v>
      </c>
      <c r="C249" s="64">
        <v>180.44</v>
      </c>
      <c r="D249" s="60">
        <f t="shared" si="6"/>
        <v>-5.4892101403729243E-2</v>
      </c>
      <c r="E249" s="56"/>
      <c r="F249" s="59">
        <v>38838</v>
      </c>
      <c r="G249" s="62">
        <v>3071.05</v>
      </c>
      <c r="H249" s="60">
        <f t="shared" si="7"/>
        <v>-1.8269292244741275E-2</v>
      </c>
      <c r="I249" s="53"/>
      <c r="J249" s="53"/>
      <c r="L249" s="54"/>
    </row>
    <row r="250" spans="2:12" ht="13.8" hidden="1" outlineLevel="1" x14ac:dyDescent="0.25">
      <c r="B250" s="59">
        <v>38808</v>
      </c>
      <c r="C250" s="64">
        <v>197.03</v>
      </c>
      <c r="D250" s="60">
        <f t="shared" si="6"/>
        <v>9.1941919751717949E-2</v>
      </c>
      <c r="E250" s="56"/>
      <c r="F250" s="59">
        <v>38808</v>
      </c>
      <c r="G250" s="62">
        <v>3557.6</v>
      </c>
      <c r="H250" s="60">
        <f t="shared" si="7"/>
        <v>0.15843115546799935</v>
      </c>
      <c r="I250" s="53"/>
      <c r="J250" s="53"/>
      <c r="L250" s="54"/>
    </row>
    <row r="251" spans="2:12" ht="13.8" hidden="1" outlineLevel="1" x14ac:dyDescent="0.25">
      <c r="B251" s="59">
        <v>38777</v>
      </c>
      <c r="C251" s="64">
        <v>184.88</v>
      </c>
      <c r="D251" s="60">
        <f t="shared" si="6"/>
        <v>-6.1665736182307307E-2</v>
      </c>
      <c r="E251" s="56"/>
      <c r="F251" s="59">
        <v>38777</v>
      </c>
      <c r="G251" s="62">
        <v>3402.55</v>
      </c>
      <c r="H251" s="60">
        <f t="shared" si="7"/>
        <v>-4.3582752417359982E-2</v>
      </c>
      <c r="I251" s="53"/>
      <c r="J251" s="53"/>
      <c r="L251" s="54"/>
    </row>
    <row r="252" spans="2:12" ht="13.8" hidden="1" outlineLevel="1" x14ac:dyDescent="0.25">
      <c r="B252" s="59">
        <v>38749</v>
      </c>
      <c r="C252" s="64">
        <v>175.42</v>
      </c>
      <c r="D252" s="60">
        <f t="shared" si="6"/>
        <v>-5.1168325400259618E-2</v>
      </c>
      <c r="E252" s="56"/>
      <c r="F252" s="59">
        <v>38749</v>
      </c>
      <c r="G252" s="62">
        <v>3074.7</v>
      </c>
      <c r="H252" s="60">
        <f t="shared" si="7"/>
        <v>-9.6354204934534504E-2</v>
      </c>
      <c r="I252" s="53"/>
      <c r="J252" s="53"/>
      <c r="L252" s="54"/>
    </row>
    <row r="253" spans="2:12" ht="13.8" hidden="1" outlineLevel="1" x14ac:dyDescent="0.25">
      <c r="B253" s="59">
        <v>38718</v>
      </c>
      <c r="C253" s="64">
        <v>178.61</v>
      </c>
      <c r="D253" s="60">
        <f t="shared" si="6"/>
        <v>1.818492760232604E-2</v>
      </c>
      <c r="E253" s="56"/>
      <c r="F253" s="59">
        <v>38718</v>
      </c>
      <c r="G253" s="62">
        <v>3001.1</v>
      </c>
      <c r="H253" s="60">
        <f t="shared" si="7"/>
        <v>-2.3937294695417388E-2</v>
      </c>
      <c r="I253" s="53"/>
      <c r="J253" s="53"/>
      <c r="L253" s="54"/>
    </row>
    <row r="254" spans="2:12" ht="13.8" hidden="1" outlineLevel="1" x14ac:dyDescent="0.25">
      <c r="B254" s="59">
        <v>38687</v>
      </c>
      <c r="C254" s="64">
        <v>185.83</v>
      </c>
      <c r="D254" s="60">
        <f t="shared" si="6"/>
        <v>4.0423268573988036E-2</v>
      </c>
      <c r="E254" s="56"/>
      <c r="F254" s="59">
        <v>38687</v>
      </c>
      <c r="G254" s="62">
        <v>2836.55</v>
      </c>
      <c r="H254" s="60">
        <f t="shared" si="7"/>
        <v>-5.4829895704908149E-2</v>
      </c>
      <c r="I254" s="53"/>
      <c r="J254" s="53"/>
      <c r="L254" s="54"/>
    </row>
    <row r="255" spans="2:12" ht="13.8" hidden="1" outlineLevel="1" x14ac:dyDescent="0.25">
      <c r="B255" s="59">
        <v>38657</v>
      </c>
      <c r="C255" s="64">
        <v>166.46</v>
      </c>
      <c r="D255" s="60">
        <f t="shared" si="6"/>
        <v>-0.10423505354356133</v>
      </c>
      <c r="E255" s="56"/>
      <c r="F255" s="59">
        <v>38657</v>
      </c>
      <c r="G255" s="62">
        <v>2652.25</v>
      </c>
      <c r="H255" s="60">
        <f t="shared" si="7"/>
        <v>-6.4973295023884714E-2</v>
      </c>
      <c r="I255" s="53"/>
      <c r="J255" s="53"/>
      <c r="L255" s="54"/>
    </row>
    <row r="256" spans="2:12" ht="13.8" hidden="1" outlineLevel="1" x14ac:dyDescent="0.25">
      <c r="B256" s="59">
        <v>38626</v>
      </c>
      <c r="C256" s="64">
        <v>156.38999999999999</v>
      </c>
      <c r="D256" s="60">
        <f t="shared" si="6"/>
        <v>-6.0495013817133403E-2</v>
      </c>
      <c r="E256" s="56"/>
      <c r="F256" s="59">
        <v>38626</v>
      </c>
      <c r="G256" s="62">
        <v>2370.9499999999998</v>
      </c>
      <c r="H256" s="60">
        <f t="shared" si="7"/>
        <v>-0.10606089169573008</v>
      </c>
      <c r="I256" s="53"/>
      <c r="J256" s="53"/>
      <c r="L256" s="54"/>
    </row>
    <row r="257" spans="2:12" ht="13.8" hidden="1" outlineLevel="1" x14ac:dyDescent="0.25">
      <c r="B257" s="59">
        <v>38596</v>
      </c>
      <c r="C257" s="64">
        <v>155.97</v>
      </c>
      <c r="D257" s="60">
        <f t="shared" si="6"/>
        <v>-2.6855937080375591E-3</v>
      </c>
      <c r="E257" s="56"/>
      <c r="F257" s="59">
        <v>38596</v>
      </c>
      <c r="G257" s="62">
        <v>2601.4</v>
      </c>
      <c r="H257" s="60">
        <f t="shared" si="7"/>
        <v>9.7197325966384973E-2</v>
      </c>
      <c r="I257" s="53"/>
      <c r="J257" s="53"/>
      <c r="L257" s="54"/>
    </row>
    <row r="258" spans="2:12" ht="13.8" hidden="1" outlineLevel="1" x14ac:dyDescent="0.25">
      <c r="B258" s="59">
        <v>38565</v>
      </c>
      <c r="C258" s="64">
        <v>147.34</v>
      </c>
      <c r="D258" s="60">
        <f t="shared" si="6"/>
        <v>-5.533115342694106E-2</v>
      </c>
      <c r="E258" s="56"/>
      <c r="F258" s="59">
        <v>38565</v>
      </c>
      <c r="G258" s="62">
        <v>2384.65</v>
      </c>
      <c r="H258" s="60">
        <f t="shared" si="7"/>
        <v>-8.3320519720150643E-2</v>
      </c>
      <c r="I258" s="53"/>
      <c r="J258" s="53"/>
      <c r="L258" s="54"/>
    </row>
    <row r="259" spans="2:12" ht="13.8" hidden="1" outlineLevel="1" x14ac:dyDescent="0.25">
      <c r="B259" s="59">
        <v>38534</v>
      </c>
      <c r="C259" s="64">
        <v>140.66999999999999</v>
      </c>
      <c r="D259" s="60">
        <f t="shared" si="6"/>
        <v>-4.5269444821501414E-2</v>
      </c>
      <c r="E259" s="56"/>
      <c r="F259" s="59">
        <v>38534</v>
      </c>
      <c r="G259" s="62">
        <v>2312.3000000000002</v>
      </c>
      <c r="H259" s="60">
        <f t="shared" si="7"/>
        <v>-3.0339882163000875E-2</v>
      </c>
      <c r="I259" s="53"/>
      <c r="J259" s="53"/>
      <c r="L259" s="54"/>
    </row>
    <row r="260" spans="2:12" ht="13.8" hidden="1" outlineLevel="1" x14ac:dyDescent="0.25">
      <c r="B260" s="59">
        <v>38504</v>
      </c>
      <c r="C260" s="64">
        <v>146.22999999999999</v>
      </c>
      <c r="D260" s="60">
        <f t="shared" si="6"/>
        <v>3.952512973626221E-2</v>
      </c>
      <c r="E260" s="56"/>
      <c r="F260" s="59">
        <v>38504</v>
      </c>
      <c r="G260" s="62">
        <v>2220.6</v>
      </c>
      <c r="H260" s="60">
        <f t="shared" si="7"/>
        <v>-3.9657483890498724E-2</v>
      </c>
      <c r="I260" s="53"/>
      <c r="J260" s="53"/>
      <c r="L260" s="54"/>
    </row>
    <row r="261" spans="2:12" ht="13.8" hidden="1" outlineLevel="1" x14ac:dyDescent="0.25">
      <c r="B261" s="59">
        <v>38473</v>
      </c>
      <c r="C261" s="64">
        <v>139.55000000000001</v>
      </c>
      <c r="D261" s="60">
        <f t="shared" si="6"/>
        <v>-4.568146071257595E-2</v>
      </c>
      <c r="E261" s="56"/>
      <c r="F261" s="59">
        <v>38473</v>
      </c>
      <c r="G261" s="62">
        <v>2087.5500000000002</v>
      </c>
      <c r="H261" s="60">
        <f t="shared" si="7"/>
        <v>-5.991623885436359E-2</v>
      </c>
      <c r="I261" s="53"/>
      <c r="J261" s="53"/>
      <c r="L261" s="54"/>
    </row>
    <row r="262" spans="2:12" ht="13.8" hidden="1" outlineLevel="1" x14ac:dyDescent="0.25">
      <c r="B262" s="59">
        <v>38443</v>
      </c>
      <c r="C262" s="64">
        <v>117</v>
      </c>
      <c r="D262" s="60">
        <f t="shared" si="6"/>
        <v>-0.16159082766033683</v>
      </c>
      <c r="E262" s="56"/>
      <c r="F262" s="59">
        <v>38443</v>
      </c>
      <c r="G262" s="62">
        <v>1902.5</v>
      </c>
      <c r="H262" s="60">
        <f t="shared" si="7"/>
        <v>-8.8644583363272855E-2</v>
      </c>
      <c r="I262" s="53"/>
      <c r="J262" s="53"/>
      <c r="L262" s="54"/>
    </row>
    <row r="263" spans="2:12" ht="13.8" hidden="1" outlineLevel="1" x14ac:dyDescent="0.25">
      <c r="B263" s="59">
        <v>38412</v>
      </c>
      <c r="C263" s="64">
        <v>139.97</v>
      </c>
      <c r="D263" s="60">
        <f t="shared" si="6"/>
        <v>0.19632478632478634</v>
      </c>
      <c r="E263" s="56"/>
      <c r="F263" s="59">
        <v>38412</v>
      </c>
      <c r="G263" s="62">
        <v>2035.65</v>
      </c>
      <c r="H263" s="60">
        <f t="shared" si="7"/>
        <v>6.9986859395532175E-2</v>
      </c>
      <c r="I263" s="53"/>
      <c r="J263" s="53"/>
      <c r="L263" s="54"/>
    </row>
    <row r="264" spans="2:12" ht="13.8" hidden="1" outlineLevel="1" x14ac:dyDescent="0.25">
      <c r="B264" s="59">
        <v>38384</v>
      </c>
      <c r="C264" s="64">
        <v>138.91</v>
      </c>
      <c r="D264" s="60">
        <f t="shared" si="6"/>
        <v>-7.5730513681503409E-3</v>
      </c>
      <c r="E264" s="56"/>
      <c r="F264" s="59">
        <v>38384</v>
      </c>
      <c r="G264" s="62">
        <v>2103.25</v>
      </c>
      <c r="H264" s="60">
        <f t="shared" si="7"/>
        <v>3.3208066219635013E-2</v>
      </c>
      <c r="I264" s="53"/>
      <c r="J264" s="53"/>
      <c r="L264" s="54"/>
    </row>
    <row r="265" spans="2:12" ht="13.8" hidden="1" outlineLevel="1" x14ac:dyDescent="0.25">
      <c r="B265" s="59">
        <v>38353</v>
      </c>
      <c r="C265" s="64">
        <v>128.28</v>
      </c>
      <c r="D265" s="60">
        <f t="shared" si="6"/>
        <v>-7.6524368296018941E-2</v>
      </c>
      <c r="E265" s="56"/>
      <c r="F265" s="59">
        <v>38353</v>
      </c>
      <c r="G265" s="62">
        <v>2057.6</v>
      </c>
      <c r="H265" s="60">
        <f t="shared" si="7"/>
        <v>-2.1704504932842039E-2</v>
      </c>
      <c r="I265" s="53"/>
      <c r="J265" s="53"/>
      <c r="L265" s="54"/>
    </row>
    <row r="266" spans="2:12" ht="13.8" hidden="1" outlineLevel="1" x14ac:dyDescent="0.25">
      <c r="B266" s="59">
        <v>38322</v>
      </c>
      <c r="C266" s="64">
        <v>129.71</v>
      </c>
      <c r="D266" s="60">
        <f t="shared" si="6"/>
        <v>1.1147489865918292E-2</v>
      </c>
      <c r="E266" s="56"/>
      <c r="F266" s="59">
        <v>38322</v>
      </c>
      <c r="G266" s="62">
        <v>2080.5</v>
      </c>
      <c r="H266" s="60">
        <f t="shared" si="7"/>
        <v>1.112947122861585E-2</v>
      </c>
      <c r="I266" s="53"/>
      <c r="J266" s="53"/>
      <c r="L266" s="54"/>
    </row>
    <row r="267" spans="2:12" ht="13.8" hidden="1" outlineLevel="1" x14ac:dyDescent="0.25">
      <c r="B267" s="59">
        <v>38292</v>
      </c>
      <c r="C267" s="64">
        <v>133.27000000000001</v>
      </c>
      <c r="D267" s="60">
        <f t="shared" si="6"/>
        <v>2.7445840721609827E-2</v>
      </c>
      <c r="E267" s="56"/>
      <c r="F267" s="59">
        <v>38292</v>
      </c>
      <c r="G267" s="62">
        <v>1958.8</v>
      </c>
      <c r="H267" s="60">
        <f t="shared" si="7"/>
        <v>-5.8495553953376578E-2</v>
      </c>
      <c r="I267" s="53"/>
      <c r="J267" s="53"/>
      <c r="L267" s="54"/>
    </row>
    <row r="268" spans="2:12" ht="13.8" hidden="1" outlineLevel="1" x14ac:dyDescent="0.25">
      <c r="B268" s="59">
        <v>38261</v>
      </c>
      <c r="C268" s="64">
        <v>118.21</v>
      </c>
      <c r="D268" s="60">
        <f t="shared" si="6"/>
        <v>-0.11300367674645473</v>
      </c>
      <c r="E268" s="56"/>
      <c r="F268" s="59">
        <v>38261</v>
      </c>
      <c r="G268" s="62">
        <v>1786.9</v>
      </c>
      <c r="H268" s="60">
        <f t="shared" si="7"/>
        <v>-8.7757810904635414E-2</v>
      </c>
      <c r="I268" s="53"/>
      <c r="J268" s="53"/>
      <c r="L268" s="54"/>
    </row>
    <row r="269" spans="2:12" ht="13.8" hidden="1" outlineLevel="1" x14ac:dyDescent="0.25">
      <c r="B269" s="59">
        <v>38231</v>
      </c>
      <c r="C269" s="64">
        <v>105.14</v>
      </c>
      <c r="D269" s="60">
        <f t="shared" ref="D269:D332" si="8">C269/C268-1</f>
        <v>-0.11056594196768454</v>
      </c>
      <c r="E269" s="56"/>
      <c r="F269" s="59">
        <v>38231</v>
      </c>
      <c r="G269" s="62">
        <v>1745.5</v>
      </c>
      <c r="H269" s="60">
        <f t="shared" ref="H269:H332" si="9">G269/G268-1</f>
        <v>-2.3168616038950152E-2</v>
      </c>
      <c r="I269" s="53"/>
      <c r="J269" s="53"/>
      <c r="L269" s="54"/>
    </row>
    <row r="270" spans="2:12" ht="13.8" hidden="1" outlineLevel="1" x14ac:dyDescent="0.25">
      <c r="B270" s="59">
        <v>38200</v>
      </c>
      <c r="C270" s="64">
        <v>97.7</v>
      </c>
      <c r="D270" s="60">
        <f t="shared" si="8"/>
        <v>-7.0762792467186642E-2</v>
      </c>
      <c r="E270" s="56"/>
      <c r="F270" s="59">
        <v>38200</v>
      </c>
      <c r="G270" s="62">
        <v>1631.75</v>
      </c>
      <c r="H270" s="60">
        <f t="shared" si="9"/>
        <v>-6.5167573761099939E-2</v>
      </c>
      <c r="I270" s="53"/>
      <c r="J270" s="53"/>
      <c r="L270" s="54"/>
    </row>
    <row r="271" spans="2:12" ht="13.8" hidden="1" outlineLevel="1" x14ac:dyDescent="0.25">
      <c r="B271" s="59">
        <v>38169</v>
      </c>
      <c r="C271" s="64">
        <v>96.33</v>
      </c>
      <c r="D271" s="60">
        <f t="shared" si="8"/>
        <v>-1.4022517911975507E-2</v>
      </c>
      <c r="E271" s="56"/>
      <c r="F271" s="59">
        <v>38169</v>
      </c>
      <c r="G271" s="62">
        <v>1632.3</v>
      </c>
      <c r="H271" s="60">
        <f t="shared" si="9"/>
        <v>3.3706143710743319E-4</v>
      </c>
      <c r="I271" s="53"/>
      <c r="J271" s="53"/>
      <c r="L271" s="54"/>
    </row>
    <row r="272" spans="2:12" ht="13.8" hidden="1" outlineLevel="1" x14ac:dyDescent="0.25">
      <c r="B272" s="59">
        <v>38139</v>
      </c>
      <c r="C272" s="64">
        <v>85.64</v>
      </c>
      <c r="D272" s="60">
        <f t="shared" si="8"/>
        <v>-0.11097269801723242</v>
      </c>
      <c r="E272" s="56"/>
      <c r="F272" s="59">
        <v>38139</v>
      </c>
      <c r="G272" s="62">
        <v>1505.6</v>
      </c>
      <c r="H272" s="60">
        <f t="shared" si="9"/>
        <v>-7.7620535440789062E-2</v>
      </c>
      <c r="I272" s="53"/>
      <c r="J272" s="53"/>
      <c r="L272" s="54"/>
    </row>
    <row r="273" spans="2:12" ht="13.8" hidden="1" outlineLevel="1" x14ac:dyDescent="0.25">
      <c r="B273" s="59">
        <v>38108</v>
      </c>
      <c r="C273" s="64">
        <v>80.63</v>
      </c>
      <c r="D273" s="60">
        <f t="shared" si="8"/>
        <v>-5.8500700607192924E-2</v>
      </c>
      <c r="E273" s="56"/>
      <c r="F273" s="59">
        <v>38108</v>
      </c>
      <c r="G273" s="62">
        <v>1483.6</v>
      </c>
      <c r="H273" s="60">
        <f t="shared" si="9"/>
        <v>-1.4612114771519691E-2</v>
      </c>
      <c r="I273" s="53"/>
      <c r="J273" s="53"/>
      <c r="L273" s="54"/>
    </row>
    <row r="274" spans="2:12" ht="13.8" hidden="1" outlineLevel="1" x14ac:dyDescent="0.25">
      <c r="B274" s="59">
        <v>38078</v>
      </c>
      <c r="C274" s="64">
        <v>79.78</v>
      </c>
      <c r="D274" s="60">
        <f t="shared" si="8"/>
        <v>-1.0541981892595698E-2</v>
      </c>
      <c r="E274" s="56"/>
      <c r="F274" s="59">
        <v>38078</v>
      </c>
      <c r="G274" s="62">
        <v>1796.1</v>
      </c>
      <c r="H274" s="60">
        <f t="shared" si="9"/>
        <v>0.21063629010514973</v>
      </c>
      <c r="I274" s="53"/>
      <c r="J274" s="53"/>
      <c r="L274" s="54"/>
    </row>
    <row r="275" spans="2:12" ht="13.8" hidden="1" outlineLevel="1" x14ac:dyDescent="0.25">
      <c r="B275" s="59">
        <v>38047</v>
      </c>
      <c r="C275" s="64">
        <v>76.55</v>
      </c>
      <c r="D275" s="60">
        <f t="shared" si="8"/>
        <v>-4.0486337427926844E-2</v>
      </c>
      <c r="E275" s="56"/>
      <c r="F275" s="59">
        <v>38047</v>
      </c>
      <c r="G275" s="62">
        <v>1771.9</v>
      </c>
      <c r="H275" s="60">
        <f t="shared" si="9"/>
        <v>-1.3473637325315813E-2</v>
      </c>
      <c r="I275" s="53"/>
      <c r="J275" s="53"/>
      <c r="L275" s="54"/>
    </row>
    <row r="276" spans="2:12" ht="13.8" hidden="1" outlineLevel="1" x14ac:dyDescent="0.25">
      <c r="B276" s="59">
        <v>38018</v>
      </c>
      <c r="C276" s="64">
        <v>78.48</v>
      </c>
      <c r="D276" s="60">
        <f t="shared" si="8"/>
        <v>2.521227955584604E-2</v>
      </c>
      <c r="E276" s="56"/>
      <c r="F276" s="59">
        <v>38018</v>
      </c>
      <c r="G276" s="62">
        <v>1800.3</v>
      </c>
      <c r="H276" s="60">
        <f t="shared" si="9"/>
        <v>1.6027992550369685E-2</v>
      </c>
      <c r="I276" s="53"/>
      <c r="J276" s="53"/>
      <c r="L276" s="54"/>
    </row>
    <row r="277" spans="2:12" ht="13.8" hidden="1" outlineLevel="1" x14ac:dyDescent="0.25">
      <c r="B277" s="59">
        <v>37987</v>
      </c>
      <c r="C277" s="64">
        <v>80.81</v>
      </c>
      <c r="D277" s="60">
        <f t="shared" si="8"/>
        <v>2.9689092762487324E-2</v>
      </c>
      <c r="E277" s="56"/>
      <c r="F277" s="59">
        <v>37987</v>
      </c>
      <c r="G277" s="62">
        <v>1809.75</v>
      </c>
      <c r="H277" s="60">
        <f t="shared" si="9"/>
        <v>5.2491251458091082E-3</v>
      </c>
      <c r="I277" s="53"/>
      <c r="J277" s="53"/>
      <c r="L277" s="54"/>
    </row>
    <row r="278" spans="2:12" ht="13.8" hidden="1" outlineLevel="1" x14ac:dyDescent="0.25">
      <c r="B278" s="59">
        <v>37956</v>
      </c>
      <c r="C278" s="64">
        <v>86.27</v>
      </c>
      <c r="D278" s="60">
        <f t="shared" si="8"/>
        <v>6.7565895309986246E-2</v>
      </c>
      <c r="E278" s="56"/>
      <c r="F278" s="59">
        <v>37956</v>
      </c>
      <c r="G278" s="62">
        <v>1879.75</v>
      </c>
      <c r="H278" s="60">
        <f t="shared" si="9"/>
        <v>3.8679375604365296E-2</v>
      </c>
      <c r="I278" s="53"/>
      <c r="J278" s="53"/>
      <c r="L278" s="54"/>
    </row>
    <row r="279" spans="2:12" ht="13.8" hidden="1" outlineLevel="1" x14ac:dyDescent="0.25">
      <c r="B279" s="59">
        <v>37926</v>
      </c>
      <c r="C279" s="64">
        <v>76.36</v>
      </c>
      <c r="D279" s="60">
        <f t="shared" si="8"/>
        <v>-0.11487191375912831</v>
      </c>
      <c r="E279" s="56"/>
      <c r="F279" s="59">
        <v>37926</v>
      </c>
      <c r="G279" s="62">
        <v>1615.25</v>
      </c>
      <c r="H279" s="60">
        <f t="shared" si="9"/>
        <v>-0.14071020082457775</v>
      </c>
      <c r="I279" s="53"/>
      <c r="J279" s="53"/>
      <c r="L279" s="54"/>
    </row>
    <row r="280" spans="2:12" ht="13.8" hidden="1" outlineLevel="1" x14ac:dyDescent="0.25">
      <c r="B280" s="59">
        <v>37895</v>
      </c>
      <c r="C280" s="64">
        <v>73.459999999999994</v>
      </c>
      <c r="D280" s="60">
        <f t="shared" si="8"/>
        <v>-3.7977998952331116E-2</v>
      </c>
      <c r="E280" s="56"/>
      <c r="F280" s="59">
        <v>37895</v>
      </c>
      <c r="G280" s="62">
        <v>1555.9</v>
      </c>
      <c r="H280" s="60">
        <f t="shared" si="9"/>
        <v>-3.674353815198883E-2</v>
      </c>
      <c r="I280" s="53"/>
      <c r="J280" s="53"/>
      <c r="L280" s="54"/>
    </row>
    <row r="281" spans="2:12" ht="13.8" hidden="1" outlineLevel="1" x14ac:dyDescent="0.25">
      <c r="B281" s="59">
        <v>37865</v>
      </c>
      <c r="C281" s="64">
        <v>70.2</v>
      </c>
      <c r="D281" s="60">
        <f t="shared" si="8"/>
        <v>-4.4377892730737667E-2</v>
      </c>
      <c r="E281" s="56"/>
      <c r="F281" s="59">
        <v>37865</v>
      </c>
      <c r="G281" s="62">
        <v>1417.1</v>
      </c>
      <c r="H281" s="60">
        <f t="shared" si="9"/>
        <v>-8.9208818047432414E-2</v>
      </c>
      <c r="I281" s="53"/>
      <c r="J281" s="53"/>
      <c r="L281" s="54"/>
    </row>
    <row r="282" spans="2:12" ht="13.8" hidden="1" outlineLevel="1" x14ac:dyDescent="0.25">
      <c r="B282" s="59">
        <v>37834</v>
      </c>
      <c r="C282" s="64">
        <v>60.86</v>
      </c>
      <c r="D282" s="60">
        <f t="shared" si="8"/>
        <v>-0.13304843304843306</v>
      </c>
      <c r="E282" s="56"/>
      <c r="F282" s="59">
        <v>37834</v>
      </c>
      <c r="G282" s="62">
        <v>1356.55</v>
      </c>
      <c r="H282" s="60">
        <f t="shared" si="9"/>
        <v>-4.272810669677507E-2</v>
      </c>
      <c r="I282" s="53"/>
      <c r="J282" s="53"/>
      <c r="L282" s="54"/>
    </row>
    <row r="283" spans="2:12" ht="13.8" hidden="1" outlineLevel="1" x14ac:dyDescent="0.25">
      <c r="B283" s="59">
        <v>37803</v>
      </c>
      <c r="C283" s="64">
        <v>55.84</v>
      </c>
      <c r="D283" s="60">
        <f t="shared" si="8"/>
        <v>-8.2484390404206298E-2</v>
      </c>
      <c r="E283" s="56"/>
      <c r="F283" s="59">
        <v>37803</v>
      </c>
      <c r="G283" s="62">
        <v>1185.8499999999999</v>
      </c>
      <c r="H283" s="60">
        <f t="shared" si="9"/>
        <v>-0.12583391692160262</v>
      </c>
      <c r="I283" s="53"/>
      <c r="J283" s="53"/>
      <c r="L283" s="54"/>
    </row>
    <row r="284" spans="2:12" ht="13.8" hidden="1" outlineLevel="1" x14ac:dyDescent="0.25">
      <c r="B284" s="59">
        <v>37773</v>
      </c>
      <c r="C284" s="64">
        <v>50.75</v>
      </c>
      <c r="D284" s="60">
        <f t="shared" si="8"/>
        <v>-9.1153295128939882E-2</v>
      </c>
      <c r="E284" s="56"/>
      <c r="F284" s="59">
        <v>37773</v>
      </c>
      <c r="G284" s="62">
        <v>1134.1500000000001</v>
      </c>
      <c r="H284" s="60">
        <f t="shared" si="9"/>
        <v>-4.359741957245844E-2</v>
      </c>
      <c r="I284" s="53"/>
      <c r="J284" s="53"/>
      <c r="L284" s="54"/>
    </row>
    <row r="285" spans="2:12" ht="13.8" hidden="1" outlineLevel="1" x14ac:dyDescent="0.25">
      <c r="B285" s="59">
        <v>37742</v>
      </c>
      <c r="C285" s="64">
        <v>41.46</v>
      </c>
      <c r="D285" s="60">
        <f t="shared" si="8"/>
        <v>-0.18305418719211819</v>
      </c>
      <c r="E285" s="56"/>
      <c r="F285" s="59">
        <v>37742</v>
      </c>
      <c r="G285" s="62">
        <v>1006.8</v>
      </c>
      <c r="H285" s="60">
        <f t="shared" si="9"/>
        <v>-0.11228673455892091</v>
      </c>
      <c r="I285" s="53"/>
      <c r="L285" s="54"/>
    </row>
    <row r="286" spans="2:12" ht="13.8" hidden="1" outlineLevel="1" x14ac:dyDescent="0.25">
      <c r="B286" s="59">
        <v>37712</v>
      </c>
      <c r="C286" s="64">
        <v>43.2</v>
      </c>
      <c r="D286" s="60">
        <f t="shared" si="8"/>
        <v>4.1968162083936278E-2</v>
      </c>
      <c r="E286" s="56"/>
      <c r="F286" s="59">
        <v>37712</v>
      </c>
      <c r="G286" s="62">
        <v>934.05</v>
      </c>
      <c r="H286" s="60">
        <f t="shared" si="9"/>
        <v>-7.2258641239570931E-2</v>
      </c>
      <c r="I286" s="53"/>
      <c r="L286" s="54"/>
    </row>
    <row r="287" spans="2:12" ht="13.8" hidden="1" outlineLevel="1" x14ac:dyDescent="0.25">
      <c r="B287" s="59">
        <v>37681</v>
      </c>
      <c r="C287" s="64">
        <v>62.83</v>
      </c>
      <c r="D287" s="60">
        <f t="shared" si="8"/>
        <v>0.45439814814814805</v>
      </c>
      <c r="E287" s="56"/>
      <c r="F287" s="59">
        <v>37681</v>
      </c>
      <c r="G287" s="62">
        <v>978.2</v>
      </c>
      <c r="H287" s="60">
        <f t="shared" si="9"/>
        <v>4.7267276912370981E-2</v>
      </c>
      <c r="I287" s="53"/>
      <c r="L287" s="54"/>
    </row>
    <row r="288" spans="2:12" ht="13.8" hidden="1" outlineLevel="1" x14ac:dyDescent="0.25">
      <c r="B288" s="59">
        <v>37653</v>
      </c>
      <c r="C288" s="64">
        <v>66.430000000000007</v>
      </c>
      <c r="D288" s="60">
        <f t="shared" si="8"/>
        <v>5.7297469361770048E-2</v>
      </c>
      <c r="E288" s="56"/>
      <c r="F288" s="59">
        <v>37653</v>
      </c>
      <c r="G288" s="62">
        <v>1063.4000000000001</v>
      </c>
      <c r="H288" s="60">
        <f t="shared" si="9"/>
        <v>8.7098752811286095E-2</v>
      </c>
      <c r="I288" s="53"/>
      <c r="J288" s="53"/>
      <c r="L288" s="54"/>
    </row>
    <row r="289" spans="2:12" ht="13.8" hidden="1" outlineLevel="1" x14ac:dyDescent="0.25">
      <c r="B289" s="59">
        <v>37622</v>
      </c>
      <c r="C289" s="64">
        <v>66.66</v>
      </c>
      <c r="D289" s="60">
        <f t="shared" si="8"/>
        <v>3.4622911335238093E-3</v>
      </c>
      <c r="E289" s="56"/>
      <c r="F289" s="59">
        <v>37622</v>
      </c>
      <c r="G289" s="62">
        <v>1041.8499999999999</v>
      </c>
      <c r="H289" s="60">
        <f t="shared" si="9"/>
        <v>-2.0265187135602991E-2</v>
      </c>
      <c r="I289" s="53"/>
      <c r="J289" s="53"/>
      <c r="L289" s="54"/>
    </row>
    <row r="290" spans="2:12" ht="13.8" hidden="1" outlineLevel="1" x14ac:dyDescent="0.25">
      <c r="B290" s="59">
        <v>37591</v>
      </c>
      <c r="C290" s="64">
        <v>74</v>
      </c>
      <c r="D290" s="60">
        <f t="shared" si="8"/>
        <v>0.1101110111011101</v>
      </c>
      <c r="E290" s="56"/>
      <c r="F290" s="59">
        <v>37591</v>
      </c>
      <c r="G290" s="62">
        <v>1093.5</v>
      </c>
      <c r="H290" s="60">
        <f t="shared" si="9"/>
        <v>4.9575274751643805E-2</v>
      </c>
      <c r="I290" s="53"/>
      <c r="J290" s="53"/>
      <c r="L290" s="54"/>
    </row>
    <row r="291" spans="2:12" ht="13.8" hidden="1" outlineLevel="1" x14ac:dyDescent="0.25">
      <c r="B291" s="59">
        <v>37561</v>
      </c>
      <c r="C291" s="64">
        <v>70.66</v>
      </c>
      <c r="D291" s="60">
        <f t="shared" si="8"/>
        <v>-4.5135135135135229E-2</v>
      </c>
      <c r="E291" s="56"/>
      <c r="F291" s="59">
        <v>37561</v>
      </c>
      <c r="G291" s="62">
        <v>1050.1500000000001</v>
      </c>
      <c r="H291" s="60">
        <f t="shared" si="9"/>
        <v>-3.9643347050754341E-2</v>
      </c>
      <c r="I291" s="53"/>
      <c r="L291" s="54"/>
    </row>
    <row r="292" spans="2:12" ht="13.8" hidden="1" outlineLevel="1" x14ac:dyDescent="0.25">
      <c r="B292" s="59">
        <v>37530</v>
      </c>
      <c r="C292" s="64">
        <v>58.86</v>
      </c>
      <c r="D292" s="60">
        <f t="shared" si="8"/>
        <v>-0.16699688649872624</v>
      </c>
      <c r="E292" s="56"/>
      <c r="F292" s="59">
        <v>37530</v>
      </c>
      <c r="G292" s="62">
        <v>951.4</v>
      </c>
      <c r="H292" s="60">
        <f t="shared" si="9"/>
        <v>-9.4034185592534514E-2</v>
      </c>
      <c r="L292" s="54"/>
    </row>
    <row r="293" spans="2:12" ht="13.8" hidden="1" outlineLevel="1" x14ac:dyDescent="0.25">
      <c r="B293" s="59">
        <v>37500</v>
      </c>
      <c r="C293" s="64">
        <v>52.81</v>
      </c>
      <c r="D293" s="60">
        <f t="shared" si="8"/>
        <v>-0.10278627251104311</v>
      </c>
      <c r="E293" s="56"/>
      <c r="F293" s="59">
        <v>37500</v>
      </c>
      <c r="G293" s="62">
        <v>963.15</v>
      </c>
      <c r="H293" s="60">
        <f t="shared" si="9"/>
        <v>1.2350220727349148E-2</v>
      </c>
      <c r="I293" s="53"/>
      <c r="L293" s="54"/>
    </row>
    <row r="294" spans="2:12" ht="13.8" hidden="1" outlineLevel="1" x14ac:dyDescent="0.25">
      <c r="B294" s="59">
        <v>37469</v>
      </c>
      <c r="C294" s="64">
        <v>55.88</v>
      </c>
      <c r="D294" s="60">
        <f t="shared" si="8"/>
        <v>5.8132929369437703E-2</v>
      </c>
      <c r="E294" s="56"/>
      <c r="F294" s="59">
        <v>37469</v>
      </c>
      <c r="G294" s="62">
        <v>1010.6</v>
      </c>
      <c r="H294" s="60">
        <f t="shared" si="9"/>
        <v>4.9265431137413662E-2</v>
      </c>
      <c r="I294" s="53"/>
      <c r="L294" s="54"/>
    </row>
    <row r="295" spans="2:12" ht="13.8" hidden="1" outlineLevel="1" x14ac:dyDescent="0.25">
      <c r="B295" s="59">
        <v>37438</v>
      </c>
      <c r="C295" s="64">
        <v>47.03</v>
      </c>
      <c r="D295" s="60">
        <f t="shared" si="8"/>
        <v>-0.15837508947745171</v>
      </c>
      <c r="E295" s="56"/>
      <c r="F295" s="59">
        <v>37438</v>
      </c>
      <c r="G295" s="62">
        <v>958.9</v>
      </c>
      <c r="H295" s="60">
        <f t="shared" si="9"/>
        <v>-5.1157728082327325E-2</v>
      </c>
      <c r="I295" s="53"/>
      <c r="L295" s="54"/>
    </row>
    <row r="296" spans="2:12" ht="13.8" hidden="1" outlineLevel="1" x14ac:dyDescent="0.25">
      <c r="B296" s="59">
        <v>37408</v>
      </c>
      <c r="C296" s="64">
        <v>50.85</v>
      </c>
      <c r="D296" s="60">
        <f t="shared" si="8"/>
        <v>8.1224750159472725E-2</v>
      </c>
      <c r="E296" s="56"/>
      <c r="F296" s="59">
        <v>37408</v>
      </c>
      <c r="G296" s="62">
        <v>1057.8</v>
      </c>
      <c r="H296" s="60">
        <f t="shared" si="9"/>
        <v>0.10313901345291487</v>
      </c>
      <c r="I296" s="53"/>
      <c r="J296" s="53"/>
      <c r="L296" s="54"/>
    </row>
    <row r="297" spans="2:12" ht="13.8" hidden="1" outlineLevel="1" x14ac:dyDescent="0.25">
      <c r="B297" s="59">
        <v>37377</v>
      </c>
      <c r="C297" s="64">
        <v>52.53</v>
      </c>
      <c r="D297" s="60">
        <f t="shared" si="8"/>
        <v>3.3038348082595759E-2</v>
      </c>
      <c r="E297" s="56"/>
      <c r="F297" s="59">
        <v>37377</v>
      </c>
      <c r="G297" s="62">
        <v>1028.8</v>
      </c>
      <c r="H297" s="60">
        <f t="shared" si="9"/>
        <v>-2.741539043297414E-2</v>
      </c>
      <c r="I297" s="53"/>
      <c r="J297" s="53"/>
      <c r="L297" s="54"/>
    </row>
    <row r="298" spans="2:12" ht="13.8" hidden="1" outlineLevel="1" x14ac:dyDescent="0.25">
      <c r="B298" s="59">
        <v>37347</v>
      </c>
      <c r="C298" s="64">
        <v>57.11</v>
      </c>
      <c r="D298" s="60">
        <f t="shared" si="8"/>
        <v>8.7188273367599489E-2</v>
      </c>
      <c r="E298" s="56"/>
      <c r="F298" s="59">
        <v>37347</v>
      </c>
      <c r="G298" s="62">
        <v>1084.5</v>
      </c>
      <c r="H298" s="60">
        <f t="shared" si="9"/>
        <v>5.4140746500777714E-2</v>
      </c>
      <c r="I298" s="53"/>
      <c r="J298" s="53"/>
      <c r="L298" s="54"/>
    </row>
    <row r="299" spans="2:12" ht="13.8" hidden="1" outlineLevel="1" x14ac:dyDescent="0.25">
      <c r="B299" s="59">
        <v>37316</v>
      </c>
      <c r="C299" s="64">
        <v>58.11</v>
      </c>
      <c r="D299" s="60">
        <f t="shared" si="8"/>
        <v>1.7510068289266378E-2</v>
      </c>
      <c r="E299" s="56"/>
      <c r="F299" s="59">
        <v>37316</v>
      </c>
      <c r="G299" s="62">
        <v>1129.55</v>
      </c>
      <c r="H299" s="60">
        <f t="shared" si="9"/>
        <v>4.15398801290916E-2</v>
      </c>
      <c r="I299" s="53"/>
      <c r="J299" s="53"/>
      <c r="L299" s="54"/>
    </row>
    <row r="300" spans="2:12" ht="13.8" hidden="1" outlineLevel="1" x14ac:dyDescent="0.25">
      <c r="B300" s="59">
        <v>37288</v>
      </c>
      <c r="C300" s="64">
        <v>54.77</v>
      </c>
      <c r="D300" s="60">
        <f t="shared" si="8"/>
        <v>-5.7477198416795661E-2</v>
      </c>
      <c r="E300" s="56"/>
      <c r="F300" s="59">
        <v>37288</v>
      </c>
      <c r="G300" s="62">
        <v>1142.05</v>
      </c>
      <c r="H300" s="60">
        <f t="shared" si="9"/>
        <v>1.1066353857730915E-2</v>
      </c>
      <c r="I300" s="53"/>
      <c r="J300" s="53"/>
      <c r="L300" s="54"/>
    </row>
    <row r="301" spans="2:12" ht="13.8" hidden="1" outlineLevel="1" x14ac:dyDescent="0.25">
      <c r="B301" s="59">
        <v>37257</v>
      </c>
      <c r="C301" s="64">
        <v>60.11</v>
      </c>
      <c r="D301" s="60">
        <f t="shared" si="8"/>
        <v>9.7498630637210093E-2</v>
      </c>
      <c r="E301" s="56"/>
      <c r="F301" s="59">
        <v>37257</v>
      </c>
      <c r="G301" s="62">
        <v>1075.4000000000001</v>
      </c>
      <c r="H301" s="60">
        <f t="shared" si="9"/>
        <v>-5.8359966726500456E-2</v>
      </c>
      <c r="I301" s="53"/>
      <c r="J301" s="53"/>
      <c r="L301" s="54"/>
    </row>
    <row r="302" spans="2:12" ht="13.8" hidden="1" outlineLevel="1" x14ac:dyDescent="0.25">
      <c r="B302" s="59">
        <v>37226</v>
      </c>
      <c r="C302" s="64">
        <v>63.31</v>
      </c>
      <c r="D302" s="60">
        <f t="shared" si="8"/>
        <v>5.3235734486774211E-2</v>
      </c>
      <c r="E302" s="56"/>
      <c r="F302" s="59">
        <v>37226</v>
      </c>
      <c r="G302" s="62">
        <v>1059.05</v>
      </c>
      <c r="H302" s="60">
        <f t="shared" si="9"/>
        <v>-1.5203645155291157E-2</v>
      </c>
      <c r="I302" s="53"/>
      <c r="J302" s="53"/>
      <c r="L302" s="54"/>
    </row>
    <row r="303" spans="2:12" ht="13.8" hidden="1" outlineLevel="1" x14ac:dyDescent="0.25">
      <c r="B303" s="59">
        <v>37196</v>
      </c>
      <c r="C303" s="64">
        <v>60.35</v>
      </c>
      <c r="D303" s="60">
        <f t="shared" si="8"/>
        <v>-4.6754067287948176E-2</v>
      </c>
      <c r="E303" s="56"/>
      <c r="F303" s="59">
        <v>37196</v>
      </c>
      <c r="G303" s="62">
        <v>1067.1500000000001</v>
      </c>
      <c r="H303" s="60">
        <f t="shared" si="9"/>
        <v>7.648364099900995E-3</v>
      </c>
      <c r="I303" s="53"/>
      <c r="L303" s="54"/>
    </row>
    <row r="304" spans="2:12" ht="13.8" hidden="1" outlineLevel="1" x14ac:dyDescent="0.25">
      <c r="B304" s="59">
        <v>37165</v>
      </c>
      <c r="C304" s="64">
        <v>45.21</v>
      </c>
      <c r="D304" s="60">
        <f t="shared" si="8"/>
        <v>-0.25086992543496267</v>
      </c>
      <c r="E304" s="56"/>
      <c r="F304" s="59">
        <v>37165</v>
      </c>
      <c r="G304" s="62">
        <v>971.9</v>
      </c>
      <c r="H304" s="60">
        <f t="shared" si="9"/>
        <v>-8.9256430679848342E-2</v>
      </c>
      <c r="I304" s="53"/>
      <c r="L304" s="54"/>
    </row>
    <row r="305" spans="2:12" ht="13.8" hidden="1" outlineLevel="1" x14ac:dyDescent="0.25">
      <c r="B305" s="59">
        <v>37135</v>
      </c>
      <c r="C305" s="64">
        <v>36.700000000000003</v>
      </c>
      <c r="D305" s="60">
        <f t="shared" si="8"/>
        <v>-0.18823269188232683</v>
      </c>
      <c r="E305" s="56"/>
      <c r="F305" s="59">
        <v>37135</v>
      </c>
      <c r="G305" s="62">
        <v>913.85</v>
      </c>
      <c r="H305" s="60">
        <f t="shared" si="9"/>
        <v>-5.9728367115958414E-2</v>
      </c>
      <c r="I305" s="53"/>
      <c r="L305" s="54"/>
    </row>
    <row r="306" spans="2:12" ht="13.8" hidden="1" outlineLevel="1" x14ac:dyDescent="0.25">
      <c r="B306" s="59">
        <v>37104</v>
      </c>
      <c r="C306" s="64">
        <v>54.86</v>
      </c>
      <c r="D306" s="60">
        <f t="shared" si="8"/>
        <v>0.49482288828337873</v>
      </c>
      <c r="E306" s="56"/>
      <c r="F306" s="59">
        <v>37104</v>
      </c>
      <c r="G306" s="62">
        <v>1053.75</v>
      </c>
      <c r="H306" s="60">
        <f t="shared" si="9"/>
        <v>0.15308858127701486</v>
      </c>
      <c r="I306" s="53"/>
      <c r="J306" s="53"/>
      <c r="L306" s="54"/>
    </row>
    <row r="307" spans="2:12" ht="13.8" hidden="1" outlineLevel="1" x14ac:dyDescent="0.25">
      <c r="B307" s="59">
        <v>37073</v>
      </c>
      <c r="C307" s="64">
        <v>58.18</v>
      </c>
      <c r="D307" s="60">
        <f t="shared" si="8"/>
        <v>6.0517681370761967E-2</v>
      </c>
      <c r="E307" s="56"/>
      <c r="F307" s="59">
        <v>37073</v>
      </c>
      <c r="G307" s="62">
        <v>1072.8499999999999</v>
      </c>
      <c r="H307" s="60">
        <f t="shared" si="9"/>
        <v>1.812574139976264E-2</v>
      </c>
      <c r="I307" s="53"/>
      <c r="J307" s="53"/>
      <c r="L307" s="54"/>
    </row>
    <row r="308" spans="2:12" ht="13.8" hidden="1" outlineLevel="1" x14ac:dyDescent="0.25">
      <c r="B308" s="59">
        <v>37043</v>
      </c>
      <c r="C308" s="64">
        <v>58.11</v>
      </c>
      <c r="D308" s="60">
        <f t="shared" si="8"/>
        <v>-1.2031625988312422E-3</v>
      </c>
      <c r="E308" s="56"/>
      <c r="F308" s="59">
        <v>37043</v>
      </c>
      <c r="G308" s="62">
        <v>1107.9000000000001</v>
      </c>
      <c r="H308" s="60">
        <f t="shared" si="9"/>
        <v>3.2669991145080957E-2</v>
      </c>
      <c r="I308" s="53"/>
      <c r="J308" s="53"/>
      <c r="L308" s="54"/>
    </row>
    <row r="309" spans="2:12" ht="13.8" hidden="1" outlineLevel="1" x14ac:dyDescent="0.25">
      <c r="B309" s="59">
        <v>37012</v>
      </c>
      <c r="C309" s="64">
        <v>58.48</v>
      </c>
      <c r="D309" s="60">
        <f t="shared" si="8"/>
        <v>6.3672345551539777E-3</v>
      </c>
      <c r="E309" s="56"/>
      <c r="F309" s="59">
        <v>37012</v>
      </c>
      <c r="G309" s="62">
        <v>1167.9000000000001</v>
      </c>
      <c r="H309" s="60">
        <f t="shared" si="9"/>
        <v>5.4156512320606476E-2</v>
      </c>
      <c r="I309" s="53"/>
      <c r="J309" s="53"/>
      <c r="L309" s="54"/>
    </row>
    <row r="310" spans="2:12" ht="13.8" hidden="1" outlineLevel="1" x14ac:dyDescent="0.25">
      <c r="B310" s="59">
        <v>36982</v>
      </c>
      <c r="C310" s="64">
        <v>57.5</v>
      </c>
      <c r="D310" s="60">
        <f t="shared" si="8"/>
        <v>-1.6757865937072403E-2</v>
      </c>
      <c r="E310" s="56"/>
      <c r="F310" s="59">
        <v>36982</v>
      </c>
      <c r="G310" s="62">
        <v>1125.25</v>
      </c>
      <c r="H310" s="60">
        <f t="shared" si="9"/>
        <v>-3.6518537546022856E-2</v>
      </c>
      <c r="I310" s="53"/>
      <c r="J310" s="53"/>
      <c r="L310" s="54"/>
    </row>
    <row r="311" spans="2:12" ht="13.8" hidden="1" outlineLevel="1" x14ac:dyDescent="0.25">
      <c r="B311" s="59">
        <v>36951</v>
      </c>
      <c r="C311" s="64">
        <v>63.31</v>
      </c>
      <c r="D311" s="60">
        <f t="shared" si="8"/>
        <v>0.10104347826086957</v>
      </c>
      <c r="E311" s="56"/>
      <c r="F311" s="59">
        <v>36951</v>
      </c>
      <c r="G311" s="62">
        <v>1148.2</v>
      </c>
      <c r="H311" s="60">
        <f t="shared" si="9"/>
        <v>2.0395467673850254E-2</v>
      </c>
      <c r="I311" s="53"/>
      <c r="J311" s="53"/>
      <c r="L311" s="54"/>
    </row>
    <row r="312" spans="2:12" ht="13.8" hidden="1" outlineLevel="1" x14ac:dyDescent="0.25">
      <c r="B312" s="59">
        <v>36923</v>
      </c>
      <c r="C312" s="64">
        <v>96.76</v>
      </c>
      <c r="D312" s="60">
        <f t="shared" si="8"/>
        <v>0.52835255093981992</v>
      </c>
      <c r="E312" s="56"/>
      <c r="F312" s="59">
        <v>36923</v>
      </c>
      <c r="G312" s="62">
        <v>1351.4</v>
      </c>
      <c r="H312" s="60">
        <f t="shared" si="9"/>
        <v>0.17697265284793584</v>
      </c>
      <c r="I312" s="53"/>
      <c r="J312" s="53"/>
      <c r="L312" s="54"/>
    </row>
    <row r="313" spans="2:12" ht="13.8" hidden="1" outlineLevel="1" x14ac:dyDescent="0.25">
      <c r="B313" s="59">
        <v>36892</v>
      </c>
      <c r="C313" s="64">
        <v>105.3</v>
      </c>
      <c r="D313" s="60">
        <f t="shared" si="8"/>
        <v>8.8259611409673422E-2</v>
      </c>
      <c r="E313" s="56"/>
      <c r="F313" s="59">
        <v>36892</v>
      </c>
      <c r="G313" s="62">
        <v>1371.7</v>
      </c>
      <c r="H313" s="60">
        <f t="shared" si="9"/>
        <v>1.5021459227467782E-2</v>
      </c>
      <c r="I313" s="53"/>
      <c r="J313" s="53"/>
      <c r="L313" s="54"/>
    </row>
    <row r="314" spans="2:12" ht="13.8" hidden="1" outlineLevel="1" x14ac:dyDescent="0.25">
      <c r="B314" s="59">
        <v>36861</v>
      </c>
      <c r="C314" s="64">
        <v>88.27</v>
      </c>
      <c r="D314" s="60">
        <f t="shared" si="8"/>
        <v>-0.16172839506172842</v>
      </c>
      <c r="E314" s="56"/>
      <c r="F314" s="59">
        <v>36861</v>
      </c>
      <c r="G314" s="62">
        <v>1263.55</v>
      </c>
      <c r="H314" s="60">
        <f t="shared" si="9"/>
        <v>-7.8843770503754573E-2</v>
      </c>
      <c r="I314" s="53"/>
      <c r="J314" s="53"/>
      <c r="L314" s="54"/>
    </row>
    <row r="315" spans="2:12" ht="13.8" hidden="1" outlineLevel="1" x14ac:dyDescent="0.25">
      <c r="B315" s="59">
        <v>36831</v>
      </c>
      <c r="C315" s="64">
        <v>111.37</v>
      </c>
      <c r="D315" s="60">
        <f t="shared" si="8"/>
        <v>0.26169706582077734</v>
      </c>
      <c r="E315" s="56"/>
      <c r="F315" s="59">
        <v>36831</v>
      </c>
      <c r="G315" s="62">
        <v>1268.1500000000001</v>
      </c>
      <c r="H315" s="60">
        <f t="shared" si="9"/>
        <v>3.6405365834357717E-3</v>
      </c>
      <c r="I315" s="53"/>
      <c r="J315" s="53"/>
      <c r="L315" s="54"/>
    </row>
    <row r="316" spans="2:12" ht="13.8" hidden="1" outlineLevel="1" x14ac:dyDescent="0.25">
      <c r="B316" s="59">
        <v>36800</v>
      </c>
      <c r="C316" s="64">
        <v>110.58</v>
      </c>
      <c r="D316" s="60">
        <f t="shared" si="8"/>
        <v>-7.093472209751317E-3</v>
      </c>
      <c r="E316" s="56"/>
      <c r="F316" s="59">
        <v>36800</v>
      </c>
      <c r="G316" s="62">
        <v>1172.75</v>
      </c>
      <c r="H316" s="60">
        <f t="shared" si="9"/>
        <v>-7.522769388479289E-2</v>
      </c>
      <c r="I316" s="53"/>
      <c r="J316" s="53"/>
      <c r="L316" s="54"/>
    </row>
    <row r="317" spans="2:12" ht="13.8" hidden="1" outlineLevel="1" x14ac:dyDescent="0.25">
      <c r="B317" s="59">
        <v>36770</v>
      </c>
      <c r="C317" s="64">
        <v>114.12</v>
      </c>
      <c r="D317" s="60">
        <f t="shared" si="8"/>
        <v>3.2013022246337508E-2</v>
      </c>
      <c r="E317" s="56"/>
      <c r="F317" s="59">
        <v>36770</v>
      </c>
      <c r="G317" s="62">
        <v>1271.6500000000001</v>
      </c>
      <c r="H317" s="60">
        <f t="shared" si="9"/>
        <v>8.4331698998081572E-2</v>
      </c>
      <c r="I317" s="53"/>
      <c r="J317" s="53"/>
      <c r="L317" s="54"/>
    </row>
    <row r="318" spans="2:12" ht="13.8" hidden="1" outlineLevel="1" x14ac:dyDescent="0.25">
      <c r="B318" s="59">
        <v>36739</v>
      </c>
      <c r="C318" s="64">
        <v>129.09</v>
      </c>
      <c r="D318" s="60">
        <f t="shared" si="8"/>
        <v>0.13117770767613046</v>
      </c>
      <c r="E318" s="56"/>
      <c r="F318" s="59">
        <v>36739</v>
      </c>
      <c r="G318" s="62">
        <v>1394.1</v>
      </c>
      <c r="H318" s="60">
        <f t="shared" si="9"/>
        <v>9.6292218770888116E-2</v>
      </c>
      <c r="I318" s="53"/>
      <c r="J318" s="53"/>
      <c r="L318" s="54"/>
    </row>
    <row r="319" spans="2:12" ht="13.8" hidden="1" outlineLevel="1" x14ac:dyDescent="0.25">
      <c r="B319" s="59">
        <v>36708</v>
      </c>
      <c r="C319" s="64">
        <v>104.82</v>
      </c>
      <c r="D319" s="60">
        <f t="shared" si="8"/>
        <v>-0.18800836625610051</v>
      </c>
      <c r="E319" s="56"/>
      <c r="F319" s="59">
        <v>36708</v>
      </c>
      <c r="G319" s="62">
        <v>1332.85</v>
      </c>
      <c r="H319" s="60">
        <f t="shared" si="9"/>
        <v>-4.3935155297324391E-2</v>
      </c>
      <c r="I319" s="53"/>
      <c r="J319" s="53"/>
      <c r="L319" s="54"/>
    </row>
    <row r="320" spans="2:12" ht="13.8" hidden="1" outlineLevel="1" x14ac:dyDescent="0.25">
      <c r="B320" s="59">
        <v>36678</v>
      </c>
      <c r="C320" s="64">
        <v>128.83000000000001</v>
      </c>
      <c r="D320" s="60">
        <f t="shared" si="8"/>
        <v>0.22905933982064508</v>
      </c>
      <c r="E320" s="56"/>
      <c r="F320" s="59">
        <v>36678</v>
      </c>
      <c r="G320" s="62">
        <v>1471.45</v>
      </c>
      <c r="H320" s="60">
        <f t="shared" si="9"/>
        <v>0.10398769553963327</v>
      </c>
      <c r="I320" s="53"/>
      <c r="J320" s="53"/>
      <c r="L320" s="54"/>
    </row>
    <row r="321" spans="2:12" ht="13.8" hidden="1" outlineLevel="1" x14ac:dyDescent="0.25">
      <c r="B321" s="59">
        <v>36647</v>
      </c>
      <c r="C321" s="64">
        <v>108.5</v>
      </c>
      <c r="D321" s="60">
        <f t="shared" si="8"/>
        <v>-0.15780485911666542</v>
      </c>
      <c r="E321" s="56"/>
      <c r="F321" s="59">
        <v>36647</v>
      </c>
      <c r="G321" s="62">
        <v>1380.45</v>
      </c>
      <c r="H321" s="60">
        <f t="shared" si="9"/>
        <v>-6.1843759556899691E-2</v>
      </c>
      <c r="I321" s="53"/>
      <c r="J321" s="53"/>
      <c r="L321" s="54"/>
    </row>
    <row r="322" spans="2:12" ht="13.8" hidden="1" outlineLevel="1" x14ac:dyDescent="0.25">
      <c r="B322" s="59">
        <v>36617</v>
      </c>
      <c r="C322" s="64">
        <v>125.91</v>
      </c>
      <c r="D322" s="60">
        <f t="shared" si="8"/>
        <v>0.1604608294930876</v>
      </c>
      <c r="E322" s="56"/>
      <c r="F322" s="59">
        <v>36617</v>
      </c>
      <c r="G322" s="62">
        <v>1406.55</v>
      </c>
      <c r="H322" s="60">
        <f t="shared" si="9"/>
        <v>1.8906878191893961E-2</v>
      </c>
      <c r="I322" s="53"/>
      <c r="J322" s="53"/>
      <c r="L322" s="54"/>
    </row>
    <row r="323" spans="2:12" ht="13.8" hidden="1" outlineLevel="1" x14ac:dyDescent="0.25">
      <c r="B323" s="59">
        <v>36586</v>
      </c>
      <c r="C323" s="64">
        <v>139.06</v>
      </c>
      <c r="D323" s="60">
        <f t="shared" si="8"/>
        <v>0.10443967913589081</v>
      </c>
      <c r="E323" s="56"/>
      <c r="F323" s="59">
        <v>36586</v>
      </c>
      <c r="G323" s="62">
        <v>1528.45</v>
      </c>
      <c r="H323" s="60">
        <f t="shared" si="9"/>
        <v>8.6665955707226905E-2</v>
      </c>
      <c r="I323" s="53"/>
      <c r="J323" s="53"/>
      <c r="L323" s="54"/>
    </row>
    <row r="324" spans="2:12" ht="13.8" hidden="1" outlineLevel="1" x14ac:dyDescent="0.25">
      <c r="B324" s="59">
        <v>36557</v>
      </c>
      <c r="C324" s="64">
        <v>136.1</v>
      </c>
      <c r="D324" s="60">
        <f t="shared" si="8"/>
        <v>-2.1285775924061667E-2</v>
      </c>
      <c r="E324" s="56"/>
      <c r="F324" s="59">
        <v>36557</v>
      </c>
      <c r="G324" s="62">
        <v>1654.8</v>
      </c>
      <c r="H324" s="60">
        <f t="shared" si="9"/>
        <v>8.2665445385848413E-2</v>
      </c>
      <c r="I324" s="53"/>
      <c r="J324" s="53"/>
      <c r="L324" s="54"/>
    </row>
    <row r="325" spans="2:12" ht="13.8" hidden="1" outlineLevel="1" x14ac:dyDescent="0.25">
      <c r="B325" s="59">
        <v>36526</v>
      </c>
      <c r="C325" s="64">
        <v>111.95</v>
      </c>
      <c r="D325" s="60">
        <f t="shared" si="8"/>
        <v>-0.17744305657604698</v>
      </c>
      <c r="E325" s="56"/>
      <c r="F325" s="59">
        <v>36526</v>
      </c>
      <c r="G325" s="62">
        <v>1546.2</v>
      </c>
      <c r="H325" s="60">
        <f t="shared" si="9"/>
        <v>-6.5627266134880347E-2</v>
      </c>
      <c r="I325" s="53"/>
      <c r="J325" s="53"/>
      <c r="L325" s="54"/>
    </row>
    <row r="326" spans="2:12" ht="13.8" hidden="1" outlineLevel="1" x14ac:dyDescent="0.25">
      <c r="B326" s="59">
        <v>36495</v>
      </c>
      <c r="C326" s="64">
        <v>112.14</v>
      </c>
      <c r="D326" s="60">
        <f t="shared" si="8"/>
        <v>1.6971862438588392E-3</v>
      </c>
      <c r="E326" s="56"/>
      <c r="F326" s="59">
        <v>36495</v>
      </c>
      <c r="G326" s="62">
        <v>1480.45</v>
      </c>
      <c r="H326" s="60">
        <f t="shared" si="9"/>
        <v>-4.2523606260509661E-2</v>
      </c>
      <c r="I326" s="53"/>
      <c r="J326" s="53"/>
      <c r="L326" s="54"/>
    </row>
    <row r="327" spans="2:12" ht="13.8" hidden="1" outlineLevel="1" x14ac:dyDescent="0.25">
      <c r="B327" s="59">
        <v>36465</v>
      </c>
      <c r="C327" s="64">
        <v>71.52</v>
      </c>
      <c r="D327" s="60">
        <f t="shared" si="8"/>
        <v>-0.36222578919208137</v>
      </c>
      <c r="E327" s="56"/>
      <c r="F327" s="59">
        <v>36465</v>
      </c>
      <c r="G327" s="62">
        <v>1376.15</v>
      </c>
      <c r="H327" s="60">
        <f t="shared" si="9"/>
        <v>-7.0451551893005449E-2</v>
      </c>
      <c r="I327" s="53"/>
      <c r="J327" s="53"/>
      <c r="L327" s="54"/>
    </row>
    <row r="328" spans="2:12" ht="13.8" hidden="1" outlineLevel="1" x14ac:dyDescent="0.25">
      <c r="B328" s="59">
        <v>36434</v>
      </c>
      <c r="C328" s="64">
        <v>54.08</v>
      </c>
      <c r="D328" s="60">
        <f t="shared" si="8"/>
        <v>-0.24384787472035796</v>
      </c>
      <c r="E328" s="56"/>
      <c r="F328" s="59">
        <v>36434</v>
      </c>
      <c r="G328" s="62">
        <v>1325.45</v>
      </c>
      <c r="H328" s="60">
        <f t="shared" si="9"/>
        <v>-3.684191403553394E-2</v>
      </c>
      <c r="I328" s="53"/>
      <c r="J328" s="53"/>
      <c r="L328" s="54"/>
    </row>
    <row r="329" spans="2:12" ht="13.8" hidden="1" outlineLevel="1" x14ac:dyDescent="0.25">
      <c r="B329" s="59">
        <v>36404</v>
      </c>
      <c r="C329" s="64">
        <v>55.29</v>
      </c>
      <c r="D329" s="60">
        <f t="shared" si="8"/>
        <v>2.2374260355029651E-2</v>
      </c>
      <c r="E329" s="56"/>
      <c r="F329" s="59">
        <v>36404</v>
      </c>
      <c r="G329" s="62">
        <v>1413.1</v>
      </c>
      <c r="H329" s="60">
        <f t="shared" si="9"/>
        <v>6.6128484665585185E-2</v>
      </c>
      <c r="I329" s="53"/>
      <c r="J329" s="53"/>
      <c r="L329" s="54"/>
    </row>
    <row r="330" spans="2:12" ht="13.8" hidden="1" outlineLevel="1" x14ac:dyDescent="0.25">
      <c r="B330" s="59">
        <v>36373</v>
      </c>
      <c r="C330" s="64">
        <v>43.02</v>
      </c>
      <c r="D330" s="60">
        <f t="shared" si="8"/>
        <v>-0.22192078133478021</v>
      </c>
      <c r="E330" s="56"/>
      <c r="F330" s="59">
        <v>36373</v>
      </c>
      <c r="G330" s="62">
        <v>1412</v>
      </c>
      <c r="H330" s="60">
        <f t="shared" si="9"/>
        <v>-7.7843040124547791E-4</v>
      </c>
      <c r="I330" s="53"/>
      <c r="J330" s="53"/>
      <c r="L330" s="54"/>
    </row>
    <row r="331" spans="2:12" ht="13.8" hidden="1" outlineLevel="1" x14ac:dyDescent="0.25">
      <c r="B331" s="59">
        <v>36342</v>
      </c>
      <c r="C331" s="64">
        <v>37.549999999999997</v>
      </c>
      <c r="D331" s="60">
        <f t="shared" si="8"/>
        <v>-0.12715016271501645</v>
      </c>
      <c r="E331" s="56"/>
      <c r="F331" s="59">
        <v>36342</v>
      </c>
      <c r="G331" s="62">
        <v>1310.1500000000001</v>
      </c>
      <c r="H331" s="60">
        <f t="shared" si="9"/>
        <v>-7.2131728045325749E-2</v>
      </c>
      <c r="I331" s="53"/>
      <c r="J331" s="53"/>
      <c r="L331" s="54"/>
    </row>
    <row r="332" spans="2:12" ht="13.8" hidden="1" outlineLevel="1" x14ac:dyDescent="0.25">
      <c r="B332" s="59">
        <v>36312</v>
      </c>
      <c r="C332" s="64">
        <v>28.22</v>
      </c>
      <c r="D332" s="60">
        <f t="shared" si="8"/>
        <v>-0.24846870838881485</v>
      </c>
      <c r="E332" s="56"/>
      <c r="F332" s="59">
        <v>36312</v>
      </c>
      <c r="G332" s="62">
        <v>1187.7</v>
      </c>
      <c r="H332" s="60">
        <f t="shared" si="9"/>
        <v>-9.3462580620539693E-2</v>
      </c>
      <c r="I332" s="53"/>
      <c r="J332" s="53"/>
      <c r="L332" s="54"/>
    </row>
    <row r="333" spans="2:12" ht="13.8" hidden="1" outlineLevel="1" x14ac:dyDescent="0.25">
      <c r="B333" s="59">
        <v>36281</v>
      </c>
      <c r="C333" s="64">
        <v>25.23</v>
      </c>
      <c r="D333" s="60">
        <f t="shared" ref="D333:D374" si="10">C333/C332-1</f>
        <v>-0.10595322466335921</v>
      </c>
      <c r="E333" s="56"/>
      <c r="F333" s="59">
        <v>36281</v>
      </c>
      <c r="G333" s="62">
        <v>1132.3</v>
      </c>
      <c r="H333" s="60">
        <f t="shared" ref="H333:H374" si="11">G333/G332-1</f>
        <v>-4.6644775616738299E-2</v>
      </c>
      <c r="I333" s="53"/>
      <c r="L333" s="54"/>
    </row>
    <row r="334" spans="2:12" ht="13.8" hidden="1" outlineLevel="1" x14ac:dyDescent="0.25">
      <c r="B334" s="59">
        <v>36251</v>
      </c>
      <c r="C334" s="64">
        <v>20.54</v>
      </c>
      <c r="D334" s="60">
        <f t="shared" si="10"/>
        <v>-0.18588981371383284</v>
      </c>
      <c r="E334" s="56"/>
      <c r="F334" s="59">
        <v>36251</v>
      </c>
      <c r="G334" s="62">
        <v>978.2</v>
      </c>
      <c r="H334" s="60">
        <f t="shared" si="11"/>
        <v>-0.13609467455621294</v>
      </c>
      <c r="I334" s="53"/>
      <c r="L334" s="54"/>
    </row>
    <row r="335" spans="2:12" ht="13.8" hidden="1" outlineLevel="1" x14ac:dyDescent="0.25">
      <c r="B335" s="59">
        <v>36220</v>
      </c>
      <c r="C335" s="64">
        <v>22.71</v>
      </c>
      <c r="D335" s="60">
        <f t="shared" si="10"/>
        <v>0.10564751703992226</v>
      </c>
      <c r="E335" s="56"/>
      <c r="F335" s="59">
        <v>36220</v>
      </c>
      <c r="G335" s="62">
        <v>1078.05</v>
      </c>
      <c r="H335" s="60">
        <f t="shared" si="11"/>
        <v>0.10207524023717029</v>
      </c>
      <c r="I335" s="53"/>
      <c r="L335" s="54"/>
    </row>
    <row r="336" spans="2:12" ht="13.8" hidden="1" outlineLevel="1" x14ac:dyDescent="0.25">
      <c r="B336" s="59">
        <v>36192</v>
      </c>
      <c r="C336" s="64">
        <v>22.44</v>
      </c>
      <c r="D336" s="60">
        <f t="shared" si="10"/>
        <v>-1.1889035667106973E-2</v>
      </c>
      <c r="E336" s="56"/>
      <c r="F336" s="59">
        <v>36192</v>
      </c>
      <c r="G336" s="62">
        <v>981.3</v>
      </c>
      <c r="H336" s="60">
        <f t="shared" si="11"/>
        <v>-8.9745373591206379E-2</v>
      </c>
      <c r="L336" s="54"/>
    </row>
    <row r="337" spans="2:12" ht="13.8" hidden="1" outlineLevel="1" x14ac:dyDescent="0.25">
      <c r="B337" s="59">
        <v>36161</v>
      </c>
      <c r="C337" s="64">
        <v>18.27</v>
      </c>
      <c r="D337" s="60">
        <f t="shared" si="10"/>
        <v>-0.18582887700534767</v>
      </c>
      <c r="E337" s="56"/>
      <c r="F337" s="59">
        <v>36161</v>
      </c>
      <c r="G337" s="62">
        <v>966.2</v>
      </c>
      <c r="H337" s="60">
        <f t="shared" si="11"/>
        <v>-1.538775094262701E-2</v>
      </c>
      <c r="I337" s="53"/>
      <c r="L337" s="54"/>
    </row>
    <row r="338" spans="2:12" ht="13.8" hidden="1" outlineLevel="1" x14ac:dyDescent="0.25">
      <c r="B338" s="59">
        <v>36130</v>
      </c>
      <c r="C338" s="64">
        <v>11.5</v>
      </c>
      <c r="D338" s="60">
        <f t="shared" si="10"/>
        <v>-0.37055281882868085</v>
      </c>
      <c r="E338" s="56"/>
      <c r="F338" s="59">
        <v>36130</v>
      </c>
      <c r="G338" s="62">
        <v>884.25</v>
      </c>
      <c r="H338" s="60">
        <f t="shared" si="11"/>
        <v>-8.4816808114262066E-2</v>
      </c>
      <c r="L338" s="54"/>
    </row>
    <row r="339" spans="2:12" ht="13.8" hidden="1" outlineLevel="1" x14ac:dyDescent="0.25">
      <c r="B339" s="59">
        <v>36100</v>
      </c>
      <c r="C339" s="64">
        <v>9.0299999999999994</v>
      </c>
      <c r="D339" s="60">
        <f t="shared" si="10"/>
        <v>-0.21478260869565224</v>
      </c>
      <c r="E339" s="56"/>
      <c r="F339" s="59">
        <v>36100</v>
      </c>
      <c r="G339" s="62">
        <v>817.75</v>
      </c>
      <c r="H339" s="60">
        <f t="shared" si="11"/>
        <v>-7.5204975968334753E-2</v>
      </c>
      <c r="L339" s="54"/>
    </row>
    <row r="340" spans="2:12" ht="13.8" hidden="1" outlineLevel="1" x14ac:dyDescent="0.25">
      <c r="B340" s="59">
        <v>36069</v>
      </c>
      <c r="C340" s="64">
        <v>9.4499999999999993</v>
      </c>
      <c r="D340" s="60">
        <f t="shared" si="10"/>
        <v>4.6511627906976827E-2</v>
      </c>
      <c r="E340" s="56"/>
      <c r="F340" s="59">
        <v>36069</v>
      </c>
      <c r="G340" s="62">
        <v>824.55</v>
      </c>
      <c r="H340" s="60">
        <f t="shared" si="11"/>
        <v>8.3154998471415276E-3</v>
      </c>
      <c r="L340" s="54"/>
    </row>
    <row r="341" spans="2:12" ht="13.8" hidden="1" outlineLevel="1" x14ac:dyDescent="0.25">
      <c r="B341" s="59">
        <v>36039</v>
      </c>
      <c r="C341" s="64">
        <v>9.7899999999999991</v>
      </c>
      <c r="D341" s="60">
        <f t="shared" si="10"/>
        <v>3.5978835978835999E-2</v>
      </c>
      <c r="E341" s="56"/>
      <c r="F341" s="59">
        <v>36039</v>
      </c>
      <c r="G341" s="62">
        <v>904.95</v>
      </c>
      <c r="H341" s="60">
        <f t="shared" si="11"/>
        <v>9.7507731489903771E-2</v>
      </c>
      <c r="L341" s="54"/>
    </row>
    <row r="342" spans="2:12" ht="13.8" hidden="1" outlineLevel="1" x14ac:dyDescent="0.25">
      <c r="B342" s="59">
        <v>36008</v>
      </c>
      <c r="C342" s="64">
        <v>9.9499999999999993</v>
      </c>
      <c r="D342" s="60">
        <f t="shared" si="10"/>
        <v>1.634320735444339E-2</v>
      </c>
      <c r="E342" s="56"/>
      <c r="F342" s="59">
        <v>36008</v>
      </c>
      <c r="G342" s="62">
        <v>852.8</v>
      </c>
      <c r="H342" s="60">
        <f t="shared" si="11"/>
        <v>-5.7627493231670379E-2</v>
      </c>
      <c r="L342" s="54"/>
    </row>
    <row r="343" spans="2:12" ht="13.8" hidden="1" outlineLevel="1" x14ac:dyDescent="0.25">
      <c r="B343" s="59">
        <v>35977</v>
      </c>
      <c r="C343" s="64">
        <v>10.1</v>
      </c>
      <c r="D343" s="60">
        <f t="shared" si="10"/>
        <v>1.5075376884422065E-2</v>
      </c>
      <c r="E343" s="56"/>
      <c r="F343" s="59">
        <v>35977</v>
      </c>
      <c r="G343" s="62">
        <v>931.4</v>
      </c>
      <c r="H343" s="60">
        <f t="shared" si="11"/>
        <v>9.2166979362101387E-2</v>
      </c>
      <c r="I343" s="53"/>
      <c r="L343" s="54"/>
    </row>
    <row r="344" spans="2:12" ht="13.8" hidden="1" outlineLevel="1" x14ac:dyDescent="0.25">
      <c r="B344" s="59">
        <v>35947</v>
      </c>
      <c r="C344" s="64">
        <v>8.56</v>
      </c>
      <c r="D344" s="60">
        <f t="shared" si="10"/>
        <v>-0.15247524752475239</v>
      </c>
      <c r="E344" s="56"/>
      <c r="F344" s="59">
        <v>35947</v>
      </c>
      <c r="G344" s="62">
        <v>941.65</v>
      </c>
      <c r="H344" s="60">
        <f t="shared" si="11"/>
        <v>1.1004938801803643E-2</v>
      </c>
      <c r="I344" s="53"/>
      <c r="L344" s="54"/>
    </row>
    <row r="345" spans="2:12" ht="13.8" hidden="1" outlineLevel="1" x14ac:dyDescent="0.25">
      <c r="B345" s="59">
        <v>35916</v>
      </c>
      <c r="C345" s="64">
        <v>9.4600000000000009</v>
      </c>
      <c r="D345" s="60">
        <f t="shared" si="10"/>
        <v>0.10514018691588789</v>
      </c>
      <c r="E345" s="56"/>
      <c r="F345" s="59">
        <v>35916</v>
      </c>
      <c r="G345" s="62">
        <v>1063.1500000000001</v>
      </c>
      <c r="H345" s="60">
        <f t="shared" si="11"/>
        <v>0.12902883236871454</v>
      </c>
      <c r="I345" s="53"/>
      <c r="J345" s="53"/>
      <c r="L345" s="54"/>
    </row>
    <row r="346" spans="2:12" ht="13.8" hidden="1" outlineLevel="1" x14ac:dyDescent="0.25">
      <c r="B346" s="59">
        <v>35886</v>
      </c>
      <c r="C346" s="64">
        <v>8.41</v>
      </c>
      <c r="D346" s="60">
        <f t="shared" si="10"/>
        <v>-0.11099365750528545</v>
      </c>
      <c r="E346" s="56"/>
      <c r="F346" s="59">
        <v>35886</v>
      </c>
      <c r="G346" s="62">
        <v>1159.3499999999999</v>
      </c>
      <c r="H346" s="60">
        <f t="shared" si="11"/>
        <v>9.0485820439260456E-2</v>
      </c>
      <c r="I346" s="53"/>
      <c r="J346" s="53"/>
      <c r="L346" s="54"/>
    </row>
    <row r="347" spans="2:12" ht="13.8" hidden="1" outlineLevel="1" x14ac:dyDescent="0.25">
      <c r="B347" s="59">
        <v>35855</v>
      </c>
      <c r="C347" s="64">
        <v>7.17</v>
      </c>
      <c r="D347" s="60">
        <f t="shared" si="10"/>
        <v>-0.14744351961950064</v>
      </c>
      <c r="E347" s="56"/>
      <c r="F347" s="59">
        <v>35855</v>
      </c>
      <c r="G347" s="62">
        <v>1116.9000000000001</v>
      </c>
      <c r="H347" s="60">
        <f t="shared" si="11"/>
        <v>-3.6615344805278616E-2</v>
      </c>
      <c r="I347" s="53"/>
      <c r="J347" s="53"/>
      <c r="L347" s="54"/>
    </row>
    <row r="348" spans="2:12" ht="13.8" hidden="1" outlineLevel="1" x14ac:dyDescent="0.25">
      <c r="B348" s="59">
        <v>35827</v>
      </c>
      <c r="C348" s="64">
        <v>5.42</v>
      </c>
      <c r="D348" s="60">
        <f t="shared" si="10"/>
        <v>-0.24407252440725247</v>
      </c>
      <c r="E348" s="56"/>
      <c r="F348" s="59">
        <v>35827</v>
      </c>
      <c r="G348" s="62">
        <v>1060.75</v>
      </c>
      <c r="H348" s="60">
        <f t="shared" si="11"/>
        <v>-5.0273077267436683E-2</v>
      </c>
      <c r="I348" s="53"/>
      <c r="L348" s="54"/>
    </row>
    <row r="349" spans="2:12" ht="13.8" hidden="1" outlineLevel="1" x14ac:dyDescent="0.25">
      <c r="B349" s="59">
        <v>35796</v>
      </c>
      <c r="C349" s="64">
        <v>4.28</v>
      </c>
      <c r="D349" s="60">
        <f t="shared" si="10"/>
        <v>-0.21033210332103314</v>
      </c>
      <c r="E349" s="56"/>
      <c r="F349" s="59">
        <v>35796</v>
      </c>
      <c r="G349" s="62">
        <v>963.45</v>
      </c>
      <c r="H349" s="60">
        <f t="shared" si="11"/>
        <v>-9.1727551260900264E-2</v>
      </c>
      <c r="I349" s="53"/>
      <c r="L349" s="54"/>
    </row>
    <row r="350" spans="2:12" ht="13.8" hidden="1" outlineLevel="1" x14ac:dyDescent="0.25">
      <c r="B350" s="59">
        <v>35765</v>
      </c>
      <c r="C350" s="64">
        <v>4.8099999999999996</v>
      </c>
      <c r="D350" s="60">
        <f t="shared" si="10"/>
        <v>0.1238317757009344</v>
      </c>
      <c r="E350" s="56"/>
      <c r="F350" s="59">
        <v>35765</v>
      </c>
      <c r="G350" s="62">
        <v>1079.4000000000001</v>
      </c>
      <c r="H350" s="60">
        <f t="shared" si="11"/>
        <v>0.12034874669157714</v>
      </c>
      <c r="I350" s="53"/>
      <c r="L350" s="54"/>
    </row>
    <row r="351" spans="2:12" ht="13.8" hidden="1" outlineLevel="1" x14ac:dyDescent="0.25">
      <c r="B351" s="59">
        <v>35735</v>
      </c>
      <c r="C351" s="64">
        <v>5.37</v>
      </c>
      <c r="D351" s="60">
        <f t="shared" si="10"/>
        <v>0.11642411642411643</v>
      </c>
      <c r="E351" s="56"/>
      <c r="F351" s="59">
        <v>35735</v>
      </c>
      <c r="G351" s="62">
        <v>1023.95</v>
      </c>
      <c r="H351" s="60">
        <f t="shared" si="11"/>
        <v>-5.1371132110431761E-2</v>
      </c>
      <c r="I351" s="53"/>
      <c r="L351" s="54"/>
    </row>
    <row r="352" spans="2:12" ht="13.8" hidden="1" outlineLevel="1" x14ac:dyDescent="0.25">
      <c r="B352" s="59">
        <v>35704</v>
      </c>
      <c r="C352" s="64">
        <v>5.22</v>
      </c>
      <c r="D352" s="60">
        <f t="shared" si="10"/>
        <v>-2.7932960893854775E-2</v>
      </c>
      <c r="E352" s="56"/>
      <c r="F352" s="59">
        <v>35704</v>
      </c>
      <c r="G352" s="62">
        <v>1085.25</v>
      </c>
      <c r="H352" s="60">
        <f t="shared" si="11"/>
        <v>5.9866204404511958E-2</v>
      </c>
      <c r="I352" s="53"/>
      <c r="J352" s="53"/>
      <c r="L352" s="54"/>
    </row>
    <row r="353" spans="2:12" ht="13.8" hidden="1" outlineLevel="1" x14ac:dyDescent="0.25">
      <c r="B353" s="59">
        <v>35674</v>
      </c>
      <c r="C353" s="64">
        <v>6.28</v>
      </c>
      <c r="D353" s="60">
        <f t="shared" si="10"/>
        <v>0.20306513409961702</v>
      </c>
      <c r="E353" s="56"/>
      <c r="F353" s="59">
        <v>35674</v>
      </c>
      <c r="G353" s="62">
        <v>1123.8</v>
      </c>
      <c r="H353" s="60">
        <f t="shared" si="11"/>
        <v>3.5521769177608853E-2</v>
      </c>
      <c r="I353" s="53"/>
      <c r="J353" s="53"/>
      <c r="L353" s="54"/>
    </row>
    <row r="354" spans="2:12" ht="13.8" hidden="1" outlineLevel="1" x14ac:dyDescent="0.25">
      <c r="B354" s="59">
        <v>35643</v>
      </c>
      <c r="C354" s="64">
        <v>4.93</v>
      </c>
      <c r="D354" s="60">
        <f t="shared" si="10"/>
        <v>-0.21496815286624216</v>
      </c>
      <c r="E354" s="56"/>
      <c r="F354" s="59">
        <v>35643</v>
      </c>
      <c r="G354" s="62">
        <v>1105</v>
      </c>
      <c r="H354" s="60">
        <f t="shared" si="11"/>
        <v>-1.6728955330129858E-2</v>
      </c>
      <c r="I354" s="53"/>
      <c r="J354" s="53"/>
      <c r="L354" s="54"/>
    </row>
    <row r="355" spans="2:12" ht="13.8" hidden="1" outlineLevel="1" x14ac:dyDescent="0.25">
      <c r="B355" s="59">
        <v>35612</v>
      </c>
      <c r="C355" s="64">
        <v>3.99</v>
      </c>
      <c r="D355" s="60">
        <f t="shared" si="10"/>
        <v>-0.19066937119675442</v>
      </c>
      <c r="E355" s="56"/>
      <c r="F355" s="59">
        <v>35612</v>
      </c>
      <c r="G355" s="62">
        <v>1221.5</v>
      </c>
      <c r="H355" s="60">
        <f t="shared" si="11"/>
        <v>0.10542986425339373</v>
      </c>
      <c r="I355" s="53"/>
      <c r="J355" s="53"/>
      <c r="L355" s="54"/>
    </row>
    <row r="356" spans="2:12" ht="13.8" hidden="1" outlineLevel="1" x14ac:dyDescent="0.25">
      <c r="B356" s="59">
        <v>35582</v>
      </c>
      <c r="C356" s="64">
        <v>3.6</v>
      </c>
      <c r="D356" s="60">
        <f t="shared" si="10"/>
        <v>-9.7744360902255689E-2</v>
      </c>
      <c r="E356" s="56"/>
      <c r="F356" s="59">
        <v>35582</v>
      </c>
      <c r="G356" s="62">
        <v>1192.4000000000001</v>
      </c>
      <c r="H356" s="60">
        <f t="shared" si="11"/>
        <v>-2.3823168235775571E-2</v>
      </c>
      <c r="I356" s="53"/>
      <c r="J356" s="53"/>
      <c r="L356" s="54"/>
    </row>
    <row r="357" spans="2:12" ht="13.8" hidden="1" outlineLevel="1" x14ac:dyDescent="0.25">
      <c r="B357" s="59">
        <v>35551</v>
      </c>
      <c r="C357" s="64">
        <v>2.87</v>
      </c>
      <c r="D357" s="60">
        <f t="shared" si="10"/>
        <v>-0.20277777777777772</v>
      </c>
      <c r="E357" s="56"/>
      <c r="F357" s="59">
        <v>35551</v>
      </c>
      <c r="G357" s="62">
        <v>1050.9000000000001</v>
      </c>
      <c r="H357" s="60">
        <f t="shared" si="11"/>
        <v>-0.11866823213686684</v>
      </c>
      <c r="I357" s="53"/>
      <c r="J357" s="53"/>
      <c r="L357" s="54"/>
    </row>
    <row r="358" spans="2:12" ht="13.8" hidden="1" outlineLevel="1" x14ac:dyDescent="0.25">
      <c r="B358" s="59">
        <v>35521</v>
      </c>
      <c r="C358" s="64">
        <v>2.81</v>
      </c>
      <c r="D358" s="60">
        <f t="shared" si="10"/>
        <v>-2.0905923344947785E-2</v>
      </c>
      <c r="E358" s="56"/>
      <c r="F358" s="59">
        <v>35521</v>
      </c>
      <c r="G358" s="62">
        <v>1079.8499999999999</v>
      </c>
      <c r="H358" s="60">
        <f t="shared" si="11"/>
        <v>2.7547816157579064E-2</v>
      </c>
      <c r="I358" s="53"/>
      <c r="L358" s="54"/>
    </row>
    <row r="359" spans="2:12" ht="13.8" hidden="1" outlineLevel="1" x14ac:dyDescent="0.25">
      <c r="B359" s="59">
        <v>35490</v>
      </c>
      <c r="C359" s="64">
        <v>1.98</v>
      </c>
      <c r="D359" s="60">
        <f t="shared" si="10"/>
        <v>-0.29537366548042709</v>
      </c>
      <c r="E359" s="56"/>
      <c r="F359" s="59">
        <v>35490</v>
      </c>
      <c r="G359" s="62">
        <v>968.3</v>
      </c>
      <c r="H359" s="60">
        <f t="shared" si="11"/>
        <v>-0.10330138445154413</v>
      </c>
      <c r="I359" s="53"/>
      <c r="L359" s="54"/>
    </row>
    <row r="360" spans="2:12" ht="13.8" hidden="1" outlineLevel="1" x14ac:dyDescent="0.25">
      <c r="B360" s="59">
        <v>35462</v>
      </c>
      <c r="C360" s="64">
        <v>1.99</v>
      </c>
      <c r="D360" s="60">
        <f t="shared" si="10"/>
        <v>5.050505050504972E-3</v>
      </c>
      <c r="E360" s="56"/>
      <c r="F360" s="59">
        <v>35462</v>
      </c>
      <c r="G360" s="62">
        <v>998.65</v>
      </c>
      <c r="H360" s="60">
        <f t="shared" si="11"/>
        <v>3.1343591862026177E-2</v>
      </c>
      <c r="I360" s="53"/>
      <c r="L360" s="54"/>
    </row>
    <row r="361" spans="2:12" ht="13.8" hidden="1" outlineLevel="1" x14ac:dyDescent="0.25">
      <c r="B361" s="59">
        <v>35431</v>
      </c>
      <c r="C361" s="64">
        <v>1.62</v>
      </c>
      <c r="D361" s="60">
        <f t="shared" si="10"/>
        <v>-0.18592964824120595</v>
      </c>
      <c r="E361" s="56"/>
      <c r="F361" s="59">
        <v>35431</v>
      </c>
      <c r="G361" s="62">
        <v>972.65</v>
      </c>
      <c r="H361" s="60">
        <f t="shared" si="11"/>
        <v>-2.6035147449056217E-2</v>
      </c>
      <c r="I361" s="53"/>
      <c r="L361" s="54"/>
    </row>
    <row r="362" spans="2:12" ht="13.8" hidden="1" outlineLevel="1" x14ac:dyDescent="0.25">
      <c r="B362" s="59">
        <v>35400</v>
      </c>
      <c r="C362" s="64">
        <v>1.49</v>
      </c>
      <c r="D362" s="60">
        <f t="shared" si="10"/>
        <v>-8.0246913580246937E-2</v>
      </c>
      <c r="E362" s="56"/>
      <c r="F362" s="59">
        <v>35400</v>
      </c>
      <c r="G362" s="62">
        <v>899.1</v>
      </c>
      <c r="H362" s="60">
        <f t="shared" si="11"/>
        <v>-7.5618156582532237E-2</v>
      </c>
      <c r="L362" s="54"/>
    </row>
    <row r="363" spans="2:12" ht="13.8" hidden="1" outlineLevel="1" x14ac:dyDescent="0.25">
      <c r="B363" s="59">
        <v>35370</v>
      </c>
      <c r="C363" s="64">
        <v>1.35</v>
      </c>
      <c r="D363" s="60">
        <f t="shared" si="10"/>
        <v>-9.3959731543624136E-2</v>
      </c>
      <c r="E363" s="56"/>
      <c r="F363" s="59">
        <v>35370</v>
      </c>
      <c r="G363" s="62">
        <v>830.32</v>
      </c>
      <c r="H363" s="60">
        <f t="shared" si="11"/>
        <v>-7.6498720943165344E-2</v>
      </c>
      <c r="L363" s="54"/>
    </row>
    <row r="364" spans="2:12" ht="13.8" hidden="1" outlineLevel="1" x14ac:dyDescent="0.25">
      <c r="B364" s="59">
        <v>35339</v>
      </c>
      <c r="C364" s="64">
        <v>1.32</v>
      </c>
      <c r="D364" s="60">
        <f t="shared" si="10"/>
        <v>-2.2222222222222254E-2</v>
      </c>
      <c r="E364" s="56"/>
      <c r="F364" s="59">
        <v>35339</v>
      </c>
      <c r="G364" s="62">
        <v>909.29</v>
      </c>
      <c r="H364" s="60">
        <f t="shared" si="11"/>
        <v>9.510791020329501E-2</v>
      </c>
      <c r="L364" s="54"/>
    </row>
    <row r="365" spans="2:12" ht="13.8" hidden="1" outlineLevel="1" x14ac:dyDescent="0.25">
      <c r="B365" s="59">
        <v>35309</v>
      </c>
      <c r="C365" s="64">
        <v>1.28</v>
      </c>
      <c r="D365" s="60">
        <f t="shared" si="10"/>
        <v>-3.0303030303030276E-2</v>
      </c>
      <c r="E365" s="56"/>
      <c r="F365" s="59">
        <v>35309</v>
      </c>
      <c r="G365" s="62">
        <v>943.96</v>
      </c>
      <c r="H365" s="60">
        <f t="shared" si="11"/>
        <v>3.812864982568831E-2</v>
      </c>
      <c r="I365" s="53"/>
      <c r="L365" s="54"/>
    </row>
    <row r="366" spans="2:12" ht="13.8" hidden="1" outlineLevel="1" x14ac:dyDescent="0.25">
      <c r="B366" s="59">
        <v>35278</v>
      </c>
      <c r="C366" s="64">
        <v>1.3</v>
      </c>
      <c r="D366" s="60">
        <f t="shared" si="10"/>
        <v>1.5625E-2</v>
      </c>
      <c r="E366" s="56"/>
      <c r="F366" s="59">
        <v>35278</v>
      </c>
      <c r="G366" s="62">
        <v>1029</v>
      </c>
      <c r="H366" s="60">
        <f t="shared" si="11"/>
        <v>9.0088563074706585E-2</v>
      </c>
      <c r="I366" s="53"/>
      <c r="L366" s="54"/>
    </row>
    <row r="367" spans="2:12" ht="13.8" hidden="1" outlineLevel="1" x14ac:dyDescent="0.25">
      <c r="B367" s="59">
        <v>35247</v>
      </c>
      <c r="C367" s="64">
        <v>1.28</v>
      </c>
      <c r="D367" s="60">
        <f t="shared" si="10"/>
        <v>-1.5384615384615441E-2</v>
      </c>
      <c r="E367" s="56"/>
      <c r="F367" s="59">
        <v>35247</v>
      </c>
      <c r="G367" s="62">
        <v>1042.81</v>
      </c>
      <c r="H367" s="60">
        <f t="shared" si="11"/>
        <v>1.3420796890184494E-2</v>
      </c>
      <c r="I367" s="53"/>
      <c r="L367" s="54"/>
    </row>
    <row r="368" spans="2:12" ht="13.8" hidden="1" outlineLevel="1" x14ac:dyDescent="0.25">
      <c r="B368" s="59">
        <v>35217</v>
      </c>
      <c r="C368" s="64">
        <v>1.37</v>
      </c>
      <c r="D368" s="60">
        <f t="shared" si="10"/>
        <v>7.03125E-2</v>
      </c>
      <c r="E368" s="56"/>
      <c r="F368" s="59">
        <v>35217</v>
      </c>
      <c r="G368" s="62">
        <v>1122</v>
      </c>
      <c r="H368" s="60">
        <f t="shared" si="11"/>
        <v>7.5939049299488914E-2</v>
      </c>
      <c r="I368" s="53"/>
      <c r="J368" s="53"/>
      <c r="L368" s="54"/>
    </row>
    <row r="369" spans="2:12" ht="13.8" hidden="1" outlineLevel="1" x14ac:dyDescent="0.25">
      <c r="B369" s="59">
        <v>35186</v>
      </c>
      <c r="C369" s="64">
        <v>1.25</v>
      </c>
      <c r="D369" s="60">
        <f t="shared" si="10"/>
        <v>-8.7591240875912524E-2</v>
      </c>
      <c r="E369" s="56"/>
      <c r="F369" s="59">
        <v>35186</v>
      </c>
      <c r="G369" s="62">
        <v>1089.92</v>
      </c>
      <c r="H369" s="60">
        <f t="shared" si="11"/>
        <v>-2.8591800356506214E-2</v>
      </c>
      <c r="I369" s="53"/>
      <c r="J369" s="53"/>
      <c r="L369" s="54"/>
    </row>
    <row r="370" spans="2:12" ht="13.8" hidden="1" outlineLevel="1" x14ac:dyDescent="0.25">
      <c r="B370" s="59">
        <v>35156</v>
      </c>
      <c r="C370" s="64">
        <v>1.22</v>
      </c>
      <c r="D370" s="60">
        <f t="shared" si="10"/>
        <v>-2.4000000000000021E-2</v>
      </c>
      <c r="E370" s="56"/>
      <c r="F370" s="59">
        <v>35156</v>
      </c>
      <c r="G370" s="62">
        <v>1114.3599999999999</v>
      </c>
      <c r="H370" s="60">
        <f t="shared" si="11"/>
        <v>2.2423664122137144E-2</v>
      </c>
      <c r="I370" s="53"/>
      <c r="L370" s="54"/>
    </row>
    <row r="371" spans="2:12" ht="13.8" hidden="1" outlineLevel="1" x14ac:dyDescent="0.25">
      <c r="B371" s="59">
        <v>35125</v>
      </c>
      <c r="C371" s="64">
        <v>0.97</v>
      </c>
      <c r="D371" s="60">
        <f t="shared" si="10"/>
        <v>-0.20491803278688525</v>
      </c>
      <c r="E371" s="56"/>
      <c r="F371" s="59">
        <v>35125</v>
      </c>
      <c r="G371" s="62">
        <v>985.3</v>
      </c>
      <c r="H371" s="60">
        <f t="shared" si="11"/>
        <v>-0.11581535589935021</v>
      </c>
      <c r="I371" s="53"/>
      <c r="L371" s="54"/>
    </row>
    <row r="372" spans="2:12" ht="13.8" hidden="1" outlineLevel="1" x14ac:dyDescent="0.25">
      <c r="B372" s="59">
        <v>35096</v>
      </c>
      <c r="C372" s="64">
        <v>0.91</v>
      </c>
      <c r="D372" s="60">
        <f t="shared" si="10"/>
        <v>-6.1855670103092675E-2</v>
      </c>
      <c r="E372" s="56"/>
      <c r="F372" s="59">
        <v>35096</v>
      </c>
      <c r="G372" s="62">
        <v>992.51</v>
      </c>
      <c r="H372" s="60">
        <f t="shared" si="11"/>
        <v>7.3175682533239694E-3</v>
      </c>
      <c r="I372" s="53"/>
      <c r="L372" s="54"/>
    </row>
    <row r="373" spans="2:12" ht="13.8" hidden="1" outlineLevel="1" x14ac:dyDescent="0.25">
      <c r="B373" s="59">
        <v>35065</v>
      </c>
      <c r="C373" s="64">
        <v>0.78</v>
      </c>
      <c r="D373" s="60">
        <f t="shared" si="10"/>
        <v>-0.1428571428571429</v>
      </c>
      <c r="E373" s="56"/>
      <c r="F373" s="59">
        <v>35065</v>
      </c>
      <c r="G373" s="62">
        <v>848.42</v>
      </c>
      <c r="H373" s="60">
        <f t="shared" si="11"/>
        <v>-0.14517737856545532</v>
      </c>
      <c r="L373" s="54"/>
    </row>
    <row r="374" spans="2:12" ht="13.8" hidden="1" outlineLevel="1" x14ac:dyDescent="0.25">
      <c r="B374" s="59">
        <v>35034</v>
      </c>
      <c r="C374" s="64">
        <v>0.79</v>
      </c>
      <c r="D374" s="60">
        <f t="shared" si="10"/>
        <v>1.2820512820512775E-2</v>
      </c>
      <c r="E374" s="56"/>
      <c r="F374" s="59">
        <v>35034</v>
      </c>
      <c r="G374" s="62">
        <v>908.53</v>
      </c>
      <c r="H374" s="60">
        <f t="shared" si="11"/>
        <v>7.0849343485537952E-2</v>
      </c>
      <c r="L374" s="54"/>
    </row>
    <row r="375" spans="2:12" ht="13.8" collapsed="1" x14ac:dyDescent="0.25">
      <c r="B375" s="59"/>
      <c r="C375" s="64"/>
      <c r="D375" s="60"/>
      <c r="E375" s="56"/>
      <c r="F375" s="56"/>
      <c r="G375" s="56"/>
      <c r="H375" s="57"/>
    </row>
    <row r="376" spans="2:12" ht="13.8" x14ac:dyDescent="0.25">
      <c r="B376" s="59"/>
      <c r="C376" s="64"/>
      <c r="D376" s="60"/>
      <c r="E376" s="56"/>
      <c r="F376" s="56"/>
      <c r="G376" s="56"/>
      <c r="H376" s="57"/>
    </row>
    <row r="377" spans="2:12" ht="13.8" x14ac:dyDescent="0.25">
      <c r="B377" s="59"/>
      <c r="C377" s="64"/>
      <c r="D377" s="60"/>
      <c r="E377" s="56"/>
      <c r="F377" s="56"/>
      <c r="G377" s="56"/>
      <c r="H377" s="57"/>
    </row>
    <row r="378" spans="2:12" ht="13.8" x14ac:dyDescent="0.25">
      <c r="B378" s="59"/>
      <c r="C378" s="64"/>
      <c r="D378" s="60"/>
      <c r="E378" s="56"/>
      <c r="F378" s="56"/>
      <c r="G378" s="56"/>
      <c r="H378" s="58"/>
    </row>
    <row r="379" spans="2:12" ht="13.8" x14ac:dyDescent="0.25">
      <c r="B379" s="59"/>
      <c r="C379" s="64"/>
      <c r="D379" s="60"/>
      <c r="E379" s="56"/>
      <c r="F379" s="56"/>
      <c r="G379" s="56"/>
      <c r="H379" s="57"/>
    </row>
    <row r="380" spans="2:12" ht="13.8" x14ac:dyDescent="0.25">
      <c r="B380" s="59"/>
      <c r="C380" s="64"/>
      <c r="D380" s="60"/>
      <c r="E380" s="56"/>
      <c r="F380" s="56"/>
      <c r="G380" s="56"/>
      <c r="H380" s="57"/>
    </row>
    <row r="381" spans="2:12" ht="13.8" x14ac:dyDescent="0.25">
      <c r="B381" s="59"/>
      <c r="C381" s="64"/>
      <c r="D381" s="60"/>
      <c r="E381" s="56"/>
      <c r="F381" s="56"/>
      <c r="G381" s="56"/>
      <c r="H381" s="58"/>
    </row>
    <row r="382" spans="2:12" ht="13.8" x14ac:dyDescent="0.25">
      <c r="B382" s="59"/>
      <c r="C382" s="64"/>
      <c r="D382" s="60"/>
      <c r="E382" s="56"/>
      <c r="F382" s="56"/>
      <c r="G382" s="56"/>
      <c r="H382" s="57"/>
    </row>
    <row r="383" spans="2:12" ht="13.8" x14ac:dyDescent="0.25">
      <c r="B383" s="59"/>
      <c r="C383" s="64"/>
      <c r="D383" s="60"/>
      <c r="E383" s="56"/>
      <c r="F383" s="56"/>
      <c r="G383" s="56"/>
      <c r="H383" s="58"/>
    </row>
    <row r="384" spans="2:12" ht="13.8" x14ac:dyDescent="0.25">
      <c r="B384" s="59"/>
      <c r="C384" s="64"/>
      <c r="D384" s="60"/>
      <c r="E384" s="56"/>
      <c r="F384" s="56"/>
      <c r="G384" s="56"/>
      <c r="H384" s="58"/>
    </row>
    <row r="385" spans="2:8" ht="13.8" x14ac:dyDescent="0.25">
      <c r="B385" s="59"/>
      <c r="C385" s="64"/>
      <c r="D385" s="60"/>
      <c r="E385" s="56"/>
      <c r="F385" s="56"/>
      <c r="G385" s="56"/>
      <c r="H385" s="57"/>
    </row>
    <row r="386" spans="2:8" ht="13.8" x14ac:dyDescent="0.25">
      <c r="B386" s="59"/>
      <c r="C386" s="64"/>
      <c r="D386" s="60"/>
      <c r="E386" s="56"/>
      <c r="F386" s="56"/>
      <c r="G386" s="56"/>
      <c r="H386" s="57"/>
    </row>
  </sheetData>
  <mergeCells count="3">
    <mergeCell ref="B8:D8"/>
    <mergeCell ref="F8:H8"/>
    <mergeCell ref="J8:L8"/>
  </mergeCells>
  <hyperlinks>
    <hyperlink ref="B6" location="Dashboard!A1" display="&lt;-Back to dashboard" xr:uid="{B4CAAB1B-CA15-40FD-B4A5-1531F055AD2A}"/>
  </hyperlinks>
  <pageMargins left="0.7" right="0.7" top="0.75" bottom="0.75" header="0.3" footer="0.3"/>
  <ignoredErrors>
    <ignoredError sqref="P10:P12"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0E939-A788-4AF1-86F1-E5F16EAB1DE4}">
  <dimension ref="B2:V37"/>
  <sheetViews>
    <sheetView showGridLines="0" tabSelected="1" zoomScale="70" zoomScaleNormal="70" workbookViewId="0">
      <selection activeCell="C3" sqref="C3"/>
    </sheetView>
  </sheetViews>
  <sheetFormatPr defaultRowHeight="14.4" x14ac:dyDescent="0.3"/>
  <cols>
    <col min="1" max="1" width="2.88671875" customWidth="1"/>
    <col min="2" max="2" width="2.88671875" style="249" customWidth="1"/>
    <col min="3" max="4" width="10.77734375" customWidth="1"/>
    <col min="5" max="5" width="14" bestFit="1" customWidth="1"/>
    <col min="6" max="7" width="10.77734375" customWidth="1"/>
    <col min="8" max="8" width="17.21875" bestFit="1" customWidth="1"/>
    <col min="9" max="9" width="14.33203125" bestFit="1" customWidth="1"/>
    <col min="10" max="14" width="10.77734375" customWidth="1"/>
    <col min="15" max="18" width="12.21875" customWidth="1"/>
    <col min="19" max="22" width="10.77734375" customWidth="1"/>
  </cols>
  <sheetData>
    <row r="2" spans="2:13" x14ac:dyDescent="0.3">
      <c r="B2" s="249" t="s">
        <v>25</v>
      </c>
      <c r="C2" s="248" t="s">
        <v>416</v>
      </c>
    </row>
    <row r="3" spans="2:13" x14ac:dyDescent="0.3">
      <c r="C3" s="306" t="s">
        <v>274</v>
      </c>
    </row>
    <row r="5" spans="2:13" x14ac:dyDescent="0.3">
      <c r="C5" s="318" t="s">
        <v>389</v>
      </c>
      <c r="D5" s="319"/>
      <c r="E5" s="320" t="s">
        <v>415</v>
      </c>
      <c r="F5" s="320" t="s">
        <v>390</v>
      </c>
      <c r="G5" s="320" t="s">
        <v>391</v>
      </c>
      <c r="H5" s="320" t="s">
        <v>392</v>
      </c>
      <c r="I5" s="320" t="s">
        <v>295</v>
      </c>
      <c r="J5" s="320" t="s">
        <v>393</v>
      </c>
      <c r="K5" s="320" t="s">
        <v>394</v>
      </c>
      <c r="L5" s="320" t="s">
        <v>395</v>
      </c>
      <c r="M5" s="321" t="s">
        <v>396</v>
      </c>
    </row>
    <row r="6" spans="2:13" x14ac:dyDescent="0.3">
      <c r="C6" s="308" t="s">
        <v>398</v>
      </c>
      <c r="D6" s="307"/>
      <c r="E6" s="357">
        <v>1285</v>
      </c>
      <c r="F6" s="348">
        <v>173173</v>
      </c>
      <c r="G6" s="348">
        <f>40563+4776</f>
        <v>45339</v>
      </c>
      <c r="H6" s="348">
        <v>28003</v>
      </c>
      <c r="I6" s="348">
        <v>510024.58</v>
      </c>
      <c r="J6" s="351">
        <f>I$6/F6</f>
        <v>2.9451737857518205</v>
      </c>
      <c r="K6" s="351">
        <f>J$6*10^5/G6</f>
        <v>6.4958948934732144</v>
      </c>
      <c r="L6" s="351">
        <v>3.01</v>
      </c>
      <c r="M6" s="352">
        <v>18.010000000000002</v>
      </c>
    </row>
    <row r="7" spans="2:13" x14ac:dyDescent="0.3">
      <c r="C7" s="286" t="s">
        <v>397</v>
      </c>
      <c r="E7" s="346">
        <v>2409</v>
      </c>
      <c r="F7" s="337">
        <v>260802</v>
      </c>
      <c r="G7" s="337">
        <v>74775</v>
      </c>
      <c r="H7" s="337">
        <v>47963</v>
      </c>
      <c r="I7" s="337">
        <v>868076.38</v>
      </c>
      <c r="J7" s="340">
        <f t="shared" ref="J7:K7" si="0">I$6/F7</f>
        <v>1.9556007239208288</v>
      </c>
      <c r="K7" s="399">
        <f t="shared" ref="K7:K19" si="1">J$6*10^5/G7</f>
        <v>3.9387145245761559</v>
      </c>
      <c r="L7" s="340">
        <v>3.34</v>
      </c>
      <c r="M7" s="341">
        <v>17.059999999999999</v>
      </c>
    </row>
    <row r="8" spans="2:13" x14ac:dyDescent="0.3">
      <c r="C8" s="286" t="s">
        <v>399</v>
      </c>
      <c r="E8" s="346">
        <v>1401.9</v>
      </c>
      <c r="F8" s="337">
        <v>126409</v>
      </c>
      <c r="G8" s="337">
        <v>28179</v>
      </c>
      <c r="H8" s="337">
        <v>16471</v>
      </c>
      <c r="I8" s="337">
        <v>363460.66</v>
      </c>
      <c r="J8" s="340">
        <f t="shared" ref="J8:K8" si="2">I$6/F8</f>
        <v>4.0347173065208963</v>
      </c>
      <c r="K8" s="399">
        <f t="shared" si="1"/>
        <v>10.451661825301894</v>
      </c>
      <c r="L8" s="340">
        <v>3.01</v>
      </c>
      <c r="M8" s="341">
        <v>22.11</v>
      </c>
    </row>
    <row r="9" spans="2:13" x14ac:dyDescent="0.3">
      <c r="C9" s="286" t="s">
        <v>400</v>
      </c>
      <c r="E9" s="346">
        <v>189.9</v>
      </c>
      <c r="F9" s="337">
        <v>90891.9</v>
      </c>
      <c r="G9" s="337">
        <v>21785.800000000003</v>
      </c>
      <c r="H9" s="337">
        <v>13332</v>
      </c>
      <c r="I9" s="337">
        <v>202254.96</v>
      </c>
      <c r="J9" s="340">
        <f t="shared" ref="J9:K9" si="3">I$6/F9</f>
        <v>5.6113314827833944</v>
      </c>
      <c r="K9" s="399">
        <f t="shared" si="1"/>
        <v>13.518777303343555</v>
      </c>
      <c r="L9" s="340">
        <v>2.19</v>
      </c>
      <c r="M9" s="341">
        <v>15.02</v>
      </c>
    </row>
    <row r="10" spans="2:13" x14ac:dyDescent="0.3">
      <c r="C10" s="286" t="s">
        <v>401</v>
      </c>
      <c r="E10" s="346">
        <v>1421.75</v>
      </c>
      <c r="F10" s="337">
        <v>55123.3</v>
      </c>
      <c r="G10" s="337">
        <v>8715.6</v>
      </c>
      <c r="H10" s="337">
        <v>4591</v>
      </c>
      <c r="I10" s="337">
        <v>136976.69</v>
      </c>
      <c r="J10" s="340">
        <f t="shared" ref="J10:K10" si="4">I$6/F10</f>
        <v>9.2524319117324243</v>
      </c>
      <c r="K10" s="399">
        <f t="shared" si="1"/>
        <v>33.79197973463468</v>
      </c>
      <c r="L10" s="340">
        <v>2.5299999999999998</v>
      </c>
      <c r="M10" s="341">
        <v>28.97</v>
      </c>
    </row>
    <row r="11" spans="2:13" x14ac:dyDescent="0.3">
      <c r="C11" s="286" t="s">
        <v>402</v>
      </c>
      <c r="E11" s="346">
        <v>4288</v>
      </c>
      <c r="F11" s="337">
        <v>40787.599999999999</v>
      </c>
      <c r="G11" s="337">
        <v>8349.2999999999993</v>
      </c>
      <c r="H11" s="337">
        <v>4724</v>
      </c>
      <c r="I11" s="337">
        <v>126533.56</v>
      </c>
      <c r="J11" s="340">
        <f t="shared" ref="J11:K11" si="5">I$6/F11</f>
        <v>12.504402808696762</v>
      </c>
      <c r="K11" s="399">
        <f t="shared" si="1"/>
        <v>35.274499488002839</v>
      </c>
      <c r="L11" s="340">
        <v>3.12</v>
      </c>
      <c r="M11" s="341">
        <v>24.59</v>
      </c>
    </row>
    <row r="12" spans="2:13" x14ac:dyDescent="0.3">
      <c r="C12" s="286" t="s">
        <v>403</v>
      </c>
      <c r="E12" s="346">
        <v>4911</v>
      </c>
      <c r="F12" s="337">
        <v>13934.63</v>
      </c>
      <c r="G12" s="337">
        <v>2777.4399999999996</v>
      </c>
      <c r="H12" s="337">
        <v>1731.62</v>
      </c>
      <c r="I12" s="337">
        <v>76671.710000000006</v>
      </c>
      <c r="J12" s="340">
        <f t="shared" ref="J12:K12" si="6">I$6/F12</f>
        <v>36.601228737325641</v>
      </c>
      <c r="K12" s="399">
        <f t="shared" si="1"/>
        <v>106.03915064778433</v>
      </c>
      <c r="L12" s="340">
        <v>5.56</v>
      </c>
      <c r="M12" s="341">
        <v>43.11</v>
      </c>
    </row>
    <row r="13" spans="2:13" x14ac:dyDescent="0.3">
      <c r="C13" s="286" t="s">
        <v>404</v>
      </c>
      <c r="E13" s="346">
        <v>2131.5</v>
      </c>
      <c r="F13" s="337">
        <v>15347.02</v>
      </c>
      <c r="G13" s="337">
        <v>3155.15</v>
      </c>
      <c r="H13" s="337">
        <v>1799.45</v>
      </c>
      <c r="I13" s="337">
        <v>41036.33</v>
      </c>
      <c r="J13" s="340">
        <f t="shared" ref="J13:K13" si="7">I$6/F13</f>
        <v>33.232808714656002</v>
      </c>
      <c r="K13" s="399">
        <f t="shared" si="1"/>
        <v>93.344968884262883</v>
      </c>
      <c r="L13" s="340">
        <v>2.65</v>
      </c>
      <c r="M13" s="341">
        <v>22.24</v>
      </c>
    </row>
    <row r="14" spans="2:13" x14ac:dyDescent="0.3">
      <c r="C14" s="286" t="s">
        <v>405</v>
      </c>
      <c r="E14" s="346">
        <v>1154.5</v>
      </c>
      <c r="F14" s="337">
        <v>15272.3</v>
      </c>
      <c r="G14" s="337">
        <v>2669.1</v>
      </c>
      <c r="H14" s="337">
        <v>1385.8</v>
      </c>
      <c r="I14" s="337">
        <v>39207.25</v>
      </c>
      <c r="J14" s="340">
        <f t="shared" ref="J14:K14" si="8">I$6/F14</f>
        <v>33.395400823713523</v>
      </c>
      <c r="K14" s="399">
        <f t="shared" si="1"/>
        <v>110.34332867827435</v>
      </c>
      <c r="L14" s="340">
        <v>2.54</v>
      </c>
      <c r="M14" s="341">
        <v>30.88</v>
      </c>
    </row>
    <row r="15" spans="2:13" x14ac:dyDescent="0.3">
      <c r="C15" s="286" t="s">
        <v>406</v>
      </c>
      <c r="E15" s="346">
        <v>442.5</v>
      </c>
      <c r="F15" s="337">
        <v>13430.4</v>
      </c>
      <c r="G15" s="337">
        <v>2299.7000000000003</v>
      </c>
      <c r="H15" s="337">
        <v>1368.3</v>
      </c>
      <c r="I15" s="337">
        <v>25735.599999999999</v>
      </c>
      <c r="J15" s="340">
        <f t="shared" ref="J15:K15" si="9">I$6/F15</f>
        <v>37.975382713843224</v>
      </c>
      <c r="K15" s="399">
        <f t="shared" si="1"/>
        <v>128.06773865077272</v>
      </c>
      <c r="L15" s="340">
        <v>2.0099999999999998</v>
      </c>
      <c r="M15" s="341">
        <v>18.61</v>
      </c>
    </row>
    <row r="16" spans="2:13" x14ac:dyDescent="0.3">
      <c r="C16" s="286" t="s">
        <v>407</v>
      </c>
      <c r="E16" s="346">
        <v>4250.3500000000004</v>
      </c>
      <c r="F16" s="337">
        <v>3672.01</v>
      </c>
      <c r="G16" s="337">
        <v>986.41000000000008</v>
      </c>
      <c r="H16" s="337">
        <v>580.5</v>
      </c>
      <c r="I16" s="337">
        <v>25378.12</v>
      </c>
      <c r="J16" s="340">
        <f t="shared" ref="J16:K16" si="10">I$6/F16</f>
        <v>138.89520453375673</v>
      </c>
      <c r="K16" s="399">
        <f t="shared" si="1"/>
        <v>298.57501300187755</v>
      </c>
      <c r="L16" s="340">
        <v>7.21</v>
      </c>
      <c r="M16" s="341">
        <v>41.99</v>
      </c>
    </row>
    <row r="17" spans="2:22" x14ac:dyDescent="0.3">
      <c r="C17" s="286" t="s">
        <v>408</v>
      </c>
      <c r="E17" s="346">
        <v>675.25</v>
      </c>
      <c r="F17" s="337">
        <v>6272.27</v>
      </c>
      <c r="G17" s="337">
        <v>1360.6399999999999</v>
      </c>
      <c r="H17" s="337">
        <v>719.13</v>
      </c>
      <c r="I17" s="337">
        <v>18096.68</v>
      </c>
      <c r="J17" s="340">
        <f t="shared" ref="J17:K17" si="11">I$6/F17</f>
        <v>81.314194063712179</v>
      </c>
      <c r="K17" s="399">
        <f t="shared" si="1"/>
        <v>216.45503481830761</v>
      </c>
      <c r="L17" s="340">
        <v>2.95</v>
      </c>
      <c r="M17" s="341">
        <v>24.31</v>
      </c>
    </row>
    <row r="18" spans="2:22" x14ac:dyDescent="0.3">
      <c r="C18" s="286" t="s">
        <v>409</v>
      </c>
      <c r="E18" s="346">
        <v>841.35</v>
      </c>
      <c r="F18" s="337">
        <v>2765.4</v>
      </c>
      <c r="G18" s="337">
        <v>341.9</v>
      </c>
      <c r="H18" s="337">
        <v>220.6</v>
      </c>
      <c r="I18" s="337">
        <v>14609.46</v>
      </c>
      <c r="J18" s="340">
        <f t="shared" ref="J18:K18" si="12">I$6/F18</f>
        <v>184.43067187386995</v>
      </c>
      <c r="K18" s="399">
        <f t="shared" si="1"/>
        <v>861.41380103884785</v>
      </c>
      <c r="L18" s="340">
        <v>5.23</v>
      </c>
      <c r="M18" s="341">
        <v>69.16</v>
      </c>
    </row>
    <row r="19" spans="2:22" x14ac:dyDescent="0.3">
      <c r="C19" s="308" t="s">
        <v>410</v>
      </c>
      <c r="D19" s="307"/>
      <c r="E19" s="357">
        <v>542.04999999999995</v>
      </c>
      <c r="F19" s="348">
        <v>5595.9</v>
      </c>
      <c r="G19" s="348">
        <v>1107.9000000000001</v>
      </c>
      <c r="H19" s="348">
        <v>740.4</v>
      </c>
      <c r="I19" s="348">
        <v>11628.2</v>
      </c>
      <c r="J19" s="351">
        <f t="shared" ref="J19:K19" si="13">I$6/F19</f>
        <v>91.142547222073318</v>
      </c>
      <c r="K19" s="351">
        <f t="shared" si="1"/>
        <v>265.83390069065985</v>
      </c>
      <c r="L19" s="351">
        <v>2.2000000000000002</v>
      </c>
      <c r="M19" s="352">
        <v>16.2</v>
      </c>
    </row>
    <row r="20" spans="2:22" x14ac:dyDescent="0.3">
      <c r="E20" s="346"/>
      <c r="F20" s="400"/>
      <c r="G20" s="400"/>
      <c r="H20" s="400"/>
      <c r="I20" s="400"/>
      <c r="J20" s="340"/>
      <c r="K20" s="340"/>
      <c r="L20" s="340"/>
      <c r="M20" s="340"/>
    </row>
    <row r="21" spans="2:22" x14ac:dyDescent="0.3">
      <c r="C21" s="312" t="s">
        <v>411</v>
      </c>
      <c r="D21" s="309"/>
      <c r="E21" s="401">
        <f>AVERAGE(E7:E19)</f>
        <v>1896.85</v>
      </c>
      <c r="F21" s="402"/>
      <c r="G21" s="402"/>
      <c r="H21" s="402"/>
      <c r="I21" s="402"/>
      <c r="J21" s="403">
        <f>AVERAGE(J7:J19)</f>
        <v>51.565070993584989</v>
      </c>
      <c r="K21" s="403">
        <f t="shared" ref="K21:M21" si="14">AVERAGE(K7:K19)</f>
        <v>167.46527456051126</v>
      </c>
      <c r="L21" s="403">
        <f t="shared" si="14"/>
        <v>3.4261538461538468</v>
      </c>
      <c r="M21" s="403">
        <f t="shared" si="14"/>
        <v>28.788461538461544</v>
      </c>
    </row>
    <row r="22" spans="2:22" x14ac:dyDescent="0.3">
      <c r="C22" s="313" t="s">
        <v>412</v>
      </c>
      <c r="D22" s="310"/>
      <c r="E22" s="404">
        <f>MEDIAN(E7:E19)</f>
        <v>1401.9</v>
      </c>
      <c r="F22" s="405"/>
      <c r="G22" s="405"/>
      <c r="H22" s="405"/>
      <c r="I22" s="405"/>
      <c r="J22" s="406">
        <f>MEDIAN(J7:J19)</f>
        <v>33.395400823713523</v>
      </c>
      <c r="K22" s="406">
        <f t="shared" ref="K22:M22" si="15">MEDIAN(K7:K19)</f>
        <v>106.03915064778433</v>
      </c>
      <c r="L22" s="406">
        <f t="shared" si="15"/>
        <v>2.95</v>
      </c>
      <c r="M22" s="406">
        <f t="shared" si="15"/>
        <v>24.31</v>
      </c>
    </row>
    <row r="23" spans="2:22" x14ac:dyDescent="0.3">
      <c r="C23" s="313" t="s">
        <v>413</v>
      </c>
      <c r="D23" s="310"/>
      <c r="E23" s="404">
        <f>PERCENTILE(E7:E19,75%)</f>
        <v>2409</v>
      </c>
      <c r="F23" s="405"/>
      <c r="G23" s="405"/>
      <c r="H23" s="405"/>
      <c r="I23" s="405"/>
      <c r="J23" s="406">
        <f>PERCENTILE(J7:J19,75%)</f>
        <v>81.314194063712179</v>
      </c>
      <c r="K23" s="406">
        <f t="shared" ref="K23:M23" si="16">PERCENTILE(K7:K19,75%)</f>
        <v>216.45503481830761</v>
      </c>
      <c r="L23" s="406">
        <f t="shared" si="16"/>
        <v>3.34</v>
      </c>
      <c r="M23" s="406">
        <f t="shared" si="16"/>
        <v>30.88</v>
      </c>
    </row>
    <row r="24" spans="2:22" x14ac:dyDescent="0.3">
      <c r="C24" s="314" t="s">
        <v>414</v>
      </c>
      <c r="D24" s="311"/>
      <c r="E24" s="407">
        <f>PERCENTILE(E7:E19,25%)</f>
        <v>675.25</v>
      </c>
      <c r="F24" s="408"/>
      <c r="G24" s="408"/>
      <c r="H24" s="408"/>
      <c r="I24" s="408"/>
      <c r="J24" s="409">
        <f>PERCENTILE(J7:J19,25%)</f>
        <v>9.2524319117324243</v>
      </c>
      <c r="K24" s="409">
        <f t="shared" ref="K24:M24" si="17">PERCENTILE(K7:K19,25%)</f>
        <v>33.79197973463468</v>
      </c>
      <c r="L24" s="409">
        <f t="shared" si="17"/>
        <v>2.5299999999999998</v>
      </c>
      <c r="M24" s="409">
        <f t="shared" si="17"/>
        <v>18.61</v>
      </c>
    </row>
    <row r="26" spans="2:22" x14ac:dyDescent="0.3">
      <c r="B26" s="249" t="s">
        <v>25</v>
      </c>
      <c r="C26" s="296" t="s">
        <v>442</v>
      </c>
      <c r="D26" s="307"/>
      <c r="E26" s="307"/>
      <c r="F26" s="307"/>
      <c r="G26" s="307"/>
      <c r="H26" s="307"/>
      <c r="I26" s="307"/>
      <c r="J26" s="307"/>
      <c r="K26" s="307"/>
      <c r="L26" s="307"/>
      <c r="M26" s="307"/>
    </row>
    <row r="27" spans="2:22" x14ac:dyDescent="0.3">
      <c r="C27" s="326"/>
      <c r="D27" s="327"/>
      <c r="E27" s="323"/>
      <c r="F27" s="323"/>
      <c r="G27" s="323"/>
      <c r="H27" s="323"/>
      <c r="I27" s="323"/>
      <c r="J27" s="323"/>
      <c r="K27" s="395" t="s">
        <v>447</v>
      </c>
      <c r="L27" s="396"/>
      <c r="M27" s="396"/>
      <c r="N27" s="397"/>
      <c r="O27" s="395" t="s">
        <v>298</v>
      </c>
      <c r="P27" s="396"/>
      <c r="Q27" s="396"/>
      <c r="R27" s="397"/>
      <c r="S27" s="395" t="s">
        <v>298</v>
      </c>
      <c r="T27" s="396"/>
      <c r="U27" s="396"/>
      <c r="V27" s="397"/>
    </row>
    <row r="28" spans="2:22" x14ac:dyDescent="0.3">
      <c r="C28" s="328" t="s">
        <v>131</v>
      </c>
      <c r="D28" s="322"/>
      <c r="E28" s="322" t="s">
        <v>390</v>
      </c>
      <c r="F28" s="322" t="s">
        <v>391</v>
      </c>
      <c r="G28" s="322" t="s">
        <v>392</v>
      </c>
      <c r="H28" s="322" t="s">
        <v>444</v>
      </c>
      <c r="I28" s="322" t="s">
        <v>445</v>
      </c>
      <c r="J28" s="322" t="s">
        <v>243</v>
      </c>
      <c r="K28" s="324" t="s">
        <v>393</v>
      </c>
      <c r="L28" s="322" t="s">
        <v>394</v>
      </c>
      <c r="M28" s="322" t="s">
        <v>446</v>
      </c>
      <c r="N28" s="325" t="s">
        <v>396</v>
      </c>
      <c r="O28" s="324" t="s">
        <v>393</v>
      </c>
      <c r="P28" s="322" t="s">
        <v>394</v>
      </c>
      <c r="Q28" s="322" t="s">
        <v>446</v>
      </c>
      <c r="R28" s="325" t="s">
        <v>396</v>
      </c>
      <c r="S28" s="324" t="s">
        <v>393</v>
      </c>
      <c r="T28" s="322" t="s">
        <v>394</v>
      </c>
      <c r="U28" s="322" t="s">
        <v>446</v>
      </c>
      <c r="V28" s="325" t="s">
        <v>396</v>
      </c>
    </row>
    <row r="29" spans="2:22" x14ac:dyDescent="0.3">
      <c r="C29" s="329" t="s">
        <v>411</v>
      </c>
      <c r="D29" s="249"/>
      <c r="E29" s="337">
        <f>F6</f>
        <v>173173</v>
      </c>
      <c r="F29" s="337">
        <f t="shared" ref="F29:G29" si="18">G6</f>
        <v>45339</v>
      </c>
      <c r="G29" s="337">
        <f t="shared" si="18"/>
        <v>28003</v>
      </c>
      <c r="H29" s="338">
        <f>4054667899</f>
        <v>4054667899</v>
      </c>
      <c r="I29" s="143">
        <v>61836</v>
      </c>
      <c r="J29" s="337">
        <v>0</v>
      </c>
      <c r="K29" s="339">
        <f>J21</f>
        <v>51.565070993584989</v>
      </c>
      <c r="L29" s="340">
        <f t="shared" ref="L29:N29" si="19">K21</f>
        <v>167.46527456051126</v>
      </c>
      <c r="M29" s="340">
        <f t="shared" si="19"/>
        <v>3.4261538461538468</v>
      </c>
      <c r="N29" s="341">
        <f t="shared" si="19"/>
        <v>28.788461538461544</v>
      </c>
      <c r="O29" s="342">
        <f>K29*E29</f>
        <v>8929678.0391720925</v>
      </c>
      <c r="P29" s="343">
        <f>L29*F29</f>
        <v>7592708.0832990203</v>
      </c>
      <c r="Q29" s="343">
        <f>M29*E29</f>
        <v>593317.34000000008</v>
      </c>
      <c r="R29" s="344">
        <f>N29*G29</f>
        <v>806163.28846153861</v>
      </c>
      <c r="S29" s="345">
        <f>$H29/O29</f>
        <v>454.06652750673248</v>
      </c>
      <c r="T29" s="346">
        <f>$H29/P29</f>
        <v>534.02130761732815</v>
      </c>
      <c r="U29" s="346">
        <f>$H29/10^1/Q29</f>
        <v>683.38941501355737</v>
      </c>
      <c r="V29" s="347">
        <f>$H29/10^1/R29</f>
        <v>502.95863840907765</v>
      </c>
    </row>
    <row r="30" spans="2:22" x14ac:dyDescent="0.3">
      <c r="C30" s="329" t="s">
        <v>412</v>
      </c>
      <c r="E30" s="337">
        <f>E29</f>
        <v>173173</v>
      </c>
      <c r="F30" s="337">
        <f t="shared" ref="F30:J30" si="20">F29</f>
        <v>45339</v>
      </c>
      <c r="G30" s="337">
        <f t="shared" si="20"/>
        <v>28003</v>
      </c>
      <c r="H30" s="338">
        <f t="shared" ref="H30:H32" si="21">4054667899</f>
        <v>4054667899</v>
      </c>
      <c r="I30" s="337">
        <f t="shared" si="20"/>
        <v>61836</v>
      </c>
      <c r="J30" s="337">
        <f t="shared" si="20"/>
        <v>0</v>
      </c>
      <c r="K30" s="339">
        <f t="shared" ref="K30:N30" si="22">J22</f>
        <v>33.395400823713523</v>
      </c>
      <c r="L30" s="340">
        <f t="shared" si="22"/>
        <v>106.03915064778433</v>
      </c>
      <c r="M30" s="340">
        <f t="shared" si="22"/>
        <v>2.95</v>
      </c>
      <c r="N30" s="341">
        <f t="shared" si="22"/>
        <v>24.31</v>
      </c>
      <c r="O30" s="342">
        <f t="shared" ref="O30:O32" si="23">K30*E30</f>
        <v>5783181.7468449418</v>
      </c>
      <c r="P30" s="343">
        <f t="shared" ref="P30:P32" si="24">L30*F30</f>
        <v>4807709.0512198936</v>
      </c>
      <c r="Q30" s="343">
        <f t="shared" ref="Q30:Q32" si="25">M30*E30</f>
        <v>510860.35000000003</v>
      </c>
      <c r="R30" s="344">
        <f t="shared" ref="R30:R32" si="26">N30*G30</f>
        <v>680752.92999999993</v>
      </c>
      <c r="S30" s="345">
        <f t="shared" ref="S30:S31" si="27">$H30/O30</f>
        <v>701.11369078311509</v>
      </c>
      <c r="T30" s="346">
        <f t="shared" ref="T30:T32" si="28">$H30/P30</f>
        <v>843.36798583333177</v>
      </c>
      <c r="U30" s="346">
        <f t="shared" ref="U30:U31" si="29">$H30/10^1/Q30</f>
        <v>793.69399073543275</v>
      </c>
      <c r="V30" s="347">
        <f t="shared" ref="V30:V32" si="30">$H30/10^1/R30</f>
        <v>595.61519610352616</v>
      </c>
    </row>
    <row r="31" spans="2:22" x14ac:dyDescent="0.3">
      <c r="C31" s="329" t="s">
        <v>413</v>
      </c>
      <c r="E31" s="337">
        <f t="shared" ref="E31:E32" si="31">E30</f>
        <v>173173</v>
      </c>
      <c r="F31" s="337">
        <f t="shared" ref="F31:F32" si="32">F30</f>
        <v>45339</v>
      </c>
      <c r="G31" s="337">
        <f t="shared" ref="G31:G32" si="33">G30</f>
        <v>28003</v>
      </c>
      <c r="H31" s="338">
        <f t="shared" si="21"/>
        <v>4054667899</v>
      </c>
      <c r="I31" s="337">
        <f t="shared" ref="I31:I32" si="34">I30</f>
        <v>61836</v>
      </c>
      <c r="J31" s="337">
        <f t="shared" ref="J31:J32" si="35">J30</f>
        <v>0</v>
      </c>
      <c r="K31" s="339">
        <f t="shared" ref="K31:N31" si="36">J23</f>
        <v>81.314194063712179</v>
      </c>
      <c r="L31" s="340">
        <f t="shared" si="36"/>
        <v>216.45503481830761</v>
      </c>
      <c r="M31" s="340">
        <f t="shared" si="36"/>
        <v>3.34</v>
      </c>
      <c r="N31" s="341">
        <f t="shared" si="36"/>
        <v>30.88</v>
      </c>
      <c r="O31" s="342">
        <f t="shared" si="23"/>
        <v>14081422.92859523</v>
      </c>
      <c r="P31" s="343">
        <f t="shared" si="24"/>
        <v>9813854.8236272484</v>
      </c>
      <c r="Q31" s="343">
        <f t="shared" si="25"/>
        <v>578397.81999999995</v>
      </c>
      <c r="R31" s="344">
        <f t="shared" si="26"/>
        <v>864732.64</v>
      </c>
      <c r="S31" s="345">
        <f t="shared" si="27"/>
        <v>287.94447262614074</v>
      </c>
      <c r="T31" s="346">
        <f t="shared" si="28"/>
        <v>413.15751780210002</v>
      </c>
      <c r="U31" s="346">
        <f t="shared" si="29"/>
        <v>701.01714750584642</v>
      </c>
      <c r="V31" s="347">
        <f t="shared" si="30"/>
        <v>468.8926624765777</v>
      </c>
    </row>
    <row r="32" spans="2:22" x14ac:dyDescent="0.3">
      <c r="C32" s="330" t="s">
        <v>414</v>
      </c>
      <c r="D32" s="307"/>
      <c r="E32" s="348">
        <f t="shared" si="31"/>
        <v>173173</v>
      </c>
      <c r="F32" s="348">
        <f t="shared" si="32"/>
        <v>45339</v>
      </c>
      <c r="G32" s="348">
        <f t="shared" si="33"/>
        <v>28003</v>
      </c>
      <c r="H32" s="349">
        <f t="shared" si="21"/>
        <v>4054667899</v>
      </c>
      <c r="I32" s="348">
        <f t="shared" si="34"/>
        <v>61836</v>
      </c>
      <c r="J32" s="348">
        <f t="shared" si="35"/>
        <v>0</v>
      </c>
      <c r="K32" s="350">
        <f t="shared" ref="K32:N32" si="37">J24</f>
        <v>9.2524319117324243</v>
      </c>
      <c r="L32" s="351">
        <f t="shared" si="37"/>
        <v>33.79197973463468</v>
      </c>
      <c r="M32" s="351">
        <f t="shared" si="37"/>
        <v>2.5299999999999998</v>
      </c>
      <c r="N32" s="352">
        <f t="shared" si="37"/>
        <v>18.61</v>
      </c>
      <c r="O32" s="353">
        <f t="shared" si="23"/>
        <v>1602271.3914504391</v>
      </c>
      <c r="P32" s="354">
        <f t="shared" si="24"/>
        <v>1532094.5691886018</v>
      </c>
      <c r="Q32" s="354">
        <f t="shared" si="25"/>
        <v>438127.68999999994</v>
      </c>
      <c r="R32" s="355">
        <f t="shared" si="26"/>
        <v>521135.82999999996</v>
      </c>
      <c r="S32" s="356">
        <f>$H32/10^1/O32</f>
        <v>253.05749828869844</v>
      </c>
      <c r="T32" s="398">
        <f>$H32/10^1/P32</f>
        <v>264.64866990210362</v>
      </c>
      <c r="U32" s="357">
        <f>$H32/10^1/Q32</f>
        <v>925.45346745831114</v>
      </c>
      <c r="V32" s="358">
        <f t="shared" si="30"/>
        <v>778.04435342701345</v>
      </c>
    </row>
    <row r="34" spans="3:14" x14ac:dyDescent="0.3">
      <c r="C34" s="312" t="s">
        <v>411</v>
      </c>
      <c r="D34" s="312"/>
      <c r="E34" s="312"/>
      <c r="F34" s="312"/>
      <c r="G34" s="312"/>
      <c r="H34" s="312"/>
      <c r="I34" s="312"/>
      <c r="J34" s="312"/>
      <c r="K34" s="315">
        <f>S29</f>
        <v>454.06652750673248</v>
      </c>
      <c r="L34" s="315">
        <f t="shared" ref="L34:N37" si="38">T29</f>
        <v>534.02130761732815</v>
      </c>
      <c r="M34" s="315">
        <f t="shared" si="38"/>
        <v>683.38941501355737</v>
      </c>
      <c r="N34" s="315">
        <f t="shared" si="38"/>
        <v>502.95863840907765</v>
      </c>
    </row>
    <row r="35" spans="3:14" x14ac:dyDescent="0.3">
      <c r="C35" s="313" t="s">
        <v>412</v>
      </c>
      <c r="D35" s="313"/>
      <c r="E35" s="313"/>
      <c r="F35" s="313"/>
      <c r="G35" s="313"/>
      <c r="H35" s="313"/>
      <c r="I35" s="313"/>
      <c r="J35" s="313"/>
      <c r="K35" s="316">
        <f t="shared" ref="K35:K37" si="39">S30</f>
        <v>701.11369078311509</v>
      </c>
      <c r="L35" s="316">
        <f t="shared" si="38"/>
        <v>843.36798583333177</v>
      </c>
      <c r="M35" s="316">
        <f t="shared" si="38"/>
        <v>793.69399073543275</v>
      </c>
      <c r="N35" s="316">
        <f t="shared" si="38"/>
        <v>595.61519610352616</v>
      </c>
    </row>
    <row r="36" spans="3:14" x14ac:dyDescent="0.3">
      <c r="C36" s="313" t="s">
        <v>413</v>
      </c>
      <c r="D36" s="313"/>
      <c r="E36" s="313"/>
      <c r="F36" s="313"/>
      <c r="G36" s="313"/>
      <c r="H36" s="313"/>
      <c r="I36" s="313"/>
      <c r="J36" s="313"/>
      <c r="K36" s="316">
        <f t="shared" si="39"/>
        <v>287.94447262614074</v>
      </c>
      <c r="L36" s="316">
        <f t="shared" si="38"/>
        <v>413.15751780210002</v>
      </c>
      <c r="M36" s="316">
        <f t="shared" si="38"/>
        <v>701.01714750584642</v>
      </c>
      <c r="N36" s="316">
        <f t="shared" si="38"/>
        <v>468.8926624765777</v>
      </c>
    </row>
    <row r="37" spans="3:14" x14ac:dyDescent="0.3">
      <c r="C37" s="314" t="s">
        <v>414</v>
      </c>
      <c r="D37" s="314"/>
      <c r="E37" s="314"/>
      <c r="F37" s="314"/>
      <c r="G37" s="314"/>
      <c r="H37" s="314"/>
      <c r="I37" s="314"/>
      <c r="J37" s="314"/>
      <c r="K37" s="317">
        <f t="shared" si="39"/>
        <v>253.05749828869844</v>
      </c>
      <c r="L37" s="317">
        <f t="shared" si="38"/>
        <v>264.64866990210362</v>
      </c>
      <c r="M37" s="317">
        <f t="shared" si="38"/>
        <v>925.45346745831114</v>
      </c>
      <c r="N37" s="317">
        <f t="shared" si="38"/>
        <v>778.04435342701345</v>
      </c>
    </row>
  </sheetData>
  <mergeCells count="3">
    <mergeCell ref="K27:N27"/>
    <mergeCell ref="O27:R27"/>
    <mergeCell ref="S27:V27"/>
  </mergeCells>
  <pageMargins left="0.7" right="0.7" top="0.75" bottom="0.75" header="0.3" footer="0.3"/>
  <ignoredErrors>
    <ignoredError sqref="E21:M24"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1361-FA02-4A62-B221-08144689E8B7}">
  <dimension ref="A1:P46"/>
  <sheetViews>
    <sheetView showGridLines="0" topLeftCell="A16" zoomScale="85" zoomScaleNormal="85" workbookViewId="0">
      <selection activeCell="N27" sqref="N27"/>
    </sheetView>
  </sheetViews>
  <sheetFormatPr defaultRowHeight="13.2" x14ac:dyDescent="0.25"/>
  <cols>
    <col min="1" max="1" width="2.88671875" style="89" customWidth="1"/>
    <col min="2" max="5" width="8.88671875" style="1"/>
    <col min="6" max="14" width="12.109375" style="1" customWidth="1"/>
    <col min="15" max="16384" width="8.88671875" style="1"/>
  </cols>
  <sheetData>
    <row r="1" spans="1:16" customFormat="1" ht="14.4" x14ac:dyDescent="0.3">
      <c r="A1" s="249"/>
      <c r="O1" s="1"/>
      <c r="P1" s="1"/>
    </row>
    <row r="2" spans="1:16" customFormat="1" ht="14.4" x14ac:dyDescent="0.3">
      <c r="A2" s="249"/>
      <c r="B2" s="107" t="str">
        <f>Dashboard!C2</f>
        <v>Infosys Ltd.</v>
      </c>
      <c r="C2" s="7"/>
      <c r="D2" s="7"/>
      <c r="E2" s="7"/>
      <c r="F2" s="7"/>
      <c r="G2" s="7"/>
      <c r="H2" s="7"/>
      <c r="I2" s="7"/>
      <c r="J2" s="7"/>
      <c r="K2" s="7"/>
      <c r="L2" s="7"/>
      <c r="M2" s="7"/>
      <c r="N2" s="7"/>
      <c r="O2" s="1"/>
      <c r="P2" s="1"/>
    </row>
    <row r="3" spans="1:16" customFormat="1" ht="14.4" x14ac:dyDescent="0.3">
      <c r="A3" s="249"/>
      <c r="B3" s="8" t="s">
        <v>253</v>
      </c>
      <c r="C3" s="7"/>
      <c r="D3" s="7"/>
      <c r="E3" s="7"/>
      <c r="F3" s="7"/>
      <c r="G3" s="7"/>
      <c r="H3" s="7"/>
      <c r="I3" s="7"/>
      <c r="J3" s="7"/>
      <c r="K3" s="7"/>
      <c r="L3" s="7"/>
      <c r="M3" s="7"/>
      <c r="N3" s="7"/>
      <c r="O3" s="1"/>
      <c r="P3" s="1"/>
    </row>
    <row r="4" spans="1:16" customFormat="1" ht="14.4" x14ac:dyDescent="0.3">
      <c r="A4" s="249"/>
      <c r="B4" s="95" t="str">
        <f>Dashboard!C4</f>
        <v>(In ₹ Crore, except equity share and per equity share data)</v>
      </c>
      <c r="C4" s="7"/>
      <c r="D4" s="7"/>
      <c r="E4" s="7"/>
      <c r="F4" s="7"/>
      <c r="G4" s="7"/>
      <c r="H4" s="7"/>
      <c r="I4" s="7"/>
      <c r="J4" s="7"/>
      <c r="K4" s="7"/>
      <c r="L4" s="7"/>
      <c r="M4" s="7"/>
      <c r="N4" s="7"/>
      <c r="O4" s="1"/>
      <c r="P4" s="1"/>
    </row>
    <row r="6" spans="1:16" x14ac:dyDescent="0.25">
      <c r="B6" s="73" t="s">
        <v>214</v>
      </c>
    </row>
    <row r="8" spans="1:16" x14ac:dyDescent="0.25">
      <c r="A8" s="89" t="s">
        <v>25</v>
      </c>
      <c r="B8" s="256" t="s">
        <v>308</v>
      </c>
      <c r="C8" s="257"/>
      <c r="D8" s="257"/>
      <c r="E8" s="258">
        <v>44651</v>
      </c>
      <c r="F8" s="258">
        <f>EDATE(E8,12)</f>
        <v>45016</v>
      </c>
      <c r="G8" s="258">
        <f t="shared" ref="G8:M8" si="0">EDATE(F8,12)</f>
        <v>45382</v>
      </c>
      <c r="H8" s="258">
        <f t="shared" si="0"/>
        <v>45747</v>
      </c>
      <c r="I8" s="259">
        <f t="shared" si="0"/>
        <v>46112</v>
      </c>
      <c r="J8" s="259">
        <f t="shared" si="0"/>
        <v>46477</v>
      </c>
      <c r="K8" s="259">
        <f t="shared" si="0"/>
        <v>46843</v>
      </c>
      <c r="L8" s="259">
        <f t="shared" si="0"/>
        <v>47208</v>
      </c>
      <c r="M8" s="260">
        <f t="shared" si="0"/>
        <v>47573</v>
      </c>
    </row>
    <row r="9" spans="1:16" x14ac:dyDescent="0.25">
      <c r="B9" s="90" t="s">
        <v>309</v>
      </c>
      <c r="E9" s="253">
        <f>(Financials!F17-(Financials!F19+Financials!F20+Financials!F21+Financials!F22+Financials!F23+Financials!F24+Financials!F27))/Financials!F$17</f>
        <v>0.27260844306738963</v>
      </c>
      <c r="F9" s="253">
        <f>(Financials!G17-(Financials!G19+Financials!G20+Financials!G21+Financials!G22+Financials!G23+Financials!G24+Financials!G27))/Financials!G$17</f>
        <v>0.25310434340460836</v>
      </c>
      <c r="G9" s="253">
        <f>(Financials!H17-(Financials!H19+Financials!H20+Financials!H21+Financials!H22+Financials!H23+Financials!H24+Financials!H27))/Financials!H$17</f>
        <v>0.2597281239542622</v>
      </c>
      <c r="H9" s="253">
        <f>(Financials!I17-(Financials!I19+Financials!I20+Financials!I21+Financials!I22+Financials!I23+Financials!I24+Financials!I27))/Financials!I$17</f>
        <v>0.257134281769614</v>
      </c>
      <c r="I9" s="253">
        <f ca="1">(Financials!J17-(Financials!J19+Financials!J20+Financials!J21+Financials!J22+Financials!J23+Financials!J24+Financials!J27))/Financials!J$17</f>
        <v>0.24261009746661905</v>
      </c>
      <c r="J9" s="253">
        <f ca="1">(Financials!K17-(Financials!K19+Financials!K20+Financials!K21+Financials!K22+Financials!K23+Financials!K24+Financials!K27))/Financials!K$17</f>
        <v>0.23696324692416354</v>
      </c>
      <c r="K9" s="253">
        <f ca="1">(Financials!L17-(Financials!L19+Financials!L20+Financials!L21+Financials!L22+Financials!L23+Financials!L24+Financials!L27))/Financials!L$17</f>
        <v>0.23280984578137223</v>
      </c>
      <c r="L9" s="253">
        <f ca="1">(Financials!M17-(Financials!M19+Financials!M20+Financials!M21+Financials!M22+Financials!M23+Financials!M24+Financials!M27))/Financials!M$17</f>
        <v>0.23034668218526813</v>
      </c>
      <c r="M9" s="254">
        <f ca="1">(Financials!N17-(Financials!N19+Financials!N20+Financials!N21+Financials!N22+Financials!N23+Financials!N24+Financials!N27))/Financials!N$17</f>
        <v>0.22842748317992784</v>
      </c>
    </row>
    <row r="10" spans="1:16" x14ac:dyDescent="0.25">
      <c r="B10" s="90" t="s">
        <v>310</v>
      </c>
      <c r="E10" s="253">
        <f>Financials!F30/Financials!F$17</f>
        <v>0.24294797314743094</v>
      </c>
      <c r="F10" s="253">
        <f>Financials!G30/Financials!G$17</f>
        <v>0.22293735113870528</v>
      </c>
      <c r="G10" s="253">
        <f>Financials!H30/Financials!H$17</f>
        <v>0.2272242251280141</v>
      </c>
      <c r="H10" s="253">
        <f>Financials!I30/Financials!I$17</f>
        <v>0.22575184584909058</v>
      </c>
      <c r="I10" s="253">
        <f ca="1">Financials!J30/Financials!J$17</f>
        <v>0.23365542905530659</v>
      </c>
      <c r="J10" s="253">
        <f ca="1">Financials!K30/Financials!K$17</f>
        <v>0.22618369583296358</v>
      </c>
      <c r="K10" s="253">
        <f ca="1">Financials!L30/Financials!L$17</f>
        <v>0.22081006011670828</v>
      </c>
      <c r="L10" s="253">
        <f ca="1">Financials!M30/Financials!M$17</f>
        <v>0.21676164094805792</v>
      </c>
      <c r="M10" s="254">
        <f ca="1">Financials!N30/Financials!N$17</f>
        <v>0.21339585086642276</v>
      </c>
    </row>
    <row r="11" spans="1:16" x14ac:dyDescent="0.25">
      <c r="B11" s="90" t="s">
        <v>311</v>
      </c>
      <c r="E11" s="253">
        <f>(Financials!F17-(Financials!F28-Financials!F25))/Financials!F17</f>
        <v>0.27099470694552025</v>
      </c>
      <c r="F11" s="253">
        <f>(Financials!G17-(Financials!G28-Financials!G25))/Financials!G17</f>
        <v>0.25120427114833943</v>
      </c>
      <c r="G11" s="253">
        <f>(Financials!H17-(Financials!H28-Financials!H25))/Financials!H17</f>
        <v>0.25676059628364512</v>
      </c>
      <c r="H11" s="253">
        <f>(Financials!I17-(Financials!I28-Financials!I25))/Financials!I17</f>
        <v>0.25463713308121738</v>
      </c>
      <c r="I11" s="253">
        <f ca="1">(Financials!J17-(Financials!J28-Financials!J25))/Financials!J17</f>
        <v>0.24261009746661905</v>
      </c>
      <c r="J11" s="253">
        <f ca="1">(Financials!K17-(Financials!K28-Financials!K25))/Financials!K17</f>
        <v>0.23696324692416354</v>
      </c>
      <c r="K11" s="253">
        <f ca="1">(Financials!L17-(Financials!L28-Financials!L25))/Financials!L17</f>
        <v>0.23280984578137223</v>
      </c>
      <c r="L11" s="253">
        <f ca="1">(Financials!M17-(Financials!M28-Financials!M25))/Financials!M17</f>
        <v>0.23034668218526813</v>
      </c>
      <c r="M11" s="254">
        <f ca="1">(Financials!N17-(Financials!N28-Financials!N25))/Financials!N17</f>
        <v>0.2284274831799277</v>
      </c>
    </row>
    <row r="12" spans="1:16" x14ac:dyDescent="0.25">
      <c r="B12" s="90" t="s">
        <v>312</v>
      </c>
      <c r="E12" s="253">
        <f>Financials!F34/Financials!F17</f>
        <v>0.17868900077459335</v>
      </c>
      <c r="F12" s="253">
        <f>Financials!G34/Financials!G17</f>
        <v>0.16129204913426284</v>
      </c>
      <c r="G12" s="253">
        <f>Financials!H34/Financials!H17</f>
        <v>0.16572694957097125</v>
      </c>
      <c r="H12" s="253">
        <f>Financials!I34/Financials!I17</f>
        <v>0.16057386397742962</v>
      </c>
      <c r="I12" s="253">
        <f ca="1">Financials!J34/Financials!J17</f>
        <v>0.16355880033871464</v>
      </c>
      <c r="J12" s="253">
        <f ca="1">Financials!K34/Financials!K17</f>
        <v>0.15832858708307451</v>
      </c>
      <c r="K12" s="253">
        <f ca="1">Financials!L34/Financials!L17</f>
        <v>0.15456704208169583</v>
      </c>
      <c r="L12" s="253">
        <f ca="1">Financials!M34/Financials!M17</f>
        <v>0.15173314866364054</v>
      </c>
      <c r="M12" s="254">
        <f ca="1">Financials!N34/Financials!N17</f>
        <v>0.14937709560649592</v>
      </c>
    </row>
    <row r="13" spans="1:16" x14ac:dyDescent="0.25">
      <c r="B13" s="90" t="s">
        <v>313</v>
      </c>
      <c r="E13" s="253">
        <f>Financials!F34/Financials!F79</f>
        <v>0.29241047850427804</v>
      </c>
      <c r="F13" s="253">
        <f>Financials!G34/Financials!G79</f>
        <v>0.31806847417375816</v>
      </c>
      <c r="G13" s="253">
        <f>Financials!H34/Financials!H79</f>
        <v>0.29671832785069124</v>
      </c>
      <c r="H13" s="253">
        <f>Financials!I34/Financials!I79</f>
        <v>0.2780578568235918</v>
      </c>
      <c r="I13" s="253">
        <f ca="1">Financials!J34/Financials!J79</f>
        <v>0.26471994934015292</v>
      </c>
      <c r="J13" s="253">
        <f ca="1">Financials!K34/Financials!K79</f>
        <v>0.27490185384943128</v>
      </c>
      <c r="K13" s="253">
        <f ca="1">Financials!L34/Financials!L79</f>
        <v>0.25846384838968772</v>
      </c>
      <c r="L13" s="253">
        <f ca="1">Financials!M34/Financials!M79</f>
        <v>0.24798236574320512</v>
      </c>
      <c r="M13" s="254">
        <f ca="1">Financials!N34/Financials!N79</f>
        <v>0.2581326287172514</v>
      </c>
    </row>
    <row r="14" spans="1:16" x14ac:dyDescent="0.25">
      <c r="B14" s="90" t="s">
        <v>256</v>
      </c>
      <c r="C14" s="32"/>
      <c r="E14" s="253">
        <f>Financials!F34/Financials!F73</f>
        <v>0.18786105102430334</v>
      </c>
      <c r="F14" s="253">
        <f>Financials!G34/Financials!G73</f>
        <v>0.19161314936097157</v>
      </c>
      <c r="G14" s="253">
        <f>Financials!H34/Financials!H73</f>
        <v>0.19045960497482115</v>
      </c>
      <c r="H14" s="253">
        <f>Financials!I34/Financials!I73</f>
        <v>0.17964715284446922</v>
      </c>
      <c r="I14" s="253">
        <f ca="1">Financials!J34/Financials!J73</f>
        <v>0.17445955058668486</v>
      </c>
      <c r="J14" s="253">
        <f ca="1">Financials!K34/Financials!K73</f>
        <v>0.17771214719291126</v>
      </c>
      <c r="K14" s="253">
        <f ca="1">Financials!L34/Financials!L73</f>
        <v>0.17008699016906975</v>
      </c>
      <c r="L14" s="253">
        <f ca="1">Financials!M34/Financials!M73</f>
        <v>0.16525324862082236</v>
      </c>
      <c r="M14" s="254">
        <f ca="1">Financials!N34/Financials!N73</f>
        <v>0.16960287474533162</v>
      </c>
    </row>
    <row r="15" spans="1:16" x14ac:dyDescent="0.25">
      <c r="B15" s="90" t="s">
        <v>254</v>
      </c>
      <c r="E15" s="253">
        <f>Financials!F30/(Financials!F73-Financials!F95)</f>
        <v>0.35725303148952325</v>
      </c>
      <c r="F15" s="253">
        <f>Financials!G30/(Financials!G73-Financials!G95)</f>
        <v>0.38464735080226248</v>
      </c>
      <c r="G15" s="253">
        <f>Financials!H30/(Financials!H73-Financials!H95)</f>
        <v>0.36344172894364773</v>
      </c>
      <c r="H15" s="253">
        <f>Financials!I30/(Financials!I73-Financials!I95)</f>
        <v>0.35461514525755988</v>
      </c>
      <c r="I15" s="253">
        <f ca="1">Financials!J30/(Financials!J73-Financials!J95)</f>
        <v>0.34452035583273388</v>
      </c>
      <c r="J15" s="253">
        <f ca="1">Financials!K30/(Financials!K73-Financials!K95)</f>
        <v>0.3575247379436704</v>
      </c>
      <c r="K15" s="253">
        <f ca="1">Financials!L30/(Financials!L73-Financials!L95)</f>
        <v>0.33866298421496921</v>
      </c>
      <c r="L15" s="253">
        <f ca="1">Financials!M30/(Financials!M73-Financials!M95)</f>
        <v>0.3266817078481864</v>
      </c>
      <c r="M15" s="254">
        <f ca="1">Financials!N30/(Financials!N73-Financials!N95)</f>
        <v>0.33963643029523288</v>
      </c>
    </row>
    <row r="16" spans="1:16" x14ac:dyDescent="0.25">
      <c r="B16" s="190" t="s">
        <v>255</v>
      </c>
      <c r="C16" s="108"/>
      <c r="D16" s="108"/>
      <c r="E16" s="122">
        <f>(Financials!F30*(1-30%))/(Schedule!G72+Financials!F50)</f>
        <v>0.66617149720281932</v>
      </c>
      <c r="F16" s="122">
        <f>(Financials!G30*(1-30%))/(Schedule!H72+Financials!G50)</f>
        <v>0.6682538318292508</v>
      </c>
      <c r="G16" s="122">
        <f>(Financials!H30*(1-30%))/(Schedule!I72+Financials!H50)</f>
        <v>0.65251379283549615</v>
      </c>
      <c r="H16" s="122">
        <f>(Financials!I30*(1-30%))/(Schedule!J72+Financials!I50)</f>
        <v>0.6789848344165893</v>
      </c>
      <c r="I16" s="122">
        <f ca="1">(Financials!J30*(1-30%))/(Schedule!K72+Financials!J50)</f>
        <v>0.69643090184019452</v>
      </c>
      <c r="J16" s="122">
        <f ca="1">(Financials!K30*(1-30%))/(Schedule!L72+Financials!K50)</f>
        <v>0.67620645666694101</v>
      </c>
      <c r="K16" s="122">
        <f ca="1">(Financials!L30*(1-30%))/(Schedule!M72+Financials!L50)</f>
        <v>0.66142083723979206</v>
      </c>
      <c r="L16" s="122">
        <f ca="1">(Financials!M30*(1-30%))/(Schedule!N72+Financials!M50)</f>
        <v>0.65123341831817283</v>
      </c>
      <c r="M16" s="255">
        <f ca="1">(Financials!N30*(1-30%))/(Schedule!O72+Financials!N50)</f>
        <v>0.64400866281895663</v>
      </c>
      <c r="N16" s="75"/>
    </row>
    <row r="17" spans="1:14" x14ac:dyDescent="0.25">
      <c r="F17" s="75"/>
      <c r="G17" s="75"/>
      <c r="H17" s="75"/>
      <c r="I17" s="75"/>
      <c r="J17" s="75"/>
      <c r="K17" s="75"/>
      <c r="L17" s="75"/>
      <c r="M17" s="75"/>
      <c r="N17" s="75"/>
    </row>
    <row r="18" spans="1:14" x14ac:dyDescent="0.25">
      <c r="A18" s="89" t="s">
        <v>25</v>
      </c>
      <c r="B18" s="256" t="s">
        <v>315</v>
      </c>
      <c r="C18" s="257"/>
      <c r="D18" s="257"/>
      <c r="E18" s="258">
        <v>44651</v>
      </c>
      <c r="F18" s="258">
        <f>EDATE(E18,12)</f>
        <v>45016</v>
      </c>
      <c r="G18" s="258">
        <f t="shared" ref="G18" si="1">EDATE(F18,12)</f>
        <v>45382</v>
      </c>
      <c r="H18" s="258">
        <f t="shared" ref="H18" si="2">EDATE(G18,12)</f>
        <v>45747</v>
      </c>
      <c r="I18" s="259">
        <f t="shared" ref="I18" si="3">EDATE(H18,12)</f>
        <v>46112</v>
      </c>
      <c r="J18" s="259">
        <f t="shared" ref="J18" si="4">EDATE(I18,12)</f>
        <v>46477</v>
      </c>
      <c r="K18" s="259">
        <f t="shared" ref="K18" si="5">EDATE(J18,12)</f>
        <v>46843</v>
      </c>
      <c r="L18" s="259">
        <f t="shared" ref="L18" si="6">EDATE(K18,12)</f>
        <v>47208</v>
      </c>
      <c r="M18" s="260">
        <f t="shared" ref="M18" si="7">EDATE(L18,12)</f>
        <v>47573</v>
      </c>
      <c r="N18" s="75"/>
    </row>
    <row r="19" spans="1:14" x14ac:dyDescent="0.25">
      <c r="B19" s="90" t="s">
        <v>316</v>
      </c>
      <c r="E19" s="74">
        <f>Financials!F72/Financials!F95</f>
        <v>1.9993750557985894</v>
      </c>
      <c r="F19" s="74">
        <f>Financials!G72/Financials!G95</f>
        <v>1.8088347879344664</v>
      </c>
      <c r="G19" s="74">
        <f>Financials!H72/Financials!H95</f>
        <v>2.3053049440635149</v>
      </c>
      <c r="H19" s="74">
        <f>Financials!I72/Financials!I95</f>
        <v>2.2660210035005832</v>
      </c>
      <c r="I19" s="74">
        <f ca="1">Financials!J72/Financials!J95</f>
        <v>2.4708037581718161</v>
      </c>
      <c r="J19" s="74">
        <f ca="1">Financials!K72/Financials!K95</f>
        <v>2.347225084241594</v>
      </c>
      <c r="K19" s="74">
        <f ca="1">Financials!L72/Financials!L95</f>
        <v>2.4769219365849131</v>
      </c>
      <c r="L19" s="74">
        <f ca="1">Financials!M72/Financials!M95</f>
        <v>2.5810461365627888</v>
      </c>
      <c r="M19" s="74">
        <f ca="1">Financials!N72/Financials!N95</f>
        <v>2.5057457423822571</v>
      </c>
      <c r="N19" s="75"/>
    </row>
    <row r="20" spans="1:14" x14ac:dyDescent="0.25">
      <c r="B20" s="90" t="s">
        <v>317</v>
      </c>
      <c r="E20" s="74">
        <f>Financials!F72/Financials!F95</f>
        <v>1.9993750557985894</v>
      </c>
      <c r="F20" s="74">
        <f>Financials!G72/Financials!G95</f>
        <v>1.8088347879344664</v>
      </c>
      <c r="G20" s="74">
        <f>Financials!H72/Financials!H95</f>
        <v>2.3053049440635149</v>
      </c>
      <c r="H20" s="74">
        <f>Financials!I72/Financials!I95</f>
        <v>2.2660210035005832</v>
      </c>
      <c r="I20" s="74">
        <f ca="1">Financials!J72/Financials!J95</f>
        <v>2.4708037581718161</v>
      </c>
      <c r="J20" s="74">
        <f ca="1">Financials!K72/Financials!K95</f>
        <v>2.347225084241594</v>
      </c>
      <c r="K20" s="74">
        <f ca="1">Financials!L72/Financials!L95</f>
        <v>2.4769219365849131</v>
      </c>
      <c r="L20" s="74">
        <f ca="1">Financials!M72/Financials!M95</f>
        <v>2.5810461365627888</v>
      </c>
      <c r="M20" s="74">
        <f ca="1">Financials!N72/Financials!N95</f>
        <v>2.5057457423822571</v>
      </c>
      <c r="N20" s="75"/>
    </row>
    <row r="21" spans="1:14" x14ac:dyDescent="0.25">
      <c r="B21" s="90" t="s">
        <v>318</v>
      </c>
      <c r="E21" s="74">
        <f>(Financials!G67+Financials!G65)/Financials!F95</f>
        <v>0.56786596434842129</v>
      </c>
      <c r="F21" s="74">
        <f>(Financials!H67+Financials!H65)/Financials!G95</f>
        <v>0.70691063134793042</v>
      </c>
      <c r="G21" s="74">
        <f>(Financials!I67+Financials!I65)/Financials!H95</f>
        <v>0.95213177295458062</v>
      </c>
      <c r="H21" s="74">
        <f ca="1">(Financials!J67+Financials!J65)/Financials!I95</f>
        <v>1.1358464585176484</v>
      </c>
      <c r="I21" s="74">
        <f ca="1">(Financials!K67+Financials!K65)/Financials!J95</f>
        <v>1.0073666328558517</v>
      </c>
      <c r="J21" s="74">
        <f ca="1">(Financials!L67+Financials!L65)/Financials!K95</f>
        <v>1.1428149679977351</v>
      </c>
      <c r="K21" s="74">
        <f ca="1">(Financials!M67+Financials!M65)/Financials!L95</f>
        <v>1.2488149221341045</v>
      </c>
      <c r="L21" s="74">
        <f ca="1">(Financials!N67+Financials!N65)/Financials!M95</f>
        <v>1.1637613273473397</v>
      </c>
      <c r="M21" s="74">
        <f ca="1">(Financials!O67+Financials!O65)/Financials!N95</f>
        <v>0</v>
      </c>
      <c r="N21" s="75"/>
    </row>
    <row r="22" spans="1:14" x14ac:dyDescent="0.25">
      <c r="B22" s="90" t="s">
        <v>319</v>
      </c>
      <c r="E22" s="362" t="s">
        <v>463</v>
      </c>
      <c r="F22" s="362" t="s">
        <v>463</v>
      </c>
      <c r="G22" s="362" t="s">
        <v>463</v>
      </c>
      <c r="H22" s="362" t="s">
        <v>463</v>
      </c>
      <c r="I22" s="74">
        <f ca="1">Financials!J116/Financials!J95</f>
        <v>0.66149982895935999</v>
      </c>
      <c r="J22" s="74">
        <f ca="1">Financials!K116/Financials!K95</f>
        <v>0.63409622815381683</v>
      </c>
      <c r="K22" s="74">
        <f ca="1">Financials!L116/Financials!L95</f>
        <v>0.62421890218075793</v>
      </c>
      <c r="L22" s="74">
        <f ca="1">Financials!M116/Financials!M95</f>
        <v>0.62030861259113623</v>
      </c>
      <c r="M22" s="74">
        <f ca="1">Financials!N116/Financials!N95</f>
        <v>0.61995489020250028</v>
      </c>
      <c r="N22" s="75"/>
    </row>
    <row r="23" spans="1:14" x14ac:dyDescent="0.25">
      <c r="B23" s="90" t="s">
        <v>320</v>
      </c>
      <c r="E23" s="22">
        <f>Financials!F72-Financials!F95</f>
        <v>33582</v>
      </c>
      <c r="F23" s="22">
        <f>Financials!G72-Financials!G95</f>
        <v>31695</v>
      </c>
      <c r="G23" s="22">
        <f>Financials!H72-Financials!H95</f>
        <v>50638</v>
      </c>
      <c r="H23" s="22">
        <f>Financials!I72-Financials!I95</f>
        <v>54249</v>
      </c>
      <c r="I23" s="22">
        <f ca="1">Financials!J72-Financials!J95</f>
        <v>66182.06277827789</v>
      </c>
      <c r="J23" s="22">
        <f ca="1">Financials!K72-Financials!K95</f>
        <v>63847.216190757303</v>
      </c>
      <c r="K23" s="22">
        <f ca="1">Financials!L72-Financials!L95</f>
        <v>73937.889983516128</v>
      </c>
      <c r="L23" s="22">
        <f ca="1">Financials!M72-Financials!M95</f>
        <v>83859.849422843239</v>
      </c>
      <c r="M23" s="184">
        <f ca="1">Financials!N72-Financials!N95</f>
        <v>84868.144722297729</v>
      </c>
    </row>
    <row r="24" spans="1:14" x14ac:dyDescent="0.25">
      <c r="B24" s="190" t="s">
        <v>321</v>
      </c>
      <c r="C24" s="261"/>
      <c r="D24" s="108"/>
      <c r="E24" s="122">
        <f>E23/Financials!F17</f>
        <v>0.27096243222308286</v>
      </c>
      <c r="F24" s="122">
        <f>F23/Financials!G17</f>
        <v>0.21205207803677042</v>
      </c>
      <c r="G24" s="122">
        <f>G23/Financials!H17</f>
        <v>0.31972269401001385</v>
      </c>
      <c r="H24" s="122">
        <f>H23/Financials!I17</f>
        <v>0.32564379614622724</v>
      </c>
      <c r="I24" s="122">
        <f ca="1">I23/Financials!J17</f>
        <v>0.38139710865491644</v>
      </c>
      <c r="J24" s="122">
        <f ca="1">J23/Financials!K17</f>
        <v>0.34797384788333285</v>
      </c>
      <c r="K24" s="122">
        <f ca="1">K23/Financials!L17</f>
        <v>0.37919613453269019</v>
      </c>
      <c r="L24" s="122">
        <f ca="1">L23/Financials!M17</f>
        <v>0.40262933603605894</v>
      </c>
      <c r="M24" s="255">
        <f ca="1">M23/Financials!N17</f>
        <v>0.38010974757180577</v>
      </c>
    </row>
    <row r="25" spans="1:14" x14ac:dyDescent="0.25">
      <c r="J25" s="74"/>
      <c r="K25" s="74"/>
      <c r="L25" s="74"/>
      <c r="M25" s="74"/>
      <c r="N25" s="74"/>
    </row>
    <row r="26" spans="1:14" x14ac:dyDescent="0.25">
      <c r="A26" s="89" t="s">
        <v>25</v>
      </c>
      <c r="B26" s="256" t="s">
        <v>322</v>
      </c>
      <c r="C26" s="257"/>
      <c r="D26" s="257"/>
      <c r="E26" s="258">
        <v>44651</v>
      </c>
      <c r="F26" s="258">
        <f>EDATE(E26,12)</f>
        <v>45016</v>
      </c>
      <c r="G26" s="258">
        <f t="shared" ref="G26" si="8">EDATE(F26,12)</f>
        <v>45382</v>
      </c>
      <c r="H26" s="258">
        <f t="shared" ref="H26" si="9">EDATE(G26,12)</f>
        <v>45747</v>
      </c>
      <c r="I26" s="259">
        <f t="shared" ref="I26" si="10">EDATE(H26,12)</f>
        <v>46112</v>
      </c>
      <c r="J26" s="259">
        <f t="shared" ref="J26" si="11">EDATE(I26,12)</f>
        <v>46477</v>
      </c>
      <c r="K26" s="259">
        <f t="shared" ref="K26" si="12">EDATE(J26,12)</f>
        <v>46843</v>
      </c>
      <c r="L26" s="259">
        <f t="shared" ref="L26" si="13">EDATE(K26,12)</f>
        <v>47208</v>
      </c>
      <c r="M26" s="260">
        <f t="shared" ref="M26" si="14">EDATE(L26,12)</f>
        <v>47573</v>
      </c>
      <c r="N26" s="74"/>
    </row>
    <row r="27" spans="1:14" x14ac:dyDescent="0.25">
      <c r="B27" s="90" t="s">
        <v>325</v>
      </c>
      <c r="E27" s="74">
        <f>Financials!F17/Financials!F73</f>
        <v>1.0513296857106502</v>
      </c>
      <c r="F27" s="74">
        <f>Financials!G17/Financials!G73</f>
        <v>1.1879888090544923</v>
      </c>
      <c r="G27" s="74">
        <f>Financials!H17/Financials!H73</f>
        <v>1.149237377915161</v>
      </c>
      <c r="H27" s="74">
        <f>Financials!I17/Financials!I73</f>
        <v>1.1187820258826215</v>
      </c>
      <c r="I27" s="74">
        <f ca="1">Financials!J17/Financials!J73</f>
        <v>1.0666472866357286</v>
      </c>
      <c r="J27" s="74">
        <f ca="1">Financials!K17/Financials!K73</f>
        <v>1.1224261547895091</v>
      </c>
      <c r="K27" s="74">
        <f ca="1">Financials!L17/Financials!L73</f>
        <v>1.1004091679464947</v>
      </c>
      <c r="L27" s="74">
        <f ca="1">Financials!M17/Financials!M73</f>
        <v>1.0891044579003164</v>
      </c>
      <c r="M27" s="262">
        <f ca="1">Financials!N17/Financials!N73</f>
        <v>1.13540080597173</v>
      </c>
      <c r="N27" s="74"/>
    </row>
    <row r="28" spans="1:14" x14ac:dyDescent="0.25">
      <c r="B28" s="90" t="s">
        <v>323</v>
      </c>
      <c r="E28" s="74">
        <f>Financials!F17/Financials!F50</f>
        <v>9.4788527724665386</v>
      </c>
      <c r="F28" s="74">
        <f>Financials!G17/Financials!G50</f>
        <v>11.199460512513113</v>
      </c>
      <c r="G28" s="74">
        <f>Financials!H17/Financials!H50</f>
        <v>12.803637833468068</v>
      </c>
      <c r="H28" s="74">
        <f>Financials!I17/Financials!I50</f>
        <v>14.144167091186958</v>
      </c>
      <c r="I28" s="74">
        <f ca="1">Financials!J17/Financials!J50</f>
        <v>13.623243560088843</v>
      </c>
      <c r="J28" s="74">
        <f ca="1">Financials!K17/Financials!K50</f>
        <v>13.716631151258646</v>
      </c>
      <c r="K28" s="74">
        <f ca="1">Financials!L17/Financials!L50</f>
        <v>13.772596077754626</v>
      </c>
      <c r="L28" s="74">
        <f ca="1">Financials!M17/Financials!M50</f>
        <v>13.887284144502148</v>
      </c>
      <c r="M28" s="262">
        <f ca="1">Financials!N17/Financials!N50</f>
        <v>14.07689333884796</v>
      </c>
      <c r="N28" s="74"/>
    </row>
    <row r="29" spans="1:14" x14ac:dyDescent="0.25">
      <c r="B29" s="90" t="s">
        <v>324</v>
      </c>
      <c r="E29" s="74">
        <f>Financials!F17/Financials!F66</f>
        <v>5.4602167591858315</v>
      </c>
      <c r="F29" s="74">
        <f>Financials!G17/Financials!G66</f>
        <v>5.8790119572057895</v>
      </c>
      <c r="G29" s="74">
        <f>Financials!H17/Financials!H66</f>
        <v>5.2456198456595899</v>
      </c>
      <c r="H29" s="74">
        <f>Financials!I17/Financials!I66</f>
        <v>5.3466204506065855</v>
      </c>
      <c r="I29" s="74">
        <f ca="1">Financials!J17/Financials!J66</f>
        <v>5.3487981249675167</v>
      </c>
      <c r="J29" s="74">
        <f ca="1">Financials!K17/Financials!K66</f>
        <v>5.3487981249675158</v>
      </c>
      <c r="K29" s="74">
        <f ca="1">Financials!L17/Financials!L66</f>
        <v>5.3487981249675167</v>
      </c>
      <c r="L29" s="74">
        <f ca="1">Financials!M17/Financials!M66</f>
        <v>5.3487981249675167</v>
      </c>
      <c r="M29" s="262">
        <f ca="1">Financials!N17/Financials!N66</f>
        <v>5.3487981249675167</v>
      </c>
      <c r="N29" s="74"/>
    </row>
    <row r="30" spans="1:14" x14ac:dyDescent="0.25">
      <c r="B30" s="90" t="s">
        <v>326</v>
      </c>
      <c r="E30" s="74">
        <f>Financials!F17/Financials!F90</f>
        <v>29.979680696661827</v>
      </c>
      <c r="F30" s="74">
        <f>Financials!G17/Financials!G90</f>
        <v>38.672186287192758</v>
      </c>
      <c r="G30" s="74">
        <f>Financials!H17/Financials!H90</f>
        <v>40.035642062689583</v>
      </c>
      <c r="H30" s="74">
        <f>Financials!I17/Financials!I90</f>
        <v>40.007204610951007</v>
      </c>
      <c r="I30" s="74">
        <f ca="1">Financials!J17/Financials!J90</f>
        <v>39.201896676839546</v>
      </c>
      <c r="J30" s="74">
        <f ca="1">Financials!K17/Financials!K90</f>
        <v>38.880688170287186</v>
      </c>
      <c r="K30" s="74">
        <f ca="1">Financials!L17/Financials!L90</f>
        <v>38.645199831560831</v>
      </c>
      <c r="L30" s="74">
        <f ca="1">Financials!M17/Financials!M90</f>
        <v>38.501943050613043</v>
      </c>
      <c r="M30" s="262">
        <f ca="1">Financials!N17/Financials!N90</f>
        <v>38.391551313710224</v>
      </c>
      <c r="N30" s="74"/>
    </row>
    <row r="31" spans="1:14" x14ac:dyDescent="0.25">
      <c r="B31" s="90" t="s">
        <v>327</v>
      </c>
      <c r="C31" s="32"/>
      <c r="E31" s="42">
        <f>365/E29</f>
        <v>66.847163051897752</v>
      </c>
      <c r="F31" s="42">
        <f t="shared" ref="F31:M31" si="15">365/F29</f>
        <v>62.085262397302436</v>
      </c>
      <c r="G31" s="42">
        <f t="shared" si="15"/>
        <v>69.581862723432735</v>
      </c>
      <c r="H31" s="42">
        <f t="shared" si="15"/>
        <v>68.267423014586711</v>
      </c>
      <c r="I31" s="42">
        <f t="shared" ca="1" si="15"/>
        <v>68.239629066617027</v>
      </c>
      <c r="J31" s="42">
        <f t="shared" ca="1" si="15"/>
        <v>68.239629066617042</v>
      </c>
      <c r="K31" s="42">
        <f t="shared" ca="1" si="15"/>
        <v>68.239629066617027</v>
      </c>
      <c r="L31" s="42">
        <f t="shared" ca="1" si="15"/>
        <v>68.239629066617027</v>
      </c>
      <c r="M31" s="263">
        <f t="shared" ca="1" si="15"/>
        <v>68.239629066617027</v>
      </c>
    </row>
    <row r="32" spans="1:14" x14ac:dyDescent="0.25">
      <c r="B32" s="90" t="s">
        <v>328</v>
      </c>
      <c r="E32" s="42">
        <f>365/E30</f>
        <v>12.174912858249419</v>
      </c>
      <c r="F32" s="42">
        <f t="shared" ref="F32:M32" si="16">365/F30</f>
        <v>9.4383078652286763</v>
      </c>
      <c r="G32" s="42">
        <f t="shared" si="16"/>
        <v>9.1168763930016858</v>
      </c>
      <c r="H32" s="42">
        <f t="shared" si="16"/>
        <v>9.1233567441022867</v>
      </c>
      <c r="I32" s="42">
        <f t="shared" ca="1" si="16"/>
        <v>9.3107739915972427</v>
      </c>
      <c r="J32" s="42">
        <f t="shared" ca="1" si="16"/>
        <v>9.3876939215014925</v>
      </c>
      <c r="K32" s="42">
        <f t="shared" ca="1" si="16"/>
        <v>9.444898760800589</v>
      </c>
      <c r="L32" s="42">
        <f t="shared" ca="1" si="16"/>
        <v>9.4800410337781198</v>
      </c>
      <c r="M32" s="263">
        <f t="shared" ca="1" si="16"/>
        <v>9.5073001092730731</v>
      </c>
      <c r="N32" s="66"/>
    </row>
    <row r="33" spans="1:14" x14ac:dyDescent="0.25">
      <c r="B33" s="90" t="s">
        <v>329</v>
      </c>
      <c r="E33" s="74">
        <f>E31-E32</f>
        <v>54.672250193648331</v>
      </c>
      <c r="F33" s="74">
        <f t="shared" ref="F33:M33" si="17">F31-F32</f>
        <v>52.646954532073764</v>
      </c>
      <c r="G33" s="74">
        <f t="shared" si="17"/>
        <v>60.464986330431046</v>
      </c>
      <c r="H33" s="74">
        <f t="shared" si="17"/>
        <v>59.144066270484423</v>
      </c>
      <c r="I33" s="74">
        <f t="shared" ca="1" si="17"/>
        <v>58.928855075019783</v>
      </c>
      <c r="J33" s="74">
        <f t="shared" ca="1" si="17"/>
        <v>58.851935145115547</v>
      </c>
      <c r="K33" s="74">
        <f t="shared" ca="1" si="17"/>
        <v>58.794730305816437</v>
      </c>
      <c r="L33" s="74">
        <f t="shared" ca="1" si="17"/>
        <v>58.759588032838906</v>
      </c>
      <c r="M33" s="262">
        <f t="shared" ca="1" si="17"/>
        <v>58.732328957343952</v>
      </c>
      <c r="N33" s="66"/>
    </row>
    <row r="34" spans="1:14" x14ac:dyDescent="0.25">
      <c r="B34" s="190" t="s">
        <v>330</v>
      </c>
      <c r="C34" s="108"/>
      <c r="D34" s="108"/>
      <c r="E34" s="264">
        <f>Financials!F17/(Financials!F72-Financials!F95)</f>
        <v>3.6905485081293552</v>
      </c>
      <c r="F34" s="264">
        <f>Financials!G17/(Financials!G72-Financials!G95)</f>
        <v>4.7158226849660831</v>
      </c>
      <c r="G34" s="264">
        <f>Financials!H17/(Financials!H72-Financials!H95)</f>
        <v>3.127710415103282</v>
      </c>
      <c r="H34" s="264">
        <f>Financials!I17/(Financials!I72-Financials!I95)</f>
        <v>3.0708400154841562</v>
      </c>
      <c r="I34" s="264">
        <f ca="1">Financials!J17/(Financials!J72-Financials!J95)</f>
        <v>2.6219391214755854</v>
      </c>
      <c r="J34" s="264">
        <f ca="1">Financials!K17/(Financials!K72-Financials!K95)</f>
        <v>2.8737791822081857</v>
      </c>
      <c r="K34" s="264">
        <f ca="1">Financials!L17/(Financials!L72-Financials!L95)</f>
        <v>2.637157684195198</v>
      </c>
      <c r="L34" s="264">
        <f ca="1">Financials!M17/(Financials!M72-Financials!M95)</f>
        <v>2.4836739663461613</v>
      </c>
      <c r="M34" s="265">
        <f ca="1">Financials!N17/(Financials!N72-Financials!N95)</f>
        <v>2.6308191420718354</v>
      </c>
    </row>
    <row r="35" spans="1:14" x14ac:dyDescent="0.25">
      <c r="C35" s="32"/>
    </row>
    <row r="36" spans="1:14" x14ac:dyDescent="0.25">
      <c r="A36" s="89" t="s">
        <v>25</v>
      </c>
      <c r="B36" s="256" t="s">
        <v>331</v>
      </c>
      <c r="C36" s="257"/>
      <c r="D36" s="257"/>
      <c r="E36" s="258">
        <v>44651</v>
      </c>
      <c r="F36" s="258">
        <f>EDATE(E36,12)</f>
        <v>45016</v>
      </c>
      <c r="G36" s="258">
        <f t="shared" ref="G36" si="18">EDATE(F36,12)</f>
        <v>45382</v>
      </c>
      <c r="H36" s="258">
        <f t="shared" ref="H36" si="19">EDATE(G36,12)</f>
        <v>45747</v>
      </c>
      <c r="I36" s="259">
        <f t="shared" ref="I36" si="20">EDATE(H36,12)</f>
        <v>46112</v>
      </c>
      <c r="J36" s="259">
        <f t="shared" ref="J36" si="21">EDATE(I36,12)</f>
        <v>46477</v>
      </c>
      <c r="K36" s="259">
        <f t="shared" ref="K36" si="22">EDATE(J36,12)</f>
        <v>46843</v>
      </c>
      <c r="L36" s="259">
        <f t="shared" ref="L36" si="23">EDATE(K36,12)</f>
        <v>47208</v>
      </c>
      <c r="M36" s="260">
        <f t="shared" ref="M36" si="24">EDATE(L36,12)</f>
        <v>47573</v>
      </c>
      <c r="N36" s="74"/>
    </row>
    <row r="37" spans="1:14" x14ac:dyDescent="0.25">
      <c r="B37" s="90" t="s">
        <v>257</v>
      </c>
      <c r="E37" s="74">
        <f>(Financials!F82+Financials!F89)/Financials!F79</f>
        <v>7.227738459913384E-2</v>
      </c>
      <c r="F37" s="74">
        <f>(Financials!G82+Financials!G89)/Financials!G79</f>
        <v>0.10949271060096312</v>
      </c>
      <c r="G37" s="74">
        <f>(Financials!H82+Financials!H89)/Financials!H79</f>
        <v>9.449361865680922E-2</v>
      </c>
      <c r="H37" s="74">
        <f>(Financials!I82+Financials!I89)/Financials!I79</f>
        <v>8.5517083666829516E-2</v>
      </c>
      <c r="I37" s="74">
        <f ca="1">(Financials!J82+Financials!J89)/Financials!J79</f>
        <v>7.6734620397920783E-2</v>
      </c>
      <c r="J37" s="74">
        <f ca="1">(Financials!K82+Financials!K89)/Financials!K79</f>
        <v>7.7851049039351611E-2</v>
      </c>
      <c r="K37" s="74">
        <f ca="1">(Financials!L82+Financials!L89)/Financials!L79</f>
        <v>7.05539376024341E-2</v>
      </c>
      <c r="L37" s="74">
        <f ca="1">(Financials!M82+Financials!M89)/Financials!M79</f>
        <v>6.4555487139868792E-2</v>
      </c>
      <c r="M37" s="262">
        <f ca="1">(Financials!N82+Financials!N89)/Financials!N79</f>
        <v>6.3674374721565397E-2</v>
      </c>
      <c r="N37" s="74"/>
    </row>
    <row r="38" spans="1:14" x14ac:dyDescent="0.25">
      <c r="B38" s="90" t="s">
        <v>332</v>
      </c>
      <c r="E38" s="74">
        <f>(Financials!F82+Financials!F89)/Financials!F73</f>
        <v>4.6435085040505579E-2</v>
      </c>
      <c r="F38" s="74">
        <f>(Financials!G82+Financials!G89)/Financials!G73</f>
        <v>6.5961403954981873E-2</v>
      </c>
      <c r="G38" s="74">
        <f>(Financials!H82+Financials!H89)/Financials!H73</f>
        <v>6.0654215101513635E-2</v>
      </c>
      <c r="H38" s="74">
        <f>(Financials!I82+Financials!I89)/Financials!I73</f>
        <v>5.5250733699119564E-2</v>
      </c>
      <c r="I38" s="74">
        <f ca="1">(Financials!J82+Financials!J89)/Financials!J73</f>
        <v>5.0570753819007913E-2</v>
      </c>
      <c r="J38" s="74">
        <f ca="1">(Financials!K82+Financials!K89)/Financials!K73</f>
        <v>5.0327332799950962E-2</v>
      </c>
      <c r="K38" s="74">
        <f ca="1">(Financials!L82+Financials!L89)/Financials!L73</f>
        <v>4.6429343856559099E-2</v>
      </c>
      <c r="L38" s="74">
        <f ca="1">(Financials!M82+Financials!M89)/Financials!M73</f>
        <v>4.3019203942953547E-2</v>
      </c>
      <c r="M38" s="262">
        <f ca="1">(Financials!N82+Financials!N89)/Financials!N73</f>
        <v>4.183646621527326E-2</v>
      </c>
      <c r="N38" s="74"/>
    </row>
    <row r="39" spans="1:14" x14ac:dyDescent="0.25">
      <c r="B39" s="90" t="s">
        <v>333</v>
      </c>
      <c r="E39" s="74">
        <f>Financials!F73/Financials!F79</f>
        <v>1.5565252984049858</v>
      </c>
      <c r="F39" s="74">
        <f>Financials!G73/Financials!G79</f>
        <v>1.6599511841150472</v>
      </c>
      <c r="G39" s="74">
        <f>Financials!H73/Financials!H79</f>
        <v>1.557906874215756</v>
      </c>
      <c r="H39" s="74">
        <f>Financials!I73/Financials!I79</f>
        <v>1.5477999646580669</v>
      </c>
      <c r="I39" s="74">
        <f ca="1">Financials!J73/Financials!J79</f>
        <v>1.5173714964295968</v>
      </c>
      <c r="J39" s="74">
        <f ca="1">Financials!K73/Financials!K79</f>
        <v>1.5468939979157306</v>
      </c>
      <c r="K39" s="74">
        <f ca="1">Financials!L73/Financials!L79</f>
        <v>1.5195979900212806</v>
      </c>
      <c r="L39" s="74">
        <f ca="1">Financials!M73/Financials!M79</f>
        <v>1.5006202166240419</v>
      </c>
      <c r="M39" s="262">
        <f ca="1">Financials!N73/Financials!N79</f>
        <v>1.5219826262075584</v>
      </c>
    </row>
    <row r="40" spans="1:14" x14ac:dyDescent="0.25">
      <c r="B40" s="190" t="s">
        <v>334</v>
      </c>
      <c r="C40" s="261"/>
      <c r="D40" s="108"/>
      <c r="E40" s="264">
        <f>Financials!F30/Financials!F26</f>
        <v>150.55000000000001</v>
      </c>
      <c r="F40" s="264">
        <f>Financials!G30/Financials!G26</f>
        <v>117.33098591549296</v>
      </c>
      <c r="G40" s="264">
        <f>Financials!H30/Financials!H26</f>
        <v>76.57021276595745</v>
      </c>
      <c r="H40" s="264">
        <f>Financials!I30/Financials!I26</f>
        <v>90.40384615384616</v>
      </c>
      <c r="I40" s="366" t="s">
        <v>463</v>
      </c>
      <c r="J40" s="366" t="s">
        <v>463</v>
      </c>
      <c r="K40" s="366" t="s">
        <v>463</v>
      </c>
      <c r="L40" s="366" t="s">
        <v>463</v>
      </c>
      <c r="M40" s="367" t="s">
        <v>463</v>
      </c>
    </row>
    <row r="42" spans="1:14" x14ac:dyDescent="0.25">
      <c r="A42" s="89" t="s">
        <v>25</v>
      </c>
      <c r="B42" s="256" t="s">
        <v>335</v>
      </c>
      <c r="C42" s="257"/>
      <c r="D42" s="257"/>
      <c r="E42" s="258">
        <v>44651</v>
      </c>
      <c r="F42" s="258">
        <f>EDATE(E42,12)</f>
        <v>45016</v>
      </c>
      <c r="G42" s="258">
        <f t="shared" ref="G42" si="25">EDATE(F42,12)</f>
        <v>45382</v>
      </c>
      <c r="H42" s="258">
        <f t="shared" ref="H42" si="26">EDATE(G42,12)</f>
        <v>45747</v>
      </c>
      <c r="I42" s="259">
        <f t="shared" ref="I42" si="27">EDATE(H42,12)</f>
        <v>46112</v>
      </c>
      <c r="J42" s="259">
        <f t="shared" ref="J42" si="28">EDATE(I42,12)</f>
        <v>46477</v>
      </c>
      <c r="K42" s="259">
        <f t="shared" ref="K42" si="29">EDATE(J42,12)</f>
        <v>46843</v>
      </c>
      <c r="L42" s="259">
        <f t="shared" ref="L42" si="30">EDATE(K42,12)</f>
        <v>47208</v>
      </c>
      <c r="M42" s="260">
        <f t="shared" ref="M42" si="31">EDATE(L42,12)</f>
        <v>47573</v>
      </c>
    </row>
    <row r="43" spans="1:14" x14ac:dyDescent="0.25">
      <c r="B43" s="90" t="s">
        <v>312</v>
      </c>
      <c r="E43" s="36">
        <f>E12</f>
        <v>0.17868900077459335</v>
      </c>
      <c r="F43" s="36">
        <f t="shared" ref="F43:M43" si="32">F12</f>
        <v>0.16129204913426284</v>
      </c>
      <c r="G43" s="36">
        <f t="shared" si="32"/>
        <v>0.16572694957097125</v>
      </c>
      <c r="H43" s="36">
        <f t="shared" si="32"/>
        <v>0.16057386397742962</v>
      </c>
      <c r="I43" s="36">
        <f t="shared" ca="1" si="32"/>
        <v>0.16355880033871464</v>
      </c>
      <c r="J43" s="36">
        <f t="shared" ca="1" si="32"/>
        <v>0.15832858708307451</v>
      </c>
      <c r="K43" s="36">
        <f t="shared" ca="1" si="32"/>
        <v>0.15456704208169583</v>
      </c>
      <c r="L43" s="36">
        <f t="shared" ca="1" si="32"/>
        <v>0.15173314866364054</v>
      </c>
      <c r="M43" s="266">
        <f t="shared" ca="1" si="32"/>
        <v>0.14937709560649592</v>
      </c>
    </row>
    <row r="44" spans="1:14" x14ac:dyDescent="0.25">
      <c r="B44" s="90" t="s">
        <v>336</v>
      </c>
      <c r="C44" s="16"/>
      <c r="E44" s="74">
        <f>E27</f>
        <v>1.0513296857106502</v>
      </c>
      <c r="F44" s="74">
        <f t="shared" ref="F44:M44" si="33">F27</f>
        <v>1.1879888090544923</v>
      </c>
      <c r="G44" s="74">
        <f t="shared" si="33"/>
        <v>1.149237377915161</v>
      </c>
      <c r="H44" s="74">
        <f t="shared" si="33"/>
        <v>1.1187820258826215</v>
      </c>
      <c r="I44" s="74">
        <f t="shared" ca="1" si="33"/>
        <v>1.0666472866357286</v>
      </c>
      <c r="J44" s="74">
        <f t="shared" ca="1" si="33"/>
        <v>1.1224261547895091</v>
      </c>
      <c r="K44" s="74">
        <f t="shared" ca="1" si="33"/>
        <v>1.1004091679464947</v>
      </c>
      <c r="L44" s="74">
        <f t="shared" ca="1" si="33"/>
        <v>1.0891044579003164</v>
      </c>
      <c r="M44" s="262">
        <f t="shared" ca="1" si="33"/>
        <v>1.13540080597173</v>
      </c>
    </row>
    <row r="45" spans="1:14" x14ac:dyDescent="0.25">
      <c r="B45" s="90" t="s">
        <v>337</v>
      </c>
      <c r="E45" s="74">
        <f>E39</f>
        <v>1.5565252984049858</v>
      </c>
      <c r="F45" s="74">
        <f t="shared" ref="F45:M45" si="34">F39</f>
        <v>1.6599511841150472</v>
      </c>
      <c r="G45" s="74">
        <f t="shared" si="34"/>
        <v>1.557906874215756</v>
      </c>
      <c r="H45" s="74">
        <f t="shared" si="34"/>
        <v>1.5477999646580669</v>
      </c>
      <c r="I45" s="74">
        <f t="shared" ca="1" si="34"/>
        <v>1.5173714964295968</v>
      </c>
      <c r="J45" s="74">
        <f t="shared" ca="1" si="34"/>
        <v>1.5468939979157306</v>
      </c>
      <c r="K45" s="74">
        <f t="shared" ca="1" si="34"/>
        <v>1.5195979900212806</v>
      </c>
      <c r="L45" s="74">
        <f t="shared" ca="1" si="34"/>
        <v>1.5006202166240419</v>
      </c>
      <c r="M45" s="262">
        <f t="shared" ca="1" si="34"/>
        <v>1.5219826262075584</v>
      </c>
    </row>
    <row r="46" spans="1:14" x14ac:dyDescent="0.25">
      <c r="B46" s="132" t="s">
        <v>338</v>
      </c>
      <c r="C46" s="104"/>
      <c r="D46" s="104"/>
      <c r="E46" s="252">
        <f>E43*E44*E45</f>
        <v>0.29241047850427804</v>
      </c>
      <c r="F46" s="252">
        <f t="shared" ref="F46:M46" si="35">F43*F44*F45</f>
        <v>0.31806847417375816</v>
      </c>
      <c r="G46" s="252">
        <f t="shared" si="35"/>
        <v>0.29671832785069124</v>
      </c>
      <c r="H46" s="252">
        <f t="shared" si="35"/>
        <v>0.2780578568235918</v>
      </c>
      <c r="I46" s="252">
        <f t="shared" ca="1" si="35"/>
        <v>0.26471994934015297</v>
      </c>
      <c r="J46" s="252">
        <f t="shared" ca="1" si="35"/>
        <v>0.27490185384943128</v>
      </c>
      <c r="K46" s="252">
        <f t="shared" ca="1" si="35"/>
        <v>0.25846384838968772</v>
      </c>
      <c r="L46" s="252">
        <f t="shared" ca="1" si="35"/>
        <v>0.24798236574320509</v>
      </c>
      <c r="M46" s="267">
        <f t="shared" ca="1" si="35"/>
        <v>0.25813262871725146</v>
      </c>
    </row>
  </sheetData>
  <hyperlinks>
    <hyperlink ref="B6" location="Dashboard!A1" display="&lt;-Back to dashboard" xr:uid="{FE2960E9-D482-4CEC-A8E9-322A3F6BA0C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1850-4981-4C94-A321-B54B3448AEE9}">
  <dimension ref="A2:N48"/>
  <sheetViews>
    <sheetView showGridLines="0" zoomScale="85" zoomScaleNormal="85" workbookViewId="0">
      <selection activeCell="P11" sqref="P11"/>
    </sheetView>
  </sheetViews>
  <sheetFormatPr defaultRowHeight="14.4" x14ac:dyDescent="0.3"/>
  <cols>
    <col min="1" max="1" width="2.88671875" customWidth="1"/>
    <col min="2" max="2" width="13.33203125" customWidth="1"/>
    <col min="3" max="13" width="10.77734375" customWidth="1"/>
  </cols>
  <sheetData>
    <row r="2" spans="1:14" x14ac:dyDescent="0.3">
      <c r="B2" s="107" t="str">
        <f>Dashboard!C2</f>
        <v>Infosys Ltd.</v>
      </c>
      <c r="C2" s="7"/>
      <c r="D2" s="7"/>
      <c r="E2" s="7"/>
      <c r="F2" s="7"/>
      <c r="G2" s="7"/>
      <c r="H2" s="7"/>
      <c r="I2" s="7"/>
      <c r="J2" s="7"/>
      <c r="K2" s="7"/>
      <c r="L2" s="7"/>
      <c r="M2" s="7"/>
      <c r="N2" s="7"/>
    </row>
    <row r="3" spans="1:14" x14ac:dyDescent="0.3">
      <c r="B3" s="8" t="s">
        <v>269</v>
      </c>
      <c r="C3" s="7"/>
      <c r="D3" s="7"/>
      <c r="E3" s="7"/>
      <c r="F3" s="7"/>
      <c r="G3" s="7"/>
      <c r="H3" s="7"/>
      <c r="I3" s="7"/>
      <c r="J3" s="7"/>
      <c r="K3" s="7"/>
      <c r="L3" s="7"/>
      <c r="M3" s="7"/>
      <c r="N3" s="7"/>
    </row>
    <row r="4" spans="1:14" x14ac:dyDescent="0.3">
      <c r="B4" s="95" t="str">
        <f>Dashboard!C4</f>
        <v>(In ₹ Crore, except equity share and per equity share data)</v>
      </c>
      <c r="C4" s="7"/>
      <c r="D4" s="7"/>
      <c r="E4" s="7"/>
      <c r="F4" s="7"/>
      <c r="G4" s="7"/>
      <c r="H4" s="7"/>
      <c r="I4" s="7"/>
      <c r="J4" s="7"/>
      <c r="K4" s="7"/>
      <c r="L4" s="7"/>
      <c r="M4" s="7"/>
      <c r="N4" s="7"/>
    </row>
    <row r="6" spans="1:14" x14ac:dyDescent="0.3">
      <c r="A6" s="89" t="s">
        <v>25</v>
      </c>
      <c r="B6" s="256" t="s">
        <v>339</v>
      </c>
      <c r="C6" s="257"/>
      <c r="D6" s="257"/>
      <c r="E6" s="258">
        <v>44651</v>
      </c>
      <c r="F6" s="258">
        <f>EDATE(E6,12)</f>
        <v>45016</v>
      </c>
      <c r="G6" s="258">
        <f t="shared" ref="G6:M6" si="0">EDATE(F6,12)</f>
        <v>45382</v>
      </c>
      <c r="H6" s="258">
        <f t="shared" si="0"/>
        <v>45747</v>
      </c>
      <c r="I6" s="259">
        <f t="shared" si="0"/>
        <v>46112</v>
      </c>
      <c r="J6" s="259">
        <f t="shared" si="0"/>
        <v>46477</v>
      </c>
      <c r="K6" s="259">
        <f t="shared" si="0"/>
        <v>46843</v>
      </c>
      <c r="L6" s="259">
        <f t="shared" si="0"/>
        <v>47208</v>
      </c>
      <c r="M6" s="260">
        <f t="shared" si="0"/>
        <v>47573</v>
      </c>
    </row>
    <row r="7" spans="1:14" x14ac:dyDescent="0.3">
      <c r="B7" s="286" t="s">
        <v>26</v>
      </c>
      <c r="E7" s="288">
        <f>Financials!F15/Financials!F$17</f>
        <v>0.98148237800154914</v>
      </c>
      <c r="F7" s="288">
        <f>Financials!G15/Financials!G$17</f>
        <v>0.98192924237963974</v>
      </c>
      <c r="G7" s="288">
        <f>Financials!H15/Financials!H$17</f>
        <v>0.97025527051855964</v>
      </c>
      <c r="H7" s="288">
        <f>Financials!I15/Financials!I$17</f>
        <v>0.97839005942733659</v>
      </c>
      <c r="I7" s="288">
        <f ca="1">Financials!J15/Financials!J$17</f>
        <v>0.97799172415694025</v>
      </c>
      <c r="J7" s="288">
        <f ca="1">Financials!K15/Financials!K$17</f>
        <v>0.97799172415694036</v>
      </c>
      <c r="K7" s="288">
        <f ca="1">Financials!L15/Financials!L$17</f>
        <v>0.97799172415694025</v>
      </c>
      <c r="L7" s="288">
        <f ca="1">Financials!M15/Financials!M$17</f>
        <v>0.97799172415694036</v>
      </c>
      <c r="M7" s="289">
        <f ca="1">Financials!N15/Financials!N$17</f>
        <v>0.97799172415694036</v>
      </c>
    </row>
    <row r="8" spans="1:14" x14ac:dyDescent="0.3">
      <c r="B8" s="286" t="s">
        <v>27</v>
      </c>
      <c r="E8" s="288">
        <f>Financials!F16/Financials!F$17</f>
        <v>1.8517621998450813E-2</v>
      </c>
      <c r="F8" s="288">
        <f>Financials!G16/Financials!G$17</f>
        <v>1.8070757620360211E-2</v>
      </c>
      <c r="G8" s="288">
        <f>Financials!H16/Financials!H$17</f>
        <v>2.9744729481440323E-2</v>
      </c>
      <c r="H8" s="288">
        <f>Financials!I16/Financials!I$17</f>
        <v>2.1609940572663425E-2</v>
      </c>
      <c r="I8" s="288">
        <f ca="1">Financials!J16/Financials!J$17</f>
        <v>2.2008275843059671E-2</v>
      </c>
      <c r="J8" s="288">
        <f ca="1">Financials!K16/Financials!K$17</f>
        <v>2.2008275843059675E-2</v>
      </c>
      <c r="K8" s="288">
        <f ca="1">Financials!L16/Financials!L$17</f>
        <v>2.2008275843059671E-2</v>
      </c>
      <c r="L8" s="288">
        <f ca="1">Financials!M16/Financials!M$17</f>
        <v>2.2008275843059671E-2</v>
      </c>
      <c r="M8" s="289">
        <f ca="1">Financials!N16/Financials!N$17</f>
        <v>2.2008275843059675E-2</v>
      </c>
    </row>
    <row r="9" spans="1:14" s="248" customFormat="1" x14ac:dyDescent="0.3">
      <c r="B9" s="290" t="s">
        <v>28</v>
      </c>
      <c r="E9" s="292">
        <f>Financials!F17/Financials!F$17</f>
        <v>1</v>
      </c>
      <c r="F9" s="292">
        <f>Financials!G17/Financials!G$17</f>
        <v>1</v>
      </c>
      <c r="G9" s="292">
        <f>Financials!H17/Financials!H$17</f>
        <v>1</v>
      </c>
      <c r="H9" s="292">
        <f>Financials!I17/Financials!I$17</f>
        <v>1</v>
      </c>
      <c r="I9" s="292">
        <f ca="1">Financials!J17/Financials!J$17</f>
        <v>1</v>
      </c>
      <c r="J9" s="292">
        <f ca="1">Financials!K17/Financials!K$17</f>
        <v>1</v>
      </c>
      <c r="K9" s="292">
        <f ca="1">Financials!L17/Financials!L$17</f>
        <v>1</v>
      </c>
      <c r="L9" s="292">
        <f ca="1">Financials!M17/Financials!M$17</f>
        <v>1</v>
      </c>
      <c r="M9" s="293">
        <f ca="1">Financials!N17/Financials!N$17</f>
        <v>1</v>
      </c>
    </row>
    <row r="10" spans="1:14" x14ac:dyDescent="0.3">
      <c r="B10" s="286"/>
      <c r="E10" s="288"/>
      <c r="F10" s="288"/>
      <c r="G10" s="288"/>
      <c r="H10" s="288"/>
      <c r="I10" s="288"/>
      <c r="J10" s="288"/>
      <c r="K10" s="288"/>
      <c r="L10" s="288"/>
      <c r="M10" s="289"/>
    </row>
    <row r="11" spans="1:14" x14ac:dyDescent="0.3">
      <c r="B11" s="286" t="s">
        <v>29</v>
      </c>
      <c r="E11" s="288">
        <f>Financials!F19/Financials!F$17</f>
        <v>0.51628259746966176</v>
      </c>
      <c r="F11" s="288">
        <f>Financials!G19/Financials!G$17</f>
        <v>0.52425268284850268</v>
      </c>
      <c r="G11" s="288">
        <f>Financials!H19/Financials!H$17</f>
        <v>0.5216534811625132</v>
      </c>
      <c r="H11" s="288">
        <f>Financials!I19/Financials!I$17</f>
        <v>0.51593733117233931</v>
      </c>
      <c r="I11" s="288">
        <f ca="1">Financials!J19/Financials!J$17</f>
        <v>0.51612001012810182</v>
      </c>
      <c r="J11" s="288">
        <f ca="1">Financials!K19/Financials!K$17</f>
        <v>0.50934341135898642</v>
      </c>
      <c r="K11" s="288">
        <f ca="1">Financials!L19/Financials!L$17</f>
        <v>0.50086327941900721</v>
      </c>
      <c r="L11" s="288">
        <f ca="1">Financials!M19/Financials!M$17</f>
        <v>0.49069644673936064</v>
      </c>
      <c r="M11" s="289">
        <f ca="1">Financials!N19/Financials!N$17</f>
        <v>0.47971926289199585</v>
      </c>
    </row>
    <row r="12" spans="1:14" x14ac:dyDescent="0.3">
      <c r="B12" s="286" t="s">
        <v>30</v>
      </c>
      <c r="E12" s="288">
        <f>Financials!F20/Financials!F$17</f>
        <v>0.10171378776142526</v>
      </c>
      <c r="F12" s="288">
        <f>Financials!G20/Financials!G$17</f>
        <v>9.4080338266384775E-2</v>
      </c>
      <c r="G12" s="288">
        <f>Financials!H20/Financials!H$17</f>
        <v>7.7231486099974114E-2</v>
      </c>
      <c r="H12" s="288">
        <f>Financials!I20/Financials!I$17</f>
        <v>7.7657722552374089E-2</v>
      </c>
      <c r="I12" s="288">
        <f ca="1">Financials!J20/Financials!J$17</f>
        <v>7.9027190129610334E-2</v>
      </c>
      <c r="J12" s="288">
        <f ca="1">Financials!K20/Financials!K$17</f>
        <v>7.9446971606759495E-2</v>
      </c>
      <c r="K12" s="288">
        <f ca="1">Financials!L20/Financials!L$17</f>
        <v>7.9694208469298936E-2</v>
      </c>
      <c r="L12" s="288">
        <f ca="1">Financials!M20/Financials!M$17</f>
        <v>7.9755190090507105E-2</v>
      </c>
      <c r="M12" s="289">
        <f ca="1">Financials!N20/Financials!N$17</f>
        <v>7.9756612833080553E-2</v>
      </c>
    </row>
    <row r="13" spans="1:14" x14ac:dyDescent="0.3">
      <c r="B13" s="286" t="s">
        <v>31</v>
      </c>
      <c r="E13" s="288">
        <f>Financials!F21/Financials!F$17</f>
        <v>6.6727988639297704E-3</v>
      </c>
      <c r="F13" s="288">
        <f>Financials!G21/Financials!G$17</f>
        <v>1.0202852784542511E-2</v>
      </c>
      <c r="G13" s="288">
        <f>Financials!H21/Financials!H$17</f>
        <v>1.1106130154500855E-2</v>
      </c>
      <c r="H13" s="288">
        <f>Financials!I21/Financials!I$17</f>
        <v>1.1369229845729035E-2</v>
      </c>
      <c r="I13" s="288">
        <f ca="1">Financials!J21/Financials!J$17</f>
        <v>1.178801900311674E-2</v>
      </c>
      <c r="J13" s="288">
        <f ca="1">Financials!K21/Financials!K$17</f>
        <v>1.2095897768938445E-2</v>
      </c>
      <c r="K13" s="288">
        <f ca="1">Financials!L21/Financials!L$17</f>
        <v>1.2406715263011082E-2</v>
      </c>
      <c r="L13" s="288">
        <f ca="1">Financials!M21/Financials!M$17</f>
        <v>1.2718193320191976E-2</v>
      </c>
      <c r="M13" s="289">
        <f ca="1">Financials!N21/Financials!N$17</f>
        <v>1.3050617740901769E-2</v>
      </c>
    </row>
    <row r="14" spans="1:14" x14ac:dyDescent="0.3">
      <c r="B14" s="286" t="s">
        <v>48</v>
      </c>
      <c r="E14" s="288">
        <f>Financials!F22/Financials!F$17</f>
        <v>5.4955783630260782E-2</v>
      </c>
      <c r="F14" s="288">
        <f>Financials!G22/Financials!G$17</f>
        <v>7.2938689217758979E-2</v>
      </c>
      <c r="G14" s="288">
        <f>Financials!H22/Financials!H$17</f>
        <v>8.5332205251892584E-2</v>
      </c>
      <c r="H14" s="288">
        <f>Financials!I22/Financials!I$17</f>
        <v>9.5509934569902158E-2</v>
      </c>
      <c r="I14" s="288">
        <f ca="1">Financials!J22/Financials!J$17</f>
        <v>0.10819733907423867</v>
      </c>
      <c r="J14" s="288">
        <f ca="1">Financials!K22/Financials!K$17</f>
        <v>0.12043718197001133</v>
      </c>
      <c r="K14" s="288">
        <f ca="1">Financials!L22/Financials!L$17</f>
        <v>0.13305184209301105</v>
      </c>
      <c r="L14" s="288">
        <f ca="1">Financials!M22/Financials!M$17</f>
        <v>0.14585867851334844</v>
      </c>
      <c r="M14" s="289">
        <f ca="1">Financials!N22/Financials!N$17</f>
        <v>0.15892348468852019</v>
      </c>
    </row>
    <row r="15" spans="1:14" x14ac:dyDescent="0.3">
      <c r="B15" s="286" t="s">
        <v>32</v>
      </c>
      <c r="E15" s="288">
        <f>Financials!F23/Financials!F$17</f>
        <v>4.9299638523108702E-3</v>
      </c>
      <c r="F15" s="288">
        <f>Financials!G23/Financials!G$17</f>
        <v>4.7702518264779083E-3</v>
      </c>
      <c r="G15" s="288">
        <f>Financials!H23/Financials!H$17</f>
        <v>4.274502623420739E-3</v>
      </c>
      <c r="H15" s="288">
        <f>Financials!I23/Financials!I$17</f>
        <v>3.7217119875142565E-3</v>
      </c>
      <c r="I15" s="288">
        <f ca="1">Financials!J23/Financials!J$17</f>
        <v>3.2871279867113432E-3</v>
      </c>
      <c r="J15" s="288">
        <f ca="1">Financials!K23/Financials!K$17</f>
        <v>2.8833547225812434E-3</v>
      </c>
      <c r="K15" s="288">
        <f ca="1">Financials!L23/Financials!L$17</f>
        <v>2.5368915092038816E-3</v>
      </c>
      <c r="L15" s="288">
        <f ca="1">Financials!M23/Financials!M$17</f>
        <v>2.2384002287218615E-3</v>
      </c>
      <c r="M15" s="289">
        <f ca="1">Financials!N23/Financials!N$17</f>
        <v>1.9836923053103894E-3</v>
      </c>
    </row>
    <row r="16" spans="1:14" x14ac:dyDescent="0.3">
      <c r="B16" s="286" t="s">
        <v>33</v>
      </c>
      <c r="E16" s="288">
        <f>Financials!F24/Financials!F$17</f>
        <v>1.5209462948618642E-2</v>
      </c>
      <c r="F16" s="288">
        <f>Financials!G24/Financials!G$17</f>
        <v>1.1266625632242353E-2</v>
      </c>
      <c r="G16" s="288">
        <f>Financials!H24/Financials!H$17</f>
        <v>1.0897771828691573E-2</v>
      </c>
      <c r="H16" s="288">
        <f>Financials!I24/Financials!I$17</f>
        <v>9.9345699021549921E-3</v>
      </c>
      <c r="I16" s="288">
        <f ca="1">Financials!J24/Financials!J$17</f>
        <v>9.7282621920887439E-3</v>
      </c>
      <c r="J16" s="288">
        <f ca="1">Financials!K24/Financials!K$17</f>
        <v>9.4188249150076661E-3</v>
      </c>
      <c r="K16" s="288">
        <f ca="1">Financials!L24/Financials!L$17</f>
        <v>9.1069041171993204E-3</v>
      </c>
      <c r="L16" s="288">
        <f ca="1">Financials!M24/Financials!M$17</f>
        <v>8.7920310543667373E-3</v>
      </c>
      <c r="M16" s="289">
        <f ca="1">Financials!N24/Financials!N$17</f>
        <v>8.4887261852398324E-3</v>
      </c>
    </row>
    <row r="17" spans="1:13" x14ac:dyDescent="0.3">
      <c r="B17" s="286" t="s">
        <v>34</v>
      </c>
      <c r="E17" s="288">
        <f>Financials!F25/Financials!F$17</f>
        <v>2.8046733798089335E-2</v>
      </c>
      <c r="F17" s="288">
        <f>Financials!G25/Financials!G$17</f>
        <v>2.8266920009634169E-2</v>
      </c>
      <c r="G17" s="288">
        <f>Financials!H25/Financials!H$17</f>
        <v>2.9536371155631042E-2</v>
      </c>
      <c r="H17" s="288">
        <f>Financials!I25/Financials!I$17</f>
        <v>2.8885287232126779E-2</v>
      </c>
      <c r="I17" s="288">
        <f ca="1">Financials!J25/Financials!J$17</f>
        <v>8.9546684113124119E-3</v>
      </c>
      <c r="J17" s="288">
        <f ca="1">Financials!K25/Financials!K$17</f>
        <v>1.0779551091199898E-2</v>
      </c>
      <c r="K17" s="288">
        <f ca="1">Financials!L25/Financials!L$17</f>
        <v>1.199978566466395E-2</v>
      </c>
      <c r="L17" s="288">
        <f ca="1">Financials!M25/Financials!M$17</f>
        <v>1.3585041237210164E-2</v>
      </c>
      <c r="M17" s="289">
        <f ca="1">Financials!N25/Financials!N$17</f>
        <v>1.5031632313505005E-2</v>
      </c>
    </row>
    <row r="18" spans="1:13" x14ac:dyDescent="0.3">
      <c r="B18" s="286" t="s">
        <v>35</v>
      </c>
      <c r="E18" s="288">
        <f>Financials!F26/Financials!F$17</f>
        <v>1.613736121869352E-3</v>
      </c>
      <c r="F18" s="288">
        <f>Financials!G26/Financials!G$17</f>
        <v>1.9000722562689005E-3</v>
      </c>
      <c r="G18" s="288">
        <f>Financials!H26/Financials!H$17</f>
        <v>2.9675276706170564E-3</v>
      </c>
      <c r="H18" s="288">
        <f>Financials!I26/Financials!I$17</f>
        <v>2.4971486883966624E-3</v>
      </c>
      <c r="I18" s="288">
        <f ca="1">Financials!J26/Financials!J$17</f>
        <v>0</v>
      </c>
      <c r="J18" s="288">
        <f ca="1">Financials!K26/Financials!K$17</f>
        <v>0</v>
      </c>
      <c r="K18" s="288">
        <f ca="1">Financials!L26/Financials!L$17</f>
        <v>0</v>
      </c>
      <c r="L18" s="288">
        <f ca="1">Financials!M26/Financials!M$17</f>
        <v>0</v>
      </c>
      <c r="M18" s="289">
        <f ca="1">Financials!N26/Financials!N$17</f>
        <v>0</v>
      </c>
    </row>
    <row r="19" spans="1:13" x14ac:dyDescent="0.3">
      <c r="B19" s="286" t="s">
        <v>36</v>
      </c>
      <c r="E19" s="288">
        <f>Financials!F27/Financials!F$17</f>
        <v>2.7627162406403304E-2</v>
      </c>
      <c r="F19" s="288">
        <f>Financials!G27/Financials!G$17</f>
        <v>2.9384216019482431E-2</v>
      </c>
      <c r="G19" s="288">
        <f>Financials!H27/Financials!H$17</f>
        <v>2.977629892474476E-2</v>
      </c>
      <c r="H19" s="288">
        <f>Financials!I27/Financials!I$17</f>
        <v>2.873521820037217E-2</v>
      </c>
      <c r="I19" s="288">
        <f ca="1">Financials!J27/Financials!J$17</f>
        <v>2.9241954019513385E-2</v>
      </c>
      <c r="J19" s="288">
        <f ca="1">Financials!K27/Financials!K$17</f>
        <v>2.9411110733551765E-2</v>
      </c>
      <c r="K19" s="288">
        <f ca="1">Financials!L27/Financials!L$17</f>
        <v>2.9530313347896266E-2</v>
      </c>
      <c r="L19" s="288">
        <f ca="1">Financials!M27/Financials!M$17</f>
        <v>2.9594377868235159E-2</v>
      </c>
      <c r="M19" s="289">
        <f ca="1">Financials!N27/Financials!N$17</f>
        <v>2.9650120175023664E-2</v>
      </c>
    </row>
    <row r="20" spans="1:13" s="248" customFormat="1" x14ac:dyDescent="0.3">
      <c r="B20" s="290" t="s">
        <v>37</v>
      </c>
      <c r="E20" s="292">
        <f>Financials!F28/Financials!F$17</f>
        <v>0.75705202685256912</v>
      </c>
      <c r="F20" s="292">
        <f>Financials!G28/Financials!G$17</f>
        <v>0.77706264886129472</v>
      </c>
      <c r="G20" s="292">
        <f>Financials!H28/Financials!H$17</f>
        <v>0.7727757748719859</v>
      </c>
      <c r="H20" s="292">
        <f>Financials!I28/Financials!I$17</f>
        <v>0.77424815415090942</v>
      </c>
      <c r="I20" s="292">
        <f ca="1">Financials!J28/Financials!J$17</f>
        <v>0.76634457094469344</v>
      </c>
      <c r="J20" s="292">
        <f ca="1">Financials!K28/Financials!K$17</f>
        <v>0.7738163041670364</v>
      </c>
      <c r="K20" s="292">
        <f ca="1">Financials!L28/Financials!L$17</f>
        <v>0.77918993988329166</v>
      </c>
      <c r="L20" s="292">
        <f ca="1">Financials!M28/Financials!M$17</f>
        <v>0.78323835905194206</v>
      </c>
      <c r="M20" s="293">
        <f ca="1">Financials!N28/Financials!N$17</f>
        <v>0.78660414913357724</v>
      </c>
    </row>
    <row r="21" spans="1:13" x14ac:dyDescent="0.3">
      <c r="B21" s="286"/>
      <c r="E21" s="288"/>
      <c r="F21" s="288"/>
      <c r="G21" s="288"/>
      <c r="H21" s="288"/>
      <c r="I21" s="288"/>
      <c r="J21" s="288"/>
      <c r="K21" s="288"/>
      <c r="L21" s="288"/>
      <c r="M21" s="289"/>
    </row>
    <row r="22" spans="1:13" s="248" customFormat="1" x14ac:dyDescent="0.3">
      <c r="B22" s="290" t="s">
        <v>38</v>
      </c>
      <c r="E22" s="292">
        <f>Financials!F30/Financials!F$17</f>
        <v>0.24294797314743094</v>
      </c>
      <c r="F22" s="292">
        <f>Financials!G30/Financials!G$17</f>
        <v>0.22293735113870528</v>
      </c>
      <c r="G22" s="292">
        <f>Financials!H30/Financials!H$17</f>
        <v>0.2272242251280141</v>
      </c>
      <c r="H22" s="292">
        <f>Financials!I30/Financials!I$17</f>
        <v>0.22575184584909058</v>
      </c>
      <c r="I22" s="292">
        <f ca="1">Financials!J30/Financials!J$17</f>
        <v>0.23365542905530659</v>
      </c>
      <c r="J22" s="292">
        <f ca="1">Financials!K30/Financials!K$17</f>
        <v>0.22618369583296358</v>
      </c>
      <c r="K22" s="292">
        <f ca="1">Financials!L30/Financials!L$17</f>
        <v>0.22081006011670828</v>
      </c>
      <c r="L22" s="292">
        <f ca="1">Financials!M30/Financials!M$17</f>
        <v>0.21676164094805792</v>
      </c>
      <c r="M22" s="293">
        <f ca="1">Financials!N30/Financials!N$17</f>
        <v>0.21339585086642276</v>
      </c>
    </row>
    <row r="23" spans="1:13" x14ac:dyDescent="0.3">
      <c r="B23" s="286"/>
      <c r="E23" s="288"/>
      <c r="F23" s="288"/>
      <c r="G23" s="288"/>
      <c r="H23" s="288"/>
      <c r="I23" s="288"/>
      <c r="J23" s="288"/>
      <c r="K23" s="288"/>
      <c r="L23" s="288"/>
      <c r="M23" s="289"/>
    </row>
    <row r="24" spans="1:13" x14ac:dyDescent="0.3">
      <c r="B24" s="286" t="s">
        <v>39</v>
      </c>
      <c r="E24" s="288">
        <f>Financials!F32/Financials!F$17</f>
        <v>6.3024464239607544E-2</v>
      </c>
      <c r="F24" s="288">
        <f>Financials!G32/Financials!G$17</f>
        <v>6.213370085904675E-2</v>
      </c>
      <c r="G24" s="288">
        <f>Financials!H32/Financials!H$17</f>
        <v>5.2973525864844898E-2</v>
      </c>
      <c r="H24" s="288">
        <f>Financials!I32/Financials!I$17</f>
        <v>7.2813494207335377E-2</v>
      </c>
      <c r="I24" s="288">
        <f ca="1">Financials!J32/Financials!J$17</f>
        <v>7.0096628716591974E-2</v>
      </c>
      <c r="J24" s="288">
        <f ca="1">Financials!K32/Financials!K$17</f>
        <v>6.7855108749889079E-2</v>
      </c>
      <c r="K24" s="288">
        <f ca="1">Financials!L32/Financials!L$17</f>
        <v>6.624301803501248E-2</v>
      </c>
      <c r="L24" s="288">
        <f ca="1">Financials!M32/Financials!M$17</f>
        <v>6.5028492284417372E-2</v>
      </c>
      <c r="M24" s="289">
        <f ca="1">Financials!N32/Financials!N$17</f>
        <v>6.4018755259926827E-2</v>
      </c>
    </row>
    <row r="25" spans="1:13" x14ac:dyDescent="0.3">
      <c r="B25" s="286" t="s">
        <v>40</v>
      </c>
      <c r="E25" s="288">
        <f>Financials!F33/Financials!F$17</f>
        <v>1.2345081332300542E-3</v>
      </c>
      <c r="F25" s="288">
        <f>Financials!G33/Financials!G$17</f>
        <v>-4.8839885460433003E-4</v>
      </c>
      <c r="G25" s="288">
        <f>Financials!H33/Financials!H$17</f>
        <v>8.5237496921979281E-3</v>
      </c>
      <c r="H25" s="288">
        <f>Financials!I33/Financials!I$17</f>
        <v>-7.6355123356744098E-3</v>
      </c>
      <c r="I25" s="288">
        <f ca="1">Financials!J33/Financials!J$17</f>
        <v>0</v>
      </c>
      <c r="J25" s="288">
        <f ca="1">Financials!K33/Financials!K$17</f>
        <v>0</v>
      </c>
      <c r="K25" s="288">
        <f ca="1">Financials!L33/Financials!L$17</f>
        <v>0</v>
      </c>
      <c r="L25" s="288">
        <f ca="1">Financials!M33/Financials!M$17</f>
        <v>0</v>
      </c>
      <c r="M25" s="289">
        <f ca="1">Financials!N33/Financials!N$17</f>
        <v>0</v>
      </c>
    </row>
    <row r="26" spans="1:13" s="248" customFormat="1" x14ac:dyDescent="0.3">
      <c r="B26" s="295" t="s">
        <v>41</v>
      </c>
      <c r="C26" s="296"/>
      <c r="D26" s="296"/>
      <c r="E26" s="298">
        <f>Financials!F34/Financials!F$17</f>
        <v>0.17868900077459335</v>
      </c>
      <c r="F26" s="298">
        <f>Financials!G34/Financials!G$17</f>
        <v>0.16129204913426284</v>
      </c>
      <c r="G26" s="298">
        <f>Financials!H34/Financials!H$17</f>
        <v>0.16572694957097125</v>
      </c>
      <c r="H26" s="298">
        <f>Financials!I34/Financials!I$17</f>
        <v>0.16057386397742962</v>
      </c>
      <c r="I26" s="298">
        <f ca="1">Financials!J34/Financials!J$17</f>
        <v>0.16355880033871464</v>
      </c>
      <c r="J26" s="298">
        <f ca="1">Financials!K34/Financials!K$17</f>
        <v>0.15832858708307451</v>
      </c>
      <c r="K26" s="298">
        <f ca="1">Financials!L34/Financials!L$17</f>
        <v>0.15456704208169583</v>
      </c>
      <c r="L26" s="298">
        <f ca="1">Financials!M34/Financials!M$17</f>
        <v>0.15173314866364054</v>
      </c>
      <c r="M26" s="299">
        <f ca="1">Financials!N34/Financials!N$17</f>
        <v>0.14937709560649592</v>
      </c>
    </row>
    <row r="28" spans="1:13" x14ac:dyDescent="0.3">
      <c r="A28" s="89" t="s">
        <v>25</v>
      </c>
      <c r="B28" s="256" t="s">
        <v>340</v>
      </c>
      <c r="C28" s="257"/>
      <c r="D28" s="257"/>
      <c r="E28" s="258">
        <v>44651</v>
      </c>
      <c r="F28" s="258">
        <f>EDATE(E28,12)</f>
        <v>45016</v>
      </c>
      <c r="G28" s="258">
        <f t="shared" ref="G28" si="1">EDATE(F28,12)</f>
        <v>45382</v>
      </c>
      <c r="H28" s="258">
        <f t="shared" ref="H28" si="2">EDATE(G28,12)</f>
        <v>45747</v>
      </c>
      <c r="I28" s="259">
        <f t="shared" ref="I28" si="3">EDATE(H28,12)</f>
        <v>46112</v>
      </c>
      <c r="J28" s="259">
        <f t="shared" ref="J28" si="4">EDATE(I28,12)</f>
        <v>46477</v>
      </c>
      <c r="K28" s="259">
        <f t="shared" ref="K28" si="5">EDATE(J28,12)</f>
        <v>46843</v>
      </c>
      <c r="L28" s="259">
        <f t="shared" ref="L28" si="6">EDATE(K28,12)</f>
        <v>47208</v>
      </c>
      <c r="M28" s="260">
        <f t="shared" ref="M28" si="7">EDATE(L28,12)</f>
        <v>47573</v>
      </c>
    </row>
    <row r="29" spans="1:13" x14ac:dyDescent="0.3">
      <c r="B29" s="286" t="s">
        <v>26</v>
      </c>
      <c r="E29" s="287" t="s">
        <v>341</v>
      </c>
      <c r="F29" s="288">
        <f>Financials!G15/Financials!F15-1</f>
        <v>0.20655864387829759</v>
      </c>
      <c r="G29" s="288">
        <f>Financials!H15/Financials!G15-1</f>
        <v>4.7033733741236095E-2</v>
      </c>
      <c r="H29" s="288">
        <f>Financials!I15/Financials!H15-1</f>
        <v>6.0649443612936782E-2</v>
      </c>
      <c r="I29" s="288">
        <f ca="1">Financials!J15/Financials!I15-1</f>
        <v>4.1207104730351718E-2</v>
      </c>
      <c r="J29" s="288">
        <f ca="1">Financials!K15/Financials!J15-1</f>
        <v>5.7383326372485666E-2</v>
      </c>
      <c r="K29" s="288">
        <f ca="1">Financials!L15/Financials!K15-1</f>
        <v>6.2692927873565951E-2</v>
      </c>
      <c r="L29" s="288">
        <f ca="1">Financials!M15/Financials!L15-1</f>
        <v>6.8182631838786145E-2</v>
      </c>
      <c r="M29" s="289">
        <f ca="1">Financials!N15/Financials!M15-1</f>
        <v>7.1980877071072369E-2</v>
      </c>
    </row>
    <row r="30" spans="1:13" x14ac:dyDescent="0.3">
      <c r="B30" s="286" t="s">
        <v>27</v>
      </c>
      <c r="E30" s="287" t="s">
        <v>341</v>
      </c>
      <c r="F30" s="288">
        <f>Financials!G16/Financials!F16-1</f>
        <v>0.17690631808278856</v>
      </c>
      <c r="G30" s="288">
        <f>Financials!H16/Financials!G16-1</f>
        <v>0.74416882636060722</v>
      </c>
      <c r="H30" s="288">
        <f>Financials!I16/Financials!H16-1</f>
        <v>-0.23583103375079606</v>
      </c>
      <c r="I30" s="288">
        <f ca="1">Financials!J16/Financials!I16-1</f>
        <v>6.0831538422204012E-2</v>
      </c>
      <c r="J30" s="288">
        <f ca="1">Financials!K16/Financials!J16-1</f>
        <v>5.7383326372485888E-2</v>
      </c>
      <c r="K30" s="288">
        <f ca="1">Financials!L16/Financials!K16-1</f>
        <v>6.2692927873565951E-2</v>
      </c>
      <c r="L30" s="288">
        <f ca="1">Financials!M16/Financials!L16-1</f>
        <v>6.8182631838786145E-2</v>
      </c>
      <c r="M30" s="289">
        <f ca="1">Financials!N16/Financials!M16-1</f>
        <v>7.1980877071072369E-2</v>
      </c>
    </row>
    <row r="31" spans="1:13" s="248" customFormat="1" x14ac:dyDescent="0.3">
      <c r="B31" s="290" t="s">
        <v>28</v>
      </c>
      <c r="E31" s="291" t="s">
        <v>341</v>
      </c>
      <c r="F31" s="292">
        <f>Financials!G17/Financials!F17-1</f>
        <v>0.20600955331784143</v>
      </c>
      <c r="G31" s="292">
        <f>Financials!H17/Financials!G17-1</f>
        <v>5.9631493028608151E-2</v>
      </c>
      <c r="H31" s="292">
        <f>Financials!I17/Financials!H17-1</f>
        <v>5.1830712017224334E-2</v>
      </c>
      <c r="I31" s="292">
        <f ca="1">Financials!J17/Financials!I17-1</f>
        <v>4.1631187576204765E-2</v>
      </c>
      <c r="J31" s="292">
        <f ca="1">Financials!K17/Financials!J17-1</f>
        <v>5.7383326372485666E-2</v>
      </c>
      <c r="K31" s="292">
        <f ca="1">Financials!L17/Financials!K17-1</f>
        <v>6.2692927873565951E-2</v>
      </c>
      <c r="L31" s="292">
        <f ca="1">Financials!M17/Financials!L17-1</f>
        <v>6.8182631838786145E-2</v>
      </c>
      <c r="M31" s="293">
        <f ca="1">Financials!N17/Financials!M17-1</f>
        <v>7.1980877071072147E-2</v>
      </c>
    </row>
    <row r="32" spans="1:13" x14ac:dyDescent="0.3">
      <c r="B32" s="286"/>
      <c r="E32" s="287"/>
      <c r="F32" s="288"/>
      <c r="G32" s="288"/>
      <c r="H32" s="288"/>
      <c r="I32" s="288"/>
      <c r="J32" s="288"/>
      <c r="K32" s="288"/>
      <c r="L32" s="288"/>
      <c r="M32" s="289"/>
    </row>
    <row r="33" spans="2:13" x14ac:dyDescent="0.3">
      <c r="B33" s="286" t="s">
        <v>29</v>
      </c>
      <c r="E33" s="287" t="s">
        <v>341</v>
      </c>
      <c r="F33" s="288">
        <f>Financials!G19/Financials!F19-1</f>
        <v>0.22462726221360918</v>
      </c>
      <c r="G33" s="288">
        <f>Financials!H19/Financials!G19-1</f>
        <v>5.4377927232353684E-2</v>
      </c>
      <c r="H33" s="288">
        <f>Financials!I19/Financials!H19-1</f>
        <v>4.0305010893246118E-2</v>
      </c>
      <c r="I33" s="288">
        <f ca="1">Financials!J19/Financials!I19-1</f>
        <v>4.2000000000000037E-2</v>
      </c>
      <c r="J33" s="288">
        <f ca="1">Financials!K19/Financials!J19-1</f>
        <v>4.3500000000000094E-2</v>
      </c>
      <c r="K33" s="288">
        <f ca="1">Financials!L19/Financials!K19-1</f>
        <v>4.4999999999999929E-2</v>
      </c>
      <c r="L33" s="288">
        <f ca="1">Financials!M19/Financials!L19-1</f>
        <v>4.6499999999999986E-2</v>
      </c>
      <c r="M33" s="289">
        <f ca="1">Financials!N19/Financials!M19-1</f>
        <v>4.8000000000000043E-2</v>
      </c>
    </row>
    <row r="34" spans="2:13" x14ac:dyDescent="0.3">
      <c r="B34" s="286" t="s">
        <v>30</v>
      </c>
      <c r="E34" s="287" t="s">
        <v>341</v>
      </c>
      <c r="F34" s="288">
        <f>Financials!G20/Financials!F20-1</f>
        <v>0.11550055529113123</v>
      </c>
      <c r="G34" s="288">
        <f>Financials!H20/Financials!G20-1</f>
        <v>-0.13013796046081638</v>
      </c>
      <c r="H34" s="288">
        <f>Financials!I20/Financials!H20-1</f>
        <v>5.7635709614126895E-2</v>
      </c>
      <c r="I34" s="288">
        <f ca="1">Financials!J20/Financials!I20-1</f>
        <v>6.0000000000000053E-2</v>
      </c>
      <c r="J34" s="288">
        <f ca="1">Financials!K20/Financials!J20-1</f>
        <v>6.2999999999999945E-2</v>
      </c>
      <c r="K34" s="288">
        <f ca="1">Financials!L20/Financials!K20-1</f>
        <v>6.6000000000000059E-2</v>
      </c>
      <c r="L34" s="288">
        <f ca="1">Financials!M20/Financials!L20-1</f>
        <v>6.899999999999995E-2</v>
      </c>
      <c r="M34" s="289">
        <f ca="1">Financials!N20/Financials!M20-1</f>
        <v>7.2000000000000064E-2</v>
      </c>
    </row>
    <row r="35" spans="2:13" x14ac:dyDescent="0.3">
      <c r="B35" s="286" t="s">
        <v>31</v>
      </c>
      <c r="E35" s="287" t="s">
        <v>341</v>
      </c>
      <c r="F35" s="288">
        <f>Financials!G21/Financials!F21-1</f>
        <v>0.84401451027811358</v>
      </c>
      <c r="G35" s="288">
        <f>Financials!H21/Financials!G21-1</f>
        <v>0.15344262295081967</v>
      </c>
      <c r="H35" s="288">
        <f>Financials!I21/Financials!H21-1</f>
        <v>7.6748152359294997E-2</v>
      </c>
      <c r="I35" s="288">
        <f ca="1">Financials!J21/Financials!I21-1</f>
        <v>8.0000000000000071E-2</v>
      </c>
      <c r="J35" s="288">
        <f ca="1">Financials!K21/Financials!J21-1</f>
        <v>8.4999999999999964E-2</v>
      </c>
      <c r="K35" s="288">
        <f ca="1">Financials!L21/Financials!K21-1</f>
        <v>9.000000000000008E-2</v>
      </c>
      <c r="L35" s="288">
        <f ca="1">Financials!M21/Financials!L21-1</f>
        <v>9.4999999999999973E-2</v>
      </c>
      <c r="M35" s="289">
        <f ca="1">Financials!N21/Financials!M21-1</f>
        <v>0.10000000000000009</v>
      </c>
    </row>
    <row r="36" spans="2:13" x14ac:dyDescent="0.3">
      <c r="B36" s="286" t="s">
        <v>48</v>
      </c>
      <c r="E36" s="287" t="s">
        <v>341</v>
      </c>
      <c r="F36" s="288">
        <f>Financials!G22/Financials!F22-1</f>
        <v>0.60064601380120397</v>
      </c>
      <c r="G36" s="288">
        <f>Financials!H22/Financials!G22-1</f>
        <v>0.23968079251513474</v>
      </c>
      <c r="H36" s="288">
        <f>Financials!I22/Financials!H22-1</f>
        <v>0.17728449870514251</v>
      </c>
      <c r="I36" s="288">
        <f ca="1">Financials!J22/Financials!I22-1</f>
        <v>0.17999999999999994</v>
      </c>
      <c r="J36" s="288">
        <f ca="1">Financials!K22/Financials!J22-1</f>
        <v>0.17700000000000005</v>
      </c>
      <c r="K36" s="288">
        <f ca="1">Financials!L22/Financials!K22-1</f>
        <v>0.17399999999999993</v>
      </c>
      <c r="L36" s="288">
        <f ca="1">Financials!M22/Financials!L22-1</f>
        <v>0.17100000000000004</v>
      </c>
      <c r="M36" s="289">
        <f ca="1">Financials!N22/Financials!M22-1</f>
        <v>0.16799999999999993</v>
      </c>
    </row>
    <row r="37" spans="2:13" x14ac:dyDescent="0.3">
      <c r="B37" s="286" t="s">
        <v>32</v>
      </c>
      <c r="E37" s="287" t="s">
        <v>341</v>
      </c>
      <c r="F37" s="288">
        <f>Financials!G23/Financials!F23-1</f>
        <v>0.1669394435351883</v>
      </c>
      <c r="G37" s="288">
        <f>Financials!H23/Financials!G23-1</f>
        <v>-5.0490883590462832E-2</v>
      </c>
      <c r="H37" s="288">
        <f>Financials!I23/Financials!H23-1</f>
        <v>-8.4194977843426888E-2</v>
      </c>
      <c r="I37" s="288">
        <f ca="1">Financials!J23/Financials!I23-1</f>
        <v>-8.0000000000000071E-2</v>
      </c>
      <c r="J37" s="288">
        <f ca="1">Financials!K23/Financials!J23-1</f>
        <v>-7.250000000000012E-2</v>
      </c>
      <c r="K37" s="288">
        <f ca="1">Financials!L23/Financials!K23-1</f>
        <v>-6.4999999999999947E-2</v>
      </c>
      <c r="L37" s="288">
        <f ca="1">Financials!M23/Financials!L23-1</f>
        <v>-5.7499999999999996E-2</v>
      </c>
      <c r="M37" s="289">
        <f ca="1">Financials!N23/Financials!M23-1</f>
        <v>-5.0000000000000044E-2</v>
      </c>
    </row>
    <row r="38" spans="2:13" x14ac:dyDescent="0.3">
      <c r="B38" s="286" t="s">
        <v>33</v>
      </c>
      <c r="E38" s="287" t="s">
        <v>341</v>
      </c>
      <c r="F38" s="288">
        <f>Financials!G24/Financials!F24-1</f>
        <v>-0.10663129973474805</v>
      </c>
      <c r="G38" s="288">
        <f>Financials!H24/Financials!G24-1</f>
        <v>2.4940617577197122E-2</v>
      </c>
      <c r="H38" s="288">
        <f>Financials!I24/Financials!H24-1</f>
        <v>-4.1135573580532991E-2</v>
      </c>
      <c r="I38" s="288">
        <f ca="1">Financials!J24/Financials!I24-1</f>
        <v>2.0000000000000018E-2</v>
      </c>
      <c r="J38" s="288">
        <f ca="1">Financials!K24/Financials!J24-1</f>
        <v>2.3749999999999938E-2</v>
      </c>
      <c r="K38" s="288">
        <f ca="1">Financials!L24/Financials!K24-1</f>
        <v>2.750000000000008E-2</v>
      </c>
      <c r="L38" s="288">
        <f ca="1">Financials!M24/Financials!L24-1</f>
        <v>3.125E-2</v>
      </c>
      <c r="M38" s="289">
        <f ca="1">Financials!N24/Financials!M24-1</f>
        <v>3.499999999999992E-2</v>
      </c>
    </row>
    <row r="39" spans="2:13" x14ac:dyDescent="0.3">
      <c r="B39" s="286" t="s">
        <v>34</v>
      </c>
      <c r="E39" s="287" t="s">
        <v>341</v>
      </c>
      <c r="F39" s="288">
        <f>Financials!G25/Financials!F25-1</f>
        <v>0.21547756041426935</v>
      </c>
      <c r="G39" s="288">
        <f>Financials!H25/Financials!G25-1</f>
        <v>0.10721893491124268</v>
      </c>
      <c r="H39" s="288">
        <f>Financials!I25/Financials!H25-1</f>
        <v>2.8644719965797316E-2</v>
      </c>
      <c r="I39" s="288">
        <f ca="1">Financials!J25/Financials!I25-1</f>
        <v>-0.67708606057230791</v>
      </c>
      <c r="J39" s="288">
        <f ca="1">Financials!K25/Financials!J25-1</f>
        <v>0.27286875025052737</v>
      </c>
      <c r="K39" s="288">
        <f ca="1">Financials!L25/Financials!K25-1</f>
        <v>0.18298872132508381</v>
      </c>
      <c r="L39" s="288">
        <f ca="1">Financials!M25/Financials!L25-1</f>
        <v>0.20929702479048218</v>
      </c>
      <c r="M39" s="289">
        <f ca="1">Financials!N25/Financials!M25-1</f>
        <v>0.1861298107145144</v>
      </c>
    </row>
    <row r="40" spans="2:13" x14ac:dyDescent="0.3">
      <c r="B40" s="286" t="s">
        <v>35</v>
      </c>
      <c r="E40" s="287" t="s">
        <v>341</v>
      </c>
      <c r="F40" s="288">
        <f>Financials!G26/Financials!F26-1</f>
        <v>0.41999999999999993</v>
      </c>
      <c r="G40" s="288">
        <f>Financials!H26/Financials!G26-1</f>
        <v>0.65492957746478875</v>
      </c>
      <c r="H40" s="288">
        <f>Financials!I26/Financials!H26-1</f>
        <v>-0.11489361702127665</v>
      </c>
      <c r="I40" s="288">
        <f>Financials!J26/Financials!I26-1</f>
        <v>-1</v>
      </c>
      <c r="J40" s="287" t="s">
        <v>341</v>
      </c>
      <c r="K40" s="287" t="s">
        <v>341</v>
      </c>
      <c r="L40" s="287" t="s">
        <v>341</v>
      </c>
      <c r="M40" s="294" t="s">
        <v>341</v>
      </c>
    </row>
    <row r="41" spans="2:13" x14ac:dyDescent="0.3">
      <c r="B41" s="286" t="s">
        <v>36</v>
      </c>
      <c r="E41" s="287" t="s">
        <v>341</v>
      </c>
      <c r="F41" s="288">
        <f>Financials!G27/Financials!F27-1</f>
        <v>0.28271028037383172</v>
      </c>
      <c r="G41" s="288">
        <f>Financials!H27/Financials!G27-1</f>
        <v>7.3770491803278659E-2</v>
      </c>
      <c r="H41" s="288">
        <f>Financials!I27/Financials!H27-1</f>
        <v>1.5055131467345273E-2</v>
      </c>
      <c r="I41" s="288">
        <f ca="1">Financials!J27/Financials!I27-1</f>
        <v>6.0000000000000053E-2</v>
      </c>
      <c r="J41" s="288">
        <f ca="1">Financials!K27/Financials!J27-1</f>
        <v>6.349999999999989E-2</v>
      </c>
      <c r="K41" s="288">
        <f ca="1">Financials!L27/Financials!K27-1</f>
        <v>6.6999999999999948E-2</v>
      </c>
      <c r="L41" s="288">
        <f ca="1">Financials!M27/Financials!L27-1</f>
        <v>7.0500000000000007E-2</v>
      </c>
      <c r="M41" s="289">
        <f ca="1">Financials!N27/Financials!M27-1</f>
        <v>7.4000000000000066E-2</v>
      </c>
    </row>
    <row r="42" spans="2:13" s="248" customFormat="1" x14ac:dyDescent="0.3">
      <c r="B42" s="290" t="s">
        <v>37</v>
      </c>
      <c r="E42" s="291" t="s">
        <v>341</v>
      </c>
      <c r="F42" s="292">
        <f>Financials!G28/Financials!F28-1</f>
        <v>0.23788715281478479</v>
      </c>
      <c r="G42" s="292">
        <f>Financials!H28/Financials!G28-1</f>
        <v>5.3785752415063781E-2</v>
      </c>
      <c r="H42" s="292">
        <f>Financials!I28/Financials!H28-1</f>
        <v>5.3834778132736405E-2</v>
      </c>
      <c r="I42" s="292">
        <f ca="1">Financials!J28/Financials!I28-1</f>
        <v>3.099813831795184E-2</v>
      </c>
      <c r="J42" s="292">
        <f ca="1">Financials!K28/Financials!J28-1</f>
        <v>6.7692639477776817E-2</v>
      </c>
      <c r="K42" s="292">
        <f ca="1">Financials!L28/Financials!K28-1</f>
        <v>7.0072618172002388E-2</v>
      </c>
      <c r="L42" s="292">
        <f ca="1">Financials!M28/Financials!L28-1</f>
        <v>7.3732563660291905E-2</v>
      </c>
      <c r="M42" s="293">
        <f ca="1">Financials!N28/Financials!M28-1</f>
        <v>7.6587472958581815E-2</v>
      </c>
    </row>
    <row r="43" spans="2:13" x14ac:dyDescent="0.3">
      <c r="B43" s="286"/>
      <c r="E43" s="287"/>
      <c r="F43" s="288"/>
      <c r="G43" s="288"/>
      <c r="H43" s="288"/>
      <c r="I43" s="288"/>
      <c r="J43" s="288"/>
      <c r="K43" s="288"/>
      <c r="L43" s="288"/>
      <c r="M43" s="289"/>
    </row>
    <row r="44" spans="2:13" s="248" customFormat="1" x14ac:dyDescent="0.3">
      <c r="B44" s="290" t="s">
        <v>38</v>
      </c>
      <c r="E44" s="291" t="s">
        <v>341</v>
      </c>
      <c r="F44" s="292">
        <f>Financials!G30/Financials!F30-1</f>
        <v>0.10667552308203265</v>
      </c>
      <c r="G44" s="292">
        <f>Financials!H30/Financials!G30-1</f>
        <v>8.0007202448832526E-2</v>
      </c>
      <c r="H44" s="292">
        <f>Financials!I30/Financials!H30-1</f>
        <v>4.501500500166733E-2</v>
      </c>
      <c r="I44" s="292">
        <f ca="1">Financials!J30/Financials!I30-1</f>
        <v>7.809874659098881E-2</v>
      </c>
      <c r="J44" s="292">
        <f ca="1">Financials!K30/Financials!J30-1</f>
        <v>2.3570775299517344E-2</v>
      </c>
      <c r="K44" s="292">
        <f ca="1">Financials!L30/Financials!K30-1</f>
        <v>3.7445640921236256E-2</v>
      </c>
      <c r="L44" s="292">
        <f ca="1">Financials!M30/Financials!L30-1</f>
        <v>4.8598148051816059E-2</v>
      </c>
      <c r="M44" s="293">
        <f ca="1">Financials!N30/Financials!M30-1</f>
        <v>5.5335576786539997E-2</v>
      </c>
    </row>
    <row r="45" spans="2:13" x14ac:dyDescent="0.3">
      <c r="B45" s="286"/>
      <c r="E45" s="287"/>
      <c r="F45" s="288"/>
      <c r="G45" s="288"/>
      <c r="H45" s="288"/>
      <c r="I45" s="288"/>
      <c r="J45" s="288"/>
      <c r="K45" s="288"/>
      <c r="L45" s="288"/>
      <c r="M45" s="289"/>
    </row>
    <row r="46" spans="2:13" x14ac:dyDescent="0.3">
      <c r="B46" s="286" t="s">
        <v>39</v>
      </c>
      <c r="E46" s="287" t="s">
        <v>341</v>
      </c>
      <c r="F46" s="288">
        <f>Financials!G32/Financials!F32-1</f>
        <v>0.18896428114197916</v>
      </c>
      <c r="G46" s="288">
        <f>Financials!H32/Financials!G32-1</f>
        <v>-9.6586626467104586E-2</v>
      </c>
      <c r="H46" s="288">
        <f>Financials!I32/Financials!H32-1</f>
        <v>0.44576877234803347</v>
      </c>
      <c r="I46" s="288">
        <f ca="1">Financials!J32/Financials!I32-1</f>
        <v>2.7651523939136169E-3</v>
      </c>
      <c r="J46" s="288">
        <f ca="1">Financials!K32/Financials!J32-1</f>
        <v>2.3570775299517344E-2</v>
      </c>
      <c r="K46" s="288">
        <f ca="1">Financials!L32/Financials!K32-1</f>
        <v>3.7445640921236256E-2</v>
      </c>
      <c r="L46" s="288">
        <f ca="1">Financials!M32/Financials!L32-1</f>
        <v>4.8598148051816059E-2</v>
      </c>
      <c r="M46" s="289">
        <f ca="1">Financials!N32/Financials!M32-1</f>
        <v>5.5335576786539997E-2</v>
      </c>
    </row>
    <row r="47" spans="2:13" x14ac:dyDescent="0.3">
      <c r="B47" s="286" t="s">
        <v>40</v>
      </c>
      <c r="E47" s="287" t="s">
        <v>341</v>
      </c>
      <c r="F47" s="288">
        <f>Financials!G33/Financials!F33-1</f>
        <v>-1.477124183006536</v>
      </c>
      <c r="G47" s="288">
        <f>Financials!H33/Financials!G33-1</f>
        <v>-19.493150684931507</v>
      </c>
      <c r="H47" s="288">
        <f>Financials!I33/Financials!H33-1</f>
        <v>-1.9422222222222221</v>
      </c>
      <c r="I47" s="288">
        <f>Financials!J33/Financials!I33-1</f>
        <v>-1</v>
      </c>
      <c r="J47" s="287" t="s">
        <v>341</v>
      </c>
      <c r="K47" s="287" t="s">
        <v>341</v>
      </c>
      <c r="L47" s="287" t="s">
        <v>341</v>
      </c>
      <c r="M47" s="294" t="s">
        <v>341</v>
      </c>
    </row>
    <row r="48" spans="2:13" s="248" customFormat="1" x14ac:dyDescent="0.3">
      <c r="B48" s="295" t="s">
        <v>41</v>
      </c>
      <c r="C48" s="296"/>
      <c r="D48" s="296"/>
      <c r="E48" s="297" t="s">
        <v>341</v>
      </c>
      <c r="F48" s="298">
        <f>Financials!G34/Financials!F34-1</f>
        <v>8.8593876998103394E-2</v>
      </c>
      <c r="G48" s="298">
        <f>Financials!H34/Financials!G34-1</f>
        <v>8.8767214202754241E-2</v>
      </c>
      <c r="H48" s="298">
        <f>Financials!I34/Financials!H34-1</f>
        <v>1.9125266686985665E-2</v>
      </c>
      <c r="I48" s="298">
        <f ca="1">Financials!J34/Financials!I34-1</f>
        <v>6.0994256570308103E-2</v>
      </c>
      <c r="J48" s="298">
        <f ca="1">Financials!K34/Financials!J34-1</f>
        <v>2.3570775299517122E-2</v>
      </c>
      <c r="K48" s="298">
        <f ca="1">Financials!L34/Financials!K34-1</f>
        <v>3.7445640921236478E-2</v>
      </c>
      <c r="L48" s="298">
        <f ca="1">Financials!M34/Financials!L34-1</f>
        <v>4.8598148051816059E-2</v>
      </c>
      <c r="M48" s="299">
        <f ca="1">Financials!N34/Financials!M34-1</f>
        <v>5.5335576786539775E-2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FE36-D8AB-488B-9FCF-1086F7F0960C}">
  <sheetPr>
    <tabColor rgb="FF00004D"/>
  </sheetPr>
  <dimension ref="A1"/>
  <sheetViews>
    <sheetView showGridLines="0" workbookViewId="0"/>
  </sheetViews>
  <sheetFormatPr defaultRowHeight="14.4" x14ac:dyDescent="0.3"/>
  <sheetData>
    <row r="1" spans="1:1" x14ac:dyDescent="0.3">
      <c r="A1" t="s">
        <v>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A53C-6119-4347-B64F-1DA93C9D115E}">
  <dimension ref="B1:O367"/>
  <sheetViews>
    <sheetView showGridLines="0" topLeftCell="A13" zoomScale="85" zoomScaleNormal="85" workbookViewId="0">
      <selection activeCell="P29" sqref="P29"/>
    </sheetView>
  </sheetViews>
  <sheetFormatPr defaultRowHeight="14.4" x14ac:dyDescent="0.3"/>
  <cols>
    <col min="1" max="1" width="1.88671875" customWidth="1"/>
    <col min="2" max="2" width="12.33203125" customWidth="1"/>
    <col min="3" max="4" width="10.44140625" customWidth="1"/>
    <col min="7" max="12" width="11.44140625" customWidth="1"/>
  </cols>
  <sheetData>
    <row r="1" spans="2:15" x14ac:dyDescent="0.3">
      <c r="B1" s="79" t="s">
        <v>264</v>
      </c>
      <c r="G1" s="79" t="s">
        <v>263</v>
      </c>
    </row>
    <row r="2" spans="2:15" x14ac:dyDescent="0.3">
      <c r="B2" s="61" t="s">
        <v>0</v>
      </c>
      <c r="C2" s="61" t="s">
        <v>222</v>
      </c>
      <c r="D2" s="61" t="s">
        <v>223</v>
      </c>
      <c r="G2" s="61" t="s">
        <v>0</v>
      </c>
      <c r="H2" s="61" t="s">
        <v>259</v>
      </c>
      <c r="I2" s="61" t="s">
        <v>2</v>
      </c>
      <c r="J2" s="61" t="s">
        <v>260</v>
      </c>
      <c r="K2" s="61" t="s">
        <v>261</v>
      </c>
      <c r="L2" s="61" t="s">
        <v>262</v>
      </c>
      <c r="N2" s="83" t="s">
        <v>266</v>
      </c>
      <c r="O2" t="s">
        <v>265</v>
      </c>
    </row>
    <row r="3" spans="2:15" x14ac:dyDescent="0.3">
      <c r="B3" s="61"/>
      <c r="C3" s="61"/>
      <c r="D3" s="61"/>
    </row>
    <row r="4" spans="2:15" x14ac:dyDescent="0.3">
      <c r="B4" s="59">
        <v>46082</v>
      </c>
      <c r="C4" s="80">
        <v>1288.9000000000001</v>
      </c>
      <c r="D4" s="63"/>
      <c r="G4" s="76">
        <v>46054</v>
      </c>
      <c r="H4" s="77">
        <v>1654.5</v>
      </c>
      <c r="I4" s="82">
        <f t="shared" ref="I4:I25" si="0">0.1471*G4-5463.8</f>
        <v>1310.7434000000003</v>
      </c>
      <c r="J4" s="82">
        <f t="shared" ref="J4:J25" si="1">ABS(I4-H4)</f>
        <v>343.75659999999971</v>
      </c>
      <c r="K4" s="82">
        <f t="shared" ref="K4:K25" si="2">J4^2</f>
        <v>118168.6000435598</v>
      </c>
      <c r="L4" s="84">
        <f t="shared" ref="L4:L25" si="3">J4/H4</f>
        <v>0.20777068600785717</v>
      </c>
    </row>
    <row r="5" spans="2:15" x14ac:dyDescent="0.3">
      <c r="B5" s="59">
        <v>46054</v>
      </c>
      <c r="C5" s="80">
        <v>1300.0999999999999</v>
      </c>
      <c r="D5" s="60">
        <f>C5/C4-1</f>
        <v>8.6895802622388718E-3</v>
      </c>
      <c r="G5" s="76">
        <v>46055</v>
      </c>
      <c r="H5" s="77">
        <v>1629.4</v>
      </c>
      <c r="I5" s="82">
        <f t="shared" si="0"/>
        <v>1310.8905000000004</v>
      </c>
      <c r="J5" s="82">
        <f t="shared" si="1"/>
        <v>318.50949999999966</v>
      </c>
      <c r="K5" s="82">
        <f t="shared" si="2"/>
        <v>101448.30159024979</v>
      </c>
      <c r="L5" s="84">
        <f t="shared" si="3"/>
        <v>0.19547655578740619</v>
      </c>
    </row>
    <row r="6" spans="2:15" x14ac:dyDescent="0.3">
      <c r="B6" s="59">
        <v>46023</v>
      </c>
      <c r="C6" s="80">
        <v>1641</v>
      </c>
      <c r="D6" s="60">
        <f t="shared" ref="D6:D69" si="4">C6/C5-1</f>
        <v>0.26221059918467815</v>
      </c>
      <c r="G6" s="76">
        <v>46056</v>
      </c>
      <c r="H6" s="77">
        <v>1656</v>
      </c>
      <c r="I6" s="82">
        <f t="shared" si="0"/>
        <v>1311.0376000000006</v>
      </c>
      <c r="J6" s="82">
        <f t="shared" si="1"/>
        <v>344.96239999999943</v>
      </c>
      <c r="K6" s="82">
        <f t="shared" si="2"/>
        <v>118999.05741375961</v>
      </c>
      <c r="L6" s="84">
        <f t="shared" si="3"/>
        <v>0.20831062801932332</v>
      </c>
    </row>
    <row r="7" spans="2:15" x14ac:dyDescent="0.3">
      <c r="B7" s="59">
        <v>45992</v>
      </c>
      <c r="C7" s="80">
        <v>1615.4</v>
      </c>
      <c r="D7" s="60">
        <f t="shared" si="4"/>
        <v>-1.560024375380864E-2</v>
      </c>
      <c r="G7" s="76">
        <v>46057</v>
      </c>
      <c r="H7" s="77">
        <v>1535.8</v>
      </c>
      <c r="I7" s="82">
        <f t="shared" si="0"/>
        <v>1311.1846999999998</v>
      </c>
      <c r="J7" s="82">
        <f t="shared" si="1"/>
        <v>224.61530000000016</v>
      </c>
      <c r="K7" s="82">
        <f t="shared" si="2"/>
        <v>50452.03299409007</v>
      </c>
      <c r="L7" s="84">
        <f t="shared" si="3"/>
        <v>0.14625296262534196</v>
      </c>
    </row>
    <row r="8" spans="2:15" x14ac:dyDescent="0.3">
      <c r="B8" s="59">
        <v>45962</v>
      </c>
      <c r="C8" s="80">
        <v>1560.1</v>
      </c>
      <c r="D8" s="60">
        <f t="shared" si="4"/>
        <v>-3.4233007304692475E-2</v>
      </c>
      <c r="G8" s="76">
        <v>46058</v>
      </c>
      <c r="H8" s="77">
        <v>1520.2</v>
      </c>
      <c r="I8" s="82">
        <f t="shared" si="0"/>
        <v>1311.3317999999999</v>
      </c>
      <c r="J8" s="82">
        <f t="shared" si="1"/>
        <v>208.86820000000012</v>
      </c>
      <c r="K8" s="82">
        <f t="shared" si="2"/>
        <v>43625.924971240049</v>
      </c>
      <c r="L8" s="84">
        <f t="shared" si="3"/>
        <v>0.13739521115642686</v>
      </c>
    </row>
    <row r="9" spans="2:15" x14ac:dyDescent="0.3">
      <c r="B9" s="59">
        <v>45931</v>
      </c>
      <c r="C9" s="80">
        <v>1482.3</v>
      </c>
      <c r="D9" s="60">
        <f t="shared" si="4"/>
        <v>-4.9868598166784128E-2</v>
      </c>
      <c r="G9" s="76">
        <v>46059</v>
      </c>
      <c r="H9" s="77">
        <v>1507.1</v>
      </c>
      <c r="I9" s="82">
        <f t="shared" si="0"/>
        <v>1311.4789000000001</v>
      </c>
      <c r="J9" s="82">
        <f t="shared" si="1"/>
        <v>195.62109999999984</v>
      </c>
      <c r="K9" s="82">
        <f t="shared" si="2"/>
        <v>38267.614765209939</v>
      </c>
      <c r="L9" s="84">
        <f t="shared" si="3"/>
        <v>0.12979968150753093</v>
      </c>
    </row>
    <row r="10" spans="2:15" x14ac:dyDescent="0.3">
      <c r="B10" s="59">
        <v>45901</v>
      </c>
      <c r="C10" s="80">
        <v>1441.8</v>
      </c>
      <c r="D10" s="60">
        <f t="shared" si="4"/>
        <v>-2.732240437158473E-2</v>
      </c>
      <c r="G10" s="76">
        <v>46062</v>
      </c>
      <c r="H10" s="77">
        <v>1497.2</v>
      </c>
      <c r="I10" s="82">
        <f t="shared" si="0"/>
        <v>1311.9202000000005</v>
      </c>
      <c r="J10" s="82">
        <f t="shared" si="1"/>
        <v>185.27979999999957</v>
      </c>
      <c r="K10" s="82">
        <f t="shared" si="2"/>
        <v>34328.604288039838</v>
      </c>
      <c r="L10" s="84">
        <f t="shared" si="3"/>
        <v>0.12375086828746965</v>
      </c>
    </row>
    <row r="11" spans="2:15" x14ac:dyDescent="0.3">
      <c r="B11" s="59">
        <v>45870</v>
      </c>
      <c r="C11" s="80">
        <v>1469.6</v>
      </c>
      <c r="D11" s="60">
        <f t="shared" si="4"/>
        <v>1.9281453738382526E-2</v>
      </c>
      <c r="G11" s="76">
        <v>46063</v>
      </c>
      <c r="H11" s="77">
        <v>1497.8</v>
      </c>
      <c r="I11" s="82">
        <f t="shared" si="0"/>
        <v>1312.0673000000006</v>
      </c>
      <c r="J11" s="82">
        <f t="shared" si="1"/>
        <v>185.73269999999934</v>
      </c>
      <c r="K11" s="82">
        <f t="shared" si="2"/>
        <v>34496.635849289756</v>
      </c>
      <c r="L11" s="84">
        <f t="shared" si="3"/>
        <v>0.124003672052343</v>
      </c>
    </row>
    <row r="12" spans="2:15" x14ac:dyDescent="0.3">
      <c r="B12" s="59">
        <v>45839</v>
      </c>
      <c r="C12" s="80">
        <v>1509</v>
      </c>
      <c r="D12" s="60">
        <f t="shared" si="4"/>
        <v>2.6810016330974573E-2</v>
      </c>
      <c r="G12" s="76">
        <v>46064</v>
      </c>
      <c r="H12" s="77">
        <v>1471.9</v>
      </c>
      <c r="I12" s="82">
        <f t="shared" si="0"/>
        <v>1312.2143999999998</v>
      </c>
      <c r="J12" s="82">
        <f t="shared" si="1"/>
        <v>159.68560000000025</v>
      </c>
      <c r="K12" s="82">
        <f t="shared" si="2"/>
        <v>25499.490847360081</v>
      </c>
      <c r="L12" s="84">
        <f t="shared" si="3"/>
        <v>0.10848943542360232</v>
      </c>
    </row>
    <row r="13" spans="2:15" x14ac:dyDescent="0.3">
      <c r="B13" s="59">
        <v>45809</v>
      </c>
      <c r="C13" s="80">
        <v>1601.8</v>
      </c>
      <c r="D13" s="60">
        <f t="shared" si="4"/>
        <v>6.1497680583167735E-2</v>
      </c>
      <c r="G13" s="76">
        <v>46065</v>
      </c>
      <c r="H13" s="77">
        <v>1386</v>
      </c>
      <c r="I13" s="82">
        <f t="shared" si="0"/>
        <v>1312.3615</v>
      </c>
      <c r="J13" s="82">
        <f t="shared" si="1"/>
        <v>73.638500000000022</v>
      </c>
      <c r="K13" s="82">
        <f t="shared" si="2"/>
        <v>5422.6286822500033</v>
      </c>
      <c r="L13" s="84">
        <f t="shared" si="3"/>
        <v>5.3130230880230896E-2</v>
      </c>
    </row>
    <row r="14" spans="2:15" x14ac:dyDescent="0.3">
      <c r="B14" s="59">
        <v>45778</v>
      </c>
      <c r="C14" s="80">
        <v>1562.7</v>
      </c>
      <c r="D14" s="60">
        <f t="shared" si="4"/>
        <v>-2.4410038706455195E-2</v>
      </c>
      <c r="G14" s="76">
        <v>46066</v>
      </c>
      <c r="H14" s="77">
        <v>1369.1</v>
      </c>
      <c r="I14" s="82">
        <f t="shared" si="0"/>
        <v>1312.5086000000001</v>
      </c>
      <c r="J14" s="82">
        <f t="shared" si="1"/>
        <v>56.591399999999794</v>
      </c>
      <c r="K14" s="82">
        <f t="shared" si="2"/>
        <v>3202.5865539599768</v>
      </c>
      <c r="L14" s="84">
        <f t="shared" si="3"/>
        <v>4.1334745453217296E-2</v>
      </c>
    </row>
    <row r="15" spans="2:15" x14ac:dyDescent="0.3">
      <c r="B15" s="59">
        <v>45748</v>
      </c>
      <c r="C15" s="80">
        <v>1500.1</v>
      </c>
      <c r="D15" s="60">
        <f t="shared" si="4"/>
        <v>-4.0058872464324602E-2</v>
      </c>
      <c r="G15" s="76">
        <v>46069</v>
      </c>
      <c r="H15" s="77">
        <v>1365.6</v>
      </c>
      <c r="I15" s="82">
        <f t="shared" si="0"/>
        <v>1312.9499000000005</v>
      </c>
      <c r="J15" s="82">
        <f t="shared" si="1"/>
        <v>52.650099999999384</v>
      </c>
      <c r="K15" s="82">
        <f t="shared" si="2"/>
        <v>2772.0330300099349</v>
      </c>
      <c r="L15" s="84">
        <f t="shared" si="3"/>
        <v>3.8554554774457662E-2</v>
      </c>
    </row>
    <row r="16" spans="2:15" x14ac:dyDescent="0.3">
      <c r="B16" s="59">
        <v>45717</v>
      </c>
      <c r="C16" s="80">
        <v>1570.65</v>
      </c>
      <c r="D16" s="60">
        <f t="shared" si="4"/>
        <v>4.7030197986801081E-2</v>
      </c>
      <c r="G16" s="76">
        <v>46070</v>
      </c>
      <c r="H16" s="77">
        <v>1391.2</v>
      </c>
      <c r="I16" s="82">
        <f t="shared" si="0"/>
        <v>1313.0970000000007</v>
      </c>
      <c r="J16" s="82">
        <f t="shared" si="1"/>
        <v>78.102999999999383</v>
      </c>
      <c r="K16" s="82">
        <f t="shared" si="2"/>
        <v>6100.0786089999037</v>
      </c>
      <c r="L16" s="84">
        <f t="shared" si="3"/>
        <v>5.6140741805634976E-2</v>
      </c>
    </row>
    <row r="17" spans="2:15" x14ac:dyDescent="0.3">
      <c r="B17" s="59">
        <v>45689</v>
      </c>
      <c r="C17" s="80">
        <v>1687.7</v>
      </c>
      <c r="D17" s="60">
        <f t="shared" si="4"/>
        <v>7.4523286537420796E-2</v>
      </c>
      <c r="G17" s="76">
        <v>46071</v>
      </c>
      <c r="H17" s="77">
        <v>1373.7</v>
      </c>
      <c r="I17" s="82">
        <f t="shared" si="0"/>
        <v>1313.2440999999999</v>
      </c>
      <c r="J17" s="82">
        <f t="shared" si="1"/>
        <v>60.455900000000156</v>
      </c>
      <c r="K17" s="82">
        <f t="shared" si="2"/>
        <v>3654.9158448100188</v>
      </c>
      <c r="L17" s="84">
        <f t="shared" si="3"/>
        <v>4.4009536288855032E-2</v>
      </c>
    </row>
    <row r="18" spans="2:15" x14ac:dyDescent="0.3">
      <c r="B18" s="59">
        <v>45658</v>
      </c>
      <c r="C18" s="80">
        <v>1879.8</v>
      </c>
      <c r="D18" s="60">
        <f t="shared" si="4"/>
        <v>0.11382354683889306</v>
      </c>
      <c r="G18" s="76">
        <v>46072</v>
      </c>
      <c r="H18" s="77">
        <v>1370.5</v>
      </c>
      <c r="I18" s="82">
        <f t="shared" si="0"/>
        <v>1313.3912</v>
      </c>
      <c r="J18" s="82">
        <f t="shared" si="1"/>
        <v>57.108799999999974</v>
      </c>
      <c r="K18" s="82">
        <f t="shared" si="2"/>
        <v>3261.4150374399969</v>
      </c>
      <c r="L18" s="84">
        <f t="shared" si="3"/>
        <v>4.1670047427945986E-2</v>
      </c>
      <c r="M18" s="78"/>
    </row>
    <row r="19" spans="2:15" x14ac:dyDescent="0.3">
      <c r="B19" s="59">
        <v>45627</v>
      </c>
      <c r="C19" s="80">
        <v>1880</v>
      </c>
      <c r="D19" s="60">
        <f t="shared" si="4"/>
        <v>1.0639429726566618E-4</v>
      </c>
      <c r="G19" s="76">
        <v>46073</v>
      </c>
      <c r="H19" s="77">
        <v>1353.2</v>
      </c>
      <c r="I19" s="82">
        <f t="shared" si="0"/>
        <v>1313.5383000000002</v>
      </c>
      <c r="J19" s="82">
        <f t="shared" si="1"/>
        <v>39.661699999999882</v>
      </c>
      <c r="K19" s="82">
        <f t="shared" si="2"/>
        <v>1573.0504468899908</v>
      </c>
      <c r="L19" s="84">
        <f t="shared" si="3"/>
        <v>2.9309562518474639E-2</v>
      </c>
      <c r="M19" s="78"/>
    </row>
    <row r="20" spans="2:15" x14ac:dyDescent="0.3">
      <c r="B20" s="59">
        <v>45597</v>
      </c>
      <c r="C20" s="80">
        <v>1857.85</v>
      </c>
      <c r="D20" s="60">
        <f t="shared" si="4"/>
        <v>-1.1781914893617018E-2</v>
      </c>
      <c r="G20" s="76">
        <v>46076</v>
      </c>
      <c r="H20" s="77">
        <v>1327.5</v>
      </c>
      <c r="I20" s="82">
        <f t="shared" si="0"/>
        <v>1313.9796000000006</v>
      </c>
      <c r="J20" s="82">
        <f t="shared" si="1"/>
        <v>13.520399999999427</v>
      </c>
      <c r="K20" s="82">
        <f t="shared" si="2"/>
        <v>182.80121615998451</v>
      </c>
      <c r="L20" s="84">
        <f t="shared" si="3"/>
        <v>1.0184858757061715E-2</v>
      </c>
      <c r="M20" s="78"/>
    </row>
    <row r="21" spans="2:15" x14ac:dyDescent="0.3">
      <c r="B21" s="59">
        <v>45566</v>
      </c>
      <c r="C21" s="80">
        <v>1757.25</v>
      </c>
      <c r="D21" s="60">
        <f t="shared" si="4"/>
        <v>-5.4148612643647231E-2</v>
      </c>
      <c r="G21" s="76">
        <v>46077</v>
      </c>
      <c r="H21" s="77">
        <v>1275.5</v>
      </c>
      <c r="I21" s="82">
        <f t="shared" si="0"/>
        <v>1314.1266999999998</v>
      </c>
      <c r="J21" s="82">
        <f t="shared" si="1"/>
        <v>38.626699999999801</v>
      </c>
      <c r="K21" s="82">
        <f t="shared" si="2"/>
        <v>1492.0219528899845</v>
      </c>
      <c r="L21" s="84">
        <f t="shared" si="3"/>
        <v>3.0283575068600393E-2</v>
      </c>
      <c r="M21" s="78"/>
    </row>
    <row r="22" spans="2:15" x14ac:dyDescent="0.3">
      <c r="B22" s="59">
        <v>45536</v>
      </c>
      <c r="C22" s="80">
        <v>1875.6</v>
      </c>
      <c r="D22" s="60">
        <f t="shared" si="4"/>
        <v>6.7349551856594081E-2</v>
      </c>
      <c r="G22" s="76">
        <v>46078</v>
      </c>
      <c r="H22" s="77">
        <v>1290.0999999999999</v>
      </c>
      <c r="I22" s="82">
        <f t="shared" si="0"/>
        <v>1314.2737999999999</v>
      </c>
      <c r="J22" s="82">
        <f t="shared" si="1"/>
        <v>24.173800000000028</v>
      </c>
      <c r="K22" s="82">
        <f t="shared" si="2"/>
        <v>584.37260644000139</v>
      </c>
      <c r="L22" s="84">
        <f t="shared" si="3"/>
        <v>1.8737927292457972E-2</v>
      </c>
      <c r="M22" s="78"/>
    </row>
    <row r="23" spans="2:15" x14ac:dyDescent="0.3">
      <c r="B23" s="59">
        <v>45505</v>
      </c>
      <c r="C23" s="80">
        <v>1943.7</v>
      </c>
      <c r="D23" s="60">
        <f t="shared" si="4"/>
        <v>3.6308381317978311E-2</v>
      </c>
      <c r="G23" s="76">
        <v>46079</v>
      </c>
      <c r="H23" s="77">
        <v>1289.0999999999999</v>
      </c>
      <c r="I23" s="82">
        <f t="shared" si="0"/>
        <v>1314.4209000000001</v>
      </c>
      <c r="J23" s="82">
        <f t="shared" si="1"/>
        <v>25.320900000000165</v>
      </c>
      <c r="K23" s="82">
        <f t="shared" si="2"/>
        <v>641.14797681000834</v>
      </c>
      <c r="L23" s="84">
        <f t="shared" si="3"/>
        <v>1.9642308587386678E-2</v>
      </c>
      <c r="M23" s="78"/>
    </row>
    <row r="24" spans="2:15" x14ac:dyDescent="0.3">
      <c r="B24" s="59">
        <v>45474</v>
      </c>
      <c r="C24" s="80">
        <v>1868.25</v>
      </c>
      <c r="D24" s="60">
        <f t="shared" si="4"/>
        <v>-3.8817718783762944E-2</v>
      </c>
      <c r="G24" s="76">
        <v>46080</v>
      </c>
      <c r="H24" s="77">
        <v>1300.0999999999999</v>
      </c>
      <c r="I24" s="82">
        <f t="shared" si="0"/>
        <v>1314.5680000000002</v>
      </c>
      <c r="J24" s="82">
        <f t="shared" si="1"/>
        <v>14.468000000000302</v>
      </c>
      <c r="K24" s="82">
        <f t="shared" si="2"/>
        <v>209.32302400000873</v>
      </c>
      <c r="L24" s="84">
        <f t="shared" si="3"/>
        <v>1.1128374740404817E-2</v>
      </c>
      <c r="M24" s="78"/>
    </row>
    <row r="25" spans="2:15" x14ac:dyDescent="0.3">
      <c r="B25" s="59">
        <v>45444</v>
      </c>
      <c r="C25" s="80">
        <v>1566.75</v>
      </c>
      <c r="D25" s="60">
        <f t="shared" si="4"/>
        <v>-0.16138097149739061</v>
      </c>
      <c r="G25" s="76">
        <v>46083</v>
      </c>
      <c r="H25" s="77">
        <v>1288.9000000000001</v>
      </c>
      <c r="I25" s="82">
        <f t="shared" si="0"/>
        <v>1315.0093000000006</v>
      </c>
      <c r="J25" s="82">
        <f t="shared" si="1"/>
        <v>26.10930000000053</v>
      </c>
      <c r="K25" s="82">
        <f t="shared" si="2"/>
        <v>681.69554649002771</v>
      </c>
      <c r="L25" s="84">
        <f t="shared" si="3"/>
        <v>2.0257040887578966E-2</v>
      </c>
      <c r="M25" s="78"/>
    </row>
    <row r="26" spans="2:15" x14ac:dyDescent="0.3">
      <c r="B26" s="59">
        <v>45413</v>
      </c>
      <c r="C26" s="80">
        <v>1406.9</v>
      </c>
      <c r="D26" s="60">
        <f t="shared" si="4"/>
        <v>-0.10202648795276836</v>
      </c>
      <c r="G26" s="76"/>
      <c r="H26" s="77"/>
      <c r="I26" s="85" t="s">
        <v>267</v>
      </c>
      <c r="J26" s="86">
        <f>AVERAGE(J4:J25)</f>
        <v>123.97544090909076</v>
      </c>
      <c r="K26" s="87">
        <f>AVERAGE(K4:K25)</f>
        <v>27048.378785906763</v>
      </c>
      <c r="L26" s="88">
        <f>AVERAGE(L4:L25)</f>
        <v>8.1619691152254925E-2</v>
      </c>
      <c r="M26" s="78"/>
    </row>
    <row r="27" spans="2:15" x14ac:dyDescent="0.3">
      <c r="B27" s="59">
        <v>45383</v>
      </c>
      <c r="C27" s="80">
        <v>1412.59</v>
      </c>
      <c r="D27" s="60">
        <f t="shared" si="4"/>
        <v>4.0443528324685118E-3</v>
      </c>
      <c r="M27" s="78"/>
    </row>
    <row r="28" spans="2:15" x14ac:dyDescent="0.3">
      <c r="B28" s="59">
        <v>45352</v>
      </c>
      <c r="C28" s="80">
        <v>1489.66</v>
      </c>
      <c r="D28" s="60">
        <f t="shared" si="4"/>
        <v>5.4559355510091612E-2</v>
      </c>
      <c r="M28" s="78"/>
    </row>
    <row r="29" spans="2:15" x14ac:dyDescent="0.3">
      <c r="B29" s="59">
        <v>45323</v>
      </c>
      <c r="C29" s="80">
        <v>1664.52</v>
      </c>
      <c r="D29" s="60">
        <f t="shared" si="4"/>
        <v>0.1173824899641529</v>
      </c>
      <c r="M29" s="78"/>
    </row>
    <row r="30" spans="2:15" x14ac:dyDescent="0.3">
      <c r="B30" s="59">
        <v>45292</v>
      </c>
      <c r="C30" s="80">
        <v>1651.59</v>
      </c>
      <c r="D30" s="60">
        <f t="shared" si="4"/>
        <v>-7.7680051906856562E-3</v>
      </c>
      <c r="H30" s="1" t="s">
        <v>25</v>
      </c>
      <c r="I30" s="16" t="s">
        <v>368</v>
      </c>
      <c r="J30" s="1"/>
      <c r="K30" s="1"/>
      <c r="L30" s="1"/>
      <c r="M30" s="1"/>
      <c r="N30" s="1"/>
      <c r="O30" s="1"/>
    </row>
    <row r="31" spans="2:15" x14ac:dyDescent="0.3">
      <c r="B31" s="59">
        <v>45261</v>
      </c>
      <c r="C31" s="80">
        <v>1534.25</v>
      </c>
      <c r="D31" s="60">
        <f t="shared" si="4"/>
        <v>-7.104668834274841E-2</v>
      </c>
      <c r="G31" s="1"/>
      <c r="H31" s="1"/>
      <c r="I31" s="1" t="s">
        <v>367</v>
      </c>
      <c r="J31" s="1"/>
      <c r="K31" s="1"/>
      <c r="L31" s="1"/>
      <c r="M31" s="1"/>
      <c r="N31" s="1"/>
      <c r="O31" s="1"/>
    </row>
    <row r="32" spans="2:15" x14ac:dyDescent="0.3">
      <c r="B32" s="59">
        <v>45231</v>
      </c>
      <c r="C32" s="80">
        <v>1446.99</v>
      </c>
      <c r="D32" s="60">
        <f t="shared" si="4"/>
        <v>-5.6874694476128362E-2</v>
      </c>
      <c r="G32" s="1"/>
      <c r="H32" s="1"/>
      <c r="I32" s="1" t="s">
        <v>369</v>
      </c>
      <c r="J32" s="1"/>
      <c r="K32" s="1"/>
      <c r="L32" s="1"/>
      <c r="M32" s="1"/>
      <c r="N32" s="1"/>
      <c r="O32" s="1"/>
    </row>
    <row r="33" spans="2:15" x14ac:dyDescent="0.3">
      <c r="B33" s="59">
        <v>45200</v>
      </c>
      <c r="C33" s="80">
        <v>1360.73</v>
      </c>
      <c r="D33" s="60">
        <f t="shared" si="4"/>
        <v>-5.9613404377362622E-2</v>
      </c>
      <c r="G33" s="1"/>
      <c r="H33" s="1"/>
      <c r="I33" s="1" t="s">
        <v>372</v>
      </c>
      <c r="J33" s="1"/>
      <c r="K33" s="1"/>
      <c r="L33" s="1"/>
      <c r="M33" s="1"/>
      <c r="N33" s="1"/>
      <c r="O33" s="1"/>
    </row>
    <row r="34" spans="2:15" x14ac:dyDescent="0.3">
      <c r="B34" s="59">
        <v>45170</v>
      </c>
      <c r="C34" s="80">
        <v>1427.41</v>
      </c>
      <c r="D34" s="60">
        <f t="shared" si="4"/>
        <v>4.9003108625517156E-2</v>
      </c>
      <c r="G34" s="1"/>
      <c r="H34" s="1"/>
      <c r="I34" s="1" t="s">
        <v>370</v>
      </c>
      <c r="J34" s="1"/>
      <c r="K34" s="1"/>
      <c r="L34" s="1"/>
      <c r="M34" s="1"/>
      <c r="N34" s="1"/>
      <c r="O34" s="1"/>
    </row>
    <row r="35" spans="2:15" x14ac:dyDescent="0.3">
      <c r="B35" s="59">
        <v>45139</v>
      </c>
      <c r="C35" s="80">
        <v>1427.41</v>
      </c>
      <c r="D35" s="60">
        <f t="shared" si="4"/>
        <v>0</v>
      </c>
      <c r="G35" s="1"/>
      <c r="H35" s="1"/>
      <c r="I35" s="1" t="s">
        <v>371</v>
      </c>
      <c r="J35" s="1"/>
      <c r="K35" s="1"/>
      <c r="L35" s="1"/>
      <c r="M35" s="1"/>
      <c r="N35" s="1"/>
      <c r="O35" s="1"/>
    </row>
    <row r="36" spans="2:15" x14ac:dyDescent="0.3">
      <c r="B36" s="59">
        <v>45108</v>
      </c>
      <c r="C36" s="80">
        <v>1348.1</v>
      </c>
      <c r="D36" s="60">
        <f t="shared" si="4"/>
        <v>-5.5562172045873437E-2</v>
      </c>
      <c r="G36" s="1"/>
      <c r="H36" s="1"/>
      <c r="I36" s="1" t="s">
        <v>373</v>
      </c>
      <c r="J36" s="1"/>
      <c r="K36" s="1"/>
      <c r="L36" s="1"/>
      <c r="M36" s="1"/>
      <c r="N36" s="1"/>
      <c r="O36" s="1"/>
    </row>
    <row r="37" spans="2:15" x14ac:dyDescent="0.3">
      <c r="B37" s="59">
        <v>45078</v>
      </c>
      <c r="C37" s="80">
        <v>1328.02</v>
      </c>
      <c r="D37" s="60">
        <f t="shared" si="4"/>
        <v>-1.489503746012899E-2</v>
      </c>
      <c r="G37" s="1"/>
      <c r="H37" s="1"/>
      <c r="I37" s="1"/>
      <c r="J37" s="1"/>
      <c r="K37" s="1"/>
      <c r="L37" s="1"/>
      <c r="M37" s="1"/>
      <c r="N37" s="1"/>
      <c r="O37" s="1"/>
    </row>
    <row r="38" spans="2:15" x14ac:dyDescent="0.3">
      <c r="B38" s="59">
        <v>45047</v>
      </c>
      <c r="C38" s="80">
        <v>1310.91</v>
      </c>
      <c r="D38" s="60">
        <f t="shared" si="4"/>
        <v>-1.2883842110811505E-2</v>
      </c>
      <c r="G38" s="1"/>
      <c r="H38" s="1"/>
      <c r="I38" s="1" t="s">
        <v>375</v>
      </c>
      <c r="J38" s="1"/>
      <c r="K38" s="1"/>
      <c r="L38" s="1"/>
      <c r="M38" s="1"/>
      <c r="N38" s="1"/>
      <c r="O38" s="1"/>
    </row>
    <row r="39" spans="2:15" x14ac:dyDescent="0.3">
      <c r="B39" s="59">
        <v>45017</v>
      </c>
      <c r="C39" s="80">
        <v>1245.73</v>
      </c>
      <c r="D39" s="60">
        <f t="shared" si="4"/>
        <v>-4.9721186046334243E-2</v>
      </c>
      <c r="G39" s="1"/>
      <c r="H39" s="1"/>
      <c r="I39" s="1" t="s">
        <v>374</v>
      </c>
      <c r="J39" s="1"/>
      <c r="K39" s="1"/>
      <c r="L39" s="1"/>
      <c r="M39" s="1"/>
      <c r="N39" s="1"/>
      <c r="O39" s="1"/>
    </row>
    <row r="40" spans="2:15" x14ac:dyDescent="0.3">
      <c r="B40" s="59">
        <v>44986</v>
      </c>
      <c r="C40" s="80">
        <v>1419.95</v>
      </c>
      <c r="D40" s="60">
        <f t="shared" si="4"/>
        <v>0.13985374037712828</v>
      </c>
      <c r="G40" s="1"/>
      <c r="H40" s="1"/>
      <c r="I40" s="1" t="s">
        <v>376</v>
      </c>
      <c r="J40" s="1"/>
      <c r="K40" s="1"/>
      <c r="L40" s="1"/>
      <c r="M40" s="1"/>
      <c r="N40" s="1"/>
      <c r="O40" s="1"/>
    </row>
    <row r="41" spans="2:15" x14ac:dyDescent="0.3">
      <c r="B41" s="59">
        <v>44958</v>
      </c>
      <c r="C41" s="80">
        <v>1479.21</v>
      </c>
      <c r="D41" s="60">
        <f t="shared" si="4"/>
        <v>4.173386386844613E-2</v>
      </c>
      <c r="G41" s="1"/>
      <c r="H41" s="1"/>
      <c r="I41" s="1" t="s">
        <v>377</v>
      </c>
      <c r="J41" s="1"/>
      <c r="K41" s="1"/>
      <c r="L41" s="1"/>
      <c r="M41" s="1"/>
      <c r="N41" s="1"/>
      <c r="O41" s="1"/>
    </row>
    <row r="42" spans="2:15" x14ac:dyDescent="0.3">
      <c r="B42" s="59">
        <v>44927</v>
      </c>
      <c r="C42" s="80">
        <v>1525.16</v>
      </c>
      <c r="D42" s="60">
        <f t="shared" si="4"/>
        <v>3.1063878692004554E-2</v>
      </c>
      <c r="G42" s="1"/>
      <c r="H42" s="1"/>
      <c r="I42" s="1" t="s">
        <v>378</v>
      </c>
      <c r="J42" s="1"/>
      <c r="K42" s="1"/>
      <c r="L42" s="1"/>
      <c r="M42" s="1"/>
      <c r="N42" s="1"/>
      <c r="O42" s="1"/>
    </row>
    <row r="43" spans="2:15" x14ac:dyDescent="0.3">
      <c r="B43" s="59">
        <v>44896</v>
      </c>
      <c r="C43" s="80">
        <v>1499.75</v>
      </c>
      <c r="D43" s="60">
        <f t="shared" si="4"/>
        <v>-1.666054709014142E-2</v>
      </c>
      <c r="G43" s="1"/>
      <c r="H43" s="1"/>
      <c r="I43" s="1" t="s">
        <v>379</v>
      </c>
      <c r="J43" s="1"/>
      <c r="K43" s="1"/>
      <c r="L43" s="1"/>
      <c r="M43" s="1"/>
      <c r="N43" s="1"/>
      <c r="O43" s="1"/>
    </row>
    <row r="44" spans="2:15" x14ac:dyDescent="0.3">
      <c r="B44" s="59">
        <v>44866</v>
      </c>
      <c r="C44" s="80">
        <v>1625.79</v>
      </c>
      <c r="D44" s="60">
        <f t="shared" si="4"/>
        <v>8.404067344557431E-2</v>
      </c>
      <c r="G44" s="1"/>
      <c r="H44" s="1"/>
      <c r="I44" s="1" t="s">
        <v>380</v>
      </c>
      <c r="J44" s="1"/>
      <c r="K44" s="1"/>
      <c r="L44" s="1"/>
      <c r="M44" s="1"/>
      <c r="N44" s="1"/>
      <c r="O44" s="1"/>
    </row>
    <row r="45" spans="2:15" x14ac:dyDescent="0.3">
      <c r="B45" s="59">
        <v>44835</v>
      </c>
      <c r="C45" s="80">
        <v>1529.03</v>
      </c>
      <c r="D45" s="60">
        <f t="shared" si="4"/>
        <v>-5.9515681607095638E-2</v>
      </c>
      <c r="G45" s="1"/>
      <c r="H45" s="1"/>
      <c r="I45" s="1" t="s">
        <v>382</v>
      </c>
      <c r="J45" s="1"/>
      <c r="K45" s="1"/>
      <c r="L45" s="1"/>
      <c r="M45" s="1"/>
      <c r="N45" s="1"/>
      <c r="O45" s="1"/>
    </row>
    <row r="46" spans="2:15" x14ac:dyDescent="0.3">
      <c r="B46" s="59">
        <v>44805</v>
      </c>
      <c r="C46" s="80">
        <v>1405.53</v>
      </c>
      <c r="D46" s="60">
        <f t="shared" si="4"/>
        <v>-8.0770161474921998E-2</v>
      </c>
      <c r="G46" s="1"/>
      <c r="H46" s="1"/>
      <c r="I46" s="1" t="s">
        <v>381</v>
      </c>
      <c r="J46" s="1"/>
      <c r="K46" s="1"/>
      <c r="L46" s="1"/>
      <c r="M46" s="1"/>
      <c r="N46" s="1"/>
      <c r="O46" s="1"/>
    </row>
    <row r="47" spans="2:15" x14ac:dyDescent="0.3">
      <c r="B47" s="59">
        <v>44774</v>
      </c>
      <c r="C47" s="80">
        <v>1484.58</v>
      </c>
      <c r="D47" s="60">
        <f t="shared" si="4"/>
        <v>5.624212930353667E-2</v>
      </c>
      <c r="G47" s="1"/>
      <c r="H47" s="1"/>
      <c r="I47" s="1" t="s">
        <v>383</v>
      </c>
      <c r="J47" s="1"/>
      <c r="K47" s="1"/>
      <c r="L47" s="1"/>
      <c r="M47" s="1"/>
      <c r="N47" s="1"/>
      <c r="O47" s="1"/>
    </row>
    <row r="48" spans="2:15" x14ac:dyDescent="0.3">
      <c r="B48" s="59">
        <v>44743</v>
      </c>
      <c r="C48" s="80">
        <v>1541.02</v>
      </c>
      <c r="D48" s="60">
        <f t="shared" si="4"/>
        <v>3.8017486427137648E-2</v>
      </c>
      <c r="G48" s="1"/>
      <c r="H48" s="1"/>
      <c r="I48" s="1" t="s">
        <v>384</v>
      </c>
      <c r="J48" s="1"/>
      <c r="K48" s="1"/>
      <c r="L48" s="1"/>
      <c r="M48" s="1"/>
      <c r="N48" s="1"/>
      <c r="O48" s="1"/>
    </row>
    <row r="49" spans="2:15" x14ac:dyDescent="0.3">
      <c r="B49" s="59">
        <v>44713</v>
      </c>
      <c r="C49" s="80">
        <v>1453.71</v>
      </c>
      <c r="D49" s="60">
        <f t="shared" si="4"/>
        <v>-5.6657278945114187E-2</v>
      </c>
      <c r="G49" s="1"/>
      <c r="H49" s="1"/>
      <c r="I49" s="1" t="s">
        <v>385</v>
      </c>
      <c r="J49" s="1"/>
      <c r="K49" s="1"/>
      <c r="L49" s="1"/>
      <c r="M49" s="1"/>
      <c r="N49" s="1"/>
      <c r="O49" s="1"/>
    </row>
    <row r="50" spans="2:15" x14ac:dyDescent="0.3">
      <c r="B50" s="59">
        <v>44682</v>
      </c>
      <c r="C50" s="80">
        <v>1495.17</v>
      </c>
      <c r="D50" s="60">
        <f t="shared" si="4"/>
        <v>2.8520131250386882E-2</v>
      </c>
      <c r="G50" s="1"/>
      <c r="H50" s="1"/>
      <c r="I50" s="1" t="s">
        <v>386</v>
      </c>
      <c r="J50" s="1"/>
      <c r="K50" s="1"/>
      <c r="L50" s="1"/>
      <c r="M50" s="1"/>
      <c r="N50" s="1"/>
      <c r="O50" s="1"/>
    </row>
    <row r="51" spans="2:15" x14ac:dyDescent="0.3">
      <c r="B51" s="59">
        <v>44652</v>
      </c>
      <c r="C51" s="80">
        <v>1558.77</v>
      </c>
      <c r="D51" s="60">
        <f t="shared" si="4"/>
        <v>4.253696904030968E-2</v>
      </c>
      <c r="G51" s="1"/>
      <c r="H51" s="1"/>
      <c r="I51" s="1"/>
      <c r="J51" s="1"/>
      <c r="K51" s="1"/>
      <c r="L51" s="1"/>
      <c r="M51" s="1"/>
      <c r="N51" s="1"/>
      <c r="O51" s="1"/>
    </row>
    <row r="52" spans="2:15" x14ac:dyDescent="0.3">
      <c r="B52" s="59">
        <v>44621</v>
      </c>
      <c r="C52" s="80">
        <v>1896.16</v>
      </c>
      <c r="D52" s="60">
        <f t="shared" si="4"/>
        <v>0.21644630060881354</v>
      </c>
      <c r="I52" s="77"/>
      <c r="J52" s="77"/>
      <c r="K52" s="77"/>
      <c r="M52" s="78"/>
    </row>
    <row r="53" spans="2:15" x14ac:dyDescent="0.3">
      <c r="B53" s="59">
        <v>44593</v>
      </c>
      <c r="C53" s="80">
        <v>1705.99</v>
      </c>
      <c r="D53" s="60">
        <f t="shared" si="4"/>
        <v>-0.10029216943717834</v>
      </c>
      <c r="I53" s="77"/>
      <c r="J53" s="77"/>
      <c r="K53" s="77"/>
      <c r="M53" s="78"/>
    </row>
    <row r="54" spans="2:15" x14ac:dyDescent="0.3">
      <c r="B54" s="59">
        <v>44562</v>
      </c>
      <c r="C54" s="80">
        <v>1726.47</v>
      </c>
      <c r="D54" s="60">
        <f t="shared" si="4"/>
        <v>1.200475969964665E-2</v>
      </c>
      <c r="I54" s="77"/>
      <c r="J54" s="77"/>
      <c r="K54" s="77"/>
      <c r="M54" s="78"/>
    </row>
    <row r="55" spans="2:15" x14ac:dyDescent="0.3">
      <c r="B55" s="59">
        <v>44531</v>
      </c>
      <c r="C55" s="80">
        <v>1877.17</v>
      </c>
      <c r="D55" s="60">
        <f t="shared" si="4"/>
        <v>8.7287934340011697E-2</v>
      </c>
      <c r="I55" s="77"/>
      <c r="J55" s="77"/>
      <c r="K55" s="77"/>
      <c r="M55" s="78"/>
    </row>
    <row r="56" spans="2:15" x14ac:dyDescent="0.3">
      <c r="B56" s="59">
        <v>44501</v>
      </c>
      <c r="C56" s="80">
        <v>1703.05</v>
      </c>
      <c r="D56" s="60">
        <f t="shared" si="4"/>
        <v>-9.275664963748631E-2</v>
      </c>
      <c r="I56" s="77"/>
      <c r="J56" s="77"/>
      <c r="K56" s="77"/>
      <c r="M56" s="78"/>
    </row>
    <row r="57" spans="2:15" x14ac:dyDescent="0.3">
      <c r="B57" s="59">
        <v>44470</v>
      </c>
      <c r="C57" s="80">
        <v>1658.4</v>
      </c>
      <c r="D57" s="60">
        <f t="shared" si="4"/>
        <v>-2.6217668300989372E-2</v>
      </c>
      <c r="I57" s="77"/>
      <c r="J57" s="77"/>
      <c r="K57" s="77"/>
      <c r="M57" s="78"/>
    </row>
    <row r="58" spans="2:15" x14ac:dyDescent="0.3">
      <c r="B58" s="59">
        <v>44440</v>
      </c>
      <c r="C58" s="80">
        <v>1665.81</v>
      </c>
      <c r="D58" s="60">
        <f t="shared" si="4"/>
        <v>4.4681620839361891E-3</v>
      </c>
      <c r="I58" s="77"/>
      <c r="J58" s="77"/>
      <c r="K58" s="77"/>
      <c r="M58" s="78"/>
    </row>
    <row r="59" spans="2:15" x14ac:dyDescent="0.3">
      <c r="B59" s="59">
        <v>44409</v>
      </c>
      <c r="C59" s="80">
        <v>1696.89</v>
      </c>
      <c r="D59" s="60">
        <f t="shared" si="4"/>
        <v>1.865759000126066E-2</v>
      </c>
      <c r="I59" s="77"/>
      <c r="J59" s="77"/>
      <c r="K59" s="77"/>
      <c r="M59" s="78"/>
    </row>
    <row r="60" spans="2:15" x14ac:dyDescent="0.3">
      <c r="B60" s="59">
        <v>44378</v>
      </c>
      <c r="C60" s="80">
        <v>1601.47</v>
      </c>
      <c r="D60" s="60">
        <f t="shared" si="4"/>
        <v>-5.6232283766184055E-2</v>
      </c>
      <c r="I60" s="77"/>
      <c r="J60" s="77"/>
      <c r="K60" s="77"/>
      <c r="M60" s="78"/>
    </row>
    <row r="61" spans="2:15" x14ac:dyDescent="0.3">
      <c r="B61" s="59">
        <v>44348</v>
      </c>
      <c r="C61" s="80">
        <v>1571.94</v>
      </c>
      <c r="D61" s="60">
        <f t="shared" si="4"/>
        <v>-1.8439308884961925E-2</v>
      </c>
    </row>
    <row r="62" spans="2:15" x14ac:dyDescent="0.3">
      <c r="B62" s="59">
        <v>44317</v>
      </c>
      <c r="C62" s="80">
        <v>1385.94</v>
      </c>
      <c r="D62" s="60">
        <f t="shared" si="4"/>
        <v>-0.11832512691324093</v>
      </c>
    </row>
    <row r="63" spans="2:15" x14ac:dyDescent="0.3">
      <c r="B63" s="59">
        <v>44287</v>
      </c>
      <c r="C63" s="80">
        <v>1346.76</v>
      </c>
      <c r="D63" s="60">
        <f t="shared" si="4"/>
        <v>-2.8269622061561139E-2</v>
      </c>
    </row>
    <row r="64" spans="2:15" x14ac:dyDescent="0.3">
      <c r="B64" s="59">
        <v>44256</v>
      </c>
      <c r="C64" s="80">
        <v>1360.38</v>
      </c>
      <c r="D64" s="60">
        <f t="shared" si="4"/>
        <v>1.011316047402655E-2</v>
      </c>
    </row>
    <row r="65" spans="2:4" x14ac:dyDescent="0.3">
      <c r="B65" s="59">
        <v>44228</v>
      </c>
      <c r="C65" s="80">
        <v>1246.28</v>
      </c>
      <c r="D65" s="60">
        <f t="shared" si="4"/>
        <v>-8.3873623546362186E-2</v>
      </c>
    </row>
    <row r="66" spans="2:4" x14ac:dyDescent="0.3">
      <c r="B66" s="59">
        <v>44197</v>
      </c>
      <c r="C66" s="80">
        <v>1232.1099999999999</v>
      </c>
      <c r="D66" s="60">
        <f t="shared" si="4"/>
        <v>-1.1369836633822294E-2</v>
      </c>
    </row>
    <row r="67" spans="2:4" x14ac:dyDescent="0.3">
      <c r="B67" s="59">
        <v>44166</v>
      </c>
      <c r="C67" s="80">
        <v>1248.76</v>
      </c>
      <c r="D67" s="60">
        <f t="shared" si="4"/>
        <v>1.3513403835696547E-2</v>
      </c>
    </row>
    <row r="68" spans="2:4" x14ac:dyDescent="0.3">
      <c r="B68" s="59">
        <v>44136</v>
      </c>
      <c r="C68" s="80">
        <v>1093.8399999999999</v>
      </c>
      <c r="D68" s="60">
        <f t="shared" si="4"/>
        <v>-0.12405906659406141</v>
      </c>
    </row>
    <row r="69" spans="2:4" x14ac:dyDescent="0.3">
      <c r="B69" s="59">
        <v>44105</v>
      </c>
      <c r="C69" s="80">
        <v>1054.6600000000001</v>
      </c>
      <c r="D69" s="60">
        <f t="shared" si="4"/>
        <v>-3.5818766912893873E-2</v>
      </c>
    </row>
    <row r="70" spans="2:4" x14ac:dyDescent="0.3">
      <c r="B70" s="59">
        <v>44075</v>
      </c>
      <c r="C70" s="80">
        <v>1002.6</v>
      </c>
      <c r="D70" s="60">
        <f t="shared" ref="D70:D133" si="5">C70/C69-1</f>
        <v>-4.9361879657899288E-2</v>
      </c>
    </row>
    <row r="71" spans="2:4" x14ac:dyDescent="0.3">
      <c r="B71" s="59">
        <v>44044</v>
      </c>
      <c r="C71" s="81">
        <v>923.4</v>
      </c>
      <c r="D71" s="60">
        <f t="shared" si="5"/>
        <v>-7.8994614003590757E-2</v>
      </c>
    </row>
    <row r="72" spans="2:4" x14ac:dyDescent="0.3">
      <c r="B72" s="59">
        <v>44013</v>
      </c>
      <c r="C72" s="81">
        <v>960.59</v>
      </c>
      <c r="D72" s="60">
        <f t="shared" si="5"/>
        <v>4.0275070392029599E-2</v>
      </c>
    </row>
    <row r="73" spans="2:4" x14ac:dyDescent="0.3">
      <c r="B73" s="59">
        <v>43983</v>
      </c>
      <c r="C73" s="81">
        <v>731.83</v>
      </c>
      <c r="D73" s="60">
        <f t="shared" si="5"/>
        <v>-0.23814530653036148</v>
      </c>
    </row>
    <row r="74" spans="2:4" x14ac:dyDescent="0.3">
      <c r="B74" s="59">
        <v>43952</v>
      </c>
      <c r="C74" s="81">
        <v>687.13</v>
      </c>
      <c r="D74" s="60">
        <f t="shared" si="5"/>
        <v>-6.1079758960414399E-2</v>
      </c>
    </row>
    <row r="75" spans="2:4" x14ac:dyDescent="0.3">
      <c r="B75" s="59">
        <v>43922</v>
      </c>
      <c r="C75" s="81">
        <v>711.49</v>
      </c>
      <c r="D75" s="60">
        <f t="shared" si="5"/>
        <v>3.5451806790563589E-2</v>
      </c>
    </row>
    <row r="76" spans="2:4" x14ac:dyDescent="0.3">
      <c r="B76" s="59">
        <v>43891</v>
      </c>
      <c r="C76" s="81">
        <v>637.91</v>
      </c>
      <c r="D76" s="60">
        <f t="shared" si="5"/>
        <v>-0.10341677325050247</v>
      </c>
    </row>
    <row r="77" spans="2:4" x14ac:dyDescent="0.3">
      <c r="B77" s="59">
        <v>43862</v>
      </c>
      <c r="C77" s="81">
        <v>727.6</v>
      </c>
      <c r="D77" s="60">
        <f t="shared" si="5"/>
        <v>0.14059977112758859</v>
      </c>
    </row>
    <row r="78" spans="2:4" x14ac:dyDescent="0.3">
      <c r="B78" s="59">
        <v>43831</v>
      </c>
      <c r="C78" s="81">
        <v>771.6</v>
      </c>
      <c r="D78" s="60">
        <f t="shared" si="5"/>
        <v>6.0472787245739346E-2</v>
      </c>
    </row>
    <row r="79" spans="2:4" x14ac:dyDescent="0.3">
      <c r="B79" s="59">
        <v>43800</v>
      </c>
      <c r="C79" s="81">
        <v>727.05</v>
      </c>
      <c r="D79" s="60">
        <f t="shared" si="5"/>
        <v>-5.773716951788499E-2</v>
      </c>
    </row>
    <row r="80" spans="2:4" x14ac:dyDescent="0.3">
      <c r="B80" s="59">
        <v>43770</v>
      </c>
      <c r="C80" s="81">
        <v>692.45</v>
      </c>
      <c r="D80" s="60">
        <f t="shared" si="5"/>
        <v>-4.7589574307131399E-2</v>
      </c>
    </row>
    <row r="81" spans="2:4" x14ac:dyDescent="0.3">
      <c r="B81" s="59">
        <v>43739</v>
      </c>
      <c r="C81" s="81">
        <v>681.76</v>
      </c>
      <c r="D81" s="60">
        <f t="shared" si="5"/>
        <v>-1.5437937757238895E-2</v>
      </c>
    </row>
    <row r="82" spans="2:4" x14ac:dyDescent="0.3">
      <c r="B82" s="59">
        <v>43709</v>
      </c>
      <c r="C82" s="81">
        <v>801.14</v>
      </c>
      <c r="D82" s="60">
        <f t="shared" si="5"/>
        <v>0.17510560901196892</v>
      </c>
    </row>
    <row r="83" spans="2:4" x14ac:dyDescent="0.3">
      <c r="B83" s="59">
        <v>43678</v>
      </c>
      <c r="C83" s="81">
        <v>810.33</v>
      </c>
      <c r="D83" s="60">
        <f t="shared" si="5"/>
        <v>1.1471153606111395E-2</v>
      </c>
    </row>
    <row r="84" spans="2:4" x14ac:dyDescent="0.3">
      <c r="B84" s="59">
        <v>43647</v>
      </c>
      <c r="C84" s="81">
        <v>789.2</v>
      </c>
      <c r="D84" s="60">
        <f t="shared" si="5"/>
        <v>-2.6075796280527697E-2</v>
      </c>
    </row>
    <row r="85" spans="2:4" x14ac:dyDescent="0.3">
      <c r="B85" s="59">
        <v>43617</v>
      </c>
      <c r="C85" s="81">
        <v>727.9</v>
      </c>
      <c r="D85" s="60">
        <f t="shared" si="5"/>
        <v>-7.767359351241776E-2</v>
      </c>
    </row>
    <row r="86" spans="2:4" x14ac:dyDescent="0.3">
      <c r="B86" s="59">
        <v>43586</v>
      </c>
      <c r="C86" s="81">
        <v>733.62</v>
      </c>
      <c r="D86" s="60">
        <f t="shared" si="5"/>
        <v>7.8582222832808135E-3</v>
      </c>
    </row>
    <row r="87" spans="2:4" x14ac:dyDescent="0.3">
      <c r="B87" s="59">
        <v>43556</v>
      </c>
      <c r="C87" s="81">
        <v>747.14</v>
      </c>
      <c r="D87" s="60">
        <f t="shared" si="5"/>
        <v>1.8429159510373161E-2</v>
      </c>
    </row>
    <row r="88" spans="2:4" x14ac:dyDescent="0.3">
      <c r="B88" s="59">
        <v>43525</v>
      </c>
      <c r="C88" s="81">
        <v>739.68</v>
      </c>
      <c r="D88" s="60">
        <f t="shared" si="5"/>
        <v>-9.9847418154562773E-3</v>
      </c>
    </row>
    <row r="89" spans="2:4" x14ac:dyDescent="0.3">
      <c r="B89" s="59">
        <v>43497</v>
      </c>
      <c r="C89" s="81">
        <v>730.18</v>
      </c>
      <c r="D89" s="60">
        <f t="shared" si="5"/>
        <v>-1.2843391736967358E-2</v>
      </c>
    </row>
    <row r="90" spans="2:4" x14ac:dyDescent="0.3">
      <c r="B90" s="59">
        <v>43466</v>
      </c>
      <c r="C90" s="81">
        <v>745.35</v>
      </c>
      <c r="D90" s="60">
        <f t="shared" si="5"/>
        <v>2.0775699142677295E-2</v>
      </c>
    </row>
    <row r="91" spans="2:4" x14ac:dyDescent="0.3">
      <c r="B91" s="59">
        <v>43435</v>
      </c>
      <c r="C91" s="81">
        <v>651.66999999999996</v>
      </c>
      <c r="D91" s="60">
        <f t="shared" si="5"/>
        <v>-0.12568591936674056</v>
      </c>
    </row>
    <row r="92" spans="2:4" x14ac:dyDescent="0.3">
      <c r="B92" s="59">
        <v>43405</v>
      </c>
      <c r="C92" s="81">
        <v>660.08</v>
      </c>
      <c r="D92" s="60">
        <f t="shared" si="5"/>
        <v>1.2905304832200537E-2</v>
      </c>
    </row>
    <row r="93" spans="2:4" x14ac:dyDescent="0.3">
      <c r="B93" s="59">
        <v>43374</v>
      </c>
      <c r="C93" s="81">
        <v>678.82</v>
      </c>
      <c r="D93" s="60">
        <f t="shared" si="5"/>
        <v>2.8390498121439789E-2</v>
      </c>
    </row>
    <row r="94" spans="2:4" x14ac:dyDescent="0.3">
      <c r="B94" s="59">
        <v>43344</v>
      </c>
      <c r="C94" s="81">
        <v>721.99</v>
      </c>
      <c r="D94" s="60">
        <f t="shared" si="5"/>
        <v>6.3595651277216225E-2</v>
      </c>
    </row>
    <row r="95" spans="2:4" x14ac:dyDescent="0.3">
      <c r="B95" s="59">
        <v>43313</v>
      </c>
      <c r="C95" s="81">
        <v>712.59</v>
      </c>
      <c r="D95" s="60">
        <f t="shared" si="5"/>
        <v>-1.3019570908184286E-2</v>
      </c>
    </row>
    <row r="96" spans="2:4" x14ac:dyDescent="0.3">
      <c r="B96" s="59">
        <v>43282</v>
      </c>
      <c r="C96" s="81">
        <v>675.01</v>
      </c>
      <c r="D96" s="60">
        <f t="shared" si="5"/>
        <v>-5.2737198108309236E-2</v>
      </c>
    </row>
    <row r="97" spans="2:4" x14ac:dyDescent="0.3">
      <c r="B97" s="59">
        <v>43252</v>
      </c>
      <c r="C97" s="81">
        <v>646.38</v>
      </c>
      <c r="D97" s="60">
        <f t="shared" si="5"/>
        <v>-4.2414186456496972E-2</v>
      </c>
    </row>
    <row r="98" spans="2:4" x14ac:dyDescent="0.3">
      <c r="B98" s="59">
        <v>43221</v>
      </c>
      <c r="C98" s="81">
        <v>604.32000000000005</v>
      </c>
      <c r="D98" s="60">
        <f t="shared" si="5"/>
        <v>-6.5070082613942204E-2</v>
      </c>
    </row>
    <row r="99" spans="2:4" x14ac:dyDescent="0.3">
      <c r="B99" s="59">
        <v>43191</v>
      </c>
      <c r="C99" s="81">
        <v>588.48</v>
      </c>
      <c r="D99" s="60">
        <f t="shared" si="5"/>
        <v>-2.6211278792692694E-2</v>
      </c>
    </row>
    <row r="100" spans="2:4" x14ac:dyDescent="0.3">
      <c r="B100" s="59">
        <v>43160</v>
      </c>
      <c r="C100" s="81">
        <v>555.26</v>
      </c>
      <c r="D100" s="60">
        <f t="shared" si="5"/>
        <v>-5.6450516585100696E-2</v>
      </c>
    </row>
    <row r="101" spans="2:4" x14ac:dyDescent="0.3">
      <c r="B101" s="59">
        <v>43132</v>
      </c>
      <c r="C101" s="81">
        <v>575.28</v>
      </c>
      <c r="D101" s="60">
        <f t="shared" si="5"/>
        <v>3.6055181356481558E-2</v>
      </c>
    </row>
    <row r="102" spans="2:4" x14ac:dyDescent="0.3">
      <c r="B102" s="59">
        <v>43101</v>
      </c>
      <c r="C102" s="81">
        <v>564.30999999999995</v>
      </c>
      <c r="D102" s="60">
        <f t="shared" si="5"/>
        <v>-1.9068975107773611E-2</v>
      </c>
    </row>
    <row r="103" spans="2:4" x14ac:dyDescent="0.3">
      <c r="B103" s="59">
        <v>43070</v>
      </c>
      <c r="C103" s="81">
        <v>511.23</v>
      </c>
      <c r="D103" s="60">
        <f t="shared" si="5"/>
        <v>-9.4061774556537969E-2</v>
      </c>
    </row>
    <row r="104" spans="2:4" x14ac:dyDescent="0.3">
      <c r="B104" s="59">
        <v>43040</v>
      </c>
      <c r="C104" s="81">
        <v>478.88</v>
      </c>
      <c r="D104" s="60">
        <f t="shared" si="5"/>
        <v>-6.3278759071259572E-2</v>
      </c>
    </row>
    <row r="105" spans="2:4" x14ac:dyDescent="0.3">
      <c r="B105" s="59">
        <v>43009</v>
      </c>
      <c r="C105" s="81">
        <v>452.26</v>
      </c>
      <c r="D105" s="60">
        <f t="shared" si="5"/>
        <v>-5.5588038757099945E-2</v>
      </c>
    </row>
    <row r="106" spans="2:4" x14ac:dyDescent="0.3">
      <c r="B106" s="59">
        <v>42979</v>
      </c>
      <c r="C106" s="81">
        <v>441.49</v>
      </c>
      <c r="D106" s="60">
        <f t="shared" si="5"/>
        <v>-2.3813735461902352E-2</v>
      </c>
    </row>
    <row r="107" spans="2:4" x14ac:dyDescent="0.3">
      <c r="B107" s="59">
        <v>42948</v>
      </c>
      <c r="C107" s="81">
        <v>448.88</v>
      </c>
      <c r="D107" s="60">
        <f t="shared" si="5"/>
        <v>1.6738770980090134E-2</v>
      </c>
    </row>
    <row r="108" spans="2:4" x14ac:dyDescent="0.3">
      <c r="B108" s="59">
        <v>42917</v>
      </c>
      <c r="C108" s="81">
        <v>496.1</v>
      </c>
      <c r="D108" s="60">
        <f t="shared" si="5"/>
        <v>0.10519515237925514</v>
      </c>
    </row>
    <row r="109" spans="2:4" x14ac:dyDescent="0.3">
      <c r="B109" s="59">
        <v>42887</v>
      </c>
      <c r="C109" s="81">
        <v>458.98</v>
      </c>
      <c r="D109" s="60">
        <f t="shared" si="5"/>
        <v>-7.4823624269300559E-2</v>
      </c>
    </row>
    <row r="110" spans="2:4" x14ac:dyDescent="0.3">
      <c r="B110" s="59">
        <v>42856</v>
      </c>
      <c r="C110" s="81">
        <v>479.34</v>
      </c>
      <c r="D110" s="60">
        <f t="shared" si="5"/>
        <v>4.4359231339056171E-2</v>
      </c>
    </row>
    <row r="111" spans="2:4" x14ac:dyDescent="0.3">
      <c r="B111" s="59">
        <v>42826</v>
      </c>
      <c r="C111" s="81">
        <v>450.84</v>
      </c>
      <c r="D111" s="60">
        <f t="shared" si="5"/>
        <v>-5.9456753035423748E-2</v>
      </c>
    </row>
    <row r="112" spans="2:4" x14ac:dyDescent="0.3">
      <c r="B112" s="59">
        <v>42795</v>
      </c>
      <c r="C112" s="81">
        <v>501.52</v>
      </c>
      <c r="D112" s="60">
        <f t="shared" si="5"/>
        <v>0.11241238576878709</v>
      </c>
    </row>
    <row r="113" spans="2:4" x14ac:dyDescent="0.3">
      <c r="B113" s="59">
        <v>42767</v>
      </c>
      <c r="C113" s="81">
        <v>496.68</v>
      </c>
      <c r="D113" s="60">
        <f t="shared" si="5"/>
        <v>-9.6506619875578181E-3</v>
      </c>
    </row>
    <row r="114" spans="2:4" x14ac:dyDescent="0.3">
      <c r="B114" s="59">
        <v>42736</v>
      </c>
      <c r="C114" s="81">
        <v>455.57</v>
      </c>
      <c r="D114" s="60">
        <f t="shared" si="5"/>
        <v>-8.2769590078118682E-2</v>
      </c>
    </row>
    <row r="115" spans="2:4" x14ac:dyDescent="0.3">
      <c r="B115" s="59">
        <v>42705</v>
      </c>
      <c r="C115" s="81">
        <v>495.8</v>
      </c>
      <c r="D115" s="60">
        <f t="shared" si="5"/>
        <v>8.8306956120903557E-2</v>
      </c>
    </row>
    <row r="116" spans="2:4" x14ac:dyDescent="0.3">
      <c r="B116" s="59">
        <v>42675</v>
      </c>
      <c r="C116" s="81">
        <v>478.61</v>
      </c>
      <c r="D116" s="60">
        <f t="shared" si="5"/>
        <v>-3.4671238402581683E-2</v>
      </c>
    </row>
    <row r="117" spans="2:4" x14ac:dyDescent="0.3">
      <c r="B117" s="59">
        <v>42644</v>
      </c>
      <c r="C117" s="81">
        <v>491.63</v>
      </c>
      <c r="D117" s="60">
        <f t="shared" si="5"/>
        <v>2.7203777605983914E-2</v>
      </c>
    </row>
    <row r="118" spans="2:4" x14ac:dyDescent="0.3">
      <c r="B118" s="59">
        <v>42614</v>
      </c>
      <c r="C118" s="81">
        <v>508.29</v>
      </c>
      <c r="D118" s="60">
        <f t="shared" si="5"/>
        <v>3.3887272949169045E-2</v>
      </c>
    </row>
    <row r="119" spans="2:4" x14ac:dyDescent="0.3">
      <c r="B119" s="59">
        <v>42583</v>
      </c>
      <c r="C119" s="81">
        <v>508.19</v>
      </c>
      <c r="D119" s="60">
        <f t="shared" si="5"/>
        <v>-1.9673808259068615E-4</v>
      </c>
    </row>
    <row r="120" spans="2:4" x14ac:dyDescent="0.3">
      <c r="B120" s="59">
        <v>42552</v>
      </c>
      <c r="C120" s="81">
        <v>526.83000000000004</v>
      </c>
      <c r="D120" s="60">
        <f t="shared" si="5"/>
        <v>3.6679194789350555E-2</v>
      </c>
    </row>
    <row r="121" spans="2:4" x14ac:dyDescent="0.3">
      <c r="B121" s="59">
        <v>42522</v>
      </c>
      <c r="C121" s="81">
        <v>574.4</v>
      </c>
      <c r="D121" s="60">
        <f t="shared" si="5"/>
        <v>9.0294781997987794E-2</v>
      </c>
    </row>
    <row r="122" spans="2:4" x14ac:dyDescent="0.3">
      <c r="B122" s="59">
        <v>42491</v>
      </c>
      <c r="C122" s="81">
        <v>612.59</v>
      </c>
      <c r="D122" s="60">
        <f t="shared" si="5"/>
        <v>6.6486768802228591E-2</v>
      </c>
    </row>
    <row r="123" spans="2:4" x14ac:dyDescent="0.3">
      <c r="B123" s="59">
        <v>42461</v>
      </c>
      <c r="C123" s="81">
        <v>592.70000000000005</v>
      </c>
      <c r="D123" s="60">
        <f t="shared" si="5"/>
        <v>-3.2468698476958435E-2</v>
      </c>
    </row>
    <row r="124" spans="2:4" x14ac:dyDescent="0.3">
      <c r="B124" s="59">
        <v>42430</v>
      </c>
      <c r="C124" s="81">
        <v>597.70000000000005</v>
      </c>
      <c r="D124" s="60">
        <f t="shared" si="5"/>
        <v>8.4359709802597216E-3</v>
      </c>
    </row>
    <row r="125" spans="2:4" x14ac:dyDescent="0.3">
      <c r="B125" s="59">
        <v>42401</v>
      </c>
      <c r="C125" s="81">
        <v>531.84</v>
      </c>
      <c r="D125" s="60">
        <f t="shared" si="5"/>
        <v>-0.11018905805588086</v>
      </c>
    </row>
    <row r="126" spans="2:4" x14ac:dyDescent="0.3">
      <c r="B126" s="59">
        <v>42370</v>
      </c>
      <c r="C126" s="81">
        <v>571.5</v>
      </c>
      <c r="D126" s="60">
        <f t="shared" si="5"/>
        <v>7.4571299638989119E-2</v>
      </c>
    </row>
    <row r="127" spans="2:4" x14ac:dyDescent="0.3">
      <c r="B127" s="59">
        <v>42339</v>
      </c>
      <c r="C127" s="81">
        <v>542.30999999999995</v>
      </c>
      <c r="D127" s="60">
        <f t="shared" si="5"/>
        <v>-5.1076115485564455E-2</v>
      </c>
    </row>
    <row r="128" spans="2:4" x14ac:dyDescent="0.3">
      <c r="B128" s="59">
        <v>42309</v>
      </c>
      <c r="C128" s="81">
        <v>533.72</v>
      </c>
      <c r="D128" s="60">
        <f t="shared" si="5"/>
        <v>-1.5839648909295234E-2</v>
      </c>
    </row>
    <row r="129" spans="2:4" x14ac:dyDescent="0.3">
      <c r="B129" s="59">
        <v>42278</v>
      </c>
      <c r="C129" s="81">
        <v>557.04999999999995</v>
      </c>
      <c r="D129" s="60">
        <f t="shared" si="5"/>
        <v>4.3712058757400696E-2</v>
      </c>
    </row>
    <row r="130" spans="2:4" x14ac:dyDescent="0.3">
      <c r="B130" s="59">
        <v>42248</v>
      </c>
      <c r="C130" s="81">
        <v>570.04999999999995</v>
      </c>
      <c r="D130" s="60">
        <f t="shared" si="5"/>
        <v>2.3337222870478458E-2</v>
      </c>
    </row>
    <row r="131" spans="2:4" x14ac:dyDescent="0.3">
      <c r="B131" s="59">
        <v>42217</v>
      </c>
      <c r="C131" s="81">
        <v>536.91</v>
      </c>
      <c r="D131" s="60">
        <f t="shared" si="5"/>
        <v>-5.8135251293746193E-2</v>
      </c>
    </row>
    <row r="132" spans="2:4" x14ac:dyDescent="0.3">
      <c r="B132" s="59">
        <v>42186</v>
      </c>
      <c r="C132" s="81">
        <v>528.4</v>
      </c>
      <c r="D132" s="60">
        <f t="shared" si="5"/>
        <v>-1.5849956231025697E-2</v>
      </c>
    </row>
    <row r="133" spans="2:4" x14ac:dyDescent="0.3">
      <c r="B133" s="59">
        <v>42156</v>
      </c>
      <c r="C133" s="81">
        <v>482.92</v>
      </c>
      <c r="D133" s="60">
        <f t="shared" si="5"/>
        <v>-8.6071158213474552E-2</v>
      </c>
    </row>
    <row r="134" spans="2:4" x14ac:dyDescent="0.3">
      <c r="B134" s="59">
        <v>42125</v>
      </c>
      <c r="C134" s="81">
        <v>496.28</v>
      </c>
      <c r="D134" s="60">
        <f t="shared" ref="D134:D197" si="6">C134/C133-1</f>
        <v>2.7665037687401473E-2</v>
      </c>
    </row>
    <row r="135" spans="2:4" x14ac:dyDescent="0.3">
      <c r="B135" s="59">
        <v>42095</v>
      </c>
      <c r="C135" s="81">
        <v>476.43</v>
      </c>
      <c r="D135" s="60">
        <f t="shared" si="6"/>
        <v>-3.9997582010155464E-2</v>
      </c>
    </row>
    <row r="136" spans="2:4" x14ac:dyDescent="0.3">
      <c r="B136" s="59">
        <v>42064</v>
      </c>
      <c r="C136" s="81">
        <v>544.16</v>
      </c>
      <c r="D136" s="60">
        <f t="shared" si="6"/>
        <v>0.14216149276913703</v>
      </c>
    </row>
    <row r="137" spans="2:4" x14ac:dyDescent="0.3">
      <c r="B137" s="59">
        <v>42036</v>
      </c>
      <c r="C137" s="81">
        <v>563.32000000000005</v>
      </c>
      <c r="D137" s="60">
        <f t="shared" si="6"/>
        <v>3.5210232284622389E-2</v>
      </c>
    </row>
    <row r="138" spans="2:4" x14ac:dyDescent="0.3">
      <c r="B138" s="59">
        <v>42005</v>
      </c>
      <c r="C138" s="81">
        <v>525.41</v>
      </c>
      <c r="D138" s="60">
        <f t="shared" si="6"/>
        <v>-6.7297450827238703E-2</v>
      </c>
    </row>
    <row r="139" spans="2:4" x14ac:dyDescent="0.3">
      <c r="B139" s="59">
        <v>41974</v>
      </c>
      <c r="C139" s="81">
        <v>483.87</v>
      </c>
      <c r="D139" s="60">
        <f t="shared" si="6"/>
        <v>-7.9062065815267979E-2</v>
      </c>
    </row>
    <row r="140" spans="2:4" x14ac:dyDescent="0.3">
      <c r="B140" s="59">
        <v>41944</v>
      </c>
      <c r="C140" s="81">
        <v>534.74</v>
      </c>
      <c r="D140" s="60">
        <f t="shared" si="6"/>
        <v>0.10513154359642063</v>
      </c>
    </row>
    <row r="141" spans="2:4" x14ac:dyDescent="0.3">
      <c r="B141" s="59">
        <v>41913</v>
      </c>
      <c r="C141" s="81">
        <v>496.89</v>
      </c>
      <c r="D141" s="60">
        <f t="shared" si="6"/>
        <v>-7.0782062310655647E-2</v>
      </c>
    </row>
    <row r="142" spans="2:4" x14ac:dyDescent="0.3">
      <c r="B142" s="59">
        <v>41883</v>
      </c>
      <c r="C142" s="81">
        <v>459.66</v>
      </c>
      <c r="D142" s="60">
        <f t="shared" si="6"/>
        <v>-7.4926039968604696E-2</v>
      </c>
    </row>
    <row r="143" spans="2:4" x14ac:dyDescent="0.3">
      <c r="B143" s="59">
        <v>41852</v>
      </c>
      <c r="C143" s="81">
        <v>441.39</v>
      </c>
      <c r="D143" s="60">
        <f t="shared" si="6"/>
        <v>-3.9746769351259759E-2</v>
      </c>
    </row>
    <row r="144" spans="2:4" x14ac:dyDescent="0.3">
      <c r="B144" s="59">
        <v>41821</v>
      </c>
      <c r="C144" s="81">
        <v>413.04</v>
      </c>
      <c r="D144" s="60">
        <f t="shared" si="6"/>
        <v>-6.4228913206008209E-2</v>
      </c>
    </row>
    <row r="145" spans="2:4" x14ac:dyDescent="0.3">
      <c r="B145" s="59">
        <v>41791</v>
      </c>
      <c r="C145" s="81">
        <v>399.29</v>
      </c>
      <c r="D145" s="60">
        <f t="shared" si="6"/>
        <v>-3.3289754018981266E-2</v>
      </c>
    </row>
    <row r="146" spans="2:4" x14ac:dyDescent="0.3">
      <c r="B146" s="59">
        <v>41760</v>
      </c>
      <c r="C146" s="81">
        <v>360.52</v>
      </c>
      <c r="D146" s="60">
        <f t="shared" si="6"/>
        <v>-9.7097347792331479E-2</v>
      </c>
    </row>
    <row r="147" spans="2:4" x14ac:dyDescent="0.3">
      <c r="B147" s="59">
        <v>41730</v>
      </c>
      <c r="C147" s="81">
        <v>392.33</v>
      </c>
      <c r="D147" s="60">
        <f t="shared" si="6"/>
        <v>8.8233662487517961E-2</v>
      </c>
    </row>
    <row r="148" spans="2:4" x14ac:dyDescent="0.3">
      <c r="B148" s="59">
        <v>41699</v>
      </c>
      <c r="C148" s="81">
        <v>404.9</v>
      </c>
      <c r="D148" s="60">
        <f t="shared" si="6"/>
        <v>3.2039354624933125E-2</v>
      </c>
    </row>
    <row r="149" spans="2:4" x14ac:dyDescent="0.3">
      <c r="B149" s="59">
        <v>41671</v>
      </c>
      <c r="C149" s="81">
        <v>471.76</v>
      </c>
      <c r="D149" s="60">
        <f t="shared" si="6"/>
        <v>0.16512719189923453</v>
      </c>
    </row>
    <row r="150" spans="2:4" x14ac:dyDescent="0.3">
      <c r="B150" s="59">
        <v>41640</v>
      </c>
      <c r="C150" s="81">
        <v>456.5</v>
      </c>
      <c r="D150" s="60">
        <f t="shared" si="6"/>
        <v>-3.2346956079362332E-2</v>
      </c>
    </row>
    <row r="151" spans="2:4" x14ac:dyDescent="0.3">
      <c r="B151" s="59">
        <v>41609</v>
      </c>
      <c r="C151" s="81">
        <v>429.92</v>
      </c>
      <c r="D151" s="60">
        <f t="shared" si="6"/>
        <v>-5.8225629791894828E-2</v>
      </c>
    </row>
    <row r="152" spans="2:4" x14ac:dyDescent="0.3">
      <c r="B152" s="59">
        <v>41579</v>
      </c>
      <c r="C152" s="81">
        <v>413.76</v>
      </c>
      <c r="D152" s="60">
        <f t="shared" si="6"/>
        <v>-3.7588388537402317E-2</v>
      </c>
    </row>
    <row r="153" spans="2:4" x14ac:dyDescent="0.3">
      <c r="B153" s="59">
        <v>41548</v>
      </c>
      <c r="C153" s="81">
        <v>408.25</v>
      </c>
      <c r="D153" s="60">
        <f t="shared" si="6"/>
        <v>-1.3316898685228118E-2</v>
      </c>
    </row>
    <row r="154" spans="2:4" x14ac:dyDescent="0.3">
      <c r="B154" s="59">
        <v>41518</v>
      </c>
      <c r="C154" s="81">
        <v>371.63</v>
      </c>
      <c r="D154" s="60">
        <f t="shared" si="6"/>
        <v>-8.9699938763012854E-2</v>
      </c>
    </row>
    <row r="155" spans="2:4" x14ac:dyDescent="0.3">
      <c r="B155" s="59">
        <v>41487</v>
      </c>
      <c r="C155" s="81">
        <v>383.08</v>
      </c>
      <c r="D155" s="60">
        <f t="shared" si="6"/>
        <v>3.0810214460619489E-2</v>
      </c>
    </row>
    <row r="156" spans="2:4" x14ac:dyDescent="0.3">
      <c r="B156" s="59">
        <v>41456</v>
      </c>
      <c r="C156" s="81">
        <v>366.28</v>
      </c>
      <c r="D156" s="60">
        <f t="shared" si="6"/>
        <v>-4.3855069437193306E-2</v>
      </c>
    </row>
    <row r="157" spans="2:4" x14ac:dyDescent="0.3">
      <c r="B157" s="59">
        <v>41426</v>
      </c>
      <c r="C157" s="81">
        <v>308.20999999999998</v>
      </c>
      <c r="D157" s="60">
        <f t="shared" si="6"/>
        <v>-0.15853991481926399</v>
      </c>
    </row>
    <row r="158" spans="2:4" x14ac:dyDescent="0.3">
      <c r="B158" s="59">
        <v>41395</v>
      </c>
      <c r="C158" s="81">
        <v>297.45999999999998</v>
      </c>
      <c r="D158" s="60">
        <f t="shared" si="6"/>
        <v>-3.487881639142143E-2</v>
      </c>
    </row>
    <row r="159" spans="2:4" x14ac:dyDescent="0.3">
      <c r="B159" s="59">
        <v>41365</v>
      </c>
      <c r="C159" s="81">
        <v>275.72000000000003</v>
      </c>
      <c r="D159" s="60">
        <f t="shared" si="6"/>
        <v>-7.3085456868150156E-2</v>
      </c>
    </row>
    <row r="160" spans="2:4" x14ac:dyDescent="0.3">
      <c r="B160" s="59">
        <v>41334</v>
      </c>
      <c r="C160" s="81">
        <v>356.38</v>
      </c>
      <c r="D160" s="60">
        <f t="shared" si="6"/>
        <v>0.29254315972725942</v>
      </c>
    </row>
    <row r="161" spans="2:4" x14ac:dyDescent="0.3">
      <c r="B161" s="59">
        <v>41306</v>
      </c>
      <c r="C161" s="81">
        <v>358.55</v>
      </c>
      <c r="D161" s="60">
        <f t="shared" si="6"/>
        <v>6.089006117066198E-3</v>
      </c>
    </row>
    <row r="162" spans="2:4" x14ac:dyDescent="0.3">
      <c r="B162" s="59">
        <v>41275</v>
      </c>
      <c r="C162" s="81">
        <v>344.06</v>
      </c>
      <c r="D162" s="60">
        <f t="shared" si="6"/>
        <v>-4.0412773671733349E-2</v>
      </c>
    </row>
    <row r="163" spans="2:4" x14ac:dyDescent="0.3">
      <c r="B163" s="59">
        <v>41244</v>
      </c>
      <c r="C163" s="81">
        <v>285.99</v>
      </c>
      <c r="D163" s="60">
        <f t="shared" si="6"/>
        <v>-0.16877870138929252</v>
      </c>
    </row>
    <row r="164" spans="2:4" x14ac:dyDescent="0.3">
      <c r="B164" s="59">
        <v>41214</v>
      </c>
      <c r="C164" s="81">
        <v>300.57</v>
      </c>
      <c r="D164" s="60">
        <f t="shared" si="6"/>
        <v>5.0980803524598661E-2</v>
      </c>
    </row>
    <row r="165" spans="2:4" x14ac:dyDescent="0.3">
      <c r="B165" s="59">
        <v>41183</v>
      </c>
      <c r="C165" s="81">
        <v>291.45999999999998</v>
      </c>
      <c r="D165" s="60">
        <f t="shared" si="6"/>
        <v>-3.0309079415776763E-2</v>
      </c>
    </row>
    <row r="166" spans="2:4" x14ac:dyDescent="0.3">
      <c r="B166" s="59">
        <v>41153</v>
      </c>
      <c r="C166" s="81">
        <v>312.66000000000003</v>
      </c>
      <c r="D166" s="60">
        <f t="shared" si="6"/>
        <v>7.2737253825567949E-2</v>
      </c>
    </row>
    <row r="167" spans="2:4" x14ac:dyDescent="0.3">
      <c r="B167" s="59">
        <v>41122</v>
      </c>
      <c r="C167" s="81">
        <v>291.29000000000002</v>
      </c>
      <c r="D167" s="60">
        <f t="shared" si="6"/>
        <v>-6.8349005309281674E-2</v>
      </c>
    </row>
    <row r="168" spans="2:4" x14ac:dyDescent="0.3">
      <c r="B168" s="59">
        <v>41091</v>
      </c>
      <c r="C168" s="81">
        <v>274.67</v>
      </c>
      <c r="D168" s="60">
        <f t="shared" si="6"/>
        <v>-5.7056541590854493E-2</v>
      </c>
    </row>
    <row r="169" spans="2:4" x14ac:dyDescent="0.3">
      <c r="B169" s="59">
        <v>41061</v>
      </c>
      <c r="C169" s="81">
        <v>309.49</v>
      </c>
      <c r="D169" s="60">
        <f t="shared" si="6"/>
        <v>0.12677030618560448</v>
      </c>
    </row>
    <row r="170" spans="2:4" x14ac:dyDescent="0.3">
      <c r="B170" s="59">
        <v>41030</v>
      </c>
      <c r="C170" s="81">
        <v>299.64</v>
      </c>
      <c r="D170" s="60">
        <f t="shared" si="6"/>
        <v>-3.1826553361982701E-2</v>
      </c>
    </row>
    <row r="171" spans="2:4" x14ac:dyDescent="0.3">
      <c r="B171" s="59">
        <v>41000</v>
      </c>
      <c r="C171" s="81">
        <v>303.68</v>
      </c>
      <c r="D171" s="60">
        <f t="shared" si="6"/>
        <v>1.348284608196515E-2</v>
      </c>
    </row>
    <row r="172" spans="2:4" x14ac:dyDescent="0.3">
      <c r="B172" s="59">
        <v>40969</v>
      </c>
      <c r="C172" s="81">
        <v>353.53</v>
      </c>
      <c r="D172" s="60">
        <f t="shared" si="6"/>
        <v>0.16415305584826112</v>
      </c>
    </row>
    <row r="173" spans="2:4" x14ac:dyDescent="0.3">
      <c r="B173" s="59">
        <v>40940</v>
      </c>
      <c r="C173" s="81">
        <v>355.65</v>
      </c>
      <c r="D173" s="60">
        <f t="shared" si="6"/>
        <v>5.9966622351710352E-3</v>
      </c>
    </row>
    <row r="174" spans="2:4" x14ac:dyDescent="0.3">
      <c r="B174" s="59">
        <v>40909</v>
      </c>
      <c r="C174" s="81">
        <v>338.7</v>
      </c>
      <c r="D174" s="60">
        <f t="shared" si="6"/>
        <v>-4.7659215520877263E-2</v>
      </c>
    </row>
    <row r="175" spans="2:4" x14ac:dyDescent="0.3">
      <c r="B175" s="59">
        <v>40878</v>
      </c>
      <c r="C175" s="81">
        <v>341.37</v>
      </c>
      <c r="D175" s="60">
        <f t="shared" si="6"/>
        <v>7.8830823737821021E-3</v>
      </c>
    </row>
    <row r="176" spans="2:4" x14ac:dyDescent="0.3">
      <c r="B176" s="59">
        <v>40848</v>
      </c>
      <c r="C176" s="81">
        <v>321.52999999999997</v>
      </c>
      <c r="D176" s="60">
        <f t="shared" si="6"/>
        <v>-5.8118756774174773E-2</v>
      </c>
    </row>
    <row r="177" spans="2:4" x14ac:dyDescent="0.3">
      <c r="B177" s="59">
        <v>40817</v>
      </c>
      <c r="C177" s="81">
        <v>354.92</v>
      </c>
      <c r="D177" s="60">
        <f t="shared" si="6"/>
        <v>0.10384723042950905</v>
      </c>
    </row>
    <row r="178" spans="2:4" x14ac:dyDescent="0.3">
      <c r="B178" s="59">
        <v>40787</v>
      </c>
      <c r="C178" s="81">
        <v>312.43</v>
      </c>
      <c r="D178" s="60">
        <f t="shared" si="6"/>
        <v>-0.11971711935083962</v>
      </c>
    </row>
    <row r="179" spans="2:4" x14ac:dyDescent="0.3">
      <c r="B179" s="59">
        <v>40756</v>
      </c>
      <c r="C179" s="81">
        <v>288.98</v>
      </c>
      <c r="D179" s="60">
        <f t="shared" si="6"/>
        <v>-7.5056812726050581E-2</v>
      </c>
    </row>
    <row r="180" spans="2:4" x14ac:dyDescent="0.3">
      <c r="B180" s="59">
        <v>40725</v>
      </c>
      <c r="C180" s="81">
        <v>342.38</v>
      </c>
      <c r="D180" s="60">
        <f t="shared" si="6"/>
        <v>0.18478787459339729</v>
      </c>
    </row>
    <row r="181" spans="2:4" x14ac:dyDescent="0.3">
      <c r="B181" s="59">
        <v>40695</v>
      </c>
      <c r="C181" s="81">
        <v>358.98</v>
      </c>
      <c r="D181" s="60">
        <f t="shared" si="6"/>
        <v>4.8484140428763478E-2</v>
      </c>
    </row>
    <row r="182" spans="2:4" x14ac:dyDescent="0.3">
      <c r="B182" s="59">
        <v>40664</v>
      </c>
      <c r="C182" s="81">
        <v>343.59</v>
      </c>
      <c r="D182" s="60">
        <f t="shared" si="6"/>
        <v>-4.2871469162627518E-2</v>
      </c>
    </row>
    <row r="183" spans="2:4" x14ac:dyDescent="0.3">
      <c r="B183" s="59">
        <v>40634</v>
      </c>
      <c r="C183" s="81">
        <v>358.46</v>
      </c>
      <c r="D183" s="60">
        <f t="shared" si="6"/>
        <v>4.3278325911697113E-2</v>
      </c>
    </row>
    <row r="184" spans="2:4" x14ac:dyDescent="0.3">
      <c r="B184" s="59">
        <v>40603</v>
      </c>
      <c r="C184" s="81">
        <v>399.79</v>
      </c>
      <c r="D184" s="60">
        <f t="shared" si="6"/>
        <v>0.11529877810634392</v>
      </c>
    </row>
    <row r="185" spans="2:4" x14ac:dyDescent="0.3">
      <c r="B185" s="59">
        <v>40575</v>
      </c>
      <c r="C185" s="81">
        <v>369.67</v>
      </c>
      <c r="D185" s="60">
        <f t="shared" si="6"/>
        <v>-7.5339553265464376E-2</v>
      </c>
    </row>
    <row r="186" spans="2:4" x14ac:dyDescent="0.3">
      <c r="B186" s="59">
        <v>40544</v>
      </c>
      <c r="C186" s="81">
        <v>384.54</v>
      </c>
      <c r="D186" s="60">
        <f t="shared" si="6"/>
        <v>4.0225065599047705E-2</v>
      </c>
    </row>
    <row r="187" spans="2:4" x14ac:dyDescent="0.3">
      <c r="B187" s="59">
        <v>40513</v>
      </c>
      <c r="C187" s="81">
        <v>424.63</v>
      </c>
      <c r="D187" s="60">
        <f t="shared" si="6"/>
        <v>0.10425443386903832</v>
      </c>
    </row>
    <row r="188" spans="2:4" x14ac:dyDescent="0.3">
      <c r="B188" s="59">
        <v>40483</v>
      </c>
      <c r="C188" s="81">
        <v>376.32</v>
      </c>
      <c r="D188" s="60">
        <f t="shared" si="6"/>
        <v>-0.11376963474083324</v>
      </c>
    </row>
    <row r="189" spans="2:4" x14ac:dyDescent="0.3">
      <c r="B189" s="59">
        <v>40452</v>
      </c>
      <c r="C189" s="81">
        <v>366.53</v>
      </c>
      <c r="D189" s="60">
        <f t="shared" si="6"/>
        <v>-2.6015093537415046E-2</v>
      </c>
    </row>
    <row r="190" spans="2:4" x14ac:dyDescent="0.3">
      <c r="B190" s="59">
        <v>40422</v>
      </c>
      <c r="C190" s="81">
        <v>378.32</v>
      </c>
      <c r="D190" s="60">
        <f t="shared" si="6"/>
        <v>3.216653479933429E-2</v>
      </c>
    </row>
    <row r="191" spans="2:4" x14ac:dyDescent="0.3">
      <c r="B191" s="59">
        <v>40391</v>
      </c>
      <c r="C191" s="81">
        <v>336.57</v>
      </c>
      <c r="D191" s="60">
        <f t="shared" si="6"/>
        <v>-0.11035631211672658</v>
      </c>
    </row>
    <row r="192" spans="2:4" x14ac:dyDescent="0.3">
      <c r="B192" s="59">
        <v>40360</v>
      </c>
      <c r="C192" s="81">
        <v>345.82</v>
      </c>
      <c r="D192" s="60">
        <f t="shared" si="6"/>
        <v>2.7483138722999678E-2</v>
      </c>
    </row>
    <row r="193" spans="2:4" x14ac:dyDescent="0.3">
      <c r="B193" s="59">
        <v>40330</v>
      </c>
      <c r="C193" s="81">
        <v>346.14</v>
      </c>
      <c r="D193" s="60">
        <f t="shared" si="6"/>
        <v>9.2533688045803864E-4</v>
      </c>
    </row>
    <row r="194" spans="2:4" x14ac:dyDescent="0.3">
      <c r="B194" s="59">
        <v>40299</v>
      </c>
      <c r="C194" s="81">
        <v>329.64</v>
      </c>
      <c r="D194" s="60">
        <f t="shared" si="6"/>
        <v>-4.7668573409603066E-2</v>
      </c>
    </row>
    <row r="195" spans="2:4" x14ac:dyDescent="0.3">
      <c r="B195" s="59">
        <v>40269</v>
      </c>
      <c r="C195" s="81">
        <v>339.58</v>
      </c>
      <c r="D195" s="60">
        <f t="shared" si="6"/>
        <v>3.0154107511224382E-2</v>
      </c>
    </row>
    <row r="196" spans="2:4" x14ac:dyDescent="0.3">
      <c r="B196" s="59">
        <v>40238</v>
      </c>
      <c r="C196" s="81">
        <v>324.43</v>
      </c>
      <c r="D196" s="60">
        <f t="shared" si="6"/>
        <v>-4.4613934860710192E-2</v>
      </c>
    </row>
    <row r="197" spans="2:4" x14ac:dyDescent="0.3">
      <c r="B197" s="59">
        <v>40210</v>
      </c>
      <c r="C197" s="81">
        <v>322.69</v>
      </c>
      <c r="D197" s="60">
        <f t="shared" si="6"/>
        <v>-5.3632524735690579E-3</v>
      </c>
    </row>
    <row r="198" spans="2:4" x14ac:dyDescent="0.3">
      <c r="B198" s="59">
        <v>40179</v>
      </c>
      <c r="C198" s="81">
        <v>307.01</v>
      </c>
      <c r="D198" s="60">
        <f t="shared" ref="D198:D261" si="7">C198/C197-1</f>
        <v>-4.8591527472186979E-2</v>
      </c>
    </row>
    <row r="199" spans="2:4" x14ac:dyDescent="0.3">
      <c r="B199" s="59">
        <v>40148</v>
      </c>
      <c r="C199" s="81">
        <v>322.58999999999997</v>
      </c>
      <c r="D199" s="60">
        <f t="shared" si="7"/>
        <v>5.07475326536595E-2</v>
      </c>
    </row>
    <row r="200" spans="2:4" x14ac:dyDescent="0.3">
      <c r="B200" s="59">
        <v>40118</v>
      </c>
      <c r="C200" s="81">
        <v>295.08999999999997</v>
      </c>
      <c r="D200" s="60">
        <f t="shared" si="7"/>
        <v>-8.5247527821693203E-2</v>
      </c>
    </row>
    <row r="201" spans="2:4" x14ac:dyDescent="0.3">
      <c r="B201" s="59">
        <v>40087</v>
      </c>
      <c r="C201" s="81">
        <v>273.61</v>
      </c>
      <c r="D201" s="60">
        <f t="shared" si="7"/>
        <v>-7.2791351790978953E-2</v>
      </c>
    </row>
    <row r="202" spans="2:4" x14ac:dyDescent="0.3">
      <c r="B202" s="59">
        <v>40057</v>
      </c>
      <c r="C202" s="81">
        <v>286.04000000000002</v>
      </c>
      <c r="D202" s="60">
        <f t="shared" si="7"/>
        <v>4.5429626110156773E-2</v>
      </c>
    </row>
    <row r="203" spans="2:4" x14ac:dyDescent="0.3">
      <c r="B203" s="59">
        <v>40026</v>
      </c>
      <c r="C203" s="81">
        <v>264.3</v>
      </c>
      <c r="D203" s="60">
        <f t="shared" si="7"/>
        <v>-7.60033561739617E-2</v>
      </c>
    </row>
    <row r="204" spans="2:4" x14ac:dyDescent="0.3">
      <c r="B204" s="59">
        <v>39995</v>
      </c>
      <c r="C204" s="81">
        <v>256.02</v>
      </c>
      <c r="D204" s="60">
        <f t="shared" si="7"/>
        <v>-3.132803632236103E-2</v>
      </c>
    </row>
    <row r="205" spans="2:4" x14ac:dyDescent="0.3">
      <c r="B205" s="59">
        <v>39965</v>
      </c>
      <c r="C205" s="81">
        <v>220.32</v>
      </c>
      <c r="D205" s="60">
        <f t="shared" si="7"/>
        <v>-0.1394422310756972</v>
      </c>
    </row>
    <row r="206" spans="2:4" x14ac:dyDescent="0.3">
      <c r="B206" s="59">
        <v>39934</v>
      </c>
      <c r="C206" s="81">
        <v>199.06</v>
      </c>
      <c r="D206" s="60">
        <f t="shared" si="7"/>
        <v>-9.6496005809731278E-2</v>
      </c>
    </row>
    <row r="207" spans="2:4" x14ac:dyDescent="0.3">
      <c r="B207" s="59">
        <v>39904</v>
      </c>
      <c r="C207" s="81">
        <v>187.18</v>
      </c>
      <c r="D207" s="60">
        <f t="shared" si="7"/>
        <v>-5.9680498342208343E-2</v>
      </c>
    </row>
    <row r="208" spans="2:4" x14ac:dyDescent="0.3">
      <c r="B208" s="59">
        <v>39873</v>
      </c>
      <c r="C208" s="81">
        <v>164.19</v>
      </c>
      <c r="D208" s="60">
        <f t="shared" si="7"/>
        <v>-0.12282295116999686</v>
      </c>
    </row>
    <row r="209" spans="2:4" x14ac:dyDescent="0.3">
      <c r="B209" s="59">
        <v>39845</v>
      </c>
      <c r="C209" s="81">
        <v>152.69999999999999</v>
      </c>
      <c r="D209" s="60">
        <f t="shared" si="7"/>
        <v>-6.9979901333820593E-2</v>
      </c>
    </row>
    <row r="210" spans="2:4" x14ac:dyDescent="0.3">
      <c r="B210" s="59">
        <v>39814</v>
      </c>
      <c r="C210" s="81">
        <v>162.05000000000001</v>
      </c>
      <c r="D210" s="60">
        <f t="shared" si="7"/>
        <v>6.1231172233137121E-2</v>
      </c>
    </row>
    <row r="211" spans="2:4" x14ac:dyDescent="0.3">
      <c r="B211" s="59">
        <v>39783</v>
      </c>
      <c r="C211" s="81">
        <v>138.34</v>
      </c>
      <c r="D211" s="60">
        <f t="shared" si="7"/>
        <v>-0.14631286639925956</v>
      </c>
    </row>
    <row r="212" spans="2:4" x14ac:dyDescent="0.3">
      <c r="B212" s="59">
        <v>39753</v>
      </c>
      <c r="C212" s="81">
        <v>154.26</v>
      </c>
      <c r="D212" s="60">
        <f t="shared" si="7"/>
        <v>0.1150787913835476</v>
      </c>
    </row>
    <row r="213" spans="2:4" x14ac:dyDescent="0.3">
      <c r="B213" s="59">
        <v>39722</v>
      </c>
      <c r="C213" s="81">
        <v>172.26</v>
      </c>
      <c r="D213" s="60">
        <f t="shared" si="7"/>
        <v>0.11668611435239207</v>
      </c>
    </row>
    <row r="214" spans="2:4" x14ac:dyDescent="0.3">
      <c r="B214" s="59">
        <v>39692</v>
      </c>
      <c r="C214" s="81">
        <v>173.39</v>
      </c>
      <c r="D214" s="60">
        <f t="shared" si="7"/>
        <v>6.559851387437643E-3</v>
      </c>
    </row>
    <row r="215" spans="2:4" x14ac:dyDescent="0.3">
      <c r="B215" s="59">
        <v>39661</v>
      </c>
      <c r="C215" s="81">
        <v>216.92</v>
      </c>
      <c r="D215" s="60">
        <f t="shared" si="7"/>
        <v>0.25105254051560077</v>
      </c>
    </row>
    <row r="216" spans="2:4" x14ac:dyDescent="0.3">
      <c r="B216" s="59">
        <v>39630</v>
      </c>
      <c r="C216" s="81">
        <v>196.38</v>
      </c>
      <c r="D216" s="60">
        <f t="shared" si="7"/>
        <v>-9.4689286372856341E-2</v>
      </c>
    </row>
    <row r="217" spans="2:4" x14ac:dyDescent="0.3">
      <c r="B217" s="59">
        <v>39600</v>
      </c>
      <c r="C217" s="81">
        <v>215.4</v>
      </c>
      <c r="D217" s="60">
        <f t="shared" si="7"/>
        <v>9.6853040024442505E-2</v>
      </c>
    </row>
    <row r="218" spans="2:4" x14ac:dyDescent="0.3">
      <c r="B218" s="59">
        <v>39569</v>
      </c>
      <c r="C218" s="81">
        <v>243.43</v>
      </c>
      <c r="D218" s="60">
        <f t="shared" si="7"/>
        <v>0.13012999071494891</v>
      </c>
    </row>
    <row r="219" spans="2:4" x14ac:dyDescent="0.3">
      <c r="B219" s="59">
        <v>39539</v>
      </c>
      <c r="C219" s="81">
        <v>217.42</v>
      </c>
      <c r="D219" s="60">
        <f t="shared" si="7"/>
        <v>-0.10684796450725065</v>
      </c>
    </row>
    <row r="220" spans="2:4" x14ac:dyDescent="0.3">
      <c r="B220" s="59">
        <v>39508</v>
      </c>
      <c r="C220" s="81">
        <v>178.58</v>
      </c>
      <c r="D220" s="60">
        <f t="shared" si="7"/>
        <v>-0.17864041946463061</v>
      </c>
    </row>
    <row r="221" spans="2:4" x14ac:dyDescent="0.3">
      <c r="B221" s="59">
        <v>39479</v>
      </c>
      <c r="C221" s="81">
        <v>192.01</v>
      </c>
      <c r="D221" s="60">
        <f t="shared" si="7"/>
        <v>7.520439018927072E-2</v>
      </c>
    </row>
    <row r="222" spans="2:4" x14ac:dyDescent="0.3">
      <c r="B222" s="59">
        <v>39448</v>
      </c>
      <c r="C222" s="81">
        <v>185.91</v>
      </c>
      <c r="D222" s="60">
        <f t="shared" si="7"/>
        <v>-3.1769178688609956E-2</v>
      </c>
    </row>
    <row r="223" spans="2:4" x14ac:dyDescent="0.3">
      <c r="B223" s="59">
        <v>39417</v>
      </c>
      <c r="C223" s="81">
        <v>219.5</v>
      </c>
      <c r="D223" s="60">
        <f t="shared" si="7"/>
        <v>0.18067882308643979</v>
      </c>
    </row>
    <row r="224" spans="2:4" x14ac:dyDescent="0.3">
      <c r="B224" s="59">
        <v>39387</v>
      </c>
      <c r="C224" s="81">
        <v>198.74</v>
      </c>
      <c r="D224" s="60">
        <f t="shared" si="7"/>
        <v>-9.4578587699316596E-2</v>
      </c>
    </row>
    <row r="225" spans="2:4" x14ac:dyDescent="0.3">
      <c r="B225" s="59">
        <v>39356</v>
      </c>
      <c r="C225" s="81">
        <v>227.88</v>
      </c>
      <c r="D225" s="60">
        <f t="shared" si="7"/>
        <v>0.1466237294958237</v>
      </c>
    </row>
    <row r="226" spans="2:4" x14ac:dyDescent="0.3">
      <c r="B226" s="59">
        <v>39326</v>
      </c>
      <c r="C226" s="81">
        <v>234.74</v>
      </c>
      <c r="D226" s="60">
        <f t="shared" si="7"/>
        <v>3.0103563278918832E-2</v>
      </c>
    </row>
    <row r="227" spans="2:4" x14ac:dyDescent="0.3">
      <c r="B227" s="59">
        <v>39295</v>
      </c>
      <c r="C227" s="81">
        <v>230</v>
      </c>
      <c r="D227" s="60">
        <f t="shared" si="7"/>
        <v>-2.0192553463406315E-2</v>
      </c>
    </row>
    <row r="228" spans="2:4" x14ac:dyDescent="0.3">
      <c r="B228" s="59">
        <v>39264</v>
      </c>
      <c r="C228" s="81">
        <v>245.04</v>
      </c>
      <c r="D228" s="60">
        <f t="shared" si="7"/>
        <v>6.5391304347826029E-2</v>
      </c>
    </row>
    <row r="229" spans="2:4" x14ac:dyDescent="0.3">
      <c r="B229" s="59">
        <v>39234</v>
      </c>
      <c r="C229" s="81">
        <v>239.24</v>
      </c>
      <c r="D229" s="60">
        <f t="shared" si="7"/>
        <v>-2.3669604962455071E-2</v>
      </c>
    </row>
    <row r="230" spans="2:4" x14ac:dyDescent="0.3">
      <c r="B230" s="59">
        <v>39203</v>
      </c>
      <c r="C230" s="81">
        <v>238.55</v>
      </c>
      <c r="D230" s="60">
        <f t="shared" si="7"/>
        <v>-2.8841330881123062E-3</v>
      </c>
    </row>
    <row r="231" spans="2:4" x14ac:dyDescent="0.3">
      <c r="B231" s="59">
        <v>39173</v>
      </c>
      <c r="C231" s="81">
        <v>254.35</v>
      </c>
      <c r="D231" s="60">
        <f t="shared" si="7"/>
        <v>6.6233494026409545E-2</v>
      </c>
    </row>
    <row r="232" spans="2:4" x14ac:dyDescent="0.3">
      <c r="B232" s="59">
        <v>39142</v>
      </c>
      <c r="C232" s="81">
        <v>250.35</v>
      </c>
      <c r="D232" s="60">
        <f t="shared" si="7"/>
        <v>-1.5726361313151194E-2</v>
      </c>
    </row>
    <row r="233" spans="2:4" x14ac:dyDescent="0.3">
      <c r="B233" s="59">
        <v>39114</v>
      </c>
      <c r="C233" s="81">
        <v>257.66000000000003</v>
      </c>
      <c r="D233" s="60">
        <f t="shared" si="7"/>
        <v>2.9199121230277791E-2</v>
      </c>
    </row>
    <row r="234" spans="2:4" x14ac:dyDescent="0.3">
      <c r="B234" s="59">
        <v>39083</v>
      </c>
      <c r="C234" s="81">
        <v>278.70999999999998</v>
      </c>
      <c r="D234" s="60">
        <f t="shared" si="7"/>
        <v>8.169680974928184E-2</v>
      </c>
    </row>
    <row r="235" spans="2:4" x14ac:dyDescent="0.3">
      <c r="B235" s="59">
        <v>39052</v>
      </c>
      <c r="C235" s="81">
        <v>278.02999999999997</v>
      </c>
      <c r="D235" s="60">
        <f t="shared" si="7"/>
        <v>-2.4398119909583293E-3</v>
      </c>
    </row>
    <row r="236" spans="2:4" x14ac:dyDescent="0.3">
      <c r="B236" s="59">
        <v>39022</v>
      </c>
      <c r="C236" s="81">
        <v>270.33</v>
      </c>
      <c r="D236" s="60">
        <f t="shared" si="7"/>
        <v>-2.7694853073409353E-2</v>
      </c>
    </row>
    <row r="237" spans="2:4" x14ac:dyDescent="0.3">
      <c r="B237" s="59">
        <v>38991</v>
      </c>
      <c r="C237" s="81">
        <v>259.88</v>
      </c>
      <c r="D237" s="60">
        <f t="shared" si="7"/>
        <v>-3.8656456923019999E-2</v>
      </c>
    </row>
    <row r="238" spans="2:4" x14ac:dyDescent="0.3">
      <c r="B238" s="59">
        <v>38961</v>
      </c>
      <c r="C238" s="81">
        <v>229.39</v>
      </c>
      <c r="D238" s="60">
        <f t="shared" si="7"/>
        <v>-0.11732338002154841</v>
      </c>
    </row>
    <row r="239" spans="2:4" x14ac:dyDescent="0.3">
      <c r="B239" s="59">
        <v>38930</v>
      </c>
      <c r="C239" s="81">
        <v>224.03</v>
      </c>
      <c r="D239" s="60">
        <f t="shared" si="7"/>
        <v>-2.3366319368760546E-2</v>
      </c>
    </row>
    <row r="240" spans="2:4" x14ac:dyDescent="0.3">
      <c r="B240" s="59">
        <v>38899</v>
      </c>
      <c r="C240" s="81">
        <v>205.32</v>
      </c>
      <c r="D240" s="60">
        <f t="shared" si="7"/>
        <v>-8.3515600589206818E-2</v>
      </c>
    </row>
    <row r="241" spans="2:4" x14ac:dyDescent="0.3">
      <c r="B241" s="59">
        <v>38869</v>
      </c>
      <c r="C241" s="81">
        <v>190.92</v>
      </c>
      <c r="D241" s="60">
        <f t="shared" si="7"/>
        <v>-7.0134424313267107E-2</v>
      </c>
    </row>
    <row r="242" spans="2:4" x14ac:dyDescent="0.3">
      <c r="B242" s="59">
        <v>38838</v>
      </c>
      <c r="C242" s="81">
        <v>180.44</v>
      </c>
      <c r="D242" s="60">
        <f t="shared" si="7"/>
        <v>-5.4892101403729243E-2</v>
      </c>
    </row>
    <row r="243" spans="2:4" x14ac:dyDescent="0.3">
      <c r="B243" s="59">
        <v>38808</v>
      </c>
      <c r="C243" s="81">
        <v>197.03</v>
      </c>
      <c r="D243" s="60">
        <f t="shared" si="7"/>
        <v>9.1941919751717949E-2</v>
      </c>
    </row>
    <row r="244" spans="2:4" x14ac:dyDescent="0.3">
      <c r="B244" s="59">
        <v>38777</v>
      </c>
      <c r="C244" s="81">
        <v>184.88</v>
      </c>
      <c r="D244" s="60">
        <f t="shared" si="7"/>
        <v>-6.1665736182307307E-2</v>
      </c>
    </row>
    <row r="245" spans="2:4" x14ac:dyDescent="0.3">
      <c r="B245" s="59">
        <v>38749</v>
      </c>
      <c r="C245" s="81">
        <v>175.42</v>
      </c>
      <c r="D245" s="60">
        <f t="shared" si="7"/>
        <v>-5.1168325400259618E-2</v>
      </c>
    </row>
    <row r="246" spans="2:4" x14ac:dyDescent="0.3">
      <c r="B246" s="59">
        <v>38718</v>
      </c>
      <c r="C246" s="81">
        <v>178.61</v>
      </c>
      <c r="D246" s="60">
        <f t="shared" si="7"/>
        <v>1.818492760232604E-2</v>
      </c>
    </row>
    <row r="247" spans="2:4" x14ac:dyDescent="0.3">
      <c r="B247" s="59">
        <v>38687</v>
      </c>
      <c r="C247" s="81">
        <v>185.83</v>
      </c>
      <c r="D247" s="60">
        <f t="shared" si="7"/>
        <v>4.0423268573988036E-2</v>
      </c>
    </row>
    <row r="248" spans="2:4" x14ac:dyDescent="0.3">
      <c r="B248" s="59">
        <v>38657</v>
      </c>
      <c r="C248" s="81">
        <v>166.46</v>
      </c>
      <c r="D248" s="60">
        <f t="shared" si="7"/>
        <v>-0.10423505354356133</v>
      </c>
    </row>
    <row r="249" spans="2:4" x14ac:dyDescent="0.3">
      <c r="B249" s="59">
        <v>38626</v>
      </c>
      <c r="C249" s="81">
        <v>156.38999999999999</v>
      </c>
      <c r="D249" s="60">
        <f t="shared" si="7"/>
        <v>-6.0495013817133403E-2</v>
      </c>
    </row>
    <row r="250" spans="2:4" x14ac:dyDescent="0.3">
      <c r="B250" s="59">
        <v>38596</v>
      </c>
      <c r="C250" s="81">
        <v>155.97</v>
      </c>
      <c r="D250" s="60">
        <f t="shared" si="7"/>
        <v>-2.6855937080375591E-3</v>
      </c>
    </row>
    <row r="251" spans="2:4" x14ac:dyDescent="0.3">
      <c r="B251" s="59">
        <v>38565</v>
      </c>
      <c r="C251" s="81">
        <v>147.34</v>
      </c>
      <c r="D251" s="60">
        <f t="shared" si="7"/>
        <v>-5.533115342694106E-2</v>
      </c>
    </row>
    <row r="252" spans="2:4" x14ac:dyDescent="0.3">
      <c r="B252" s="59">
        <v>38534</v>
      </c>
      <c r="C252" s="81">
        <v>140.66999999999999</v>
      </c>
      <c r="D252" s="60">
        <f t="shared" si="7"/>
        <v>-4.5269444821501414E-2</v>
      </c>
    </row>
    <row r="253" spans="2:4" x14ac:dyDescent="0.3">
      <c r="B253" s="59">
        <v>38504</v>
      </c>
      <c r="C253" s="81">
        <v>146.22999999999999</v>
      </c>
      <c r="D253" s="60">
        <f t="shared" si="7"/>
        <v>3.952512973626221E-2</v>
      </c>
    </row>
    <row r="254" spans="2:4" x14ac:dyDescent="0.3">
      <c r="B254" s="59">
        <v>38473</v>
      </c>
      <c r="C254" s="81">
        <v>139.55000000000001</v>
      </c>
      <c r="D254" s="60">
        <f t="shared" si="7"/>
        <v>-4.568146071257595E-2</v>
      </c>
    </row>
    <row r="255" spans="2:4" x14ac:dyDescent="0.3">
      <c r="B255" s="59">
        <v>38443</v>
      </c>
      <c r="C255" s="81">
        <v>117</v>
      </c>
      <c r="D255" s="60">
        <f t="shared" si="7"/>
        <v>-0.16159082766033683</v>
      </c>
    </row>
    <row r="256" spans="2:4" x14ac:dyDescent="0.3">
      <c r="B256" s="59">
        <v>38412</v>
      </c>
      <c r="C256" s="81">
        <v>139.97</v>
      </c>
      <c r="D256" s="60">
        <f t="shared" si="7"/>
        <v>0.19632478632478634</v>
      </c>
    </row>
    <row r="257" spans="2:4" x14ac:dyDescent="0.3">
      <c r="B257" s="59">
        <v>38384</v>
      </c>
      <c r="C257" s="81">
        <v>138.91</v>
      </c>
      <c r="D257" s="60">
        <f t="shared" si="7"/>
        <v>-7.5730513681503409E-3</v>
      </c>
    </row>
    <row r="258" spans="2:4" x14ac:dyDescent="0.3">
      <c r="B258" s="59">
        <v>38353</v>
      </c>
      <c r="C258" s="81">
        <v>128.28</v>
      </c>
      <c r="D258" s="60">
        <f t="shared" si="7"/>
        <v>-7.6524368296018941E-2</v>
      </c>
    </row>
    <row r="259" spans="2:4" x14ac:dyDescent="0.3">
      <c r="B259" s="59">
        <v>38322</v>
      </c>
      <c r="C259" s="81">
        <v>129.71</v>
      </c>
      <c r="D259" s="60">
        <f t="shared" si="7"/>
        <v>1.1147489865918292E-2</v>
      </c>
    </row>
    <row r="260" spans="2:4" x14ac:dyDescent="0.3">
      <c r="B260" s="59">
        <v>38292</v>
      </c>
      <c r="C260" s="81">
        <v>133.27000000000001</v>
      </c>
      <c r="D260" s="60">
        <f t="shared" si="7"/>
        <v>2.7445840721609827E-2</v>
      </c>
    </row>
    <row r="261" spans="2:4" x14ac:dyDescent="0.3">
      <c r="B261" s="59">
        <v>38261</v>
      </c>
      <c r="C261" s="81">
        <v>118.21</v>
      </c>
      <c r="D261" s="60">
        <f t="shared" si="7"/>
        <v>-0.11300367674645473</v>
      </c>
    </row>
    <row r="262" spans="2:4" x14ac:dyDescent="0.3">
      <c r="B262" s="59">
        <v>38231</v>
      </c>
      <c r="C262" s="81">
        <v>105.14</v>
      </c>
      <c r="D262" s="60">
        <f t="shared" ref="D262:D325" si="8">C262/C261-1</f>
        <v>-0.11056594196768454</v>
      </c>
    </row>
    <row r="263" spans="2:4" x14ac:dyDescent="0.3">
      <c r="B263" s="59">
        <v>38200</v>
      </c>
      <c r="C263" s="81">
        <v>97.7</v>
      </c>
      <c r="D263" s="60">
        <f t="shared" si="8"/>
        <v>-7.0762792467186642E-2</v>
      </c>
    </row>
    <row r="264" spans="2:4" x14ac:dyDescent="0.3">
      <c r="B264" s="59">
        <v>38169</v>
      </c>
      <c r="C264" s="81">
        <v>96.33</v>
      </c>
      <c r="D264" s="60">
        <f t="shared" si="8"/>
        <v>-1.4022517911975507E-2</v>
      </c>
    </row>
    <row r="265" spans="2:4" x14ac:dyDescent="0.3">
      <c r="B265" s="59">
        <v>38139</v>
      </c>
      <c r="C265" s="81">
        <v>85.64</v>
      </c>
      <c r="D265" s="60">
        <f t="shared" si="8"/>
        <v>-0.11097269801723242</v>
      </c>
    </row>
    <row r="266" spans="2:4" x14ac:dyDescent="0.3">
      <c r="B266" s="59">
        <v>38108</v>
      </c>
      <c r="C266" s="81">
        <v>80.63</v>
      </c>
      <c r="D266" s="60">
        <f t="shared" si="8"/>
        <v>-5.8500700607192924E-2</v>
      </c>
    </row>
    <row r="267" spans="2:4" x14ac:dyDescent="0.3">
      <c r="B267" s="59">
        <v>38078</v>
      </c>
      <c r="C267" s="81">
        <v>79.78</v>
      </c>
      <c r="D267" s="60">
        <f t="shared" si="8"/>
        <v>-1.0541981892595698E-2</v>
      </c>
    </row>
    <row r="268" spans="2:4" x14ac:dyDescent="0.3">
      <c r="B268" s="59">
        <v>38047</v>
      </c>
      <c r="C268" s="81">
        <v>76.55</v>
      </c>
      <c r="D268" s="60">
        <f t="shared" si="8"/>
        <v>-4.0486337427926844E-2</v>
      </c>
    </row>
    <row r="269" spans="2:4" x14ac:dyDescent="0.3">
      <c r="B269" s="59">
        <v>38018</v>
      </c>
      <c r="C269" s="81">
        <v>78.48</v>
      </c>
      <c r="D269" s="60">
        <f t="shared" si="8"/>
        <v>2.521227955584604E-2</v>
      </c>
    </row>
    <row r="270" spans="2:4" x14ac:dyDescent="0.3">
      <c r="B270" s="59">
        <v>37987</v>
      </c>
      <c r="C270" s="81">
        <v>80.81</v>
      </c>
      <c r="D270" s="60">
        <f t="shared" si="8"/>
        <v>2.9689092762487324E-2</v>
      </c>
    </row>
    <row r="271" spans="2:4" x14ac:dyDescent="0.3">
      <c r="B271" s="59">
        <v>37956</v>
      </c>
      <c r="C271" s="81">
        <v>86.27</v>
      </c>
      <c r="D271" s="60">
        <f t="shared" si="8"/>
        <v>6.7565895309986246E-2</v>
      </c>
    </row>
    <row r="272" spans="2:4" x14ac:dyDescent="0.3">
      <c r="B272" s="59">
        <v>37926</v>
      </c>
      <c r="C272" s="81">
        <v>76.36</v>
      </c>
      <c r="D272" s="60">
        <f t="shared" si="8"/>
        <v>-0.11487191375912831</v>
      </c>
    </row>
    <row r="273" spans="2:4" x14ac:dyDescent="0.3">
      <c r="B273" s="59">
        <v>37895</v>
      </c>
      <c r="C273" s="81">
        <v>73.459999999999994</v>
      </c>
      <c r="D273" s="60">
        <f t="shared" si="8"/>
        <v>-3.7977998952331116E-2</v>
      </c>
    </row>
    <row r="274" spans="2:4" x14ac:dyDescent="0.3">
      <c r="B274" s="59">
        <v>37865</v>
      </c>
      <c r="C274" s="81">
        <v>70.2</v>
      </c>
      <c r="D274" s="60">
        <f t="shared" si="8"/>
        <v>-4.4377892730737667E-2</v>
      </c>
    </row>
    <row r="275" spans="2:4" x14ac:dyDescent="0.3">
      <c r="B275" s="59">
        <v>37834</v>
      </c>
      <c r="C275" s="81">
        <v>60.86</v>
      </c>
      <c r="D275" s="60">
        <f t="shared" si="8"/>
        <v>-0.13304843304843306</v>
      </c>
    </row>
    <row r="276" spans="2:4" x14ac:dyDescent="0.3">
      <c r="B276" s="59">
        <v>37803</v>
      </c>
      <c r="C276" s="81">
        <v>55.84</v>
      </c>
      <c r="D276" s="60">
        <f t="shared" si="8"/>
        <v>-8.2484390404206298E-2</v>
      </c>
    </row>
    <row r="277" spans="2:4" x14ac:dyDescent="0.3">
      <c r="B277" s="59">
        <v>37773</v>
      </c>
      <c r="C277" s="81">
        <v>50.75</v>
      </c>
      <c r="D277" s="60">
        <f t="shared" si="8"/>
        <v>-9.1153295128939882E-2</v>
      </c>
    </row>
    <row r="278" spans="2:4" x14ac:dyDescent="0.3">
      <c r="B278" s="59">
        <v>37742</v>
      </c>
      <c r="C278" s="81">
        <v>41.46</v>
      </c>
      <c r="D278" s="60">
        <f t="shared" si="8"/>
        <v>-0.18305418719211819</v>
      </c>
    </row>
    <row r="279" spans="2:4" x14ac:dyDescent="0.3">
      <c r="B279" s="59">
        <v>37712</v>
      </c>
      <c r="C279" s="81">
        <v>43.2</v>
      </c>
      <c r="D279" s="60">
        <f t="shared" si="8"/>
        <v>4.1968162083936278E-2</v>
      </c>
    </row>
    <row r="280" spans="2:4" x14ac:dyDescent="0.3">
      <c r="B280" s="59">
        <v>37681</v>
      </c>
      <c r="C280" s="81">
        <v>62.83</v>
      </c>
      <c r="D280" s="60">
        <f t="shared" si="8"/>
        <v>0.45439814814814805</v>
      </c>
    </row>
    <row r="281" spans="2:4" x14ac:dyDescent="0.3">
      <c r="B281" s="59">
        <v>37653</v>
      </c>
      <c r="C281" s="81">
        <v>66.430000000000007</v>
      </c>
      <c r="D281" s="60">
        <f t="shared" si="8"/>
        <v>5.7297469361770048E-2</v>
      </c>
    </row>
    <row r="282" spans="2:4" x14ac:dyDescent="0.3">
      <c r="B282" s="59">
        <v>37622</v>
      </c>
      <c r="C282" s="81">
        <v>66.66</v>
      </c>
      <c r="D282" s="60">
        <f t="shared" si="8"/>
        <v>3.4622911335238093E-3</v>
      </c>
    </row>
    <row r="283" spans="2:4" x14ac:dyDescent="0.3">
      <c r="B283" s="59">
        <v>37591</v>
      </c>
      <c r="C283" s="81">
        <v>74</v>
      </c>
      <c r="D283" s="60">
        <f t="shared" si="8"/>
        <v>0.1101110111011101</v>
      </c>
    </row>
    <row r="284" spans="2:4" x14ac:dyDescent="0.3">
      <c r="B284" s="59">
        <v>37561</v>
      </c>
      <c r="C284" s="81">
        <v>70.66</v>
      </c>
      <c r="D284" s="60">
        <f t="shared" si="8"/>
        <v>-4.5135135135135229E-2</v>
      </c>
    </row>
    <row r="285" spans="2:4" x14ac:dyDescent="0.3">
      <c r="B285" s="59">
        <v>37530</v>
      </c>
      <c r="C285" s="81">
        <v>58.86</v>
      </c>
      <c r="D285" s="60">
        <f t="shared" si="8"/>
        <v>-0.16699688649872624</v>
      </c>
    </row>
    <row r="286" spans="2:4" x14ac:dyDescent="0.3">
      <c r="B286" s="59">
        <v>37500</v>
      </c>
      <c r="C286" s="81">
        <v>52.81</v>
      </c>
      <c r="D286" s="60">
        <f t="shared" si="8"/>
        <v>-0.10278627251104311</v>
      </c>
    </row>
    <row r="287" spans="2:4" x14ac:dyDescent="0.3">
      <c r="B287" s="59">
        <v>37469</v>
      </c>
      <c r="C287" s="81">
        <v>55.88</v>
      </c>
      <c r="D287" s="60">
        <f t="shared" si="8"/>
        <v>5.8132929369437703E-2</v>
      </c>
    </row>
    <row r="288" spans="2:4" x14ac:dyDescent="0.3">
      <c r="B288" s="59">
        <v>37438</v>
      </c>
      <c r="C288" s="81">
        <v>47.03</v>
      </c>
      <c r="D288" s="60">
        <f t="shared" si="8"/>
        <v>-0.15837508947745171</v>
      </c>
    </row>
    <row r="289" spans="2:4" x14ac:dyDescent="0.3">
      <c r="B289" s="59">
        <v>37408</v>
      </c>
      <c r="C289" s="81">
        <v>50.85</v>
      </c>
      <c r="D289" s="60">
        <f t="shared" si="8"/>
        <v>8.1224750159472725E-2</v>
      </c>
    </row>
    <row r="290" spans="2:4" x14ac:dyDescent="0.3">
      <c r="B290" s="59">
        <v>37377</v>
      </c>
      <c r="C290" s="81">
        <v>52.53</v>
      </c>
      <c r="D290" s="60">
        <f t="shared" si="8"/>
        <v>3.3038348082595759E-2</v>
      </c>
    </row>
    <row r="291" spans="2:4" x14ac:dyDescent="0.3">
      <c r="B291" s="59">
        <v>37347</v>
      </c>
      <c r="C291" s="81">
        <v>57.11</v>
      </c>
      <c r="D291" s="60">
        <f t="shared" si="8"/>
        <v>8.7188273367599489E-2</v>
      </c>
    </row>
    <row r="292" spans="2:4" x14ac:dyDescent="0.3">
      <c r="B292" s="59">
        <v>37316</v>
      </c>
      <c r="C292" s="81">
        <v>58.11</v>
      </c>
      <c r="D292" s="60">
        <f t="shared" si="8"/>
        <v>1.7510068289266378E-2</v>
      </c>
    </row>
    <row r="293" spans="2:4" x14ac:dyDescent="0.3">
      <c r="B293" s="59">
        <v>37288</v>
      </c>
      <c r="C293" s="81">
        <v>54.77</v>
      </c>
      <c r="D293" s="60">
        <f t="shared" si="8"/>
        <v>-5.7477198416795661E-2</v>
      </c>
    </row>
    <row r="294" spans="2:4" x14ac:dyDescent="0.3">
      <c r="B294" s="59">
        <v>37257</v>
      </c>
      <c r="C294" s="81">
        <v>60.11</v>
      </c>
      <c r="D294" s="60">
        <f t="shared" si="8"/>
        <v>9.7498630637210093E-2</v>
      </c>
    </row>
    <row r="295" spans="2:4" x14ac:dyDescent="0.3">
      <c r="B295" s="59">
        <v>37226</v>
      </c>
      <c r="C295" s="81">
        <v>63.31</v>
      </c>
      <c r="D295" s="60">
        <f t="shared" si="8"/>
        <v>5.3235734486774211E-2</v>
      </c>
    </row>
    <row r="296" spans="2:4" x14ac:dyDescent="0.3">
      <c r="B296" s="59">
        <v>37196</v>
      </c>
      <c r="C296" s="81">
        <v>60.35</v>
      </c>
      <c r="D296" s="60">
        <f t="shared" si="8"/>
        <v>-4.6754067287948176E-2</v>
      </c>
    </row>
    <row r="297" spans="2:4" x14ac:dyDescent="0.3">
      <c r="B297" s="59">
        <v>37165</v>
      </c>
      <c r="C297" s="81">
        <v>45.21</v>
      </c>
      <c r="D297" s="60">
        <f t="shared" si="8"/>
        <v>-0.25086992543496267</v>
      </c>
    </row>
    <row r="298" spans="2:4" x14ac:dyDescent="0.3">
      <c r="B298" s="59">
        <v>37135</v>
      </c>
      <c r="C298" s="81">
        <v>36.700000000000003</v>
      </c>
      <c r="D298" s="60">
        <f t="shared" si="8"/>
        <v>-0.18823269188232683</v>
      </c>
    </row>
    <row r="299" spans="2:4" x14ac:dyDescent="0.3">
      <c r="B299" s="59">
        <v>37104</v>
      </c>
      <c r="C299" s="81">
        <v>54.86</v>
      </c>
      <c r="D299" s="60">
        <f t="shared" si="8"/>
        <v>0.49482288828337873</v>
      </c>
    </row>
    <row r="300" spans="2:4" x14ac:dyDescent="0.3">
      <c r="B300" s="59">
        <v>37073</v>
      </c>
      <c r="C300" s="81">
        <v>58.18</v>
      </c>
      <c r="D300" s="60">
        <f t="shared" si="8"/>
        <v>6.0517681370761967E-2</v>
      </c>
    </row>
    <row r="301" spans="2:4" x14ac:dyDescent="0.3">
      <c r="B301" s="59">
        <v>37043</v>
      </c>
      <c r="C301" s="81">
        <v>58.11</v>
      </c>
      <c r="D301" s="60">
        <f t="shared" si="8"/>
        <v>-1.2031625988312422E-3</v>
      </c>
    </row>
    <row r="302" spans="2:4" x14ac:dyDescent="0.3">
      <c r="B302" s="59">
        <v>37012</v>
      </c>
      <c r="C302" s="81">
        <v>58.48</v>
      </c>
      <c r="D302" s="60">
        <f t="shared" si="8"/>
        <v>6.3672345551539777E-3</v>
      </c>
    </row>
    <row r="303" spans="2:4" x14ac:dyDescent="0.3">
      <c r="B303" s="59">
        <v>36982</v>
      </c>
      <c r="C303" s="81">
        <v>57.5</v>
      </c>
      <c r="D303" s="60">
        <f t="shared" si="8"/>
        <v>-1.6757865937072403E-2</v>
      </c>
    </row>
    <row r="304" spans="2:4" x14ac:dyDescent="0.3">
      <c r="B304" s="59">
        <v>36951</v>
      </c>
      <c r="C304" s="81">
        <v>63.31</v>
      </c>
      <c r="D304" s="60">
        <f t="shared" si="8"/>
        <v>0.10104347826086957</v>
      </c>
    </row>
    <row r="305" spans="2:4" x14ac:dyDescent="0.3">
      <c r="B305" s="59">
        <v>36923</v>
      </c>
      <c r="C305" s="81">
        <v>96.76</v>
      </c>
      <c r="D305" s="60">
        <f t="shared" si="8"/>
        <v>0.52835255093981992</v>
      </c>
    </row>
    <row r="306" spans="2:4" x14ac:dyDescent="0.3">
      <c r="B306" s="59">
        <v>36892</v>
      </c>
      <c r="C306" s="81">
        <v>105.3</v>
      </c>
      <c r="D306" s="60">
        <f t="shared" si="8"/>
        <v>8.8259611409673422E-2</v>
      </c>
    </row>
    <row r="307" spans="2:4" x14ac:dyDescent="0.3">
      <c r="B307" s="59">
        <v>36861</v>
      </c>
      <c r="C307" s="81">
        <v>88.27</v>
      </c>
      <c r="D307" s="60">
        <f t="shared" si="8"/>
        <v>-0.16172839506172842</v>
      </c>
    </row>
    <row r="308" spans="2:4" x14ac:dyDescent="0.3">
      <c r="B308" s="59">
        <v>36831</v>
      </c>
      <c r="C308" s="81">
        <v>111.37</v>
      </c>
      <c r="D308" s="60">
        <f t="shared" si="8"/>
        <v>0.26169706582077734</v>
      </c>
    </row>
    <row r="309" spans="2:4" x14ac:dyDescent="0.3">
      <c r="B309" s="59">
        <v>36800</v>
      </c>
      <c r="C309" s="81">
        <v>110.58</v>
      </c>
      <c r="D309" s="60">
        <f t="shared" si="8"/>
        <v>-7.093472209751317E-3</v>
      </c>
    </row>
    <row r="310" spans="2:4" x14ac:dyDescent="0.3">
      <c r="B310" s="59">
        <v>36770</v>
      </c>
      <c r="C310" s="81">
        <v>114.12</v>
      </c>
      <c r="D310" s="60">
        <f t="shared" si="8"/>
        <v>3.2013022246337508E-2</v>
      </c>
    </row>
    <row r="311" spans="2:4" x14ac:dyDescent="0.3">
      <c r="B311" s="59">
        <v>36739</v>
      </c>
      <c r="C311" s="81">
        <v>129.09</v>
      </c>
      <c r="D311" s="60">
        <f t="shared" si="8"/>
        <v>0.13117770767613046</v>
      </c>
    </row>
    <row r="312" spans="2:4" x14ac:dyDescent="0.3">
      <c r="B312" s="59">
        <v>36708</v>
      </c>
      <c r="C312" s="81">
        <v>104.82</v>
      </c>
      <c r="D312" s="60">
        <f t="shared" si="8"/>
        <v>-0.18800836625610051</v>
      </c>
    </row>
    <row r="313" spans="2:4" x14ac:dyDescent="0.3">
      <c r="B313" s="59">
        <v>36678</v>
      </c>
      <c r="C313" s="81">
        <v>128.83000000000001</v>
      </c>
      <c r="D313" s="60">
        <f t="shared" si="8"/>
        <v>0.22905933982064508</v>
      </c>
    </row>
    <row r="314" spans="2:4" x14ac:dyDescent="0.3">
      <c r="B314" s="59">
        <v>36647</v>
      </c>
      <c r="C314" s="81">
        <v>108.5</v>
      </c>
      <c r="D314" s="60">
        <f t="shared" si="8"/>
        <v>-0.15780485911666542</v>
      </c>
    </row>
    <row r="315" spans="2:4" x14ac:dyDescent="0.3">
      <c r="B315" s="59">
        <v>36617</v>
      </c>
      <c r="C315" s="81">
        <v>125.91</v>
      </c>
      <c r="D315" s="60">
        <f t="shared" si="8"/>
        <v>0.1604608294930876</v>
      </c>
    </row>
    <row r="316" spans="2:4" x14ac:dyDescent="0.3">
      <c r="B316" s="59">
        <v>36586</v>
      </c>
      <c r="C316" s="81">
        <v>139.06</v>
      </c>
      <c r="D316" s="60">
        <f t="shared" si="8"/>
        <v>0.10443967913589081</v>
      </c>
    </row>
    <row r="317" spans="2:4" x14ac:dyDescent="0.3">
      <c r="B317" s="59">
        <v>36557</v>
      </c>
      <c r="C317" s="81">
        <v>136.1</v>
      </c>
      <c r="D317" s="60">
        <f t="shared" si="8"/>
        <v>-2.1285775924061667E-2</v>
      </c>
    </row>
    <row r="318" spans="2:4" x14ac:dyDescent="0.3">
      <c r="B318" s="59">
        <v>36526</v>
      </c>
      <c r="C318" s="81">
        <v>111.95</v>
      </c>
      <c r="D318" s="60">
        <f t="shared" si="8"/>
        <v>-0.17744305657604698</v>
      </c>
    </row>
    <row r="319" spans="2:4" x14ac:dyDescent="0.3">
      <c r="B319" s="59">
        <v>36495</v>
      </c>
      <c r="C319" s="81">
        <v>112.14</v>
      </c>
      <c r="D319" s="60">
        <f t="shared" si="8"/>
        <v>1.6971862438588392E-3</v>
      </c>
    </row>
    <row r="320" spans="2:4" x14ac:dyDescent="0.3">
      <c r="B320" s="59">
        <v>36465</v>
      </c>
      <c r="C320" s="81">
        <v>71.52</v>
      </c>
      <c r="D320" s="60">
        <f t="shared" si="8"/>
        <v>-0.36222578919208137</v>
      </c>
    </row>
    <row r="321" spans="2:4" x14ac:dyDescent="0.3">
      <c r="B321" s="59">
        <v>36434</v>
      </c>
      <c r="C321" s="81">
        <v>54.08</v>
      </c>
      <c r="D321" s="60">
        <f t="shared" si="8"/>
        <v>-0.24384787472035796</v>
      </c>
    </row>
    <row r="322" spans="2:4" x14ac:dyDescent="0.3">
      <c r="B322" s="59">
        <v>36404</v>
      </c>
      <c r="C322" s="81">
        <v>55.29</v>
      </c>
      <c r="D322" s="60">
        <f t="shared" si="8"/>
        <v>2.2374260355029651E-2</v>
      </c>
    </row>
    <row r="323" spans="2:4" x14ac:dyDescent="0.3">
      <c r="B323" s="59">
        <v>36373</v>
      </c>
      <c r="C323" s="81">
        <v>43.02</v>
      </c>
      <c r="D323" s="60">
        <f t="shared" si="8"/>
        <v>-0.22192078133478021</v>
      </c>
    </row>
    <row r="324" spans="2:4" x14ac:dyDescent="0.3">
      <c r="B324" s="59">
        <v>36342</v>
      </c>
      <c r="C324" s="81">
        <v>37.549999999999997</v>
      </c>
      <c r="D324" s="60">
        <f t="shared" si="8"/>
        <v>-0.12715016271501645</v>
      </c>
    </row>
    <row r="325" spans="2:4" x14ac:dyDescent="0.3">
      <c r="B325" s="59">
        <v>36312</v>
      </c>
      <c r="C325" s="81">
        <v>28.22</v>
      </c>
      <c r="D325" s="60">
        <f t="shared" si="8"/>
        <v>-0.24846870838881485</v>
      </c>
    </row>
    <row r="326" spans="2:4" x14ac:dyDescent="0.3">
      <c r="B326" s="59">
        <v>36281</v>
      </c>
      <c r="C326" s="81">
        <v>25.23</v>
      </c>
      <c r="D326" s="60">
        <f t="shared" ref="D326:D367" si="9">C326/C325-1</f>
        <v>-0.10595322466335921</v>
      </c>
    </row>
    <row r="327" spans="2:4" x14ac:dyDescent="0.3">
      <c r="B327" s="59">
        <v>36251</v>
      </c>
      <c r="C327" s="81">
        <v>20.54</v>
      </c>
      <c r="D327" s="60">
        <f t="shared" si="9"/>
        <v>-0.18588981371383284</v>
      </c>
    </row>
    <row r="328" spans="2:4" x14ac:dyDescent="0.3">
      <c r="B328" s="59">
        <v>36220</v>
      </c>
      <c r="C328" s="81">
        <v>22.71</v>
      </c>
      <c r="D328" s="60">
        <f t="shared" si="9"/>
        <v>0.10564751703992226</v>
      </c>
    </row>
    <row r="329" spans="2:4" x14ac:dyDescent="0.3">
      <c r="B329" s="59">
        <v>36192</v>
      </c>
      <c r="C329" s="81">
        <v>22.44</v>
      </c>
      <c r="D329" s="60">
        <f t="shared" si="9"/>
        <v>-1.1889035667106973E-2</v>
      </c>
    </row>
    <row r="330" spans="2:4" x14ac:dyDescent="0.3">
      <c r="B330" s="59">
        <v>36161</v>
      </c>
      <c r="C330" s="81">
        <v>18.27</v>
      </c>
      <c r="D330" s="60">
        <f t="shared" si="9"/>
        <v>-0.18582887700534767</v>
      </c>
    </row>
    <row r="331" spans="2:4" x14ac:dyDescent="0.3">
      <c r="B331" s="59">
        <v>36130</v>
      </c>
      <c r="C331" s="81">
        <v>11.5</v>
      </c>
      <c r="D331" s="60">
        <f t="shared" si="9"/>
        <v>-0.37055281882868085</v>
      </c>
    </row>
    <row r="332" spans="2:4" x14ac:dyDescent="0.3">
      <c r="B332" s="59">
        <v>36100</v>
      </c>
      <c r="C332" s="81">
        <v>9.0299999999999994</v>
      </c>
      <c r="D332" s="60">
        <f t="shared" si="9"/>
        <v>-0.21478260869565224</v>
      </c>
    </row>
    <row r="333" spans="2:4" x14ac:dyDescent="0.3">
      <c r="B333" s="59">
        <v>36069</v>
      </c>
      <c r="C333" s="81">
        <v>9.4499999999999993</v>
      </c>
      <c r="D333" s="60">
        <f t="shared" si="9"/>
        <v>4.6511627906976827E-2</v>
      </c>
    </row>
    <row r="334" spans="2:4" x14ac:dyDescent="0.3">
      <c r="B334" s="59">
        <v>36039</v>
      </c>
      <c r="C334" s="81">
        <v>9.7899999999999991</v>
      </c>
      <c r="D334" s="60">
        <f t="shared" si="9"/>
        <v>3.5978835978835999E-2</v>
      </c>
    </row>
    <row r="335" spans="2:4" x14ac:dyDescent="0.3">
      <c r="B335" s="59">
        <v>36008</v>
      </c>
      <c r="C335" s="81">
        <v>9.9499999999999993</v>
      </c>
      <c r="D335" s="60">
        <f t="shared" si="9"/>
        <v>1.634320735444339E-2</v>
      </c>
    </row>
    <row r="336" spans="2:4" x14ac:dyDescent="0.3">
      <c r="B336" s="59">
        <v>35977</v>
      </c>
      <c r="C336" s="81">
        <v>10.1</v>
      </c>
      <c r="D336" s="60">
        <f t="shared" si="9"/>
        <v>1.5075376884422065E-2</v>
      </c>
    </row>
    <row r="337" spans="2:4" x14ac:dyDescent="0.3">
      <c r="B337" s="59">
        <v>35947</v>
      </c>
      <c r="C337" s="81">
        <v>8.56</v>
      </c>
      <c r="D337" s="60">
        <f t="shared" si="9"/>
        <v>-0.15247524752475239</v>
      </c>
    </row>
    <row r="338" spans="2:4" x14ac:dyDescent="0.3">
      <c r="B338" s="59">
        <v>35916</v>
      </c>
      <c r="C338" s="81">
        <v>9.4600000000000009</v>
      </c>
      <c r="D338" s="60">
        <f t="shared" si="9"/>
        <v>0.10514018691588789</v>
      </c>
    </row>
    <row r="339" spans="2:4" x14ac:dyDescent="0.3">
      <c r="B339" s="59">
        <v>35886</v>
      </c>
      <c r="C339" s="81">
        <v>8.41</v>
      </c>
      <c r="D339" s="60">
        <f t="shared" si="9"/>
        <v>-0.11099365750528545</v>
      </c>
    </row>
    <row r="340" spans="2:4" x14ac:dyDescent="0.3">
      <c r="B340" s="59">
        <v>35855</v>
      </c>
      <c r="C340" s="81">
        <v>7.17</v>
      </c>
      <c r="D340" s="60">
        <f t="shared" si="9"/>
        <v>-0.14744351961950064</v>
      </c>
    </row>
    <row r="341" spans="2:4" x14ac:dyDescent="0.3">
      <c r="B341" s="59">
        <v>35827</v>
      </c>
      <c r="C341" s="81">
        <v>5.42</v>
      </c>
      <c r="D341" s="60">
        <f t="shared" si="9"/>
        <v>-0.24407252440725247</v>
      </c>
    </row>
    <row r="342" spans="2:4" x14ac:dyDescent="0.3">
      <c r="B342" s="59">
        <v>35796</v>
      </c>
      <c r="C342" s="81">
        <v>4.28</v>
      </c>
      <c r="D342" s="60">
        <f t="shared" si="9"/>
        <v>-0.21033210332103314</v>
      </c>
    </row>
    <row r="343" spans="2:4" x14ac:dyDescent="0.3">
      <c r="B343" s="59">
        <v>35765</v>
      </c>
      <c r="C343" s="81">
        <v>4.8099999999999996</v>
      </c>
      <c r="D343" s="60">
        <f t="shared" si="9"/>
        <v>0.1238317757009344</v>
      </c>
    </row>
    <row r="344" spans="2:4" x14ac:dyDescent="0.3">
      <c r="B344" s="59">
        <v>35735</v>
      </c>
      <c r="C344" s="81">
        <v>5.37</v>
      </c>
      <c r="D344" s="60">
        <f t="shared" si="9"/>
        <v>0.11642411642411643</v>
      </c>
    </row>
    <row r="345" spans="2:4" x14ac:dyDescent="0.3">
      <c r="B345" s="59">
        <v>35704</v>
      </c>
      <c r="C345" s="81">
        <v>5.22</v>
      </c>
      <c r="D345" s="60">
        <f t="shared" si="9"/>
        <v>-2.7932960893854775E-2</v>
      </c>
    </row>
    <row r="346" spans="2:4" x14ac:dyDescent="0.3">
      <c r="B346" s="59">
        <v>35674</v>
      </c>
      <c r="C346" s="81">
        <v>6.28</v>
      </c>
      <c r="D346" s="60">
        <f t="shared" si="9"/>
        <v>0.20306513409961702</v>
      </c>
    </row>
    <row r="347" spans="2:4" x14ac:dyDescent="0.3">
      <c r="B347" s="59">
        <v>35643</v>
      </c>
      <c r="C347" s="81">
        <v>4.93</v>
      </c>
      <c r="D347" s="60">
        <f t="shared" si="9"/>
        <v>-0.21496815286624216</v>
      </c>
    </row>
    <row r="348" spans="2:4" x14ac:dyDescent="0.3">
      <c r="B348" s="59">
        <v>35612</v>
      </c>
      <c r="C348" s="81">
        <v>3.99</v>
      </c>
      <c r="D348" s="60">
        <f t="shared" si="9"/>
        <v>-0.19066937119675442</v>
      </c>
    </row>
    <row r="349" spans="2:4" x14ac:dyDescent="0.3">
      <c r="B349" s="59">
        <v>35582</v>
      </c>
      <c r="C349" s="81">
        <v>3.6</v>
      </c>
      <c r="D349" s="60">
        <f t="shared" si="9"/>
        <v>-9.7744360902255689E-2</v>
      </c>
    </row>
    <row r="350" spans="2:4" x14ac:dyDescent="0.3">
      <c r="B350" s="59">
        <v>35551</v>
      </c>
      <c r="C350" s="81">
        <v>2.87</v>
      </c>
      <c r="D350" s="60">
        <f t="shared" si="9"/>
        <v>-0.20277777777777772</v>
      </c>
    </row>
    <row r="351" spans="2:4" x14ac:dyDescent="0.3">
      <c r="B351" s="59">
        <v>35521</v>
      </c>
      <c r="C351" s="81">
        <v>2.81</v>
      </c>
      <c r="D351" s="60">
        <f t="shared" si="9"/>
        <v>-2.0905923344947785E-2</v>
      </c>
    </row>
    <row r="352" spans="2:4" x14ac:dyDescent="0.3">
      <c r="B352" s="59">
        <v>35490</v>
      </c>
      <c r="C352" s="81">
        <v>1.98</v>
      </c>
      <c r="D352" s="60">
        <f t="shared" si="9"/>
        <v>-0.29537366548042709</v>
      </c>
    </row>
    <row r="353" spans="2:4" x14ac:dyDescent="0.3">
      <c r="B353" s="59">
        <v>35462</v>
      </c>
      <c r="C353" s="81">
        <v>1.99</v>
      </c>
      <c r="D353" s="60">
        <f t="shared" si="9"/>
        <v>5.050505050504972E-3</v>
      </c>
    </row>
    <row r="354" spans="2:4" x14ac:dyDescent="0.3">
      <c r="B354" s="59">
        <v>35431</v>
      </c>
      <c r="C354" s="81">
        <v>1.62</v>
      </c>
      <c r="D354" s="60">
        <f t="shared" si="9"/>
        <v>-0.18592964824120595</v>
      </c>
    </row>
    <row r="355" spans="2:4" x14ac:dyDescent="0.3">
      <c r="B355" s="59">
        <v>35400</v>
      </c>
      <c r="C355" s="81">
        <v>1.49</v>
      </c>
      <c r="D355" s="60">
        <f t="shared" si="9"/>
        <v>-8.0246913580246937E-2</v>
      </c>
    </row>
    <row r="356" spans="2:4" x14ac:dyDescent="0.3">
      <c r="B356" s="59">
        <v>35370</v>
      </c>
      <c r="C356" s="81">
        <v>1.35</v>
      </c>
      <c r="D356" s="60">
        <f t="shared" si="9"/>
        <v>-9.3959731543624136E-2</v>
      </c>
    </row>
    <row r="357" spans="2:4" x14ac:dyDescent="0.3">
      <c r="B357" s="59">
        <v>35339</v>
      </c>
      <c r="C357" s="81">
        <v>1.32</v>
      </c>
      <c r="D357" s="60">
        <f t="shared" si="9"/>
        <v>-2.2222222222222254E-2</v>
      </c>
    </row>
    <row r="358" spans="2:4" x14ac:dyDescent="0.3">
      <c r="B358" s="59">
        <v>35309</v>
      </c>
      <c r="C358" s="81">
        <v>1.28</v>
      </c>
      <c r="D358" s="60">
        <f t="shared" si="9"/>
        <v>-3.0303030303030276E-2</v>
      </c>
    </row>
    <row r="359" spans="2:4" x14ac:dyDescent="0.3">
      <c r="B359" s="59">
        <v>35278</v>
      </c>
      <c r="C359" s="81">
        <v>1.3</v>
      </c>
      <c r="D359" s="60">
        <f t="shared" si="9"/>
        <v>1.5625E-2</v>
      </c>
    </row>
    <row r="360" spans="2:4" x14ac:dyDescent="0.3">
      <c r="B360" s="59">
        <v>35247</v>
      </c>
      <c r="C360" s="81">
        <v>1.28</v>
      </c>
      <c r="D360" s="60">
        <f t="shared" si="9"/>
        <v>-1.5384615384615441E-2</v>
      </c>
    </row>
    <row r="361" spans="2:4" x14ac:dyDescent="0.3">
      <c r="B361" s="59">
        <v>35217</v>
      </c>
      <c r="C361" s="81">
        <v>1.37</v>
      </c>
      <c r="D361" s="60">
        <f t="shared" si="9"/>
        <v>7.03125E-2</v>
      </c>
    </row>
    <row r="362" spans="2:4" x14ac:dyDescent="0.3">
      <c r="B362" s="59">
        <v>35186</v>
      </c>
      <c r="C362" s="81">
        <v>1.25</v>
      </c>
      <c r="D362" s="60">
        <f t="shared" si="9"/>
        <v>-8.7591240875912524E-2</v>
      </c>
    </row>
    <row r="363" spans="2:4" x14ac:dyDescent="0.3">
      <c r="B363" s="59">
        <v>35156</v>
      </c>
      <c r="C363" s="81">
        <v>1.22</v>
      </c>
      <c r="D363" s="60">
        <f t="shared" si="9"/>
        <v>-2.4000000000000021E-2</v>
      </c>
    </row>
    <row r="364" spans="2:4" x14ac:dyDescent="0.3">
      <c r="B364" s="59">
        <v>35125</v>
      </c>
      <c r="C364" s="81">
        <v>0.97</v>
      </c>
      <c r="D364" s="60">
        <f t="shared" si="9"/>
        <v>-0.20491803278688525</v>
      </c>
    </row>
    <row r="365" spans="2:4" x14ac:dyDescent="0.3">
      <c r="B365" s="59">
        <v>35096</v>
      </c>
      <c r="C365" s="81">
        <v>0.91</v>
      </c>
      <c r="D365" s="60">
        <f t="shared" si="9"/>
        <v>-6.1855670103092675E-2</v>
      </c>
    </row>
    <row r="366" spans="2:4" x14ac:dyDescent="0.3">
      <c r="B366" s="59">
        <v>35065</v>
      </c>
      <c r="C366" s="81">
        <v>0.78</v>
      </c>
      <c r="D366" s="60">
        <f t="shared" si="9"/>
        <v>-0.1428571428571429</v>
      </c>
    </row>
    <row r="367" spans="2:4" x14ac:dyDescent="0.3">
      <c r="B367" s="59">
        <v>35034</v>
      </c>
      <c r="C367" s="81">
        <v>0.79</v>
      </c>
      <c r="D367" s="60">
        <f t="shared" si="9"/>
        <v>1.2820512820512775E-2</v>
      </c>
    </row>
  </sheetData>
  <sortState xmlns:xlrd2="http://schemas.microsoft.com/office/spreadsheetml/2017/richdata2" ref="G4:H46">
    <sortCondition ref="G4:G46"/>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Dashboard</vt:lpstr>
      <vt:lpstr>Equity_report</vt:lpstr>
      <vt:lpstr>Financials-&gt;</vt:lpstr>
      <vt:lpstr>Financials</vt:lpstr>
      <vt:lpstr>Scenario</vt:lpstr>
      <vt:lpstr>Assumptions</vt:lpstr>
      <vt:lpstr>Schedule</vt:lpstr>
      <vt:lpstr>Valuation-&gt;</vt:lpstr>
      <vt:lpstr>DCF</vt:lpstr>
      <vt:lpstr>WACC</vt:lpstr>
      <vt:lpstr>Beta</vt:lpstr>
      <vt:lpstr>Comps</vt:lpstr>
      <vt:lpstr>Ratio Analysis</vt:lpstr>
      <vt:lpstr>Analysis</vt:lpstr>
      <vt:lpstr>Others</vt:lpstr>
      <vt:lpstr>Price prediction</vt:lpstr>
      <vt:lpstr>BS</vt:lpstr>
      <vt:lpstr>CF</vt:lpstr>
      <vt:lpstr>days</vt:lpstr>
      <vt:lpstr>EF</vt:lpstr>
      <vt:lpstr>IS</vt:lpstr>
      <vt:lpstr>PPE</vt:lpstr>
      <vt:lpstr>RE</vt:lpstr>
      <vt:lpstr>RF</vt:lpstr>
      <vt:lpstr>tgr</vt:lpstr>
      <vt:lpstr>wacc</vt:lpstr>
      <vt:lpstr>WC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Eldric Sequeira</dc:creator>
  <cp:lastModifiedBy>Eldric Sequeira</cp:lastModifiedBy>
  <cp:lastPrinted>2026-03-04T07:13:53Z</cp:lastPrinted>
  <dcterms:created xsi:type="dcterms:W3CDTF">2026-02-20T09:32:09Z</dcterms:created>
  <dcterms:modified xsi:type="dcterms:W3CDTF">2026-03-25T10:09:48Z</dcterms:modified>
</cp:coreProperties>
</file>