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A6C0B0D9-4480-4F12-9F8D-B93AC868380A}" xr6:coauthVersionLast="47" xr6:coauthVersionMax="47" xr10:uidLastSave="{00000000-0000-0000-0000-000000000000}"/>
  <bookViews>
    <workbookView xWindow="-108" yWindow="-108" windowWidth="23256" windowHeight="13176" xr2:uid="{97E3FF85-014D-4B9F-9CE3-DDBB3A91C228}"/>
  </bookViews>
  <sheets>
    <sheet name="Summary" sheetId="4" r:id="rId1"/>
    <sheet name="Valuation" sheetId="1" r:id="rId2"/>
    <sheet name="52_week" sheetId="5" r:id="rId3"/>
    <sheet name="CoC" sheetId="3" r:id="rId4"/>
    <sheet name="Data" sheetId="2" r:id="rId5"/>
  </sheets>
  <definedNames>
    <definedName name="coe">Valuation!$D$29</definedName>
    <definedName name="tgr">Valuation!$D$30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" i="4" l="1"/>
  <c r="E69" i="4"/>
  <c r="D69" i="4"/>
  <c r="F68" i="4"/>
  <c r="E68" i="4"/>
  <c r="D68" i="4"/>
  <c r="F67" i="4"/>
  <c r="E67" i="4"/>
  <c r="D67" i="4"/>
  <c r="F66" i="4"/>
  <c r="E66" i="4"/>
  <c r="D66" i="4"/>
  <c r="L7" i="3"/>
  <c r="L6" i="3"/>
  <c r="L5" i="3"/>
  <c r="H5" i="5"/>
  <c r="H6" i="5"/>
  <c r="H7" i="5"/>
  <c r="H8" i="5"/>
  <c r="M159" i="1"/>
  <c r="M158" i="1"/>
  <c r="M157" i="1"/>
  <c r="M156" i="1"/>
  <c r="M152" i="1"/>
  <c r="M151" i="1"/>
  <c r="M150" i="1"/>
  <c r="M149" i="1"/>
  <c r="D235" i="1"/>
  <c r="D234" i="1" s="1"/>
  <c r="D233" i="1" s="1"/>
  <c r="D232" i="1" s="1"/>
  <c r="D231" i="1" s="1"/>
  <c r="F230" i="1"/>
  <c r="G230" i="1" s="1"/>
  <c r="H230" i="1" s="1"/>
  <c r="I230" i="1" s="1"/>
  <c r="D230" i="1"/>
  <c r="D224" i="1"/>
  <c r="D223" i="1" s="1"/>
  <c r="D222" i="1" s="1"/>
  <c r="D221" i="1" s="1"/>
  <c r="D220" i="1" s="1"/>
  <c r="F219" i="1"/>
  <c r="G219" i="1" s="1"/>
  <c r="H219" i="1" s="1"/>
  <c r="I219" i="1" s="1"/>
  <c r="D219" i="1"/>
  <c r="D212" i="1"/>
  <c r="D211" i="1" s="1"/>
  <c r="D210" i="1" s="1"/>
  <c r="D209" i="1" s="1"/>
  <c r="D208" i="1" s="1"/>
  <c r="F207" i="1"/>
  <c r="G207" i="1" s="1"/>
  <c r="H207" i="1" s="1"/>
  <c r="I207" i="1" s="1"/>
  <c r="D207" i="1"/>
  <c r="D201" i="1"/>
  <c r="D200" i="1" s="1"/>
  <c r="D199" i="1" s="1"/>
  <c r="D198" i="1" s="1"/>
  <c r="D197" i="1" s="1"/>
  <c r="F196" i="1"/>
  <c r="G196" i="1" s="1"/>
  <c r="H196" i="1" s="1"/>
  <c r="I196" i="1" s="1"/>
  <c r="D196" i="1"/>
  <c r="D189" i="1"/>
  <c r="D188" i="1" s="1"/>
  <c r="D187" i="1" s="1"/>
  <c r="D186" i="1" s="1"/>
  <c r="D185" i="1" s="1"/>
  <c r="F184" i="1"/>
  <c r="G184" i="1" s="1"/>
  <c r="H184" i="1" s="1"/>
  <c r="I184" i="1" s="1"/>
  <c r="D184" i="1"/>
  <c r="D178" i="1"/>
  <c r="D177" i="1" s="1"/>
  <c r="D176" i="1" s="1"/>
  <c r="D175" i="1" s="1"/>
  <c r="D174" i="1" s="1"/>
  <c r="F173" i="1"/>
  <c r="G173" i="1" s="1"/>
  <c r="H173" i="1" s="1"/>
  <c r="I173" i="1" s="1"/>
  <c r="D173" i="1"/>
  <c r="D166" i="1"/>
  <c r="D165" i="1" s="1"/>
  <c r="D164" i="1" s="1"/>
  <c r="D163" i="1" s="1"/>
  <c r="D162" i="1" s="1"/>
  <c r="F161" i="1"/>
  <c r="G161" i="1" s="1"/>
  <c r="H161" i="1" s="1"/>
  <c r="I161" i="1" s="1"/>
  <c r="D155" i="1"/>
  <c r="D154" i="1" s="1"/>
  <c r="D153" i="1" s="1"/>
  <c r="D152" i="1" s="1"/>
  <c r="D151" i="1" s="1"/>
  <c r="F150" i="1"/>
  <c r="G150" i="1" s="1"/>
  <c r="H150" i="1" s="1"/>
  <c r="I150" i="1" s="1"/>
  <c r="Q134" i="1"/>
  <c r="Q129" i="1"/>
  <c r="Q118" i="1"/>
  <c r="D27" i="1" l="1"/>
  <c r="P90" i="1"/>
  <c r="O90" i="1"/>
  <c r="N90" i="1"/>
  <c r="M90" i="1"/>
  <c r="L90" i="1"/>
  <c r="P92" i="1"/>
  <c r="O92" i="1"/>
  <c r="N92" i="1"/>
  <c r="M92" i="1"/>
  <c r="L92" i="1"/>
  <c r="P80" i="1"/>
  <c r="O80" i="1"/>
  <c r="N80" i="1"/>
  <c r="M80" i="1"/>
  <c r="L80" i="1"/>
  <c r="P74" i="1"/>
  <c r="O74" i="1"/>
  <c r="N74" i="1"/>
  <c r="M74" i="1"/>
  <c r="L74" i="1"/>
  <c r="P82" i="1"/>
  <c r="O82" i="1"/>
  <c r="N82" i="1"/>
  <c r="M82" i="1"/>
  <c r="L82" i="1"/>
  <c r="P76" i="1"/>
  <c r="O76" i="1"/>
  <c r="N76" i="1"/>
  <c r="M76" i="1"/>
  <c r="L76" i="1"/>
  <c r="P70" i="1"/>
  <c r="O70" i="1"/>
  <c r="N70" i="1"/>
  <c r="M70" i="1"/>
  <c r="L70" i="1"/>
  <c r="M68" i="1"/>
  <c r="N68" i="1"/>
  <c r="O68" i="1"/>
  <c r="P68" i="1"/>
  <c r="L68" i="1"/>
  <c r="M61" i="1"/>
  <c r="N61" i="1"/>
  <c r="O61" i="1"/>
  <c r="P61" i="1"/>
  <c r="M63" i="1"/>
  <c r="N63" i="1"/>
  <c r="O63" i="1"/>
  <c r="P63" i="1"/>
  <c r="L63" i="1"/>
  <c r="L61" i="1"/>
  <c r="M67" i="1" l="1"/>
  <c r="O79" i="1"/>
  <c r="N67" i="1"/>
  <c r="P79" i="1"/>
  <c r="O67" i="1"/>
  <c r="L89" i="1"/>
  <c r="D30" i="1"/>
  <c r="P67" i="1"/>
  <c r="M89" i="1"/>
  <c r="L73" i="1"/>
  <c r="N89" i="1"/>
  <c r="M73" i="1"/>
  <c r="O89" i="1"/>
  <c r="L60" i="1"/>
  <c r="L59" i="1" s="1"/>
  <c r="N73" i="1"/>
  <c r="P89" i="1"/>
  <c r="P60" i="1"/>
  <c r="O73" i="1"/>
  <c r="O60" i="1"/>
  <c r="P73" i="1"/>
  <c r="N60" i="1"/>
  <c r="L79" i="1"/>
  <c r="M60" i="1"/>
  <c r="M79" i="1"/>
  <c r="L67" i="1"/>
  <c r="N79" i="1"/>
  <c r="L129" i="1"/>
  <c r="M129" i="1" s="1"/>
  <c r="N129" i="1" s="1"/>
  <c r="O129" i="1" s="1"/>
  <c r="K115" i="1"/>
  <c r="K135" i="1" s="1"/>
  <c r="K114" i="1"/>
  <c r="K113" i="1"/>
  <c r="K118" i="1"/>
  <c r="H109" i="1"/>
  <c r="I109" i="1" s="1"/>
  <c r="J109" i="1" s="1"/>
  <c r="K109" i="1" s="1"/>
  <c r="L109" i="1" s="1"/>
  <c r="M109" i="1" s="1"/>
  <c r="N109" i="1" s="1"/>
  <c r="O109" i="1" s="1"/>
  <c r="P109" i="1" s="1"/>
  <c r="H102" i="1"/>
  <c r="I102" i="1"/>
  <c r="J102" i="1"/>
  <c r="K102" i="1"/>
  <c r="G102" i="1"/>
  <c r="M98" i="1"/>
  <c r="M97" i="1" s="1"/>
  <c r="N98" i="1"/>
  <c r="N97" i="1" s="1"/>
  <c r="O98" i="1"/>
  <c r="O97" i="1" s="1"/>
  <c r="P98" i="1"/>
  <c r="P97" i="1" s="1"/>
  <c r="L98" i="1"/>
  <c r="L97" i="1" s="1"/>
  <c r="M100" i="1"/>
  <c r="N100" i="1"/>
  <c r="O100" i="1"/>
  <c r="P100" i="1"/>
  <c r="L100" i="1"/>
  <c r="H96" i="1"/>
  <c r="I96" i="1"/>
  <c r="J96" i="1"/>
  <c r="K96" i="1"/>
  <c r="G96" i="1"/>
  <c r="M94" i="1"/>
  <c r="N94" i="1" s="1"/>
  <c r="O94" i="1" s="1"/>
  <c r="P94" i="1" s="1"/>
  <c r="M86" i="1"/>
  <c r="N86" i="1" s="1"/>
  <c r="O86" i="1" s="1"/>
  <c r="P86" i="1" s="1"/>
  <c r="H78" i="1"/>
  <c r="I78" i="1"/>
  <c r="J78" i="1"/>
  <c r="K78" i="1"/>
  <c r="G78" i="1"/>
  <c r="H72" i="1"/>
  <c r="I72" i="1"/>
  <c r="J72" i="1"/>
  <c r="K72" i="1"/>
  <c r="G72" i="1"/>
  <c r="H66" i="1"/>
  <c r="I66" i="1"/>
  <c r="J66" i="1"/>
  <c r="K66" i="1"/>
  <c r="G66" i="1"/>
  <c r="K60" i="1"/>
  <c r="J60" i="1"/>
  <c r="I60" i="1"/>
  <c r="H60" i="1"/>
  <c r="H57" i="1"/>
  <c r="I57" i="1" s="1"/>
  <c r="J57" i="1" s="1"/>
  <c r="K57" i="1" s="1"/>
  <c r="L57" i="1" s="1"/>
  <c r="M57" i="1" s="1"/>
  <c r="N57" i="1" s="1"/>
  <c r="O57" i="1" s="1"/>
  <c r="P57" i="1" s="1"/>
  <c r="E24" i="3"/>
  <c r="G16" i="1"/>
  <c r="J53" i="1"/>
  <c r="J107" i="1" s="1"/>
  <c r="I53" i="1"/>
  <c r="I107" i="1" s="1"/>
  <c r="H53" i="1"/>
  <c r="H107" i="1" s="1"/>
  <c r="G53" i="1"/>
  <c r="G107" i="1" s="1"/>
  <c r="K53" i="1"/>
  <c r="K107" i="1" s="1"/>
  <c r="G17" i="3"/>
  <c r="E20" i="3" s="1"/>
  <c r="H17" i="3"/>
  <c r="E21" i="3" s="1"/>
  <c r="H16" i="3"/>
  <c r="G16" i="3"/>
  <c r="E26" i="3" l="1"/>
  <c r="L27" i="1" s="1"/>
  <c r="K134" i="1"/>
  <c r="L114" i="1"/>
  <c r="J79" i="1"/>
  <c r="J73" i="1"/>
  <c r="K103" i="1"/>
  <c r="J97" i="1"/>
  <c r="K97" i="1"/>
  <c r="H97" i="1"/>
  <c r="J67" i="1"/>
  <c r="I67" i="1"/>
  <c r="H103" i="1"/>
  <c r="I97" i="1"/>
  <c r="K79" i="1"/>
  <c r="L128" i="1"/>
  <c r="L66" i="1"/>
  <c r="M66" i="1" s="1"/>
  <c r="N66" i="1" s="1"/>
  <c r="I73" i="1"/>
  <c r="H79" i="1"/>
  <c r="K73" i="1"/>
  <c r="I103" i="1"/>
  <c r="K67" i="1"/>
  <c r="J103" i="1"/>
  <c r="I79" i="1"/>
  <c r="L96" i="1"/>
  <c r="L47" i="1" s="1"/>
  <c r="G84" i="1"/>
  <c r="H84" i="1"/>
  <c r="K84" i="1"/>
  <c r="L78" i="1"/>
  <c r="M78" i="1" s="1"/>
  <c r="N78" i="1" s="1"/>
  <c r="O78" i="1" s="1"/>
  <c r="P78" i="1" s="1"/>
  <c r="J84" i="1"/>
  <c r="H73" i="1"/>
  <c r="I84" i="1"/>
  <c r="H67" i="1"/>
  <c r="L72" i="1"/>
  <c r="M59" i="1"/>
  <c r="H45" i="1"/>
  <c r="I45" i="1"/>
  <c r="J45" i="1"/>
  <c r="K45" i="1"/>
  <c r="G45" i="1"/>
  <c r="H44" i="1"/>
  <c r="H88" i="1" s="1"/>
  <c r="I44" i="1"/>
  <c r="I88" i="1" s="1"/>
  <c r="J44" i="1"/>
  <c r="J88" i="1" s="1"/>
  <c r="G44" i="1"/>
  <c r="H39" i="1"/>
  <c r="I39" i="1"/>
  <c r="J39" i="1"/>
  <c r="K39" i="1"/>
  <c r="G39" i="1"/>
  <c r="H38" i="1"/>
  <c r="I38" i="1"/>
  <c r="J38" i="1"/>
  <c r="K38" i="1"/>
  <c r="G38" i="1"/>
  <c r="H35" i="1"/>
  <c r="I35" i="1"/>
  <c r="J35" i="1"/>
  <c r="K35" i="1"/>
  <c r="L35" i="1" s="1"/>
  <c r="M35" i="1" s="1"/>
  <c r="N35" i="1" s="1"/>
  <c r="O35" i="1" s="1"/>
  <c r="P35" i="1" s="1"/>
  <c r="G35" i="1"/>
  <c r="H34" i="1"/>
  <c r="I34" i="1"/>
  <c r="J34" i="1"/>
  <c r="K34" i="1"/>
  <c r="L34" i="1" s="1"/>
  <c r="G34" i="1"/>
  <c r="H28" i="2"/>
  <c r="G28" i="2"/>
  <c r="F28" i="2"/>
  <c r="E28" i="2"/>
  <c r="D28" i="2"/>
  <c r="D36" i="2"/>
  <c r="D38" i="2" s="1"/>
  <c r="F36" i="2"/>
  <c r="F38" i="2" s="1"/>
  <c r="E36" i="2"/>
  <c r="E38" i="2" s="1"/>
  <c r="G36" i="2"/>
  <c r="G38" i="2" s="1"/>
  <c r="H36" i="2"/>
  <c r="H38" i="2" s="1"/>
  <c r="D22" i="2"/>
  <c r="D23" i="2" s="1"/>
  <c r="E23" i="2"/>
  <c r="F23" i="2"/>
  <c r="G23" i="2"/>
  <c r="H23" i="2"/>
  <c r="D17" i="2"/>
  <c r="D11" i="2"/>
  <c r="E11" i="2"/>
  <c r="E17" i="2"/>
  <c r="F17" i="2"/>
  <c r="F11" i="2"/>
  <c r="H11" i="2"/>
  <c r="G11" i="2"/>
  <c r="G17" i="2"/>
  <c r="H17" i="2"/>
  <c r="H32" i="1"/>
  <c r="I32" i="1" s="1"/>
  <c r="J32" i="1" s="1"/>
  <c r="K32" i="1" s="1"/>
  <c r="L32" i="1" s="1"/>
  <c r="M32" i="1" s="1"/>
  <c r="N32" i="1" s="1"/>
  <c r="O32" i="1" s="1"/>
  <c r="P32" i="1" s="1"/>
  <c r="F9" i="1"/>
  <c r="P27" i="1" l="1"/>
  <c r="H27" i="1"/>
  <c r="D29" i="1"/>
  <c r="M114" i="1"/>
  <c r="L134" i="1"/>
  <c r="J89" i="1"/>
  <c r="L103" i="1"/>
  <c r="L102" i="1" s="1"/>
  <c r="M128" i="1"/>
  <c r="L130" i="1"/>
  <c r="L131" i="1" s="1"/>
  <c r="L136" i="1" s="1"/>
  <c r="I89" i="1"/>
  <c r="M96" i="1"/>
  <c r="N96" i="1" s="1"/>
  <c r="I36" i="1"/>
  <c r="K40" i="1"/>
  <c r="L84" i="1"/>
  <c r="L38" i="1" s="1"/>
  <c r="L39" i="1" s="1"/>
  <c r="L40" i="1" s="1"/>
  <c r="M72" i="1"/>
  <c r="N72" i="1" s="1"/>
  <c r="O72" i="1" s="1"/>
  <c r="P72" i="1" s="1"/>
  <c r="G46" i="1"/>
  <c r="G88" i="1"/>
  <c r="H89" i="1" s="1"/>
  <c r="J94" i="1"/>
  <c r="G86" i="1"/>
  <c r="H94" i="1"/>
  <c r="J86" i="1"/>
  <c r="I40" i="1"/>
  <c r="I86" i="1"/>
  <c r="G94" i="1"/>
  <c r="I94" i="1"/>
  <c r="K86" i="1"/>
  <c r="H40" i="1"/>
  <c r="H86" i="1"/>
  <c r="O66" i="1"/>
  <c r="M34" i="1"/>
  <c r="L36" i="1"/>
  <c r="N59" i="1"/>
  <c r="J40" i="1"/>
  <c r="H46" i="1"/>
  <c r="G40" i="1"/>
  <c r="H36" i="1"/>
  <c r="J46" i="1"/>
  <c r="G36" i="1"/>
  <c r="I46" i="1"/>
  <c r="K36" i="1"/>
  <c r="J36" i="1"/>
  <c r="K44" i="1"/>
  <c r="K94" i="1" s="1"/>
  <c r="N114" i="1" l="1"/>
  <c r="M134" i="1"/>
  <c r="L48" i="1"/>
  <c r="H42" i="1"/>
  <c r="H50" i="1" s="1"/>
  <c r="H105" i="1" s="1"/>
  <c r="M103" i="1"/>
  <c r="N103" i="1" s="1"/>
  <c r="O103" i="1" s="1"/>
  <c r="I42" i="1"/>
  <c r="I50" i="1" s="1"/>
  <c r="I105" i="1" s="1"/>
  <c r="N128" i="1"/>
  <c r="M130" i="1"/>
  <c r="M131" i="1" s="1"/>
  <c r="M136" i="1" s="1"/>
  <c r="M47" i="1"/>
  <c r="K42" i="1"/>
  <c r="G42" i="1"/>
  <c r="G50" i="1" s="1"/>
  <c r="G105" i="1" s="1"/>
  <c r="O96" i="1"/>
  <c r="N47" i="1"/>
  <c r="N84" i="1"/>
  <c r="N38" i="1" s="1"/>
  <c r="N39" i="1" s="1"/>
  <c r="N40" i="1" s="1"/>
  <c r="M84" i="1"/>
  <c r="M38" i="1" s="1"/>
  <c r="M39" i="1" s="1"/>
  <c r="M40" i="1" s="1"/>
  <c r="K46" i="1"/>
  <c r="K88" i="1"/>
  <c r="J42" i="1"/>
  <c r="J50" i="1" s="1"/>
  <c r="J105" i="1" s="1"/>
  <c r="L42" i="1"/>
  <c r="P66" i="1"/>
  <c r="P84" i="1" s="1"/>
  <c r="P38" i="1" s="1"/>
  <c r="O84" i="1"/>
  <c r="O38" i="1" s="1"/>
  <c r="N34" i="1"/>
  <c r="M36" i="1"/>
  <c r="O59" i="1"/>
  <c r="O114" i="1" l="1"/>
  <c r="N134" i="1"/>
  <c r="K50" i="1"/>
  <c r="K105" i="1" s="1"/>
  <c r="P103" i="1"/>
  <c r="M102" i="1"/>
  <c r="O128" i="1"/>
  <c r="N130" i="1"/>
  <c r="N131" i="1" s="1"/>
  <c r="N136" i="1" s="1"/>
  <c r="P96" i="1"/>
  <c r="P47" i="1" s="1"/>
  <c r="O47" i="1"/>
  <c r="K89" i="1"/>
  <c r="L88" i="1"/>
  <c r="M42" i="1"/>
  <c r="O39" i="1"/>
  <c r="O40" i="1" s="1"/>
  <c r="P39" i="1"/>
  <c r="P40" i="1" s="1"/>
  <c r="O34" i="1"/>
  <c r="N36" i="1"/>
  <c r="N42" i="1" s="1"/>
  <c r="P59" i="1"/>
  <c r="P114" i="1" l="1"/>
  <c r="P134" i="1" s="1"/>
  <c r="O134" i="1"/>
  <c r="M48" i="1"/>
  <c r="N102" i="1"/>
  <c r="P128" i="1"/>
  <c r="O130" i="1"/>
  <c r="O131" i="1" s="1"/>
  <c r="O136" i="1" s="1"/>
  <c r="M88" i="1"/>
  <c r="L44" i="1"/>
  <c r="P34" i="1"/>
  <c r="P36" i="1" s="1"/>
  <c r="P42" i="1" s="1"/>
  <c r="O36" i="1"/>
  <c r="O42" i="1" s="1"/>
  <c r="P130" i="1" l="1"/>
  <c r="P131" i="1" s="1"/>
  <c r="P136" i="1" s="1"/>
  <c r="Q128" i="1"/>
  <c r="Q130" i="1" s="1"/>
  <c r="O102" i="1"/>
  <c r="N48" i="1"/>
  <c r="L45" i="1"/>
  <c r="L46" i="1" s="1"/>
  <c r="L50" i="1" s="1"/>
  <c r="L52" i="1" s="1"/>
  <c r="N88" i="1"/>
  <c r="M44" i="1"/>
  <c r="Q131" i="1" l="1"/>
  <c r="Q136" i="1" s="1"/>
  <c r="P102" i="1"/>
  <c r="P48" i="1" s="1"/>
  <c r="O48" i="1"/>
  <c r="L53" i="1"/>
  <c r="L55" i="1" s="1"/>
  <c r="L115" i="1" s="1"/>
  <c r="L117" i="1" s="1"/>
  <c r="M45" i="1"/>
  <c r="M46" i="1" s="1"/>
  <c r="M50" i="1" s="1"/>
  <c r="M52" i="1" s="1"/>
  <c r="O88" i="1"/>
  <c r="N44" i="1"/>
  <c r="L135" i="1" l="1"/>
  <c r="L121" i="1"/>
  <c r="L113" i="1"/>
  <c r="M53" i="1"/>
  <c r="M55" i="1" s="1"/>
  <c r="M115" i="1" s="1"/>
  <c r="M117" i="1" s="1"/>
  <c r="N45" i="1"/>
  <c r="N46" i="1" s="1"/>
  <c r="N50" i="1" s="1"/>
  <c r="N52" i="1" s="1"/>
  <c r="P88" i="1"/>
  <c r="P44" i="1" s="1"/>
  <c r="O44" i="1"/>
  <c r="L137" i="1" l="1"/>
  <c r="L140" i="1" s="1"/>
  <c r="M135" i="1"/>
  <c r="M121" i="1"/>
  <c r="M113" i="1"/>
  <c r="N53" i="1"/>
  <c r="N55" i="1" s="1"/>
  <c r="N115" i="1" s="1"/>
  <c r="N117" i="1" s="1"/>
  <c r="O45" i="1"/>
  <c r="O46" i="1" s="1"/>
  <c r="O50" i="1" s="1"/>
  <c r="O52" i="1" s="1"/>
  <c r="P45" i="1"/>
  <c r="P46" i="1" s="1"/>
  <c r="P50" i="1" s="1"/>
  <c r="P52" i="1" s="1"/>
  <c r="L132" i="1" l="1"/>
  <c r="M137" i="1"/>
  <c r="M140" i="1" s="1"/>
  <c r="N135" i="1"/>
  <c r="N121" i="1"/>
  <c r="N113" i="1"/>
  <c r="P53" i="1"/>
  <c r="P55" i="1" s="1"/>
  <c r="O53" i="1"/>
  <c r="O55" i="1" s="1"/>
  <c r="O115" i="1" s="1"/>
  <c r="O117" i="1" s="1"/>
  <c r="P115" i="1" l="1"/>
  <c r="Q115" i="1" s="1"/>
  <c r="Q135" i="1" s="1"/>
  <c r="M132" i="1"/>
  <c r="N137" i="1"/>
  <c r="N140" i="1" s="1"/>
  <c r="O135" i="1"/>
  <c r="O121" i="1"/>
  <c r="O113" i="1"/>
  <c r="P113" i="1"/>
  <c r="Q132" i="1" l="1"/>
  <c r="Q137" i="1"/>
  <c r="P139" i="1" s="1"/>
  <c r="Q117" i="1"/>
  <c r="P120" i="1" s="1"/>
  <c r="P117" i="1"/>
  <c r="P135" i="1"/>
  <c r="P137" i="1" s="1"/>
  <c r="N132" i="1"/>
  <c r="O137" i="1"/>
  <c r="O140" i="1" s="1"/>
  <c r="P140" i="1" l="1"/>
  <c r="P121" i="1"/>
  <c r="K122" i="1" s="1"/>
  <c r="K124" i="1" s="1"/>
  <c r="O132" i="1"/>
  <c r="K10" i="1" l="1"/>
  <c r="K12" i="1" s="1"/>
  <c r="D150" i="1"/>
  <c r="P132" i="1"/>
  <c r="K141" i="1"/>
  <c r="K143" i="1" l="1"/>
  <c r="D161" i="1" s="1"/>
  <c r="O10" i="1" l="1"/>
  <c r="O12" i="1" s="1"/>
</calcChain>
</file>

<file path=xl/sharedStrings.xml><?xml version="1.0" encoding="utf-8"?>
<sst xmlns="http://schemas.openxmlformats.org/spreadsheetml/2006/main" count="374" uniqueCount="254">
  <si>
    <t>Dashboard</t>
  </si>
  <si>
    <t>Company Name:</t>
  </si>
  <si>
    <t>Ticker:</t>
  </si>
  <si>
    <t>Scenario Selected</t>
  </si>
  <si>
    <t>Street</t>
  </si>
  <si>
    <t>Assumptions</t>
  </si>
  <si>
    <t>Start Date:</t>
  </si>
  <si>
    <t>Date</t>
  </si>
  <si>
    <t>Implied Price per share:</t>
  </si>
  <si>
    <t>End Date:</t>
  </si>
  <si>
    <t>Current Share price:</t>
  </si>
  <si>
    <t>No. of Years:</t>
  </si>
  <si>
    <t>Years</t>
  </si>
  <si>
    <t>Days in an Year:</t>
  </si>
  <si>
    <t>Days</t>
  </si>
  <si>
    <t>Templete:</t>
  </si>
  <si>
    <t>Standard</t>
  </si>
  <si>
    <t>Currency:</t>
  </si>
  <si>
    <t>Period type:</t>
  </si>
  <si>
    <t>Annual</t>
  </si>
  <si>
    <t>Units:</t>
  </si>
  <si>
    <t>Source:</t>
  </si>
  <si>
    <t>Company Website</t>
  </si>
  <si>
    <t xml:space="preserve">Decimals: </t>
  </si>
  <si>
    <t>Default</t>
  </si>
  <si>
    <t>Conservative</t>
  </si>
  <si>
    <t>Optimistic</t>
  </si>
  <si>
    <t>Others</t>
  </si>
  <si>
    <t>% growth</t>
  </si>
  <si>
    <t>AED</t>
  </si>
  <si>
    <t>Emirates NDB</t>
  </si>
  <si>
    <t>Interest &amp; similar Income</t>
  </si>
  <si>
    <t>Loans and receivables to customers</t>
  </si>
  <si>
    <t>Loans and receivables to banks</t>
  </si>
  <si>
    <t>Investment securities at FVOCI</t>
  </si>
  <si>
    <t>Trading securities at amortised cost</t>
  </si>
  <si>
    <t>Trading securities &amp; designated at</t>
  </si>
  <si>
    <t>FVPTL invesetment securities</t>
  </si>
  <si>
    <t>Interest &amp; similar expense</t>
  </si>
  <si>
    <t>Deposits from customers</t>
  </si>
  <si>
    <t>Borrowings from banks &amp; financial institutions</t>
  </si>
  <si>
    <t>Debt issued &amp; borrowed funds</t>
  </si>
  <si>
    <t>AED Millions</t>
  </si>
  <si>
    <t>( in AED Million, except earnings per share and shares outstanding)</t>
  </si>
  <si>
    <t>Income from Islamic financing &amp; Investment products</t>
  </si>
  <si>
    <t>Murabaha</t>
  </si>
  <si>
    <t>Ijara</t>
  </si>
  <si>
    <t>To find cost of equity</t>
  </si>
  <si>
    <t>1. Comparable comps of all the banks near to market cap</t>
  </si>
  <si>
    <t>2. Find median price to book ratio</t>
  </si>
  <si>
    <t xml:space="preserve">3. Find median return on equity for big banks </t>
  </si>
  <si>
    <t>4. Expected growth rate in perpetuity (set it to risk free rate)</t>
  </si>
  <si>
    <t>PBV = (ROE-g) / (Cost of equity - g)</t>
  </si>
  <si>
    <t>Dividend Discount model</t>
  </si>
  <si>
    <t>Expected growth in EPS = ROE x (1-Dividend Payout Ratio)</t>
  </si>
  <si>
    <t>After year 5 expected perpetuity growth rate is reduced to stable rate</t>
  </si>
  <si>
    <t>Payout ratio = 1 - Stable rate / ROE</t>
  </si>
  <si>
    <t>FCFE</t>
  </si>
  <si>
    <t>Risk adjusted assets</t>
  </si>
  <si>
    <t>Tier 1 Capital</t>
  </si>
  <si>
    <t>Change in regulatory Capital (Tier 1)</t>
  </si>
  <si>
    <t>Book equity</t>
  </si>
  <si>
    <t xml:space="preserve">FCFE = Net income - Investment in regulatory capital </t>
  </si>
  <si>
    <t>Valuation</t>
  </si>
  <si>
    <t>*</t>
  </si>
  <si>
    <t>Net fee and commission income</t>
  </si>
  <si>
    <t xml:space="preserve">Fee income </t>
  </si>
  <si>
    <t>Commission income on trade finance products / services</t>
  </si>
  <si>
    <t>Portfolio and other management fees</t>
  </si>
  <si>
    <t>Brokerage fees</t>
  </si>
  <si>
    <t>Fee and commission expense</t>
  </si>
  <si>
    <t>Total fee and commission income</t>
  </si>
  <si>
    <t>Net</t>
  </si>
  <si>
    <t>Terminal value = (Net income at year 6 x Stable payout) / (Cost of equity - Expected growth rate)</t>
  </si>
  <si>
    <t>Interest &amp; similar income</t>
  </si>
  <si>
    <t>Interest &amp; similar expenses</t>
  </si>
  <si>
    <t>Net interest income</t>
  </si>
  <si>
    <t>Distribution on Islamic deposits</t>
  </si>
  <si>
    <t>Distribution to depositors</t>
  </si>
  <si>
    <t>Profit paid to sukuk holders</t>
  </si>
  <si>
    <t xml:space="preserve">Total </t>
  </si>
  <si>
    <t>Fee and commission income</t>
  </si>
  <si>
    <t>Fee and commission expenses</t>
  </si>
  <si>
    <t>Net interest from IFIP</t>
  </si>
  <si>
    <t>Net interest income &amp; Net interest from IFIP</t>
  </si>
  <si>
    <t>Net gain on trading securities</t>
  </si>
  <si>
    <t>Other operating income</t>
  </si>
  <si>
    <t>Total operating income</t>
  </si>
  <si>
    <t>Company Name</t>
  </si>
  <si>
    <t>Share Price</t>
  </si>
  <si>
    <t>Revenue</t>
  </si>
  <si>
    <t>Net Income</t>
  </si>
  <si>
    <t>First Abu Dhabi Bank</t>
  </si>
  <si>
    <t>Emirates NDB Bank</t>
  </si>
  <si>
    <t>Abu Dhabi Commercial Bank</t>
  </si>
  <si>
    <t>Abu Dhabi Islamic Bank</t>
  </si>
  <si>
    <t>Emirates Islamic Bank</t>
  </si>
  <si>
    <t>Dubai Islamic Bank</t>
  </si>
  <si>
    <t>MashreqBank</t>
  </si>
  <si>
    <t>Commerical Bank of Dubai</t>
  </si>
  <si>
    <t xml:space="preserve">Comparable Companies - Financial Services &amp; Commerical Banks with above $ 5 Billion in Market Cap </t>
  </si>
  <si>
    <t>(in AED millions, except Price per share and other ratios)</t>
  </si>
  <si>
    <t>ROE</t>
  </si>
  <si>
    <t>Average</t>
  </si>
  <si>
    <t xml:space="preserve">Median </t>
  </si>
  <si>
    <t>Profit Before Taxes</t>
  </si>
  <si>
    <t>Income Taxes</t>
  </si>
  <si>
    <t>Profit After Taxes</t>
  </si>
  <si>
    <t>Cost of Equity</t>
  </si>
  <si>
    <t>Median P / BV</t>
  </si>
  <si>
    <t>P / BV</t>
  </si>
  <si>
    <t>Median ROE</t>
  </si>
  <si>
    <t>Adj. Default spread</t>
  </si>
  <si>
    <t>PBV = (ROE - g) / (Cost of equity - g)</t>
  </si>
  <si>
    <t>Adj. Expected growth rate (g)</t>
  </si>
  <si>
    <t xml:space="preserve">Expected growth rate </t>
  </si>
  <si>
    <t xml:space="preserve">Cost of Equity </t>
  </si>
  <si>
    <t>United Arab Emirates Nominal GDP:</t>
  </si>
  <si>
    <t>Income Statement (13/12 CYE)</t>
  </si>
  <si>
    <t>Assumptions (13/12 CYE)</t>
  </si>
  <si>
    <t xml:space="preserve">Conservative </t>
  </si>
  <si>
    <t>Total Income from IFIP</t>
  </si>
  <si>
    <t>Distribution of Islamic Deposits as a % of Income from IFIP</t>
  </si>
  <si>
    <t>Fee &amp; com. expense as a % of Total fee &amp; com. income</t>
  </si>
  <si>
    <t>PBT as a % of Operating Income</t>
  </si>
  <si>
    <t>Tax Rate (%)</t>
  </si>
  <si>
    <t>Dividends Issued</t>
  </si>
  <si>
    <t>Dividend Payout Ratio</t>
  </si>
  <si>
    <t>Earnings Growth Rate</t>
  </si>
  <si>
    <t>Return on Equity</t>
  </si>
  <si>
    <t>Terminal Value</t>
  </si>
  <si>
    <t>Risk-adjusted Assets</t>
  </si>
  <si>
    <t>Valuation Model (13/12 CYE)</t>
  </si>
  <si>
    <t>Dividend Discount Model (DDM)</t>
  </si>
  <si>
    <t>Tier 1 Capital Ratio</t>
  </si>
  <si>
    <t>Change in Regulatory Capital (Tier 1)</t>
  </si>
  <si>
    <t>Book Equity</t>
  </si>
  <si>
    <t>ROE %</t>
  </si>
  <si>
    <t>Less: Change in Regulatory Capital (Tier 1)</t>
  </si>
  <si>
    <t>Terminal Value of Equity</t>
  </si>
  <si>
    <t>Present Value</t>
  </si>
  <si>
    <t>Base Year</t>
  </si>
  <si>
    <t>Present Value of Equity</t>
  </si>
  <si>
    <t>Number of Shares</t>
  </si>
  <si>
    <t>Value Per Share</t>
  </si>
  <si>
    <t>Value per Share</t>
  </si>
  <si>
    <t>Millions</t>
  </si>
  <si>
    <t>Val. Using Dividend Discount Model</t>
  </si>
  <si>
    <t>Val. Using Free Cash Flow to Firm</t>
  </si>
  <si>
    <t>Δ % Price:</t>
  </si>
  <si>
    <t>#</t>
  </si>
  <si>
    <t>Free-Cash Flow to Equity</t>
  </si>
  <si>
    <t>Trigger</t>
  </si>
  <si>
    <t>Scenario:</t>
  </si>
  <si>
    <t>TGR:</t>
  </si>
  <si>
    <t>Terminal Year</t>
  </si>
  <si>
    <t>Cost of Equity:</t>
  </si>
  <si>
    <t>Present Value of Dividends</t>
  </si>
  <si>
    <t>Steady State</t>
  </si>
  <si>
    <t>Sensitivity Analysis</t>
  </si>
  <si>
    <t>Dividend Discount Model - Terminal Growth Rate % to Cost of Equity</t>
  </si>
  <si>
    <t>Terminal Growth Rate %</t>
  </si>
  <si>
    <t>Return on Equity %</t>
  </si>
  <si>
    <t>Free Cash Flow to Equity - Terminal Growth Rate % to Cost of Equity</t>
  </si>
  <si>
    <t>Base / Street</t>
  </si>
  <si>
    <t>Base / Street Case</t>
  </si>
  <si>
    <t>Mean</t>
  </si>
  <si>
    <t>Median</t>
  </si>
  <si>
    <t>75th Percentile</t>
  </si>
  <si>
    <t>25th Percentile</t>
  </si>
  <si>
    <t>Val. Using DDM</t>
  </si>
  <si>
    <t>Val. Using FCFE</t>
  </si>
  <si>
    <t>Overview</t>
  </si>
  <si>
    <t>(Disclaimer - The valuation analysis is conducted only for educational purposes, not as a recommendation to buy/sell stock and securities.)</t>
  </si>
  <si>
    <t>ENBD</t>
  </si>
  <si>
    <t>The valuation is conducted using the dividend discount model and the free cash flow to equity model.</t>
  </si>
  <si>
    <t>The market cap for the stock is currently AED 174 Billion. Emirates NBD is recogonised as the 2nd largest bank of UAE.</t>
  </si>
  <si>
    <t>The stock price is currently trading between AED 26.20 to AED 27.55.</t>
  </si>
  <si>
    <t>Valutation Thesis</t>
  </si>
  <si>
    <t>There are 3 scenario's taken in account to evaluate the stock:</t>
  </si>
  <si>
    <t>1. Base / Street Case</t>
  </si>
  <si>
    <t>2. Conservative Case (Worst Case)</t>
  </si>
  <si>
    <t>3. Optimistic Case (Best Case)</t>
  </si>
  <si>
    <t>Each of these cases is differentiated using the parameters, Cost of Equity and Terminal Growth Rate.</t>
  </si>
  <si>
    <t>using real time inputs, such as nominal GDP for estimating the growth rate of assets.</t>
  </si>
  <si>
    <t>Additionally, instead of using the traditional method for expected growth rate, the forecast of income statement has been conducted for 5 year period</t>
  </si>
  <si>
    <t xml:space="preserve">The share price using the dividend discount model is carried out by first collecting the required items for this analysis, </t>
  </si>
  <si>
    <t>(Net Income, Annual Dividends, Dividend payout ratio, and Return on equity)</t>
  </si>
  <si>
    <t>The present value of equity is found by summing the present value of dividends and the present value of terminal value.</t>
  </si>
  <si>
    <t>The explicit forecast period is 5 years.</t>
  </si>
  <si>
    <t xml:space="preserve">The DDM is used to evalute banks, becasue money is inventory, not a capital expenditure. Therefore, traditional FCF formulas </t>
  </si>
  <si>
    <t>(operating cash flow minus capital expenditures) do not work, as it is hard to distinguish a bank's operating, investing, and financing activities.</t>
  </si>
  <si>
    <t xml:space="preserve">Since banks are constrained by regulatory capital requirements (e.g., Basel III), the Free Cash Flow to Equity (FCFE)  </t>
  </si>
  <si>
    <t>is best represented by the dividends they are allowed to pay out after satisfying those capital constraints. </t>
  </si>
  <si>
    <t xml:space="preserve">Banks and financial institutions often have more stable, predictable, and long-term dividend payout policies compared to other industries, </t>
  </si>
  <si>
    <t>making them ideal candidates for the DDM.</t>
  </si>
  <si>
    <t>The share price using free cash flow to equity is carried-out using the following items:</t>
  </si>
  <si>
    <t>Risk adjusted assets, Tier 1 capital, Bookvalue, ROE and Net income)</t>
  </si>
  <si>
    <t>The terminal year of the explicit forecast period, which is used to find the base terminal value uses gordan growth method.</t>
  </si>
  <si>
    <t>The FCFE is calculated using net income &amp; change in regulatory, after which the terminal value is calculated using gordan growth method.</t>
  </si>
  <si>
    <t>The FCFE are then discounted to the present value using cost of equity, followed by discounting the terminal value as well.</t>
  </si>
  <si>
    <t>The dividends are then discounted to the present value using cost of equity, followed by discounting the terminal value as well.</t>
  </si>
  <si>
    <t>The present value of equity is found by summing the present value of FCFE and the present value of terminal value.</t>
  </si>
  <si>
    <t>Close</t>
  </si>
  <si>
    <t>52-week share price</t>
  </si>
  <si>
    <t xml:space="preserve">Mean </t>
  </si>
  <si>
    <t>Metrics</t>
  </si>
  <si>
    <t>DDM</t>
  </si>
  <si>
    <t xml:space="preserve">52-week </t>
  </si>
  <si>
    <t>25th Percenile</t>
  </si>
  <si>
    <t>Comps</t>
  </si>
  <si>
    <t>Valuation Methadology</t>
  </si>
  <si>
    <t xml:space="preserve">The valuation is done for Emirates NBD (Ticker: ENBD), which is a public joint stock company (PJSC) in the United Arab Emirates. </t>
  </si>
  <si>
    <t>The intrinsic value of Emirates NBD is determined through two complementary equity valuation frameworks: the Dividend Discount Model (DDM)</t>
  </si>
  <si>
    <t xml:space="preserve"> and the Free Cash Flow to Equity (FCFE) Model, each applied over an explicit five-year forecast horizon.</t>
  </si>
  <si>
    <t>Rationale for Methodology Selection</t>
  </si>
  <si>
    <t xml:space="preserve">Traditional free cash flow approaches — defined as operating cash flow less capital expenditures — are ill-suited for valuing financial institutions. </t>
  </si>
  <si>
    <t xml:space="preserve">Given that capital is effectively the raw material of a bank's operations, the distinction between operating, investing, and financing activities becomes </t>
  </si>
  <si>
    <t xml:space="preserve">fundamentally ambiguous. Accordingly, the DDM serves as the primary valuation framework, underpinned by the principle that, for regulated financial institutions, </t>
  </si>
  <si>
    <t xml:space="preserve">distributable cash flow is best approximated by dividends paid after satisfying prevailing regulatory capital requirements (Basel III). </t>
  </si>
  <si>
    <t xml:space="preserve">Furthermore, the relatively stable, predictable, and long-duration nature of bank dividend policies lends itself well to dividend-based valuation, </t>
  </si>
  <si>
    <t>reinforcing the suitability of the DDM for this analysis.</t>
  </si>
  <si>
    <t>reflecting the binding constraint that capital adequacy ratios impose on a bank's capacity to return capital to shareholders.</t>
  </si>
  <si>
    <t>The FCFE model is applied as a complementary cross-check, with free cash flow to equity defined as net income adjusted for changes in regulatory capital requirements,</t>
  </si>
  <si>
    <t>Forecast Construction</t>
  </si>
  <si>
    <t xml:space="preserve">Rather than relying on conventional sustainable growth rate approximations, income statement projections are constructed bottom-up over the five-year explicit forecast period </t>
  </si>
  <si>
    <t xml:space="preserve">using real-time macroeconomic inputs. Nominal GDP growth serves as the primary driver for balance sheet asset expansion, anchoring the forecasts in observable economic </t>
  </si>
  <si>
    <t>conditions and enhancing the robustness of forward estimates.</t>
  </si>
  <si>
    <t xml:space="preserve">Terminal value in both models is calculated at the conclusion of the explicit forecast period using the Gordon Growth Model, capitalising normalised cash flows at the spread </t>
  </si>
  <si>
    <t>between the cost of equity and the terminal growth rate.</t>
  </si>
  <si>
    <t>Scenario Analysis</t>
  </si>
  <si>
    <t>To capture the range of plausible outcomes and reflect the inherent uncertainty in long-term forecasting, the valuation is conducted across three distinct scenarios:</t>
  </si>
  <si>
    <t>1.Base Case: Consensus / street assumptions; moderate growth and stable margins</t>
  </si>
  <si>
    <t>2. Conservative Case: Downside scenario reflecting macro headwinds or margin compression</t>
  </si>
  <si>
    <t>3. Optimistic Case: Upside scenario incorporating accelerated growth or margin expansion</t>
  </si>
  <si>
    <t>Scenarios are differentiated primarily through two key value drivers: the Cost of Equity (Ke) and the Terminal Growth Rate (g), with all other inputs held consistent across cases.</t>
  </si>
  <si>
    <t>Valuation Mechanics</t>
  </si>
  <si>
    <t xml:space="preserve">Dividend Discount Model: Projected dividends are derived from forecasted net income, the prevailing dividend payout ratio, and return on equity. </t>
  </si>
  <si>
    <t xml:space="preserve">Dividends over the explicit forecast period and the terminal value are discounted to present value at the cost of equity. </t>
  </si>
  <si>
    <t>The resulting intrinsic value per share represents the sum of the present value of forecast-period dividends and the present value of the terminal value.</t>
  </si>
  <si>
    <t>Free Cash Flow to Equity Model: FCFE is computed as net income less the incremental investment required to maintain regulatory capital ratios</t>
  </si>
  <si>
    <t>(i.e., the change in risk-weighted assets multiplied by the target Tier 1 capital ratio).</t>
  </si>
  <si>
    <t xml:space="preserve">Key inputs include risk-weighted assets, Tier 1 capital, book value, return on equity, and net income. Terminal value is similarly derived via the Gordon Growth Model, </t>
  </si>
  <si>
    <t>with FCFE and terminal value discounted at the cost of equity to arrive at the present value of equity.</t>
  </si>
  <si>
    <t>The blended analysis across both models and three scenarios provides a valuation range within which Emirates NBD's fair value is assessed.</t>
  </si>
  <si>
    <t>Football Field Valuation Analysis</t>
  </si>
  <si>
    <t>Football Field Summary Chart</t>
  </si>
  <si>
    <t>a standard cross-methodological comparison used in equity research to illustrate the range of implied share price outcomes across independent valuation frameworks.</t>
  </si>
  <si>
    <t>To provide a comprehensive view of Emirates NBD's intrinsic and relative value, the valuation summary is presented in the form of a football field analysis,</t>
  </si>
  <si>
    <t xml:space="preserve">The chart below presents the implied share price ranges across all five methodologies. </t>
  </si>
  <si>
    <t xml:space="preserve">The current market price is overlaid as a reference line to contextualise </t>
  </si>
  <si>
    <t>where Emirates NBD trades relative to the full spectrum of valuation outcomes.</t>
  </si>
  <si>
    <t>Emirates NBD Current Share Price: (AED)</t>
  </si>
  <si>
    <r>
      <t xml:space="preserve">The valuation analysis is conducted for Emirates NBD </t>
    </r>
    <r>
      <rPr>
        <i/>
        <sz val="10"/>
        <color theme="1"/>
        <rFont val="Arial"/>
        <family val="2"/>
      </rPr>
      <t>(Ticker: ENBD)</t>
    </r>
    <r>
      <rPr>
        <sz val="10"/>
        <color theme="1"/>
        <rFont val="Arial"/>
        <family val="2"/>
      </rPr>
      <t xml:space="preserve">, which is a public joint stock company (PJSC) in the United Arab Emirates.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</si>
</sst>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.0"/>
    <numFmt numFmtId="165" formatCode="0.0%"/>
    <numFmt numFmtId="166" formatCode="&quot;FY&quot;\ yyyy&quot;A&quot;"/>
    <numFmt numFmtId="167" formatCode="&quot;FY&quot;\ yyyy&quot;E&quot;"/>
    <numFmt numFmtId="168" formatCode="_ * #,##0_ ;_ * \-#,##0_ ;_ * &quot;-&quot;??_ ;_ @_ "/>
    <numFmt numFmtId="169" formatCode="_ * #,##0_ ;_ * \(#,##0\)_ ;_ * &quot;-&quot;??_ ;_ @_ "/>
    <numFmt numFmtId="170" formatCode="_-[$$-409]* #,##0.00_ ;_-[$$-409]* \-#,##0.00\ ;_-[$$-409]* &quot;-&quot;??_ ;_-@_ "/>
    <numFmt numFmtId="171" formatCode="_ * #,##0.00_ ;_ * \(#,##0.00\)_ ;_ * &quot;-&quot;??_ ;_ @_ "/>
    <numFmt numFmtId="172" formatCode="&quot;AED&quot;______#,##0.00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75">
    <xf numFmtId="0" fontId="0" fillId="0" borderId="0" xfId="0"/>
    <xf numFmtId="0" fontId="3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3" borderId="0" xfId="0" applyFont="1" applyFill="1"/>
    <xf numFmtId="0" fontId="11" fillId="0" borderId="0" xfId="0" applyFont="1"/>
    <xf numFmtId="0" fontId="9" fillId="2" borderId="1" xfId="3" applyFont="1"/>
    <xf numFmtId="0" fontId="11" fillId="0" borderId="4" xfId="0" applyFont="1" applyBorder="1"/>
    <xf numFmtId="0" fontId="9" fillId="0" borderId="5" xfId="0" applyFont="1" applyBorder="1"/>
    <xf numFmtId="0" fontId="9" fillId="0" borderId="3" xfId="0" applyFont="1" applyBorder="1"/>
    <xf numFmtId="14" fontId="9" fillId="2" borderId="1" xfId="3" applyNumberFormat="1" applyFont="1"/>
    <xf numFmtId="164" fontId="9" fillId="2" borderId="1" xfId="3" applyNumberFormat="1" applyFont="1"/>
    <xf numFmtId="165" fontId="9" fillId="2" borderId="1" xfId="3" applyNumberFormat="1" applyFont="1"/>
    <xf numFmtId="165" fontId="9" fillId="2" borderId="1" xfId="2" applyNumberFormat="1" applyFont="1" applyFill="1" applyBorder="1"/>
    <xf numFmtId="166" fontId="6" fillId="3" borderId="0" xfId="0" applyNumberFormat="1" applyFont="1" applyFill="1"/>
    <xf numFmtId="167" fontId="6" fillId="3" borderId="0" xfId="0" applyNumberFormat="1" applyFont="1" applyFill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69" fontId="0" fillId="0" borderId="0" xfId="1" applyNumberFormat="1" applyFont="1"/>
    <xf numFmtId="169" fontId="2" fillId="0" borderId="0" xfId="1" applyNumberFormat="1" applyFont="1"/>
    <xf numFmtId="169" fontId="0" fillId="0" borderId="0" xfId="0" applyNumberFormat="1"/>
    <xf numFmtId="169" fontId="2" fillId="0" borderId="0" xfId="0" applyNumberFormat="1" applyFont="1"/>
    <xf numFmtId="1" fontId="2" fillId="0" borderId="0" xfId="0" applyNumberFormat="1" applyFont="1"/>
    <xf numFmtId="169" fontId="9" fillId="0" borderId="0" xfId="0" applyNumberFormat="1" applyFont="1"/>
    <xf numFmtId="169" fontId="11" fillId="0" borderId="0" xfId="0" applyNumberFormat="1" applyFont="1"/>
    <xf numFmtId="10" fontId="0" fillId="0" borderId="0" xfId="0" applyNumberFormat="1"/>
    <xf numFmtId="0" fontId="12" fillId="0" borderId="0" xfId="0" applyFont="1"/>
    <xf numFmtId="0" fontId="2" fillId="0" borderId="6" xfId="0" applyFont="1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71" fontId="0" fillId="0" borderId="0" xfId="0" applyNumberFormat="1" applyAlignment="1">
      <alignment horizontal="right"/>
    </xf>
    <xf numFmtId="169" fontId="0" fillId="0" borderId="0" xfId="1" applyNumberFormat="1" applyFont="1" applyBorder="1" applyAlignment="1">
      <alignment horizontal="right"/>
    </xf>
    <xf numFmtId="16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10" xfId="0" applyNumberFormat="1" applyBorder="1" applyAlignment="1">
      <alignment horizontal="right"/>
    </xf>
    <xf numFmtId="171" fontId="0" fillId="0" borderId="2" xfId="0" applyNumberFormat="1" applyBorder="1" applyAlignment="1">
      <alignment horizontal="right"/>
    </xf>
    <xf numFmtId="169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7" xfId="0" applyNumberFormat="1" applyBorder="1"/>
    <xf numFmtId="165" fontId="0" fillId="0" borderId="8" xfId="2" applyNumberFormat="1" applyFont="1" applyBorder="1"/>
    <xf numFmtId="164" fontId="0" fillId="0" borderId="2" xfId="0" applyNumberFormat="1" applyBorder="1"/>
    <xf numFmtId="165" fontId="0" fillId="0" borderId="12" xfId="2" applyNumberFormat="1" applyFont="1" applyBorder="1"/>
    <xf numFmtId="0" fontId="2" fillId="0" borderId="11" xfId="0" applyFont="1" applyBorder="1"/>
    <xf numFmtId="171" fontId="2" fillId="0" borderId="5" xfId="0" applyNumberFormat="1" applyFont="1" applyBorder="1" applyAlignment="1">
      <alignment horizontal="right"/>
    </xf>
    <xf numFmtId="169" fontId="2" fillId="0" borderId="5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5" fontId="2" fillId="0" borderId="13" xfId="0" applyNumberFormat="1" applyFont="1" applyBorder="1" applyAlignment="1">
      <alignment horizontal="right"/>
    </xf>
    <xf numFmtId="165" fontId="0" fillId="0" borderId="0" xfId="0" applyNumberFormat="1"/>
    <xf numFmtId="0" fontId="2" fillId="0" borderId="2" xfId="0" applyFont="1" applyBorder="1"/>
    <xf numFmtId="0" fontId="0" fillId="0" borderId="7" xfId="0" applyBorder="1"/>
    <xf numFmtId="10" fontId="0" fillId="0" borderId="7" xfId="0" applyNumberFormat="1" applyBorder="1"/>
    <xf numFmtId="165" fontId="2" fillId="0" borderId="5" xfId="2" applyNumberFormat="1" applyFont="1" applyBorder="1"/>
    <xf numFmtId="165" fontId="8" fillId="0" borderId="0" xfId="2" applyNumberFormat="1" applyFont="1"/>
    <xf numFmtId="165" fontId="8" fillId="2" borderId="1" xfId="3" applyNumberFormat="1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10" fontId="9" fillId="0" borderId="0" xfId="0" applyNumberFormat="1" applyFont="1"/>
    <xf numFmtId="165" fontId="9" fillId="0" borderId="0" xfId="0" applyNumberFormat="1" applyFont="1"/>
    <xf numFmtId="9" fontId="9" fillId="0" borderId="0" xfId="0" applyNumberFormat="1" applyFont="1"/>
    <xf numFmtId="165" fontId="8" fillId="0" borderId="0" xfId="0" applyNumberFormat="1" applyFont="1"/>
    <xf numFmtId="3" fontId="9" fillId="0" borderId="0" xfId="0" applyNumberFormat="1" applyFont="1"/>
    <xf numFmtId="0" fontId="11" fillId="0" borderId="2" xfId="0" applyFont="1" applyBorder="1"/>
    <xf numFmtId="0" fontId="9" fillId="0" borderId="2" xfId="0" applyFont="1" applyBorder="1"/>
    <xf numFmtId="165" fontId="8" fillId="0" borderId="7" xfId="0" applyNumberFormat="1" applyFont="1" applyBorder="1"/>
    <xf numFmtId="43" fontId="0" fillId="0" borderId="0" xfId="0" applyNumberFormat="1"/>
    <xf numFmtId="0" fontId="11" fillId="0" borderId="7" xfId="0" applyFont="1" applyBorder="1"/>
    <xf numFmtId="170" fontId="11" fillId="0" borderId="7" xfId="0" applyNumberFormat="1" applyFont="1" applyBorder="1"/>
    <xf numFmtId="0" fontId="11" fillId="4" borderId="2" xfId="0" applyFont="1" applyFill="1" applyBorder="1" applyAlignment="1">
      <alignment horizontal="left"/>
    </xf>
    <xf numFmtId="0" fontId="11" fillId="0" borderId="5" xfId="0" applyFont="1" applyBorder="1"/>
    <xf numFmtId="165" fontId="8" fillId="0" borderId="0" xfId="2" applyNumberFormat="1" applyFont="1" applyBorder="1"/>
    <xf numFmtId="170" fontId="9" fillId="0" borderId="0" xfId="0" applyNumberFormat="1" applyFont="1"/>
    <xf numFmtId="0" fontId="9" fillId="0" borderId="7" xfId="0" applyFont="1" applyBorder="1"/>
    <xf numFmtId="0" fontId="9" fillId="0" borderId="9" xfId="0" applyFont="1" applyBorder="1"/>
    <xf numFmtId="172" fontId="9" fillId="2" borderId="16" xfId="3" applyNumberFormat="1" applyFont="1" applyBorder="1"/>
    <xf numFmtId="0" fontId="9" fillId="0" borderId="11" xfId="0" applyFont="1" applyBorder="1"/>
    <xf numFmtId="172" fontId="9" fillId="2" borderId="18" xfId="3" applyNumberFormat="1" applyFont="1" applyBorder="1"/>
    <xf numFmtId="10" fontId="0" fillId="2" borderId="17" xfId="2" applyNumberFormat="1" applyFont="1" applyFill="1" applyBorder="1"/>
    <xf numFmtId="0" fontId="11" fillId="4" borderId="2" xfId="0" applyFont="1" applyFill="1" applyBorder="1"/>
    <xf numFmtId="165" fontId="9" fillId="0" borderId="3" xfId="2" applyNumberFormat="1" applyFont="1" applyBorder="1"/>
    <xf numFmtId="0" fontId="11" fillId="0" borderId="3" xfId="0" applyFont="1" applyBorder="1" applyAlignment="1">
      <alignment horizontal="right"/>
    </xf>
    <xf numFmtId="168" fontId="11" fillId="0" borderId="0" xfId="0" applyNumberFormat="1" applyFont="1"/>
    <xf numFmtId="172" fontId="11" fillId="0" borderId="5" xfId="0" applyNumberFormat="1" applyFont="1" applyBorder="1"/>
    <xf numFmtId="3" fontId="11" fillId="0" borderId="7" xfId="0" applyNumberFormat="1" applyFont="1" applyBorder="1"/>
    <xf numFmtId="168" fontId="9" fillId="0" borderId="7" xfId="0" applyNumberFormat="1" applyFont="1" applyBorder="1"/>
    <xf numFmtId="0" fontId="11" fillId="0" borderId="11" xfId="0" applyFont="1" applyBorder="1"/>
    <xf numFmtId="165" fontId="8" fillId="0" borderId="9" xfId="2" applyNumberFormat="1" applyFont="1" applyBorder="1"/>
    <xf numFmtId="169" fontId="9" fillId="0" borderId="9" xfId="0" applyNumberFormat="1" applyFont="1" applyBorder="1"/>
    <xf numFmtId="3" fontId="9" fillId="0" borderId="9" xfId="0" applyNumberFormat="1" applyFont="1" applyBorder="1"/>
    <xf numFmtId="165" fontId="8" fillId="0" borderId="9" xfId="0" applyNumberFormat="1" applyFont="1" applyBorder="1"/>
    <xf numFmtId="0" fontId="9" fillId="0" borderId="6" xfId="0" applyFont="1" applyBorder="1"/>
    <xf numFmtId="165" fontId="8" fillId="0" borderId="6" xfId="0" applyNumberFormat="1" applyFont="1" applyBorder="1"/>
    <xf numFmtId="0" fontId="9" fillId="0" borderId="4" xfId="0" applyFont="1" applyBorder="1"/>
    <xf numFmtId="169" fontId="11" fillId="0" borderId="5" xfId="0" applyNumberFormat="1" applyFont="1" applyBorder="1"/>
    <xf numFmtId="165" fontId="8" fillId="0" borderId="7" xfId="2" applyNumberFormat="1" applyFont="1" applyBorder="1"/>
    <xf numFmtId="169" fontId="9" fillId="0" borderId="2" xfId="0" applyNumberFormat="1" applyFont="1" applyBorder="1"/>
    <xf numFmtId="10" fontId="9" fillId="0" borderId="9" xfId="0" applyNumberFormat="1" applyFont="1" applyBorder="1"/>
    <xf numFmtId="165" fontId="8" fillId="0" borderId="6" xfId="2" applyNumberFormat="1" applyFont="1" applyBorder="1"/>
    <xf numFmtId="169" fontId="11" fillId="0" borderId="4" xfId="0" applyNumberFormat="1" applyFont="1" applyBorder="1"/>
    <xf numFmtId="169" fontId="9" fillId="0" borderId="11" xfId="0" applyNumberFormat="1" applyFont="1" applyBorder="1"/>
    <xf numFmtId="0" fontId="11" fillId="0" borderId="11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6" fillId="3" borderId="6" xfId="0" applyFont="1" applyFill="1" applyBorder="1"/>
    <xf numFmtId="0" fontId="6" fillId="3" borderId="7" xfId="0" applyFont="1" applyFill="1" applyBorder="1"/>
    <xf numFmtId="170" fontId="9" fillId="0" borderId="10" xfId="0" applyNumberFormat="1" applyFont="1" applyBorder="1"/>
    <xf numFmtId="170" fontId="9" fillId="0" borderId="2" xfId="0" applyNumberFormat="1" applyFont="1" applyBorder="1"/>
    <xf numFmtId="170" fontId="9" fillId="0" borderId="12" xfId="0" applyNumberFormat="1" applyFont="1" applyBorder="1"/>
    <xf numFmtId="172" fontId="10" fillId="5" borderId="6" xfId="0" applyNumberFormat="1" applyFont="1" applyFill="1" applyBorder="1"/>
    <xf numFmtId="9" fontId="9" fillId="5" borderId="7" xfId="0" applyNumberFormat="1" applyFont="1" applyFill="1" applyBorder="1"/>
    <xf numFmtId="9" fontId="9" fillId="5" borderId="8" xfId="0" applyNumberFormat="1" applyFont="1" applyFill="1" applyBorder="1"/>
    <xf numFmtId="10" fontId="9" fillId="5" borderId="9" xfId="0" applyNumberFormat="1" applyFont="1" applyFill="1" applyBorder="1"/>
    <xf numFmtId="10" fontId="9" fillId="5" borderId="11" xfId="0" applyNumberFormat="1" applyFont="1" applyFill="1" applyBorder="1"/>
    <xf numFmtId="170" fontId="9" fillId="0" borderId="6" xfId="0" applyNumberFormat="1" applyFont="1" applyBorder="1"/>
    <xf numFmtId="170" fontId="9" fillId="0" borderId="7" xfId="0" applyNumberFormat="1" applyFont="1" applyBorder="1"/>
    <xf numFmtId="170" fontId="9" fillId="0" borderId="8" xfId="0" applyNumberFormat="1" applyFont="1" applyBorder="1"/>
    <xf numFmtId="170" fontId="9" fillId="0" borderId="9" xfId="0" applyNumberFormat="1" applyFont="1" applyBorder="1"/>
    <xf numFmtId="170" fontId="9" fillId="0" borderId="11" xfId="0" applyNumberFormat="1" applyFont="1" applyBorder="1"/>
    <xf numFmtId="10" fontId="11" fillId="5" borderId="9" xfId="0" applyNumberFormat="1" applyFont="1" applyFill="1" applyBorder="1"/>
    <xf numFmtId="170" fontId="11" fillId="0" borderId="9" xfId="0" applyNumberFormat="1" applyFont="1" applyBorder="1"/>
    <xf numFmtId="170" fontId="11" fillId="0" borderId="0" xfId="0" applyNumberFormat="1" applyFont="1"/>
    <xf numFmtId="170" fontId="11" fillId="0" borderId="10" xfId="0" applyNumberFormat="1" applyFont="1" applyBorder="1"/>
    <xf numFmtId="9" fontId="11" fillId="5" borderId="7" xfId="0" applyNumberFormat="1" applyFont="1" applyFill="1" applyBorder="1"/>
    <xf numFmtId="170" fontId="11" fillId="0" borderId="2" xfId="0" applyNumberFormat="1" applyFont="1" applyBorder="1"/>
    <xf numFmtId="0" fontId="13" fillId="0" borderId="0" xfId="0" applyFont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172" fontId="9" fillId="0" borderId="19" xfId="0" applyNumberFormat="1" applyFont="1" applyBorder="1"/>
    <xf numFmtId="172" fontId="9" fillId="0" borderId="20" xfId="0" applyNumberFormat="1" applyFont="1" applyBorder="1"/>
    <xf numFmtId="172" fontId="9" fillId="0" borderId="21" xfId="0" applyNumberFormat="1" applyFont="1" applyBorder="1"/>
    <xf numFmtId="0" fontId="9" fillId="0" borderId="0" xfId="0" applyFont="1" applyAlignment="1">
      <alignment horizontal="right"/>
    </xf>
    <xf numFmtId="14" fontId="0" fillId="0" borderId="0" xfId="0" applyNumberFormat="1"/>
    <xf numFmtId="2" fontId="0" fillId="0" borderId="0" xfId="0" applyNumberFormat="1"/>
    <xf numFmtId="171" fontId="0" fillId="0" borderId="7" xfId="0" applyNumberFormat="1" applyBorder="1"/>
    <xf numFmtId="171" fontId="0" fillId="0" borderId="0" xfId="0" applyNumberFormat="1"/>
    <xf numFmtId="171" fontId="0" fillId="0" borderId="2" xfId="0" applyNumberFormat="1" applyBorder="1"/>
    <xf numFmtId="172" fontId="9" fillId="0" borderId="6" xfId="0" applyNumberFormat="1" applyFont="1" applyBorder="1" applyAlignment="1">
      <alignment horizontal="center"/>
    </xf>
    <xf numFmtId="172" fontId="9" fillId="0" borderId="7" xfId="0" applyNumberFormat="1" applyFont="1" applyBorder="1" applyAlignment="1">
      <alignment horizontal="center"/>
    </xf>
    <xf numFmtId="172" fontId="9" fillId="0" borderId="8" xfId="0" applyNumberFormat="1" applyFont="1" applyBorder="1" applyAlignment="1">
      <alignment horizontal="center"/>
    </xf>
    <xf numFmtId="172" fontId="9" fillId="0" borderId="9" xfId="0" applyNumberFormat="1" applyFont="1" applyBorder="1" applyAlignment="1">
      <alignment horizontal="center"/>
    </xf>
    <xf numFmtId="172" fontId="9" fillId="0" borderId="0" xfId="0" applyNumberFormat="1" applyFont="1" applyAlignment="1">
      <alignment horizontal="center"/>
    </xf>
    <xf numFmtId="172" fontId="9" fillId="0" borderId="10" xfId="0" applyNumberFormat="1" applyFont="1" applyBorder="1" applyAlignment="1">
      <alignment horizontal="center"/>
    </xf>
    <xf numFmtId="172" fontId="9" fillId="0" borderId="11" xfId="0" applyNumberFormat="1" applyFont="1" applyBorder="1" applyAlignment="1">
      <alignment horizontal="center"/>
    </xf>
    <xf numFmtId="172" fontId="9" fillId="0" borderId="2" xfId="0" applyNumberFormat="1" applyFont="1" applyBorder="1" applyAlignment="1">
      <alignment horizontal="center"/>
    </xf>
    <xf numFmtId="172" fontId="9" fillId="0" borderId="12" xfId="0" applyNumberFormat="1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1" fillId="4" borderId="6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9" fillId="2" borderId="14" xfId="3" applyFont="1" applyBorder="1" applyAlignment="1">
      <alignment horizontal="right"/>
    </xf>
    <xf numFmtId="0" fontId="9" fillId="2" borderId="15" xfId="3" applyFont="1" applyBorder="1" applyAlignment="1">
      <alignment horizontal="right"/>
    </xf>
    <xf numFmtId="0" fontId="11" fillId="4" borderId="4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11" fillId="4" borderId="13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11" fillId="4" borderId="2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1"/>
                </a:solidFill>
              </a:rPr>
              <a:t>Football Field Valuation (AED)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Summary!$D$65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Summary!$C$66:$C$69</c:f>
              <c:strCache>
                <c:ptCount val="4"/>
                <c:pt idx="0">
                  <c:v>DDM</c:v>
                </c:pt>
                <c:pt idx="1">
                  <c:v>FCFE</c:v>
                </c:pt>
                <c:pt idx="2">
                  <c:v>52-week </c:v>
                </c:pt>
                <c:pt idx="3">
                  <c:v>Comps</c:v>
                </c:pt>
              </c:strCache>
            </c:strRef>
          </c:cat>
          <c:val>
            <c:numRef>
              <c:f>Summary!$D$66:$D$69</c:f>
              <c:numCache>
                <c:formatCode>"AED"______#,##0.00</c:formatCode>
                <c:ptCount val="4"/>
                <c:pt idx="0">
                  <c:v>17.762487754109607</c:v>
                </c:pt>
                <c:pt idx="1">
                  <c:v>28.486410458100167</c:v>
                </c:pt>
                <c:pt idx="2">
                  <c:v>21.9375</c:v>
                </c:pt>
                <c:pt idx="3">
                  <c:v>9.7749999999999986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F-43EB-8D2B-26AF3B57CDA2}"/>
            </c:ext>
          </c:extLst>
        </c:ser>
        <c:ser>
          <c:idx val="1"/>
          <c:order val="1"/>
          <c:tx>
            <c:strRef>
              <c:f>Summary!$E$65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Summary!$C$66:$C$69</c:f>
              <c:strCache>
                <c:ptCount val="4"/>
                <c:pt idx="0">
                  <c:v>DDM</c:v>
                </c:pt>
                <c:pt idx="1">
                  <c:v>FCFE</c:v>
                </c:pt>
                <c:pt idx="2">
                  <c:v>52-week </c:v>
                </c:pt>
                <c:pt idx="3">
                  <c:v>Comps</c:v>
                </c:pt>
              </c:strCache>
            </c:strRef>
          </c:cat>
          <c:val>
            <c:numRef>
              <c:f>Summary!$E$66:$E$69</c:f>
              <c:numCache>
                <c:formatCode>"AED"______#,##0.00</c:formatCode>
                <c:ptCount val="4"/>
                <c:pt idx="0">
                  <c:v>23.460442371479978</c:v>
                </c:pt>
                <c:pt idx="1">
                  <c:v>35.750801275798089</c:v>
                </c:pt>
                <c:pt idx="2">
                  <c:v>25.5</c:v>
                </c:pt>
                <c:pt idx="3">
                  <c:v>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F-43EB-8D2B-26AF3B57CDA2}"/>
            </c:ext>
          </c:extLst>
        </c:ser>
        <c:ser>
          <c:idx val="2"/>
          <c:order val="2"/>
          <c:tx>
            <c:strRef>
              <c:f>Summary!$F$65</c:f>
              <c:strCache>
                <c:ptCount val="1"/>
                <c:pt idx="0">
                  <c:v>75th Percentile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Summary!$C$66:$C$69</c:f>
              <c:strCache>
                <c:ptCount val="4"/>
                <c:pt idx="0">
                  <c:v>DDM</c:v>
                </c:pt>
                <c:pt idx="1">
                  <c:v>FCFE</c:v>
                </c:pt>
                <c:pt idx="2">
                  <c:v>52-week </c:v>
                </c:pt>
                <c:pt idx="3">
                  <c:v>Comps</c:v>
                </c:pt>
              </c:strCache>
            </c:strRef>
          </c:cat>
          <c:val>
            <c:numRef>
              <c:f>Summary!$F$66:$F$69</c:f>
              <c:numCache>
                <c:formatCode>"AED"______#,##0.00</c:formatCode>
                <c:ptCount val="4"/>
                <c:pt idx="0">
                  <c:v>32.402856580206162</c:v>
                </c:pt>
                <c:pt idx="1">
                  <c:v>46.283838258385217</c:v>
                </c:pt>
                <c:pt idx="2">
                  <c:v>27.8</c:v>
                </c:pt>
                <c:pt idx="3">
                  <c:v>17.869999999999997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F-43EB-8D2B-26AF3B57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750975"/>
        <c:axId val="190754335"/>
      </c:barChart>
      <c:catAx>
        <c:axId val="190750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Valuation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4335"/>
        <c:crosses val="autoZero"/>
        <c:auto val="1"/>
        <c:lblAlgn val="ctr"/>
        <c:lblOffset val="100"/>
        <c:noMultiLvlLbl val="0"/>
      </c:catAx>
      <c:valAx>
        <c:axId val="190754335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Share Price (AED</a:t>
                </a: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AED&quot;______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63</xdr:row>
      <xdr:rowOff>137160</xdr:rowOff>
    </xdr:from>
    <xdr:to>
      <xdr:col>15</xdr:col>
      <xdr:colOff>144780</xdr:colOff>
      <xdr:row>83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86DF7-8E83-0BCB-BF1C-6B0403AD3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66</xdr:row>
      <xdr:rowOff>152400</xdr:rowOff>
    </xdr:from>
    <xdr:to>
      <xdr:col>10</xdr:col>
      <xdr:colOff>579120</xdr:colOff>
      <xdr:row>80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26D55C4-CDA5-8BF0-BDA8-33361660A13A}"/>
            </a:ext>
          </a:extLst>
        </xdr:cNvPr>
        <xdr:cNvCxnSpPr/>
      </xdr:nvCxnSpPr>
      <xdr:spPr>
        <a:xfrm>
          <a:off x="8168640" y="11224260"/>
          <a:ext cx="0" cy="229362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CABB-244B-45EC-AB6D-438BBCDA1AFE}">
  <dimension ref="A2:P76"/>
  <sheetViews>
    <sheetView showGridLines="0" tabSelected="1" topLeftCell="A61" zoomScaleNormal="100" workbookViewId="0">
      <selection activeCell="C8" sqref="C8"/>
    </sheetView>
  </sheetViews>
  <sheetFormatPr defaultRowHeight="13.2" x14ac:dyDescent="0.25"/>
  <cols>
    <col min="1" max="2" width="2.88671875" style="114" customWidth="1"/>
    <col min="3" max="3" width="12.77734375" style="8" customWidth="1"/>
    <col min="4" max="4" width="14.109375" style="8" bestFit="1" customWidth="1"/>
    <col min="5" max="5" width="12.77734375" style="8" customWidth="1"/>
    <col min="6" max="6" width="14.109375" style="8" bestFit="1" customWidth="1"/>
    <col min="7" max="16" width="12.77734375" style="8" customWidth="1"/>
    <col min="17" max="16384" width="8.88671875" style="8"/>
  </cols>
  <sheetData>
    <row r="2" spans="1:16" ht="13.8" x14ac:dyDescent="0.25">
      <c r="C2" s="2" t="s">
        <v>30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C3" s="4" t="s">
        <v>63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C4" s="5" t="s">
        <v>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C5" s="6" t="s">
        <v>173</v>
      </c>
    </row>
    <row r="7" spans="1:16" x14ac:dyDescent="0.25">
      <c r="A7" s="114" t="s">
        <v>150</v>
      </c>
      <c r="C7" s="75" t="s">
        <v>172</v>
      </c>
      <c r="D7" s="76"/>
      <c r="E7" s="76"/>
      <c r="F7" s="76"/>
      <c r="G7" s="76"/>
      <c r="H7" s="76"/>
      <c r="I7" s="76"/>
      <c r="J7" s="76"/>
      <c r="K7" s="76"/>
      <c r="L7" s="76"/>
    </row>
    <row r="8" spans="1:16" x14ac:dyDescent="0.25">
      <c r="C8" s="8" t="s">
        <v>253</v>
      </c>
    </row>
    <row r="9" spans="1:16" x14ac:dyDescent="0.25">
      <c r="C9" s="8" t="s">
        <v>176</v>
      </c>
    </row>
    <row r="10" spans="1:16" x14ac:dyDescent="0.25">
      <c r="C10" s="8" t="s">
        <v>177</v>
      </c>
    </row>
    <row r="12" spans="1:16" x14ac:dyDescent="0.25">
      <c r="A12" s="114" t="s">
        <v>150</v>
      </c>
      <c r="C12" s="75" t="s">
        <v>178</v>
      </c>
      <c r="D12" s="76"/>
      <c r="E12" s="76"/>
      <c r="F12" s="76"/>
      <c r="G12" s="76"/>
      <c r="H12" s="76"/>
      <c r="I12" s="76"/>
      <c r="J12" s="76"/>
      <c r="K12" s="76"/>
      <c r="L12" s="76"/>
    </row>
    <row r="14" spans="1:16" x14ac:dyDescent="0.25">
      <c r="B14" s="114" t="s">
        <v>64</v>
      </c>
      <c r="C14" s="75" t="s">
        <v>211</v>
      </c>
      <c r="D14" s="76"/>
      <c r="E14" s="76"/>
    </row>
    <row r="15" spans="1:16" x14ac:dyDescent="0.25">
      <c r="C15" s="8" t="s">
        <v>213</v>
      </c>
    </row>
    <row r="16" spans="1:16" x14ac:dyDescent="0.25">
      <c r="C16" s="8" t="s">
        <v>214</v>
      </c>
    </row>
    <row r="18" spans="2:5" x14ac:dyDescent="0.25">
      <c r="B18" s="114" t="s">
        <v>64</v>
      </c>
      <c r="C18" s="75" t="s">
        <v>215</v>
      </c>
      <c r="D18" s="76"/>
      <c r="E18" s="76"/>
    </row>
    <row r="19" spans="2:5" x14ac:dyDescent="0.25">
      <c r="C19" s="8" t="s">
        <v>216</v>
      </c>
    </row>
    <row r="21" spans="2:5" x14ac:dyDescent="0.25">
      <c r="C21" s="8" t="s">
        <v>217</v>
      </c>
    </row>
    <row r="22" spans="2:5" x14ac:dyDescent="0.25">
      <c r="C22" s="8" t="s">
        <v>218</v>
      </c>
    </row>
    <row r="23" spans="2:5" x14ac:dyDescent="0.25">
      <c r="C23" s="8" t="s">
        <v>219</v>
      </c>
    </row>
    <row r="25" spans="2:5" x14ac:dyDescent="0.25">
      <c r="C25" s="8" t="s">
        <v>220</v>
      </c>
    </row>
    <row r="26" spans="2:5" x14ac:dyDescent="0.25">
      <c r="C26" s="8" t="s">
        <v>221</v>
      </c>
    </row>
    <row r="28" spans="2:5" x14ac:dyDescent="0.25">
      <c r="C28" s="8" t="s">
        <v>223</v>
      </c>
    </row>
    <row r="29" spans="2:5" x14ac:dyDescent="0.25">
      <c r="C29" s="8" t="s">
        <v>222</v>
      </c>
    </row>
    <row r="31" spans="2:5" x14ac:dyDescent="0.25">
      <c r="B31" s="114" t="s">
        <v>64</v>
      </c>
      <c r="C31" s="75" t="s">
        <v>224</v>
      </c>
      <c r="D31" s="76"/>
      <c r="E31" s="76"/>
    </row>
    <row r="32" spans="2:5" x14ac:dyDescent="0.25">
      <c r="C32" s="8" t="s">
        <v>225</v>
      </c>
    </row>
    <row r="33" spans="2:5" x14ac:dyDescent="0.25">
      <c r="C33" s="8" t="s">
        <v>226</v>
      </c>
    </row>
    <row r="34" spans="2:5" x14ac:dyDescent="0.25">
      <c r="C34" s="8" t="s">
        <v>227</v>
      </c>
    </row>
    <row r="36" spans="2:5" x14ac:dyDescent="0.25">
      <c r="C36" s="8" t="s">
        <v>228</v>
      </c>
    </row>
    <row r="37" spans="2:5" x14ac:dyDescent="0.25">
      <c r="C37" s="8" t="s">
        <v>229</v>
      </c>
    </row>
    <row r="39" spans="2:5" x14ac:dyDescent="0.25">
      <c r="B39" s="114" t="s">
        <v>64</v>
      </c>
      <c r="C39" s="75" t="s">
        <v>230</v>
      </c>
      <c r="D39" s="76"/>
      <c r="E39" s="76"/>
    </row>
    <row r="40" spans="2:5" x14ac:dyDescent="0.25">
      <c r="C40" s="8" t="s">
        <v>231</v>
      </c>
    </row>
    <row r="41" spans="2:5" x14ac:dyDescent="0.25">
      <c r="C41" s="8" t="s">
        <v>232</v>
      </c>
    </row>
    <row r="42" spans="2:5" x14ac:dyDescent="0.25">
      <c r="C42" s="8" t="s">
        <v>233</v>
      </c>
    </row>
    <row r="43" spans="2:5" x14ac:dyDescent="0.25">
      <c r="C43" s="8" t="s">
        <v>234</v>
      </c>
    </row>
    <row r="45" spans="2:5" x14ac:dyDescent="0.25">
      <c r="C45" s="8" t="s">
        <v>235</v>
      </c>
    </row>
    <row r="47" spans="2:5" x14ac:dyDescent="0.25">
      <c r="B47" s="114" t="s">
        <v>64</v>
      </c>
      <c r="C47" s="75" t="s">
        <v>236</v>
      </c>
      <c r="D47" s="76"/>
      <c r="E47" s="76"/>
    </row>
    <row r="48" spans="2:5" x14ac:dyDescent="0.25">
      <c r="C48" s="8" t="s">
        <v>237</v>
      </c>
    </row>
    <row r="49" spans="2:12" x14ac:dyDescent="0.25">
      <c r="C49" s="8" t="s">
        <v>238</v>
      </c>
    </row>
    <row r="50" spans="2:12" x14ac:dyDescent="0.25">
      <c r="C50" s="8" t="s">
        <v>239</v>
      </c>
    </row>
    <row r="52" spans="2:12" x14ac:dyDescent="0.25">
      <c r="C52" s="8" t="s">
        <v>240</v>
      </c>
    </row>
    <row r="53" spans="2:12" x14ac:dyDescent="0.25">
      <c r="C53" s="8" t="s">
        <v>241</v>
      </c>
    </row>
    <row r="54" spans="2:12" x14ac:dyDescent="0.25">
      <c r="C54" s="8" t="s">
        <v>242</v>
      </c>
    </row>
    <row r="55" spans="2:12" x14ac:dyDescent="0.25">
      <c r="C55" s="8" t="s">
        <v>243</v>
      </c>
    </row>
    <row r="57" spans="2:12" x14ac:dyDescent="0.25">
      <c r="C57" s="8" t="s">
        <v>244</v>
      </c>
    </row>
    <row r="59" spans="2:12" x14ac:dyDescent="0.25">
      <c r="B59" s="114" t="s">
        <v>64</v>
      </c>
      <c r="C59" s="75" t="s">
        <v>245</v>
      </c>
      <c r="D59" s="76"/>
      <c r="E59" s="76"/>
    </row>
    <row r="60" spans="2:12" x14ac:dyDescent="0.25">
      <c r="C60" s="8" t="s">
        <v>248</v>
      </c>
    </row>
    <row r="61" spans="2:12" x14ac:dyDescent="0.25">
      <c r="C61" s="8" t="s">
        <v>247</v>
      </c>
    </row>
    <row r="63" spans="2:12" x14ac:dyDescent="0.25">
      <c r="B63" s="114" t="s">
        <v>150</v>
      </c>
      <c r="C63" s="75" t="s">
        <v>245</v>
      </c>
      <c r="D63" s="76"/>
      <c r="E63" s="76"/>
      <c r="F63" s="76"/>
      <c r="G63" s="76"/>
      <c r="H63" s="76"/>
      <c r="I63" s="76"/>
      <c r="J63" s="76"/>
      <c r="K63" s="76"/>
      <c r="L63" s="76"/>
    </row>
    <row r="65" spans="2:6" x14ac:dyDescent="0.25">
      <c r="C65" s="159" t="s">
        <v>206</v>
      </c>
      <c r="D65" s="160" t="s">
        <v>169</v>
      </c>
      <c r="E65" s="161" t="s">
        <v>167</v>
      </c>
      <c r="F65" s="162" t="s">
        <v>168</v>
      </c>
    </row>
    <row r="66" spans="2:6" x14ac:dyDescent="0.25">
      <c r="C66" s="159" t="s">
        <v>207</v>
      </c>
      <c r="D66" s="149">
        <f>Valuation!M152</f>
        <v>17.762487754109607</v>
      </c>
      <c r="E66" s="150">
        <f>Valuation!M150</f>
        <v>23.460442371479978</v>
      </c>
      <c r="F66" s="151">
        <f>Valuation!M151</f>
        <v>32.402856580206162</v>
      </c>
    </row>
    <row r="67" spans="2:6" x14ac:dyDescent="0.25">
      <c r="C67" s="163" t="s">
        <v>57</v>
      </c>
      <c r="D67" s="152">
        <f>Valuation!M159</f>
        <v>28.486410458100167</v>
      </c>
      <c r="E67" s="153">
        <f>Valuation!M157</f>
        <v>35.750801275798089</v>
      </c>
      <c r="F67" s="154">
        <f>Valuation!M158</f>
        <v>46.283838258385217</v>
      </c>
    </row>
    <row r="68" spans="2:6" x14ac:dyDescent="0.25">
      <c r="C68" s="163" t="s">
        <v>208</v>
      </c>
      <c r="D68" s="152">
        <f>'52_week'!H8</f>
        <v>21.9375</v>
      </c>
      <c r="E68" s="153">
        <f>'52_week'!H6</f>
        <v>25.5</v>
      </c>
      <c r="F68" s="154">
        <f>'52_week'!H7</f>
        <v>27.8</v>
      </c>
    </row>
    <row r="69" spans="2:6" x14ac:dyDescent="0.25">
      <c r="C69" s="164" t="s">
        <v>210</v>
      </c>
      <c r="D69" s="155">
        <f>CoC!L7</f>
        <v>9.7749999999999986</v>
      </c>
      <c r="E69" s="156">
        <f>CoC!L5</f>
        <v>11.88</v>
      </c>
      <c r="F69" s="157">
        <f>CoC!L6</f>
        <v>17.869999999999997</v>
      </c>
    </row>
    <row r="71" spans="2:6" x14ac:dyDescent="0.25">
      <c r="B71" s="114" t="s">
        <v>64</v>
      </c>
      <c r="C71" s="75" t="s">
        <v>246</v>
      </c>
      <c r="D71" s="76"/>
      <c r="E71" s="76"/>
    </row>
    <row r="72" spans="2:6" x14ac:dyDescent="0.25">
      <c r="C72" s="8" t="s">
        <v>249</v>
      </c>
    </row>
    <row r="73" spans="2:6" x14ac:dyDescent="0.25">
      <c r="C73" s="8" t="s">
        <v>250</v>
      </c>
    </row>
    <row r="74" spans="2:6" x14ac:dyDescent="0.25">
      <c r="C74" s="8" t="s">
        <v>251</v>
      </c>
    </row>
    <row r="76" spans="2:6" x14ac:dyDescent="0.25">
      <c r="C76" s="12" t="s">
        <v>252</v>
      </c>
      <c r="D76" s="13"/>
      <c r="E76" s="13"/>
      <c r="F76" s="158">
        <v>26.75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701-34C7-42CF-B9BD-CF9570A1A0BE}">
  <sheetPr>
    <pageSetUpPr autoPageBreaks="0"/>
  </sheetPr>
  <dimension ref="A1:Q236"/>
  <sheetViews>
    <sheetView showGridLines="0" zoomScaleNormal="100" workbookViewId="0">
      <selection activeCell="K11" sqref="K11"/>
    </sheetView>
  </sheetViews>
  <sheetFormatPr defaultRowHeight="13.2" outlineLevelRow="1" x14ac:dyDescent="0.25"/>
  <cols>
    <col min="1" max="2" width="2.88671875" style="114" customWidth="1"/>
    <col min="3" max="3" width="14.5546875" style="8" customWidth="1"/>
    <col min="4" max="16" width="12.109375" style="8" customWidth="1"/>
    <col min="17" max="17" width="12.77734375" style="8" customWidth="1"/>
    <col min="18" max="16384" width="8.88671875" style="8"/>
  </cols>
  <sheetData>
    <row r="1" spans="1:16" s="1" customFormat="1" ht="13.8" x14ac:dyDescent="0.25">
      <c r="A1" s="136"/>
      <c r="B1" s="136"/>
    </row>
    <row r="2" spans="1:16" s="1" customFormat="1" ht="13.8" x14ac:dyDescent="0.25">
      <c r="A2" s="136"/>
      <c r="B2" s="136"/>
      <c r="C2" s="2" t="s">
        <v>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1" customFormat="1" ht="13.8" x14ac:dyDescent="0.25">
      <c r="A3" s="136"/>
      <c r="B3" s="136"/>
      <c r="C3" s="4" t="s">
        <v>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1" customFormat="1" ht="13.8" x14ac:dyDescent="0.25">
      <c r="A4" s="136"/>
      <c r="B4" s="136"/>
      <c r="C4" s="5" t="s">
        <v>43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7" spans="1:16" x14ac:dyDescent="0.25">
      <c r="A7" s="114" t="s">
        <v>150</v>
      </c>
      <c r="C7" s="4" t="s">
        <v>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9" spans="1:16" x14ac:dyDescent="0.25">
      <c r="C9" s="10" t="s">
        <v>1</v>
      </c>
      <c r="D9" s="10"/>
      <c r="E9" s="10"/>
      <c r="F9" s="165" t="str">
        <f>C2</f>
        <v>Emirates NDB</v>
      </c>
      <c r="G9" s="166"/>
      <c r="I9" s="167" t="s">
        <v>147</v>
      </c>
      <c r="J9" s="168"/>
      <c r="K9" s="169"/>
      <c r="M9" s="167" t="s">
        <v>148</v>
      </c>
      <c r="N9" s="168"/>
      <c r="O9" s="169"/>
    </row>
    <row r="10" spans="1:16" x14ac:dyDescent="0.25">
      <c r="C10" s="10" t="s">
        <v>2</v>
      </c>
      <c r="D10" s="10"/>
      <c r="E10" s="10"/>
      <c r="F10" s="165" t="s">
        <v>174</v>
      </c>
      <c r="G10" s="166"/>
      <c r="I10" s="86" t="s">
        <v>8</v>
      </c>
      <c r="K10" s="89">
        <f ca="1">K124</f>
        <v>23.235493037266881</v>
      </c>
      <c r="M10" s="86" t="s">
        <v>8</v>
      </c>
      <c r="O10" s="89">
        <f ca="1">K143</f>
        <v>35.373563994413502</v>
      </c>
    </row>
    <row r="11" spans="1:16" x14ac:dyDescent="0.25">
      <c r="I11" s="86" t="s">
        <v>10</v>
      </c>
      <c r="K11" s="87">
        <v>26.75</v>
      </c>
      <c r="M11" s="86" t="s">
        <v>10</v>
      </c>
      <c r="O11" s="87">
        <v>28.95</v>
      </c>
    </row>
    <row r="12" spans="1:16" ht="14.4" x14ac:dyDescent="0.3">
      <c r="C12" s="12" t="s">
        <v>3</v>
      </c>
      <c r="D12" s="13"/>
      <c r="E12" s="13"/>
      <c r="F12" s="13"/>
      <c r="G12" s="93">
        <v>1</v>
      </c>
      <c r="I12" s="88" t="s">
        <v>149</v>
      </c>
      <c r="J12" s="76"/>
      <c r="K12" s="90">
        <f ca="1">K10/K11-1</f>
        <v>-0.13138343785918205</v>
      </c>
      <c r="M12" s="88" t="s">
        <v>149</v>
      </c>
      <c r="N12" s="76"/>
      <c r="O12" s="90">
        <f ca="1">O10/O11-1</f>
        <v>0.22188476664640766</v>
      </c>
    </row>
    <row r="14" spans="1:16" x14ac:dyDescent="0.25">
      <c r="C14" s="10" t="s">
        <v>6</v>
      </c>
      <c r="F14" s="6" t="s">
        <v>7</v>
      </c>
      <c r="G14" s="15">
        <v>44561</v>
      </c>
    </row>
    <row r="15" spans="1:16" x14ac:dyDescent="0.25">
      <c r="C15" s="10" t="s">
        <v>9</v>
      </c>
      <c r="F15" s="6" t="s">
        <v>7</v>
      </c>
      <c r="G15" s="15">
        <v>47848</v>
      </c>
    </row>
    <row r="16" spans="1:16" x14ac:dyDescent="0.25">
      <c r="C16" s="10" t="s">
        <v>11</v>
      </c>
      <c r="F16" s="6" t="s">
        <v>12</v>
      </c>
      <c r="G16" s="16">
        <f>YEARFRAC(G14,G15,1)</f>
        <v>9.000547645125959</v>
      </c>
    </row>
    <row r="17" spans="1:16" x14ac:dyDescent="0.25">
      <c r="C17" s="10" t="s">
        <v>13</v>
      </c>
      <c r="F17" s="6" t="s">
        <v>14</v>
      </c>
      <c r="G17" s="11">
        <v>365</v>
      </c>
    </row>
    <row r="19" spans="1:16" x14ac:dyDescent="0.25">
      <c r="C19" s="10" t="s">
        <v>15</v>
      </c>
      <c r="D19" s="8" t="s">
        <v>16</v>
      </c>
      <c r="F19" s="10" t="s">
        <v>17</v>
      </c>
      <c r="G19" s="8" t="s">
        <v>29</v>
      </c>
    </row>
    <row r="20" spans="1:16" x14ac:dyDescent="0.25">
      <c r="C20" s="10" t="s">
        <v>18</v>
      </c>
      <c r="D20" s="8" t="s">
        <v>19</v>
      </c>
      <c r="F20" s="10" t="s">
        <v>20</v>
      </c>
      <c r="G20" s="8" t="s">
        <v>146</v>
      </c>
    </row>
    <row r="21" spans="1:16" x14ac:dyDescent="0.25">
      <c r="C21" s="10" t="s">
        <v>21</v>
      </c>
      <c r="D21" s="8" t="s">
        <v>22</v>
      </c>
      <c r="F21" s="10" t="s">
        <v>23</v>
      </c>
      <c r="G21" s="8" t="s">
        <v>24</v>
      </c>
    </row>
    <row r="23" spans="1:16" x14ac:dyDescent="0.25">
      <c r="A23" s="114" t="s">
        <v>150</v>
      </c>
      <c r="C23" s="4" t="s">
        <v>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5" spans="1:16" x14ac:dyDescent="0.25">
      <c r="C25" s="91" t="s">
        <v>152</v>
      </c>
      <c r="D25" s="91"/>
      <c r="F25" s="174" t="s">
        <v>25</v>
      </c>
      <c r="G25" s="174"/>
      <c r="H25" s="174"/>
      <c r="J25" s="81" t="s">
        <v>164</v>
      </c>
      <c r="K25" s="81"/>
      <c r="L25" s="81"/>
      <c r="N25" s="81" t="s">
        <v>26</v>
      </c>
      <c r="O25" s="81"/>
      <c r="P25" s="81"/>
    </row>
    <row r="27" spans="1:16" x14ac:dyDescent="0.25">
      <c r="C27" s="10" t="s">
        <v>153</v>
      </c>
      <c r="D27" s="14">
        <f>$G$12</f>
        <v>1</v>
      </c>
      <c r="F27" s="10" t="s">
        <v>156</v>
      </c>
      <c r="H27" s="17">
        <f>L27+1%</f>
        <v>0.16141728395061727</v>
      </c>
      <c r="J27" s="10" t="s">
        <v>156</v>
      </c>
      <c r="L27" s="18">
        <f>CoC!E26</f>
        <v>0.15141728395061727</v>
      </c>
      <c r="N27" s="10" t="s">
        <v>156</v>
      </c>
      <c r="P27" s="17">
        <f>L27-1%</f>
        <v>0.14141728395061726</v>
      </c>
    </row>
    <row r="28" spans="1:16" x14ac:dyDescent="0.25">
      <c r="C28" s="10"/>
      <c r="F28" s="10" t="s">
        <v>154</v>
      </c>
      <c r="H28" s="17">
        <v>0.02</v>
      </c>
      <c r="J28" s="10" t="s">
        <v>154</v>
      </c>
      <c r="L28" s="17">
        <v>0.03</v>
      </c>
      <c r="N28" s="10" t="s">
        <v>154</v>
      </c>
      <c r="P28" s="17">
        <v>0.04</v>
      </c>
    </row>
    <row r="29" spans="1:16" x14ac:dyDescent="0.25">
      <c r="C29" s="10" t="s">
        <v>156</v>
      </c>
      <c r="D29" s="92">
        <f>CHOOSE($D$27,L27,H27,P27)</f>
        <v>0.15141728395061727</v>
      </c>
    </row>
    <row r="30" spans="1:16" x14ac:dyDescent="0.25">
      <c r="C30" s="10" t="s">
        <v>154</v>
      </c>
      <c r="D30" s="92">
        <f>CHOOSE($D$27,L28,H28,P28)</f>
        <v>0.03</v>
      </c>
    </row>
    <row r="32" spans="1:16" x14ac:dyDescent="0.25">
      <c r="A32" s="114" t="s">
        <v>150</v>
      </c>
      <c r="C32" s="4" t="s">
        <v>118</v>
      </c>
      <c r="D32" s="9"/>
      <c r="E32" s="9"/>
      <c r="F32" s="9"/>
      <c r="G32" s="19">
        <v>44561</v>
      </c>
      <c r="H32" s="19">
        <f>EDATE(G32,12)</f>
        <v>44926</v>
      </c>
      <c r="I32" s="19">
        <f t="shared" ref="I32:P32" si="0">EDATE(H32,12)</f>
        <v>45291</v>
      </c>
      <c r="J32" s="19">
        <f t="shared" si="0"/>
        <v>45657</v>
      </c>
      <c r="K32" s="19">
        <f t="shared" si="0"/>
        <v>46022</v>
      </c>
      <c r="L32" s="20">
        <f t="shared" si="0"/>
        <v>46387</v>
      </c>
      <c r="M32" s="20">
        <f t="shared" si="0"/>
        <v>46752</v>
      </c>
      <c r="N32" s="20">
        <f t="shared" si="0"/>
        <v>47118</v>
      </c>
      <c r="O32" s="20">
        <f t="shared" si="0"/>
        <v>47483</v>
      </c>
      <c r="P32" s="20">
        <f t="shared" si="0"/>
        <v>47848</v>
      </c>
    </row>
    <row r="34" spans="3:16" hidden="1" outlineLevel="1" x14ac:dyDescent="0.25">
      <c r="C34" s="8" t="s">
        <v>74</v>
      </c>
      <c r="G34" s="29">
        <f>Data!D11</f>
        <v>23663.508999999998</v>
      </c>
      <c r="H34" s="29">
        <f>Data!E11</f>
        <v>30779</v>
      </c>
      <c r="I34" s="29">
        <f>Data!F11</f>
        <v>50031</v>
      </c>
      <c r="J34" s="29">
        <f>Data!G11</f>
        <v>69129</v>
      </c>
      <c r="K34" s="29">
        <f>Data!H11</f>
        <v>70892</v>
      </c>
      <c r="L34" s="29">
        <f ca="1">K34*(1+L60)</f>
        <v>72309.84</v>
      </c>
      <c r="M34" s="29">
        <f t="shared" ref="M34:P34" ca="1" si="1">L34*(1+M60)</f>
        <v>74117.585999999996</v>
      </c>
      <c r="N34" s="29">
        <f t="shared" ca="1" si="1"/>
        <v>75970.525649999996</v>
      </c>
      <c r="O34" s="29">
        <f t="shared" ca="1" si="1"/>
        <v>78249.641419499996</v>
      </c>
      <c r="P34" s="29">
        <f t="shared" ca="1" si="1"/>
        <v>80597.130662084994</v>
      </c>
    </row>
    <row r="35" spans="3:16" hidden="1" outlineLevel="1" x14ac:dyDescent="0.25">
      <c r="C35" s="8" t="s">
        <v>75</v>
      </c>
      <c r="G35" s="29">
        <f>Data!D17</f>
        <v>-8929.7169999999987</v>
      </c>
      <c r="H35" s="29">
        <f>Data!E17</f>
        <v>-10878</v>
      </c>
      <c r="I35" s="29">
        <f>Data!F17</f>
        <v>-25239</v>
      </c>
      <c r="J35" s="29">
        <f>Data!G17</f>
        <v>-42760</v>
      </c>
      <c r="K35" s="29">
        <f>Data!H17</f>
        <v>-42485</v>
      </c>
      <c r="L35" s="29">
        <f ca="1">K35*(1+L60)</f>
        <v>-43334.700000000004</v>
      </c>
      <c r="M35" s="29">
        <f t="shared" ref="M35:P35" ca="1" si="2">L35*(1+M60)</f>
        <v>-44418.067499999997</v>
      </c>
      <c r="N35" s="29">
        <f t="shared" ca="1" si="2"/>
        <v>-45528.519187499995</v>
      </c>
      <c r="O35" s="29">
        <f t="shared" ca="1" si="2"/>
        <v>-46894.374763124993</v>
      </c>
      <c r="P35" s="29">
        <f t="shared" ca="1" si="2"/>
        <v>-48301.206006018743</v>
      </c>
    </row>
    <row r="36" spans="3:16" hidden="1" outlineLevel="1" x14ac:dyDescent="0.25">
      <c r="C36" s="10" t="s">
        <v>76</v>
      </c>
      <c r="G36" s="30">
        <f>SUM(G34:G35)</f>
        <v>14733.791999999999</v>
      </c>
      <c r="H36" s="30">
        <f t="shared" ref="H36:K36" si="3">SUM(H34:H35)</f>
        <v>19901</v>
      </c>
      <c r="I36" s="30">
        <f t="shared" si="3"/>
        <v>24792</v>
      </c>
      <c r="J36" s="30">
        <f t="shared" si="3"/>
        <v>26369</v>
      </c>
      <c r="K36" s="30">
        <f t="shared" si="3"/>
        <v>28407</v>
      </c>
      <c r="L36" s="30">
        <f t="shared" ref="L36" ca="1" si="4">SUM(L34:L35)</f>
        <v>28975.139999999992</v>
      </c>
      <c r="M36" s="30">
        <f t="shared" ref="M36" ca="1" si="5">SUM(M34:M35)</f>
        <v>29699.518499999998</v>
      </c>
      <c r="N36" s="30">
        <f t="shared" ref="N36" ca="1" si="6">SUM(N34:N35)</f>
        <v>30442.006462500001</v>
      </c>
      <c r="O36" s="30">
        <f t="shared" ref="O36" ca="1" si="7">SUM(O34:O35)</f>
        <v>31355.266656375003</v>
      </c>
      <c r="P36" s="30">
        <f t="shared" ref="P36" ca="1" si="8">SUM(P34:P35)</f>
        <v>32295.92465606625</v>
      </c>
    </row>
    <row r="37" spans="3:16" hidden="1" outlineLevel="1" x14ac:dyDescent="0.25">
      <c r="G37" s="29"/>
      <c r="H37" s="29"/>
      <c r="I37" s="29"/>
      <c r="J37" s="29"/>
      <c r="K37" s="29"/>
    </row>
    <row r="38" spans="3:16" ht="14.4" hidden="1" outlineLevel="1" x14ac:dyDescent="0.3">
      <c r="C38" t="s">
        <v>44</v>
      </c>
      <c r="G38" s="29">
        <f>Data!D23</f>
        <v>2821.9299000000001</v>
      </c>
      <c r="H38" s="29">
        <f>Data!E23</f>
        <v>4059</v>
      </c>
      <c r="I38" s="29">
        <f>Data!F23</f>
        <v>7288</v>
      </c>
      <c r="J38" s="29">
        <f>Data!G23</f>
        <v>9003</v>
      </c>
      <c r="K38" s="29">
        <f>Data!H23</f>
        <v>11083</v>
      </c>
      <c r="L38" s="29">
        <f ca="1">L84</f>
        <v>13535.919999999998</v>
      </c>
      <c r="M38" s="29">
        <f t="shared" ref="M38:P38" ca="1" si="9">M84</f>
        <v>16086.803999999998</v>
      </c>
      <c r="N38" s="29">
        <f t="shared" ca="1" si="9"/>
        <v>18877.854719999999</v>
      </c>
      <c r="O38" s="29">
        <f t="shared" ca="1" si="9"/>
        <v>21840.145674799998</v>
      </c>
      <c r="P38" s="29">
        <f t="shared" ca="1" si="9"/>
        <v>24911.373369363999</v>
      </c>
    </row>
    <row r="39" spans="3:16" hidden="1" outlineLevel="1" x14ac:dyDescent="0.25">
      <c r="C39" s="8" t="s">
        <v>77</v>
      </c>
      <c r="G39" s="29">
        <f>-Data!D28</f>
        <v>-631.24099999999999</v>
      </c>
      <c r="H39" s="29">
        <f>-Data!E28</f>
        <v>-738</v>
      </c>
      <c r="I39" s="29">
        <f>-Data!F28</f>
        <v>-2000</v>
      </c>
      <c r="J39" s="29">
        <f>-Data!G28</f>
        <v>-2976</v>
      </c>
      <c r="K39" s="29">
        <f>-Data!H28</f>
        <v>-3988</v>
      </c>
      <c r="L39" s="29">
        <f ca="1">-L38*L86</f>
        <v>-4872.9311999999991</v>
      </c>
      <c r="M39" s="29">
        <f t="shared" ref="M39:P39" ca="1" si="10">-M38*M86</f>
        <v>-5791.2494399999996</v>
      </c>
      <c r="N39" s="29">
        <f t="shared" ca="1" si="10"/>
        <v>-6796.0276991999999</v>
      </c>
      <c r="O39" s="29">
        <f t="shared" ca="1" si="10"/>
        <v>-7862.4524429279991</v>
      </c>
      <c r="P39" s="29">
        <f t="shared" ca="1" si="10"/>
        <v>-8968.0944129710388</v>
      </c>
    </row>
    <row r="40" spans="3:16" hidden="1" outlineLevel="1" x14ac:dyDescent="0.25">
      <c r="C40" s="10" t="s">
        <v>83</v>
      </c>
      <c r="G40" s="30">
        <f>SUM(G38:G39)</f>
        <v>2190.6889000000001</v>
      </c>
      <c r="H40" s="30">
        <f t="shared" ref="H40:K40" si="11">SUM(H38:H39)</f>
        <v>3321</v>
      </c>
      <c r="I40" s="30">
        <f t="shared" si="11"/>
        <v>5288</v>
      </c>
      <c r="J40" s="30">
        <f t="shared" si="11"/>
        <v>6027</v>
      </c>
      <c r="K40" s="30">
        <f t="shared" si="11"/>
        <v>7095</v>
      </c>
      <c r="L40" s="30">
        <f t="shared" ref="L40" ca="1" si="12">SUM(L38:L39)</f>
        <v>8662.9887999999992</v>
      </c>
      <c r="M40" s="30">
        <f t="shared" ref="M40" ca="1" si="13">SUM(M38:M39)</f>
        <v>10295.554559999999</v>
      </c>
      <c r="N40" s="30">
        <f t="shared" ref="N40" ca="1" si="14">SUM(N38:N39)</f>
        <v>12081.827020799999</v>
      </c>
      <c r="O40" s="30">
        <f t="shared" ref="O40" ca="1" si="15">SUM(O38:O39)</f>
        <v>13977.693231871999</v>
      </c>
      <c r="P40" s="30">
        <f t="shared" ref="P40" ca="1" si="16">SUM(P38:P39)</f>
        <v>15943.27895639296</v>
      </c>
    </row>
    <row r="41" spans="3:16" hidden="1" outlineLevel="1" x14ac:dyDescent="0.25">
      <c r="G41" s="29"/>
      <c r="H41" s="29"/>
      <c r="I41" s="29"/>
      <c r="J41" s="29"/>
      <c r="K41" s="29"/>
    </row>
    <row r="42" spans="3:16" hidden="1" outlineLevel="1" x14ac:dyDescent="0.25">
      <c r="C42" s="10" t="s">
        <v>84</v>
      </c>
      <c r="G42" s="30">
        <f>G36+G40</f>
        <v>16924.480899999999</v>
      </c>
      <c r="H42" s="30">
        <f t="shared" ref="H42:P42" si="17">H36+H40</f>
        <v>23222</v>
      </c>
      <c r="I42" s="30">
        <f t="shared" si="17"/>
        <v>30080</v>
      </c>
      <c r="J42" s="30">
        <f t="shared" si="17"/>
        <v>32396</v>
      </c>
      <c r="K42" s="30">
        <f t="shared" si="17"/>
        <v>35502</v>
      </c>
      <c r="L42" s="30">
        <f t="shared" ca="1" si="17"/>
        <v>37638.128799999991</v>
      </c>
      <c r="M42" s="30">
        <f t="shared" ca="1" si="17"/>
        <v>39995.073059999995</v>
      </c>
      <c r="N42" s="30">
        <f t="shared" ca="1" si="17"/>
        <v>42523.833483299997</v>
      </c>
      <c r="O42" s="30">
        <f t="shared" ca="1" si="17"/>
        <v>45332.959888247002</v>
      </c>
      <c r="P42" s="30">
        <f t="shared" ca="1" si="17"/>
        <v>48239.203612459212</v>
      </c>
    </row>
    <row r="43" spans="3:16" hidden="1" outlineLevel="1" x14ac:dyDescent="0.25">
      <c r="G43" s="29"/>
      <c r="H43" s="29"/>
      <c r="I43" s="29"/>
      <c r="J43" s="29"/>
      <c r="K43" s="29"/>
    </row>
    <row r="44" spans="3:16" hidden="1" outlineLevel="1" x14ac:dyDescent="0.25">
      <c r="C44" s="8" t="s">
        <v>81</v>
      </c>
      <c r="G44" s="29">
        <f>Data!D36</f>
        <v>6475.0450000000001</v>
      </c>
      <c r="H44" s="29">
        <f>Data!E36</f>
        <v>7004</v>
      </c>
      <c r="I44" s="29">
        <f>Data!F36</f>
        <v>8959</v>
      </c>
      <c r="J44" s="29">
        <f>Data!G36</f>
        <v>13347</v>
      </c>
      <c r="K44" s="29">
        <f>Data!H36</f>
        <v>15738</v>
      </c>
      <c r="L44" s="29">
        <f ca="1">L88</f>
        <v>18413.46</v>
      </c>
      <c r="M44" s="29">
        <f t="shared" ref="M44:P44" ca="1" si="18">M88</f>
        <v>21451.680899999999</v>
      </c>
      <c r="N44" s="29">
        <f t="shared" ca="1" si="18"/>
        <v>24669.433034999998</v>
      </c>
      <c r="O44" s="29">
        <f t="shared" ca="1" si="18"/>
        <v>27999.806494724999</v>
      </c>
      <c r="P44" s="29">
        <f t="shared" ca="1" si="18"/>
        <v>31359.783274092002</v>
      </c>
    </row>
    <row r="45" spans="3:16" hidden="1" outlineLevel="1" x14ac:dyDescent="0.25">
      <c r="C45" s="8" t="s">
        <v>82</v>
      </c>
      <c r="G45" s="29">
        <f>Data!D37</f>
        <v>-2639.2339999999999</v>
      </c>
      <c r="H45" s="29">
        <f>Data!E37</f>
        <v>-2923</v>
      </c>
      <c r="I45" s="29">
        <f>Data!F37</f>
        <v>-4086</v>
      </c>
      <c r="J45" s="29">
        <f>Data!G37</f>
        <v>-6554</v>
      </c>
      <c r="K45" s="29">
        <f>Data!H37</f>
        <v>-7706</v>
      </c>
      <c r="L45" s="29">
        <f ca="1">-L44*L94</f>
        <v>-8286.0570000000007</v>
      </c>
      <c r="M45" s="29">
        <f t="shared" ref="M45:P45" ca="1" si="19">-M44*M94</f>
        <v>-9653.2564050000001</v>
      </c>
      <c r="N45" s="29">
        <f t="shared" ca="1" si="19"/>
        <v>-11101.244865749999</v>
      </c>
      <c r="O45" s="29">
        <f t="shared" ca="1" si="19"/>
        <v>-12599.91292262625</v>
      </c>
      <c r="P45" s="29">
        <f t="shared" ca="1" si="19"/>
        <v>-14111.902473341401</v>
      </c>
    </row>
    <row r="46" spans="3:16" hidden="1" outlineLevel="1" x14ac:dyDescent="0.25">
      <c r="C46" s="10" t="s">
        <v>65</v>
      </c>
      <c r="G46" s="30">
        <f>SUM(G44:G45)</f>
        <v>3835.8110000000001</v>
      </c>
      <c r="H46" s="30">
        <f t="shared" ref="H46:K46" si="20">SUM(H44:H45)</f>
        <v>4081</v>
      </c>
      <c r="I46" s="30">
        <f t="shared" si="20"/>
        <v>4873</v>
      </c>
      <c r="J46" s="30">
        <f t="shared" si="20"/>
        <v>6793</v>
      </c>
      <c r="K46" s="30">
        <f t="shared" si="20"/>
        <v>8032</v>
      </c>
      <c r="L46" s="30">
        <f t="shared" ref="L46" ca="1" si="21">SUM(L44:L45)</f>
        <v>10127.402999999998</v>
      </c>
      <c r="M46" s="30">
        <f t="shared" ref="M46" ca="1" si="22">SUM(M44:M45)</f>
        <v>11798.424494999999</v>
      </c>
      <c r="N46" s="30">
        <f t="shared" ref="N46" ca="1" si="23">SUM(N44:N45)</f>
        <v>13568.188169249999</v>
      </c>
      <c r="O46" s="30">
        <f t="shared" ref="O46" ca="1" si="24">SUM(O44:O45)</f>
        <v>15399.893572098748</v>
      </c>
      <c r="P46" s="30">
        <f t="shared" ref="P46" ca="1" si="25">SUM(P44:P45)</f>
        <v>17247.880800750601</v>
      </c>
    </row>
    <row r="47" spans="3:16" hidden="1" outlineLevel="1" x14ac:dyDescent="0.25">
      <c r="C47" s="8" t="s">
        <v>85</v>
      </c>
      <c r="G47" s="29">
        <v>150.81800000000001</v>
      </c>
      <c r="H47" s="29">
        <v>52</v>
      </c>
      <c r="I47" s="29">
        <v>480</v>
      </c>
      <c r="J47" s="29">
        <v>838</v>
      </c>
      <c r="K47" s="29">
        <v>2263</v>
      </c>
      <c r="L47" s="29">
        <f ca="1">L96</f>
        <v>2715.6</v>
      </c>
      <c r="M47" s="29">
        <f t="shared" ref="M47:P47" ca="1" si="26">M96</f>
        <v>3122.9399999999996</v>
      </c>
      <c r="N47" s="29">
        <f t="shared" ca="1" si="26"/>
        <v>3435.2339999999999</v>
      </c>
      <c r="O47" s="29">
        <f t="shared" ca="1" si="26"/>
        <v>3606.9956999999999</v>
      </c>
      <c r="P47" s="29">
        <f t="shared" ca="1" si="26"/>
        <v>3606.9956999999999</v>
      </c>
    </row>
    <row r="48" spans="3:16" hidden="1" outlineLevel="1" x14ac:dyDescent="0.25">
      <c r="C48" s="8" t="s">
        <v>86</v>
      </c>
      <c r="G48" s="29">
        <v>2910.4609999999998</v>
      </c>
      <c r="H48" s="29">
        <v>5152</v>
      </c>
      <c r="I48" s="29">
        <v>7595</v>
      </c>
      <c r="J48" s="29">
        <v>4107</v>
      </c>
      <c r="K48" s="29">
        <v>3522</v>
      </c>
      <c r="L48" s="29">
        <f>L102</f>
        <v>4087.8637556736262</v>
      </c>
      <c r="M48" s="29">
        <f t="shared" ref="M48:P48" si="27">M102</f>
        <v>4121.7531690908936</v>
      </c>
      <c r="N48" s="29">
        <f t="shared" si="27"/>
        <v>3675.8479678959388</v>
      </c>
      <c r="O48" s="29">
        <f t="shared" si="27"/>
        <v>3600.7987238643655</v>
      </c>
      <c r="P48" s="29">
        <f t="shared" si="27"/>
        <v>3637.126711297693</v>
      </c>
    </row>
    <row r="49" spans="1:16" hidden="1" outlineLevel="1" x14ac:dyDescent="0.25">
      <c r="G49" s="29"/>
      <c r="H49" s="29"/>
      <c r="I49" s="29"/>
      <c r="J49" s="29"/>
      <c r="K49" s="29"/>
    </row>
    <row r="50" spans="1:16" hidden="1" outlineLevel="1" x14ac:dyDescent="0.25">
      <c r="C50" s="10" t="s">
        <v>87</v>
      </c>
      <c r="G50" s="30">
        <f>G42+G46+G47+G48</f>
        <v>23821.570899999999</v>
      </c>
      <c r="H50" s="30">
        <f t="shared" ref="H50:P50" si="28">H42+H46+H47+H48</f>
        <v>32507</v>
      </c>
      <c r="I50" s="30">
        <f t="shared" si="28"/>
        <v>43028</v>
      </c>
      <c r="J50" s="30">
        <f t="shared" si="28"/>
        <v>44134</v>
      </c>
      <c r="K50" s="30">
        <f t="shared" si="28"/>
        <v>49319</v>
      </c>
      <c r="L50" s="30">
        <f t="shared" ca="1" si="28"/>
        <v>54568.995555673617</v>
      </c>
      <c r="M50" s="30">
        <f t="shared" ca="1" si="28"/>
        <v>59038.190724090891</v>
      </c>
      <c r="N50" s="30">
        <f t="shared" ca="1" si="28"/>
        <v>63203.103620445938</v>
      </c>
      <c r="O50" s="30">
        <f t="shared" ca="1" si="28"/>
        <v>67940.647884210121</v>
      </c>
      <c r="P50" s="30">
        <f t="shared" ca="1" si="28"/>
        <v>72731.206824507506</v>
      </c>
    </row>
    <row r="51" spans="1:16" hidden="1" outlineLevel="1" x14ac:dyDescent="0.25"/>
    <row r="52" spans="1:16" hidden="1" outlineLevel="1" x14ac:dyDescent="0.25">
      <c r="C52" s="10" t="s">
        <v>105</v>
      </c>
      <c r="G52" s="30">
        <v>9900</v>
      </c>
      <c r="H52" s="30">
        <v>15000</v>
      </c>
      <c r="I52" s="30">
        <v>23700</v>
      </c>
      <c r="J52" s="30">
        <v>27100</v>
      </c>
      <c r="K52" s="30">
        <v>29800</v>
      </c>
      <c r="L52" s="30">
        <f ca="1">L50*L105</f>
        <v>32741.397333404169</v>
      </c>
      <c r="M52" s="30">
        <f t="shared" ref="M52:P52" ca="1" si="29">M50*M105</f>
        <v>35422.914434454535</v>
      </c>
      <c r="N52" s="30">
        <f t="shared" ca="1" si="29"/>
        <v>37921.86217226756</v>
      </c>
      <c r="O52" s="30">
        <f t="shared" ca="1" si="29"/>
        <v>40764.388730526072</v>
      </c>
      <c r="P52" s="30">
        <f t="shared" ca="1" si="29"/>
        <v>43638.724094704499</v>
      </c>
    </row>
    <row r="53" spans="1:16" hidden="1" outlineLevel="1" x14ac:dyDescent="0.25">
      <c r="C53" s="8" t="s">
        <v>106</v>
      </c>
      <c r="G53" s="29">
        <f t="shared" ref="G53:J53" si="30">G52-G55</f>
        <v>600</v>
      </c>
      <c r="H53" s="29">
        <f t="shared" si="30"/>
        <v>2000</v>
      </c>
      <c r="I53" s="29">
        <f t="shared" si="30"/>
        <v>2200</v>
      </c>
      <c r="J53" s="29">
        <f t="shared" si="30"/>
        <v>4100</v>
      </c>
      <c r="K53" s="29">
        <f>K52-K55</f>
        <v>5800</v>
      </c>
      <c r="L53" s="29">
        <f ca="1">L52*L107</f>
        <v>5893.4515200127498</v>
      </c>
      <c r="M53" s="29">
        <f t="shared" ref="M53:P53" ca="1" si="31">M52*M107</f>
        <v>6376.1245982018163</v>
      </c>
      <c r="N53" s="29">
        <f t="shared" ca="1" si="31"/>
        <v>6825.9351910081605</v>
      </c>
      <c r="O53" s="29">
        <f t="shared" ca="1" si="31"/>
        <v>7337.5899714946927</v>
      </c>
      <c r="P53" s="29">
        <f t="shared" ca="1" si="31"/>
        <v>7854.9703370468096</v>
      </c>
    </row>
    <row r="54" spans="1:16" hidden="1" outlineLevel="1" x14ac:dyDescent="0.25"/>
    <row r="55" spans="1:16" hidden="1" outlineLevel="1" x14ac:dyDescent="0.25">
      <c r="C55" s="10" t="s">
        <v>107</v>
      </c>
      <c r="G55" s="30">
        <v>9300</v>
      </c>
      <c r="H55" s="30">
        <v>13000</v>
      </c>
      <c r="I55" s="30">
        <v>21500</v>
      </c>
      <c r="J55" s="30">
        <v>23000</v>
      </c>
      <c r="K55" s="30">
        <v>24000</v>
      </c>
      <c r="L55" s="30">
        <f ca="1">L52-L53</f>
        <v>26847.94581339142</v>
      </c>
      <c r="M55" s="30">
        <f t="shared" ref="M55:P55" ca="1" si="32">M52-M53</f>
        <v>29046.789836252719</v>
      </c>
      <c r="N55" s="30">
        <f t="shared" ca="1" si="32"/>
        <v>31095.926981259399</v>
      </c>
      <c r="O55" s="30">
        <f t="shared" ca="1" si="32"/>
        <v>33426.798759031379</v>
      </c>
      <c r="P55" s="30">
        <f t="shared" ca="1" si="32"/>
        <v>35783.753757657687</v>
      </c>
    </row>
    <row r="56" spans="1:16" collapsed="1" x14ac:dyDescent="0.25"/>
    <row r="57" spans="1:16" x14ac:dyDescent="0.25">
      <c r="A57" s="114" t="s">
        <v>150</v>
      </c>
      <c r="C57" s="4" t="s">
        <v>119</v>
      </c>
      <c r="D57" s="9"/>
      <c r="E57" s="9"/>
      <c r="F57" s="9"/>
      <c r="G57" s="19">
        <v>44561</v>
      </c>
      <c r="H57" s="19">
        <f>EDATE(G57,12)</f>
        <v>44926</v>
      </c>
      <c r="I57" s="19">
        <f t="shared" ref="I57" si="33">EDATE(H57,12)</f>
        <v>45291</v>
      </c>
      <c r="J57" s="19">
        <f t="shared" ref="J57" si="34">EDATE(I57,12)</f>
        <v>45657</v>
      </c>
      <c r="K57" s="19">
        <f t="shared" ref="K57" si="35">EDATE(J57,12)</f>
        <v>46022</v>
      </c>
      <c r="L57" s="20">
        <f t="shared" ref="L57" si="36">EDATE(K57,12)</f>
        <v>46387</v>
      </c>
      <c r="M57" s="20">
        <f t="shared" ref="M57" si="37">EDATE(L57,12)</f>
        <v>46752</v>
      </c>
      <c r="N57" s="20">
        <f t="shared" ref="N57" si="38">EDATE(M57,12)</f>
        <v>47118</v>
      </c>
      <c r="O57" s="20">
        <f t="shared" ref="O57" si="39">EDATE(N57,12)</f>
        <v>47483</v>
      </c>
      <c r="P57" s="20">
        <f t="shared" ref="P57" si="40">EDATE(O57,12)</f>
        <v>47848</v>
      </c>
    </row>
    <row r="59" spans="1:16" hidden="1" outlineLevel="1" x14ac:dyDescent="0.25">
      <c r="C59" s="10" t="s">
        <v>117</v>
      </c>
      <c r="G59" s="30">
        <v>422.4</v>
      </c>
      <c r="H59" s="30">
        <v>511.4</v>
      </c>
      <c r="I59" s="30">
        <v>522.6</v>
      </c>
      <c r="J59" s="30">
        <v>552.29999999999995</v>
      </c>
      <c r="K59" s="30">
        <v>569</v>
      </c>
      <c r="L59" s="30">
        <f ca="1">K59*(1+L60)</f>
        <v>580.38</v>
      </c>
      <c r="M59" s="30">
        <f t="shared" ref="M59:P59" ca="1" si="41">L59*(1+M60)</f>
        <v>594.8895</v>
      </c>
      <c r="N59" s="30">
        <f t="shared" ca="1" si="41"/>
        <v>609.76173749999998</v>
      </c>
      <c r="O59" s="30">
        <f t="shared" ca="1" si="41"/>
        <v>628.05458962499995</v>
      </c>
      <c r="P59" s="30">
        <f t="shared" ca="1" si="41"/>
        <v>646.89622731374993</v>
      </c>
    </row>
    <row r="60" spans="1:16" hidden="1" outlineLevel="1" x14ac:dyDescent="0.25">
      <c r="C60" s="68" t="s">
        <v>28</v>
      </c>
      <c r="H60" s="66">
        <f>H59/G59-1</f>
        <v>0.21070075757575757</v>
      </c>
      <c r="I60" s="66">
        <f t="shared" ref="I60" si="42">I59/H59-1</f>
        <v>2.190066484161135E-2</v>
      </c>
      <c r="J60" s="66">
        <f t="shared" ref="J60" si="43">J59/I59-1</f>
        <v>5.6831228473019468E-2</v>
      </c>
      <c r="K60" s="66">
        <f t="shared" ref="K60" si="44">K59/J59-1</f>
        <v>3.0237189933007613E-2</v>
      </c>
      <c r="L60" s="66">
        <f ca="1">OFFSET(L60,$D$27,0)</f>
        <v>1.9999999999999997E-2</v>
      </c>
      <c r="M60" s="66">
        <f t="shared" ref="M60:P60" ca="1" si="45">OFFSET(M60,$D$27,0)</f>
        <v>2.5000000000000001E-2</v>
      </c>
      <c r="N60" s="66">
        <f t="shared" ca="1" si="45"/>
        <v>2.5000000000000001E-2</v>
      </c>
      <c r="O60" s="66">
        <f t="shared" ca="1" si="45"/>
        <v>0.03</v>
      </c>
      <c r="P60" s="66">
        <f t="shared" ca="1" si="45"/>
        <v>0.03</v>
      </c>
    </row>
    <row r="61" spans="1:16" hidden="1" outlineLevel="1" x14ac:dyDescent="0.25">
      <c r="C61" s="69" t="s">
        <v>120</v>
      </c>
      <c r="L61" s="67">
        <f>L62-1%</f>
        <v>1.9999999999999997E-2</v>
      </c>
      <c r="M61" s="67">
        <f t="shared" ref="M61:P61" si="46">M62-1%</f>
        <v>2.5000000000000001E-2</v>
      </c>
      <c r="N61" s="67">
        <f t="shared" si="46"/>
        <v>2.5000000000000001E-2</v>
      </c>
      <c r="O61" s="67">
        <f t="shared" si="46"/>
        <v>0.03</v>
      </c>
      <c r="P61" s="67">
        <f t="shared" si="46"/>
        <v>0.03</v>
      </c>
    </row>
    <row r="62" spans="1:16" hidden="1" outlineLevel="1" x14ac:dyDescent="0.25">
      <c r="C62" s="69" t="s">
        <v>4</v>
      </c>
      <c r="L62" s="67">
        <v>0.03</v>
      </c>
      <c r="M62" s="67">
        <v>3.5000000000000003E-2</v>
      </c>
      <c r="N62" s="67">
        <v>3.5000000000000003E-2</v>
      </c>
      <c r="O62" s="67">
        <v>0.04</v>
      </c>
      <c r="P62" s="67">
        <v>0.04</v>
      </c>
    </row>
    <row r="63" spans="1:16" hidden="1" outlineLevel="1" x14ac:dyDescent="0.25">
      <c r="C63" s="69" t="s">
        <v>26</v>
      </c>
      <c r="L63" s="67">
        <f>L62+1%</f>
        <v>0.04</v>
      </c>
      <c r="M63" s="67">
        <f t="shared" ref="M63:P63" si="47">M62+1%</f>
        <v>4.5000000000000005E-2</v>
      </c>
      <c r="N63" s="67">
        <f t="shared" si="47"/>
        <v>4.5000000000000005E-2</v>
      </c>
      <c r="O63" s="67">
        <f t="shared" si="47"/>
        <v>0.05</v>
      </c>
      <c r="P63" s="67">
        <f t="shared" si="47"/>
        <v>0.05</v>
      </c>
    </row>
    <row r="64" spans="1:16" hidden="1" outlineLevel="1" x14ac:dyDescent="0.25"/>
    <row r="65" spans="3:16" hidden="1" outlineLevel="1" x14ac:dyDescent="0.25">
      <c r="C65" s="10" t="s">
        <v>44</v>
      </c>
    </row>
    <row r="66" spans="3:16" hidden="1" outlineLevel="1" x14ac:dyDescent="0.25">
      <c r="C66" s="10" t="s">
        <v>45</v>
      </c>
      <c r="G66" s="29">
        <f>Data!D20</f>
        <v>1273.6020000000001</v>
      </c>
      <c r="H66" s="29">
        <f>Data!E20</f>
        <v>1946</v>
      </c>
      <c r="I66" s="29">
        <f>Data!F20</f>
        <v>3559</v>
      </c>
      <c r="J66" s="29">
        <f>Data!G20</f>
        <v>4153</v>
      </c>
      <c r="K66" s="29">
        <f>Data!H20</f>
        <v>4826</v>
      </c>
      <c r="L66" s="29">
        <f ca="1">K66*(1+L67)</f>
        <v>5549.9</v>
      </c>
      <c r="M66" s="29">
        <f t="shared" ref="M66:P66" ca="1" si="48">L66*(1+M67)</f>
        <v>6271.3869999999988</v>
      </c>
      <c r="N66" s="29">
        <f t="shared" ca="1" si="48"/>
        <v>7023.9534399999993</v>
      </c>
      <c r="O66" s="29">
        <f t="shared" ca="1" si="48"/>
        <v>7796.5883183999995</v>
      </c>
      <c r="P66" s="29">
        <f t="shared" ca="1" si="48"/>
        <v>8498.2812670559997</v>
      </c>
    </row>
    <row r="67" spans="3:16" hidden="1" outlineLevel="1" x14ac:dyDescent="0.25">
      <c r="C67" s="68" t="s">
        <v>28</v>
      </c>
      <c r="H67" s="66">
        <f>H66/G66-1</f>
        <v>0.52794986188777959</v>
      </c>
      <c r="I67" s="66">
        <f t="shared" ref="I67" si="49">I66/H66-1</f>
        <v>0.82887975334018504</v>
      </c>
      <c r="J67" s="66">
        <f t="shared" ref="J67" si="50">J66/I66-1</f>
        <v>0.16690081483562791</v>
      </c>
      <c r="K67" s="66">
        <f t="shared" ref="K67" si="51">K66/J66-1</f>
        <v>0.16205152901516984</v>
      </c>
      <c r="L67" s="66">
        <f ca="1">OFFSET(L67,$D$27,0)</f>
        <v>0.15</v>
      </c>
      <c r="M67" s="66">
        <f t="shared" ref="M67:P67" ca="1" si="52">OFFSET(M67,$D$27,0)</f>
        <v>0.13</v>
      </c>
      <c r="N67" s="66">
        <f t="shared" ca="1" si="52"/>
        <v>0.12000000000000001</v>
      </c>
      <c r="O67" s="66">
        <f t="shared" ca="1" si="52"/>
        <v>0.11</v>
      </c>
      <c r="P67" s="66">
        <f t="shared" ca="1" si="52"/>
        <v>9.0000000000000011E-2</v>
      </c>
    </row>
    <row r="68" spans="3:16" hidden="1" outlineLevel="1" x14ac:dyDescent="0.25">
      <c r="C68" s="69" t="s">
        <v>120</v>
      </c>
      <c r="L68" s="67">
        <f>L69-1%</f>
        <v>0.15</v>
      </c>
      <c r="M68" s="67">
        <f t="shared" ref="M68:P68" si="53">M69-1%</f>
        <v>0.13</v>
      </c>
      <c r="N68" s="67">
        <f t="shared" si="53"/>
        <v>0.12000000000000001</v>
      </c>
      <c r="O68" s="67">
        <f t="shared" si="53"/>
        <v>0.11</v>
      </c>
      <c r="P68" s="67">
        <f t="shared" si="53"/>
        <v>9.0000000000000011E-2</v>
      </c>
    </row>
    <row r="69" spans="3:16" hidden="1" outlineLevel="1" x14ac:dyDescent="0.25">
      <c r="C69" s="69" t="s">
        <v>4</v>
      </c>
      <c r="L69" s="67">
        <v>0.16</v>
      </c>
      <c r="M69" s="67">
        <v>0.14000000000000001</v>
      </c>
      <c r="N69" s="67">
        <v>0.13</v>
      </c>
      <c r="O69" s="67">
        <v>0.12</v>
      </c>
      <c r="P69" s="67">
        <v>0.1</v>
      </c>
    </row>
    <row r="70" spans="3:16" hidden="1" outlineLevel="1" x14ac:dyDescent="0.25">
      <c r="C70" s="69" t="s">
        <v>26</v>
      </c>
      <c r="L70" s="67">
        <f t="shared" ref="L70:P70" si="54">L69+1%</f>
        <v>0.17</v>
      </c>
      <c r="M70" s="67">
        <f t="shared" si="54"/>
        <v>0.15000000000000002</v>
      </c>
      <c r="N70" s="67">
        <f t="shared" si="54"/>
        <v>0.14000000000000001</v>
      </c>
      <c r="O70" s="67">
        <f t="shared" si="54"/>
        <v>0.13</v>
      </c>
      <c r="P70" s="67">
        <f t="shared" si="54"/>
        <v>0.11</v>
      </c>
    </row>
    <row r="71" spans="3:16" hidden="1" outlineLevel="1" x14ac:dyDescent="0.25"/>
    <row r="72" spans="3:16" hidden="1" outlineLevel="1" x14ac:dyDescent="0.25">
      <c r="C72" s="10" t="s">
        <v>46</v>
      </c>
      <c r="G72" s="29">
        <f>Data!D21</f>
        <v>595.96</v>
      </c>
      <c r="H72" s="29">
        <f>Data!E21</f>
        <v>853</v>
      </c>
      <c r="I72" s="29">
        <f>Data!F21</f>
        <v>1459</v>
      </c>
      <c r="J72" s="29">
        <f>Data!G21</f>
        <v>1544</v>
      </c>
      <c r="K72" s="29">
        <f>Data!H21</f>
        <v>1732</v>
      </c>
      <c r="L72" s="29">
        <f ca="1">K72*(1+L73)</f>
        <v>1922.5200000000002</v>
      </c>
      <c r="M72" s="29">
        <f t="shared" ref="M72" ca="1" si="55">L72*(1+M73)</f>
        <v>2114.7720000000004</v>
      </c>
      <c r="N72" s="29">
        <f t="shared" ref="N72" ca="1" si="56">M72*(1+N73)</f>
        <v>2305.1014800000007</v>
      </c>
      <c r="O72" s="29">
        <f t="shared" ref="O72" ca="1" si="57">N72*(1+O73)</f>
        <v>2489.5095984000009</v>
      </c>
      <c r="P72" s="29">
        <f t="shared" ref="P72" ca="1" si="58">O72*(1+P73)</f>
        <v>2663.7752702880011</v>
      </c>
    </row>
    <row r="73" spans="3:16" hidden="1" outlineLevel="1" x14ac:dyDescent="0.25">
      <c r="C73" s="68" t="s">
        <v>28</v>
      </c>
      <c r="H73" s="66">
        <f>H72/G72-1</f>
        <v>0.43130411437009197</v>
      </c>
      <c r="I73" s="66">
        <f t="shared" ref="I73" si="59">I72/H72-1</f>
        <v>0.71043376318874563</v>
      </c>
      <c r="J73" s="66">
        <f t="shared" ref="J73" si="60">J72/I72-1</f>
        <v>5.8259081562714199E-2</v>
      </c>
      <c r="K73" s="66">
        <f t="shared" ref="K73" si="61">K72/J72-1</f>
        <v>0.12176165803108807</v>
      </c>
      <c r="L73" s="66">
        <f ca="1">OFFSET(L73,$D$27,0)</f>
        <v>0.11</v>
      </c>
      <c r="M73" s="66">
        <f t="shared" ref="M73:P73" ca="1" si="62">OFFSET(M73,$D$27,0)</f>
        <v>0.1</v>
      </c>
      <c r="N73" s="66">
        <f t="shared" ca="1" si="62"/>
        <v>9.0000000000000011E-2</v>
      </c>
      <c r="O73" s="66">
        <f t="shared" ca="1" si="62"/>
        <v>0.08</v>
      </c>
      <c r="P73" s="66">
        <f t="shared" ca="1" si="62"/>
        <v>7.0000000000000007E-2</v>
      </c>
    </row>
    <row r="74" spans="3:16" hidden="1" outlineLevel="1" x14ac:dyDescent="0.25">
      <c r="C74" s="69" t="s">
        <v>120</v>
      </c>
      <c r="L74" s="67">
        <f t="shared" ref="L74:P74" si="63">L75-1%</f>
        <v>0.11</v>
      </c>
      <c r="M74" s="67">
        <f t="shared" si="63"/>
        <v>0.1</v>
      </c>
      <c r="N74" s="67">
        <f t="shared" si="63"/>
        <v>9.0000000000000011E-2</v>
      </c>
      <c r="O74" s="67">
        <f t="shared" si="63"/>
        <v>0.08</v>
      </c>
      <c r="P74" s="67">
        <f t="shared" si="63"/>
        <v>7.0000000000000007E-2</v>
      </c>
    </row>
    <row r="75" spans="3:16" hidden="1" outlineLevel="1" x14ac:dyDescent="0.25">
      <c r="C75" s="69" t="s">
        <v>4</v>
      </c>
      <c r="L75" s="67">
        <v>0.12</v>
      </c>
      <c r="M75" s="67">
        <v>0.11</v>
      </c>
      <c r="N75" s="67">
        <v>0.1</v>
      </c>
      <c r="O75" s="67">
        <v>0.09</v>
      </c>
      <c r="P75" s="67">
        <v>0.08</v>
      </c>
    </row>
    <row r="76" spans="3:16" hidden="1" outlineLevel="1" x14ac:dyDescent="0.25">
      <c r="C76" s="69" t="s">
        <v>26</v>
      </c>
      <c r="L76" s="67">
        <f t="shared" ref="L76:P76" si="64">L75+1%</f>
        <v>0.13</v>
      </c>
      <c r="M76" s="67">
        <f t="shared" si="64"/>
        <v>0.12</v>
      </c>
      <c r="N76" s="67">
        <f t="shared" si="64"/>
        <v>0.11</v>
      </c>
      <c r="O76" s="67">
        <f t="shared" si="64"/>
        <v>9.9999999999999992E-2</v>
      </c>
      <c r="P76" s="67">
        <f t="shared" si="64"/>
        <v>0.09</v>
      </c>
    </row>
    <row r="77" spans="3:16" hidden="1" outlineLevel="1" x14ac:dyDescent="0.25"/>
    <row r="78" spans="3:16" hidden="1" outlineLevel="1" x14ac:dyDescent="0.25">
      <c r="C78" s="10" t="s">
        <v>27</v>
      </c>
      <c r="G78" s="29">
        <f>Data!D22</f>
        <v>952.36790000000008</v>
      </c>
      <c r="H78" s="29">
        <f>Data!E22</f>
        <v>1260</v>
      </c>
      <c r="I78" s="29">
        <f>Data!F22</f>
        <v>2270</v>
      </c>
      <c r="J78" s="29">
        <f>Data!G22</f>
        <v>3306</v>
      </c>
      <c r="K78" s="29">
        <f>Data!H22</f>
        <v>4525</v>
      </c>
      <c r="L78" s="29">
        <f ca="1">K78*(1+L79)</f>
        <v>6063.4999999999991</v>
      </c>
      <c r="M78" s="29">
        <f t="shared" ref="M78" ca="1" si="65">L78*(1+M79)</f>
        <v>7700.6449999999986</v>
      </c>
      <c r="N78" s="29">
        <f t="shared" ref="N78" ca="1" si="66">M78*(1+N79)</f>
        <v>9548.7997999999989</v>
      </c>
      <c r="O78" s="29">
        <f t="shared" ref="O78" ca="1" si="67">N78*(1+O79)</f>
        <v>11554.047757999999</v>
      </c>
      <c r="P78" s="29">
        <f t="shared" ref="P78" ca="1" si="68">O78*(1+P79)</f>
        <v>13749.316832019998</v>
      </c>
    </row>
    <row r="79" spans="3:16" hidden="1" outlineLevel="1" x14ac:dyDescent="0.25">
      <c r="C79" s="68" t="s">
        <v>28</v>
      </c>
      <c r="H79" s="66">
        <f>H78/G78-1</f>
        <v>0.32301813196349838</v>
      </c>
      <c r="I79" s="66">
        <f t="shared" ref="I79" si="69">I78/H78-1</f>
        <v>0.80158730158730163</v>
      </c>
      <c r="J79" s="66">
        <f t="shared" ref="J79" si="70">J78/I78-1</f>
        <v>0.45638766519823792</v>
      </c>
      <c r="K79" s="66">
        <f t="shared" ref="K79" si="71">K78/J78-1</f>
        <v>0.36872353297035687</v>
      </c>
      <c r="L79" s="66">
        <f ca="1">OFFSET(L79,$D$27,0)</f>
        <v>0.33999999999999997</v>
      </c>
      <c r="M79" s="66">
        <f t="shared" ref="M79:P79" ca="1" si="72">OFFSET(M79,$D$27,0)</f>
        <v>0.27</v>
      </c>
      <c r="N79" s="66">
        <f t="shared" ca="1" si="72"/>
        <v>0.24</v>
      </c>
      <c r="O79" s="66">
        <f t="shared" ca="1" si="72"/>
        <v>0.21</v>
      </c>
      <c r="P79" s="66">
        <f t="shared" ca="1" si="72"/>
        <v>0.19</v>
      </c>
    </row>
    <row r="80" spans="3:16" hidden="1" outlineLevel="1" x14ac:dyDescent="0.25">
      <c r="C80" s="69" t="s">
        <v>120</v>
      </c>
      <c r="L80" s="67">
        <f t="shared" ref="L80:P80" si="73">L81-1%</f>
        <v>0.33999999999999997</v>
      </c>
      <c r="M80" s="67">
        <f t="shared" si="73"/>
        <v>0.27</v>
      </c>
      <c r="N80" s="67">
        <f t="shared" si="73"/>
        <v>0.24</v>
      </c>
      <c r="O80" s="67">
        <f t="shared" si="73"/>
        <v>0.21</v>
      </c>
      <c r="P80" s="67">
        <f t="shared" si="73"/>
        <v>0.19</v>
      </c>
    </row>
    <row r="81" spans="3:16" hidden="1" outlineLevel="1" x14ac:dyDescent="0.25">
      <c r="C81" s="69" t="s">
        <v>4</v>
      </c>
      <c r="L81" s="67">
        <v>0.35</v>
      </c>
      <c r="M81" s="67">
        <v>0.28000000000000003</v>
      </c>
      <c r="N81" s="67">
        <v>0.25</v>
      </c>
      <c r="O81" s="67">
        <v>0.22</v>
      </c>
      <c r="P81" s="67">
        <v>0.2</v>
      </c>
    </row>
    <row r="82" spans="3:16" hidden="1" outlineLevel="1" x14ac:dyDescent="0.25">
      <c r="C82" s="69" t="s">
        <v>26</v>
      </c>
      <c r="L82" s="67">
        <f t="shared" ref="L82:P82" si="74">L81+1%</f>
        <v>0.36</v>
      </c>
      <c r="M82" s="67">
        <f t="shared" si="74"/>
        <v>0.29000000000000004</v>
      </c>
      <c r="N82" s="67">
        <f t="shared" si="74"/>
        <v>0.26</v>
      </c>
      <c r="O82" s="67">
        <f t="shared" si="74"/>
        <v>0.23</v>
      </c>
      <c r="P82" s="67">
        <f t="shared" si="74"/>
        <v>0.21000000000000002</v>
      </c>
    </row>
    <row r="83" spans="3:16" hidden="1" outlineLevel="1" x14ac:dyDescent="0.25"/>
    <row r="84" spans="3:16" hidden="1" outlineLevel="1" x14ac:dyDescent="0.25">
      <c r="C84" s="10" t="s">
        <v>121</v>
      </c>
      <c r="G84" s="30">
        <f>G66+G72+G78</f>
        <v>2821.9299000000001</v>
      </c>
      <c r="H84" s="30">
        <f t="shared" ref="H84:P84" si="75">H66+H72+H78</f>
        <v>4059</v>
      </c>
      <c r="I84" s="30">
        <f t="shared" si="75"/>
        <v>7288</v>
      </c>
      <c r="J84" s="30">
        <f t="shared" si="75"/>
        <v>9003</v>
      </c>
      <c r="K84" s="30">
        <f t="shared" si="75"/>
        <v>11083</v>
      </c>
      <c r="L84" s="30">
        <f t="shared" ca="1" si="75"/>
        <v>13535.919999999998</v>
      </c>
      <c r="M84" s="30">
        <f t="shared" ca="1" si="75"/>
        <v>16086.803999999998</v>
      </c>
      <c r="N84" s="30">
        <f t="shared" ca="1" si="75"/>
        <v>18877.854719999999</v>
      </c>
      <c r="O84" s="30">
        <f t="shared" ca="1" si="75"/>
        <v>21840.145674799998</v>
      </c>
      <c r="P84" s="30">
        <f t="shared" ca="1" si="75"/>
        <v>24911.373369363999</v>
      </c>
    </row>
    <row r="85" spans="3:16" hidden="1" outlineLevel="1" x14ac:dyDescent="0.25"/>
    <row r="86" spans="3:16" hidden="1" outlineLevel="1" x14ac:dyDescent="0.25">
      <c r="C86" s="8" t="s">
        <v>122</v>
      </c>
      <c r="G86" s="66">
        <f>ABS(G39/G38)</f>
        <v>0.22369124052301936</v>
      </c>
      <c r="H86" s="66">
        <f t="shared" ref="H86:K86" si="76">ABS(H39/H38)</f>
        <v>0.18181818181818182</v>
      </c>
      <c r="I86" s="66">
        <f t="shared" si="76"/>
        <v>0.27442371020856204</v>
      </c>
      <c r="J86" s="66">
        <f t="shared" si="76"/>
        <v>0.33055648117294234</v>
      </c>
      <c r="K86" s="66">
        <f t="shared" si="76"/>
        <v>0.35983037083822073</v>
      </c>
      <c r="L86" s="71">
        <v>0.36</v>
      </c>
      <c r="M86" s="71">
        <f t="shared" ref="M86:P86" si="77">L86</f>
        <v>0.36</v>
      </c>
      <c r="N86" s="71">
        <f t="shared" si="77"/>
        <v>0.36</v>
      </c>
      <c r="O86" s="71">
        <f t="shared" si="77"/>
        <v>0.36</v>
      </c>
      <c r="P86" s="71">
        <f t="shared" si="77"/>
        <v>0.36</v>
      </c>
    </row>
    <row r="87" spans="3:16" hidden="1" outlineLevel="1" x14ac:dyDescent="0.25"/>
    <row r="88" spans="3:16" hidden="1" outlineLevel="1" x14ac:dyDescent="0.25">
      <c r="C88" s="10" t="s">
        <v>65</v>
      </c>
      <c r="G88" s="29">
        <f>G44</f>
        <v>6475.0450000000001</v>
      </c>
      <c r="H88" s="29">
        <f t="shared" ref="H88:K88" si="78">H44</f>
        <v>7004</v>
      </c>
      <c r="I88" s="29">
        <f t="shared" si="78"/>
        <v>8959</v>
      </c>
      <c r="J88" s="29">
        <f t="shared" si="78"/>
        <v>13347</v>
      </c>
      <c r="K88" s="29">
        <f t="shared" si="78"/>
        <v>15738</v>
      </c>
      <c r="L88" s="29">
        <f ca="1">K88*(1+L89)</f>
        <v>18413.46</v>
      </c>
      <c r="M88" s="29">
        <f t="shared" ref="M88" ca="1" si="79">L88*(1+M89)</f>
        <v>21451.680899999999</v>
      </c>
      <c r="N88" s="29">
        <f t="shared" ref="N88" ca="1" si="80">M88*(1+N89)</f>
        <v>24669.433034999998</v>
      </c>
      <c r="O88" s="29">
        <f t="shared" ref="O88" ca="1" si="81">N88*(1+O89)</f>
        <v>27999.806494724999</v>
      </c>
      <c r="P88" s="29">
        <f t="shared" ref="P88" ca="1" si="82">O88*(1+P89)</f>
        <v>31359.783274092002</v>
      </c>
    </row>
    <row r="89" spans="3:16" hidden="1" outlineLevel="1" x14ac:dyDescent="0.25">
      <c r="C89" s="68" t="s">
        <v>28</v>
      </c>
      <c r="H89" s="66">
        <f>H88/G88-1</f>
        <v>8.1691324152959544E-2</v>
      </c>
      <c r="I89" s="66">
        <f t="shared" ref="I89" si="83">I88/H88-1</f>
        <v>0.279126213592233</v>
      </c>
      <c r="J89" s="66">
        <f t="shared" ref="J89" si="84">J88/I88-1</f>
        <v>0.48978680656323248</v>
      </c>
      <c r="K89" s="66">
        <f t="shared" ref="K89" si="85">K88/J88-1</f>
        <v>0.17914138008541247</v>
      </c>
      <c r="L89" s="66">
        <f ca="1">OFFSET(L89,$D$27,0)</f>
        <v>0.16999999999999998</v>
      </c>
      <c r="M89" s="66">
        <f t="shared" ref="M89:P89" ca="1" si="86">OFFSET(M89,$D$27,0)</f>
        <v>0.16499999999999998</v>
      </c>
      <c r="N89" s="66">
        <f t="shared" ca="1" si="86"/>
        <v>0.15</v>
      </c>
      <c r="O89" s="66">
        <f t="shared" ca="1" si="86"/>
        <v>0.13499999999999998</v>
      </c>
      <c r="P89" s="66">
        <f t="shared" ca="1" si="86"/>
        <v>0.12000000000000001</v>
      </c>
    </row>
    <row r="90" spans="3:16" hidden="1" outlineLevel="1" x14ac:dyDescent="0.25">
      <c r="C90" s="69" t="s">
        <v>120</v>
      </c>
      <c r="L90" s="67">
        <f t="shared" ref="L90" si="87">L91-1%</f>
        <v>0.16999999999999998</v>
      </c>
      <c r="M90" s="67">
        <f t="shared" ref="M90" si="88">M91-1%</f>
        <v>0.16499999999999998</v>
      </c>
      <c r="N90" s="67">
        <f t="shared" ref="N90" si="89">N91-1%</f>
        <v>0.15</v>
      </c>
      <c r="O90" s="67">
        <f t="shared" ref="O90" si="90">O91-1%</f>
        <v>0.13499999999999998</v>
      </c>
      <c r="P90" s="67">
        <f t="shared" ref="P90" si="91">P91-1%</f>
        <v>0.12000000000000001</v>
      </c>
    </row>
    <row r="91" spans="3:16" hidden="1" outlineLevel="1" x14ac:dyDescent="0.25">
      <c r="C91" s="69" t="s">
        <v>4</v>
      </c>
      <c r="L91" s="67">
        <v>0.18</v>
      </c>
      <c r="M91" s="67">
        <v>0.17499999999999999</v>
      </c>
      <c r="N91" s="67">
        <v>0.16</v>
      </c>
      <c r="O91" s="67">
        <v>0.14499999999999999</v>
      </c>
      <c r="P91" s="67">
        <v>0.13</v>
      </c>
    </row>
    <row r="92" spans="3:16" hidden="1" outlineLevel="1" x14ac:dyDescent="0.25">
      <c r="C92" s="69" t="s">
        <v>26</v>
      </c>
      <c r="L92" s="67">
        <f t="shared" ref="L92" si="92">L91+1%</f>
        <v>0.19</v>
      </c>
      <c r="M92" s="67">
        <f t="shared" ref="M92" si="93">M91+1%</f>
        <v>0.185</v>
      </c>
      <c r="N92" s="67">
        <f t="shared" ref="N92" si="94">N91+1%</f>
        <v>0.17</v>
      </c>
      <c r="O92" s="67">
        <f t="shared" ref="O92" si="95">O91+1%</f>
        <v>0.155</v>
      </c>
      <c r="P92" s="67">
        <f t="shared" ref="P92" si="96">P91+1%</f>
        <v>0.14000000000000001</v>
      </c>
    </row>
    <row r="93" spans="3:16" hidden="1" outlineLevel="1" x14ac:dyDescent="0.25"/>
    <row r="94" spans="3:16" hidden="1" outlineLevel="1" x14ac:dyDescent="0.25">
      <c r="C94" s="8" t="s">
        <v>123</v>
      </c>
      <c r="G94" s="66">
        <f>ABS(G45/G44)</f>
        <v>0.40760087381632093</v>
      </c>
      <c r="H94" s="66">
        <f>ABS(H45/H44)</f>
        <v>0.41733295259851516</v>
      </c>
      <c r="I94" s="66">
        <f>ABS(I45/I44)</f>
        <v>0.45607768724187969</v>
      </c>
      <c r="J94" s="66">
        <f>ABS(J45/J44)</f>
        <v>0.49104667715591521</v>
      </c>
      <c r="K94" s="66">
        <f>ABS(K45/K44)</f>
        <v>0.48964290252891091</v>
      </c>
      <c r="L94" s="73">
        <v>0.45</v>
      </c>
      <c r="M94" s="73">
        <f>L94</f>
        <v>0.45</v>
      </c>
      <c r="N94" s="73">
        <f t="shared" ref="N94:P94" si="97">M94</f>
        <v>0.45</v>
      </c>
      <c r="O94" s="73">
        <f t="shared" si="97"/>
        <v>0.45</v>
      </c>
      <c r="P94" s="73">
        <f t="shared" si="97"/>
        <v>0.45</v>
      </c>
    </row>
    <row r="95" spans="3:16" hidden="1" outlineLevel="1" x14ac:dyDescent="0.25">
      <c r="C95" s="10"/>
      <c r="G95" s="73"/>
      <c r="H95" s="73"/>
      <c r="I95" s="73"/>
      <c r="J95" s="73"/>
      <c r="K95" s="73"/>
      <c r="L95" s="73"/>
      <c r="M95" s="73"/>
      <c r="N95" s="73"/>
      <c r="O95" s="73"/>
      <c r="P95" s="73"/>
    </row>
    <row r="96" spans="3:16" hidden="1" outlineLevel="1" x14ac:dyDescent="0.25">
      <c r="C96" s="10" t="s">
        <v>85</v>
      </c>
      <c r="G96" s="29">
        <f>G47</f>
        <v>150.81800000000001</v>
      </c>
      <c r="H96" s="29">
        <f t="shared" ref="H96:K96" si="98">H47</f>
        <v>52</v>
      </c>
      <c r="I96" s="29">
        <f t="shared" si="98"/>
        <v>480</v>
      </c>
      <c r="J96" s="29">
        <f t="shared" si="98"/>
        <v>838</v>
      </c>
      <c r="K96" s="29">
        <f t="shared" si="98"/>
        <v>2263</v>
      </c>
      <c r="L96" s="29">
        <f ca="1">K96*(1+L97)</f>
        <v>2715.6</v>
      </c>
      <c r="M96" s="29">
        <f t="shared" ref="M96" ca="1" si="99">L96*(1+M97)</f>
        <v>3122.9399999999996</v>
      </c>
      <c r="N96" s="29">
        <f t="shared" ref="N96" ca="1" si="100">M96*(1+N97)</f>
        <v>3435.2339999999999</v>
      </c>
      <c r="O96" s="29">
        <f t="shared" ref="O96" ca="1" si="101">N96*(1+O97)</f>
        <v>3606.9956999999999</v>
      </c>
      <c r="P96" s="29">
        <f t="shared" ref="P96" ca="1" si="102">O96*(1+P97)</f>
        <v>3606.9956999999999</v>
      </c>
    </row>
    <row r="97" spans="1:17" hidden="1" outlineLevel="1" x14ac:dyDescent="0.25">
      <c r="C97" s="68" t="s">
        <v>28</v>
      </c>
      <c r="H97" s="66">
        <f>H96/G96-1</f>
        <v>-0.65521356867217451</v>
      </c>
      <c r="I97" s="66">
        <f t="shared" ref="I97" si="103">I96/H96-1</f>
        <v>8.2307692307692299</v>
      </c>
      <c r="J97" s="66">
        <f t="shared" ref="J97" si="104">J96/I96-1</f>
        <v>0.74583333333333335</v>
      </c>
      <c r="K97" s="66">
        <f t="shared" ref="K97" si="105">K96/J96-1</f>
        <v>1.7004773269689739</v>
      </c>
      <c r="L97" s="66">
        <f ca="1">OFFSET(L97,$D$27,0)</f>
        <v>0.2</v>
      </c>
      <c r="M97" s="66">
        <f t="shared" ref="M97:P97" ca="1" si="106">OFFSET(M97,$D$27,0)</f>
        <v>0.15000000000000002</v>
      </c>
      <c r="N97" s="66">
        <f t="shared" ca="1" si="106"/>
        <v>9.9999999999999978E-2</v>
      </c>
      <c r="O97" s="66">
        <f t="shared" ca="1" si="106"/>
        <v>4.9999999999999989E-2</v>
      </c>
      <c r="P97" s="66">
        <f t="shared" ca="1" si="106"/>
        <v>0</v>
      </c>
    </row>
    <row r="98" spans="1:17" hidden="1" outlineLevel="1" x14ac:dyDescent="0.25">
      <c r="C98" s="69" t="s">
        <v>120</v>
      </c>
      <c r="L98" s="67">
        <f>L99-25%</f>
        <v>0.2</v>
      </c>
      <c r="M98" s="67">
        <f t="shared" ref="M98:P98" si="107">M99-25%</f>
        <v>0.15000000000000002</v>
      </c>
      <c r="N98" s="67">
        <f t="shared" si="107"/>
        <v>9.9999999999999978E-2</v>
      </c>
      <c r="O98" s="67">
        <f t="shared" si="107"/>
        <v>4.9999999999999989E-2</v>
      </c>
      <c r="P98" s="67">
        <f t="shared" si="107"/>
        <v>0</v>
      </c>
    </row>
    <row r="99" spans="1:17" hidden="1" outlineLevel="1" x14ac:dyDescent="0.25">
      <c r="C99" s="69" t="s">
        <v>4</v>
      </c>
      <c r="L99" s="67">
        <v>0.45</v>
      </c>
      <c r="M99" s="67">
        <v>0.4</v>
      </c>
      <c r="N99" s="67">
        <v>0.35</v>
      </c>
      <c r="O99" s="67">
        <v>0.3</v>
      </c>
      <c r="P99" s="67">
        <v>0.25</v>
      </c>
    </row>
    <row r="100" spans="1:17" hidden="1" outlineLevel="1" x14ac:dyDescent="0.25">
      <c r="C100" s="69" t="s">
        <v>26</v>
      </c>
      <c r="L100" s="67">
        <f>L99+5%</f>
        <v>0.5</v>
      </c>
      <c r="M100" s="67">
        <f t="shared" ref="M100:P100" si="108">M99+5%</f>
        <v>0.45</v>
      </c>
      <c r="N100" s="67">
        <f t="shared" si="108"/>
        <v>0.39999999999999997</v>
      </c>
      <c r="O100" s="67">
        <f t="shared" si="108"/>
        <v>0.35</v>
      </c>
      <c r="P100" s="67">
        <f t="shared" si="108"/>
        <v>0.3</v>
      </c>
    </row>
    <row r="101" spans="1:17" hidden="1" outlineLevel="1" x14ac:dyDescent="0.25"/>
    <row r="102" spans="1:17" hidden="1" outlineLevel="1" x14ac:dyDescent="0.25">
      <c r="C102" s="10" t="s">
        <v>86</v>
      </c>
      <c r="G102" s="29">
        <f>G48</f>
        <v>2910.4609999999998</v>
      </c>
      <c r="H102" s="29">
        <f t="shared" ref="H102:K102" si="109">H48</f>
        <v>5152</v>
      </c>
      <c r="I102" s="29">
        <f t="shared" si="109"/>
        <v>7595</v>
      </c>
      <c r="J102" s="29">
        <f t="shared" si="109"/>
        <v>4107</v>
      </c>
      <c r="K102" s="29">
        <f t="shared" si="109"/>
        <v>3522</v>
      </c>
      <c r="L102" s="29">
        <f>K102*(1+L103)</f>
        <v>4087.8637556736262</v>
      </c>
      <c r="M102" s="29">
        <f t="shared" ref="M102:P102" si="110">L102*(1+M103)</f>
        <v>4121.7531690908936</v>
      </c>
      <c r="N102" s="29">
        <f t="shared" si="110"/>
        <v>3675.8479678959388</v>
      </c>
      <c r="O102" s="29">
        <f t="shared" si="110"/>
        <v>3600.7987238643655</v>
      </c>
      <c r="P102" s="29">
        <f t="shared" si="110"/>
        <v>3637.126711297693</v>
      </c>
    </row>
    <row r="103" spans="1:17" hidden="1" outlineLevel="1" x14ac:dyDescent="0.25">
      <c r="C103" s="68" t="s">
        <v>28</v>
      </c>
      <c r="H103" s="66">
        <f>H102/G102-1</f>
        <v>0.77016630698710631</v>
      </c>
      <c r="I103" s="66">
        <f t="shared" ref="I103" si="111">I102/H102-1</f>
        <v>0.47418478260869557</v>
      </c>
      <c r="J103" s="66">
        <f t="shared" ref="J103" si="112">J102/I102-1</f>
        <v>-0.45924950625411454</v>
      </c>
      <c r="K103" s="66">
        <f t="shared" ref="K103" si="113">K102/J102-1</f>
        <v>-0.14243973703433166</v>
      </c>
      <c r="L103" s="71">
        <f>AVERAGE(H103:K103)</f>
        <v>0.16066546157683892</v>
      </c>
      <c r="M103" s="71">
        <f t="shared" ref="M103:P103" si="114">AVERAGE(I103:L103)</f>
        <v>8.2902502242720721E-3</v>
      </c>
      <c r="N103" s="71">
        <f t="shared" si="114"/>
        <v>-0.10818338287183379</v>
      </c>
      <c r="O103" s="71">
        <f t="shared" si="114"/>
        <v>-2.0416852026263616E-2</v>
      </c>
      <c r="P103" s="71">
        <f t="shared" si="114"/>
        <v>1.0088869225753395E-2</v>
      </c>
    </row>
    <row r="104" spans="1:17" hidden="1" outlineLevel="1" x14ac:dyDescent="0.25"/>
    <row r="105" spans="1:17" hidden="1" outlineLevel="1" x14ac:dyDescent="0.25">
      <c r="C105" s="10" t="s">
        <v>124</v>
      </c>
      <c r="G105" s="66">
        <f>G52/G50</f>
        <v>0.41558972082735318</v>
      </c>
      <c r="H105" s="66">
        <f t="shared" ref="H105:K105" si="115">H52/H50</f>
        <v>0.46143907466084227</v>
      </c>
      <c r="I105" s="66">
        <f t="shared" si="115"/>
        <v>0.55080412754485453</v>
      </c>
      <c r="J105" s="66">
        <f t="shared" si="115"/>
        <v>0.61403906285403542</v>
      </c>
      <c r="K105" s="66">
        <f t="shared" si="115"/>
        <v>0.60422960725075525</v>
      </c>
      <c r="L105" s="72">
        <v>0.6</v>
      </c>
      <c r="M105" s="72">
        <v>0.6</v>
      </c>
      <c r="N105" s="72">
        <v>0.6</v>
      </c>
      <c r="O105" s="72">
        <v>0.6</v>
      </c>
      <c r="P105" s="72">
        <v>0.6</v>
      </c>
    </row>
    <row r="106" spans="1:17" hidden="1" outlineLevel="1" x14ac:dyDescent="0.25"/>
    <row r="107" spans="1:17" hidden="1" outlineLevel="1" x14ac:dyDescent="0.25">
      <c r="C107" s="10" t="s">
        <v>125</v>
      </c>
      <c r="G107" s="66">
        <f>G53/G52</f>
        <v>6.0606060606060608E-2</v>
      </c>
      <c r="H107" s="66">
        <f t="shared" ref="H107:K107" si="116">H53/H52</f>
        <v>0.13333333333333333</v>
      </c>
      <c r="I107" s="66">
        <f t="shared" si="116"/>
        <v>9.2827004219409287E-2</v>
      </c>
      <c r="J107" s="66">
        <f t="shared" si="116"/>
        <v>0.15129151291512916</v>
      </c>
      <c r="K107" s="66">
        <f t="shared" si="116"/>
        <v>0.19463087248322147</v>
      </c>
      <c r="L107" s="73">
        <v>0.18</v>
      </c>
      <c r="M107" s="73">
        <v>0.18</v>
      </c>
      <c r="N107" s="73">
        <v>0.18</v>
      </c>
      <c r="O107" s="73">
        <v>0.18</v>
      </c>
      <c r="P107" s="73">
        <v>0.18</v>
      </c>
    </row>
    <row r="108" spans="1:17" collapsed="1" x14ac:dyDescent="0.25"/>
    <row r="109" spans="1:17" x14ac:dyDescent="0.25">
      <c r="A109" s="114" t="s">
        <v>150</v>
      </c>
      <c r="C109" s="4" t="s">
        <v>132</v>
      </c>
      <c r="D109" s="9"/>
      <c r="E109" s="9"/>
      <c r="F109" s="9"/>
      <c r="G109" s="19">
        <v>44561</v>
      </c>
      <c r="H109" s="19">
        <f>EDATE(G109,12)</f>
        <v>44926</v>
      </c>
      <c r="I109" s="19">
        <f t="shared" ref="I109" si="117">EDATE(H109,12)</f>
        <v>45291</v>
      </c>
      <c r="J109" s="19">
        <f t="shared" ref="J109" si="118">EDATE(I109,12)</f>
        <v>45657</v>
      </c>
      <c r="K109" s="19">
        <f t="shared" ref="K109" si="119">EDATE(J109,12)</f>
        <v>46022</v>
      </c>
      <c r="L109" s="20">
        <f t="shared" ref="L109" si="120">EDATE(K109,12)</f>
        <v>46387</v>
      </c>
      <c r="M109" s="20">
        <f t="shared" ref="M109" si="121">EDATE(L109,12)</f>
        <v>46752</v>
      </c>
      <c r="N109" s="20">
        <f t="shared" ref="N109" si="122">EDATE(M109,12)</f>
        <v>47118</v>
      </c>
      <c r="O109" s="20">
        <f t="shared" ref="O109" si="123">EDATE(N109,12)</f>
        <v>47483</v>
      </c>
      <c r="P109" s="20">
        <f t="shared" ref="P109" si="124">EDATE(O109,12)</f>
        <v>47848</v>
      </c>
    </row>
    <row r="111" spans="1:17" hidden="1" outlineLevel="1" x14ac:dyDescent="0.25">
      <c r="B111" s="114" t="s">
        <v>64</v>
      </c>
      <c r="C111" s="75" t="s">
        <v>133</v>
      </c>
      <c r="D111" s="76"/>
      <c r="E111" s="76"/>
      <c r="F111" s="76"/>
      <c r="G111" s="76"/>
      <c r="H111" s="76"/>
      <c r="I111" s="76"/>
      <c r="J111" s="76"/>
      <c r="K111" s="75" t="s">
        <v>141</v>
      </c>
      <c r="L111" s="98">
        <v>1</v>
      </c>
      <c r="M111" s="75">
        <v>2</v>
      </c>
      <c r="N111" s="75">
        <v>3</v>
      </c>
      <c r="O111" s="75">
        <v>4</v>
      </c>
      <c r="P111" s="75">
        <v>5</v>
      </c>
      <c r="Q111" s="113" t="s">
        <v>155</v>
      </c>
    </row>
    <row r="112" spans="1:17" hidden="1" outlineLevel="1" x14ac:dyDescent="0.25">
      <c r="C112" s="10"/>
      <c r="L112" s="86"/>
      <c r="Q112" s="86"/>
    </row>
    <row r="113" spans="2:17" hidden="1" outlineLevel="1" x14ac:dyDescent="0.25">
      <c r="C113" s="8" t="s">
        <v>128</v>
      </c>
      <c r="H113" s="66"/>
      <c r="I113" s="66"/>
      <c r="J113" s="66"/>
      <c r="K113" s="66">
        <f t="shared" ref="K113:P113" si="125">K55/J55-1</f>
        <v>4.3478260869565188E-2</v>
      </c>
      <c r="L113" s="99">
        <f t="shared" ca="1" si="125"/>
        <v>0.11866440889130914</v>
      </c>
      <c r="M113" s="66">
        <f t="shared" ca="1" si="125"/>
        <v>8.1899897971506874E-2</v>
      </c>
      <c r="N113" s="66">
        <f t="shared" ca="1" si="125"/>
        <v>7.0546079499951952E-2</v>
      </c>
      <c r="O113" s="66">
        <f t="shared" ca="1" si="125"/>
        <v>7.4957462409039222E-2</v>
      </c>
      <c r="P113" s="66">
        <f t="shared" ca="1" si="125"/>
        <v>7.0510939908342118E-2</v>
      </c>
      <c r="Q113" s="99">
        <v>0.04</v>
      </c>
    </row>
    <row r="114" spans="2:17" hidden="1" outlineLevel="1" x14ac:dyDescent="0.25">
      <c r="C114" s="8" t="s">
        <v>129</v>
      </c>
      <c r="K114" s="66">
        <f>CoC!$H$14</f>
        <v>0.17299999999999999</v>
      </c>
      <c r="L114" s="99">
        <f>K114+($Q$114-$K$114)/5</f>
        <v>0.1754</v>
      </c>
      <c r="M114" s="83">
        <f t="shared" ref="M114:P114" si="126">L114+($Q$114-$K$114)/5</f>
        <v>0.17780000000000001</v>
      </c>
      <c r="N114" s="83">
        <f t="shared" si="126"/>
        <v>0.18020000000000003</v>
      </c>
      <c r="O114" s="83">
        <f t="shared" si="126"/>
        <v>0.18260000000000004</v>
      </c>
      <c r="P114" s="83">
        <f t="shared" si="126"/>
        <v>0.18500000000000005</v>
      </c>
      <c r="Q114" s="99">
        <v>0.185</v>
      </c>
    </row>
    <row r="115" spans="2:17" hidden="1" outlineLevel="1" x14ac:dyDescent="0.25">
      <c r="C115" s="8" t="s">
        <v>91</v>
      </c>
      <c r="G115" s="29"/>
      <c r="H115" s="29"/>
      <c r="I115" s="29"/>
      <c r="J115" s="29"/>
      <c r="K115" s="29">
        <f t="shared" ref="K115:P115" si="127">K55</f>
        <v>24000</v>
      </c>
      <c r="L115" s="100">
        <f t="shared" ca="1" si="127"/>
        <v>26847.94581339142</v>
      </c>
      <c r="M115" s="29">
        <f t="shared" ca="1" si="127"/>
        <v>29046.789836252719</v>
      </c>
      <c r="N115" s="29">
        <f t="shared" ca="1" si="127"/>
        <v>31095.926981259399</v>
      </c>
      <c r="O115" s="29">
        <f t="shared" ca="1" si="127"/>
        <v>33426.798759031379</v>
      </c>
      <c r="P115" s="29">
        <f t="shared" ca="1" si="127"/>
        <v>35783.753757657687</v>
      </c>
      <c r="Q115" s="100">
        <f ca="1">P115*(1+Q113)</f>
        <v>37215.103907963996</v>
      </c>
    </row>
    <row r="116" spans="2:17" hidden="1" outlineLevel="1" x14ac:dyDescent="0.25">
      <c r="L116" s="86"/>
      <c r="Q116" s="86"/>
    </row>
    <row r="117" spans="2:17" hidden="1" outlineLevel="1" x14ac:dyDescent="0.25">
      <c r="C117" s="8" t="s">
        <v>126</v>
      </c>
      <c r="G117" s="74"/>
      <c r="H117" s="74"/>
      <c r="I117" s="74"/>
      <c r="J117" s="74"/>
      <c r="K117" s="74">
        <v>6311</v>
      </c>
      <c r="L117" s="101">
        <f ca="1">L118*L115</f>
        <v>8054.3837440174257</v>
      </c>
      <c r="M117" s="74">
        <f t="shared" ref="M117:P117" ca="1" si="128">M118*M115</f>
        <v>8714.0369508758158</v>
      </c>
      <c r="N117" s="74">
        <f t="shared" ca="1" si="128"/>
        <v>9328.7780943778198</v>
      </c>
      <c r="O117" s="74">
        <f t="shared" ca="1" si="128"/>
        <v>10028.039627709413</v>
      </c>
      <c r="P117" s="74">
        <f t="shared" ca="1" si="128"/>
        <v>10735.126127297306</v>
      </c>
      <c r="Q117" s="101">
        <f ca="1">Q118*Q115</f>
        <v>29168.594954890697</v>
      </c>
    </row>
    <row r="118" spans="2:17" hidden="1" outlineLevel="1" x14ac:dyDescent="0.25">
      <c r="C118" s="8" t="s">
        <v>127</v>
      </c>
      <c r="G118" s="66"/>
      <c r="H118" s="66"/>
      <c r="I118" s="66"/>
      <c r="J118" s="66"/>
      <c r="K118" s="66">
        <f>K117/K55</f>
        <v>0.26295833333333335</v>
      </c>
      <c r="L118" s="102">
        <v>0.3</v>
      </c>
      <c r="M118" s="73">
        <v>0.3</v>
      </c>
      <c r="N118" s="73">
        <v>0.3</v>
      </c>
      <c r="O118" s="73">
        <v>0.3</v>
      </c>
      <c r="P118" s="73">
        <v>0.3</v>
      </c>
      <c r="Q118" s="102">
        <f>1-Q113/Q114</f>
        <v>0.78378378378378377</v>
      </c>
    </row>
    <row r="119" spans="2:17" hidden="1" outlineLevel="1" x14ac:dyDescent="0.25">
      <c r="L119" s="86"/>
      <c r="Q119" s="86"/>
    </row>
    <row r="120" spans="2:17" hidden="1" outlineLevel="1" x14ac:dyDescent="0.25">
      <c r="C120" s="85" t="s">
        <v>130</v>
      </c>
      <c r="D120" s="85"/>
      <c r="E120" s="85"/>
      <c r="F120" s="85"/>
      <c r="G120" s="85"/>
      <c r="H120" s="85"/>
      <c r="I120" s="85"/>
      <c r="J120" s="85"/>
      <c r="K120" s="85"/>
      <c r="L120" s="103"/>
      <c r="M120" s="85"/>
      <c r="N120" s="85"/>
      <c r="O120" s="85"/>
      <c r="P120" s="97">
        <f ca="1">Q117/(coe-tgr)</f>
        <v>240234.28959878665</v>
      </c>
      <c r="Q120" s="86"/>
    </row>
    <row r="121" spans="2:17" hidden="1" outlineLevel="1" x14ac:dyDescent="0.25">
      <c r="C121" s="8" t="s">
        <v>157</v>
      </c>
      <c r="K121" s="66"/>
      <c r="L121" s="101">
        <f ca="1">L117/(1+coe)^L111</f>
        <v>6995.1909323282907</v>
      </c>
      <c r="M121" s="74">
        <f ca="1">M117/(1+coe)^M111</f>
        <v>6572.8528323027786</v>
      </c>
      <c r="N121" s="74">
        <f ca="1">N117/(1+coe)^N111</f>
        <v>6111.2004560231035</v>
      </c>
      <c r="O121" s="74">
        <f ca="1">O117/(1+coe)^O111</f>
        <v>5705.3864190224413</v>
      </c>
      <c r="P121" s="74">
        <f ca="1">(P117+P120)/(1+coe)^P111</f>
        <v>124010.10572140486</v>
      </c>
      <c r="Q121" s="86"/>
    </row>
    <row r="122" spans="2:17" hidden="1" outlineLevel="1" x14ac:dyDescent="0.25">
      <c r="C122" s="79" t="s">
        <v>142</v>
      </c>
      <c r="D122" s="79"/>
      <c r="E122" s="79"/>
      <c r="F122" s="79"/>
      <c r="G122" s="79"/>
      <c r="H122" s="79"/>
      <c r="I122" s="79"/>
      <c r="J122" s="79"/>
      <c r="K122" s="96">
        <f ca="1">SUM(L121:P121)</f>
        <v>149394.73636108148</v>
      </c>
      <c r="L122" s="104"/>
      <c r="M122" s="77"/>
      <c r="N122" s="77"/>
      <c r="O122" s="77"/>
      <c r="P122" s="77"/>
      <c r="Q122" s="86"/>
    </row>
    <row r="123" spans="2:17" hidden="1" outlineLevel="1" x14ac:dyDescent="0.25">
      <c r="C123" s="8" t="s">
        <v>143</v>
      </c>
      <c r="J123" s="10"/>
      <c r="K123" s="74">
        <v>6429.5918369999999</v>
      </c>
      <c r="L123" s="102"/>
      <c r="M123" s="73"/>
      <c r="N123" s="73"/>
      <c r="O123" s="73"/>
      <c r="P123" s="73"/>
      <c r="Q123" s="86"/>
    </row>
    <row r="124" spans="2:17" hidden="1" outlineLevel="1" x14ac:dyDescent="0.25">
      <c r="C124" s="82" t="s">
        <v>144</v>
      </c>
      <c r="D124" s="82"/>
      <c r="E124" s="82"/>
      <c r="F124" s="82"/>
      <c r="G124" s="82"/>
      <c r="H124" s="82"/>
      <c r="I124" s="82"/>
      <c r="J124" s="82"/>
      <c r="K124" s="95">
        <f ca="1">K122/K123</f>
        <v>23.235493037266881</v>
      </c>
      <c r="L124" s="105"/>
      <c r="M124" s="13"/>
      <c r="N124" s="13"/>
      <c r="O124" s="13"/>
      <c r="P124" s="13"/>
      <c r="Q124" s="86"/>
    </row>
    <row r="125" spans="2:17" collapsed="1" x14ac:dyDescent="0.25"/>
    <row r="126" spans="2:17" hidden="1" outlineLevel="1" x14ac:dyDescent="0.25">
      <c r="B126" s="114" t="s">
        <v>64</v>
      </c>
      <c r="C126" s="75" t="s">
        <v>151</v>
      </c>
      <c r="D126" s="76"/>
      <c r="E126" s="76"/>
      <c r="F126" s="76"/>
      <c r="G126" s="76"/>
      <c r="H126" s="76"/>
      <c r="I126" s="76"/>
      <c r="J126" s="76"/>
      <c r="K126" s="75" t="s">
        <v>141</v>
      </c>
      <c r="L126" s="98">
        <v>1</v>
      </c>
      <c r="M126" s="75">
        <v>2</v>
      </c>
      <c r="N126" s="75">
        <v>3</v>
      </c>
      <c r="O126" s="75">
        <v>4</v>
      </c>
      <c r="P126" s="75">
        <v>5</v>
      </c>
      <c r="Q126" s="113" t="s">
        <v>158</v>
      </c>
    </row>
    <row r="127" spans="2:17" hidden="1" outlineLevel="1" x14ac:dyDescent="0.25">
      <c r="L127" s="86"/>
      <c r="Q127" s="86"/>
    </row>
    <row r="128" spans="2:17" hidden="1" outlineLevel="1" x14ac:dyDescent="0.25">
      <c r="C128" s="8" t="s">
        <v>131</v>
      </c>
      <c r="K128" s="74">
        <v>827618</v>
      </c>
      <c r="L128" s="101">
        <f ca="1">K128*(1+L60)</f>
        <v>844170.36</v>
      </c>
      <c r="M128" s="74">
        <f ca="1">L128*(1+M60)</f>
        <v>865274.61899999995</v>
      </c>
      <c r="N128" s="74">
        <f ca="1">M128*(1+N60)</f>
        <v>886906.48447499983</v>
      </c>
      <c r="O128" s="74">
        <f ca="1">N128*(1+O60)</f>
        <v>913513.6790092499</v>
      </c>
      <c r="P128" s="74">
        <f ca="1">O128*(1+P60)</f>
        <v>940919.08937952737</v>
      </c>
      <c r="Q128" s="101">
        <f ca="1">P128*(1+3%)</f>
        <v>969146.66206091316</v>
      </c>
    </row>
    <row r="129" spans="3:17" hidden="1" outlineLevel="1" x14ac:dyDescent="0.25">
      <c r="C129" s="8" t="s">
        <v>134</v>
      </c>
      <c r="K129" s="70">
        <v>0.15479999999999999</v>
      </c>
      <c r="L129" s="109">
        <f>K129</f>
        <v>0.15479999999999999</v>
      </c>
      <c r="M129" s="70">
        <f t="shared" ref="M129:O129" si="129">L129</f>
        <v>0.15479999999999999</v>
      </c>
      <c r="N129" s="70">
        <f t="shared" si="129"/>
        <v>0.15479999999999999</v>
      </c>
      <c r="O129" s="70">
        <f t="shared" si="129"/>
        <v>0.15479999999999999</v>
      </c>
      <c r="P129" s="70">
        <v>0.15</v>
      </c>
      <c r="Q129" s="109">
        <f>P129</f>
        <v>0.15</v>
      </c>
    </row>
    <row r="130" spans="3:17" hidden="1" outlineLevel="1" x14ac:dyDescent="0.25">
      <c r="C130" s="8" t="s">
        <v>59</v>
      </c>
      <c r="K130" s="74">
        <v>128128</v>
      </c>
      <c r="L130" s="101">
        <f ca="1">L128*L129</f>
        <v>130677.571728</v>
      </c>
      <c r="M130" s="74">
        <f t="shared" ref="M130:Q130" ca="1" si="130">M128*M129</f>
        <v>133944.51102119999</v>
      </c>
      <c r="N130" s="74">
        <f t="shared" ca="1" si="130"/>
        <v>137293.12379672998</v>
      </c>
      <c r="O130" s="74">
        <f t="shared" ca="1" si="130"/>
        <v>141411.91751063187</v>
      </c>
      <c r="P130" s="74">
        <f t="shared" ca="1" si="130"/>
        <v>141137.8634069291</v>
      </c>
      <c r="Q130" s="101">
        <f t="shared" ca="1" si="130"/>
        <v>145371.99930913697</v>
      </c>
    </row>
    <row r="131" spans="3:17" hidden="1" outlineLevel="1" x14ac:dyDescent="0.25">
      <c r="C131" s="8" t="s">
        <v>135</v>
      </c>
      <c r="L131" s="101">
        <f ca="1">L130-K130</f>
        <v>2549.5717279999953</v>
      </c>
      <c r="M131" s="74">
        <f t="shared" ref="M131:Q131" ca="1" si="131">M130-L130</f>
        <v>3266.9392931999901</v>
      </c>
      <c r="N131" s="74">
        <f t="shared" ca="1" si="131"/>
        <v>3348.6127755299967</v>
      </c>
      <c r="O131" s="74">
        <f t="shared" ca="1" si="131"/>
        <v>4118.7937139018904</v>
      </c>
      <c r="P131" s="74">
        <f t="shared" ca="1" si="131"/>
        <v>-274.05410370277241</v>
      </c>
      <c r="Q131" s="101">
        <f t="shared" ca="1" si="131"/>
        <v>4234.1359022078686</v>
      </c>
    </row>
    <row r="132" spans="3:17" hidden="1" outlineLevel="1" x14ac:dyDescent="0.25">
      <c r="C132" s="8" t="s">
        <v>136</v>
      </c>
      <c r="K132" s="74">
        <v>144582</v>
      </c>
      <c r="L132" s="101">
        <f ca="1">K132+(L135-L137)</f>
        <v>147131.57172800001</v>
      </c>
      <c r="M132" s="74">
        <f t="shared" ref="M132:O132" ca="1" si="132">L132+(M135-M137)</f>
        <v>150398.51102119999</v>
      </c>
      <c r="N132" s="74">
        <f t="shared" ca="1" si="132"/>
        <v>153747.12379672998</v>
      </c>
      <c r="O132" s="74">
        <f t="shared" ca="1" si="132"/>
        <v>157865.91751063187</v>
      </c>
      <c r="P132" s="74">
        <f ca="1">O132+(P135-P137)</f>
        <v>157591.8634069291</v>
      </c>
      <c r="Q132" s="101">
        <f ca="1">Q134*Q135</f>
        <v>6884.7942229733389</v>
      </c>
    </row>
    <row r="133" spans="3:17" hidden="1" outlineLevel="1" x14ac:dyDescent="0.25">
      <c r="L133" s="86"/>
      <c r="Q133" s="86"/>
    </row>
    <row r="134" spans="3:17" hidden="1" outlineLevel="1" x14ac:dyDescent="0.25">
      <c r="C134" s="85" t="s">
        <v>137</v>
      </c>
      <c r="D134" s="85"/>
      <c r="E134" s="85"/>
      <c r="F134" s="85"/>
      <c r="G134" s="85"/>
      <c r="H134" s="85"/>
      <c r="I134" s="85"/>
      <c r="J134" s="85"/>
      <c r="K134" s="107">
        <f>K114</f>
        <v>0.17299999999999999</v>
      </c>
      <c r="L134" s="110">
        <f t="shared" ref="L134:Q134" si="133">L114</f>
        <v>0.1754</v>
      </c>
      <c r="M134" s="107">
        <f t="shared" si="133"/>
        <v>0.17780000000000001</v>
      </c>
      <c r="N134" s="107">
        <f t="shared" si="133"/>
        <v>0.18020000000000003</v>
      </c>
      <c r="O134" s="107">
        <f t="shared" si="133"/>
        <v>0.18260000000000004</v>
      </c>
      <c r="P134" s="107">
        <f t="shared" si="133"/>
        <v>0.18500000000000005</v>
      </c>
      <c r="Q134" s="110">
        <f t="shared" si="133"/>
        <v>0.185</v>
      </c>
    </row>
    <row r="135" spans="3:17" hidden="1" outlineLevel="1" x14ac:dyDescent="0.25">
      <c r="C135" s="8" t="s">
        <v>91</v>
      </c>
      <c r="K135" s="29">
        <f>K115</f>
        <v>24000</v>
      </c>
      <c r="L135" s="100">
        <f t="shared" ref="L135:Q135" ca="1" si="134">L115</f>
        <v>26847.94581339142</v>
      </c>
      <c r="M135" s="29">
        <f t="shared" ca="1" si="134"/>
        <v>29046.789836252719</v>
      </c>
      <c r="N135" s="29">
        <f t="shared" ca="1" si="134"/>
        <v>31095.926981259399</v>
      </c>
      <c r="O135" s="29">
        <f t="shared" ca="1" si="134"/>
        <v>33426.798759031379</v>
      </c>
      <c r="P135" s="29">
        <f t="shared" ca="1" si="134"/>
        <v>35783.753757657687</v>
      </c>
      <c r="Q135" s="100">
        <f t="shared" ca="1" si="134"/>
        <v>37215.103907963996</v>
      </c>
    </row>
    <row r="136" spans="3:17" hidden="1" outlineLevel="1" x14ac:dyDescent="0.25">
      <c r="C136" s="8" t="s">
        <v>138</v>
      </c>
      <c r="L136" s="101">
        <f ca="1">L131</f>
        <v>2549.5717279999953</v>
      </c>
      <c r="M136" s="74">
        <f t="shared" ref="M136:Q136" ca="1" si="135">M131</f>
        <v>3266.9392931999901</v>
      </c>
      <c r="N136" s="74">
        <f t="shared" ca="1" si="135"/>
        <v>3348.6127755299967</v>
      </c>
      <c r="O136" s="74">
        <f t="shared" ca="1" si="135"/>
        <v>4118.7937139018904</v>
      </c>
      <c r="P136" s="74">
        <f t="shared" ca="1" si="135"/>
        <v>-274.05410370277241</v>
      </c>
      <c r="Q136" s="101">
        <f t="shared" ca="1" si="135"/>
        <v>4234.1359022078686</v>
      </c>
    </row>
    <row r="137" spans="3:17" hidden="1" outlineLevel="1" x14ac:dyDescent="0.25">
      <c r="C137" s="82" t="s">
        <v>57</v>
      </c>
      <c r="D137" s="82"/>
      <c r="E137" s="82"/>
      <c r="F137" s="82"/>
      <c r="G137" s="82"/>
      <c r="H137" s="82"/>
      <c r="I137" s="82"/>
      <c r="J137" s="82"/>
      <c r="K137" s="82"/>
      <c r="L137" s="111">
        <f ca="1">L135-L136</f>
        <v>24298.374085391424</v>
      </c>
      <c r="M137" s="106">
        <f t="shared" ref="M137:Q137" ca="1" si="136">M135-M136</f>
        <v>25779.850543052729</v>
      </c>
      <c r="N137" s="106">
        <f t="shared" ca="1" si="136"/>
        <v>27747.314205729403</v>
      </c>
      <c r="O137" s="106">
        <f t="shared" ca="1" si="136"/>
        <v>29308.005045129488</v>
      </c>
      <c r="P137" s="106">
        <f t="shared" ca="1" si="136"/>
        <v>36057.807861360459</v>
      </c>
      <c r="Q137" s="111">
        <f t="shared" ca="1" si="136"/>
        <v>32980.968005756127</v>
      </c>
    </row>
    <row r="138" spans="3:17" hidden="1" outlineLevel="1" x14ac:dyDescent="0.25">
      <c r="L138" s="86"/>
      <c r="Q138" s="86"/>
    </row>
    <row r="139" spans="3:17" hidden="1" outlineLevel="1" x14ac:dyDescent="0.25">
      <c r="C139" s="8" t="s">
        <v>139</v>
      </c>
      <c r="L139" s="86"/>
      <c r="P139" s="94">
        <f ca="1">Q137/(coe-tgr)</f>
        <v>271633.22166858974</v>
      </c>
      <c r="Q139" s="86"/>
    </row>
    <row r="140" spans="3:17" hidden="1" outlineLevel="1" x14ac:dyDescent="0.25">
      <c r="C140" s="76" t="s">
        <v>140</v>
      </c>
      <c r="D140" s="76"/>
      <c r="E140" s="76"/>
      <c r="F140" s="76"/>
      <c r="G140" s="76"/>
      <c r="H140" s="76"/>
      <c r="I140" s="76"/>
      <c r="J140" s="76"/>
      <c r="K140" s="76"/>
      <c r="L140" s="112">
        <f ca="1">L137/(1+coe)^L126</f>
        <v>21103.01315090694</v>
      </c>
      <c r="M140" s="108">
        <f ca="1">M137/(1+coe)^M126</f>
        <v>19445.311583308809</v>
      </c>
      <c r="N140" s="108">
        <f ca="1">N137/(1+coe)^N126</f>
        <v>18177.021418235294</v>
      </c>
      <c r="O140" s="108">
        <f ca="1">O137/(1+coe)^O126</f>
        <v>16674.594453244856</v>
      </c>
      <c r="P140" s="108">
        <f ca="1">(P137+P139)/(1+coe)^P126</f>
        <v>152037.63769838226</v>
      </c>
      <c r="Q140" s="86"/>
    </row>
    <row r="141" spans="3:17" hidden="1" outlineLevel="1" x14ac:dyDescent="0.25">
      <c r="C141" s="10" t="s">
        <v>142</v>
      </c>
      <c r="D141" s="10"/>
      <c r="E141" s="10"/>
      <c r="F141" s="10"/>
      <c r="G141" s="10"/>
      <c r="H141" s="10"/>
      <c r="I141" s="10"/>
      <c r="J141" s="10"/>
      <c r="K141" s="30">
        <f ca="1">SUM(L140:P140)</f>
        <v>227437.57830407814</v>
      </c>
      <c r="L141" s="86"/>
      <c r="Q141" s="86"/>
    </row>
    <row r="142" spans="3:17" hidden="1" outlineLevel="1" x14ac:dyDescent="0.25">
      <c r="C142" s="8" t="s">
        <v>143</v>
      </c>
      <c r="K142" s="74">
        <v>6429.5918369999999</v>
      </c>
      <c r="L142" s="86"/>
      <c r="Q142" s="86"/>
    </row>
    <row r="143" spans="3:17" hidden="1" outlineLevel="1" x14ac:dyDescent="0.25">
      <c r="C143" s="82" t="s">
        <v>145</v>
      </c>
      <c r="D143" s="82"/>
      <c r="E143" s="82"/>
      <c r="F143" s="82"/>
      <c r="G143" s="82"/>
      <c r="H143" s="82"/>
      <c r="I143" s="82"/>
      <c r="J143" s="82"/>
      <c r="K143" s="95">
        <f ca="1">K141/K142</f>
        <v>35.373563994413502</v>
      </c>
      <c r="L143" s="12"/>
      <c r="M143" s="82"/>
      <c r="N143" s="82"/>
      <c r="O143" s="82"/>
      <c r="P143" s="82"/>
      <c r="Q143" s="86"/>
    </row>
    <row r="144" spans="3:17" hidden="1" outlineLevel="1" x14ac:dyDescent="0.25"/>
    <row r="145" spans="1:16" hidden="1" outlineLevel="1" x14ac:dyDescent="0.25">
      <c r="A145" s="114" t="s">
        <v>150</v>
      </c>
      <c r="C145" s="4" t="s">
        <v>159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idden="1" outlineLevel="1" x14ac:dyDescent="0.25"/>
    <row r="147" spans="1:16" collapsed="1" x14ac:dyDescent="0.25">
      <c r="B147" s="114" t="s">
        <v>64</v>
      </c>
      <c r="C147" s="75" t="s">
        <v>160</v>
      </c>
      <c r="D147" s="76"/>
      <c r="E147" s="76"/>
      <c r="F147" s="76"/>
      <c r="G147" s="76"/>
      <c r="H147" s="76"/>
      <c r="I147" s="76"/>
      <c r="J147" s="143" t="s">
        <v>64</v>
      </c>
      <c r="K147" s="75" t="s">
        <v>170</v>
      </c>
      <c r="L147" s="76"/>
      <c r="M147" s="76"/>
    </row>
    <row r="148" spans="1:16" x14ac:dyDescent="0.25">
      <c r="J148" s="143"/>
    </row>
    <row r="149" spans="1:16" x14ac:dyDescent="0.25">
      <c r="C149" s="115"/>
      <c r="D149" s="116"/>
      <c r="E149" s="170" t="s">
        <v>161</v>
      </c>
      <c r="F149" s="170"/>
      <c r="G149" s="170"/>
      <c r="H149" s="170"/>
      <c r="I149" s="171"/>
      <c r="J149" s="143"/>
      <c r="K149" s="137" t="s">
        <v>166</v>
      </c>
      <c r="L149" s="137"/>
      <c r="M149" s="140">
        <f>AVERAGE($E$174:$I$179,$E$197:$I$202,$E$220:$I$225)</f>
        <v>26.382476473974812</v>
      </c>
    </row>
    <row r="150" spans="1:16" ht="14.4" customHeight="1" x14ac:dyDescent="0.25">
      <c r="C150" s="172" t="s">
        <v>162</v>
      </c>
      <c r="D150" s="120">
        <f ca="1">K124</f>
        <v>23.235493037266881</v>
      </c>
      <c r="E150" s="121">
        <v>0.01</v>
      </c>
      <c r="F150" s="121">
        <f>E150+1%</f>
        <v>0.02</v>
      </c>
      <c r="G150" s="134">
        <f t="shared" ref="G150:I150" si="137">F150+1%</f>
        <v>0.03</v>
      </c>
      <c r="H150" s="121">
        <f t="shared" si="137"/>
        <v>0.04</v>
      </c>
      <c r="I150" s="122">
        <f t="shared" si="137"/>
        <v>0.05</v>
      </c>
      <c r="J150" s="143"/>
      <c r="K150" s="138" t="s">
        <v>167</v>
      </c>
      <c r="L150" s="138"/>
      <c r="M150" s="141">
        <f>MEDIAN($E$174:$I$179,$E$197:$I$202,$E$220:$I$225)</f>
        <v>23.460442371479978</v>
      </c>
    </row>
    <row r="151" spans="1:16" ht="13.2" customHeight="1" x14ac:dyDescent="0.25">
      <c r="C151" s="172"/>
      <c r="D151" s="123">
        <f>D152+2%</f>
        <v>0.20999999999999996</v>
      </c>
      <c r="E151" s="125">
        <f t="dataTable" ref="E151:I156" dt2D="1" dtr="1" r1="D30" r2="D29" ca="1"/>
        <v>12.896613764023197</v>
      </c>
      <c r="F151" s="126">
        <v>13.356893290479002</v>
      </c>
      <c r="G151" s="80">
        <v>13.868314986541009</v>
      </c>
      <c r="H151" s="126">
        <v>14.439903940963253</v>
      </c>
      <c r="I151" s="127">
        <v>15.082941514688274</v>
      </c>
      <c r="J151" s="143"/>
      <c r="K151" s="138" t="s">
        <v>168</v>
      </c>
      <c r="L151" s="138"/>
      <c r="M151" s="141">
        <f>PERCENTILE(($E$174:$I$179,$E$197:$I$202,$E$220:$I$225),75%)</f>
        <v>32.402856580206162</v>
      </c>
    </row>
    <row r="152" spans="1:16" x14ac:dyDescent="0.25">
      <c r="C152" s="172"/>
      <c r="D152" s="123">
        <f>D153+2%</f>
        <v>0.18999999999999997</v>
      </c>
      <c r="E152" s="128">
        <v>14.909656530039909</v>
      </c>
      <c r="F152" s="84">
        <v>15.530920077736884</v>
      </c>
      <c r="G152" s="132">
        <v>16.229841568895978</v>
      </c>
      <c r="H152" s="84">
        <v>17.021952592209626</v>
      </c>
      <c r="I152" s="117">
        <v>17.9272223331395</v>
      </c>
      <c r="J152" s="143"/>
      <c r="K152" s="139" t="s">
        <v>169</v>
      </c>
      <c r="L152" s="139"/>
      <c r="M152" s="142">
        <f>PERCENTILE(($E$174:$I$179,$E$197:$I$202,$E$220:$I$225),25%)</f>
        <v>17.762487754109607</v>
      </c>
    </row>
    <row r="153" spans="1:16" x14ac:dyDescent="0.25">
      <c r="C153" s="172"/>
      <c r="D153" s="123">
        <f>D154+2%</f>
        <v>0.16999999999999998</v>
      </c>
      <c r="E153" s="128">
        <v>17.49303247435731</v>
      </c>
      <c r="F153" s="125">
        <v>18.355199790869385</v>
      </c>
      <c r="G153" s="80">
        <v>19.340533866883195</v>
      </c>
      <c r="H153" s="127">
        <v>20.477457800745277</v>
      </c>
      <c r="I153" s="117">
        <v>21.803869056917705</v>
      </c>
      <c r="J153" s="143"/>
    </row>
    <row r="154" spans="1:16" x14ac:dyDescent="0.25">
      <c r="C154" s="172"/>
      <c r="D154" s="130">
        <f>D155+2%</f>
        <v>0.15</v>
      </c>
      <c r="E154" s="131">
        <v>20.900681689278599</v>
      </c>
      <c r="F154" s="131">
        <v>22.139967610758536</v>
      </c>
      <c r="G154" s="132">
        <v>23.585801185818468</v>
      </c>
      <c r="H154" s="133">
        <v>25.294513592707474</v>
      </c>
      <c r="I154" s="133">
        <v>27.344968480974281</v>
      </c>
      <c r="J154" s="143" t="s">
        <v>64</v>
      </c>
      <c r="K154" s="75" t="s">
        <v>171</v>
      </c>
      <c r="L154" s="76"/>
      <c r="M154" s="76"/>
    </row>
    <row r="155" spans="1:16" x14ac:dyDescent="0.25">
      <c r="C155" s="172"/>
      <c r="D155" s="123">
        <f>D156+2%</f>
        <v>0.13</v>
      </c>
      <c r="E155" s="128">
        <v>25.557450301563531</v>
      </c>
      <c r="F155" s="129">
        <v>27.422824464833898</v>
      </c>
      <c r="G155" s="135">
        <v>29.661273460758345</v>
      </c>
      <c r="H155" s="119">
        <v>32.397155566888216</v>
      </c>
      <c r="I155" s="117">
        <v>35.817008199550564</v>
      </c>
    </row>
    <row r="156" spans="1:16" x14ac:dyDescent="0.25">
      <c r="C156" s="173"/>
      <c r="D156" s="124">
        <v>0.11</v>
      </c>
      <c r="E156" s="129">
        <v>32.230319769049501</v>
      </c>
      <c r="F156" s="118">
        <v>35.221721237001759</v>
      </c>
      <c r="G156" s="135">
        <v>38.960973071942078</v>
      </c>
      <c r="H156" s="118">
        <v>43.768582574008192</v>
      </c>
      <c r="I156" s="119">
        <v>50.178728576763028</v>
      </c>
      <c r="K156" s="137" t="s">
        <v>166</v>
      </c>
      <c r="L156" s="137"/>
      <c r="M156" s="140">
        <f>AVERAGE($E$185:$I$190,$E$208:$I$213,$E$231:$I$236)</f>
        <v>38.829753750606585</v>
      </c>
    </row>
    <row r="157" spans="1:16" x14ac:dyDescent="0.25">
      <c r="K157" s="138" t="s">
        <v>167</v>
      </c>
      <c r="L157" s="138"/>
      <c r="M157" s="141">
        <f>MEDIAN($E$185:$I$190,$E$208:$I$213,$E$231:$I$236)</f>
        <v>35.750801275798089</v>
      </c>
    </row>
    <row r="158" spans="1:16" x14ac:dyDescent="0.25">
      <c r="B158" s="114" t="s">
        <v>64</v>
      </c>
      <c r="C158" s="75" t="s">
        <v>163</v>
      </c>
      <c r="D158" s="76"/>
      <c r="E158" s="76"/>
      <c r="F158" s="76"/>
      <c r="G158" s="76"/>
      <c r="H158" s="76"/>
      <c r="I158" s="76"/>
      <c r="K158" s="138" t="s">
        <v>168</v>
      </c>
      <c r="L158" s="138"/>
      <c r="M158" s="141">
        <f>PERCENTILE(($E$185:$I$190,$E$208:$I$213,$E$231:$I$236),75%)</f>
        <v>46.283838258385217</v>
      </c>
    </row>
    <row r="159" spans="1:16" x14ac:dyDescent="0.25">
      <c r="K159" s="139" t="s">
        <v>169</v>
      </c>
      <c r="L159" s="139"/>
      <c r="M159" s="142">
        <f>PERCENTILE(($E$185:$I$190,$E$208:$I$213,$E$231:$I$236),25%)</f>
        <v>28.486410458100167</v>
      </c>
    </row>
    <row r="160" spans="1:16" x14ac:dyDescent="0.25">
      <c r="C160" s="115"/>
      <c r="D160" s="116"/>
      <c r="E160" s="170" t="s">
        <v>161</v>
      </c>
      <c r="F160" s="170"/>
      <c r="G160" s="170"/>
      <c r="H160" s="170"/>
      <c r="I160" s="171"/>
    </row>
    <row r="161" spans="2:9" x14ac:dyDescent="0.25">
      <c r="C161" s="172" t="s">
        <v>162</v>
      </c>
      <c r="D161" s="120">
        <f ca="1">K143</f>
        <v>35.373563994413502</v>
      </c>
      <c r="E161" s="121">
        <v>0.01</v>
      </c>
      <c r="F161" s="121">
        <f>E161+1%</f>
        <v>0.02</v>
      </c>
      <c r="G161" s="134">
        <f t="shared" ref="G161:I161" si="138">F161+1%</f>
        <v>0.03</v>
      </c>
      <c r="H161" s="121">
        <f t="shared" si="138"/>
        <v>0.04</v>
      </c>
      <c r="I161" s="122">
        <f t="shared" si="138"/>
        <v>0.05</v>
      </c>
    </row>
    <row r="162" spans="2:9" x14ac:dyDescent="0.25">
      <c r="C162" s="172"/>
      <c r="D162" s="123">
        <f>D163+2%</f>
        <v>0.20999999999999996</v>
      </c>
      <c r="E162" s="125">
        <f t="dataTable" ref="E162:I167" dt2D="1" dtr="1" r1="D30" r2="D29" ca="1"/>
        <v>22.47485156594383</v>
      </c>
      <c r="F162" s="126">
        <v>22.995290221258568</v>
      </c>
      <c r="G162" s="80">
        <v>23.573555393830492</v>
      </c>
      <c r="H162" s="126">
        <v>24.219851763175591</v>
      </c>
      <c r="I162" s="127">
        <v>24.946935178688822</v>
      </c>
    </row>
    <row r="163" spans="2:9" x14ac:dyDescent="0.25">
      <c r="C163" s="172"/>
      <c r="D163" s="123">
        <f>D164+2%</f>
        <v>0.18999999999999997</v>
      </c>
      <c r="E163" s="128">
        <v>25.133122428773682</v>
      </c>
      <c r="F163" s="84">
        <v>25.835585924921645</v>
      </c>
      <c r="G163" s="132">
        <v>26.625857358088105</v>
      </c>
      <c r="H163" s="84">
        <v>27.521498315676769</v>
      </c>
      <c r="I163" s="117">
        <v>28.545087981492376</v>
      </c>
    </row>
    <row r="164" spans="2:9" x14ac:dyDescent="0.25">
      <c r="C164" s="172"/>
      <c r="D164" s="123">
        <f>D165+2%</f>
        <v>0.16999999999999998</v>
      </c>
      <c r="E164" s="128">
        <v>28.4668512836361</v>
      </c>
      <c r="F164" s="125">
        <v>29.441704982467613</v>
      </c>
      <c r="G164" s="80">
        <v>30.555823495417911</v>
      </c>
      <c r="H164" s="127">
        <v>31.841344856514421</v>
      </c>
      <c r="I164" s="117">
        <v>33.341119777793679</v>
      </c>
    </row>
    <row r="165" spans="2:9" x14ac:dyDescent="0.25">
      <c r="C165" s="172"/>
      <c r="D165" s="130">
        <f>D166+2%</f>
        <v>0.15</v>
      </c>
      <c r="E165" s="131">
        <v>32.766422526260023</v>
      </c>
      <c r="F165" s="131">
        <v>34.167684719023299</v>
      </c>
      <c r="G165" s="132">
        <v>35.802490610580456</v>
      </c>
      <c r="H165" s="133">
        <v>37.73453393696618</v>
      </c>
      <c r="I165" s="133">
        <v>40.052985928629049</v>
      </c>
    </row>
    <row r="166" spans="2:9" x14ac:dyDescent="0.25">
      <c r="C166" s="172"/>
      <c r="D166" s="123">
        <f>D167+2%</f>
        <v>0.13</v>
      </c>
      <c r="E166" s="128">
        <v>38.515890247830093</v>
      </c>
      <c r="F166" s="129">
        <v>40.625071224587053</v>
      </c>
      <c r="G166" s="135">
        <v>43.156088396695388</v>
      </c>
      <c r="H166" s="119">
        <v>46.249553829272237</v>
      </c>
      <c r="I166" s="117">
        <v>50.116385619993309</v>
      </c>
    </row>
    <row r="167" spans="2:9" x14ac:dyDescent="0.25">
      <c r="C167" s="173"/>
      <c r="D167" s="124">
        <v>0.11</v>
      </c>
      <c r="E167" s="129">
        <v>46.586653404763091</v>
      </c>
      <c r="F167" s="118">
        <v>49.969034909922385</v>
      </c>
      <c r="G167" s="135">
        <v>54.197011791371509</v>
      </c>
      <c r="H167" s="118">
        <v>59.632982067520381</v>
      </c>
      <c r="I167" s="119">
        <v>66.880942435718893</v>
      </c>
    </row>
    <row r="169" spans="2:9" x14ac:dyDescent="0.25">
      <c r="B169" s="114" t="s">
        <v>64</v>
      </c>
      <c r="C169" s="10" t="s">
        <v>165</v>
      </c>
    </row>
    <row r="170" spans="2:9" x14ac:dyDescent="0.25">
      <c r="C170" s="75" t="s">
        <v>160</v>
      </c>
      <c r="D170" s="76"/>
      <c r="E170" s="76"/>
      <c r="F170" s="76"/>
      <c r="G170" s="76"/>
      <c r="H170" s="76"/>
      <c r="I170" s="76"/>
    </row>
    <row r="172" spans="2:9" x14ac:dyDescent="0.25">
      <c r="C172" s="115"/>
      <c r="D172" s="116"/>
      <c r="E172" s="170" t="s">
        <v>161</v>
      </c>
      <c r="F172" s="170"/>
      <c r="G172" s="170"/>
      <c r="H172" s="170"/>
      <c r="I172" s="171"/>
    </row>
    <row r="173" spans="2:9" x14ac:dyDescent="0.25">
      <c r="C173" s="172" t="s">
        <v>162</v>
      </c>
      <c r="D173" s="120">
        <f>K146</f>
        <v>0</v>
      </c>
      <c r="E173" s="121">
        <v>0.01</v>
      </c>
      <c r="F173" s="121">
        <f>E173+1%</f>
        <v>0.02</v>
      </c>
      <c r="G173" s="134">
        <f t="shared" ref="G173:I173" si="139">F173+1%</f>
        <v>0.03</v>
      </c>
      <c r="H173" s="121">
        <f t="shared" si="139"/>
        <v>0.04</v>
      </c>
      <c r="I173" s="122">
        <f t="shared" si="139"/>
        <v>0.05</v>
      </c>
    </row>
    <row r="174" spans="2:9" x14ac:dyDescent="0.25">
      <c r="C174" s="172"/>
      <c r="D174" s="123">
        <f>D175+2%</f>
        <v>0.20999999999999996</v>
      </c>
      <c r="E174" s="125">
        <v>12.896613764023197</v>
      </c>
      <c r="F174" s="126">
        <v>13.356893290479002</v>
      </c>
      <c r="G174" s="80">
        <v>13.868314986541009</v>
      </c>
      <c r="H174" s="126">
        <v>14.439903940963253</v>
      </c>
      <c r="I174" s="127">
        <v>15.082941514688274</v>
      </c>
    </row>
    <row r="175" spans="2:9" x14ac:dyDescent="0.25">
      <c r="C175" s="172"/>
      <c r="D175" s="123">
        <f>D176+2%</f>
        <v>0.18999999999999997</v>
      </c>
      <c r="E175" s="128">
        <v>14.909656530039909</v>
      </c>
      <c r="F175" s="84">
        <v>15.530920077736884</v>
      </c>
      <c r="G175" s="132">
        <v>16.229841568895978</v>
      </c>
      <c r="H175" s="84">
        <v>17.021952592209626</v>
      </c>
      <c r="I175" s="117">
        <v>17.9272223331395</v>
      </c>
    </row>
    <row r="176" spans="2:9" x14ac:dyDescent="0.25">
      <c r="C176" s="172"/>
      <c r="D176" s="123">
        <f>D177+2%</f>
        <v>0.16999999999999998</v>
      </c>
      <c r="E176" s="128">
        <v>17.49303247435731</v>
      </c>
      <c r="F176" s="125">
        <v>18.355199790869385</v>
      </c>
      <c r="G176" s="80">
        <v>19.340533866883195</v>
      </c>
      <c r="H176" s="127">
        <v>20.477457800745277</v>
      </c>
      <c r="I176" s="117">
        <v>21.803869056917705</v>
      </c>
    </row>
    <row r="177" spans="2:9" x14ac:dyDescent="0.25">
      <c r="C177" s="172"/>
      <c r="D177" s="130">
        <f>D178+2%</f>
        <v>0.15</v>
      </c>
      <c r="E177" s="131">
        <v>20.900681689278599</v>
      </c>
      <c r="F177" s="131">
        <v>22.139967610758536</v>
      </c>
      <c r="G177" s="132">
        <v>23.585801185818468</v>
      </c>
      <c r="H177" s="133">
        <v>25.294513592707474</v>
      </c>
      <c r="I177" s="133">
        <v>27.344968480974281</v>
      </c>
    </row>
    <row r="178" spans="2:9" x14ac:dyDescent="0.25">
      <c r="C178" s="172"/>
      <c r="D178" s="123">
        <f>D179+2%</f>
        <v>0.13</v>
      </c>
      <c r="E178" s="128">
        <v>25.557450301563531</v>
      </c>
      <c r="F178" s="129">
        <v>27.422824464833898</v>
      </c>
      <c r="G178" s="135">
        <v>29.661273460758345</v>
      </c>
      <c r="H178" s="119">
        <v>32.397155566888216</v>
      </c>
      <c r="I178" s="117">
        <v>35.817008199550564</v>
      </c>
    </row>
    <row r="179" spans="2:9" x14ac:dyDescent="0.25">
      <c r="C179" s="173"/>
      <c r="D179" s="124">
        <v>0.11</v>
      </c>
      <c r="E179" s="129">
        <v>32.230319769049501</v>
      </c>
      <c r="F179" s="118">
        <v>35.221721237001759</v>
      </c>
      <c r="G179" s="135">
        <v>38.960973071942078</v>
      </c>
      <c r="H179" s="118">
        <v>43.768582574008192</v>
      </c>
      <c r="I179" s="119">
        <v>50.178728576763028</v>
      </c>
    </row>
    <row r="181" spans="2:9" x14ac:dyDescent="0.25">
      <c r="C181" s="75" t="s">
        <v>163</v>
      </c>
      <c r="D181" s="76"/>
      <c r="E181" s="76"/>
      <c r="F181" s="76"/>
      <c r="G181" s="76"/>
      <c r="H181" s="76"/>
      <c r="I181" s="76"/>
    </row>
    <row r="183" spans="2:9" x14ac:dyDescent="0.25">
      <c r="C183" s="115"/>
      <c r="D183" s="116"/>
      <c r="E183" s="170" t="s">
        <v>161</v>
      </c>
      <c r="F183" s="170"/>
      <c r="G183" s="170"/>
      <c r="H183" s="170"/>
      <c r="I183" s="171"/>
    </row>
    <row r="184" spans="2:9" x14ac:dyDescent="0.25">
      <c r="C184" s="172" t="s">
        <v>162</v>
      </c>
      <c r="D184" s="120">
        <f>K166</f>
        <v>0</v>
      </c>
      <c r="E184" s="121">
        <v>0.01</v>
      </c>
      <c r="F184" s="121">
        <f>E184+1%</f>
        <v>0.02</v>
      </c>
      <c r="G184" s="134">
        <f t="shared" ref="G184:I184" si="140">F184+1%</f>
        <v>0.03</v>
      </c>
      <c r="H184" s="121">
        <f t="shared" si="140"/>
        <v>0.04</v>
      </c>
      <c r="I184" s="122">
        <f t="shared" si="140"/>
        <v>0.05</v>
      </c>
    </row>
    <row r="185" spans="2:9" x14ac:dyDescent="0.25">
      <c r="C185" s="172"/>
      <c r="D185" s="123">
        <f>D186+2%</f>
        <v>0.20999999999999996</v>
      </c>
      <c r="E185" s="125">
        <v>22.47485156594383</v>
      </c>
      <c r="F185" s="126">
        <v>22.995290221258568</v>
      </c>
      <c r="G185" s="80">
        <v>23.573555393830492</v>
      </c>
      <c r="H185" s="126">
        <v>24.219851763175591</v>
      </c>
      <c r="I185" s="127">
        <v>24.946935178688822</v>
      </c>
    </row>
    <row r="186" spans="2:9" x14ac:dyDescent="0.25">
      <c r="C186" s="172"/>
      <c r="D186" s="123">
        <f>D187+2%</f>
        <v>0.18999999999999997</v>
      </c>
      <c r="E186" s="128">
        <v>25.133122428773682</v>
      </c>
      <c r="F186" s="84">
        <v>25.835585924921645</v>
      </c>
      <c r="G186" s="132">
        <v>26.625857358088105</v>
      </c>
      <c r="H186" s="84">
        <v>27.521498315676769</v>
      </c>
      <c r="I186" s="117">
        <v>28.545087981492376</v>
      </c>
    </row>
    <row r="187" spans="2:9" x14ac:dyDescent="0.25">
      <c r="C187" s="172"/>
      <c r="D187" s="123">
        <f>D188+2%</f>
        <v>0.16999999999999998</v>
      </c>
      <c r="E187" s="128">
        <v>28.4668512836361</v>
      </c>
      <c r="F187" s="125">
        <v>29.441704982467613</v>
      </c>
      <c r="G187" s="80">
        <v>30.555823495417911</v>
      </c>
      <c r="H187" s="127">
        <v>31.841344856514421</v>
      </c>
      <c r="I187" s="117">
        <v>33.341119777793679</v>
      </c>
    </row>
    <row r="188" spans="2:9" x14ac:dyDescent="0.25">
      <c r="C188" s="172"/>
      <c r="D188" s="130">
        <f>D189+2%</f>
        <v>0.15</v>
      </c>
      <c r="E188" s="131">
        <v>32.766422526260023</v>
      </c>
      <c r="F188" s="131">
        <v>34.167684719023299</v>
      </c>
      <c r="G188" s="132">
        <v>35.802490610580456</v>
      </c>
      <c r="H188" s="133">
        <v>37.73453393696618</v>
      </c>
      <c r="I188" s="133">
        <v>40.052985928629049</v>
      </c>
    </row>
    <row r="189" spans="2:9" x14ac:dyDescent="0.25">
      <c r="C189" s="172"/>
      <c r="D189" s="123">
        <f>D190+2%</f>
        <v>0.13</v>
      </c>
      <c r="E189" s="128">
        <v>38.515890247830093</v>
      </c>
      <c r="F189" s="129">
        <v>40.625071224587053</v>
      </c>
      <c r="G189" s="135">
        <v>43.156088396695388</v>
      </c>
      <c r="H189" s="119">
        <v>46.249553829272237</v>
      </c>
      <c r="I189" s="117">
        <v>50.116385619993309</v>
      </c>
    </row>
    <row r="190" spans="2:9" x14ac:dyDescent="0.25">
      <c r="C190" s="173"/>
      <c r="D190" s="124">
        <v>0.11</v>
      </c>
      <c r="E190" s="129">
        <v>46.586653404763091</v>
      </c>
      <c r="F190" s="118">
        <v>49.969034909922385</v>
      </c>
      <c r="G190" s="135">
        <v>54.197011791371509</v>
      </c>
      <c r="H190" s="118">
        <v>59.632982067520381</v>
      </c>
      <c r="I190" s="119">
        <v>66.880942435718893</v>
      </c>
    </row>
    <row r="192" spans="2:9" x14ac:dyDescent="0.25">
      <c r="B192" s="114" t="s">
        <v>64</v>
      </c>
      <c r="C192" s="10" t="s">
        <v>25</v>
      </c>
    </row>
    <row r="193" spans="3:9" x14ac:dyDescent="0.25">
      <c r="C193" s="75" t="s">
        <v>160</v>
      </c>
      <c r="D193" s="76"/>
      <c r="E193" s="76"/>
      <c r="F193" s="76"/>
      <c r="G193" s="76"/>
      <c r="H193" s="76"/>
      <c r="I193" s="76"/>
    </row>
    <row r="195" spans="3:9" x14ac:dyDescent="0.25">
      <c r="C195" s="115"/>
      <c r="D195" s="116"/>
      <c r="E195" s="170" t="s">
        <v>161</v>
      </c>
      <c r="F195" s="170"/>
      <c r="G195" s="170"/>
      <c r="H195" s="170"/>
      <c r="I195" s="171"/>
    </row>
    <row r="196" spans="3:9" x14ac:dyDescent="0.25">
      <c r="C196" s="172" t="s">
        <v>162</v>
      </c>
      <c r="D196" s="120">
        <f>K171</f>
        <v>0</v>
      </c>
      <c r="E196" s="121">
        <v>0.01</v>
      </c>
      <c r="F196" s="121">
        <f>E196+1%</f>
        <v>0.02</v>
      </c>
      <c r="G196" s="134">
        <f t="shared" ref="G196:I196" si="141">F196+1%</f>
        <v>0.03</v>
      </c>
      <c r="H196" s="121">
        <f t="shared" si="141"/>
        <v>0.04</v>
      </c>
      <c r="I196" s="122">
        <f t="shared" si="141"/>
        <v>0.05</v>
      </c>
    </row>
    <row r="197" spans="3:9" x14ac:dyDescent="0.25">
      <c r="C197" s="172"/>
      <c r="D197" s="123">
        <f>D198+2%</f>
        <v>0.20999999999999996</v>
      </c>
      <c r="E197" s="125">
        <v>14.311429126521128</v>
      </c>
      <c r="F197" s="126">
        <v>14.831991168420581</v>
      </c>
      <c r="G197" s="80">
        <v>15.410393437197756</v>
      </c>
      <c r="H197" s="126">
        <v>16.05684303171342</v>
      </c>
      <c r="I197" s="127">
        <v>16.784098825543545</v>
      </c>
    </row>
    <row r="198" spans="3:9" x14ac:dyDescent="0.25">
      <c r="C198" s="172"/>
      <c r="D198" s="123">
        <f>D199+2%</f>
        <v>0.18999999999999997</v>
      </c>
      <c r="E198" s="128">
        <v>16.579103551169855</v>
      </c>
      <c r="F198" s="84">
        <v>17.281733588697474</v>
      </c>
      <c r="G198" s="132">
        <v>18.072192380916043</v>
      </c>
      <c r="H198" s="84">
        <v>18.968045678763762</v>
      </c>
      <c r="I198" s="117">
        <v>19.991878019161149</v>
      </c>
    </row>
    <row r="199" spans="3:9" x14ac:dyDescent="0.25">
      <c r="C199" s="172"/>
      <c r="D199" s="123">
        <f>D200+2%</f>
        <v>0.16999999999999998</v>
      </c>
      <c r="E199" s="128">
        <v>19.4912705483741</v>
      </c>
      <c r="F199" s="125">
        <v>20.466355367371794</v>
      </c>
      <c r="G199" s="80">
        <v>21.58073801765487</v>
      </c>
      <c r="H199" s="127">
        <v>22.866564152596887</v>
      </c>
      <c r="I199" s="117">
        <v>24.36669464336256</v>
      </c>
    </row>
    <row r="200" spans="3:9" x14ac:dyDescent="0.25">
      <c r="C200" s="172"/>
      <c r="D200" s="130">
        <f>D201+2%</f>
        <v>0.15</v>
      </c>
      <c r="E200" s="131">
        <v>23.335083557141484</v>
      </c>
      <c r="F200" s="131">
        <v>24.736677963806425</v>
      </c>
      <c r="G200" s="132">
        <v>26.371871438248853</v>
      </c>
      <c r="H200" s="133">
        <v>28.304372817135377</v>
      </c>
      <c r="I200" s="133">
        <v>30.623374471799192</v>
      </c>
    </row>
    <row r="201" spans="3:9" x14ac:dyDescent="0.25">
      <c r="C201" s="172"/>
      <c r="D201" s="123">
        <f>D202+2%</f>
        <v>0.13</v>
      </c>
      <c r="E201" s="128">
        <v>28.590980671928339</v>
      </c>
      <c r="F201" s="129">
        <v>30.700661697316615</v>
      </c>
      <c r="G201" s="135">
        <v>33.232278927782538</v>
      </c>
      <c r="H201" s="119">
        <v>36.32647776501868</v>
      </c>
      <c r="I201" s="117">
        <v>40.194226311563845</v>
      </c>
    </row>
    <row r="202" spans="3:9" x14ac:dyDescent="0.25">
      <c r="C202" s="173"/>
      <c r="D202" s="124">
        <v>0.11</v>
      </c>
      <c r="E202" s="129">
        <v>36.126339099539059</v>
      </c>
      <c r="F202" s="118">
        <v>39.509522506128789</v>
      </c>
      <c r="G202" s="135">
        <v>43.738501764365928</v>
      </c>
      <c r="H202" s="118">
        <v>49.175760810670823</v>
      </c>
      <c r="I202" s="119">
        <v>56.425439539077374</v>
      </c>
    </row>
    <row r="204" spans="3:9" x14ac:dyDescent="0.25">
      <c r="C204" s="75" t="s">
        <v>163</v>
      </c>
      <c r="D204" s="76"/>
      <c r="E204" s="76"/>
      <c r="F204" s="76"/>
      <c r="G204" s="76"/>
      <c r="H204" s="76"/>
      <c r="I204" s="76"/>
    </row>
    <row r="206" spans="3:9" x14ac:dyDescent="0.25">
      <c r="C206" s="115"/>
      <c r="D206" s="116"/>
      <c r="E206" s="170" t="s">
        <v>161</v>
      </c>
      <c r="F206" s="170"/>
      <c r="G206" s="170"/>
      <c r="H206" s="170"/>
      <c r="I206" s="171"/>
    </row>
    <row r="207" spans="3:9" x14ac:dyDescent="0.25">
      <c r="C207" s="172" t="s">
        <v>162</v>
      </c>
      <c r="D207" s="120">
        <f>K190</f>
        <v>0</v>
      </c>
      <c r="E207" s="121">
        <v>0.01</v>
      </c>
      <c r="F207" s="121">
        <f>E207+1%</f>
        <v>0.02</v>
      </c>
      <c r="G207" s="134">
        <f t="shared" ref="G207:I207" si="142">F207+1%</f>
        <v>0.03</v>
      </c>
      <c r="H207" s="121">
        <f t="shared" si="142"/>
        <v>0.04</v>
      </c>
      <c r="I207" s="122">
        <f t="shared" si="142"/>
        <v>0.05</v>
      </c>
    </row>
    <row r="208" spans="3:9" x14ac:dyDescent="0.25">
      <c r="C208" s="172"/>
      <c r="D208" s="123">
        <f>D209+2%</f>
        <v>0.20999999999999996</v>
      </c>
      <c r="E208" s="125">
        <v>24.141134811674192</v>
      </c>
      <c r="F208" s="126">
        <v>24.735165435343088</v>
      </c>
      <c r="G208" s="80">
        <v>25.395199461641859</v>
      </c>
      <c r="H208" s="126">
        <v>26.132884549858137</v>
      </c>
      <c r="I208" s="127">
        <v>26.962780274101444</v>
      </c>
    </row>
    <row r="209" spans="2:9" x14ac:dyDescent="0.25">
      <c r="C209" s="172"/>
      <c r="D209" s="123">
        <f>D210+2%</f>
        <v>0.18999999999999997</v>
      </c>
      <c r="E209" s="128">
        <v>27.116555323376879</v>
      </c>
      <c r="F209" s="84">
        <v>27.918349779764931</v>
      </c>
      <c r="G209" s="132">
        <v>28.820368543201496</v>
      </c>
      <c r="H209" s="84">
        <v>29.84265647509627</v>
      </c>
      <c r="I209" s="117">
        <v>31.010985540118867</v>
      </c>
    </row>
    <row r="210" spans="2:9" x14ac:dyDescent="0.25">
      <c r="C210" s="172"/>
      <c r="D210" s="123">
        <f>D211+2%</f>
        <v>0.16999999999999998</v>
      </c>
      <c r="E210" s="128">
        <v>30.858863825381416</v>
      </c>
      <c r="F210" s="125">
        <v>31.97156547578555</v>
      </c>
      <c r="G210" s="80">
        <v>33.243224504818848</v>
      </c>
      <c r="H210" s="127">
        <v>34.710523384472651</v>
      </c>
      <c r="I210" s="117">
        <v>36.422372077402088</v>
      </c>
    </row>
    <row r="211" spans="2:9" x14ac:dyDescent="0.25">
      <c r="C211" s="172"/>
      <c r="D211" s="130">
        <f>D212+2%</f>
        <v>0.15</v>
      </c>
      <c r="E211" s="131">
        <v>35.699111941015722</v>
      </c>
      <c r="F211" s="131">
        <v>37.29851783792671</v>
      </c>
      <c r="G211" s="132">
        <v>39.164491384322858</v>
      </c>
      <c r="H211" s="133">
        <v>41.369732848245576</v>
      </c>
      <c r="I211" s="133">
        <v>44.01602260495283</v>
      </c>
    </row>
    <row r="212" spans="2:9" x14ac:dyDescent="0.25">
      <c r="C212" s="172"/>
      <c r="D212" s="123">
        <f>D213+2%</f>
        <v>0.13</v>
      </c>
      <c r="E212" s="128">
        <v>42.189358500489156</v>
      </c>
      <c r="F212" s="129">
        <v>44.596785539696675</v>
      </c>
      <c r="G212" s="135">
        <v>47.485697986745706</v>
      </c>
      <c r="H212" s="119">
        <v>51.016590977583412</v>
      </c>
      <c r="I212" s="117">
        <v>55.43020721613054</v>
      </c>
    </row>
    <row r="213" spans="2:9" x14ac:dyDescent="0.25">
      <c r="C213" s="173"/>
      <c r="D213" s="124">
        <v>0.11</v>
      </c>
      <c r="E213" s="129">
        <v>51.323724036959526</v>
      </c>
      <c r="F213" s="118">
        <v>55.184386911397297</v>
      </c>
      <c r="G213" s="135">
        <v>60.010215504444503</v>
      </c>
      <c r="H213" s="118">
        <v>66.214852266933761</v>
      </c>
      <c r="I213" s="119">
        <v>74.487701283586134</v>
      </c>
    </row>
    <row r="215" spans="2:9" x14ac:dyDescent="0.25">
      <c r="B215" s="114" t="s">
        <v>64</v>
      </c>
      <c r="C215" s="10" t="s">
        <v>26</v>
      </c>
    </row>
    <row r="216" spans="2:9" x14ac:dyDescent="0.25">
      <c r="C216" s="75" t="s">
        <v>160</v>
      </c>
      <c r="D216" s="76"/>
      <c r="E216" s="76"/>
      <c r="F216" s="76"/>
      <c r="G216" s="76"/>
      <c r="H216" s="76"/>
      <c r="I216" s="76"/>
    </row>
    <row r="218" spans="2:9" x14ac:dyDescent="0.25">
      <c r="C218" s="115"/>
      <c r="D218" s="116"/>
      <c r="E218" s="170" t="s">
        <v>161</v>
      </c>
      <c r="F218" s="170"/>
      <c r="G218" s="170"/>
      <c r="H218" s="170"/>
      <c r="I218" s="171"/>
    </row>
    <row r="219" spans="2:9" x14ac:dyDescent="0.25">
      <c r="C219" s="172" t="s">
        <v>162</v>
      </c>
      <c r="D219" s="120">
        <f>K193</f>
        <v>0</v>
      </c>
      <c r="E219" s="121">
        <v>0.01</v>
      </c>
      <c r="F219" s="121">
        <f>E219+1%</f>
        <v>0.02</v>
      </c>
      <c r="G219" s="134">
        <f t="shared" ref="G219:I219" si="143">F219+1%</f>
        <v>0.03</v>
      </c>
      <c r="H219" s="121">
        <f t="shared" si="143"/>
        <v>0.04</v>
      </c>
      <c r="I219" s="122">
        <f t="shared" si="143"/>
        <v>0.05</v>
      </c>
    </row>
    <row r="220" spans="2:9" x14ac:dyDescent="0.25">
      <c r="C220" s="172"/>
      <c r="D220" s="123">
        <f>D221+2%</f>
        <v>0.20999999999999996</v>
      </c>
      <c r="E220" s="125">
        <v>15.079080553880848</v>
      </c>
      <c r="F220" s="126">
        <v>15.632448064172522</v>
      </c>
      <c r="G220" s="80">
        <v>16.247300853385497</v>
      </c>
      <c r="H220" s="126">
        <v>16.934489264858822</v>
      </c>
      <c r="I220" s="127">
        <v>17.707576227766307</v>
      </c>
    </row>
    <row r="221" spans="2:9" x14ac:dyDescent="0.25">
      <c r="C221" s="172"/>
      <c r="D221" s="123">
        <f>D222+2%</f>
        <v>0.18999999999999997</v>
      </c>
      <c r="E221" s="128">
        <v>17.485192754104855</v>
      </c>
      <c r="F221" s="84">
        <v>18.232102062175191</v>
      </c>
      <c r="G221" s="132">
        <v>19.072375033754323</v>
      </c>
      <c r="H221" s="84">
        <v>20.024684401544004</v>
      </c>
      <c r="I221" s="117">
        <v>21.113037964732207</v>
      </c>
    </row>
    <row r="222" spans="2:9" x14ac:dyDescent="0.25">
      <c r="C222" s="172"/>
      <c r="D222" s="123">
        <f>D223+2%</f>
        <v>0.16999999999999998</v>
      </c>
      <c r="E222" s="128">
        <v>20.576144517836507</v>
      </c>
      <c r="F222" s="125">
        <v>21.612678523741181</v>
      </c>
      <c r="G222" s="80">
        <v>22.797288816203665</v>
      </c>
      <c r="H222" s="127">
        <v>24.16414684596808</v>
      </c>
      <c r="I222" s="117">
        <v>25.75881454735989</v>
      </c>
    </row>
    <row r="223" spans="2:9" x14ac:dyDescent="0.25">
      <c r="C223" s="172"/>
      <c r="D223" s="130">
        <f>D224+2%</f>
        <v>0.15</v>
      </c>
      <c r="E223" s="131">
        <v>24.657162831000509</v>
      </c>
      <c r="F223" s="131">
        <v>26.147084770804032</v>
      </c>
      <c r="G223" s="132">
        <v>27.885327033908133</v>
      </c>
      <c r="H223" s="133">
        <v>29.939613344849352</v>
      </c>
      <c r="I223" s="133">
        <v>32.404756917978816</v>
      </c>
    </row>
    <row r="224" spans="2:9" x14ac:dyDescent="0.25">
      <c r="C224" s="172"/>
      <c r="D224" s="123">
        <f>D225+2%</f>
        <v>0.13</v>
      </c>
      <c r="E224" s="128">
        <v>30.238937557924938</v>
      </c>
      <c r="F224" s="129">
        <v>32.481569257057124</v>
      </c>
      <c r="G224" s="135">
        <v>35.172727296015751</v>
      </c>
      <c r="H224" s="119">
        <v>38.461920454742959</v>
      </c>
      <c r="I224" s="117">
        <v>42.573411903151964</v>
      </c>
    </row>
    <row r="225" spans="3:9" x14ac:dyDescent="0.25">
      <c r="C225" s="173"/>
      <c r="D225" s="124">
        <v>0.11</v>
      </c>
      <c r="E225" s="129">
        <v>38.243479550677307</v>
      </c>
      <c r="F225" s="118">
        <v>41.839868891193717</v>
      </c>
      <c r="G225" s="135">
        <v>46.335355566839226</v>
      </c>
      <c r="H225" s="118">
        <v>52.115267006954902</v>
      </c>
      <c r="I225" s="119">
        <v>59.821815593775781</v>
      </c>
    </row>
    <row r="227" spans="3:9" x14ac:dyDescent="0.25">
      <c r="C227" s="75" t="s">
        <v>163</v>
      </c>
      <c r="D227" s="76"/>
      <c r="E227" s="76"/>
      <c r="F227" s="76"/>
      <c r="G227" s="76"/>
      <c r="H227" s="76"/>
      <c r="I227" s="76"/>
    </row>
    <row r="229" spans="3:9" x14ac:dyDescent="0.25">
      <c r="C229" s="115"/>
      <c r="D229" s="116"/>
      <c r="E229" s="170" t="s">
        <v>161</v>
      </c>
      <c r="F229" s="170"/>
      <c r="G229" s="170"/>
      <c r="H229" s="170"/>
      <c r="I229" s="171"/>
    </row>
    <row r="230" spans="3:9" x14ac:dyDescent="0.25">
      <c r="C230" s="172" t="s">
        <v>162</v>
      </c>
      <c r="D230" s="120">
        <f>K212</f>
        <v>0</v>
      </c>
      <c r="E230" s="121">
        <v>0.01</v>
      </c>
      <c r="F230" s="121">
        <f>E230+1%</f>
        <v>0.02</v>
      </c>
      <c r="G230" s="134">
        <f t="shared" ref="G230:I230" si="144">F230+1%</f>
        <v>0.03</v>
      </c>
      <c r="H230" s="121">
        <f t="shared" si="144"/>
        <v>0.04</v>
      </c>
      <c r="I230" s="122">
        <f t="shared" si="144"/>
        <v>0.05</v>
      </c>
    </row>
    <row r="231" spans="3:9" x14ac:dyDescent="0.25">
      <c r="C231" s="172"/>
      <c r="D231" s="123">
        <f>D232+2%</f>
        <v>0.20999999999999996</v>
      </c>
      <c r="E231" s="125">
        <v>24.701541311844679</v>
      </c>
      <c r="F231" s="126">
        <v>25.333976282295719</v>
      </c>
      <c r="G231" s="80">
        <v>26.036681805019093</v>
      </c>
      <c r="H231" s="126">
        <v>26.822058565709927</v>
      </c>
      <c r="I231" s="127">
        <v>27.705607421487112</v>
      </c>
    </row>
    <row r="232" spans="3:9" x14ac:dyDescent="0.25">
      <c r="C232" s="172"/>
      <c r="D232" s="123">
        <f>D233+2%</f>
        <v>0.18999999999999997</v>
      </c>
      <c r="E232" s="128">
        <v>27.828009990185397</v>
      </c>
      <c r="F232" s="84">
        <v>28.681640818511561</v>
      </c>
      <c r="G232" s="132">
        <v>29.641975500378493</v>
      </c>
      <c r="H232" s="84">
        <v>30.730354806494358</v>
      </c>
      <c r="I232" s="117">
        <v>31.974216870626773</v>
      </c>
    </row>
    <row r="233" spans="3:9" x14ac:dyDescent="0.25">
      <c r="C233" s="172"/>
      <c r="D233" s="123">
        <f>D234+2%</f>
        <v>0.16999999999999998</v>
      </c>
      <c r="E233" s="128">
        <v>31.767960448864706</v>
      </c>
      <c r="F233" s="125">
        <v>32.952598761024177</v>
      </c>
      <c r="G233" s="80">
        <v>34.306471117777875</v>
      </c>
      <c r="H233" s="127">
        <v>35.868631529416739</v>
      </c>
      <c r="I233" s="117">
        <v>37.69115200966209</v>
      </c>
    </row>
    <row r="234" spans="3:9" x14ac:dyDescent="0.25">
      <c r="C234" s="172"/>
      <c r="D234" s="130">
        <f>D235+2%</f>
        <v>0.15</v>
      </c>
      <c r="E234" s="131">
        <v>36.873550888612641</v>
      </c>
      <c r="F234" s="131">
        <v>38.576359095544277</v>
      </c>
      <c r="G234" s="132">
        <v>40.562968670297856</v>
      </c>
      <c r="H234" s="133">
        <v>42.910779985915724</v>
      </c>
      <c r="I234" s="133">
        <v>45.728153564657163</v>
      </c>
    </row>
    <row r="235" spans="3:9" x14ac:dyDescent="0.25">
      <c r="C235" s="172"/>
      <c r="D235" s="123">
        <f>D236+2%</f>
        <v>0.13</v>
      </c>
      <c r="E235" s="128">
        <v>43.732198122214278</v>
      </c>
      <c r="F235" s="129">
        <v>46.295266401422879</v>
      </c>
      <c r="G235" s="135">
        <v>49.370948336473191</v>
      </c>
      <c r="H235" s="119">
        <v>53.130115145979133</v>
      </c>
      <c r="I235" s="117">
        <v>57.829073657861542</v>
      </c>
    </row>
    <row r="236" spans="3:9" x14ac:dyDescent="0.25">
      <c r="C236" s="173"/>
      <c r="D236" s="124">
        <v>0.11</v>
      </c>
      <c r="E236" s="129">
        <v>53.401917862039475</v>
      </c>
      <c r="F236" s="118">
        <v>57.512174326321365</v>
      </c>
      <c r="G236" s="135">
        <v>62.649994906673712</v>
      </c>
      <c r="H236" s="118">
        <v>69.255764224269598</v>
      </c>
      <c r="I236" s="119">
        <v>78.06345664773076</v>
      </c>
    </row>
  </sheetData>
  <mergeCells count="21">
    <mergeCell ref="C230:C236"/>
    <mergeCell ref="C196:C202"/>
    <mergeCell ref="E206:I206"/>
    <mergeCell ref="C207:C213"/>
    <mergeCell ref="E218:I218"/>
    <mergeCell ref="C219:C225"/>
    <mergeCell ref="C173:C179"/>
    <mergeCell ref="E183:I183"/>
    <mergeCell ref="C184:C190"/>
    <mergeCell ref="E195:I195"/>
    <mergeCell ref="E229:I229"/>
    <mergeCell ref="C150:C156"/>
    <mergeCell ref="E160:I160"/>
    <mergeCell ref="C161:C167"/>
    <mergeCell ref="F25:H25"/>
    <mergeCell ref="E172:I172"/>
    <mergeCell ref="F9:G9"/>
    <mergeCell ref="F10:G10"/>
    <mergeCell ref="I9:K9"/>
    <mergeCell ref="M9:O9"/>
    <mergeCell ref="E149:I149"/>
  </mergeCells>
  <dataValidations count="1">
    <dataValidation type="list" allowBlank="1" showInputMessage="1" showErrorMessage="1" sqref="G12" xr:uid="{D3C5C322-9211-4B1E-8A86-82245E608B8D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7E02-E380-4ED1-A72B-571D85F1E0FA}">
  <dimension ref="C2:I276"/>
  <sheetViews>
    <sheetView workbookViewId="0">
      <selection activeCell="G11" sqref="G11"/>
    </sheetView>
  </sheetViews>
  <sheetFormatPr defaultRowHeight="14.4" x14ac:dyDescent="0.3"/>
  <cols>
    <col min="1" max="2" width="2.88671875" customWidth="1"/>
    <col min="3" max="3" width="10.33203125" bestFit="1" customWidth="1"/>
    <col min="8" max="8" width="12.33203125" bestFit="1" customWidth="1"/>
  </cols>
  <sheetData>
    <row r="2" spans="3:9" x14ac:dyDescent="0.3">
      <c r="C2" s="62" t="s">
        <v>204</v>
      </c>
      <c r="D2" s="36"/>
    </row>
    <row r="4" spans="3:9" x14ac:dyDescent="0.3">
      <c r="C4" s="21" t="s">
        <v>7</v>
      </c>
      <c r="D4" s="21" t="s">
        <v>203</v>
      </c>
    </row>
    <row r="5" spans="3:9" x14ac:dyDescent="0.3">
      <c r="C5" s="144">
        <v>46099</v>
      </c>
      <c r="D5" s="145">
        <v>27.55</v>
      </c>
      <c r="F5" s="137" t="s">
        <v>205</v>
      </c>
      <c r="G5" s="137"/>
      <c r="H5" s="140">
        <f>AVERAGE($D$5:$D$276)</f>
        <v>25.496323529411768</v>
      </c>
      <c r="I5" s="31"/>
    </row>
    <row r="6" spans="3:9" x14ac:dyDescent="0.3">
      <c r="C6" s="144">
        <v>46098</v>
      </c>
      <c r="D6" s="145">
        <v>27.8</v>
      </c>
      <c r="F6" s="138" t="s">
        <v>167</v>
      </c>
      <c r="G6" s="138"/>
      <c r="H6" s="141">
        <f>MEDIAN($D$5:$D$276)</f>
        <v>25.5</v>
      </c>
      <c r="I6" s="31"/>
    </row>
    <row r="7" spans="3:9" x14ac:dyDescent="0.3">
      <c r="C7" s="144">
        <v>46097</v>
      </c>
      <c r="D7" s="145">
        <v>26.5</v>
      </c>
      <c r="F7" s="138" t="s">
        <v>168</v>
      </c>
      <c r="G7" s="138"/>
      <c r="H7" s="141">
        <f>PERCENTILE(($D$5:$D$276),75%)</f>
        <v>27.8</v>
      </c>
      <c r="I7" s="145"/>
    </row>
    <row r="8" spans="3:9" x14ac:dyDescent="0.3">
      <c r="C8" s="144">
        <v>46094</v>
      </c>
      <c r="D8" s="145">
        <v>26.95</v>
      </c>
      <c r="F8" s="139" t="s">
        <v>169</v>
      </c>
      <c r="G8" s="139"/>
      <c r="H8" s="142">
        <f>PERCENTILE(($D$5:$D$276),25%)</f>
        <v>21.9375</v>
      </c>
      <c r="I8" s="31"/>
    </row>
    <row r="9" spans="3:9" x14ac:dyDescent="0.3">
      <c r="C9" s="144">
        <v>46093</v>
      </c>
      <c r="D9" s="145">
        <v>28.35</v>
      </c>
      <c r="I9" s="31"/>
    </row>
    <row r="10" spans="3:9" x14ac:dyDescent="0.3">
      <c r="C10" s="144">
        <v>46092</v>
      </c>
      <c r="D10" s="145">
        <v>29.8</v>
      </c>
      <c r="I10" s="31"/>
    </row>
    <row r="11" spans="3:9" x14ac:dyDescent="0.3">
      <c r="C11" s="144">
        <v>46091</v>
      </c>
      <c r="D11" s="145">
        <v>31.35</v>
      </c>
      <c r="I11" s="31"/>
    </row>
    <row r="12" spans="3:9" x14ac:dyDescent="0.3">
      <c r="C12" s="144">
        <v>46090</v>
      </c>
      <c r="D12" s="145">
        <v>28.95</v>
      </c>
      <c r="I12" s="31"/>
    </row>
    <row r="13" spans="3:9" x14ac:dyDescent="0.3">
      <c r="C13" s="144">
        <v>46087</v>
      </c>
      <c r="D13" s="145">
        <v>29.4</v>
      </c>
      <c r="I13" s="31"/>
    </row>
    <row r="14" spans="3:9" x14ac:dyDescent="0.3">
      <c r="C14" s="144">
        <v>46086</v>
      </c>
      <c r="D14" s="145">
        <v>29.8</v>
      </c>
      <c r="I14" s="31"/>
    </row>
    <row r="15" spans="3:9" x14ac:dyDescent="0.3">
      <c r="C15" s="144">
        <v>46085</v>
      </c>
      <c r="D15" s="145">
        <v>31.35</v>
      </c>
      <c r="I15" s="31"/>
    </row>
    <row r="16" spans="3:9" x14ac:dyDescent="0.3">
      <c r="C16" s="144">
        <v>46080</v>
      </c>
      <c r="D16" s="145">
        <v>33</v>
      </c>
      <c r="I16" s="31"/>
    </row>
    <row r="17" spans="3:9" x14ac:dyDescent="0.3">
      <c r="C17" s="144">
        <v>46079</v>
      </c>
      <c r="D17" s="145">
        <v>34.799999999999997</v>
      </c>
      <c r="I17" s="31"/>
    </row>
    <row r="18" spans="3:9" x14ac:dyDescent="0.3">
      <c r="C18" s="144">
        <v>46078</v>
      </c>
      <c r="D18" s="145">
        <v>36.299999999999997</v>
      </c>
      <c r="I18" s="31"/>
    </row>
    <row r="19" spans="3:9" x14ac:dyDescent="0.3">
      <c r="C19" s="144">
        <v>46077</v>
      </c>
      <c r="D19" s="145">
        <v>35.5</v>
      </c>
      <c r="I19" s="31"/>
    </row>
    <row r="20" spans="3:9" x14ac:dyDescent="0.3">
      <c r="C20" s="144">
        <v>46076</v>
      </c>
      <c r="D20" s="145">
        <v>37</v>
      </c>
      <c r="I20" s="31"/>
    </row>
    <row r="21" spans="3:9" x14ac:dyDescent="0.3">
      <c r="C21" s="144">
        <v>46073</v>
      </c>
      <c r="D21" s="145">
        <v>35.950000000000003</v>
      </c>
      <c r="I21" s="31"/>
    </row>
    <row r="22" spans="3:9" x14ac:dyDescent="0.3">
      <c r="C22" s="144">
        <v>46072</v>
      </c>
      <c r="D22" s="145">
        <v>36.200000000000003</v>
      </c>
      <c r="I22" s="31"/>
    </row>
    <row r="23" spans="3:9" x14ac:dyDescent="0.3">
      <c r="C23" s="144">
        <v>46071</v>
      </c>
      <c r="D23" s="145">
        <v>36.9</v>
      </c>
      <c r="I23" s="31"/>
    </row>
    <row r="24" spans="3:9" x14ac:dyDescent="0.3">
      <c r="C24" s="144">
        <v>46070</v>
      </c>
      <c r="D24" s="145">
        <v>36.5</v>
      </c>
      <c r="I24" s="31"/>
    </row>
    <row r="25" spans="3:9" x14ac:dyDescent="0.3">
      <c r="C25" s="144">
        <v>46069</v>
      </c>
      <c r="D25" s="145">
        <v>36.75</v>
      </c>
      <c r="I25" s="31"/>
    </row>
    <row r="26" spans="3:9" x14ac:dyDescent="0.3">
      <c r="C26" s="144">
        <v>46066</v>
      </c>
      <c r="D26" s="145">
        <v>35.75</v>
      </c>
      <c r="I26" s="31"/>
    </row>
    <row r="27" spans="3:9" x14ac:dyDescent="0.3">
      <c r="C27" s="144">
        <v>46065</v>
      </c>
      <c r="D27" s="145">
        <v>35.5</v>
      </c>
      <c r="I27" s="31"/>
    </row>
    <row r="28" spans="3:9" x14ac:dyDescent="0.3">
      <c r="C28" s="144">
        <v>46064</v>
      </c>
      <c r="D28" s="145">
        <v>34.65</v>
      </c>
      <c r="I28" s="31"/>
    </row>
    <row r="29" spans="3:9" x14ac:dyDescent="0.3">
      <c r="C29" s="144">
        <v>46063</v>
      </c>
      <c r="D29" s="145">
        <v>34</v>
      </c>
      <c r="I29" s="31"/>
    </row>
    <row r="30" spans="3:9" x14ac:dyDescent="0.3">
      <c r="C30" s="144">
        <v>46062</v>
      </c>
      <c r="D30" s="145">
        <v>33.6</v>
      </c>
      <c r="I30" s="31"/>
    </row>
    <row r="31" spans="3:9" x14ac:dyDescent="0.3">
      <c r="C31" s="144">
        <v>46059</v>
      </c>
      <c r="D31" s="145">
        <v>34.049999999999997</v>
      </c>
      <c r="I31" s="31"/>
    </row>
    <row r="32" spans="3:9" x14ac:dyDescent="0.3">
      <c r="C32" s="144">
        <v>46058</v>
      </c>
      <c r="D32" s="145">
        <v>34</v>
      </c>
      <c r="I32" s="31"/>
    </row>
    <row r="33" spans="3:9" x14ac:dyDescent="0.3">
      <c r="C33" s="144">
        <v>46057</v>
      </c>
      <c r="D33" s="145">
        <v>33.5</v>
      </c>
      <c r="I33" s="31"/>
    </row>
    <row r="34" spans="3:9" x14ac:dyDescent="0.3">
      <c r="C34" s="144">
        <v>46056</v>
      </c>
      <c r="D34" s="145">
        <v>32.5</v>
      </c>
      <c r="I34" s="31"/>
    </row>
    <row r="35" spans="3:9" x14ac:dyDescent="0.3">
      <c r="C35" s="144">
        <v>46055</v>
      </c>
      <c r="D35" s="145">
        <v>33</v>
      </c>
      <c r="I35" s="31"/>
    </row>
    <row r="36" spans="3:9" x14ac:dyDescent="0.3">
      <c r="C36" s="144">
        <v>46052</v>
      </c>
      <c r="D36" s="145">
        <v>31.1</v>
      </c>
      <c r="I36" s="31"/>
    </row>
    <row r="37" spans="3:9" x14ac:dyDescent="0.3">
      <c r="C37" s="144">
        <v>46051</v>
      </c>
      <c r="D37" s="145">
        <v>31</v>
      </c>
      <c r="I37" s="31"/>
    </row>
    <row r="38" spans="3:9" x14ac:dyDescent="0.3">
      <c r="C38" s="144">
        <v>46050</v>
      </c>
      <c r="D38" s="145">
        <v>31.15</v>
      </c>
      <c r="I38" s="31"/>
    </row>
    <row r="39" spans="3:9" x14ac:dyDescent="0.3">
      <c r="C39" s="144">
        <v>46049</v>
      </c>
      <c r="D39" s="145">
        <v>30.85</v>
      </c>
      <c r="I39" s="31"/>
    </row>
    <row r="40" spans="3:9" x14ac:dyDescent="0.3">
      <c r="C40" s="144">
        <v>46048</v>
      </c>
      <c r="D40" s="145">
        <v>31.05</v>
      </c>
      <c r="I40" s="31"/>
    </row>
    <row r="41" spans="3:9" x14ac:dyDescent="0.3">
      <c r="C41" s="144">
        <v>46045</v>
      </c>
      <c r="D41" s="145">
        <v>31.1</v>
      </c>
      <c r="I41" s="31"/>
    </row>
    <row r="42" spans="3:9" x14ac:dyDescent="0.3">
      <c r="C42" s="144">
        <v>46044</v>
      </c>
      <c r="D42" s="145">
        <v>31.15</v>
      </c>
      <c r="I42" s="31"/>
    </row>
    <row r="43" spans="3:9" x14ac:dyDescent="0.3">
      <c r="C43" s="144">
        <v>46043</v>
      </c>
      <c r="D43" s="145">
        <v>30.6</v>
      </c>
      <c r="I43" s="31"/>
    </row>
    <row r="44" spans="3:9" x14ac:dyDescent="0.3">
      <c r="C44" s="144">
        <v>46042</v>
      </c>
      <c r="D44" s="145">
        <v>30.15</v>
      </c>
      <c r="I44" s="31"/>
    </row>
    <row r="45" spans="3:9" x14ac:dyDescent="0.3">
      <c r="C45" s="144">
        <v>46041</v>
      </c>
      <c r="D45" s="145">
        <v>30.15</v>
      </c>
      <c r="I45" s="31"/>
    </row>
    <row r="46" spans="3:9" x14ac:dyDescent="0.3">
      <c r="C46" s="144">
        <v>46038</v>
      </c>
      <c r="D46" s="145">
        <v>30.5</v>
      </c>
      <c r="I46" s="31"/>
    </row>
    <row r="47" spans="3:9" x14ac:dyDescent="0.3">
      <c r="C47" s="144">
        <v>46037</v>
      </c>
      <c r="D47" s="145">
        <v>30.1</v>
      </c>
      <c r="I47" s="31"/>
    </row>
    <row r="48" spans="3:9" x14ac:dyDescent="0.3">
      <c r="C48" s="144">
        <v>46036</v>
      </c>
      <c r="D48" s="145">
        <v>29.8</v>
      </c>
      <c r="I48" s="31"/>
    </row>
    <row r="49" spans="3:9" x14ac:dyDescent="0.3">
      <c r="C49" s="144">
        <v>46035</v>
      </c>
      <c r="D49" s="145">
        <v>30.25</v>
      </c>
      <c r="I49" s="31"/>
    </row>
    <row r="50" spans="3:9" x14ac:dyDescent="0.3">
      <c r="C50" s="144">
        <v>46034</v>
      </c>
      <c r="D50" s="145">
        <v>29.75</v>
      </c>
      <c r="I50" s="31"/>
    </row>
    <row r="51" spans="3:9" x14ac:dyDescent="0.3">
      <c r="C51" s="144">
        <v>46031</v>
      </c>
      <c r="D51" s="145">
        <v>29.35</v>
      </c>
      <c r="I51" s="31"/>
    </row>
    <row r="52" spans="3:9" x14ac:dyDescent="0.3">
      <c r="C52" s="144">
        <v>46030</v>
      </c>
      <c r="D52" s="145">
        <v>29.45</v>
      </c>
      <c r="I52" s="31"/>
    </row>
    <row r="53" spans="3:9" x14ac:dyDescent="0.3">
      <c r="C53" s="144">
        <v>46029</v>
      </c>
      <c r="D53" s="145">
        <v>29.4</v>
      </c>
      <c r="I53" s="31"/>
    </row>
    <row r="54" spans="3:9" x14ac:dyDescent="0.3">
      <c r="C54" s="144">
        <v>46028</v>
      </c>
      <c r="D54" s="145">
        <v>29.25</v>
      </c>
      <c r="I54" s="31"/>
    </row>
    <row r="55" spans="3:9" x14ac:dyDescent="0.3">
      <c r="C55" s="144">
        <v>46027</v>
      </c>
      <c r="D55" s="145">
        <v>29.2</v>
      </c>
      <c r="I55" s="31"/>
    </row>
    <row r="56" spans="3:9" x14ac:dyDescent="0.3">
      <c r="C56" s="144">
        <v>46024</v>
      </c>
      <c r="D56" s="145">
        <v>28.6</v>
      </c>
      <c r="I56" s="31"/>
    </row>
    <row r="57" spans="3:9" x14ac:dyDescent="0.3">
      <c r="C57" s="144">
        <v>46022</v>
      </c>
      <c r="D57" s="145">
        <v>27.85</v>
      </c>
      <c r="I57" s="31"/>
    </row>
    <row r="58" spans="3:9" x14ac:dyDescent="0.3">
      <c r="C58" s="144">
        <v>46021</v>
      </c>
      <c r="D58" s="145">
        <v>28.3</v>
      </c>
      <c r="I58" s="31"/>
    </row>
    <row r="59" spans="3:9" x14ac:dyDescent="0.3">
      <c r="C59" s="144">
        <v>46020</v>
      </c>
      <c r="D59" s="145">
        <v>28.7</v>
      </c>
      <c r="I59" s="31"/>
    </row>
    <row r="60" spans="3:9" x14ac:dyDescent="0.3">
      <c r="C60" s="144">
        <v>46017</v>
      </c>
      <c r="D60" s="145">
        <v>29</v>
      </c>
      <c r="I60" s="31"/>
    </row>
    <row r="61" spans="3:9" x14ac:dyDescent="0.3">
      <c r="C61" s="144">
        <v>46016</v>
      </c>
      <c r="D61" s="145">
        <v>28.95</v>
      </c>
      <c r="I61" s="31"/>
    </row>
    <row r="62" spans="3:9" x14ac:dyDescent="0.3">
      <c r="C62" s="144">
        <v>46015</v>
      </c>
      <c r="D62" s="145">
        <v>29.1</v>
      </c>
      <c r="I62" s="31"/>
    </row>
    <row r="63" spans="3:9" x14ac:dyDescent="0.3">
      <c r="C63" s="144">
        <v>46014</v>
      </c>
      <c r="D63" s="145">
        <v>29.1</v>
      </c>
      <c r="I63" s="31"/>
    </row>
    <row r="64" spans="3:9" x14ac:dyDescent="0.3">
      <c r="C64" s="144">
        <v>46013</v>
      </c>
      <c r="D64" s="145">
        <v>28.95</v>
      </c>
      <c r="I64" s="31"/>
    </row>
    <row r="65" spans="3:9" x14ac:dyDescent="0.3">
      <c r="C65" s="144">
        <v>46010</v>
      </c>
      <c r="D65" s="145">
        <v>27.75</v>
      </c>
      <c r="I65" s="31"/>
    </row>
    <row r="66" spans="3:9" x14ac:dyDescent="0.3">
      <c r="C66" s="144">
        <v>46009</v>
      </c>
      <c r="D66" s="145">
        <v>28.6</v>
      </c>
      <c r="I66" s="31"/>
    </row>
    <row r="67" spans="3:9" x14ac:dyDescent="0.3">
      <c r="C67" s="144">
        <v>46008</v>
      </c>
      <c r="D67" s="145">
        <v>28.8</v>
      </c>
      <c r="I67" s="31"/>
    </row>
    <row r="68" spans="3:9" x14ac:dyDescent="0.3">
      <c r="C68" s="144">
        <v>46007</v>
      </c>
      <c r="D68" s="145">
        <v>28.3</v>
      </c>
      <c r="I68" s="31"/>
    </row>
    <row r="69" spans="3:9" x14ac:dyDescent="0.3">
      <c r="C69" s="144">
        <v>46006</v>
      </c>
      <c r="D69" s="145">
        <v>28.05</v>
      </c>
      <c r="I69" s="31"/>
    </row>
    <row r="70" spans="3:9" x14ac:dyDescent="0.3">
      <c r="C70" s="144">
        <v>46003</v>
      </c>
      <c r="D70" s="145">
        <v>28.25</v>
      </c>
      <c r="I70" s="31"/>
    </row>
    <row r="71" spans="3:9" x14ac:dyDescent="0.3">
      <c r="C71" s="144">
        <v>46002</v>
      </c>
      <c r="D71" s="145">
        <v>27.8</v>
      </c>
      <c r="I71" s="31"/>
    </row>
    <row r="72" spans="3:9" x14ac:dyDescent="0.3">
      <c r="C72" s="144">
        <v>46001</v>
      </c>
      <c r="D72" s="145">
        <v>27.1</v>
      </c>
      <c r="I72" s="31"/>
    </row>
    <row r="73" spans="3:9" x14ac:dyDescent="0.3">
      <c r="C73" s="144">
        <v>46000</v>
      </c>
      <c r="D73" s="145">
        <v>26.4</v>
      </c>
      <c r="I73" s="31"/>
    </row>
    <row r="74" spans="3:9" x14ac:dyDescent="0.3">
      <c r="C74" s="144">
        <v>45999</v>
      </c>
      <c r="D74" s="145">
        <v>26.8</v>
      </c>
      <c r="I74" s="31"/>
    </row>
    <row r="75" spans="3:9" x14ac:dyDescent="0.3">
      <c r="C75" s="144">
        <v>45996</v>
      </c>
      <c r="D75" s="145">
        <v>26.8</v>
      </c>
      <c r="I75" s="31"/>
    </row>
    <row r="76" spans="3:9" x14ac:dyDescent="0.3">
      <c r="C76" s="144">
        <v>45995</v>
      </c>
      <c r="D76" s="145">
        <v>26.15</v>
      </c>
      <c r="I76" s="31"/>
    </row>
    <row r="77" spans="3:9" x14ac:dyDescent="0.3">
      <c r="C77" s="144">
        <v>45994</v>
      </c>
      <c r="D77" s="145">
        <v>25.25</v>
      </c>
      <c r="I77" s="31"/>
    </row>
    <row r="78" spans="3:9" x14ac:dyDescent="0.3">
      <c r="C78" s="144">
        <v>45989</v>
      </c>
      <c r="D78" s="145">
        <v>24.4</v>
      </c>
      <c r="I78" s="31"/>
    </row>
    <row r="79" spans="3:9" x14ac:dyDescent="0.3">
      <c r="C79" s="144">
        <v>45988</v>
      </c>
      <c r="D79" s="145">
        <v>24.55</v>
      </c>
      <c r="I79" s="31"/>
    </row>
    <row r="80" spans="3:9" x14ac:dyDescent="0.3">
      <c r="C80" s="144">
        <v>45987</v>
      </c>
      <c r="D80" s="145">
        <v>24.7</v>
      </c>
      <c r="I80" s="31"/>
    </row>
    <row r="81" spans="3:9" x14ac:dyDescent="0.3">
      <c r="C81" s="144">
        <v>45986</v>
      </c>
      <c r="D81" s="145">
        <v>24.75</v>
      </c>
      <c r="I81" s="31"/>
    </row>
    <row r="82" spans="3:9" x14ac:dyDescent="0.3">
      <c r="C82" s="144">
        <v>45985</v>
      </c>
      <c r="D82" s="145">
        <v>24.6</v>
      </c>
      <c r="I82" s="31"/>
    </row>
    <row r="83" spans="3:9" x14ac:dyDescent="0.3">
      <c r="C83" s="144">
        <v>45982</v>
      </c>
      <c r="D83" s="145">
        <v>24.5</v>
      </c>
      <c r="I83" s="31"/>
    </row>
    <row r="84" spans="3:9" x14ac:dyDescent="0.3">
      <c r="C84" s="144">
        <v>45981</v>
      </c>
      <c r="D84" s="145">
        <v>25.7</v>
      </c>
      <c r="I84" s="31"/>
    </row>
    <row r="85" spans="3:9" x14ac:dyDescent="0.3">
      <c r="C85" s="144">
        <v>45980</v>
      </c>
      <c r="D85" s="145">
        <v>25.55</v>
      </c>
      <c r="I85" s="31"/>
    </row>
    <row r="86" spans="3:9" x14ac:dyDescent="0.3">
      <c r="C86" s="144">
        <v>45979</v>
      </c>
      <c r="D86" s="145">
        <v>25.65</v>
      </c>
      <c r="I86" s="31"/>
    </row>
    <row r="87" spans="3:9" x14ac:dyDescent="0.3">
      <c r="C87" s="144">
        <v>45978</v>
      </c>
      <c r="D87" s="145">
        <v>25.9</v>
      </c>
      <c r="I87" s="31"/>
    </row>
    <row r="88" spans="3:9" x14ac:dyDescent="0.3">
      <c r="C88" s="144">
        <v>45975</v>
      </c>
      <c r="D88" s="145">
        <v>25.6</v>
      </c>
      <c r="I88" s="31"/>
    </row>
    <row r="89" spans="3:9" x14ac:dyDescent="0.3">
      <c r="C89" s="144">
        <v>45974</v>
      </c>
      <c r="D89" s="145">
        <v>26.2</v>
      </c>
      <c r="I89" s="31"/>
    </row>
    <row r="90" spans="3:9" x14ac:dyDescent="0.3">
      <c r="C90" s="144">
        <v>45973</v>
      </c>
      <c r="D90" s="145">
        <v>27.5</v>
      </c>
      <c r="I90" s="31"/>
    </row>
    <row r="91" spans="3:9" x14ac:dyDescent="0.3">
      <c r="C91" s="144">
        <v>45972</v>
      </c>
      <c r="D91" s="145">
        <v>27.8</v>
      </c>
      <c r="I91" s="31"/>
    </row>
    <row r="92" spans="3:9" x14ac:dyDescent="0.3">
      <c r="C92" s="144">
        <v>45971</v>
      </c>
      <c r="D92" s="145">
        <v>27.2</v>
      </c>
      <c r="I92" s="31"/>
    </row>
    <row r="93" spans="3:9" x14ac:dyDescent="0.3">
      <c r="C93" s="144">
        <v>45968</v>
      </c>
      <c r="D93" s="145">
        <v>27.8</v>
      </c>
      <c r="I93" s="31"/>
    </row>
    <row r="94" spans="3:9" x14ac:dyDescent="0.3">
      <c r="C94" s="144">
        <v>45967</v>
      </c>
      <c r="D94" s="145">
        <v>27.55</v>
      </c>
      <c r="I94" s="31"/>
    </row>
    <row r="95" spans="3:9" x14ac:dyDescent="0.3">
      <c r="C95" s="144">
        <v>45966</v>
      </c>
      <c r="D95" s="145">
        <v>26.85</v>
      </c>
      <c r="I95" s="31"/>
    </row>
    <row r="96" spans="3:9" x14ac:dyDescent="0.3">
      <c r="C96" s="144">
        <v>45965</v>
      </c>
      <c r="D96" s="145">
        <v>27.55</v>
      </c>
      <c r="I96" s="31"/>
    </row>
    <row r="97" spans="3:9" x14ac:dyDescent="0.3">
      <c r="C97" s="144">
        <v>45964</v>
      </c>
      <c r="D97" s="145">
        <v>28.3</v>
      </c>
      <c r="I97" s="31"/>
    </row>
    <row r="98" spans="3:9" x14ac:dyDescent="0.3">
      <c r="C98" s="144">
        <v>45961</v>
      </c>
      <c r="D98" s="145">
        <v>28.1</v>
      </c>
      <c r="I98" s="31"/>
    </row>
    <row r="99" spans="3:9" x14ac:dyDescent="0.3">
      <c r="C99" s="144">
        <v>45960</v>
      </c>
      <c r="D99" s="145">
        <v>28.15</v>
      </c>
      <c r="I99" s="31"/>
    </row>
    <row r="100" spans="3:9" x14ac:dyDescent="0.3">
      <c r="C100" s="144">
        <v>45959</v>
      </c>
      <c r="D100" s="145">
        <v>27.9</v>
      </c>
      <c r="I100" s="31"/>
    </row>
    <row r="101" spans="3:9" x14ac:dyDescent="0.3">
      <c r="C101" s="144">
        <v>45958</v>
      </c>
      <c r="D101" s="145">
        <v>27.35</v>
      </c>
      <c r="I101" s="31"/>
    </row>
    <row r="102" spans="3:9" x14ac:dyDescent="0.3">
      <c r="C102" s="144">
        <v>45957</v>
      </c>
      <c r="D102" s="145">
        <v>27.35</v>
      </c>
      <c r="I102" s="31"/>
    </row>
    <row r="103" spans="3:9" x14ac:dyDescent="0.3">
      <c r="C103" s="144">
        <v>45954</v>
      </c>
      <c r="D103" s="145">
        <v>27.8</v>
      </c>
      <c r="I103" s="31"/>
    </row>
    <row r="104" spans="3:9" x14ac:dyDescent="0.3">
      <c r="C104" s="144">
        <v>45953</v>
      </c>
      <c r="D104" s="145">
        <v>27.8</v>
      </c>
      <c r="I104" s="31"/>
    </row>
    <row r="105" spans="3:9" x14ac:dyDescent="0.3">
      <c r="C105" s="144">
        <v>45952</v>
      </c>
      <c r="D105" s="145">
        <v>27.3</v>
      </c>
      <c r="I105" s="31"/>
    </row>
    <row r="106" spans="3:9" x14ac:dyDescent="0.3">
      <c r="C106" s="144">
        <v>45951</v>
      </c>
      <c r="D106" s="145">
        <v>26.8</v>
      </c>
      <c r="I106" s="31"/>
    </row>
    <row r="107" spans="3:9" x14ac:dyDescent="0.3">
      <c r="C107" s="144">
        <v>45950</v>
      </c>
      <c r="D107" s="145">
        <v>26.05</v>
      </c>
      <c r="I107" s="31"/>
    </row>
    <row r="108" spans="3:9" x14ac:dyDescent="0.3">
      <c r="C108" s="144">
        <v>45947</v>
      </c>
      <c r="D108" s="145">
        <v>26.8</v>
      </c>
      <c r="I108" s="31"/>
    </row>
    <row r="109" spans="3:9" x14ac:dyDescent="0.3">
      <c r="C109" s="144">
        <v>45946</v>
      </c>
      <c r="D109" s="145">
        <v>27.1</v>
      </c>
      <c r="I109" s="31"/>
    </row>
    <row r="110" spans="3:9" x14ac:dyDescent="0.3">
      <c r="C110" s="144">
        <v>45945</v>
      </c>
      <c r="D110" s="145">
        <v>25.8</v>
      </c>
      <c r="I110" s="31"/>
    </row>
    <row r="111" spans="3:9" x14ac:dyDescent="0.3">
      <c r="C111" s="144">
        <v>45944</v>
      </c>
      <c r="D111" s="145">
        <v>25.7</v>
      </c>
      <c r="I111" s="31"/>
    </row>
    <row r="112" spans="3:9" x14ac:dyDescent="0.3">
      <c r="C112" s="144">
        <v>45943</v>
      </c>
      <c r="D112" s="145">
        <v>24.75</v>
      </c>
      <c r="I112" s="31"/>
    </row>
    <row r="113" spans="3:9" x14ac:dyDescent="0.3">
      <c r="C113" s="144">
        <v>45940</v>
      </c>
      <c r="D113" s="145">
        <v>25.2</v>
      </c>
      <c r="I113" s="31"/>
    </row>
    <row r="114" spans="3:9" x14ac:dyDescent="0.3">
      <c r="C114" s="144">
        <v>45939</v>
      </c>
      <c r="D114" s="145">
        <v>25.25</v>
      </c>
      <c r="I114" s="31"/>
    </row>
    <row r="115" spans="3:9" x14ac:dyDescent="0.3">
      <c r="C115" s="144">
        <v>45938</v>
      </c>
      <c r="D115" s="145">
        <v>25.85</v>
      </c>
      <c r="I115" s="31"/>
    </row>
    <row r="116" spans="3:9" x14ac:dyDescent="0.3">
      <c r="C116" s="144">
        <v>45937</v>
      </c>
      <c r="D116" s="145">
        <v>25.4</v>
      </c>
      <c r="I116" s="31"/>
    </row>
    <row r="117" spans="3:9" x14ac:dyDescent="0.3">
      <c r="C117" s="144">
        <v>45936</v>
      </c>
      <c r="D117" s="145">
        <v>24.75</v>
      </c>
      <c r="I117" s="31"/>
    </row>
    <row r="118" spans="3:9" x14ac:dyDescent="0.3">
      <c r="C118" s="144">
        <v>45933</v>
      </c>
      <c r="D118" s="145">
        <v>24.6</v>
      </c>
      <c r="I118" s="31"/>
    </row>
    <row r="119" spans="3:9" x14ac:dyDescent="0.3">
      <c r="C119" s="144">
        <v>45932</v>
      </c>
      <c r="D119" s="145">
        <v>24.65</v>
      </c>
      <c r="I119" s="31"/>
    </row>
    <row r="120" spans="3:9" x14ac:dyDescent="0.3">
      <c r="C120" s="144">
        <v>45931</v>
      </c>
      <c r="D120" s="145">
        <v>25</v>
      </c>
      <c r="I120" s="31"/>
    </row>
    <row r="121" spans="3:9" x14ac:dyDescent="0.3">
      <c r="C121" s="144">
        <v>45930</v>
      </c>
      <c r="D121" s="145">
        <v>24.3</v>
      </c>
      <c r="I121" s="31"/>
    </row>
    <row r="122" spans="3:9" x14ac:dyDescent="0.3">
      <c r="C122" s="144">
        <v>45929</v>
      </c>
      <c r="D122" s="145">
        <v>24.3</v>
      </c>
      <c r="I122" s="31"/>
    </row>
    <row r="123" spans="3:9" x14ac:dyDescent="0.3">
      <c r="C123" s="144">
        <v>45926</v>
      </c>
      <c r="D123" s="145">
        <v>24.4</v>
      </c>
      <c r="I123" s="31"/>
    </row>
    <row r="124" spans="3:9" x14ac:dyDescent="0.3">
      <c r="C124" s="144">
        <v>45925</v>
      </c>
      <c r="D124" s="145">
        <v>24.15</v>
      </c>
      <c r="I124" s="31"/>
    </row>
    <row r="125" spans="3:9" x14ac:dyDescent="0.3">
      <c r="C125" s="144">
        <v>45924</v>
      </c>
      <c r="D125" s="145">
        <v>24.45</v>
      </c>
      <c r="I125" s="31"/>
    </row>
    <row r="126" spans="3:9" x14ac:dyDescent="0.3">
      <c r="C126" s="144">
        <v>45923</v>
      </c>
      <c r="D126" s="145">
        <v>24.8</v>
      </c>
      <c r="I126" s="31"/>
    </row>
    <row r="127" spans="3:9" x14ac:dyDescent="0.3">
      <c r="C127" s="144">
        <v>45922</v>
      </c>
      <c r="D127" s="145">
        <v>25.4</v>
      </c>
      <c r="I127" s="31"/>
    </row>
    <row r="128" spans="3:9" x14ac:dyDescent="0.3">
      <c r="C128" s="144">
        <v>45919</v>
      </c>
      <c r="D128" s="145">
        <v>25.8</v>
      </c>
      <c r="I128" s="31"/>
    </row>
    <row r="129" spans="3:9" x14ac:dyDescent="0.3">
      <c r="C129" s="144">
        <v>45918</v>
      </c>
      <c r="D129" s="145">
        <v>26.05</v>
      </c>
      <c r="I129" s="31"/>
    </row>
    <row r="130" spans="3:9" x14ac:dyDescent="0.3">
      <c r="C130" s="144">
        <v>45917</v>
      </c>
      <c r="D130" s="145">
        <v>26.05</v>
      </c>
      <c r="I130" s="31"/>
    </row>
    <row r="131" spans="3:9" x14ac:dyDescent="0.3">
      <c r="C131" s="144">
        <v>45916</v>
      </c>
      <c r="D131" s="145">
        <v>26.05</v>
      </c>
      <c r="I131" s="31"/>
    </row>
    <row r="132" spans="3:9" x14ac:dyDescent="0.3">
      <c r="C132" s="144">
        <v>45915</v>
      </c>
      <c r="D132" s="145">
        <v>26</v>
      </c>
      <c r="I132" s="31"/>
    </row>
    <row r="133" spans="3:9" x14ac:dyDescent="0.3">
      <c r="C133" s="144">
        <v>45912</v>
      </c>
      <c r="D133" s="145">
        <v>25.4</v>
      </c>
      <c r="I133" s="31"/>
    </row>
    <row r="134" spans="3:9" x14ac:dyDescent="0.3">
      <c r="C134" s="144">
        <v>45911</v>
      </c>
      <c r="D134" s="145">
        <v>24.9</v>
      </c>
      <c r="I134" s="31"/>
    </row>
    <row r="135" spans="3:9" x14ac:dyDescent="0.3">
      <c r="C135" s="144">
        <v>45910</v>
      </c>
      <c r="D135" s="145">
        <v>24.25</v>
      </c>
      <c r="I135" s="31"/>
    </row>
    <row r="136" spans="3:9" x14ac:dyDescent="0.3">
      <c r="C136" s="144">
        <v>45909</v>
      </c>
      <c r="D136" s="145">
        <v>24.75</v>
      </c>
      <c r="I136" s="31"/>
    </row>
    <row r="137" spans="3:9" x14ac:dyDescent="0.3">
      <c r="C137" s="144">
        <v>45908</v>
      </c>
      <c r="D137" s="145">
        <v>24.25</v>
      </c>
      <c r="I137" s="31"/>
    </row>
    <row r="138" spans="3:9" x14ac:dyDescent="0.3">
      <c r="C138" s="144">
        <v>45904</v>
      </c>
      <c r="D138" s="145">
        <v>24.95</v>
      </c>
      <c r="I138" s="31"/>
    </row>
    <row r="139" spans="3:9" x14ac:dyDescent="0.3">
      <c r="C139" s="144">
        <v>45903</v>
      </c>
      <c r="D139" s="145">
        <v>24.65</v>
      </c>
      <c r="I139" s="31"/>
    </row>
    <row r="140" spans="3:9" x14ac:dyDescent="0.3">
      <c r="C140" s="144">
        <v>45902</v>
      </c>
      <c r="D140" s="145">
        <v>25</v>
      </c>
      <c r="I140" s="31"/>
    </row>
    <row r="141" spans="3:9" x14ac:dyDescent="0.3">
      <c r="C141" s="144">
        <v>45901</v>
      </c>
      <c r="D141" s="145">
        <v>24.5</v>
      </c>
      <c r="I141" s="31"/>
    </row>
    <row r="142" spans="3:9" x14ac:dyDescent="0.3">
      <c r="C142" s="144">
        <v>45898</v>
      </c>
      <c r="D142" s="145">
        <v>25.25</v>
      </c>
      <c r="I142" s="31"/>
    </row>
    <row r="143" spans="3:9" x14ac:dyDescent="0.3">
      <c r="C143" s="144">
        <v>45897</v>
      </c>
      <c r="D143" s="145">
        <v>25.4</v>
      </c>
      <c r="I143" s="31"/>
    </row>
    <row r="144" spans="3:9" x14ac:dyDescent="0.3">
      <c r="C144" s="144">
        <v>45896</v>
      </c>
      <c r="D144" s="145">
        <v>25.55</v>
      </c>
      <c r="I144" s="31"/>
    </row>
    <row r="145" spans="3:9" x14ac:dyDescent="0.3">
      <c r="C145" s="144">
        <v>45895</v>
      </c>
      <c r="D145" s="145">
        <v>25.1</v>
      </c>
      <c r="I145" s="31"/>
    </row>
    <row r="146" spans="3:9" x14ac:dyDescent="0.3">
      <c r="C146" s="144">
        <v>45894</v>
      </c>
      <c r="D146" s="145">
        <v>25.6</v>
      </c>
      <c r="I146" s="31"/>
    </row>
    <row r="147" spans="3:9" x14ac:dyDescent="0.3">
      <c r="C147" s="144">
        <v>45891</v>
      </c>
      <c r="D147" s="145">
        <v>26</v>
      </c>
      <c r="I147" s="31"/>
    </row>
    <row r="148" spans="3:9" x14ac:dyDescent="0.3">
      <c r="C148" s="144">
        <v>45890</v>
      </c>
      <c r="D148" s="145">
        <v>26.2</v>
      </c>
      <c r="I148" s="31"/>
    </row>
    <row r="149" spans="3:9" x14ac:dyDescent="0.3">
      <c r="C149" s="144">
        <v>45889</v>
      </c>
      <c r="D149" s="145">
        <v>25.95</v>
      </c>
      <c r="I149" s="31"/>
    </row>
    <row r="150" spans="3:9" x14ac:dyDescent="0.3">
      <c r="C150" s="144">
        <v>45888</v>
      </c>
      <c r="D150" s="145">
        <v>26.3</v>
      </c>
      <c r="I150" s="31"/>
    </row>
    <row r="151" spans="3:9" x14ac:dyDescent="0.3">
      <c r="C151" s="144">
        <v>45887</v>
      </c>
      <c r="D151" s="145">
        <v>26.45</v>
      </c>
      <c r="I151" s="31"/>
    </row>
    <row r="152" spans="3:9" x14ac:dyDescent="0.3">
      <c r="C152" s="144">
        <v>45884</v>
      </c>
      <c r="D152" s="145">
        <v>26.15</v>
      </c>
      <c r="I152" s="31"/>
    </row>
    <row r="153" spans="3:9" x14ac:dyDescent="0.3">
      <c r="C153" s="144">
        <v>45883</v>
      </c>
      <c r="D153" s="145">
        <v>26.2</v>
      </c>
      <c r="I153" s="31"/>
    </row>
    <row r="154" spans="3:9" x14ac:dyDescent="0.3">
      <c r="C154" s="144">
        <v>45882</v>
      </c>
      <c r="D154" s="145">
        <v>26.05</v>
      </c>
      <c r="I154" s="31"/>
    </row>
    <row r="155" spans="3:9" x14ac:dyDescent="0.3">
      <c r="C155" s="144">
        <v>45881</v>
      </c>
      <c r="D155" s="145">
        <v>26.1</v>
      </c>
      <c r="I155" s="31"/>
    </row>
    <row r="156" spans="3:9" x14ac:dyDescent="0.3">
      <c r="C156" s="144">
        <v>45880</v>
      </c>
      <c r="D156" s="145">
        <v>26.35</v>
      </c>
      <c r="I156" s="31"/>
    </row>
    <row r="157" spans="3:9" x14ac:dyDescent="0.3">
      <c r="C157" s="144">
        <v>45877</v>
      </c>
      <c r="D157" s="145">
        <v>26.7</v>
      </c>
      <c r="I157" s="31"/>
    </row>
    <row r="158" spans="3:9" x14ac:dyDescent="0.3">
      <c r="C158" s="144">
        <v>45876</v>
      </c>
      <c r="D158" s="145">
        <v>26.9</v>
      </c>
      <c r="I158" s="31"/>
    </row>
    <row r="159" spans="3:9" x14ac:dyDescent="0.3">
      <c r="C159" s="144">
        <v>45875</v>
      </c>
      <c r="D159" s="145">
        <v>27</v>
      </c>
      <c r="I159" s="31"/>
    </row>
    <row r="160" spans="3:9" x14ac:dyDescent="0.3">
      <c r="C160" s="144">
        <v>45874</v>
      </c>
      <c r="D160" s="145">
        <v>26.65</v>
      </c>
      <c r="I160" s="31"/>
    </row>
    <row r="161" spans="3:9" x14ac:dyDescent="0.3">
      <c r="C161" s="144">
        <v>45873</v>
      </c>
      <c r="D161" s="145">
        <v>26.15</v>
      </c>
      <c r="I161" s="31"/>
    </row>
    <row r="162" spans="3:9" x14ac:dyDescent="0.3">
      <c r="C162" s="144">
        <v>45870</v>
      </c>
      <c r="D162" s="145">
        <v>26.1</v>
      </c>
      <c r="I162" s="31"/>
    </row>
    <row r="163" spans="3:9" x14ac:dyDescent="0.3">
      <c r="C163" s="144">
        <v>45869</v>
      </c>
      <c r="D163" s="145">
        <v>26.75</v>
      </c>
      <c r="I163" s="31"/>
    </row>
    <row r="164" spans="3:9" x14ac:dyDescent="0.3">
      <c r="C164" s="144">
        <v>45868</v>
      </c>
      <c r="D164" s="145">
        <v>27.05</v>
      </c>
      <c r="I164" s="31"/>
    </row>
    <row r="165" spans="3:9" x14ac:dyDescent="0.3">
      <c r="C165" s="144">
        <v>45867</v>
      </c>
      <c r="D165" s="145">
        <v>26.9</v>
      </c>
      <c r="I165" s="31"/>
    </row>
    <row r="166" spans="3:9" x14ac:dyDescent="0.3">
      <c r="C166" s="144">
        <v>45866</v>
      </c>
      <c r="D166" s="145">
        <v>26.7</v>
      </c>
      <c r="I166" s="31"/>
    </row>
    <row r="167" spans="3:9" x14ac:dyDescent="0.3">
      <c r="C167" s="144">
        <v>45863</v>
      </c>
      <c r="D167" s="145">
        <v>26.1</v>
      </c>
      <c r="I167" s="31"/>
    </row>
    <row r="168" spans="3:9" x14ac:dyDescent="0.3">
      <c r="C168" s="144">
        <v>45862</v>
      </c>
      <c r="D168" s="145">
        <v>25.95</v>
      </c>
      <c r="I168" s="31"/>
    </row>
    <row r="169" spans="3:9" x14ac:dyDescent="0.3">
      <c r="C169" s="144">
        <v>45861</v>
      </c>
      <c r="D169" s="145">
        <v>26.5</v>
      </c>
      <c r="I169" s="31"/>
    </row>
    <row r="170" spans="3:9" x14ac:dyDescent="0.3">
      <c r="C170" s="144">
        <v>45860</v>
      </c>
      <c r="D170" s="145">
        <v>25.75</v>
      </c>
      <c r="I170" s="31"/>
    </row>
    <row r="171" spans="3:9" x14ac:dyDescent="0.3">
      <c r="C171" s="144">
        <v>45859</v>
      </c>
      <c r="D171" s="145">
        <v>25.8</v>
      </c>
      <c r="I171" s="31"/>
    </row>
    <row r="172" spans="3:9" x14ac:dyDescent="0.3">
      <c r="C172" s="144">
        <v>45856</v>
      </c>
      <c r="D172" s="145">
        <v>26.8</v>
      </c>
      <c r="I172" s="31"/>
    </row>
    <row r="173" spans="3:9" x14ac:dyDescent="0.3">
      <c r="C173" s="144">
        <v>45855</v>
      </c>
      <c r="D173" s="145">
        <v>27.45</v>
      </c>
      <c r="I173" s="31"/>
    </row>
    <row r="174" spans="3:9" x14ac:dyDescent="0.3">
      <c r="C174" s="144">
        <v>45854</v>
      </c>
      <c r="D174" s="145">
        <v>26.4</v>
      </c>
      <c r="I174" s="31"/>
    </row>
    <row r="175" spans="3:9" x14ac:dyDescent="0.3">
      <c r="C175" s="144">
        <v>45853</v>
      </c>
      <c r="D175" s="145">
        <v>25.45</v>
      </c>
      <c r="I175" s="31"/>
    </row>
    <row r="176" spans="3:9" x14ac:dyDescent="0.3">
      <c r="C176" s="144">
        <v>45852</v>
      </c>
      <c r="D176" s="145">
        <v>24.2</v>
      </c>
      <c r="I176" s="31"/>
    </row>
    <row r="177" spans="3:9" x14ac:dyDescent="0.3">
      <c r="C177" s="144">
        <v>45849</v>
      </c>
      <c r="D177" s="145">
        <v>24.3</v>
      </c>
      <c r="I177" s="31"/>
    </row>
    <row r="178" spans="3:9" x14ac:dyDescent="0.3">
      <c r="C178" s="144">
        <v>45848</v>
      </c>
      <c r="D178" s="145">
        <v>24.2</v>
      </c>
      <c r="I178" s="31"/>
    </row>
    <row r="179" spans="3:9" x14ac:dyDescent="0.3">
      <c r="C179" s="144">
        <v>45847</v>
      </c>
      <c r="D179" s="145">
        <v>24.35</v>
      </c>
      <c r="I179" s="31"/>
    </row>
    <row r="180" spans="3:9" x14ac:dyDescent="0.3">
      <c r="C180" s="144">
        <v>45846</v>
      </c>
      <c r="D180" s="145">
        <v>24.45</v>
      </c>
      <c r="I180" s="31"/>
    </row>
    <row r="181" spans="3:9" x14ac:dyDescent="0.3">
      <c r="C181" s="144">
        <v>45845</v>
      </c>
      <c r="D181" s="145">
        <v>24.25</v>
      </c>
      <c r="I181" s="31"/>
    </row>
    <row r="182" spans="3:9" x14ac:dyDescent="0.3">
      <c r="C182" s="144">
        <v>45842</v>
      </c>
      <c r="D182" s="145">
        <v>23.6</v>
      </c>
      <c r="I182" s="31"/>
    </row>
    <row r="183" spans="3:9" x14ac:dyDescent="0.3">
      <c r="C183" s="144">
        <v>45841</v>
      </c>
      <c r="D183" s="145">
        <v>23.3</v>
      </c>
      <c r="I183" s="31"/>
    </row>
    <row r="184" spans="3:9" x14ac:dyDescent="0.3">
      <c r="C184" s="144">
        <v>45840</v>
      </c>
      <c r="D184" s="145">
        <v>23.05</v>
      </c>
      <c r="I184" s="31"/>
    </row>
    <row r="185" spans="3:9" x14ac:dyDescent="0.3">
      <c r="C185" s="144">
        <v>45839</v>
      </c>
      <c r="D185" s="145">
        <v>23.05</v>
      </c>
      <c r="I185" s="31"/>
    </row>
    <row r="186" spans="3:9" x14ac:dyDescent="0.3">
      <c r="C186" s="144">
        <v>45838</v>
      </c>
      <c r="D186" s="145">
        <v>22.8</v>
      </c>
      <c r="I186" s="31"/>
    </row>
    <row r="187" spans="3:9" x14ac:dyDescent="0.3">
      <c r="C187" s="144">
        <v>45834</v>
      </c>
      <c r="D187" s="145">
        <v>23</v>
      </c>
      <c r="I187" s="31"/>
    </row>
    <row r="188" spans="3:9" x14ac:dyDescent="0.3">
      <c r="C188" s="144">
        <v>45833</v>
      </c>
      <c r="D188" s="145">
        <v>22.75</v>
      </c>
      <c r="I188" s="31"/>
    </row>
    <row r="189" spans="3:9" x14ac:dyDescent="0.3">
      <c r="C189" s="144">
        <v>45832</v>
      </c>
      <c r="D189" s="145">
        <v>22.45</v>
      </c>
      <c r="I189" s="31"/>
    </row>
    <row r="190" spans="3:9" x14ac:dyDescent="0.3">
      <c r="C190" s="144">
        <v>45831</v>
      </c>
      <c r="D190" s="145">
        <v>21.35</v>
      </c>
      <c r="I190" s="31"/>
    </row>
    <row r="191" spans="3:9" x14ac:dyDescent="0.3">
      <c r="C191" s="144">
        <v>45828</v>
      </c>
      <c r="D191" s="145">
        <v>21.15</v>
      </c>
      <c r="I191" s="31"/>
    </row>
    <row r="192" spans="3:9" x14ac:dyDescent="0.3">
      <c r="C192" s="144">
        <v>45827</v>
      </c>
      <c r="D192" s="145">
        <v>21.1</v>
      </c>
      <c r="I192" s="31"/>
    </row>
    <row r="193" spans="3:9" x14ac:dyDescent="0.3">
      <c r="C193" s="144">
        <v>45826</v>
      </c>
      <c r="D193" s="145">
        <v>20.85</v>
      </c>
      <c r="I193" s="31"/>
    </row>
    <row r="194" spans="3:9" x14ac:dyDescent="0.3">
      <c r="C194" s="144">
        <v>45825</v>
      </c>
      <c r="D194" s="145">
        <v>21</v>
      </c>
      <c r="I194" s="31"/>
    </row>
    <row r="195" spans="3:9" x14ac:dyDescent="0.3">
      <c r="C195" s="144">
        <v>45824</v>
      </c>
      <c r="D195" s="145">
        <v>21.25</v>
      </c>
      <c r="I195" s="31"/>
    </row>
    <row r="196" spans="3:9" x14ac:dyDescent="0.3">
      <c r="C196" s="144">
        <v>45821</v>
      </c>
      <c r="D196" s="145">
        <v>21.2</v>
      </c>
      <c r="I196" s="31"/>
    </row>
    <row r="197" spans="3:9" x14ac:dyDescent="0.3">
      <c r="C197" s="144">
        <v>45820</v>
      </c>
      <c r="D197" s="145">
        <v>21.65</v>
      </c>
      <c r="I197" s="31"/>
    </row>
    <row r="198" spans="3:9" x14ac:dyDescent="0.3">
      <c r="C198" s="144">
        <v>45819</v>
      </c>
      <c r="D198" s="145">
        <v>21.95</v>
      </c>
      <c r="I198" s="31"/>
    </row>
    <row r="199" spans="3:9" x14ac:dyDescent="0.3">
      <c r="C199" s="144">
        <v>45818</v>
      </c>
      <c r="D199" s="145">
        <v>22.4</v>
      </c>
      <c r="I199" s="31"/>
    </row>
    <row r="200" spans="3:9" x14ac:dyDescent="0.3">
      <c r="C200" s="144">
        <v>45817</v>
      </c>
      <c r="D200" s="145">
        <v>22</v>
      </c>
      <c r="I200" s="31"/>
    </row>
    <row r="201" spans="3:9" x14ac:dyDescent="0.3">
      <c r="C201" s="144">
        <v>45812</v>
      </c>
      <c r="D201" s="145">
        <v>22.1</v>
      </c>
      <c r="I201" s="31"/>
    </row>
    <row r="202" spans="3:9" x14ac:dyDescent="0.3">
      <c r="C202" s="144">
        <v>45811</v>
      </c>
      <c r="D202" s="145">
        <v>22.05</v>
      </c>
      <c r="I202" s="31"/>
    </row>
    <row r="203" spans="3:9" x14ac:dyDescent="0.3">
      <c r="C203" s="144">
        <v>45810</v>
      </c>
      <c r="D203" s="145">
        <v>22.1</v>
      </c>
      <c r="I203" s="31"/>
    </row>
    <row r="204" spans="3:9" x14ac:dyDescent="0.3">
      <c r="C204" s="144">
        <v>45807</v>
      </c>
      <c r="D204" s="145">
        <v>22.4</v>
      </c>
      <c r="I204" s="31"/>
    </row>
    <row r="205" spans="3:9" x14ac:dyDescent="0.3">
      <c r="C205" s="144">
        <v>45806</v>
      </c>
      <c r="D205" s="145">
        <v>22.95</v>
      </c>
      <c r="I205" s="31"/>
    </row>
    <row r="206" spans="3:9" x14ac:dyDescent="0.3">
      <c r="C206" s="144">
        <v>45805</v>
      </c>
      <c r="D206" s="145">
        <v>23.4</v>
      </c>
      <c r="I206" s="31"/>
    </row>
    <row r="207" spans="3:9" x14ac:dyDescent="0.3">
      <c r="C207" s="144">
        <v>45804</v>
      </c>
      <c r="D207" s="145">
        <v>23.3</v>
      </c>
      <c r="I207" s="31"/>
    </row>
    <row r="208" spans="3:9" x14ac:dyDescent="0.3">
      <c r="C208" s="144">
        <v>45803</v>
      </c>
      <c r="D208" s="145">
        <v>23.4</v>
      </c>
      <c r="I208" s="31"/>
    </row>
    <row r="209" spans="3:9" x14ac:dyDescent="0.3">
      <c r="C209" s="144">
        <v>45800</v>
      </c>
      <c r="D209" s="145">
        <v>23</v>
      </c>
      <c r="I209" s="31"/>
    </row>
    <row r="210" spans="3:9" x14ac:dyDescent="0.3">
      <c r="C210" s="144">
        <v>45799</v>
      </c>
      <c r="D210" s="145">
        <v>22.7</v>
      </c>
      <c r="I210" s="31"/>
    </row>
    <row r="211" spans="3:9" x14ac:dyDescent="0.3">
      <c r="C211" s="144">
        <v>45798</v>
      </c>
      <c r="D211" s="145">
        <v>22.45</v>
      </c>
      <c r="I211" s="31"/>
    </row>
    <row r="212" spans="3:9" x14ac:dyDescent="0.3">
      <c r="C212" s="144">
        <v>45797</v>
      </c>
      <c r="D212" s="145">
        <v>23.05</v>
      </c>
      <c r="I212" s="31"/>
    </row>
    <row r="213" spans="3:9" x14ac:dyDescent="0.3">
      <c r="C213" s="144">
        <v>45796</v>
      </c>
      <c r="D213" s="145">
        <v>23.4</v>
      </c>
      <c r="I213" s="31"/>
    </row>
    <row r="214" spans="3:9" x14ac:dyDescent="0.3">
      <c r="C214" s="144">
        <v>45793</v>
      </c>
      <c r="D214" s="145">
        <v>22.6</v>
      </c>
      <c r="I214" s="31"/>
    </row>
    <row r="215" spans="3:9" x14ac:dyDescent="0.3">
      <c r="C215" s="144">
        <v>45792</v>
      </c>
      <c r="D215" s="145">
        <v>21.9</v>
      </c>
      <c r="I215" s="31"/>
    </row>
    <row r="216" spans="3:9" x14ac:dyDescent="0.3">
      <c r="C216" s="144">
        <v>45791</v>
      </c>
      <c r="D216" s="145">
        <v>21.25</v>
      </c>
      <c r="I216" s="31"/>
    </row>
    <row r="217" spans="3:9" x14ac:dyDescent="0.3">
      <c r="C217" s="144">
        <v>45790</v>
      </c>
      <c r="D217" s="145">
        <v>21.5</v>
      </c>
      <c r="I217" s="31"/>
    </row>
    <row r="218" spans="3:9" x14ac:dyDescent="0.3">
      <c r="C218" s="144">
        <v>45789</v>
      </c>
      <c r="D218" s="145">
        <v>21.3</v>
      </c>
      <c r="I218" s="31"/>
    </row>
    <row r="219" spans="3:9" x14ac:dyDescent="0.3">
      <c r="C219" s="144">
        <v>45786</v>
      </c>
      <c r="D219" s="145">
        <v>21.05</v>
      </c>
      <c r="I219" s="31"/>
    </row>
    <row r="220" spans="3:9" x14ac:dyDescent="0.3">
      <c r="C220" s="144">
        <v>45785</v>
      </c>
      <c r="D220" s="145">
        <v>21.5</v>
      </c>
      <c r="I220" s="31"/>
    </row>
    <row r="221" spans="3:9" x14ac:dyDescent="0.3">
      <c r="C221" s="144">
        <v>45784</v>
      </c>
      <c r="D221" s="145">
        <v>21.65</v>
      </c>
      <c r="I221" s="31"/>
    </row>
    <row r="222" spans="3:9" x14ac:dyDescent="0.3">
      <c r="C222" s="144">
        <v>45783</v>
      </c>
      <c r="D222" s="145">
        <v>21.55</v>
      </c>
      <c r="I222" s="31"/>
    </row>
    <row r="223" spans="3:9" x14ac:dyDescent="0.3">
      <c r="C223" s="144">
        <v>45782</v>
      </c>
      <c r="D223" s="145">
        <v>21.35</v>
      </c>
      <c r="I223" s="31"/>
    </row>
    <row r="224" spans="3:9" x14ac:dyDescent="0.3">
      <c r="C224" s="144">
        <v>45779</v>
      </c>
      <c r="D224" s="145">
        <v>20.7</v>
      </c>
      <c r="I224" s="31"/>
    </row>
    <row r="225" spans="3:9" x14ac:dyDescent="0.3">
      <c r="C225" s="144">
        <v>45778</v>
      </c>
      <c r="D225" s="145">
        <v>20.55</v>
      </c>
      <c r="I225" s="31"/>
    </row>
    <row r="226" spans="3:9" x14ac:dyDescent="0.3">
      <c r="C226" s="144">
        <v>45777</v>
      </c>
      <c r="D226" s="145">
        <v>20.55</v>
      </c>
      <c r="I226" s="31"/>
    </row>
    <row r="227" spans="3:9" x14ac:dyDescent="0.3">
      <c r="C227" s="144">
        <v>45776</v>
      </c>
      <c r="D227" s="145">
        <v>20.399999999999999</v>
      </c>
      <c r="I227" s="31"/>
    </row>
    <row r="228" spans="3:9" x14ac:dyDescent="0.3">
      <c r="C228" s="144">
        <v>45775</v>
      </c>
      <c r="D228" s="145">
        <v>20.25</v>
      </c>
      <c r="I228" s="31"/>
    </row>
    <row r="229" spans="3:9" x14ac:dyDescent="0.3">
      <c r="C229" s="144">
        <v>45772</v>
      </c>
      <c r="D229" s="145">
        <v>20.149999999999999</v>
      </c>
      <c r="I229" s="31"/>
    </row>
    <row r="230" spans="3:9" x14ac:dyDescent="0.3">
      <c r="C230" s="144">
        <v>45771</v>
      </c>
      <c r="D230" s="145">
        <v>20.45</v>
      </c>
      <c r="I230" s="31"/>
    </row>
    <row r="231" spans="3:9" x14ac:dyDescent="0.3">
      <c r="C231" s="144">
        <v>45770</v>
      </c>
      <c r="D231" s="145">
        <v>20.399999999999999</v>
      </c>
      <c r="I231" s="31"/>
    </row>
    <row r="232" spans="3:9" x14ac:dyDescent="0.3">
      <c r="C232" s="144">
        <v>45769</v>
      </c>
      <c r="D232" s="145">
        <v>19.899999999999999</v>
      </c>
      <c r="I232" s="31"/>
    </row>
    <row r="233" spans="3:9" x14ac:dyDescent="0.3">
      <c r="C233" s="144">
        <v>45768</v>
      </c>
      <c r="D233" s="145">
        <v>19.55</v>
      </c>
      <c r="I233" s="31"/>
    </row>
    <row r="234" spans="3:9" x14ac:dyDescent="0.3">
      <c r="C234" s="144">
        <v>45765</v>
      </c>
      <c r="D234" s="145">
        <v>19.45</v>
      </c>
      <c r="I234" s="31"/>
    </row>
    <row r="235" spans="3:9" x14ac:dyDescent="0.3">
      <c r="C235" s="144">
        <v>45764</v>
      </c>
      <c r="D235" s="145">
        <v>19.3</v>
      </c>
      <c r="I235" s="31"/>
    </row>
    <row r="236" spans="3:9" x14ac:dyDescent="0.3">
      <c r="C236" s="144">
        <v>45763</v>
      </c>
      <c r="D236" s="145">
        <v>19.45</v>
      </c>
      <c r="I236" s="31"/>
    </row>
    <row r="237" spans="3:9" x14ac:dyDescent="0.3">
      <c r="C237" s="144">
        <v>45762</v>
      </c>
      <c r="D237" s="145">
        <v>19.850000000000001</v>
      </c>
      <c r="I237" s="31"/>
    </row>
    <row r="238" spans="3:9" x14ac:dyDescent="0.3">
      <c r="C238" s="144">
        <v>45761</v>
      </c>
      <c r="D238" s="145">
        <v>20.149999999999999</v>
      </c>
      <c r="I238" s="31"/>
    </row>
    <row r="239" spans="3:9" x14ac:dyDescent="0.3">
      <c r="C239" s="144">
        <v>45758</v>
      </c>
      <c r="D239" s="145">
        <v>19.25</v>
      </c>
      <c r="I239" s="31"/>
    </row>
    <row r="240" spans="3:9" x14ac:dyDescent="0.3">
      <c r="C240" s="144">
        <v>45757</v>
      </c>
      <c r="D240" s="145">
        <v>19.149999999999999</v>
      </c>
      <c r="I240" s="31"/>
    </row>
    <row r="241" spans="3:9" x14ac:dyDescent="0.3">
      <c r="C241" s="144">
        <v>45756</v>
      </c>
      <c r="D241" s="145">
        <v>19.05</v>
      </c>
      <c r="I241" s="31"/>
    </row>
    <row r="242" spans="3:9" x14ac:dyDescent="0.3">
      <c r="C242" s="144">
        <v>45755</v>
      </c>
      <c r="D242" s="145">
        <v>19.05</v>
      </c>
      <c r="I242" s="31"/>
    </row>
    <row r="243" spans="3:9" x14ac:dyDescent="0.3">
      <c r="C243" s="144">
        <v>45754</v>
      </c>
      <c r="D243" s="145">
        <v>19</v>
      </c>
      <c r="I243" s="31"/>
    </row>
    <row r="244" spans="3:9" x14ac:dyDescent="0.3">
      <c r="C244" s="144">
        <v>45751</v>
      </c>
      <c r="D244" s="145">
        <v>19.149999999999999</v>
      </c>
      <c r="I244" s="31"/>
    </row>
    <row r="245" spans="3:9" x14ac:dyDescent="0.3">
      <c r="C245" s="144">
        <v>45750</v>
      </c>
      <c r="D245" s="145">
        <v>19.7</v>
      </c>
      <c r="I245" s="31"/>
    </row>
    <row r="246" spans="3:9" x14ac:dyDescent="0.3">
      <c r="C246" s="144">
        <v>45749</v>
      </c>
      <c r="D246" s="145">
        <v>19.850000000000001</v>
      </c>
      <c r="I246" s="31"/>
    </row>
    <row r="247" spans="3:9" x14ac:dyDescent="0.3">
      <c r="C247" s="144">
        <v>45744</v>
      </c>
      <c r="D247" s="145">
        <v>20.2</v>
      </c>
      <c r="I247" s="31"/>
    </row>
    <row r="248" spans="3:9" x14ac:dyDescent="0.3">
      <c r="C248" s="144">
        <v>45743</v>
      </c>
      <c r="D248" s="145">
        <v>20.3</v>
      </c>
      <c r="I248" s="31"/>
    </row>
    <row r="249" spans="3:9" x14ac:dyDescent="0.3">
      <c r="C249" s="144">
        <v>45742</v>
      </c>
      <c r="D249" s="145">
        <v>20.3</v>
      </c>
      <c r="I249" s="31"/>
    </row>
    <row r="250" spans="3:9" x14ac:dyDescent="0.3">
      <c r="C250" s="144">
        <v>45741</v>
      </c>
      <c r="D250" s="145">
        <v>19.8</v>
      </c>
      <c r="I250" s="31"/>
    </row>
    <row r="251" spans="3:9" x14ac:dyDescent="0.3">
      <c r="C251" s="144">
        <v>45740</v>
      </c>
      <c r="D251" s="145">
        <v>19.600000000000001</v>
      </c>
      <c r="I251" s="31"/>
    </row>
    <row r="252" spans="3:9" x14ac:dyDescent="0.3">
      <c r="C252" s="144">
        <v>45737</v>
      </c>
      <c r="D252" s="145">
        <v>19.95</v>
      </c>
      <c r="I252" s="31"/>
    </row>
    <row r="253" spans="3:9" x14ac:dyDescent="0.3">
      <c r="C253" s="144">
        <v>45736</v>
      </c>
      <c r="D253" s="145">
        <v>19.55</v>
      </c>
      <c r="I253" s="31"/>
    </row>
    <row r="254" spans="3:9" x14ac:dyDescent="0.3">
      <c r="C254" s="144">
        <v>45735</v>
      </c>
      <c r="D254" s="145">
        <v>19.45</v>
      </c>
      <c r="I254" s="31"/>
    </row>
    <row r="255" spans="3:9" x14ac:dyDescent="0.3">
      <c r="C255" s="144">
        <v>45734</v>
      </c>
      <c r="D255" s="145">
        <v>20.2</v>
      </c>
      <c r="I255" s="31"/>
    </row>
    <row r="256" spans="3:9" x14ac:dyDescent="0.3">
      <c r="C256" s="144">
        <v>45733</v>
      </c>
      <c r="D256" s="145">
        <v>20.350000000000001</v>
      </c>
      <c r="I256" s="31"/>
    </row>
    <row r="257" spans="3:9" x14ac:dyDescent="0.3">
      <c r="C257" s="144">
        <v>45730</v>
      </c>
      <c r="D257" s="145">
        <v>20.2</v>
      </c>
      <c r="I257" s="31"/>
    </row>
    <row r="258" spans="3:9" x14ac:dyDescent="0.3">
      <c r="C258" s="144">
        <v>45729</v>
      </c>
      <c r="D258" s="145">
        <v>20.149999999999999</v>
      </c>
      <c r="I258" s="31"/>
    </row>
    <row r="259" spans="3:9" x14ac:dyDescent="0.3">
      <c r="C259" s="144">
        <v>45728</v>
      </c>
      <c r="D259" s="145">
        <v>20.05</v>
      </c>
      <c r="I259" s="31"/>
    </row>
    <row r="260" spans="3:9" x14ac:dyDescent="0.3">
      <c r="C260" s="144">
        <v>45727</v>
      </c>
      <c r="D260" s="145">
        <v>20.6</v>
      </c>
      <c r="I260" s="31"/>
    </row>
    <row r="261" spans="3:9" x14ac:dyDescent="0.3">
      <c r="C261" s="144">
        <v>45726</v>
      </c>
      <c r="D261" s="145">
        <v>21.05</v>
      </c>
      <c r="I261" s="31"/>
    </row>
    <row r="262" spans="3:9" x14ac:dyDescent="0.3">
      <c r="C262" s="144">
        <v>45723</v>
      </c>
      <c r="D262" s="145">
        <v>20.8</v>
      </c>
      <c r="I262" s="31"/>
    </row>
    <row r="263" spans="3:9" x14ac:dyDescent="0.3">
      <c r="C263" s="144">
        <v>45722</v>
      </c>
      <c r="D263" s="145">
        <v>20.75</v>
      </c>
      <c r="I263" s="31"/>
    </row>
    <row r="264" spans="3:9" x14ac:dyDescent="0.3">
      <c r="C264" s="144">
        <v>45721</v>
      </c>
      <c r="D264" s="145">
        <v>20.75</v>
      </c>
      <c r="I264" s="31"/>
    </row>
    <row r="265" spans="3:9" x14ac:dyDescent="0.3">
      <c r="C265" s="144">
        <v>45720</v>
      </c>
      <c r="D265" s="145">
        <v>21.55</v>
      </c>
      <c r="I265" s="31"/>
    </row>
    <row r="266" spans="3:9" x14ac:dyDescent="0.3">
      <c r="C266" s="144">
        <v>45719</v>
      </c>
      <c r="D266" s="145">
        <v>21.65</v>
      </c>
      <c r="I266" s="31"/>
    </row>
    <row r="267" spans="3:9" x14ac:dyDescent="0.3">
      <c r="C267" s="144">
        <v>45716</v>
      </c>
      <c r="D267" s="145">
        <v>22.1</v>
      </c>
      <c r="I267" s="31"/>
    </row>
    <row r="268" spans="3:9" x14ac:dyDescent="0.3">
      <c r="C268" s="144">
        <v>45715</v>
      </c>
      <c r="D268" s="145">
        <v>22</v>
      </c>
      <c r="I268" s="31"/>
    </row>
    <row r="269" spans="3:9" x14ac:dyDescent="0.3">
      <c r="C269" s="144">
        <v>45714</v>
      </c>
      <c r="D269" s="145">
        <v>21.6</v>
      </c>
      <c r="I269" s="31"/>
    </row>
    <row r="270" spans="3:9" x14ac:dyDescent="0.3">
      <c r="C270" s="144">
        <v>45713</v>
      </c>
      <c r="D270" s="145">
        <v>21.15</v>
      </c>
      <c r="I270" s="31"/>
    </row>
    <row r="271" spans="3:9" x14ac:dyDescent="0.3">
      <c r="C271" s="144">
        <v>45712</v>
      </c>
      <c r="D271" s="145">
        <v>20.8</v>
      </c>
      <c r="I271" s="31"/>
    </row>
    <row r="272" spans="3:9" x14ac:dyDescent="0.3">
      <c r="C272" s="144">
        <v>45709</v>
      </c>
      <c r="D272" s="145">
        <v>20.9</v>
      </c>
      <c r="I272" s="31"/>
    </row>
    <row r="273" spans="3:9" x14ac:dyDescent="0.3">
      <c r="C273" s="144">
        <v>45708</v>
      </c>
      <c r="D273" s="145">
        <v>21.15</v>
      </c>
      <c r="I273" s="31"/>
    </row>
    <row r="274" spans="3:9" x14ac:dyDescent="0.3">
      <c r="C274" s="144">
        <v>45707</v>
      </c>
      <c r="D274" s="145">
        <v>21.4</v>
      </c>
      <c r="I274" s="31"/>
    </row>
    <row r="275" spans="3:9" x14ac:dyDescent="0.3">
      <c r="C275" s="144">
        <v>45706</v>
      </c>
      <c r="D275" s="145">
        <v>21.3</v>
      </c>
      <c r="I275" s="31"/>
    </row>
    <row r="276" spans="3:9" x14ac:dyDescent="0.3">
      <c r="C276" s="144">
        <v>45705</v>
      </c>
      <c r="D276" s="145">
        <v>21</v>
      </c>
      <c r="I276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2BE9-6C1A-43C9-A1F3-35BBE9A44167}">
  <dimension ref="A2:L26"/>
  <sheetViews>
    <sheetView workbookViewId="0">
      <selection activeCell="K12" sqref="K12"/>
    </sheetView>
  </sheetViews>
  <sheetFormatPr defaultRowHeight="14.4" x14ac:dyDescent="0.3"/>
  <cols>
    <col min="1" max="1" width="2.88671875" customWidth="1"/>
    <col min="2" max="2" width="14.109375" customWidth="1"/>
    <col min="3" max="4" width="12" customWidth="1"/>
    <col min="5" max="5" width="11" customWidth="1"/>
    <col min="6" max="7" width="12" customWidth="1"/>
    <col min="8" max="8" width="14.109375" bestFit="1" customWidth="1"/>
    <col min="9" max="15" width="12" customWidth="1"/>
  </cols>
  <sheetData>
    <row r="2" spans="2:12" x14ac:dyDescent="0.3">
      <c r="B2" s="21" t="s">
        <v>100</v>
      </c>
    </row>
    <row r="3" spans="2:12" x14ac:dyDescent="0.3">
      <c r="B3" s="32" t="s">
        <v>101</v>
      </c>
    </row>
    <row r="5" spans="2:12" x14ac:dyDescent="0.3">
      <c r="B5" s="37" t="s">
        <v>88</v>
      </c>
      <c r="C5" s="38"/>
      <c r="D5" s="39" t="s">
        <v>89</v>
      </c>
      <c r="E5" s="39" t="s">
        <v>90</v>
      </c>
      <c r="F5" s="39" t="s">
        <v>91</v>
      </c>
      <c r="G5" s="39" t="s">
        <v>110</v>
      </c>
      <c r="H5" s="40" t="s">
        <v>102</v>
      </c>
      <c r="J5" s="63" t="s">
        <v>167</v>
      </c>
      <c r="K5" s="63"/>
      <c r="L5" s="146">
        <f>MEDIAN($D$6:$D$12)</f>
        <v>11.88</v>
      </c>
    </row>
    <row r="6" spans="2:12" x14ac:dyDescent="0.3">
      <c r="B6" s="34" t="s">
        <v>92</v>
      </c>
      <c r="D6" s="41">
        <v>16.52</v>
      </c>
      <c r="E6" s="42">
        <v>31600</v>
      </c>
      <c r="F6" s="43">
        <v>17100</v>
      </c>
      <c r="G6" s="44">
        <v>1.57</v>
      </c>
      <c r="H6" s="45">
        <v>0.16800000000000001</v>
      </c>
      <c r="J6" t="s">
        <v>168</v>
      </c>
      <c r="L6" s="147">
        <f>PERCENTILE(($D$6:$D$12),75%)</f>
        <v>17.869999999999997</v>
      </c>
    </row>
    <row r="7" spans="2:12" x14ac:dyDescent="0.3">
      <c r="B7" s="34" t="s">
        <v>94</v>
      </c>
      <c r="D7" s="41">
        <v>11.88</v>
      </c>
      <c r="E7" s="43">
        <v>19100</v>
      </c>
      <c r="F7" s="43">
        <v>11400</v>
      </c>
      <c r="G7" s="44">
        <v>1.31</v>
      </c>
      <c r="H7" s="45">
        <v>0.153</v>
      </c>
      <c r="J7" s="36" t="s">
        <v>209</v>
      </c>
      <c r="K7" s="36"/>
      <c r="L7" s="148">
        <f>PERCENTILE(($D$6:$D$12),25%)</f>
        <v>9.7749999999999986</v>
      </c>
    </row>
    <row r="8" spans="2:12" x14ac:dyDescent="0.3">
      <c r="B8" s="34" t="s">
        <v>95</v>
      </c>
      <c r="D8" s="41">
        <v>19.22</v>
      </c>
      <c r="E8" s="43">
        <v>10600</v>
      </c>
      <c r="F8" s="43">
        <v>6100</v>
      </c>
      <c r="G8" s="44">
        <v>4.2</v>
      </c>
      <c r="H8" s="45">
        <v>0.28000000000000003</v>
      </c>
    </row>
    <row r="9" spans="2:12" x14ac:dyDescent="0.3">
      <c r="B9" s="34" t="s">
        <v>96</v>
      </c>
      <c r="D9" s="41">
        <v>10.85</v>
      </c>
      <c r="E9" s="43">
        <v>5400</v>
      </c>
      <c r="F9" s="43">
        <v>2800</v>
      </c>
      <c r="G9" s="44">
        <v>1.64</v>
      </c>
      <c r="H9" s="45">
        <v>0.19700000000000001</v>
      </c>
    </row>
    <row r="10" spans="2:12" x14ac:dyDescent="0.3">
      <c r="B10" s="34" t="s">
        <v>97</v>
      </c>
      <c r="D10" s="41">
        <v>7.09</v>
      </c>
      <c r="E10" s="43">
        <v>23300</v>
      </c>
      <c r="F10" s="43">
        <v>8200</v>
      </c>
      <c r="G10" s="44">
        <v>1.62</v>
      </c>
      <c r="H10" s="45">
        <v>0.22</v>
      </c>
    </row>
    <row r="11" spans="2:12" x14ac:dyDescent="0.3">
      <c r="B11" s="34" t="s">
        <v>98</v>
      </c>
      <c r="D11" s="41">
        <v>209</v>
      </c>
      <c r="E11" s="43">
        <v>13400</v>
      </c>
      <c r="F11" s="43">
        <v>9000</v>
      </c>
      <c r="G11" s="44">
        <v>1.6</v>
      </c>
      <c r="H11" s="45">
        <v>0.28999999999999998</v>
      </c>
    </row>
    <row r="12" spans="2:12" x14ac:dyDescent="0.3">
      <c r="B12" s="35" t="s">
        <v>99</v>
      </c>
      <c r="C12" s="36"/>
      <c r="D12" s="46">
        <v>8.6999999999999993</v>
      </c>
      <c r="E12" s="47">
        <v>5500</v>
      </c>
      <c r="F12" s="47">
        <v>3000</v>
      </c>
      <c r="G12" s="48">
        <v>2.7</v>
      </c>
      <c r="H12" s="49">
        <v>0.23499999999999999</v>
      </c>
    </row>
    <row r="13" spans="2:12" x14ac:dyDescent="0.3">
      <c r="D13" s="41"/>
      <c r="E13" s="50"/>
      <c r="F13" s="50"/>
      <c r="G13" s="44"/>
      <c r="H13" s="51"/>
    </row>
    <row r="14" spans="2:12" x14ac:dyDescent="0.3">
      <c r="B14" s="37" t="s">
        <v>93</v>
      </c>
      <c r="C14" s="38"/>
      <c r="D14" s="57">
        <v>29.45</v>
      </c>
      <c r="E14" s="58">
        <v>49139</v>
      </c>
      <c r="F14" s="58">
        <v>24000</v>
      </c>
      <c r="G14" s="59">
        <v>1.44</v>
      </c>
      <c r="H14" s="60">
        <v>0.17299999999999999</v>
      </c>
      <c r="J14" s="78"/>
    </row>
    <row r="16" spans="2:12" x14ac:dyDescent="0.3">
      <c r="F16" s="33" t="s">
        <v>103</v>
      </c>
      <c r="G16" s="52">
        <f>AVERAGE(G6:G12)</f>
        <v>2.0914285714285716</v>
      </c>
      <c r="H16" s="53">
        <f>AVERAGE(H6:H12)</f>
        <v>0.22042857142857145</v>
      </c>
    </row>
    <row r="17" spans="1:8" x14ac:dyDescent="0.3">
      <c r="F17" s="56" t="s">
        <v>104</v>
      </c>
      <c r="G17" s="54">
        <f>MEDIAN(G6:G12)</f>
        <v>1.62</v>
      </c>
      <c r="H17" s="55">
        <f>MEDIAN(H6:H12)</f>
        <v>0.22</v>
      </c>
    </row>
    <row r="19" spans="1:8" x14ac:dyDescent="0.3">
      <c r="A19" t="s">
        <v>64</v>
      </c>
      <c r="B19" s="62" t="s">
        <v>108</v>
      </c>
      <c r="C19" s="36"/>
      <c r="D19" s="36"/>
      <c r="E19" s="36"/>
    </row>
    <row r="20" spans="1:8" x14ac:dyDescent="0.3">
      <c r="B20" t="s">
        <v>109</v>
      </c>
      <c r="E20" s="22">
        <f>G17</f>
        <v>1.62</v>
      </c>
    </row>
    <row r="21" spans="1:8" x14ac:dyDescent="0.3">
      <c r="B21" t="s">
        <v>111</v>
      </c>
      <c r="E21" s="61">
        <f>H17</f>
        <v>0.22</v>
      </c>
    </row>
    <row r="22" spans="1:8" x14ac:dyDescent="0.3">
      <c r="B22" t="s">
        <v>115</v>
      </c>
      <c r="E22" s="31">
        <v>4.4999999999999998E-2</v>
      </c>
    </row>
    <row r="23" spans="1:8" x14ac:dyDescent="0.3">
      <c r="B23" t="s">
        <v>112</v>
      </c>
      <c r="E23" s="31">
        <v>4.1999999999999997E-3</v>
      </c>
    </row>
    <row r="24" spans="1:8" x14ac:dyDescent="0.3">
      <c r="B24" s="63" t="s">
        <v>114</v>
      </c>
      <c r="C24" s="63"/>
      <c r="D24" s="63"/>
      <c r="E24" s="64">
        <f>E22-E23</f>
        <v>4.0799999999999996E-2</v>
      </c>
    </row>
    <row r="25" spans="1:8" x14ac:dyDescent="0.3">
      <c r="G25" s="21"/>
    </row>
    <row r="26" spans="1:8" x14ac:dyDescent="0.3">
      <c r="B26" s="38" t="s">
        <v>116</v>
      </c>
      <c r="C26" s="38"/>
      <c r="D26" s="38"/>
      <c r="E26" s="65">
        <f>((E21-E24)/E20)+E24</f>
        <v>0.15141728395061727</v>
      </c>
      <c r="F26" s="32" t="s">
        <v>113</v>
      </c>
      <c r="G26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6497-7FF5-4A7B-9148-4CC6A86D39B1}">
  <dimension ref="B2:L79"/>
  <sheetViews>
    <sheetView topLeftCell="A31" zoomScale="85" zoomScaleNormal="85" workbookViewId="0">
      <selection activeCell="B40" sqref="B40"/>
    </sheetView>
  </sheetViews>
  <sheetFormatPr defaultRowHeight="14.4" x14ac:dyDescent="0.3"/>
  <cols>
    <col min="2" max="2" width="39.109375" bestFit="1" customWidth="1"/>
    <col min="4" max="4" width="9.88671875" bestFit="1" customWidth="1"/>
    <col min="5" max="8" width="10.5546875" bestFit="1" customWidth="1"/>
  </cols>
  <sheetData>
    <row r="2" spans="2:12" x14ac:dyDescent="0.3">
      <c r="D2" s="21" t="s">
        <v>42</v>
      </c>
    </row>
    <row r="3" spans="2:12" x14ac:dyDescent="0.3">
      <c r="B3" s="21" t="s">
        <v>31</v>
      </c>
      <c r="D3" s="21">
        <v>21</v>
      </c>
      <c r="E3" s="21">
        <v>22</v>
      </c>
      <c r="F3" s="21">
        <v>23</v>
      </c>
      <c r="G3" s="21">
        <v>24</v>
      </c>
      <c r="H3" s="21">
        <v>25</v>
      </c>
      <c r="L3" s="21" t="s">
        <v>47</v>
      </c>
    </row>
    <row r="4" spans="2:12" x14ac:dyDescent="0.3">
      <c r="B4" t="s">
        <v>32</v>
      </c>
      <c r="D4" s="24">
        <v>20682.642</v>
      </c>
      <c r="E4" s="24">
        <v>24185</v>
      </c>
      <c r="F4" s="24">
        <v>35568</v>
      </c>
      <c r="G4" s="24">
        <v>47380</v>
      </c>
      <c r="H4" s="24">
        <v>50236</v>
      </c>
    </row>
    <row r="5" spans="2:12" x14ac:dyDescent="0.3">
      <c r="B5" t="s">
        <v>33</v>
      </c>
      <c r="D5" s="24">
        <v>544.38699999999994</v>
      </c>
      <c r="E5" s="24">
        <v>1337</v>
      </c>
      <c r="F5" s="24">
        <v>6431</v>
      </c>
      <c r="G5" s="24">
        <v>11661</v>
      </c>
      <c r="H5" s="24">
        <v>9736</v>
      </c>
      <c r="L5" t="s">
        <v>48</v>
      </c>
    </row>
    <row r="6" spans="2:12" x14ac:dyDescent="0.3">
      <c r="B6" t="s">
        <v>34</v>
      </c>
      <c r="D6" s="24">
        <v>1140.9939999999999</v>
      </c>
      <c r="E6" s="24">
        <v>2952</v>
      </c>
      <c r="F6" s="24">
        <v>2990</v>
      </c>
      <c r="G6" s="24">
        <v>3133</v>
      </c>
      <c r="H6" s="24">
        <v>3393</v>
      </c>
      <c r="L6" t="s">
        <v>49</v>
      </c>
    </row>
    <row r="7" spans="2:12" x14ac:dyDescent="0.3">
      <c r="B7" t="s">
        <v>35</v>
      </c>
      <c r="D7" s="24">
        <v>975.13400000000001</v>
      </c>
      <c r="E7" s="24">
        <v>1577</v>
      </c>
      <c r="F7" s="24">
        <v>3487</v>
      </c>
      <c r="G7" s="24">
        <v>4141</v>
      </c>
      <c r="H7" s="24">
        <v>3814</v>
      </c>
      <c r="L7" t="s">
        <v>50</v>
      </c>
    </row>
    <row r="8" spans="2:12" x14ac:dyDescent="0.3">
      <c r="B8" t="s">
        <v>36</v>
      </c>
      <c r="D8" s="24">
        <v>148.03399999999999</v>
      </c>
      <c r="E8" s="24">
        <v>136</v>
      </c>
      <c r="F8" s="24">
        <v>209</v>
      </c>
      <c r="G8" s="24">
        <v>591</v>
      </c>
      <c r="H8" s="24">
        <v>933</v>
      </c>
      <c r="L8" t="s">
        <v>51</v>
      </c>
    </row>
    <row r="9" spans="2:12" x14ac:dyDescent="0.3">
      <c r="B9" t="s">
        <v>37</v>
      </c>
      <c r="D9" s="24"/>
      <c r="E9" s="24"/>
      <c r="F9" s="24"/>
      <c r="G9" s="24"/>
      <c r="H9" s="24"/>
      <c r="L9" t="s">
        <v>52</v>
      </c>
    </row>
    <row r="10" spans="2:12" x14ac:dyDescent="0.3">
      <c r="B10" t="s">
        <v>27</v>
      </c>
      <c r="D10" s="24">
        <v>172.31800000000001</v>
      </c>
      <c r="E10" s="24">
        <v>592</v>
      </c>
      <c r="F10" s="24">
        <v>1346</v>
      </c>
      <c r="G10" s="24">
        <v>2223</v>
      </c>
      <c r="H10" s="24">
        <v>2780</v>
      </c>
    </row>
    <row r="11" spans="2:12" x14ac:dyDescent="0.3">
      <c r="D11" s="25">
        <f>SUM(D4:D10)</f>
        <v>23663.508999999998</v>
      </c>
      <c r="E11" s="25">
        <f>SUM(E4:E10)</f>
        <v>30779</v>
      </c>
      <c r="F11" s="25">
        <f>SUM(F4:F10)</f>
        <v>50031</v>
      </c>
      <c r="G11" s="25">
        <f>SUM(G4:G10)</f>
        <v>69129</v>
      </c>
      <c r="H11" s="25">
        <f>SUM(H4:H10)</f>
        <v>70892</v>
      </c>
      <c r="L11" s="21" t="s">
        <v>53</v>
      </c>
    </row>
    <row r="12" spans="2:12" x14ac:dyDescent="0.3">
      <c r="B12" s="21" t="s">
        <v>38</v>
      </c>
      <c r="D12" s="24"/>
      <c r="E12" s="24"/>
      <c r="F12" s="24"/>
      <c r="G12" s="24"/>
      <c r="H12" s="24"/>
    </row>
    <row r="13" spans="2:12" x14ac:dyDescent="0.3">
      <c r="B13" t="s">
        <v>39</v>
      </c>
      <c r="D13" s="24">
        <v>-5702.1530000000002</v>
      </c>
      <c r="E13" s="24">
        <v>-7085</v>
      </c>
      <c r="F13" s="24">
        <v>-19265</v>
      </c>
      <c r="G13" s="24">
        <v>-34814</v>
      </c>
      <c r="H13" s="24">
        <v>-34474</v>
      </c>
      <c r="L13" t="s">
        <v>54</v>
      </c>
    </row>
    <row r="14" spans="2:12" x14ac:dyDescent="0.3">
      <c r="B14" t="s">
        <v>40</v>
      </c>
      <c r="D14" s="24">
        <v>-639.31100000000004</v>
      </c>
      <c r="E14" s="24">
        <v>-974</v>
      </c>
      <c r="F14" s="24">
        <v>-1622</v>
      </c>
      <c r="G14" s="24">
        <v>-2088</v>
      </c>
      <c r="H14" s="24">
        <v>-4159</v>
      </c>
    </row>
    <row r="15" spans="2:12" x14ac:dyDescent="0.3">
      <c r="B15" t="s">
        <v>41</v>
      </c>
      <c r="D15" s="24">
        <v>-2408.2829999999999</v>
      </c>
      <c r="E15" s="24">
        <v>-2656</v>
      </c>
      <c r="F15" s="24">
        <v>-4140</v>
      </c>
      <c r="G15" s="24">
        <v>-5443</v>
      </c>
      <c r="H15" s="24">
        <v>-3441</v>
      </c>
      <c r="L15" t="s">
        <v>55</v>
      </c>
    </row>
    <row r="16" spans="2:12" x14ac:dyDescent="0.3">
      <c r="B16" t="s">
        <v>27</v>
      </c>
      <c r="D16" s="24">
        <v>-179.97</v>
      </c>
      <c r="E16" s="24">
        <v>-163</v>
      </c>
      <c r="F16" s="24">
        <v>-212</v>
      </c>
      <c r="G16" s="24">
        <v>-415</v>
      </c>
      <c r="H16" s="24">
        <v>-411</v>
      </c>
      <c r="L16" t="s">
        <v>56</v>
      </c>
    </row>
    <row r="17" spans="2:12" x14ac:dyDescent="0.3">
      <c r="D17" s="25">
        <f>SUM(D13:D16)</f>
        <v>-8929.7169999999987</v>
      </c>
      <c r="E17" s="25">
        <f>SUM(E13:E16)</f>
        <v>-10878</v>
      </c>
      <c r="F17" s="25">
        <f>SUM(F13:F16)</f>
        <v>-25239</v>
      </c>
      <c r="G17" s="25">
        <f>SUM(G13:G16)</f>
        <v>-42760</v>
      </c>
      <c r="H17" s="25">
        <f>SUM(H13:H16)</f>
        <v>-42485</v>
      </c>
    </row>
    <row r="18" spans="2:12" x14ac:dyDescent="0.3">
      <c r="D18" s="24"/>
      <c r="E18" s="24"/>
      <c r="F18" s="24"/>
      <c r="G18" s="24"/>
      <c r="H18" s="24"/>
      <c r="L18" t="s">
        <v>73</v>
      </c>
    </row>
    <row r="19" spans="2:12" x14ac:dyDescent="0.3">
      <c r="B19" s="21" t="s">
        <v>44</v>
      </c>
      <c r="D19" s="24"/>
      <c r="E19" s="24"/>
      <c r="F19" s="24"/>
      <c r="G19" s="24"/>
      <c r="H19" s="24"/>
    </row>
    <row r="20" spans="2:12" x14ac:dyDescent="0.3">
      <c r="B20" t="s">
        <v>45</v>
      </c>
      <c r="D20" s="24">
        <v>1273.6020000000001</v>
      </c>
      <c r="E20" s="24">
        <v>1946</v>
      </c>
      <c r="F20" s="24">
        <v>3559</v>
      </c>
      <c r="G20" s="24">
        <v>4153</v>
      </c>
      <c r="H20" s="24">
        <v>4826</v>
      </c>
      <c r="L20" s="21" t="s">
        <v>57</v>
      </c>
    </row>
    <row r="21" spans="2:12" x14ac:dyDescent="0.3">
      <c r="B21" t="s">
        <v>46</v>
      </c>
      <c r="D21" s="24">
        <v>595.96</v>
      </c>
      <c r="E21" s="24">
        <v>853</v>
      </c>
      <c r="F21" s="24">
        <v>1459</v>
      </c>
      <c r="G21" s="24">
        <v>1544</v>
      </c>
      <c r="H21" s="24">
        <v>1732</v>
      </c>
    </row>
    <row r="22" spans="2:12" x14ac:dyDescent="0.3">
      <c r="B22" t="s">
        <v>27</v>
      </c>
      <c r="D22" s="24">
        <f>40.1199+912.248</f>
        <v>952.36790000000008</v>
      </c>
      <c r="E22" s="24">
        <v>1260</v>
      </c>
      <c r="F22" s="24">
        <v>2270</v>
      </c>
      <c r="G22" s="24">
        <v>3306</v>
      </c>
      <c r="H22" s="24">
        <v>4525</v>
      </c>
      <c r="L22" t="s">
        <v>58</v>
      </c>
    </row>
    <row r="23" spans="2:12" x14ac:dyDescent="0.3">
      <c r="D23" s="25">
        <f>SUM(D20:D22)</f>
        <v>2821.9299000000001</v>
      </c>
      <c r="E23" s="25">
        <f>SUM(E20:E22)</f>
        <v>4059</v>
      </c>
      <c r="F23" s="25">
        <f>SUM(F20:F22)</f>
        <v>7288</v>
      </c>
      <c r="G23" s="25">
        <f>SUM(G20:G22)</f>
        <v>9003</v>
      </c>
      <c r="H23" s="25">
        <f>SUM(H20:H22)</f>
        <v>11083</v>
      </c>
      <c r="L23" t="s">
        <v>59</v>
      </c>
    </row>
    <row r="24" spans="2:12" x14ac:dyDescent="0.3">
      <c r="L24" t="s">
        <v>60</v>
      </c>
    </row>
    <row r="25" spans="2:12" x14ac:dyDescent="0.3">
      <c r="B25" s="21" t="s">
        <v>77</v>
      </c>
      <c r="L25" t="s">
        <v>61</v>
      </c>
    </row>
    <row r="26" spans="2:12" x14ac:dyDescent="0.3">
      <c r="B26" t="s">
        <v>78</v>
      </c>
      <c r="D26" s="23">
        <v>537.83399999999995</v>
      </c>
      <c r="E26">
        <v>664</v>
      </c>
      <c r="F26">
        <v>1885</v>
      </c>
      <c r="G26">
        <v>2761</v>
      </c>
      <c r="H26">
        <v>3588</v>
      </c>
    </row>
    <row r="27" spans="2:12" x14ac:dyDescent="0.3">
      <c r="B27" t="s">
        <v>79</v>
      </c>
      <c r="D27" s="23">
        <v>93.406999999999996</v>
      </c>
      <c r="E27">
        <v>74</v>
      </c>
      <c r="F27">
        <v>115</v>
      </c>
      <c r="G27">
        <v>215</v>
      </c>
      <c r="H27">
        <v>400</v>
      </c>
      <c r="L27" t="s">
        <v>62</v>
      </c>
    </row>
    <row r="28" spans="2:12" x14ac:dyDescent="0.3">
      <c r="B28" s="21" t="s">
        <v>80</v>
      </c>
      <c r="D28" s="28">
        <f>SUM(D26:D27)</f>
        <v>631.24099999999999</v>
      </c>
      <c r="E28" s="21">
        <f t="shared" ref="E28:H28" si="0">SUM(E26:E27)</f>
        <v>738</v>
      </c>
      <c r="F28" s="21">
        <f t="shared" si="0"/>
        <v>2000</v>
      </c>
      <c r="G28" s="21">
        <f t="shared" si="0"/>
        <v>2976</v>
      </c>
      <c r="H28" s="21">
        <f t="shared" si="0"/>
        <v>3988</v>
      </c>
    </row>
    <row r="31" spans="2:12" x14ac:dyDescent="0.3">
      <c r="B31" s="21" t="s">
        <v>65</v>
      </c>
    </row>
    <row r="32" spans="2:12" x14ac:dyDescent="0.3">
      <c r="B32" t="s">
        <v>66</v>
      </c>
      <c r="D32" s="24">
        <v>5304.8119999999999</v>
      </c>
      <c r="E32" s="24">
        <v>5878</v>
      </c>
      <c r="F32" s="24">
        <v>7581</v>
      </c>
      <c r="G32" s="24">
        <v>11716</v>
      </c>
      <c r="H32" s="24">
        <v>13696</v>
      </c>
    </row>
    <row r="33" spans="2:8" x14ac:dyDescent="0.3">
      <c r="B33" t="s">
        <v>67</v>
      </c>
      <c r="D33" s="24">
        <v>831.19500000000005</v>
      </c>
      <c r="E33" s="24">
        <v>878</v>
      </c>
      <c r="F33" s="24">
        <v>1074</v>
      </c>
      <c r="G33" s="24">
        <v>1170</v>
      </c>
      <c r="H33" s="24">
        <v>1455</v>
      </c>
    </row>
    <row r="34" spans="2:8" x14ac:dyDescent="0.3">
      <c r="B34" t="s">
        <v>68</v>
      </c>
      <c r="D34" s="24">
        <v>276.56400000000002</v>
      </c>
      <c r="E34" s="24">
        <v>54</v>
      </c>
      <c r="F34" s="24">
        <v>69</v>
      </c>
      <c r="G34" s="24">
        <v>385</v>
      </c>
      <c r="H34" s="24">
        <v>519</v>
      </c>
    </row>
    <row r="35" spans="2:8" x14ac:dyDescent="0.3">
      <c r="B35" t="s">
        <v>69</v>
      </c>
      <c r="D35" s="24">
        <v>62.473999999999997</v>
      </c>
      <c r="E35" s="24">
        <v>194</v>
      </c>
      <c r="F35" s="24">
        <v>235</v>
      </c>
      <c r="G35" s="24">
        <v>76</v>
      </c>
      <c r="H35" s="24">
        <v>68</v>
      </c>
    </row>
    <row r="36" spans="2:8" x14ac:dyDescent="0.3">
      <c r="B36" s="21" t="s">
        <v>71</v>
      </c>
      <c r="D36" s="27">
        <f t="shared" ref="D36" si="1">SUM(D32:D35)</f>
        <v>6475.0450000000001</v>
      </c>
      <c r="E36" s="27">
        <f t="shared" ref="E36:F36" si="2">SUM(E32:E35)</f>
        <v>7004</v>
      </c>
      <c r="F36" s="27">
        <f t="shared" si="2"/>
        <v>8959</v>
      </c>
      <c r="G36" s="27">
        <f>SUM(G32:G35)</f>
        <v>13347</v>
      </c>
      <c r="H36" s="27">
        <f>SUM(H32:H35)</f>
        <v>15738</v>
      </c>
    </row>
    <row r="37" spans="2:8" x14ac:dyDescent="0.3">
      <c r="B37" t="s">
        <v>70</v>
      </c>
      <c r="D37" s="24">
        <v>-2639.2339999999999</v>
      </c>
      <c r="E37" s="24">
        <v>-2923</v>
      </c>
      <c r="F37" s="24">
        <v>-4086</v>
      </c>
      <c r="G37" s="24">
        <v>-6554</v>
      </c>
      <c r="H37" s="26">
        <v>-7706</v>
      </c>
    </row>
    <row r="38" spans="2:8" x14ac:dyDescent="0.3">
      <c r="B38" s="21" t="s">
        <v>72</v>
      </c>
      <c r="D38" s="27">
        <f t="shared" ref="D38:F38" si="3">SUM(D36:D37)</f>
        <v>3835.8110000000001</v>
      </c>
      <c r="E38" s="27">
        <f t="shared" si="3"/>
        <v>4081</v>
      </c>
      <c r="F38" s="27">
        <f t="shared" si="3"/>
        <v>4873</v>
      </c>
      <c r="G38" s="27">
        <f>SUM(G36:G37)</f>
        <v>6793</v>
      </c>
      <c r="H38" s="27">
        <f>SUM(H36:H37)</f>
        <v>8032</v>
      </c>
    </row>
    <row r="41" spans="2:8" x14ac:dyDescent="0.3">
      <c r="B41" t="s">
        <v>172</v>
      </c>
    </row>
    <row r="42" spans="2:8" x14ac:dyDescent="0.3">
      <c r="B42" t="s">
        <v>212</v>
      </c>
    </row>
    <row r="43" spans="2:8" x14ac:dyDescent="0.3">
      <c r="B43" t="s">
        <v>176</v>
      </c>
    </row>
    <row r="44" spans="2:8" x14ac:dyDescent="0.3">
      <c r="B44" t="s">
        <v>177</v>
      </c>
    </row>
    <row r="46" spans="2:8" x14ac:dyDescent="0.3">
      <c r="B46" t="s">
        <v>178</v>
      </c>
    </row>
    <row r="47" spans="2:8" x14ac:dyDescent="0.3">
      <c r="B47" t="s">
        <v>175</v>
      </c>
    </row>
    <row r="48" spans="2:8" x14ac:dyDescent="0.3">
      <c r="B48" t="s">
        <v>189</v>
      </c>
    </row>
    <row r="50" spans="2:2" x14ac:dyDescent="0.3">
      <c r="B50" t="s">
        <v>190</v>
      </c>
    </row>
    <row r="51" spans="2:2" x14ac:dyDescent="0.3">
      <c r="B51" t="s">
        <v>191</v>
      </c>
    </row>
    <row r="53" spans="2:2" x14ac:dyDescent="0.3">
      <c r="B53" t="s">
        <v>192</v>
      </c>
    </row>
    <row r="54" spans="2:2" x14ac:dyDescent="0.3">
      <c r="B54" t="s">
        <v>193</v>
      </c>
    </row>
    <row r="56" spans="2:2" x14ac:dyDescent="0.3">
      <c r="B56" t="s">
        <v>194</v>
      </c>
    </row>
    <row r="57" spans="2:2" x14ac:dyDescent="0.3">
      <c r="B57" t="s">
        <v>195</v>
      </c>
    </row>
    <row r="59" spans="2:2" x14ac:dyDescent="0.3">
      <c r="B59" t="s">
        <v>179</v>
      </c>
    </row>
    <row r="60" spans="2:2" x14ac:dyDescent="0.3">
      <c r="B60" t="s">
        <v>180</v>
      </c>
    </row>
    <row r="61" spans="2:2" x14ac:dyDescent="0.3">
      <c r="B61" t="s">
        <v>181</v>
      </c>
    </row>
    <row r="62" spans="2:2" x14ac:dyDescent="0.3">
      <c r="B62" t="s">
        <v>182</v>
      </c>
    </row>
    <row r="64" spans="2:2" x14ac:dyDescent="0.3">
      <c r="B64" t="s">
        <v>183</v>
      </c>
    </row>
    <row r="65" spans="2:2" x14ac:dyDescent="0.3">
      <c r="B65" t="s">
        <v>185</v>
      </c>
    </row>
    <row r="66" spans="2:2" x14ac:dyDescent="0.3">
      <c r="B66" t="s">
        <v>184</v>
      </c>
    </row>
    <row r="68" spans="2:2" x14ac:dyDescent="0.3">
      <c r="B68" t="s">
        <v>186</v>
      </c>
    </row>
    <row r="69" spans="2:2" x14ac:dyDescent="0.3">
      <c r="B69" t="s">
        <v>187</v>
      </c>
    </row>
    <row r="70" spans="2:2" x14ac:dyDescent="0.3">
      <c r="B70" t="s">
        <v>198</v>
      </c>
    </row>
    <row r="71" spans="2:2" x14ac:dyDescent="0.3">
      <c r="B71" t="s">
        <v>201</v>
      </c>
    </row>
    <row r="72" spans="2:2" x14ac:dyDescent="0.3">
      <c r="B72" t="s">
        <v>188</v>
      </c>
    </row>
    <row r="74" spans="2:2" x14ac:dyDescent="0.3">
      <c r="B74" t="s">
        <v>196</v>
      </c>
    </row>
    <row r="75" spans="2:2" x14ac:dyDescent="0.3">
      <c r="B75" t="s">
        <v>197</v>
      </c>
    </row>
    <row r="76" spans="2:2" x14ac:dyDescent="0.3">
      <c r="B76" t="s">
        <v>198</v>
      </c>
    </row>
    <row r="77" spans="2:2" x14ac:dyDescent="0.3">
      <c r="B77" t="s">
        <v>199</v>
      </c>
    </row>
    <row r="78" spans="2:2" x14ac:dyDescent="0.3">
      <c r="B78" t="s">
        <v>200</v>
      </c>
    </row>
    <row r="79" spans="2:2" x14ac:dyDescent="0.3">
      <c r="B79" t="s">
        <v>202</v>
      </c>
    </row>
  </sheetData>
  <pageMargins left="0.7" right="0.7" top="0.75" bottom="0.75" header="0.3" footer="0.3"/>
  <ignoredErrors>
    <ignoredError sqref="D11:H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Valuation</vt:lpstr>
      <vt:lpstr>52_week</vt:lpstr>
      <vt:lpstr>CoC</vt:lpstr>
      <vt:lpstr>Data</vt:lpstr>
      <vt:lpstr>coe</vt:lpstr>
      <vt:lpstr>tgr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2026-03-16T10:28:04Z</cp:lastPrinted>
  <dcterms:created xsi:type="dcterms:W3CDTF">2026-03-16T06:48:46Z</dcterms:created>
  <dcterms:modified xsi:type="dcterms:W3CDTF">2026-03-25T11:36:54Z</dcterms:modified>
</cp:coreProperties>
</file>