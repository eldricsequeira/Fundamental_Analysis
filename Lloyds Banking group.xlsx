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A7FAA980-04AB-4201-9428-5C6E2F0C35ED}" xr6:coauthVersionLast="47" xr6:coauthVersionMax="47" xr10:uidLastSave="{00000000-0000-0000-0000-000000000000}"/>
  <bookViews>
    <workbookView xWindow="-108" yWindow="-108" windowWidth="23256" windowHeight="13176" xr2:uid="{0AEE32DE-6197-472F-B8D9-F7B8C8A71249}"/>
  </bookViews>
  <sheets>
    <sheet name="Val" sheetId="1" r:id="rId1"/>
    <sheet name="CoC" sheetId="2" r:id="rId2"/>
  </sheets>
  <definedNames>
    <definedName name="cost_equity">Val!$D$32</definedName>
    <definedName name="Current_Ratio">Val!$D$28</definedName>
    <definedName name="shares_out">Val!$D$31</definedName>
    <definedName name="Targeted_ratio">Val!$I$25</definedName>
    <definedName name="terminal_grth">Val!$I$30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1" l="1"/>
  <c r="D22" i="2"/>
  <c r="I55" i="1"/>
  <c r="I53" i="1"/>
  <c r="I51" i="1"/>
  <c r="I52" i="1"/>
  <c r="N42" i="1"/>
  <c r="I43" i="1"/>
  <c r="D20" i="2"/>
  <c r="D19" i="2"/>
  <c r="I58" i="1"/>
  <c r="N52" i="1"/>
  <c r="E84" i="1"/>
  <c r="F84" i="1" s="1"/>
  <c r="G84" i="1" s="1"/>
  <c r="H84" i="1" s="1"/>
  <c r="E74" i="1"/>
  <c r="F74" i="1" s="1"/>
  <c r="G74" i="1" s="1"/>
  <c r="H74" i="1" s="1"/>
  <c r="K16" i="1"/>
  <c r="I57" i="1" l="1"/>
  <c r="K52" i="1"/>
  <c r="L52" i="1"/>
  <c r="M52" i="1"/>
  <c r="J51" i="1"/>
  <c r="K51" i="1" s="1"/>
  <c r="L51" i="1" s="1"/>
  <c r="M51" i="1" s="1"/>
  <c r="N51" i="1" s="1"/>
  <c r="N53" i="1" s="1"/>
  <c r="K11" i="1"/>
  <c r="D32" i="1"/>
  <c r="G16" i="2"/>
  <c r="F16" i="2"/>
  <c r="G15" i="2"/>
  <c r="F15" i="2"/>
  <c r="J53" i="1" l="1"/>
  <c r="J54" i="1" s="1"/>
  <c r="J59" i="1" s="1"/>
  <c r="L53" i="1"/>
  <c r="C87" i="1"/>
  <c r="C77" i="1"/>
  <c r="K53" i="1"/>
  <c r="M53" i="1"/>
  <c r="N54" i="1"/>
  <c r="L54" i="1"/>
  <c r="L59" i="1" s="1"/>
  <c r="N40" i="1"/>
  <c r="F40" i="1"/>
  <c r="G40" i="1"/>
  <c r="H40" i="1"/>
  <c r="I40" i="1"/>
  <c r="E40" i="1"/>
  <c r="J40" i="1" l="1"/>
  <c r="K40" i="1" s="1"/>
  <c r="L40" i="1" s="1"/>
  <c r="M40" i="1" s="1"/>
  <c r="I42" i="1"/>
  <c r="K54" i="1"/>
  <c r="K59" i="1" s="1"/>
  <c r="M54" i="1"/>
  <c r="M59" i="1" s="1"/>
  <c r="J37" i="1"/>
  <c r="F15" i="1"/>
  <c r="F9" i="1"/>
  <c r="K37" i="1" l="1"/>
  <c r="K58" i="1" s="1"/>
  <c r="K60" i="1" s="1"/>
  <c r="K63" i="1" s="1"/>
  <c r="J58" i="1"/>
  <c r="J60" i="1" s="1"/>
  <c r="J63" i="1" s="1"/>
  <c r="J39" i="1"/>
  <c r="J45" i="1" s="1"/>
  <c r="K39" i="1" l="1"/>
  <c r="K45" i="1" s="1"/>
  <c r="L37" i="1"/>
  <c r="L58" i="1" s="1"/>
  <c r="L60" i="1" s="1"/>
  <c r="L63" i="1" s="1"/>
  <c r="M37" i="1"/>
  <c r="L39" i="1"/>
  <c r="L45" i="1" s="1"/>
  <c r="N37" i="1" l="1"/>
  <c r="N58" i="1" s="1"/>
  <c r="N59" i="1" s="1"/>
  <c r="M58" i="1"/>
  <c r="M60" i="1" s="1"/>
  <c r="M63" i="1" s="1"/>
  <c r="M39" i="1"/>
  <c r="M45" i="1" s="1"/>
  <c r="N60" i="1" l="1"/>
  <c r="N62" i="1" s="1"/>
  <c r="N39" i="1"/>
  <c r="N44" i="1" s="1"/>
  <c r="N63" i="1" l="1"/>
  <c r="N45" i="1"/>
  <c r="I46" i="1" l="1"/>
  <c r="I48" i="1" s="1"/>
  <c r="I64" i="1" a="1"/>
  <c r="I64" i="1" s="1"/>
  <c r="I66" i="1" s="1"/>
  <c r="K10" i="1" l="1"/>
  <c r="K12" i="1" s="1"/>
  <c r="C74" i="1"/>
  <c r="K15" i="1"/>
  <c r="K17" i="1" s="1"/>
  <c r="C84" i="1"/>
</calcChain>
</file>

<file path=xl/sharedStrings.xml><?xml version="1.0" encoding="utf-8"?>
<sst xmlns="http://schemas.openxmlformats.org/spreadsheetml/2006/main" count="119" uniqueCount="88">
  <si>
    <t>Valuation</t>
  </si>
  <si>
    <t>Company Name:</t>
  </si>
  <si>
    <t>Ticker:</t>
  </si>
  <si>
    <t>Start Date:</t>
  </si>
  <si>
    <t>Date</t>
  </si>
  <si>
    <t>Implied Price per share:</t>
  </si>
  <si>
    <t>End Date:</t>
  </si>
  <si>
    <t>Current Share price:</t>
  </si>
  <si>
    <t>Year End:</t>
  </si>
  <si>
    <t>No. of Years:</t>
  </si>
  <si>
    <t>Years</t>
  </si>
  <si>
    <t>Days in an Year:</t>
  </si>
  <si>
    <t>Days</t>
  </si>
  <si>
    <t>Templete:</t>
  </si>
  <si>
    <t>Standard</t>
  </si>
  <si>
    <t>Currency:</t>
  </si>
  <si>
    <t>Period type:</t>
  </si>
  <si>
    <t>Annual</t>
  </si>
  <si>
    <t>Units:</t>
  </si>
  <si>
    <t>Source:</t>
  </si>
  <si>
    <t>Company Website</t>
  </si>
  <si>
    <t xml:space="preserve">Decimals: </t>
  </si>
  <si>
    <t>Default</t>
  </si>
  <si>
    <t>*</t>
  </si>
  <si>
    <t>LLOY</t>
  </si>
  <si>
    <t>Net Income</t>
  </si>
  <si>
    <t>Dividends</t>
  </si>
  <si>
    <t>Assumptions (31/12 CYE)</t>
  </si>
  <si>
    <r>
      <t xml:space="preserve">( in </t>
    </r>
    <r>
      <rPr>
        <sz val="10"/>
        <color theme="0"/>
        <rFont val="Arial"/>
        <family val="2"/>
      </rPr>
      <t>£</t>
    </r>
    <r>
      <rPr>
        <i/>
        <sz val="10"/>
        <color theme="0"/>
        <rFont val="Arial"/>
        <family val="2"/>
      </rPr>
      <t xml:space="preserve"> Million, except earnings per share and shares outstanding)</t>
    </r>
  </si>
  <si>
    <t>Payout Ratio</t>
  </si>
  <si>
    <t>Tier 1 Capital</t>
  </si>
  <si>
    <t>Book Value</t>
  </si>
  <si>
    <t>Risk-Adjusted Assets</t>
  </si>
  <si>
    <t>CET1 Ratio</t>
  </si>
  <si>
    <t>ROTE</t>
  </si>
  <si>
    <t>No of Shares Outstanding</t>
  </si>
  <si>
    <t>Cost of Equity</t>
  </si>
  <si>
    <t>Expected Growth for Asset Base</t>
  </si>
  <si>
    <t>Expected CET1 Ratio</t>
  </si>
  <si>
    <t xml:space="preserve">Expected ROTE </t>
  </si>
  <si>
    <t>Prob. of Failure / Regulatory Takeover</t>
  </si>
  <si>
    <t>Expected Earnings Growth Rate</t>
  </si>
  <si>
    <t>Terminal Value</t>
  </si>
  <si>
    <t>Comparable Companies in Banking &amp; Financials - with Market Cap over $ 50 Billion</t>
  </si>
  <si>
    <t>Company Name</t>
  </si>
  <si>
    <t>Share Price</t>
  </si>
  <si>
    <t xml:space="preserve">Revenue </t>
  </si>
  <si>
    <t>P / BV</t>
  </si>
  <si>
    <t xml:space="preserve">HSBC Holdings </t>
  </si>
  <si>
    <t xml:space="preserve">Barclays </t>
  </si>
  <si>
    <t>Natwest Group</t>
  </si>
  <si>
    <t>Deutsche Bank</t>
  </si>
  <si>
    <t>BNP Paribas</t>
  </si>
  <si>
    <t>Lloyds Banking</t>
  </si>
  <si>
    <t xml:space="preserve">Standard Chartered </t>
  </si>
  <si>
    <r>
      <t xml:space="preserve">(in </t>
    </r>
    <r>
      <rPr>
        <i/>
        <sz val="10"/>
        <color theme="1"/>
        <rFont val="Calibri"/>
        <family val="2"/>
      </rPr>
      <t>£</t>
    </r>
    <r>
      <rPr>
        <i/>
        <sz val="10"/>
        <color theme="1"/>
        <rFont val="Arial"/>
        <family val="2"/>
      </rPr>
      <t xml:space="preserve"> Billions, except Price per Share)</t>
    </r>
  </si>
  <si>
    <t>-</t>
  </si>
  <si>
    <t>Average</t>
  </si>
  <si>
    <t>Median</t>
  </si>
  <si>
    <t xml:space="preserve">Median P/BV </t>
  </si>
  <si>
    <t>Median ROTE</t>
  </si>
  <si>
    <t>Expected Growth Rate</t>
  </si>
  <si>
    <t>Valuation Models (31/12 CYE)</t>
  </si>
  <si>
    <t>Base Year</t>
  </si>
  <si>
    <t>Present Value</t>
  </si>
  <si>
    <t>Present Value of Equity</t>
  </si>
  <si>
    <t>No. of Shares</t>
  </si>
  <si>
    <t>Value of Share</t>
  </si>
  <si>
    <t>Dividend Discount Model</t>
  </si>
  <si>
    <t>Free Cash Flow to Equity</t>
  </si>
  <si>
    <t>Risk-Adjusted Asset</t>
  </si>
  <si>
    <t>Change in Regulatory Capial (Tier1)</t>
  </si>
  <si>
    <t>Bookvalue</t>
  </si>
  <si>
    <t>Less: Change in Regulatory Capital (Tier1)</t>
  </si>
  <si>
    <t>FCFE</t>
  </si>
  <si>
    <t>Sensitivity Analysis</t>
  </si>
  <si>
    <t>Terminal Growth Rate</t>
  </si>
  <si>
    <t>Expected Terminal Growth Rate</t>
  </si>
  <si>
    <t>Dividend Discount Model - Terminal Growth Rate to Cost of Equity</t>
  </si>
  <si>
    <t>Free Cash Flow to Equity - Terminal Growth Rate to Cost of Equity</t>
  </si>
  <si>
    <t>Overview</t>
  </si>
  <si>
    <t>Name</t>
  </si>
  <si>
    <t>EURO</t>
  </si>
  <si>
    <t>Delta %</t>
  </si>
  <si>
    <t>Lloyds Banking Group</t>
  </si>
  <si>
    <t>Millions</t>
  </si>
  <si>
    <t>Val. Using Dividend Discount Model</t>
  </si>
  <si>
    <t xml:space="preserve">Val. Using FCFE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</si>
</sst>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Red]\ 0%;[Blue]\ \(0%\);\-"/>
    <numFmt numFmtId="165" formatCode="0.0"/>
    <numFmt numFmtId="166" formatCode="#,##0;\(#,##0\);\-"/>
    <numFmt numFmtId="167" formatCode="0.0%"/>
    <numFmt numFmtId="168" formatCode="_-[$£-809]* #,##0.00_-;\-[$£-809]* #,##0.00_-;_-[$£-809]* &quot;-&quot;??_-;_-@_-"/>
    <numFmt numFmtId="169" formatCode="_-[$£-809]* #,##0_-;\-[$£-809]* #,##0_-;_-[$£-809]* &quot;-&quot;??_-;_-@_-"/>
    <numFmt numFmtId="170" formatCode="#,##0.00;\(#,##0.00\);\-"/>
    <numFmt numFmtId="171" formatCode="#,##0.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/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109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6" fillId="2" borderId="1" xfId="2" applyFont="1"/>
    <xf numFmtId="0" fontId="8" fillId="0" borderId="4" xfId="0" applyFont="1" applyBorder="1"/>
    <xf numFmtId="0" fontId="6" fillId="0" borderId="5" xfId="0" applyFont="1" applyBorder="1"/>
    <xf numFmtId="0" fontId="9" fillId="0" borderId="0" xfId="0" applyFont="1"/>
    <xf numFmtId="14" fontId="6" fillId="2" borderId="1" xfId="2" applyNumberFormat="1" applyFont="1"/>
    <xf numFmtId="165" fontId="6" fillId="2" borderId="1" xfId="2" applyNumberFormat="1" applyFont="1"/>
    <xf numFmtId="0" fontId="10" fillId="0" borderId="0" xfId="0" applyFont="1"/>
    <xf numFmtId="3" fontId="6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0" fontId="6" fillId="0" borderId="0" xfId="0" applyNumberFormat="1" applyFont="1"/>
    <xf numFmtId="9" fontId="6" fillId="0" borderId="0" xfId="0" applyNumberFormat="1" applyFont="1"/>
    <xf numFmtId="167" fontId="9" fillId="0" borderId="0" xfId="0" applyNumberFormat="1" applyFont="1"/>
    <xf numFmtId="10" fontId="9" fillId="0" borderId="0" xfId="0" applyNumberFormat="1" applyFont="1"/>
    <xf numFmtId="2" fontId="6" fillId="0" borderId="0" xfId="0" applyNumberFormat="1" applyFont="1"/>
    <xf numFmtId="0" fontId="8" fillId="0" borderId="7" xfId="0" applyFont="1" applyBorder="1"/>
    <xf numFmtId="0" fontId="6" fillId="0" borderId="9" xfId="0" applyFont="1" applyBorder="1"/>
    <xf numFmtId="169" fontId="6" fillId="0" borderId="0" xfId="0" applyNumberFormat="1" applyFont="1"/>
    <xf numFmtId="10" fontId="6" fillId="0" borderId="10" xfId="0" applyNumberFormat="1" applyFont="1" applyBorder="1"/>
    <xf numFmtId="0" fontId="6" fillId="0" borderId="10" xfId="0" applyFont="1" applyBorder="1"/>
    <xf numFmtId="0" fontId="6" fillId="0" borderId="2" xfId="0" applyFont="1" applyBorder="1"/>
    <xf numFmtId="0" fontId="6" fillId="0" borderId="4" xfId="0" applyFont="1" applyBorder="1"/>
    <xf numFmtId="169" fontId="6" fillId="0" borderId="5" xfId="0" applyNumberFormat="1" applyFont="1" applyBorder="1"/>
    <xf numFmtId="10" fontId="6" fillId="0" borderId="13" xfId="0" applyNumberFormat="1" applyFont="1" applyBorder="1"/>
    <xf numFmtId="0" fontId="8" fillId="0" borderId="5" xfId="0" applyFont="1" applyBorder="1"/>
    <xf numFmtId="0" fontId="8" fillId="0" borderId="13" xfId="0" applyFont="1" applyBorder="1"/>
    <xf numFmtId="0" fontId="6" fillId="0" borderId="7" xfId="0" applyFont="1" applyBorder="1"/>
    <xf numFmtId="2" fontId="6" fillId="0" borderId="7" xfId="0" applyNumberFormat="1" applyFont="1" applyBorder="1"/>
    <xf numFmtId="167" fontId="6" fillId="0" borderId="7" xfId="1" applyNumberFormat="1" applyFont="1" applyBorder="1"/>
    <xf numFmtId="2" fontId="6" fillId="0" borderId="2" xfId="0" applyNumberFormat="1" applyFont="1" applyBorder="1"/>
    <xf numFmtId="167" fontId="6" fillId="0" borderId="2" xfId="1" applyNumberFormat="1" applyFont="1" applyBorder="1"/>
    <xf numFmtId="0" fontId="8" fillId="0" borderId="2" xfId="0" applyFont="1" applyBorder="1"/>
    <xf numFmtId="10" fontId="8" fillId="0" borderId="5" xfId="1" applyNumberFormat="1" applyFont="1" applyBorder="1"/>
    <xf numFmtId="166" fontId="6" fillId="0" borderId="7" xfId="0" applyNumberFormat="1" applyFont="1" applyBorder="1"/>
    <xf numFmtId="166" fontId="6" fillId="0" borderId="2" xfId="0" applyNumberFormat="1" applyFont="1" applyBorder="1"/>
    <xf numFmtId="166" fontId="8" fillId="0" borderId="5" xfId="0" applyNumberFormat="1" applyFont="1" applyBorder="1"/>
    <xf numFmtId="171" fontId="6" fillId="0" borderId="0" xfId="0" applyNumberFormat="1" applyFont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168" fontId="6" fillId="0" borderId="10" xfId="0" applyNumberFormat="1" applyFont="1" applyBorder="1"/>
    <xf numFmtId="168" fontId="6" fillId="0" borderId="2" xfId="0" applyNumberFormat="1" applyFont="1" applyBorder="1"/>
    <xf numFmtId="168" fontId="6" fillId="0" borderId="12" xfId="0" applyNumberFormat="1" applyFont="1" applyBorder="1"/>
    <xf numFmtId="168" fontId="7" fillId="4" borderId="6" xfId="0" applyNumberFormat="1" applyFont="1" applyFill="1" applyBorder="1"/>
    <xf numFmtId="167" fontId="6" fillId="4" borderId="7" xfId="0" applyNumberFormat="1" applyFont="1" applyFill="1" applyBorder="1"/>
    <xf numFmtId="167" fontId="8" fillId="4" borderId="7" xfId="0" applyNumberFormat="1" applyFont="1" applyFill="1" applyBorder="1"/>
    <xf numFmtId="167" fontId="6" fillId="4" borderId="8" xfId="0" applyNumberFormat="1" applyFont="1" applyFill="1" applyBorder="1"/>
    <xf numFmtId="167" fontId="6" fillId="4" borderId="9" xfId="0" applyNumberFormat="1" applyFont="1" applyFill="1" applyBorder="1"/>
    <xf numFmtId="167" fontId="8" fillId="4" borderId="9" xfId="1" applyNumberFormat="1" applyFont="1" applyFill="1" applyBorder="1"/>
    <xf numFmtId="167" fontId="6" fillId="4" borderId="11" xfId="0" applyNumberFormat="1" applyFont="1" applyFill="1" applyBorder="1"/>
    <xf numFmtId="168" fontId="6" fillId="0" borderId="6" xfId="0" applyNumberFormat="1" applyFont="1" applyBorder="1"/>
    <xf numFmtId="168" fontId="6" fillId="0" borderId="7" xfId="0" applyNumberFormat="1" applyFont="1" applyBorder="1"/>
    <xf numFmtId="168" fontId="8" fillId="0" borderId="7" xfId="0" applyNumberFormat="1" applyFont="1" applyBorder="1"/>
    <xf numFmtId="168" fontId="6" fillId="0" borderId="8" xfId="0" applyNumberFormat="1" applyFont="1" applyBorder="1"/>
    <xf numFmtId="168" fontId="6" fillId="0" borderId="9" xfId="0" applyNumberFormat="1" applyFont="1" applyBorder="1"/>
    <xf numFmtId="168" fontId="8" fillId="0" borderId="9" xfId="0" applyNumberFormat="1" applyFont="1" applyBorder="1"/>
    <xf numFmtId="168" fontId="6" fillId="0" borderId="11" xfId="0" applyNumberFormat="1" applyFont="1" applyBorder="1"/>
    <xf numFmtId="168" fontId="8" fillId="0" borderId="2" xfId="0" applyNumberFormat="1" applyFont="1" applyBorder="1"/>
    <xf numFmtId="168" fontId="8" fillId="0" borderId="10" xfId="0" applyNumberFormat="1" applyFont="1" applyBorder="1"/>
    <xf numFmtId="168" fontId="6" fillId="4" borderId="6" xfId="0" applyNumberFormat="1" applyFont="1" applyFill="1" applyBorder="1"/>
    <xf numFmtId="168" fontId="8" fillId="4" borderId="7" xfId="0" applyNumberFormat="1" applyFont="1" applyFill="1" applyBorder="1"/>
    <xf numFmtId="168" fontId="6" fillId="4" borderId="8" xfId="0" applyNumberFormat="1" applyFont="1" applyFill="1" applyBorder="1"/>
    <xf numFmtId="168" fontId="8" fillId="4" borderId="9" xfId="0" applyNumberFormat="1" applyFont="1" applyFill="1" applyBorder="1"/>
    <xf numFmtId="168" fontId="8" fillId="4" borderId="10" xfId="0" applyNumberFormat="1" applyFont="1" applyFill="1" applyBorder="1"/>
    <xf numFmtId="168" fontId="6" fillId="4" borderId="11" xfId="0" applyNumberFormat="1" applyFont="1" applyFill="1" applyBorder="1"/>
    <xf numFmtId="168" fontId="8" fillId="4" borderId="2" xfId="0" applyNumberFormat="1" applyFont="1" applyFill="1" applyBorder="1"/>
    <xf numFmtId="168" fontId="6" fillId="4" borderId="12" xfId="0" applyNumberFormat="1" applyFont="1" applyFill="1" applyBorder="1"/>
    <xf numFmtId="168" fontId="8" fillId="4" borderId="3" xfId="0" applyNumberFormat="1" applyFont="1" applyFill="1" applyBorder="1"/>
    <xf numFmtId="0" fontId="8" fillId="0" borderId="11" xfId="0" applyFont="1" applyBorder="1"/>
    <xf numFmtId="3" fontId="6" fillId="0" borderId="9" xfId="0" applyNumberFormat="1" applyFont="1" applyBorder="1"/>
    <xf numFmtId="167" fontId="6" fillId="0" borderId="9" xfId="0" applyNumberFormat="1" applyFont="1" applyBorder="1"/>
    <xf numFmtId="166" fontId="6" fillId="0" borderId="9" xfId="0" applyNumberFormat="1" applyFont="1" applyBorder="1"/>
    <xf numFmtId="0" fontId="6" fillId="0" borderId="6" xfId="0" applyFont="1" applyBorder="1"/>
    <xf numFmtId="0" fontId="6" fillId="0" borderId="11" xfId="0" applyFont="1" applyBorder="1"/>
    <xf numFmtId="170" fontId="6" fillId="0" borderId="9" xfId="0" applyNumberFormat="1" applyFont="1" applyBorder="1"/>
    <xf numFmtId="168" fontId="8" fillId="0" borderId="4" xfId="0" applyNumberFormat="1" applyFont="1" applyBorder="1"/>
    <xf numFmtId="10" fontId="9" fillId="0" borderId="9" xfId="1" applyNumberFormat="1" applyFont="1" applyBorder="1"/>
    <xf numFmtId="10" fontId="6" fillId="0" borderId="9" xfId="0" applyNumberFormat="1" applyFont="1" applyBorder="1"/>
    <xf numFmtId="0" fontId="6" fillId="0" borderId="8" xfId="0" applyFont="1" applyBorder="1"/>
    <xf numFmtId="0" fontId="6" fillId="0" borderId="12" xfId="0" applyFont="1" applyBorder="1"/>
    <xf numFmtId="0" fontId="6" fillId="0" borderId="13" xfId="0" applyFont="1" applyBorder="1"/>
    <xf numFmtId="166" fontId="6" fillId="0" borderId="6" xfId="0" applyNumberFormat="1" applyFont="1" applyBorder="1"/>
    <xf numFmtId="167" fontId="9" fillId="0" borderId="2" xfId="1" applyNumberFormat="1" applyFont="1" applyBorder="1"/>
    <xf numFmtId="167" fontId="9" fillId="0" borderId="11" xfId="1" applyNumberFormat="1" applyFont="1" applyBorder="1"/>
    <xf numFmtId="167" fontId="6" fillId="0" borderId="2" xfId="0" applyNumberFormat="1" applyFont="1" applyBorder="1"/>
    <xf numFmtId="167" fontId="6" fillId="0" borderId="6" xfId="0" applyNumberFormat="1" applyFont="1" applyBorder="1"/>
    <xf numFmtId="3" fontId="6" fillId="0" borderId="6" xfId="0" applyNumberFormat="1" applyFont="1" applyBorder="1"/>
    <xf numFmtId="3" fontId="6" fillId="0" borderId="7" xfId="0" applyNumberFormat="1" applyFont="1" applyBorder="1"/>
    <xf numFmtId="167" fontId="6" fillId="0" borderId="0" xfId="1" applyNumberFormat="1" applyFont="1" applyBorder="1"/>
    <xf numFmtId="3" fontId="6" fillId="0" borderId="11" xfId="0" applyNumberFormat="1" applyFont="1" applyBorder="1"/>
    <xf numFmtId="0" fontId="10" fillId="0" borderId="0" xfId="0" applyFont="1" applyAlignment="1">
      <alignment horizontal="center"/>
    </xf>
    <xf numFmtId="0" fontId="4" fillId="3" borderId="9" xfId="0" applyFont="1" applyFill="1" applyBorder="1" applyAlignment="1">
      <alignment horizontal="center" vertical="center" textRotation="90"/>
    </xf>
    <xf numFmtId="0" fontId="4" fillId="3" borderId="11" xfId="0" applyFont="1" applyFill="1" applyBorder="1" applyAlignment="1">
      <alignment horizontal="center" vertical="center" textRotation="90"/>
    </xf>
    <xf numFmtId="0" fontId="6" fillId="2" borderId="1" xfId="2" applyFont="1" applyAlignment="1">
      <alignment horizontal="right"/>
    </xf>
    <xf numFmtId="0" fontId="10" fillId="0" borderId="5" xfId="0" applyFont="1" applyBorder="1"/>
    <xf numFmtId="0" fontId="10" fillId="0" borderId="13" xfId="0" applyFont="1" applyBorder="1"/>
    <xf numFmtId="0" fontId="6" fillId="0" borderId="0" xfId="0" applyFont="1" applyBorder="1"/>
    <xf numFmtId="168" fontId="6" fillId="2" borderId="14" xfId="2" applyNumberFormat="1" applyFont="1" applyBorder="1"/>
    <xf numFmtId="168" fontId="6" fillId="2" borderId="15" xfId="2" applyNumberFormat="1" applyFont="1" applyBorder="1"/>
    <xf numFmtId="164" fontId="6" fillId="2" borderId="16" xfId="2" applyNumberFormat="1" applyFont="1" applyBorder="1"/>
  </cellXfs>
  <cellStyles count="3">
    <cellStyle name="Normal" xfId="0" builtinId="0"/>
    <cellStyle name="Note" xfId="2" builtinId="1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0359-2B51-4D42-AB99-038E5EF9B301}">
  <dimension ref="A1:P89"/>
  <sheetViews>
    <sheetView showGridLines="0" tabSelected="1" workbookViewId="0">
      <selection activeCell="M72" sqref="M72"/>
    </sheetView>
  </sheetViews>
  <sheetFormatPr defaultRowHeight="13.2" outlineLevelRow="1" x14ac:dyDescent="0.25"/>
  <cols>
    <col min="1" max="1" width="2.88671875" style="5" customWidth="1"/>
    <col min="2" max="16" width="12.21875" style="6" customWidth="1"/>
    <col min="17" max="16384" width="8.88671875" style="6"/>
  </cols>
  <sheetData>
    <row r="1" spans="1:16" s="15" customFormat="1" ht="13.8" x14ac:dyDescent="0.25">
      <c r="A1" s="99"/>
      <c r="O1" s="6"/>
      <c r="P1" s="6"/>
    </row>
    <row r="2" spans="1:16" s="15" customFormat="1" ht="13.8" x14ac:dyDescent="0.25">
      <c r="A2" s="99"/>
      <c r="B2" s="1" t="s">
        <v>84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6"/>
      <c r="P2" s="6"/>
    </row>
    <row r="3" spans="1:16" s="15" customFormat="1" ht="13.8" x14ac:dyDescent="0.25">
      <c r="A3" s="99"/>
      <c r="B3" s="3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"/>
      <c r="P3" s="6"/>
    </row>
    <row r="4" spans="1:16" s="15" customFormat="1" ht="13.8" x14ac:dyDescent="0.25">
      <c r="A4" s="99"/>
      <c r="B4" s="4" t="s">
        <v>28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6"/>
      <c r="P4" s="6"/>
    </row>
    <row r="5" spans="1:16" s="15" customFormat="1" ht="13.8" x14ac:dyDescent="0.25">
      <c r="A5" s="99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P5" s="6"/>
    </row>
    <row r="6" spans="1:16" s="15" customFormat="1" ht="13.8" x14ac:dyDescent="0.25">
      <c r="A6" s="99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s="15" customFormat="1" ht="13.8" x14ac:dyDescent="0.25">
      <c r="A7" s="99" t="s">
        <v>23</v>
      </c>
      <c r="B7" s="3" t="s">
        <v>80</v>
      </c>
      <c r="C7" s="7"/>
      <c r="D7" s="7"/>
      <c r="E7" s="3" t="s">
        <v>18</v>
      </c>
      <c r="F7" s="7"/>
      <c r="G7" s="7"/>
      <c r="H7" s="7"/>
      <c r="I7" s="7"/>
      <c r="J7" s="7"/>
      <c r="K7" s="7"/>
      <c r="L7" s="7"/>
      <c r="M7" s="7"/>
      <c r="N7" s="7"/>
      <c r="O7" s="6"/>
      <c r="P7" s="6"/>
    </row>
    <row r="8" spans="1:16" s="15" customFormat="1" ht="13.8" x14ac:dyDescent="0.25">
      <c r="A8" s="99"/>
      <c r="B8" s="6"/>
      <c r="C8" s="6"/>
      <c r="D8" s="6"/>
      <c r="E8" s="6"/>
      <c r="F8" s="6"/>
      <c r="G8" s="6"/>
      <c r="H8" s="6"/>
      <c r="L8" s="6"/>
      <c r="M8" s="6"/>
      <c r="N8" s="6"/>
      <c r="O8" s="6"/>
      <c r="P8" s="6"/>
    </row>
    <row r="9" spans="1:16" s="15" customFormat="1" ht="13.8" x14ac:dyDescent="0.25">
      <c r="A9" s="99"/>
      <c r="B9" s="8" t="s">
        <v>1</v>
      </c>
      <c r="C9" s="8"/>
      <c r="D9" s="8"/>
      <c r="E9" s="12" t="s">
        <v>81</v>
      </c>
      <c r="F9" s="102" t="str">
        <f>B2</f>
        <v>Lloyds Banking Group</v>
      </c>
      <c r="G9" s="102"/>
      <c r="H9" s="6"/>
      <c r="I9" s="10" t="s">
        <v>86</v>
      </c>
      <c r="J9" s="103"/>
      <c r="K9" s="104"/>
      <c r="L9" s="6"/>
      <c r="O9" s="6"/>
      <c r="P9" s="6"/>
    </row>
    <row r="10" spans="1:16" s="15" customFormat="1" ht="13.8" x14ac:dyDescent="0.25">
      <c r="A10" s="99"/>
      <c r="B10" s="8" t="s">
        <v>2</v>
      </c>
      <c r="C10" s="8"/>
      <c r="D10" s="8"/>
      <c r="E10" s="12" t="s">
        <v>81</v>
      </c>
      <c r="F10" s="102" t="s">
        <v>24</v>
      </c>
      <c r="G10" s="102"/>
      <c r="H10" s="6"/>
      <c r="I10" s="25" t="s">
        <v>5</v>
      </c>
      <c r="J10" s="105"/>
      <c r="K10" s="106">
        <f>I48</f>
        <v>89.701759453770606</v>
      </c>
      <c r="L10" s="6"/>
      <c r="O10" s="6"/>
      <c r="P10" s="6"/>
    </row>
    <row r="11" spans="1:16" s="15" customFormat="1" ht="13.8" x14ac:dyDescent="0.25">
      <c r="A11" s="99"/>
      <c r="B11" s="6"/>
      <c r="C11" s="6"/>
      <c r="D11" s="6"/>
      <c r="E11" s="6"/>
      <c r="F11" s="6"/>
      <c r="G11" s="6"/>
      <c r="H11" s="6"/>
      <c r="I11" s="25" t="s">
        <v>7</v>
      </c>
      <c r="J11" s="105"/>
      <c r="K11" s="107">
        <f>CoC!C13</f>
        <v>95</v>
      </c>
      <c r="L11" s="6"/>
      <c r="O11" s="6"/>
      <c r="P11" s="6"/>
    </row>
    <row r="12" spans="1:16" s="15" customFormat="1" ht="13.8" x14ac:dyDescent="0.25">
      <c r="A12" s="99"/>
      <c r="B12" s="8" t="s">
        <v>3</v>
      </c>
      <c r="C12" s="6"/>
      <c r="D12" s="6"/>
      <c r="E12" s="12" t="s">
        <v>4</v>
      </c>
      <c r="F12" s="13">
        <v>44561</v>
      </c>
      <c r="G12" s="6"/>
      <c r="I12" s="82" t="s">
        <v>83</v>
      </c>
      <c r="J12" s="29"/>
      <c r="K12" s="108">
        <f>K10/K11-1</f>
        <v>-5.5770953118204125E-2</v>
      </c>
      <c r="L12" s="6"/>
      <c r="O12" s="6"/>
      <c r="P12" s="6"/>
    </row>
    <row r="13" spans="1:16" s="15" customFormat="1" ht="13.8" x14ac:dyDescent="0.25">
      <c r="A13" s="99"/>
      <c r="B13" s="8" t="s">
        <v>6</v>
      </c>
      <c r="C13" s="6"/>
      <c r="D13" s="6"/>
      <c r="E13" s="12" t="s">
        <v>4</v>
      </c>
      <c r="F13" s="13">
        <v>47848</v>
      </c>
      <c r="G13" s="6"/>
      <c r="L13" s="6"/>
      <c r="O13" s="6"/>
      <c r="P13" s="6"/>
    </row>
    <row r="14" spans="1:16" s="15" customFormat="1" ht="13.8" x14ac:dyDescent="0.25">
      <c r="A14" s="99"/>
      <c r="B14" s="8" t="s">
        <v>8</v>
      </c>
      <c r="C14" s="6"/>
      <c r="D14" s="6"/>
      <c r="E14" s="12" t="s">
        <v>4</v>
      </c>
      <c r="F14" s="13">
        <v>44561</v>
      </c>
      <c r="G14" s="6"/>
      <c r="I14" s="10" t="s">
        <v>87</v>
      </c>
      <c r="J14" s="103"/>
      <c r="K14" s="104"/>
      <c r="L14" s="6"/>
      <c r="O14" s="6"/>
      <c r="P14" s="6"/>
    </row>
    <row r="15" spans="1:16" s="15" customFormat="1" ht="13.8" x14ac:dyDescent="0.25">
      <c r="A15" s="99"/>
      <c r="B15" s="8" t="s">
        <v>9</v>
      </c>
      <c r="C15" s="6"/>
      <c r="D15" s="6"/>
      <c r="E15" s="12" t="s">
        <v>10</v>
      </c>
      <c r="F15" s="14">
        <f>YEARFRAC(F12,F13,1)</f>
        <v>9.000547645125959</v>
      </c>
      <c r="G15" s="6"/>
      <c r="I15" s="25" t="s">
        <v>5</v>
      </c>
      <c r="J15" s="105"/>
      <c r="K15" s="106">
        <f>I66</f>
        <v>108.6517505491487</v>
      </c>
      <c r="L15" s="6"/>
      <c r="O15" s="6"/>
      <c r="P15" s="6"/>
    </row>
    <row r="16" spans="1:16" s="15" customFormat="1" ht="13.8" x14ac:dyDescent="0.25">
      <c r="A16" s="99"/>
      <c r="B16" s="8" t="s">
        <v>11</v>
      </c>
      <c r="C16" s="6"/>
      <c r="D16" s="6"/>
      <c r="E16" s="12" t="s">
        <v>12</v>
      </c>
      <c r="F16" s="9">
        <v>365</v>
      </c>
      <c r="G16" s="6"/>
      <c r="I16" s="25" t="s">
        <v>7</v>
      </c>
      <c r="J16" s="105"/>
      <c r="K16" s="107">
        <f>CoC!C13</f>
        <v>95</v>
      </c>
      <c r="L16" s="6"/>
      <c r="O16" s="6"/>
      <c r="P16" s="6"/>
    </row>
    <row r="17" spans="1:16" s="15" customFormat="1" ht="13.8" x14ac:dyDescent="0.25">
      <c r="A17" s="99"/>
      <c r="B17" s="6"/>
      <c r="C17" s="6"/>
      <c r="D17" s="6"/>
      <c r="E17" s="6"/>
      <c r="F17" s="6"/>
      <c r="G17" s="6"/>
      <c r="I17" s="82" t="s">
        <v>83</v>
      </c>
      <c r="J17" s="29"/>
      <c r="K17" s="108">
        <f>K15/K16-1</f>
        <v>0.14370263735946009</v>
      </c>
      <c r="L17" s="6"/>
      <c r="O17" s="6"/>
      <c r="P17" s="6"/>
    </row>
    <row r="18" spans="1:16" s="15" customFormat="1" ht="13.8" x14ac:dyDescent="0.25">
      <c r="A18" s="99"/>
      <c r="B18" s="8" t="s">
        <v>13</v>
      </c>
      <c r="C18" s="6" t="s">
        <v>14</v>
      </c>
      <c r="D18" s="6"/>
      <c r="E18" s="8" t="s">
        <v>15</v>
      </c>
      <c r="F18" s="6" t="s">
        <v>82</v>
      </c>
      <c r="G18" s="6"/>
      <c r="K18" s="6"/>
      <c r="L18" s="6"/>
      <c r="O18" s="6"/>
      <c r="P18" s="6"/>
    </row>
    <row r="19" spans="1:16" s="15" customFormat="1" ht="13.8" x14ac:dyDescent="0.25">
      <c r="A19" s="99"/>
      <c r="B19" s="8" t="s">
        <v>16</v>
      </c>
      <c r="C19" s="6" t="s">
        <v>17</v>
      </c>
      <c r="D19" s="6"/>
      <c r="E19" s="8" t="s">
        <v>18</v>
      </c>
      <c r="F19" s="6" t="s">
        <v>85</v>
      </c>
      <c r="G19" s="6"/>
      <c r="K19" s="6"/>
      <c r="L19" s="6"/>
      <c r="O19" s="6"/>
      <c r="P19" s="6"/>
    </row>
    <row r="20" spans="1:16" s="15" customFormat="1" ht="13.8" x14ac:dyDescent="0.25">
      <c r="A20" s="99"/>
      <c r="B20" s="8" t="s">
        <v>19</v>
      </c>
      <c r="C20" s="6" t="s">
        <v>20</v>
      </c>
      <c r="D20" s="6"/>
      <c r="E20" s="8" t="s">
        <v>21</v>
      </c>
      <c r="F20" s="6" t="s">
        <v>22</v>
      </c>
      <c r="G20" s="6"/>
      <c r="K20" s="6"/>
      <c r="L20" s="6"/>
      <c r="M20" s="6"/>
      <c r="N20" s="6"/>
      <c r="O20" s="6"/>
      <c r="P20" s="6"/>
    </row>
    <row r="21" spans="1:16" s="15" customFormat="1" ht="13.8" x14ac:dyDescent="0.25">
      <c r="A21" s="99"/>
      <c r="K21" s="6"/>
      <c r="L21" s="6"/>
      <c r="M21" s="6"/>
      <c r="N21" s="6"/>
      <c r="O21" s="6"/>
      <c r="P21" s="6"/>
    </row>
    <row r="22" spans="1:16" s="15" customFormat="1" ht="13.8" x14ac:dyDescent="0.25">
      <c r="A22" s="99" t="s">
        <v>23</v>
      </c>
      <c r="B22" s="3" t="s">
        <v>27</v>
      </c>
      <c r="C22" s="7"/>
      <c r="D22" s="7"/>
      <c r="E22" s="7"/>
      <c r="F22" s="3"/>
      <c r="G22" s="3"/>
      <c r="H22" s="3"/>
      <c r="I22" s="3"/>
      <c r="J22" s="3"/>
      <c r="K22" s="3"/>
      <c r="L22" s="3"/>
      <c r="M22" s="3"/>
      <c r="N22" s="3"/>
      <c r="O22" s="6"/>
      <c r="P22" s="6"/>
    </row>
    <row r="24" spans="1:16" x14ac:dyDescent="0.25">
      <c r="B24" s="6" t="s">
        <v>30</v>
      </c>
      <c r="D24" s="16">
        <v>38053</v>
      </c>
      <c r="F24" s="6" t="s">
        <v>37</v>
      </c>
      <c r="I24" s="21">
        <v>0.03</v>
      </c>
    </row>
    <row r="25" spans="1:16" x14ac:dyDescent="0.25">
      <c r="B25" s="6" t="s">
        <v>31</v>
      </c>
      <c r="D25" s="16">
        <v>47867</v>
      </c>
      <c r="F25" s="6" t="s">
        <v>38</v>
      </c>
      <c r="I25" s="21">
        <v>0.15</v>
      </c>
    </row>
    <row r="26" spans="1:16" x14ac:dyDescent="0.25">
      <c r="B26" s="6" t="s">
        <v>32</v>
      </c>
      <c r="D26" s="16">
        <v>235500</v>
      </c>
      <c r="F26" s="6" t="s">
        <v>39</v>
      </c>
      <c r="I26" s="21">
        <v>0.13</v>
      </c>
    </row>
    <row r="27" spans="1:16" x14ac:dyDescent="0.25">
      <c r="I27" s="21"/>
    </row>
    <row r="28" spans="1:16" x14ac:dyDescent="0.25">
      <c r="B28" s="6" t="s">
        <v>33</v>
      </c>
      <c r="D28" s="21">
        <v>0.14000000000000001</v>
      </c>
      <c r="F28" s="6" t="s">
        <v>40</v>
      </c>
      <c r="I28" s="21">
        <v>0</v>
      </c>
    </row>
    <row r="29" spans="1:16" x14ac:dyDescent="0.25">
      <c r="B29" s="6" t="s">
        <v>34</v>
      </c>
      <c r="D29" s="22">
        <v>0.129</v>
      </c>
    </row>
    <row r="30" spans="1:16" x14ac:dyDescent="0.25">
      <c r="F30" s="6" t="s">
        <v>77</v>
      </c>
      <c r="I30" s="18">
        <v>0.05</v>
      </c>
    </row>
    <row r="31" spans="1:16" x14ac:dyDescent="0.25">
      <c r="B31" s="6" t="s">
        <v>35</v>
      </c>
      <c r="D31" s="45">
        <v>588.20000000000005</v>
      </c>
    </row>
    <row r="32" spans="1:16" x14ac:dyDescent="0.25">
      <c r="B32" s="6" t="s">
        <v>36</v>
      </c>
      <c r="D32" s="19">
        <f>CoC!D22</f>
        <v>0.10720456852791878</v>
      </c>
    </row>
    <row r="34" spans="1:14" ht="13.8" x14ac:dyDescent="0.25">
      <c r="A34" s="99" t="s">
        <v>23</v>
      </c>
      <c r="B34" s="3" t="s">
        <v>62</v>
      </c>
      <c r="C34" s="7"/>
      <c r="D34" s="7"/>
      <c r="E34" s="7"/>
      <c r="F34" s="3"/>
      <c r="G34" s="3"/>
      <c r="H34" s="3"/>
      <c r="I34" s="3"/>
      <c r="J34" s="3"/>
      <c r="K34" s="3"/>
      <c r="L34" s="3"/>
      <c r="M34" s="3"/>
      <c r="N34" s="3"/>
    </row>
    <row r="36" spans="1:14" hidden="1" outlineLevel="1" x14ac:dyDescent="0.25">
      <c r="A36" s="5" t="s">
        <v>56</v>
      </c>
      <c r="B36" s="40" t="s">
        <v>68</v>
      </c>
      <c r="C36" s="29"/>
      <c r="D36" s="29"/>
      <c r="E36" s="29"/>
      <c r="F36" s="29"/>
      <c r="G36" s="29"/>
      <c r="H36" s="29"/>
      <c r="I36" s="77" t="s">
        <v>63</v>
      </c>
      <c r="J36" s="40">
        <v>1</v>
      </c>
      <c r="K36" s="40">
        <v>2</v>
      </c>
      <c r="L36" s="40">
        <v>3</v>
      </c>
      <c r="M36" s="40">
        <v>4</v>
      </c>
      <c r="N36" s="40">
        <v>5</v>
      </c>
    </row>
    <row r="37" spans="1:14" hidden="1" outlineLevel="1" x14ac:dyDescent="0.25">
      <c r="B37" s="6" t="s">
        <v>25</v>
      </c>
      <c r="E37" s="17">
        <v>5885</v>
      </c>
      <c r="F37" s="17">
        <v>5555</v>
      </c>
      <c r="G37" s="17">
        <v>5518</v>
      </c>
      <c r="H37" s="17">
        <v>4477</v>
      </c>
      <c r="I37" s="80">
        <v>4757</v>
      </c>
      <c r="J37" s="17">
        <f>I37*(1+$I$42)</f>
        <v>5112.6529999999993</v>
      </c>
      <c r="K37" s="17">
        <f>J37*(1+$I$42)</f>
        <v>5494.8960896382159</v>
      </c>
      <c r="L37" s="17">
        <f>K37*(1+$I$42)</f>
        <v>5905.7172540208303</v>
      </c>
      <c r="M37" s="17">
        <f>L37*(1+$I$42)</f>
        <v>6347.2531082449777</v>
      </c>
      <c r="N37" s="17">
        <f>M37*(1+$N$42)</f>
        <v>6664.615763657227</v>
      </c>
    </row>
    <row r="38" spans="1:14" hidden="1" outlineLevel="1" x14ac:dyDescent="0.25">
      <c r="E38" s="17"/>
      <c r="F38" s="17"/>
      <c r="G38" s="17"/>
      <c r="H38" s="17"/>
      <c r="I38" s="80"/>
    </row>
    <row r="39" spans="1:14" hidden="1" outlineLevel="1" x14ac:dyDescent="0.25">
      <c r="B39" s="35" t="s">
        <v>26</v>
      </c>
      <c r="C39" s="35"/>
      <c r="D39" s="35"/>
      <c r="E39" s="42">
        <v>877</v>
      </c>
      <c r="F39" s="42">
        <v>1475</v>
      </c>
      <c r="G39" s="42">
        <v>1651</v>
      </c>
      <c r="H39" s="42">
        <v>1828</v>
      </c>
      <c r="I39" s="90">
        <v>2000</v>
      </c>
      <c r="J39" s="42">
        <f>J40*J37</f>
        <v>2149.5282741223459</v>
      </c>
      <c r="K39" s="42">
        <f t="shared" ref="K39:N39" si="0">K40*K37</f>
        <v>2310.2359006256952</v>
      </c>
      <c r="L39" s="42">
        <f t="shared" si="0"/>
        <v>2482.9586941437169</v>
      </c>
      <c r="M39" s="42">
        <f t="shared" si="0"/>
        <v>2668.5949582699086</v>
      </c>
      <c r="N39" s="42">
        <f t="shared" si="0"/>
        <v>4081.4313591389218</v>
      </c>
    </row>
    <row r="40" spans="1:14" hidden="1" outlineLevel="1" x14ac:dyDescent="0.25">
      <c r="B40" s="29" t="s">
        <v>29</v>
      </c>
      <c r="C40" s="29"/>
      <c r="D40" s="29"/>
      <c r="E40" s="91">
        <f>E39/E37</f>
        <v>0.14902293967714528</v>
      </c>
      <c r="F40" s="91">
        <f>F39/F37</f>
        <v>0.26552655265526554</v>
      </c>
      <c r="G40" s="91">
        <f>G39/G37</f>
        <v>0.29920260964117434</v>
      </c>
      <c r="H40" s="91">
        <f>H39/H37</f>
        <v>0.40830913558186288</v>
      </c>
      <c r="I40" s="92">
        <f>I39/I37</f>
        <v>0.42043304603741855</v>
      </c>
      <c r="J40" s="93">
        <f>I40</f>
        <v>0.42043304603741855</v>
      </c>
      <c r="K40" s="93">
        <f t="shared" ref="K40:M40" si="1">J40</f>
        <v>0.42043304603741855</v>
      </c>
      <c r="L40" s="93">
        <f>K40</f>
        <v>0.42043304603741855</v>
      </c>
      <c r="M40" s="93">
        <f t="shared" si="1"/>
        <v>0.42043304603741855</v>
      </c>
      <c r="N40" s="93">
        <f>1-N42/I43</f>
        <v>0.61240310077519378</v>
      </c>
    </row>
    <row r="41" spans="1:14" hidden="1" outlineLevel="1" x14ac:dyDescent="0.25">
      <c r="I41" s="25"/>
    </row>
    <row r="42" spans="1:14" hidden="1" outlineLevel="1" x14ac:dyDescent="0.25">
      <c r="B42" s="6" t="s">
        <v>41</v>
      </c>
      <c r="I42" s="85">
        <f>(1-I40)*D29</f>
        <v>7.4764137061173006E-2</v>
      </c>
      <c r="N42" s="20">
        <f>I30</f>
        <v>0.05</v>
      </c>
    </row>
    <row r="43" spans="1:14" hidden="1" outlineLevel="1" x14ac:dyDescent="0.25">
      <c r="B43" s="6" t="s">
        <v>34</v>
      </c>
      <c r="I43" s="86">
        <f>D29</f>
        <v>0.129</v>
      </c>
    </row>
    <row r="44" spans="1:14" hidden="1" outlineLevel="1" x14ac:dyDescent="0.25">
      <c r="B44" s="35" t="s">
        <v>42</v>
      </c>
      <c r="C44" s="35"/>
      <c r="D44" s="35"/>
      <c r="E44" s="35"/>
      <c r="F44" s="35"/>
      <c r="G44" s="35"/>
      <c r="H44" s="87"/>
      <c r="I44" s="81"/>
      <c r="J44" s="35"/>
      <c r="K44" s="35"/>
      <c r="L44" s="35"/>
      <c r="M44" s="35"/>
      <c r="N44" s="42">
        <f>N39/(cost_equity-terminal_grth)</f>
        <v>71347.996570360861</v>
      </c>
    </row>
    <row r="45" spans="1:14" hidden="1" outlineLevel="1" x14ac:dyDescent="0.25">
      <c r="B45" s="29" t="s">
        <v>64</v>
      </c>
      <c r="C45" s="29"/>
      <c r="D45" s="29"/>
      <c r="E45" s="29"/>
      <c r="F45" s="29"/>
      <c r="G45" s="29"/>
      <c r="H45" s="88"/>
      <c r="I45" s="82"/>
      <c r="J45" s="43">
        <f>J39/(1+cost_equity)^J36</f>
        <v>1941.4011965108184</v>
      </c>
      <c r="K45" s="43">
        <f>K39/(1+cost_equity)^K36</f>
        <v>1884.519302906818</v>
      </c>
      <c r="L45" s="43">
        <f>L39/(1+cost_equity)^L36</f>
        <v>1829.304014755515</v>
      </c>
      <c r="M45" s="43">
        <f>M39/(1+cost_equity)^M36</f>
        <v>1775.7065015141998</v>
      </c>
      <c r="N45" s="43">
        <f>(N39+N44)/(1+cost_equity)^N36</f>
        <v>45331.643895020519</v>
      </c>
    </row>
    <row r="46" spans="1:14" hidden="1" outlineLevel="1" x14ac:dyDescent="0.25">
      <c r="B46" s="6" t="s">
        <v>65</v>
      </c>
      <c r="I46" s="80">
        <f>SUM(J45:N45)</f>
        <v>52762.574910707874</v>
      </c>
    </row>
    <row r="47" spans="1:14" hidden="1" outlineLevel="1" x14ac:dyDescent="0.25">
      <c r="B47" s="6" t="s">
        <v>66</v>
      </c>
      <c r="I47" s="83">
        <v>588.20000000000005</v>
      </c>
    </row>
    <row r="48" spans="1:14" hidden="1" outlineLevel="1" x14ac:dyDescent="0.25">
      <c r="B48" s="33" t="s">
        <v>67</v>
      </c>
      <c r="C48" s="11"/>
      <c r="D48" s="11"/>
      <c r="E48" s="11"/>
      <c r="F48" s="11"/>
      <c r="G48" s="11"/>
      <c r="H48" s="11"/>
      <c r="I48" s="84">
        <f>I46/I47</f>
        <v>89.701759453770606</v>
      </c>
      <c r="J48" s="11"/>
      <c r="K48" s="11"/>
      <c r="L48" s="11"/>
      <c r="M48" s="11"/>
      <c r="N48" s="11"/>
    </row>
    <row r="49" spans="1:15" hidden="1" outlineLevel="1" x14ac:dyDescent="0.25">
      <c r="I49" s="25"/>
    </row>
    <row r="50" spans="1:15" hidden="1" outlineLevel="1" x14ac:dyDescent="0.25">
      <c r="A50" s="5" t="s">
        <v>56</v>
      </c>
      <c r="B50" s="40" t="s">
        <v>69</v>
      </c>
      <c r="C50" s="29"/>
      <c r="D50" s="29"/>
      <c r="E50" s="29"/>
      <c r="F50" s="29"/>
      <c r="G50" s="29"/>
      <c r="H50" s="29"/>
      <c r="I50" s="77" t="s">
        <v>63</v>
      </c>
      <c r="J50" s="40">
        <v>1</v>
      </c>
      <c r="K50" s="40">
        <v>2</v>
      </c>
      <c r="L50" s="40">
        <v>3</v>
      </c>
      <c r="M50" s="40">
        <v>4</v>
      </c>
      <c r="N50" s="40">
        <v>5</v>
      </c>
    </row>
    <row r="51" spans="1:15" hidden="1" outlineLevel="1" x14ac:dyDescent="0.25">
      <c r="B51" s="35" t="s">
        <v>70</v>
      </c>
      <c r="C51" s="35"/>
      <c r="D51" s="35"/>
      <c r="E51" s="35"/>
      <c r="F51" s="35"/>
      <c r="G51" s="35"/>
      <c r="H51" s="35"/>
      <c r="I51" s="95">
        <f>D26</f>
        <v>235500</v>
      </c>
      <c r="J51" s="96">
        <f>I51*(1+$I$24)</f>
        <v>242565</v>
      </c>
      <c r="K51" s="96">
        <f>J51*(1+$I$24)</f>
        <v>249841.95</v>
      </c>
      <c r="L51" s="96">
        <f>K51*(1+$I$24)</f>
        <v>257337.20850000001</v>
      </c>
      <c r="M51" s="96">
        <f>L51*(1+$I$24)</f>
        <v>265057.32475500001</v>
      </c>
      <c r="N51" s="96">
        <f>M51*(1+$I$24)</f>
        <v>273009.04449765</v>
      </c>
    </row>
    <row r="52" spans="1:15" hidden="1" outlineLevel="1" x14ac:dyDescent="0.25">
      <c r="B52" s="6" t="s">
        <v>33</v>
      </c>
      <c r="I52" s="79">
        <f>D28</f>
        <v>0.14000000000000001</v>
      </c>
      <c r="J52" s="97">
        <f>Current_Ratio+((Targeted_ratio-Current_Ratio)/5)</f>
        <v>0.14200000000000002</v>
      </c>
      <c r="K52" s="97">
        <f>Current_Ratio+((Targeted_ratio-Current_Ratio)/5)</f>
        <v>0.14200000000000002</v>
      </c>
      <c r="L52" s="97">
        <f>Current_Ratio+((Targeted_ratio-Current_Ratio)/5)</f>
        <v>0.14200000000000002</v>
      </c>
      <c r="M52" s="97">
        <f>Current_Ratio+((Targeted_ratio-Current_Ratio)/5)</f>
        <v>0.14200000000000002</v>
      </c>
      <c r="N52" s="97">
        <f>Targeted_ratio</f>
        <v>0.15</v>
      </c>
    </row>
    <row r="53" spans="1:15" hidden="1" outlineLevel="1" x14ac:dyDescent="0.25">
      <c r="B53" s="6" t="s">
        <v>30</v>
      </c>
      <c r="I53" s="78">
        <f>D24</f>
        <v>38053</v>
      </c>
      <c r="J53" s="16">
        <f>J51*J52</f>
        <v>34444.230000000003</v>
      </c>
      <c r="K53" s="16">
        <f t="shared" ref="K53:N53" si="2">K51*K52</f>
        <v>35477.556900000003</v>
      </c>
      <c r="L53" s="16">
        <f t="shared" si="2"/>
        <v>36541.883607000003</v>
      </c>
      <c r="M53" s="16">
        <f t="shared" si="2"/>
        <v>37638.140115210008</v>
      </c>
      <c r="N53" s="16">
        <f t="shared" si="2"/>
        <v>40951.356674647497</v>
      </c>
    </row>
    <row r="54" spans="1:15" hidden="1" outlineLevel="1" x14ac:dyDescent="0.25">
      <c r="B54" s="6" t="s">
        <v>71</v>
      </c>
      <c r="I54" s="25"/>
      <c r="J54" s="17">
        <f>J53-I53</f>
        <v>-3608.7699999999968</v>
      </c>
      <c r="K54" s="17">
        <f t="shared" ref="K54:N54" si="3">K53-J53</f>
        <v>1033.3269</v>
      </c>
      <c r="L54" s="17">
        <f>L53-K53</f>
        <v>1064.3267070000002</v>
      </c>
      <c r="M54" s="17">
        <f t="shared" si="3"/>
        <v>1096.2565082100045</v>
      </c>
      <c r="N54" s="17">
        <f t="shared" si="3"/>
        <v>3313.2165594374892</v>
      </c>
      <c r="O54" s="17"/>
    </row>
    <row r="55" spans="1:15" hidden="1" outlineLevel="1" x14ac:dyDescent="0.25">
      <c r="B55" s="29" t="s">
        <v>72</v>
      </c>
      <c r="C55" s="29"/>
      <c r="D55" s="29"/>
      <c r="E55" s="29"/>
      <c r="F55" s="29"/>
      <c r="G55" s="29"/>
      <c r="H55" s="29"/>
      <c r="I55" s="98">
        <f>D25</f>
        <v>47867</v>
      </c>
      <c r="J55" s="29"/>
      <c r="K55" s="29"/>
      <c r="L55" s="29"/>
      <c r="M55" s="29"/>
      <c r="N55" s="29"/>
    </row>
    <row r="56" spans="1:15" hidden="1" outlineLevel="1" x14ac:dyDescent="0.25">
      <c r="I56" s="25"/>
    </row>
    <row r="57" spans="1:15" hidden="1" outlineLevel="1" x14ac:dyDescent="0.25">
      <c r="B57" s="35" t="s">
        <v>34</v>
      </c>
      <c r="C57" s="35"/>
      <c r="D57" s="35"/>
      <c r="E57" s="35"/>
      <c r="F57" s="35"/>
      <c r="G57" s="35"/>
      <c r="H57" s="35"/>
      <c r="I57" s="94">
        <f>D29</f>
        <v>0.129</v>
      </c>
      <c r="J57" s="35"/>
      <c r="K57" s="35"/>
      <c r="L57" s="35"/>
      <c r="M57" s="35"/>
      <c r="N57" s="35"/>
    </row>
    <row r="58" spans="1:15" hidden="1" outlineLevel="1" x14ac:dyDescent="0.25">
      <c r="B58" s="6" t="s">
        <v>25</v>
      </c>
      <c r="I58" s="80">
        <f>I37</f>
        <v>4757</v>
      </c>
      <c r="J58" s="17">
        <f t="shared" ref="J58:N58" si="4">J37</f>
        <v>5112.6529999999993</v>
      </c>
      <c r="K58" s="17">
        <f t="shared" si="4"/>
        <v>5494.8960896382159</v>
      </c>
      <c r="L58" s="17">
        <f t="shared" si="4"/>
        <v>5905.7172540208303</v>
      </c>
      <c r="M58" s="17">
        <f t="shared" si="4"/>
        <v>6347.2531082449777</v>
      </c>
      <c r="N58" s="17">
        <f t="shared" si="4"/>
        <v>6664.615763657227</v>
      </c>
    </row>
    <row r="59" spans="1:15" hidden="1" outlineLevel="1" x14ac:dyDescent="0.25">
      <c r="B59" s="6" t="s">
        <v>73</v>
      </c>
      <c r="I59" s="80"/>
      <c r="J59" s="17">
        <f>J54</f>
        <v>-3608.7699999999968</v>
      </c>
      <c r="K59" s="17">
        <f t="shared" ref="K59:M59" si="5">K54</f>
        <v>1033.3269</v>
      </c>
      <c r="L59" s="17">
        <f t="shared" si="5"/>
        <v>1064.3267070000002</v>
      </c>
      <c r="M59" s="17">
        <f t="shared" si="5"/>
        <v>1096.2565082100045</v>
      </c>
      <c r="N59" s="17">
        <f>(terminal_grth/I57)*N58</f>
        <v>2583.1844045183052</v>
      </c>
    </row>
    <row r="60" spans="1:15" hidden="1" outlineLevel="1" x14ac:dyDescent="0.25">
      <c r="B60" s="33" t="s">
        <v>74</v>
      </c>
      <c r="C60" s="33"/>
      <c r="D60" s="33"/>
      <c r="E60" s="33"/>
      <c r="F60" s="33"/>
      <c r="G60" s="33"/>
      <c r="H60" s="34"/>
      <c r="I60" s="10"/>
      <c r="J60" s="44">
        <f>J58-J59</f>
        <v>8721.4229999999952</v>
      </c>
      <c r="K60" s="44">
        <f t="shared" ref="K60:N60" si="6">K58-K59</f>
        <v>4461.5691896382159</v>
      </c>
      <c r="L60" s="44">
        <f t="shared" si="6"/>
        <v>4841.3905470208301</v>
      </c>
      <c r="M60" s="44">
        <f t="shared" si="6"/>
        <v>5250.9966000349732</v>
      </c>
      <c r="N60" s="44">
        <f t="shared" si="6"/>
        <v>4081.4313591389218</v>
      </c>
    </row>
    <row r="61" spans="1:15" hidden="1" outlineLevel="1" x14ac:dyDescent="0.25">
      <c r="I61" s="25"/>
    </row>
    <row r="62" spans="1:15" hidden="1" outlineLevel="1" x14ac:dyDescent="0.25">
      <c r="B62" s="35" t="s">
        <v>42</v>
      </c>
      <c r="C62" s="35"/>
      <c r="D62" s="35"/>
      <c r="E62" s="35"/>
      <c r="F62" s="35"/>
      <c r="G62" s="35"/>
      <c r="H62" s="87"/>
      <c r="I62" s="81"/>
      <c r="J62" s="35"/>
      <c r="K62" s="35"/>
      <c r="L62" s="35"/>
      <c r="M62" s="35"/>
      <c r="N62" s="42">
        <f>N60/(cost_equity-terminal_grth)</f>
        <v>71347.996570360861</v>
      </c>
    </row>
    <row r="63" spans="1:15" hidden="1" outlineLevel="1" x14ac:dyDescent="0.25">
      <c r="B63" s="29" t="s">
        <v>64</v>
      </c>
      <c r="C63" s="29"/>
      <c r="D63" s="29"/>
      <c r="E63" s="29"/>
      <c r="F63" s="29"/>
      <c r="G63" s="29"/>
      <c r="H63" s="88"/>
      <c r="I63" s="82"/>
      <c r="J63" s="43">
        <f>J60/(1+cost_equity)^J50</f>
        <v>7876.9752653708265</v>
      </c>
      <c r="K63" s="43">
        <f>K60/(1+cost_equity)^K50</f>
        <v>3639.4176269403406</v>
      </c>
      <c r="L63" s="43">
        <f>L60/(1+cost_equity)^L50</f>
        <v>3566.8636717772097</v>
      </c>
      <c r="M63" s="43">
        <f>M60/(1+cost_equity)^M50</f>
        <v>3494.0592139003747</v>
      </c>
      <c r="N63" s="43">
        <f>(N60+N62)/(1+cost_equity)^N50</f>
        <v>45331.643895020519</v>
      </c>
    </row>
    <row r="64" spans="1:15" hidden="1" outlineLevel="1" x14ac:dyDescent="0.25">
      <c r="B64" s="6" t="s">
        <v>65</v>
      </c>
      <c r="I64" s="80">
        <f t="array" ref="I64">SUM(J63:N63)</f>
        <v>63908.959673009274</v>
      </c>
    </row>
    <row r="65" spans="1:14" hidden="1" outlineLevel="1" x14ac:dyDescent="0.25">
      <c r="B65" s="6" t="s">
        <v>66</v>
      </c>
      <c r="I65" s="83">
        <v>588.20000000000005</v>
      </c>
    </row>
    <row r="66" spans="1:14" hidden="1" outlineLevel="1" x14ac:dyDescent="0.25">
      <c r="B66" s="33" t="s">
        <v>67</v>
      </c>
      <c r="C66" s="11"/>
      <c r="D66" s="11"/>
      <c r="E66" s="11"/>
      <c r="F66" s="11"/>
      <c r="G66" s="11"/>
      <c r="H66" s="89"/>
      <c r="I66" s="84">
        <f>I64/I65</f>
        <v>108.6517505491487</v>
      </c>
      <c r="J66" s="11"/>
      <c r="K66" s="11"/>
      <c r="L66" s="11"/>
      <c r="M66" s="11"/>
      <c r="N66" s="11"/>
    </row>
    <row r="67" spans="1:14" collapsed="1" x14ac:dyDescent="0.25"/>
    <row r="69" spans="1:14" x14ac:dyDescent="0.25">
      <c r="A69" s="5" t="s">
        <v>23</v>
      </c>
      <c r="B69" s="40" t="s">
        <v>75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</row>
    <row r="71" spans="1:14" x14ac:dyDescent="0.25">
      <c r="B71" s="8" t="s">
        <v>78</v>
      </c>
    </row>
    <row r="73" spans="1:14" x14ac:dyDescent="0.25">
      <c r="B73" s="46"/>
      <c r="C73" s="47"/>
      <c r="D73" s="47" t="s">
        <v>76</v>
      </c>
      <c r="E73" s="47"/>
      <c r="F73" s="47"/>
      <c r="G73" s="47"/>
      <c r="H73" s="48"/>
    </row>
    <row r="74" spans="1:14" ht="13.2" customHeight="1" x14ac:dyDescent="0.25">
      <c r="B74" s="100" t="s">
        <v>36</v>
      </c>
      <c r="C74" s="52">
        <f>I48</f>
        <v>89.701759453770606</v>
      </c>
      <c r="D74" s="53">
        <v>0.03</v>
      </c>
      <c r="E74" s="53">
        <f>D74+1%</f>
        <v>0.04</v>
      </c>
      <c r="F74" s="54">
        <f t="shared" ref="F74:H74" si="7">E74+1%</f>
        <v>0.05</v>
      </c>
      <c r="G74" s="53">
        <f t="shared" si="7"/>
        <v>6.0000000000000005E-2</v>
      </c>
      <c r="H74" s="55">
        <f t="shared" si="7"/>
        <v>7.0000000000000007E-2</v>
      </c>
    </row>
    <row r="75" spans="1:14" x14ac:dyDescent="0.25">
      <c r="B75" s="100"/>
      <c r="C75" s="56">
        <v>0.12</v>
      </c>
      <c r="D75" s="59">
        <f t="dataTable" ref="D75:H79" dt2D="1" dtr="1" r1="I30" r2="D32" ca="1"/>
        <v>70.900719734806387</v>
      </c>
      <c r="E75" s="60">
        <v>71.593246024929755</v>
      </c>
      <c r="F75" s="61">
        <v>72.466142424886456</v>
      </c>
      <c r="G75" s="60">
        <v>73.614340571430944</v>
      </c>
      <c r="H75" s="62">
        <v>75.208717410721107</v>
      </c>
    </row>
    <row r="76" spans="1:14" x14ac:dyDescent="0.25">
      <c r="B76" s="100"/>
      <c r="C76" s="56">
        <v>0.11</v>
      </c>
      <c r="D76" s="63">
        <v>80.893195716446883</v>
      </c>
      <c r="E76" s="68">
        <v>82.792067941250139</v>
      </c>
      <c r="F76" s="69">
        <v>85.304205933788325</v>
      </c>
      <c r="G76" s="70">
        <v>88.803526289653476</v>
      </c>
      <c r="H76" s="49">
        <v>94.037862200029721</v>
      </c>
    </row>
    <row r="77" spans="1:14" x14ac:dyDescent="0.25">
      <c r="B77" s="100"/>
      <c r="C77" s="57">
        <f>cost_equity</f>
        <v>0.10720456852791878</v>
      </c>
      <c r="D77" s="64">
        <v>80.893195716446883</v>
      </c>
      <c r="E77" s="71">
        <v>82.792067941250139</v>
      </c>
      <c r="F77" s="76">
        <v>85.304205933788325</v>
      </c>
      <c r="G77" s="72">
        <v>88.803526289653476</v>
      </c>
      <c r="H77" s="67">
        <v>94.037862200029721</v>
      </c>
    </row>
    <row r="78" spans="1:14" x14ac:dyDescent="0.25">
      <c r="B78" s="100"/>
      <c r="C78" s="56">
        <v>0.09</v>
      </c>
      <c r="D78" s="63">
        <v>111.07338485871139</v>
      </c>
      <c r="E78" s="73">
        <v>118.80932278249182</v>
      </c>
      <c r="F78" s="74">
        <v>130.38631780315245</v>
      </c>
      <c r="G78" s="75">
        <v>149.65630049838566</v>
      </c>
      <c r="H78" s="49">
        <v>188.17506260126845</v>
      </c>
    </row>
    <row r="79" spans="1:14" x14ac:dyDescent="0.25">
      <c r="B79" s="101"/>
      <c r="C79" s="58">
        <v>0.08</v>
      </c>
      <c r="D79" s="65">
        <v>135.34808769618198</v>
      </c>
      <c r="E79" s="50">
        <v>150.44574114441394</v>
      </c>
      <c r="F79" s="66">
        <v>175.57471755949408</v>
      </c>
      <c r="G79" s="50">
        <v>225.7990808292092</v>
      </c>
      <c r="H79" s="51">
        <v>376.43915039249339</v>
      </c>
    </row>
    <row r="81" spans="2:8" x14ac:dyDescent="0.25">
      <c r="B81" s="8" t="s">
        <v>79</v>
      </c>
    </row>
    <row r="83" spans="2:8" x14ac:dyDescent="0.25">
      <c r="B83" s="46"/>
      <c r="C83" s="47"/>
      <c r="D83" s="47" t="s">
        <v>76</v>
      </c>
      <c r="E83" s="47"/>
      <c r="F83" s="47"/>
      <c r="G83" s="47"/>
      <c r="H83" s="48"/>
    </row>
    <row r="84" spans="2:8" x14ac:dyDescent="0.25">
      <c r="B84" s="100" t="s">
        <v>36</v>
      </c>
      <c r="C84" s="52">
        <f>I66</f>
        <v>108.6517505491487</v>
      </c>
      <c r="D84" s="53">
        <v>0.03</v>
      </c>
      <c r="E84" s="53">
        <f>D84+1%</f>
        <v>0.04</v>
      </c>
      <c r="F84" s="54">
        <f t="shared" ref="F84:H84" si="8">E84+1%</f>
        <v>0.05</v>
      </c>
      <c r="G84" s="53">
        <f t="shared" si="8"/>
        <v>6.0000000000000005E-2</v>
      </c>
      <c r="H84" s="55">
        <f t="shared" si="8"/>
        <v>7.0000000000000007E-2</v>
      </c>
    </row>
    <row r="85" spans="2:8" x14ac:dyDescent="0.25">
      <c r="B85" s="100"/>
      <c r="C85" s="56">
        <v>0.13</v>
      </c>
      <c r="D85" s="59">
        <f t="dataTable" ref="D85:H89" dt2D="1" dtr="1" r1="I30" r2="D32"/>
        <v>81.16792731187391</v>
      </c>
      <c r="E85" s="60">
        <v>81.137709488247694</v>
      </c>
      <c r="F85" s="61">
        <v>81.084159872589524</v>
      </c>
      <c r="G85" s="60">
        <v>81.001170760267144</v>
      </c>
      <c r="H85" s="62">
        <v>80.878562643560031</v>
      </c>
    </row>
    <row r="86" spans="2:8" x14ac:dyDescent="0.25">
      <c r="B86" s="100"/>
      <c r="C86" s="56">
        <v>0.12</v>
      </c>
      <c r="D86" s="63">
        <v>89.43632159202069</v>
      </c>
      <c r="E86" s="68">
        <v>90.128847882144058</v>
      </c>
      <c r="F86" s="69">
        <v>91.001744282100773</v>
      </c>
      <c r="G86" s="70">
        <v>92.149942428645261</v>
      </c>
      <c r="H86" s="49">
        <v>93.744319267935424</v>
      </c>
    </row>
    <row r="87" spans="2:8" x14ac:dyDescent="0.25">
      <c r="B87" s="100"/>
      <c r="C87" s="57">
        <f>cost_equity</f>
        <v>0.10720456852791878</v>
      </c>
      <c r="D87" s="64">
        <v>89.43632159202069</v>
      </c>
      <c r="E87" s="71">
        <v>90.128847882144058</v>
      </c>
      <c r="F87" s="76">
        <v>91.001744282100773</v>
      </c>
      <c r="G87" s="72">
        <v>92.149942428645261</v>
      </c>
      <c r="H87" s="67">
        <v>93.744319267935424</v>
      </c>
    </row>
    <row r="88" spans="2:8" x14ac:dyDescent="0.25">
      <c r="B88" s="100"/>
      <c r="C88" s="56">
        <v>0.09</v>
      </c>
      <c r="D88" s="63">
        <v>130.60853608002341</v>
      </c>
      <c r="E88" s="73">
        <v>138.34447400380384</v>
      </c>
      <c r="F88" s="74">
        <v>149.92146902446447</v>
      </c>
      <c r="G88" s="75">
        <v>169.19145171969768</v>
      </c>
      <c r="H88" s="49">
        <v>207.71021382258047</v>
      </c>
    </row>
    <row r="89" spans="2:8" x14ac:dyDescent="0.25">
      <c r="B89" s="101"/>
      <c r="C89" s="58">
        <v>0.08</v>
      </c>
      <c r="D89" s="65">
        <v>155.23902750389121</v>
      </c>
      <c r="E89" s="50">
        <v>170.3366809521232</v>
      </c>
      <c r="F89" s="66">
        <v>195.46565736720336</v>
      </c>
      <c r="G89" s="50">
        <v>245.69002063691852</v>
      </c>
      <c r="H89" s="51">
        <v>396.33009020020262</v>
      </c>
    </row>
  </sheetData>
  <mergeCells count="4">
    <mergeCell ref="B74:B79"/>
    <mergeCell ref="B84:B89"/>
    <mergeCell ref="F9:G9"/>
    <mergeCell ref="F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F075-8198-454D-91A5-7812E190CD4E}">
  <dimension ref="B2:G22"/>
  <sheetViews>
    <sheetView workbookViewId="0">
      <selection activeCell="D22" sqref="D22"/>
    </sheetView>
  </sheetViews>
  <sheetFormatPr defaultRowHeight="13.2" x14ac:dyDescent="0.25"/>
  <cols>
    <col min="1" max="1" width="2.88671875" style="6" customWidth="1"/>
    <col min="2" max="2" width="19" style="6" customWidth="1"/>
    <col min="3" max="3" width="11.109375" style="6" bestFit="1" customWidth="1"/>
    <col min="4" max="4" width="10.77734375" style="6" customWidth="1"/>
    <col min="5" max="5" width="10.77734375" style="6" bestFit="1" customWidth="1"/>
    <col min="6" max="7" width="10.44140625" style="6" customWidth="1"/>
    <col min="8" max="16384" width="8.88671875" style="6"/>
  </cols>
  <sheetData>
    <row r="2" spans="2:7" x14ac:dyDescent="0.25">
      <c r="B2" s="8" t="s">
        <v>43</v>
      </c>
    </row>
    <row r="3" spans="2:7" ht="13.8" x14ac:dyDescent="0.3">
      <c r="B3" s="12" t="s">
        <v>55</v>
      </c>
    </row>
    <row r="5" spans="2:7" x14ac:dyDescent="0.25">
      <c r="B5" s="10" t="s">
        <v>44</v>
      </c>
      <c r="C5" s="33" t="s">
        <v>45</v>
      </c>
      <c r="D5" s="33" t="s">
        <v>46</v>
      </c>
      <c r="E5" s="33" t="s">
        <v>25</v>
      </c>
      <c r="F5" s="33" t="s">
        <v>47</v>
      </c>
      <c r="G5" s="34" t="s">
        <v>34</v>
      </c>
    </row>
    <row r="6" spans="2:7" x14ac:dyDescent="0.25">
      <c r="B6" s="25" t="s">
        <v>48</v>
      </c>
      <c r="C6" s="26">
        <v>1192</v>
      </c>
      <c r="D6" s="6">
        <v>63.22</v>
      </c>
      <c r="E6" s="6">
        <v>21.1</v>
      </c>
      <c r="F6" s="6">
        <v>1.42</v>
      </c>
      <c r="G6" s="27">
        <v>0.1163</v>
      </c>
    </row>
    <row r="7" spans="2:7" x14ac:dyDescent="0.25">
      <c r="B7" s="25" t="s">
        <v>49</v>
      </c>
      <c r="C7" s="26">
        <v>389</v>
      </c>
      <c r="D7" s="6">
        <v>26.82</v>
      </c>
      <c r="E7" s="6">
        <v>6.18</v>
      </c>
      <c r="F7" s="6">
        <v>0.86</v>
      </c>
      <c r="G7" s="27">
        <v>9.5699999999999993E-2</v>
      </c>
    </row>
    <row r="8" spans="2:7" x14ac:dyDescent="0.25">
      <c r="B8" s="25" t="s">
        <v>50</v>
      </c>
      <c r="C8" s="26">
        <v>572</v>
      </c>
      <c r="D8" s="6">
        <v>15.97</v>
      </c>
      <c r="E8" s="6">
        <v>5.48</v>
      </c>
      <c r="F8" s="6">
        <v>1.23</v>
      </c>
      <c r="G8" s="27">
        <v>0.14230000000000001</v>
      </c>
    </row>
    <row r="9" spans="2:7" x14ac:dyDescent="0.25">
      <c r="B9" s="25" t="s">
        <v>51</v>
      </c>
      <c r="C9" s="26">
        <v>26</v>
      </c>
      <c r="D9" s="6">
        <v>29.73</v>
      </c>
      <c r="E9" s="6">
        <v>5.85</v>
      </c>
      <c r="F9" s="6">
        <v>0.82</v>
      </c>
      <c r="G9" s="27">
        <v>8.3000000000000004E-2</v>
      </c>
    </row>
    <row r="10" spans="2:7" x14ac:dyDescent="0.25">
      <c r="B10" s="25" t="s">
        <v>52</v>
      </c>
      <c r="C10" s="26">
        <v>32</v>
      </c>
      <c r="D10" s="6" t="s">
        <v>56</v>
      </c>
      <c r="E10" s="6" t="s">
        <v>56</v>
      </c>
      <c r="F10" s="6">
        <v>0.93</v>
      </c>
      <c r="G10" s="27">
        <v>0.18540000000000001</v>
      </c>
    </row>
    <row r="11" spans="2:7" x14ac:dyDescent="0.25">
      <c r="B11" s="25" t="s">
        <v>54</v>
      </c>
      <c r="C11" s="26">
        <v>1548</v>
      </c>
      <c r="D11" s="6">
        <v>20.27</v>
      </c>
      <c r="E11" s="6">
        <v>4.5599999999999996</v>
      </c>
      <c r="F11" s="6">
        <v>1.04</v>
      </c>
      <c r="G11" s="27">
        <v>9.6299999999999997E-2</v>
      </c>
    </row>
    <row r="12" spans="2:7" x14ac:dyDescent="0.25">
      <c r="B12" s="25"/>
      <c r="C12" s="26"/>
      <c r="G12" s="28"/>
    </row>
    <row r="13" spans="2:7" x14ac:dyDescent="0.25">
      <c r="B13" s="30" t="s">
        <v>53</v>
      </c>
      <c r="C13" s="31">
        <v>95</v>
      </c>
      <c r="D13" s="11">
        <v>18.63</v>
      </c>
      <c r="E13" s="11">
        <v>4.2</v>
      </c>
      <c r="F13" s="11">
        <v>1.27</v>
      </c>
      <c r="G13" s="32">
        <v>0.129</v>
      </c>
    </row>
    <row r="15" spans="2:7" x14ac:dyDescent="0.25">
      <c r="E15" s="24" t="s">
        <v>57</v>
      </c>
      <c r="F15" s="36">
        <f>AVERAGE(F6:F11)</f>
        <v>1.05</v>
      </c>
      <c r="G15" s="37">
        <f>AVERAGE(G6:G11)</f>
        <v>0.11983333333333335</v>
      </c>
    </row>
    <row r="16" spans="2:7" x14ac:dyDescent="0.25">
      <c r="E16" s="40" t="s">
        <v>58</v>
      </c>
      <c r="F16" s="38">
        <f>MEDIAN(F6:F11)</f>
        <v>0.9850000000000001</v>
      </c>
      <c r="G16" s="39">
        <f>MEDIAN(G6:G11)</f>
        <v>0.10630000000000001</v>
      </c>
    </row>
    <row r="18" spans="2:4" x14ac:dyDescent="0.25">
      <c r="B18" s="40" t="s">
        <v>36</v>
      </c>
      <c r="C18" s="29"/>
      <c r="D18" s="29"/>
    </row>
    <row r="19" spans="2:4" x14ac:dyDescent="0.25">
      <c r="B19" s="6" t="s">
        <v>59</v>
      </c>
      <c r="D19" s="23">
        <f>F16</f>
        <v>0.9850000000000001</v>
      </c>
    </row>
    <row r="20" spans="2:4" x14ac:dyDescent="0.25">
      <c r="B20" s="6" t="s">
        <v>60</v>
      </c>
      <c r="D20" s="18">
        <f>G16</f>
        <v>0.10630000000000001</v>
      </c>
    </row>
    <row r="21" spans="2:4" x14ac:dyDescent="0.25">
      <c r="B21" s="6" t="s">
        <v>61</v>
      </c>
      <c r="D21" s="19">
        <v>4.6899999999999997E-2</v>
      </c>
    </row>
    <row r="22" spans="2:4" x14ac:dyDescent="0.25">
      <c r="B22" s="33" t="s">
        <v>36</v>
      </c>
      <c r="C22" s="11"/>
      <c r="D22" s="41">
        <f>((D20-D21)/D19)+D21</f>
        <v>0.10720456852791878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Val</vt:lpstr>
      <vt:lpstr>CoC</vt:lpstr>
      <vt:lpstr>cost_equity</vt:lpstr>
      <vt:lpstr>Current_Ratio</vt:lpstr>
      <vt:lpstr>shares_out</vt:lpstr>
      <vt:lpstr>Targeted_ratio</vt:lpstr>
      <vt:lpstr>terminal_grth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2026-03-16T12:04:38Z</dcterms:created>
  <dcterms:modified xsi:type="dcterms:W3CDTF">2026-03-23T19:51:06Z</dcterms:modified>
</cp:coreProperties>
</file>