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B0D9D5DF-BC5F-4FB2-B80F-E60C04E277B4}" xr6:coauthVersionLast="47" xr6:coauthVersionMax="47" xr10:uidLastSave="{00000000-0000-0000-0000-000000000000}"/>
  <bookViews>
    <workbookView xWindow="-108" yWindow="-108" windowWidth="23256" windowHeight="13176" activeTab="2" xr2:uid="{B4CE939B-195F-4298-B50A-903F0D629C2F}"/>
  </bookViews>
  <sheets>
    <sheet name="Summary" sheetId="6" r:id="rId1"/>
    <sheet name="Comps" sheetId="4" r:id="rId2"/>
    <sheet name="DCF" sheetId="1" r:id="rId3"/>
    <sheet name="WACC" sheetId="3" r:id="rId4"/>
    <sheet name="Data-&gt;" sheetId="5" r:id="rId5"/>
    <sheet name="Input" sheetId="2" r:id="rId6"/>
  </sheets>
  <definedNames>
    <definedName name="scenario">DCF!$E$17</definedName>
    <definedName name="tgr">DCF!$E$22</definedName>
    <definedName name="wacc">DCF!$E$21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4" l="1"/>
  <c r="J30" i="4"/>
  <c r="Q176" i="1" l="1"/>
  <c r="R176" i="1" s="1"/>
  <c r="S176" i="1" s="1"/>
  <c r="P176" i="1"/>
  <c r="C9" i="6"/>
  <c r="L193" i="1"/>
  <c r="C11" i="6" s="1"/>
  <c r="D18" i="6" s="1" a="1"/>
  <c r="D18" i="6" s="1"/>
  <c r="L192" i="1"/>
  <c r="C10" i="6" s="1"/>
  <c r="L194" i="1"/>
  <c r="C12" i="6" s="1"/>
  <c r="C18" i="6" s="1" a="1"/>
  <c r="C18" i="6" s="1"/>
  <c r="L191" i="1"/>
  <c r="C237" i="1"/>
  <c r="C236" i="1" s="1"/>
  <c r="C233" i="1"/>
  <c r="C232" i="1" s="1"/>
  <c r="C231" i="1"/>
  <c r="C224" i="1"/>
  <c r="C223" i="1" s="1"/>
  <c r="C220" i="1"/>
  <c r="C219" i="1" s="1"/>
  <c r="C218" i="1"/>
  <c r="C211" i="1"/>
  <c r="C210" i="1"/>
  <c r="C207" i="1"/>
  <c r="C206" i="1" s="1"/>
  <c r="C205" i="1"/>
  <c r="H10" i="6"/>
  <c r="H11" i="6"/>
  <c r="H12" i="6"/>
  <c r="H9" i="6"/>
  <c r="D10" i="6"/>
  <c r="E10" i="6"/>
  <c r="F10" i="6"/>
  <c r="G10" i="6"/>
  <c r="D11" i="6"/>
  <c r="E11" i="6"/>
  <c r="F11" i="6"/>
  <c r="G11" i="6"/>
  <c r="D12" i="6"/>
  <c r="E12" i="6"/>
  <c r="F12" i="6"/>
  <c r="G12" i="6"/>
  <c r="E9" i="6"/>
  <c r="F9" i="6"/>
  <c r="G9" i="6"/>
  <c r="D42" i="4"/>
  <c r="D41" i="4"/>
  <c r="D40" i="4"/>
  <c r="D39" i="4"/>
  <c r="M11" i="4"/>
  <c r="N11" i="4"/>
  <c r="O11" i="4"/>
  <c r="P11" i="4"/>
  <c r="M12" i="4"/>
  <c r="N12" i="4"/>
  <c r="O12" i="4"/>
  <c r="P12" i="4"/>
  <c r="M13" i="4"/>
  <c r="N13" i="4"/>
  <c r="O13" i="4"/>
  <c r="P13" i="4"/>
  <c r="M14" i="4"/>
  <c r="N14" i="4"/>
  <c r="O14" i="4"/>
  <c r="P14" i="4"/>
  <c r="M15" i="4"/>
  <c r="N15" i="4"/>
  <c r="O15" i="4"/>
  <c r="P15" i="4"/>
  <c r="M16" i="4"/>
  <c r="N16" i="4"/>
  <c r="O16" i="4"/>
  <c r="P16" i="4"/>
  <c r="M17" i="4"/>
  <c r="N17" i="4"/>
  <c r="O17" i="4"/>
  <c r="P17" i="4"/>
  <c r="M18" i="4"/>
  <c r="N18" i="4"/>
  <c r="O18" i="4"/>
  <c r="P18" i="4"/>
  <c r="M19" i="4"/>
  <c r="N19" i="4"/>
  <c r="O19" i="4"/>
  <c r="P19" i="4"/>
  <c r="P10" i="4"/>
  <c r="O10" i="4"/>
  <c r="N10" i="4"/>
  <c r="M10" i="4"/>
  <c r="I19" i="4"/>
  <c r="I18" i="4"/>
  <c r="I17" i="4"/>
  <c r="I16" i="4"/>
  <c r="I15" i="4"/>
  <c r="I14" i="4"/>
  <c r="I13" i="4"/>
  <c r="I12" i="4"/>
  <c r="I11" i="4"/>
  <c r="I10" i="4"/>
  <c r="I9" i="4"/>
  <c r="G19" i="4"/>
  <c r="G18" i="4"/>
  <c r="G17" i="4"/>
  <c r="G16" i="4"/>
  <c r="G15" i="4"/>
  <c r="G14" i="4"/>
  <c r="G13" i="4"/>
  <c r="G12" i="4"/>
  <c r="G11" i="4"/>
  <c r="G10" i="4"/>
  <c r="G9" i="4"/>
  <c r="M22" i="1"/>
  <c r="E22" i="1" s="1"/>
  <c r="E10" i="3"/>
  <c r="S75" i="1"/>
  <c r="R75" i="1"/>
  <c r="Q75" i="1"/>
  <c r="P75" i="1"/>
  <c r="O75" i="1"/>
  <c r="S74" i="1"/>
  <c r="R74" i="1"/>
  <c r="Q74" i="1"/>
  <c r="P74" i="1"/>
  <c r="O74" i="1"/>
  <c r="S70" i="1"/>
  <c r="R70" i="1"/>
  <c r="Q70" i="1"/>
  <c r="P70" i="1"/>
  <c r="O70" i="1"/>
  <c r="S69" i="1"/>
  <c r="R69" i="1"/>
  <c r="Q69" i="1"/>
  <c r="P69" i="1"/>
  <c r="O69" i="1"/>
  <c r="S63" i="1"/>
  <c r="R63" i="1"/>
  <c r="Q63" i="1"/>
  <c r="P63" i="1"/>
  <c r="O63" i="1"/>
  <c r="S62" i="1"/>
  <c r="R62" i="1"/>
  <c r="Q62" i="1"/>
  <c r="P62" i="1"/>
  <c r="O62" i="1"/>
  <c r="S58" i="1"/>
  <c r="R58" i="1"/>
  <c r="Q58" i="1"/>
  <c r="P58" i="1"/>
  <c r="O58" i="1"/>
  <c r="S57" i="1"/>
  <c r="R57" i="1"/>
  <c r="Q57" i="1"/>
  <c r="P57" i="1"/>
  <c r="O57" i="1"/>
  <c r="S50" i="1"/>
  <c r="R50" i="1"/>
  <c r="Q50" i="1"/>
  <c r="P50" i="1"/>
  <c r="O50" i="1"/>
  <c r="S49" i="1"/>
  <c r="R49" i="1"/>
  <c r="Q49" i="1"/>
  <c r="P49" i="1"/>
  <c r="O49" i="1"/>
  <c r="S45" i="1"/>
  <c r="R45" i="1"/>
  <c r="Q45" i="1"/>
  <c r="P45" i="1"/>
  <c r="O45" i="1"/>
  <c r="S44" i="1"/>
  <c r="R44" i="1"/>
  <c r="Q44" i="1"/>
  <c r="P44" i="1"/>
  <c r="O44" i="1"/>
  <c r="S38" i="1"/>
  <c r="R38" i="1"/>
  <c r="Q38" i="1"/>
  <c r="P38" i="1"/>
  <c r="O38" i="1"/>
  <c r="S37" i="1"/>
  <c r="R37" i="1"/>
  <c r="Q37" i="1"/>
  <c r="P37" i="1"/>
  <c r="O37" i="1"/>
  <c r="P33" i="1"/>
  <c r="Q33" i="1"/>
  <c r="R33" i="1"/>
  <c r="S33" i="1"/>
  <c r="O33" i="1"/>
  <c r="P32" i="1"/>
  <c r="Q32" i="1"/>
  <c r="R32" i="1"/>
  <c r="S32" i="1"/>
  <c r="O32" i="1"/>
  <c r="O184" i="1"/>
  <c r="O182" i="1"/>
  <c r="C198" i="1"/>
  <c r="C197" i="1" s="1"/>
  <c r="C194" i="1" s="1"/>
  <c r="L8" i="3"/>
  <c r="E20" i="3"/>
  <c r="E22" i="3" s="1"/>
  <c r="E25" i="3" s="1"/>
  <c r="L11" i="3" s="1"/>
  <c r="P24" i="4" l="1"/>
  <c r="M33" i="4" s="1"/>
  <c r="Q33" i="4" s="1"/>
  <c r="U33" i="4" s="1"/>
  <c r="O24" i="4"/>
  <c r="L33" i="4" s="1"/>
  <c r="P33" i="4" s="1"/>
  <c r="T33" i="4" s="1"/>
  <c r="O21" i="4"/>
  <c r="L30" i="4" s="1"/>
  <c r="P30" i="4" s="1"/>
  <c r="T30" i="4" s="1"/>
  <c r="O22" i="4"/>
  <c r="L31" i="4" s="1"/>
  <c r="P31" i="4" s="1"/>
  <c r="T31" i="4" s="1"/>
  <c r="O23" i="4"/>
  <c r="N21" i="4"/>
  <c r="K30" i="4" s="1"/>
  <c r="O30" i="4" s="1"/>
  <c r="S30" i="4" s="1"/>
  <c r="N22" i="4"/>
  <c r="K31" i="4" s="1"/>
  <c r="O31" i="4" s="1"/>
  <c r="S31" i="4" s="1"/>
  <c r="N23" i="4"/>
  <c r="N24" i="4"/>
  <c r="K33" i="4" s="1"/>
  <c r="O33" i="4" s="1"/>
  <c r="S33" i="4" s="1"/>
  <c r="P23" i="4"/>
  <c r="N30" i="4"/>
  <c r="R30" i="4" s="1"/>
  <c r="D9" i="6" s="1"/>
  <c r="E18" i="6" s="1" a="1"/>
  <c r="E18" i="6" s="1"/>
  <c r="M22" i="4"/>
  <c r="J31" i="4" s="1"/>
  <c r="N31" i="4" s="1"/>
  <c r="R31" i="4" s="1"/>
  <c r="M23" i="4"/>
  <c r="P22" i="4"/>
  <c r="M31" i="4" s="1"/>
  <c r="Q31" i="4" s="1"/>
  <c r="U31" i="4" s="1"/>
  <c r="M24" i="4"/>
  <c r="J33" i="4" s="1"/>
  <c r="N33" i="4" s="1"/>
  <c r="R33" i="4" s="1"/>
  <c r="P21" i="4"/>
  <c r="M30" i="4" s="1"/>
  <c r="Q30" i="4" s="1"/>
  <c r="U30" i="4" s="1"/>
  <c r="C193" i="1"/>
  <c r="E11" i="3"/>
  <c r="M21" i="1" s="1"/>
  <c r="E21" i="1" s="1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M32" i="4" l="1"/>
  <c r="Q32" i="4" s="1"/>
  <c r="U32" i="4" s="1"/>
  <c r="K32" i="4"/>
  <c r="O32" i="4" s="1"/>
  <c r="S32" i="4" s="1"/>
  <c r="L32" i="4"/>
  <c r="P32" i="4" s="1"/>
  <c r="T32" i="4" s="1"/>
  <c r="J32" i="4"/>
  <c r="N32" i="4" s="1"/>
  <c r="R32" i="4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5" i="2"/>
  <c r="O168" i="1"/>
  <c r="P168" i="1"/>
  <c r="Q168" i="1"/>
  <c r="R168" i="1"/>
  <c r="S168" i="1"/>
  <c r="K165" i="1"/>
  <c r="L165" i="1" s="1"/>
  <c r="M165" i="1" s="1"/>
  <c r="N165" i="1" s="1"/>
  <c r="O165" i="1" s="1"/>
  <c r="P165" i="1" s="1"/>
  <c r="Q165" i="1" s="1"/>
  <c r="R165" i="1" s="1"/>
  <c r="S165" i="1" s="1"/>
  <c r="K161" i="1"/>
  <c r="L161" i="1"/>
  <c r="M161" i="1"/>
  <c r="N161" i="1"/>
  <c r="O161" i="1" s="1"/>
  <c r="P161" i="1" s="1"/>
  <c r="Q161" i="1" s="1"/>
  <c r="R161" i="1" s="1"/>
  <c r="S161" i="1" s="1"/>
  <c r="J161" i="1"/>
  <c r="L144" i="1"/>
  <c r="M144" i="1"/>
  <c r="N144" i="1"/>
  <c r="L147" i="1"/>
  <c r="M147" i="1"/>
  <c r="N147" i="1"/>
  <c r="L150" i="1"/>
  <c r="M150" i="1"/>
  <c r="N150" i="1"/>
  <c r="K150" i="1"/>
  <c r="K147" i="1"/>
  <c r="K144" i="1"/>
  <c r="K131" i="1"/>
  <c r="L131" i="1"/>
  <c r="M131" i="1"/>
  <c r="N131" i="1"/>
  <c r="J131" i="1"/>
  <c r="K134" i="1"/>
  <c r="L134" i="1"/>
  <c r="M134" i="1"/>
  <c r="N134" i="1"/>
  <c r="J134" i="1"/>
  <c r="F87" i="2"/>
  <c r="G87" i="2"/>
  <c r="H87" i="2"/>
  <c r="I87" i="2"/>
  <c r="E87" i="2"/>
  <c r="D87" i="2"/>
  <c r="C87" i="2"/>
  <c r="B87" i="2"/>
  <c r="N137" i="1" l="1"/>
  <c r="J137" i="1"/>
  <c r="M153" i="1"/>
  <c r="K153" i="1"/>
  <c r="M137" i="1"/>
  <c r="L137" i="1"/>
  <c r="K137" i="1"/>
  <c r="N153" i="1"/>
  <c r="N154" i="1" s="1"/>
  <c r="M145" i="1"/>
  <c r="L145" i="1"/>
  <c r="L153" i="1"/>
  <c r="S110" i="1"/>
  <c r="R110" i="1"/>
  <c r="Q110" i="1"/>
  <c r="P110" i="1"/>
  <c r="O110" i="1"/>
  <c r="S105" i="1"/>
  <c r="R105" i="1"/>
  <c r="Q105" i="1"/>
  <c r="P105" i="1"/>
  <c r="O105" i="1"/>
  <c r="S97" i="1"/>
  <c r="R97" i="1"/>
  <c r="Q97" i="1"/>
  <c r="P97" i="1"/>
  <c r="O97" i="1"/>
  <c r="S92" i="1"/>
  <c r="R92" i="1"/>
  <c r="Q92" i="1"/>
  <c r="P92" i="1"/>
  <c r="O92" i="1"/>
  <c r="S85" i="1"/>
  <c r="R85" i="1"/>
  <c r="Q85" i="1"/>
  <c r="P85" i="1"/>
  <c r="O85" i="1"/>
  <c r="S80" i="1"/>
  <c r="R80" i="1"/>
  <c r="Q80" i="1"/>
  <c r="P80" i="1"/>
  <c r="O80" i="1"/>
  <c r="S72" i="1"/>
  <c r="R72" i="1"/>
  <c r="Q72" i="1"/>
  <c r="P72" i="1"/>
  <c r="O72" i="1"/>
  <c r="S67" i="1"/>
  <c r="R67" i="1"/>
  <c r="Q67" i="1"/>
  <c r="P67" i="1"/>
  <c r="O67" i="1"/>
  <c r="S60" i="1"/>
  <c r="R60" i="1"/>
  <c r="Q60" i="1"/>
  <c r="P60" i="1"/>
  <c r="O60" i="1"/>
  <c r="S55" i="1"/>
  <c r="R55" i="1"/>
  <c r="Q55" i="1"/>
  <c r="P55" i="1"/>
  <c r="O55" i="1"/>
  <c r="S47" i="1"/>
  <c r="R47" i="1"/>
  <c r="Q47" i="1"/>
  <c r="P47" i="1"/>
  <c r="O47" i="1"/>
  <c r="S42" i="1"/>
  <c r="R42" i="1"/>
  <c r="Q42" i="1"/>
  <c r="P42" i="1"/>
  <c r="O42" i="1"/>
  <c r="S35" i="1"/>
  <c r="R35" i="1"/>
  <c r="Q35" i="1"/>
  <c r="P35" i="1"/>
  <c r="O35" i="1"/>
  <c r="P30" i="1"/>
  <c r="Q30" i="1"/>
  <c r="R30" i="1"/>
  <c r="S30" i="1"/>
  <c r="O30" i="1"/>
  <c r="J34" i="1"/>
  <c r="K34" i="1"/>
  <c r="L34" i="1"/>
  <c r="M34" i="1"/>
  <c r="N34" i="1"/>
  <c r="J39" i="1"/>
  <c r="K39" i="1"/>
  <c r="L39" i="1"/>
  <c r="M39" i="1"/>
  <c r="N39" i="1"/>
  <c r="J41" i="1"/>
  <c r="K41" i="1"/>
  <c r="L41" i="1"/>
  <c r="M41" i="1"/>
  <c r="N41" i="1"/>
  <c r="J46" i="1"/>
  <c r="K46" i="1"/>
  <c r="L46" i="1"/>
  <c r="M46" i="1"/>
  <c r="N46" i="1"/>
  <c r="J51" i="1"/>
  <c r="K51" i="1"/>
  <c r="L51" i="1"/>
  <c r="M51" i="1"/>
  <c r="N51" i="1"/>
  <c r="J54" i="1"/>
  <c r="K54" i="1"/>
  <c r="L54" i="1"/>
  <c r="M54" i="1"/>
  <c r="N54" i="1"/>
  <c r="J59" i="1"/>
  <c r="K59" i="1"/>
  <c r="L59" i="1"/>
  <c r="M59" i="1"/>
  <c r="N59" i="1"/>
  <c r="J64" i="1"/>
  <c r="K64" i="1"/>
  <c r="L64" i="1"/>
  <c r="M64" i="1"/>
  <c r="N64" i="1"/>
  <c r="J66" i="1"/>
  <c r="K66" i="1"/>
  <c r="L66" i="1"/>
  <c r="M66" i="1"/>
  <c r="N66" i="1"/>
  <c r="J71" i="1"/>
  <c r="K71" i="1"/>
  <c r="L71" i="1"/>
  <c r="M71" i="1"/>
  <c r="N71" i="1"/>
  <c r="J76" i="1"/>
  <c r="K76" i="1"/>
  <c r="L76" i="1"/>
  <c r="M76" i="1"/>
  <c r="N76" i="1"/>
  <c r="J79" i="1"/>
  <c r="K79" i="1"/>
  <c r="K80" i="1" s="1"/>
  <c r="L79" i="1"/>
  <c r="M79" i="1"/>
  <c r="N79" i="1"/>
  <c r="J84" i="1"/>
  <c r="K84" i="1"/>
  <c r="L84" i="1"/>
  <c r="M84" i="1"/>
  <c r="N84" i="1"/>
  <c r="J89" i="1"/>
  <c r="K89" i="1"/>
  <c r="L89" i="1"/>
  <c r="M89" i="1"/>
  <c r="N89" i="1"/>
  <c r="J91" i="1"/>
  <c r="K91" i="1"/>
  <c r="L91" i="1"/>
  <c r="M91" i="1"/>
  <c r="N91" i="1"/>
  <c r="J96" i="1"/>
  <c r="K96" i="1"/>
  <c r="L96" i="1"/>
  <c r="M96" i="1"/>
  <c r="N96" i="1"/>
  <c r="J101" i="1"/>
  <c r="K101" i="1"/>
  <c r="L101" i="1"/>
  <c r="M101" i="1"/>
  <c r="N101" i="1"/>
  <c r="J104" i="1"/>
  <c r="K104" i="1"/>
  <c r="L104" i="1"/>
  <c r="M104" i="1"/>
  <c r="N104" i="1"/>
  <c r="J109" i="1"/>
  <c r="K109" i="1"/>
  <c r="L109" i="1"/>
  <c r="L110" i="1" s="1"/>
  <c r="M109" i="1"/>
  <c r="N109" i="1"/>
  <c r="J114" i="1"/>
  <c r="K114" i="1"/>
  <c r="L114" i="1"/>
  <c r="M114" i="1"/>
  <c r="N114" i="1"/>
  <c r="J117" i="1"/>
  <c r="K117" i="1"/>
  <c r="L117" i="1"/>
  <c r="M117" i="1"/>
  <c r="N117" i="1"/>
  <c r="N118" i="1" s="1"/>
  <c r="J119" i="1"/>
  <c r="K119" i="1"/>
  <c r="L119" i="1"/>
  <c r="M119" i="1"/>
  <c r="N119" i="1"/>
  <c r="J121" i="1"/>
  <c r="K121" i="1"/>
  <c r="L121" i="1"/>
  <c r="M121" i="1"/>
  <c r="N121" i="1"/>
  <c r="N145" i="1" s="1"/>
  <c r="O145" i="1" s="1"/>
  <c r="P145" i="1" s="1"/>
  <c r="Q145" i="1" s="1"/>
  <c r="R145" i="1" s="1"/>
  <c r="S145" i="1" s="1"/>
  <c r="J124" i="1"/>
  <c r="K124" i="1"/>
  <c r="K148" i="1" s="1"/>
  <c r="L124" i="1"/>
  <c r="L151" i="1" s="1"/>
  <c r="M124" i="1"/>
  <c r="N124" i="1"/>
  <c r="N151" i="1" s="1"/>
  <c r="O151" i="1" s="1"/>
  <c r="P151" i="1" s="1"/>
  <c r="Q151" i="1" s="1"/>
  <c r="R151" i="1" s="1"/>
  <c r="S151" i="1" s="1"/>
  <c r="J126" i="1"/>
  <c r="K126" i="1"/>
  <c r="L126" i="1"/>
  <c r="M126" i="1"/>
  <c r="N126" i="1"/>
  <c r="J128" i="1"/>
  <c r="K128" i="1"/>
  <c r="K129" i="1" s="1"/>
  <c r="L128" i="1"/>
  <c r="M128" i="1"/>
  <c r="M129" i="1" s="1"/>
  <c r="N128" i="1"/>
  <c r="K29" i="1"/>
  <c r="L29" i="1"/>
  <c r="M29" i="1"/>
  <c r="N29" i="1"/>
  <c r="J29" i="1"/>
  <c r="P61" i="2"/>
  <c r="P52" i="2"/>
  <c r="P43" i="2"/>
  <c r="P60" i="2"/>
  <c r="P51" i="2"/>
  <c r="P42" i="2"/>
  <c r="P57" i="2"/>
  <c r="P48" i="2"/>
  <c r="P39" i="2"/>
  <c r="N138" i="1" l="1"/>
  <c r="L118" i="1"/>
  <c r="K138" i="1"/>
  <c r="K127" i="1"/>
  <c r="L154" i="1"/>
  <c r="L138" i="1"/>
  <c r="M138" i="1"/>
  <c r="M154" i="1"/>
  <c r="K132" i="1"/>
  <c r="K158" i="1"/>
  <c r="J132" i="1"/>
  <c r="J158" i="1"/>
  <c r="K145" i="1"/>
  <c r="M148" i="1"/>
  <c r="M151" i="1"/>
  <c r="K125" i="1"/>
  <c r="K151" i="1"/>
  <c r="N122" i="1"/>
  <c r="N132" i="1"/>
  <c r="O132" i="1" s="1"/>
  <c r="P132" i="1" s="1"/>
  <c r="Q132" i="1" s="1"/>
  <c r="R132" i="1" s="1"/>
  <c r="S132" i="1" s="1"/>
  <c r="N158" i="1"/>
  <c r="O158" i="1" s="1"/>
  <c r="P158" i="1" s="1"/>
  <c r="Q158" i="1" s="1"/>
  <c r="R158" i="1" s="1"/>
  <c r="S158" i="1" s="1"/>
  <c r="M132" i="1"/>
  <c r="M158" i="1"/>
  <c r="L148" i="1"/>
  <c r="L132" i="1"/>
  <c r="L158" i="1"/>
  <c r="N148" i="1"/>
  <c r="O148" i="1" s="1"/>
  <c r="P148" i="1" s="1"/>
  <c r="Q148" i="1" s="1"/>
  <c r="R148" i="1" s="1"/>
  <c r="S148" i="1" s="1"/>
  <c r="L127" i="1"/>
  <c r="N120" i="1"/>
  <c r="K122" i="1"/>
  <c r="M125" i="1"/>
  <c r="K120" i="1"/>
  <c r="N110" i="1"/>
  <c r="M122" i="1"/>
  <c r="K118" i="1"/>
  <c r="N105" i="1"/>
  <c r="L97" i="1"/>
  <c r="M120" i="1"/>
  <c r="N129" i="1"/>
  <c r="L125" i="1"/>
  <c r="M110" i="1"/>
  <c r="N127" i="1"/>
  <c r="M105" i="1"/>
  <c r="L129" i="1"/>
  <c r="M118" i="1"/>
  <c r="K110" i="1"/>
  <c r="L122" i="1"/>
  <c r="L120" i="1"/>
  <c r="O109" i="1"/>
  <c r="P109" i="1" s="1"/>
  <c r="Q109" i="1" s="1"/>
  <c r="R109" i="1" s="1"/>
  <c r="S109" i="1" s="1"/>
  <c r="N125" i="1"/>
  <c r="O104" i="1"/>
  <c r="P104" i="1" s="1"/>
  <c r="Q104" i="1" s="1"/>
  <c r="R104" i="1" s="1"/>
  <c r="M127" i="1"/>
  <c r="N92" i="1"/>
  <c r="O91" i="1"/>
  <c r="P91" i="1" s="1"/>
  <c r="Q91" i="1" s="1"/>
  <c r="K97" i="1"/>
  <c r="N85" i="1"/>
  <c r="K55" i="1"/>
  <c r="N42" i="1"/>
  <c r="L35" i="1"/>
  <c r="N97" i="1"/>
  <c r="M97" i="1"/>
  <c r="L67" i="1"/>
  <c r="M47" i="1"/>
  <c r="L85" i="1"/>
  <c r="K85" i="1"/>
  <c r="N72" i="1"/>
  <c r="M85" i="1"/>
  <c r="M92" i="1"/>
  <c r="O79" i="1"/>
  <c r="P79" i="1" s="1"/>
  <c r="L92" i="1"/>
  <c r="M72" i="1"/>
  <c r="K92" i="1"/>
  <c r="N80" i="1"/>
  <c r="O84" i="1"/>
  <c r="L80" i="1"/>
  <c r="M60" i="1"/>
  <c r="M80" i="1"/>
  <c r="O96" i="1"/>
  <c r="P96" i="1" s="1"/>
  <c r="Q96" i="1" s="1"/>
  <c r="R96" i="1" s="1"/>
  <c r="S96" i="1" s="1"/>
  <c r="L72" i="1"/>
  <c r="K42" i="1"/>
  <c r="K72" i="1"/>
  <c r="N60" i="1"/>
  <c r="N55" i="1"/>
  <c r="N67" i="1"/>
  <c r="L60" i="1"/>
  <c r="K67" i="1"/>
  <c r="M55" i="1"/>
  <c r="O54" i="1"/>
  <c r="P54" i="1" s="1"/>
  <c r="M67" i="1"/>
  <c r="K60" i="1"/>
  <c r="N47" i="1"/>
  <c r="O59" i="1"/>
  <c r="P59" i="1" s="1"/>
  <c r="Q59" i="1" s="1"/>
  <c r="R59" i="1" s="1"/>
  <c r="S59" i="1" s="1"/>
  <c r="L55" i="1"/>
  <c r="O71" i="1"/>
  <c r="P71" i="1" s="1"/>
  <c r="Q71" i="1" s="1"/>
  <c r="R71" i="1" s="1"/>
  <c r="S71" i="1" s="1"/>
  <c r="O66" i="1"/>
  <c r="P66" i="1" s="1"/>
  <c r="Q66" i="1" s="1"/>
  <c r="R66" i="1" s="1"/>
  <c r="S66" i="1" s="1"/>
  <c r="N35" i="1"/>
  <c r="M35" i="1"/>
  <c r="O46" i="1"/>
  <c r="L42" i="1"/>
  <c r="L47" i="1"/>
  <c r="M42" i="1"/>
  <c r="K35" i="1"/>
  <c r="O34" i="1"/>
  <c r="K47" i="1"/>
  <c r="O41" i="1"/>
  <c r="N30" i="1"/>
  <c r="K30" i="1"/>
  <c r="M30" i="1"/>
  <c r="L30" i="1"/>
  <c r="O29" i="1"/>
  <c r="K142" i="1"/>
  <c r="L142" i="1" s="1"/>
  <c r="M142" i="1" s="1"/>
  <c r="N142" i="1" s="1"/>
  <c r="O142" i="1" s="1"/>
  <c r="P142" i="1" s="1"/>
  <c r="Q142" i="1" s="1"/>
  <c r="R142" i="1" s="1"/>
  <c r="S142" i="1" s="1"/>
  <c r="K26" i="1"/>
  <c r="L26" i="1" s="1"/>
  <c r="M26" i="1" s="1"/>
  <c r="N26" i="1" s="1"/>
  <c r="O26" i="1" s="1"/>
  <c r="P26" i="1" s="1"/>
  <c r="Q26" i="1" s="1"/>
  <c r="R26" i="1" s="1"/>
  <c r="S26" i="1" s="1"/>
  <c r="E10" i="1"/>
  <c r="O114" i="1" l="1"/>
  <c r="P46" i="1"/>
  <c r="O126" i="1"/>
  <c r="P41" i="1"/>
  <c r="O124" i="1"/>
  <c r="P34" i="1"/>
  <c r="O119" i="1"/>
  <c r="O120" i="1" s="1"/>
  <c r="O117" i="1"/>
  <c r="O118" i="1" s="1"/>
  <c r="S104" i="1"/>
  <c r="S114" i="1" s="1"/>
  <c r="R114" i="1"/>
  <c r="P114" i="1"/>
  <c r="Q114" i="1"/>
  <c r="O89" i="1"/>
  <c r="O101" i="1" s="1"/>
  <c r="P84" i="1"/>
  <c r="Q84" i="1" s="1"/>
  <c r="R84" i="1" s="1"/>
  <c r="S84" i="1" s="1"/>
  <c r="Q79" i="1"/>
  <c r="R91" i="1"/>
  <c r="O64" i="1"/>
  <c r="O76" i="1" s="1"/>
  <c r="Q54" i="1"/>
  <c r="P64" i="1"/>
  <c r="P76" i="1" s="1"/>
  <c r="P29" i="1"/>
  <c r="O39" i="1"/>
  <c r="O51" i="1" s="1"/>
  <c r="O147" i="1" l="1"/>
  <c r="O150" i="1"/>
  <c r="O121" i="1"/>
  <c r="Q46" i="1"/>
  <c r="P126" i="1"/>
  <c r="P127" i="1" s="1"/>
  <c r="O127" i="1"/>
  <c r="Q41" i="1"/>
  <c r="P124" i="1"/>
  <c r="P150" i="1" s="1"/>
  <c r="O125" i="1"/>
  <c r="Q34" i="1"/>
  <c r="P119" i="1"/>
  <c r="P120" i="1" s="1"/>
  <c r="P117" i="1"/>
  <c r="Q89" i="1"/>
  <c r="Q101" i="1" s="1"/>
  <c r="P89" i="1"/>
  <c r="P101" i="1" s="1"/>
  <c r="R79" i="1"/>
  <c r="R89" i="1" s="1"/>
  <c r="S91" i="1"/>
  <c r="Q64" i="1"/>
  <c r="Q76" i="1" s="1"/>
  <c r="R54" i="1"/>
  <c r="Q29" i="1"/>
  <c r="P39" i="1"/>
  <c r="P51" i="1" s="1"/>
  <c r="O144" i="1" l="1"/>
  <c r="O153" i="1" s="1"/>
  <c r="O154" i="1" s="1"/>
  <c r="O172" i="1" s="1"/>
  <c r="O157" i="1"/>
  <c r="O171" i="1" s="1"/>
  <c r="P125" i="1"/>
  <c r="P147" i="1"/>
  <c r="O122" i="1"/>
  <c r="O131" i="1"/>
  <c r="O128" i="1"/>
  <c r="R46" i="1"/>
  <c r="Q126" i="1"/>
  <c r="Q127" i="1" s="1"/>
  <c r="R41" i="1"/>
  <c r="Q124" i="1"/>
  <c r="Q150" i="1" s="1"/>
  <c r="P118" i="1"/>
  <c r="P121" i="1"/>
  <c r="P157" i="1" s="1"/>
  <c r="P171" i="1" s="1"/>
  <c r="R34" i="1"/>
  <c r="Q119" i="1"/>
  <c r="Q120" i="1" s="1"/>
  <c r="Q117" i="1"/>
  <c r="S79" i="1"/>
  <c r="R101" i="1"/>
  <c r="S54" i="1"/>
  <c r="S64" i="1" s="1"/>
  <c r="S76" i="1" s="1"/>
  <c r="R64" i="1"/>
  <c r="R76" i="1" s="1"/>
  <c r="R29" i="1"/>
  <c r="Q39" i="1"/>
  <c r="Q51" i="1" s="1"/>
  <c r="P160" i="1" l="1"/>
  <c r="P170" i="1" s="1"/>
  <c r="O160" i="1"/>
  <c r="O170" i="1" s="1"/>
  <c r="O129" i="1"/>
  <c r="O167" i="1"/>
  <c r="O169" i="1" s="1"/>
  <c r="Q125" i="1"/>
  <c r="Q147" i="1"/>
  <c r="P131" i="1"/>
  <c r="P134" i="1" s="1"/>
  <c r="P137" i="1" s="1"/>
  <c r="P144" i="1"/>
  <c r="P153" i="1" s="1"/>
  <c r="P154" i="1" s="1"/>
  <c r="P172" i="1" s="1"/>
  <c r="O134" i="1"/>
  <c r="O137" i="1" s="1"/>
  <c r="O138" i="1" s="1"/>
  <c r="P122" i="1"/>
  <c r="P128" i="1"/>
  <c r="S46" i="1"/>
  <c r="S126" i="1" s="1"/>
  <c r="R126" i="1"/>
  <c r="R127" i="1" s="1"/>
  <c r="S41" i="1"/>
  <c r="S124" i="1" s="1"/>
  <c r="R124" i="1"/>
  <c r="R150" i="1" s="1"/>
  <c r="Q118" i="1"/>
  <c r="Q121" i="1"/>
  <c r="Q157" i="1" s="1"/>
  <c r="Q171" i="1" s="1"/>
  <c r="S34" i="1"/>
  <c r="S119" i="1" s="1"/>
  <c r="R119" i="1"/>
  <c r="R120" i="1" s="1"/>
  <c r="R117" i="1"/>
  <c r="S89" i="1"/>
  <c r="S101" i="1" s="1"/>
  <c r="S29" i="1"/>
  <c r="S117" i="1" s="1"/>
  <c r="R39" i="1"/>
  <c r="R51" i="1" s="1"/>
  <c r="O173" i="1" l="1"/>
  <c r="O178" i="1" s="1"/>
  <c r="Q160" i="1"/>
  <c r="Q170" i="1" s="1"/>
  <c r="P129" i="1"/>
  <c r="P167" i="1"/>
  <c r="P169" i="1" s="1"/>
  <c r="P173" i="1" s="1"/>
  <c r="P178" i="1" s="1"/>
  <c r="S147" i="1"/>
  <c r="S150" i="1"/>
  <c r="R125" i="1"/>
  <c r="R147" i="1"/>
  <c r="Q131" i="1"/>
  <c r="Q134" i="1" s="1"/>
  <c r="Q137" i="1" s="1"/>
  <c r="Q138" i="1" s="1"/>
  <c r="Q144" i="1"/>
  <c r="Q153" i="1" s="1"/>
  <c r="Q154" i="1" s="1"/>
  <c r="Q172" i="1" s="1"/>
  <c r="P138" i="1"/>
  <c r="Q122" i="1"/>
  <c r="Q128" i="1"/>
  <c r="S127" i="1"/>
  <c r="S121" i="1"/>
  <c r="S125" i="1"/>
  <c r="R118" i="1"/>
  <c r="R121" i="1"/>
  <c r="R157" i="1" s="1"/>
  <c r="R171" i="1" s="1"/>
  <c r="S120" i="1"/>
  <c r="S39" i="1"/>
  <c r="S51" i="1" s="1"/>
  <c r="S118" i="1"/>
  <c r="R160" i="1" l="1"/>
  <c r="R170" i="1" s="1"/>
  <c r="Q129" i="1"/>
  <c r="Q167" i="1"/>
  <c r="Q169" i="1" s="1"/>
  <c r="Q173" i="1" s="1"/>
  <c r="Q178" i="1" s="1"/>
  <c r="S144" i="1"/>
  <c r="S153" i="1" s="1"/>
  <c r="S157" i="1"/>
  <c r="S171" i="1" s="1"/>
  <c r="R131" i="1"/>
  <c r="R134" i="1" s="1"/>
  <c r="R137" i="1" s="1"/>
  <c r="R138" i="1" s="1"/>
  <c r="R144" i="1"/>
  <c r="R153" i="1" s="1"/>
  <c r="R154" i="1" s="1"/>
  <c r="R172" i="1" s="1"/>
  <c r="S128" i="1"/>
  <c r="S167" i="1" s="1"/>
  <c r="S169" i="1" s="1"/>
  <c r="S131" i="1"/>
  <c r="R122" i="1"/>
  <c r="R128" i="1"/>
  <c r="S122" i="1"/>
  <c r="S160" i="1" l="1"/>
  <c r="S170" i="1" s="1"/>
  <c r="R129" i="1"/>
  <c r="R167" i="1"/>
  <c r="R169" i="1" s="1"/>
  <c r="R173" i="1" s="1"/>
  <c r="R178" i="1" s="1"/>
  <c r="S154" i="1"/>
  <c r="S172" i="1" s="1"/>
  <c r="S134" i="1"/>
  <c r="S137" i="1" s="1"/>
  <c r="S138" i="1" s="1"/>
  <c r="S129" i="1"/>
  <c r="S173" i="1" l="1"/>
  <c r="S177" i="1" l="1"/>
  <c r="S178" i="1" l="1"/>
  <c r="O180" i="1" s="1"/>
  <c r="O183" i="1" s="1"/>
  <c r="O185" i="1" s="1"/>
  <c r="C192" i="1" s="1"/>
  <c r="J8" i="1" l="1"/>
  <c r="J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<sst xmlns="http://schemas.openxmlformats.org/spreadsheetml/2006/main" count="479" uniqueCount="218">
  <si>
    <t>Walmart Inc.</t>
  </si>
  <si>
    <t>Company Name:</t>
  </si>
  <si>
    <t>Ticker:</t>
  </si>
  <si>
    <t>Date:</t>
  </si>
  <si>
    <t>Price Per Share:</t>
  </si>
  <si>
    <t>Implied Share Price:</t>
  </si>
  <si>
    <t>% Delta vs Current:</t>
  </si>
  <si>
    <t>DCF Model</t>
  </si>
  <si>
    <t>Assumptions (31/12 CYE)</t>
  </si>
  <si>
    <t>Overview</t>
  </si>
  <si>
    <t>*</t>
  </si>
  <si>
    <t>Income Statement (31/12 CYE)</t>
  </si>
  <si>
    <t>$ 'Millions</t>
  </si>
  <si>
    <t>Historicals</t>
  </si>
  <si>
    <t>Projections</t>
  </si>
  <si>
    <t>Triggers</t>
  </si>
  <si>
    <t xml:space="preserve">Conservative </t>
  </si>
  <si>
    <t>Year</t>
  </si>
  <si>
    <t>Base/Street</t>
  </si>
  <si>
    <t>Optimistic</t>
  </si>
  <si>
    <t>($ in 'Millions, except per share data)</t>
  </si>
  <si>
    <t>(Amounts in millions, except per share data)</t>
  </si>
  <si>
    <t>Revenues:</t>
  </si>
  <si>
    <t>Net sales</t>
  </si>
  <si>
    <t>Membership and other income</t>
  </si>
  <si>
    <t>Total revenues</t>
  </si>
  <si>
    <t>Costs and expenses:</t>
  </si>
  <si>
    <t>Cost of sales</t>
  </si>
  <si>
    <t>Operating, selling, general and administrative expenses</t>
  </si>
  <si>
    <t>Operating income</t>
  </si>
  <si>
    <t>Interest:</t>
  </si>
  <si>
    <t>Debt</t>
  </si>
  <si>
    <t>Finance lease</t>
  </si>
  <si>
    <t>Interest income</t>
  </si>
  <si>
    <t>Interest, net</t>
  </si>
  <si>
    <t>Other (gains) and losses</t>
  </si>
  <si>
    <t>Income before income taxes</t>
  </si>
  <si>
    <t>Provision for income taxes</t>
  </si>
  <si>
    <t>Consolidated net income</t>
  </si>
  <si>
    <t>Consolidated net income attributable to noncontrolling interest</t>
  </si>
  <si>
    <t>Consolidated net income attributable to Walmart</t>
  </si>
  <si>
    <t>Net income per common share:</t>
  </si>
  <si>
    <t>Basic net income per common share attributable to Walmart</t>
  </si>
  <si>
    <t>Diluted net income per common share attributable to Walmart</t>
  </si>
  <si>
    <t>Weighted-average common shares outstanding:</t>
  </si>
  <si>
    <t>Basic</t>
  </si>
  <si>
    <t>Diluted</t>
  </si>
  <si>
    <t>Dividends declared per common share</t>
  </si>
  <si>
    <t>Income Statement</t>
  </si>
  <si>
    <t>Walmart U.S. Segment</t>
  </si>
  <si>
    <t>Loss on extinguishment of debt</t>
  </si>
  <si>
    <t>— </t>
  </si>
  <si>
    <t>Revenue Break Down</t>
  </si>
  <si>
    <t>Sales</t>
  </si>
  <si>
    <t>Walmart International</t>
  </si>
  <si>
    <t>Sam's Club U.S. Segment</t>
  </si>
  <si>
    <t>Membership</t>
  </si>
  <si>
    <t>Total Revenue</t>
  </si>
  <si>
    <t>Cost of Sales</t>
  </si>
  <si>
    <t>Operating Income</t>
  </si>
  <si>
    <t>Corporate and support</t>
  </si>
  <si>
    <t>Membership and Other Income</t>
  </si>
  <si>
    <t>Consolidated</t>
  </si>
  <si>
    <t>OSGA</t>
  </si>
  <si>
    <t>% Growth</t>
  </si>
  <si>
    <t>Scenario:</t>
  </si>
  <si>
    <t>1. Base</t>
  </si>
  <si>
    <t>2. Conservative</t>
  </si>
  <si>
    <t>3. Optimistic</t>
  </si>
  <si>
    <t>OSG&amp;A</t>
  </si>
  <si>
    <t>Depreciation &amp; Amortization</t>
  </si>
  <si>
    <t>Taxes</t>
  </si>
  <si>
    <t>Tax Rate</t>
  </si>
  <si>
    <t>Personal consumption expenditures</t>
  </si>
  <si>
    <t>Q1</t>
  </si>
  <si>
    <t>Q2</t>
  </si>
  <si>
    <t>Q3</t>
  </si>
  <si>
    <t>Q4</t>
  </si>
  <si>
    <t>[Billions of dollars] Seasonally adjusted at annual rates</t>
  </si>
  <si>
    <t>Table 1.1.5. Gross Domestic Product</t>
  </si>
  <si>
    <t>Forecast</t>
  </si>
  <si>
    <t>Reference</t>
  </si>
  <si>
    <t>Bureau of Economic analysis</t>
  </si>
  <si>
    <t>U.S Department of Commerce</t>
  </si>
  <si>
    <t>United States Inflation Rate</t>
  </si>
  <si>
    <t>https://tradingeconomics.com/united-states/inflation-cpi</t>
  </si>
  <si>
    <t>Income Before Income Taxes</t>
  </si>
  <si>
    <t>Income Before Income Taxes as a % of Revenue</t>
  </si>
  <si>
    <t>Net Income</t>
  </si>
  <si>
    <t>Other Items</t>
  </si>
  <si>
    <t>Accounts Receivables</t>
  </si>
  <si>
    <t>% of Revenue</t>
  </si>
  <si>
    <t>Inventories</t>
  </si>
  <si>
    <t>Accounts Payable</t>
  </si>
  <si>
    <t>Account Payable</t>
  </si>
  <si>
    <t>Net Wokring Capital</t>
  </si>
  <si>
    <t>Change in WC</t>
  </si>
  <si>
    <t>Capital Expenditure</t>
  </si>
  <si>
    <t>CapEx as a % of Revenue</t>
  </si>
  <si>
    <t>D&amp;A as a % of CapEx</t>
  </si>
  <si>
    <t>Revenue</t>
  </si>
  <si>
    <t>27'-31'</t>
  </si>
  <si>
    <t>Average</t>
  </si>
  <si>
    <t>DCF</t>
  </si>
  <si>
    <t>EBIT</t>
  </si>
  <si>
    <t>NOPAT</t>
  </si>
  <si>
    <t>Add: Depreciation &amp; Amortization</t>
  </si>
  <si>
    <t>Less: CapEx</t>
  </si>
  <si>
    <t>Less: Change in WC</t>
  </si>
  <si>
    <t>Free Cash Flow</t>
  </si>
  <si>
    <t>Discount Period</t>
  </si>
  <si>
    <t>Weighted Average Cost of Capital</t>
  </si>
  <si>
    <t xml:space="preserve">Cost of Equity </t>
  </si>
  <si>
    <t>Risk Free Rate</t>
  </si>
  <si>
    <t>Equity Risk Premium</t>
  </si>
  <si>
    <t>Country Risk Premium</t>
  </si>
  <si>
    <t>Beta</t>
  </si>
  <si>
    <t>Date</t>
  </si>
  <si>
    <t>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</si>
  <si>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</si>
  <si>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</si>
  <si>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</si>
  <si>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</si>
  <si>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</si>
  <si>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</si>
  <si>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</si>
  <si>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</si>
  <si>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</si>
  <si>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</si>
  <si>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</si>
  <si>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</si>
  <si>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</si>
  <si>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</si>
  <si>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</si>
  <si>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</si>
  <si>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</si>
  <si>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</si>
  <si>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</si>
  <si>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</si>
  <si>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</si>
  <si>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</si>
  <si>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</si>
  <si>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</si>
  <si>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</si>
  <si>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US 10-Year Treasury Yield</t>
  </si>
  <si>
    <t>Aswath Damodharan</t>
  </si>
  <si>
    <t>Cost of Equity</t>
  </si>
  <si>
    <t>Cost of Debt</t>
  </si>
  <si>
    <t>CMP</t>
  </si>
  <si>
    <t>Face Value</t>
  </si>
  <si>
    <t>Coupon Rate</t>
  </si>
  <si>
    <t>Using YTM Approach</t>
  </si>
  <si>
    <t>Maturity Year</t>
  </si>
  <si>
    <t>Total Years</t>
  </si>
  <si>
    <t>YTM</t>
  </si>
  <si>
    <t>Investing.com</t>
  </si>
  <si>
    <t>WACC</t>
  </si>
  <si>
    <t>Market Cap</t>
  </si>
  <si>
    <t>Total Debt</t>
  </si>
  <si>
    <t>Capital Structure</t>
  </si>
  <si>
    <t>Post Tax Cost of Debt</t>
  </si>
  <si>
    <t>Terminal Growth Rate</t>
  </si>
  <si>
    <t>Teminal Value</t>
  </si>
  <si>
    <t>(1%-3%) Google</t>
  </si>
  <si>
    <t>Discounted FCF</t>
  </si>
  <si>
    <t>Enterprise Value</t>
  </si>
  <si>
    <t>Add: Cash</t>
  </si>
  <si>
    <t>Less: Debt</t>
  </si>
  <si>
    <t>Equity Value</t>
  </si>
  <si>
    <t>Number of Shares</t>
  </si>
  <si>
    <t>Price Per Share</t>
  </si>
  <si>
    <t>TGR</t>
  </si>
  <si>
    <t>Terminal Growth Rate %</t>
  </si>
  <si>
    <t>Sensitivity Analysis - Terminal Growth Rate to Weighted Average Cost of Capital</t>
  </si>
  <si>
    <t>Name</t>
  </si>
  <si>
    <t>Employees</t>
  </si>
  <si>
    <t>EBITDA</t>
  </si>
  <si>
    <t>EBITDA %</t>
  </si>
  <si>
    <t>NI %</t>
  </si>
  <si>
    <t>EV</t>
  </si>
  <si>
    <t>EV / Revenue</t>
  </si>
  <si>
    <t>EV / EBITDA</t>
  </si>
  <si>
    <t>P / Sales</t>
  </si>
  <si>
    <t>P / E</t>
  </si>
  <si>
    <t>Walmart</t>
  </si>
  <si>
    <t>WMT US</t>
  </si>
  <si>
    <t>Costco Wholesale Corp</t>
  </si>
  <si>
    <t>Target Corp</t>
  </si>
  <si>
    <t>CVS Health Corp</t>
  </si>
  <si>
    <t>O`Reilly Automotive, Inc.</t>
  </si>
  <si>
    <t>Casey`s General Stores, Inc.</t>
  </si>
  <si>
    <t>Loblaw Companies Limited</t>
  </si>
  <si>
    <t>Tesco Plc</t>
  </si>
  <si>
    <t>Us Foods Holding Corp</t>
  </si>
  <si>
    <t>Sysco Corporation</t>
  </si>
  <si>
    <t>($ in 'Billions, except per share data and number of employees in '000)</t>
  </si>
  <si>
    <t>Price / Share ($)</t>
  </si>
  <si>
    <t xml:space="preserve">Kroger Co. </t>
  </si>
  <si>
    <t>75th Percentile</t>
  </si>
  <si>
    <t>Median</t>
  </si>
  <si>
    <t>25th Percentile</t>
  </si>
  <si>
    <t># Shares</t>
  </si>
  <si>
    <t>Cash</t>
  </si>
  <si>
    <t>End</t>
  </si>
  <si>
    <t>Mid Year Discount</t>
  </si>
  <si>
    <t>52 Week Share Price</t>
  </si>
  <si>
    <t>Valuation</t>
  </si>
  <si>
    <t>52 - wk range</t>
  </si>
  <si>
    <t>Metrics</t>
  </si>
  <si>
    <t>Base Case</t>
  </si>
  <si>
    <t>Conservative Case</t>
  </si>
  <si>
    <t>Optimistic Case</t>
  </si>
  <si>
    <t>Football Chart</t>
  </si>
  <si>
    <t>Method</t>
  </si>
  <si>
    <t>Min</t>
  </si>
  <si>
    <t>Max</t>
  </si>
  <si>
    <t>Companies Comparable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</si>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</sst>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-[$$-409]* #,##0.00_ ;_-[$$-409]* \-#,##0.00\ ;_-[$$-409]* &quot;-&quot;??_ ;_-@_ "/>
    <numFmt numFmtId="165" formatCode="&quot;FY&quot;\ yyyy"/>
    <numFmt numFmtId="166" formatCode="_ * #,##0_ ;_ * \-#,##0_ ;_ * &quot;-&quot;??_ ;_ @_ "/>
    <numFmt numFmtId="167" formatCode="0.0%"/>
    <numFmt numFmtId="168" formatCode="#,##0;\(#,##0\);\ \-\-\-"/>
    <numFmt numFmtId="169" formatCode="_ * #,##0.0_ ;_ * \-#,##0.0_ ;_ * &quot;-&quot;??_ ;_ @_ "/>
    <numFmt numFmtId="170" formatCode="0.0"/>
    <numFmt numFmtId="171" formatCode="0.0\x"/>
    <numFmt numFmtId="172" formatCode="#,##0.0;\(#,##0.0\);\ \-\-\-"/>
    <numFmt numFmtId="173" formatCode="_-[$$-409]* #,##0.0_ ;_-[$$-409]* \-#,##0.0\ ;_-[$$-409]* &quot;-&quot;??_ ;_-@_ "/>
  </numFmts>
  <fonts count="17" x14ac:knownFonts="1">
    <font>
      <sz val="11"/>
      <color theme="1"/>
      <name val="Calibri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A0A0A"/>
      <name val="Arial"/>
      <family val="2"/>
    </font>
    <font>
      <sz val="10"/>
      <color theme="0" tint="-0.14999847407452621"/>
      <name val="Arial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1440"/>
        <bgColor indexed="64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" borderId="2" applyNumberFormat="0" applyFont="0" applyAlignment="0" applyProtection="0"/>
  </cellStyleXfs>
  <cellXfs count="19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2" borderId="0" xfId="0" applyFont="1" applyFill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3" xfId="0" applyFont="1" applyBorder="1"/>
    <xf numFmtId="0" fontId="2" fillId="0" borderId="3" xfId="0" applyFont="1" applyBorder="1"/>
    <xf numFmtId="0" fontId="6" fillId="0" borderId="4" xfId="0" applyFont="1" applyBorder="1"/>
    <xf numFmtId="3" fontId="0" fillId="0" borderId="0" xfId="0" applyNumberFormat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166" fontId="0" fillId="0" borderId="0" xfId="1" applyNumberFormat="1" applyFont="1"/>
    <xf numFmtId="167" fontId="0" fillId="0" borderId="0" xfId="2" applyNumberFormat="1" applyFont="1"/>
    <xf numFmtId="2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168" fontId="2" fillId="0" borderId="0" xfId="0" applyNumberFormat="1" applyFont="1"/>
    <xf numFmtId="0" fontId="7" fillId="0" borderId="0" xfId="0" applyFont="1" applyAlignment="1">
      <alignment horizontal="left" indent="1"/>
    </xf>
    <xf numFmtId="9" fontId="2" fillId="0" borderId="0" xfId="2" applyFont="1"/>
    <xf numFmtId="167" fontId="7" fillId="0" borderId="0" xfId="2" applyNumberFormat="1" applyFont="1"/>
    <xf numFmtId="167" fontId="7" fillId="3" borderId="2" xfId="2" applyNumberFormat="1" applyFont="1" applyFill="1" applyBorder="1"/>
    <xf numFmtId="168" fontId="2" fillId="0" borderId="3" xfId="0" applyNumberFormat="1" applyFont="1" applyBorder="1"/>
    <xf numFmtId="167" fontId="7" fillId="3" borderId="6" xfId="2" applyNumberFormat="1" applyFont="1" applyFill="1" applyBorder="1"/>
    <xf numFmtId="0" fontId="6" fillId="0" borderId="5" xfId="0" applyFont="1" applyBorder="1"/>
    <xf numFmtId="168" fontId="6" fillId="0" borderId="5" xfId="0" applyNumberFormat="1" applyFont="1" applyBorder="1"/>
    <xf numFmtId="0" fontId="2" fillId="0" borderId="0" xfId="0" applyFont="1" applyAlignment="1">
      <alignment horizontal="left"/>
    </xf>
    <xf numFmtId="0" fontId="6" fillId="5" borderId="0" xfId="0" applyFont="1" applyFill="1"/>
    <xf numFmtId="0" fontId="11" fillId="5" borderId="3" xfId="0" applyFont="1" applyFill="1" applyBorder="1"/>
    <xf numFmtId="0" fontId="6" fillId="5" borderId="3" xfId="0" applyFont="1" applyFill="1" applyBorder="1"/>
    <xf numFmtId="165" fontId="6" fillId="5" borderId="3" xfId="0" applyNumberFormat="1" applyFont="1" applyFill="1" applyBorder="1"/>
    <xf numFmtId="165" fontId="6" fillId="4" borderId="3" xfId="0" applyNumberFormat="1" applyFont="1" applyFill="1" applyBorder="1"/>
    <xf numFmtId="0" fontId="2" fillId="5" borderId="0" xfId="0" applyFont="1" applyFill="1"/>
    <xf numFmtId="0" fontId="7" fillId="5" borderId="3" xfId="0" applyFont="1" applyFill="1" applyBorder="1"/>
    <xf numFmtId="0" fontId="2" fillId="5" borderId="3" xfId="0" applyFont="1" applyFill="1" applyBorder="1"/>
    <xf numFmtId="165" fontId="2" fillId="5" borderId="3" xfId="0" applyNumberFormat="1" applyFont="1" applyFill="1" applyBorder="1"/>
    <xf numFmtId="165" fontId="2" fillId="4" borderId="3" xfId="0" applyNumberFormat="1" applyFont="1" applyFill="1" applyBorder="1"/>
    <xf numFmtId="4" fontId="0" fillId="0" borderId="0" xfId="0" applyNumberFormat="1"/>
    <xf numFmtId="0" fontId="12" fillId="0" borderId="0" xfId="0" applyFont="1"/>
    <xf numFmtId="10" fontId="0" fillId="0" borderId="0" xfId="0" applyNumberFormat="1"/>
    <xf numFmtId="10" fontId="14" fillId="0" borderId="0" xfId="0" applyNumberFormat="1" applyFont="1"/>
    <xf numFmtId="10" fontId="7" fillId="0" borderId="0" xfId="2" applyNumberFormat="1" applyFont="1"/>
    <xf numFmtId="3" fontId="6" fillId="0" borderId="0" xfId="0" applyNumberFormat="1" applyFont="1"/>
    <xf numFmtId="167" fontId="14" fillId="0" borderId="0" xfId="0" applyNumberFormat="1" applyFont="1"/>
    <xf numFmtId="167" fontId="2" fillId="0" borderId="0" xfId="0" applyNumberFormat="1" applyFont="1"/>
    <xf numFmtId="167" fontId="2" fillId="3" borderId="2" xfId="3" applyNumberFormat="1" applyFont="1"/>
    <xf numFmtId="167" fontId="7" fillId="3" borderId="2" xfId="3" applyNumberFormat="1" applyFont="1"/>
    <xf numFmtId="0" fontId="2" fillId="0" borderId="5" xfId="0" applyFont="1" applyBorder="1"/>
    <xf numFmtId="3" fontId="6" fillId="0" borderId="5" xfId="0" applyNumberFormat="1" applyFont="1" applyBorder="1"/>
    <xf numFmtId="0" fontId="6" fillId="0" borderId="3" xfId="0" applyFont="1" applyBorder="1" applyAlignment="1">
      <alignment horizontal="center"/>
    </xf>
    <xf numFmtId="167" fontId="2" fillId="3" borderId="2" xfId="3" applyNumberFormat="1" applyFont="1" applyAlignment="1">
      <alignment horizontal="center"/>
    </xf>
    <xf numFmtId="14" fontId="0" fillId="0" borderId="0" xfId="0" applyNumberFormat="1"/>
    <xf numFmtId="0" fontId="0" fillId="0" borderId="7" xfId="0" applyBorder="1"/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Continuous"/>
    </xf>
    <xf numFmtId="2" fontId="9" fillId="0" borderId="0" xfId="0" applyNumberFormat="1" applyFont="1"/>
    <xf numFmtId="0" fontId="13" fillId="0" borderId="0" xfId="0" applyFont="1"/>
    <xf numFmtId="10" fontId="0" fillId="0" borderId="0" xfId="2" applyNumberFormat="1" applyFont="1"/>
    <xf numFmtId="0" fontId="9" fillId="0" borderId="5" xfId="0" applyFont="1" applyBorder="1"/>
    <xf numFmtId="0" fontId="9" fillId="0" borderId="4" xfId="0" applyFont="1" applyBorder="1"/>
    <xf numFmtId="0" fontId="0" fillId="0" borderId="4" xfId="0" applyBorder="1"/>
    <xf numFmtId="10" fontId="9" fillId="0" borderId="4" xfId="2" applyNumberFormat="1" applyFont="1" applyBorder="1"/>
    <xf numFmtId="164" fontId="0" fillId="0" borderId="0" xfId="0" applyNumberFormat="1"/>
    <xf numFmtId="10" fontId="9" fillId="0" borderId="4" xfId="0" applyNumberFormat="1" applyFont="1" applyBorder="1"/>
    <xf numFmtId="3" fontId="9" fillId="0" borderId="4" xfId="0" applyNumberFormat="1" applyFont="1" applyBorder="1"/>
    <xf numFmtId="0" fontId="9" fillId="0" borderId="9" xfId="0" applyFont="1" applyBorder="1"/>
    <xf numFmtId="10" fontId="9" fillId="0" borderId="10" xfId="2" applyNumberFormat="1" applyFont="1" applyBorder="1"/>
    <xf numFmtId="0" fontId="9" fillId="0" borderId="11" xfId="0" applyFont="1" applyBorder="1"/>
    <xf numFmtId="10" fontId="9" fillId="0" borderId="12" xfId="0" applyNumberFormat="1" applyFont="1" applyBorder="1"/>
    <xf numFmtId="0" fontId="10" fillId="2" borderId="3" xfId="0" applyFont="1" applyFill="1" applyBorder="1"/>
    <xf numFmtId="0" fontId="6" fillId="0" borderId="1" xfId="0" applyFont="1" applyBorder="1"/>
    <xf numFmtId="10" fontId="6" fillId="0" borderId="1" xfId="2" applyNumberFormat="1" applyFont="1" applyBorder="1"/>
    <xf numFmtId="0" fontId="4" fillId="2" borderId="9" xfId="0" applyFont="1" applyFill="1" applyBorder="1"/>
    <xf numFmtId="164" fontId="2" fillId="0" borderId="9" xfId="0" applyNumberFormat="1" applyFont="1" applyBorder="1"/>
    <xf numFmtId="164" fontId="2" fillId="0" borderId="5" xfId="0" applyNumberFormat="1" applyFont="1" applyBorder="1"/>
    <xf numFmtId="164" fontId="2" fillId="0" borderId="10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11" xfId="0" applyNumberFormat="1" applyFont="1" applyBorder="1"/>
    <xf numFmtId="164" fontId="2" fillId="0" borderId="3" xfId="0" applyNumberFormat="1" applyFont="1" applyBorder="1"/>
    <xf numFmtId="164" fontId="2" fillId="0" borderId="12" xfId="0" applyNumberFormat="1" applyFont="1" applyBorder="1"/>
    <xf numFmtId="164" fontId="2" fillId="0" borderId="1" xfId="0" applyNumberFormat="1" applyFont="1" applyBorder="1"/>
    <xf numFmtId="0" fontId="2" fillId="0" borderId="4" xfId="0" applyFont="1" applyBorder="1"/>
    <xf numFmtId="9" fontId="2" fillId="0" borderId="1" xfId="2" applyFont="1" applyBorder="1"/>
    <xf numFmtId="0" fontId="2" fillId="0" borderId="9" xfId="0" applyFont="1" applyBorder="1"/>
    <xf numFmtId="168" fontId="2" fillId="0" borderId="13" xfId="0" applyNumberFormat="1" applyFont="1" applyBorder="1"/>
    <xf numFmtId="167" fontId="2" fillId="0" borderId="13" xfId="0" applyNumberFormat="1" applyFont="1" applyBorder="1"/>
    <xf numFmtId="3" fontId="6" fillId="0" borderId="13" xfId="0" applyNumberFormat="1" applyFont="1" applyBorder="1"/>
    <xf numFmtId="3" fontId="2" fillId="0" borderId="13" xfId="0" applyNumberFormat="1" applyFont="1" applyBorder="1"/>
    <xf numFmtId="3" fontId="6" fillId="0" borderId="9" xfId="0" applyNumberFormat="1" applyFont="1" applyBorder="1"/>
    <xf numFmtId="0" fontId="2" fillId="0" borderId="13" xfId="0" applyFont="1" applyBorder="1"/>
    <xf numFmtId="168" fontId="6" fillId="0" borderId="9" xfId="0" applyNumberFormat="1" applyFont="1" applyBorder="1"/>
    <xf numFmtId="164" fontId="6" fillId="0" borderId="15" xfId="0" applyNumberFormat="1" applyFont="1" applyBorder="1"/>
    <xf numFmtId="9" fontId="0" fillId="0" borderId="0" xfId="0" applyNumberFormat="1"/>
    <xf numFmtId="0" fontId="9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172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69" fontId="2" fillId="0" borderId="0" xfId="1" applyNumberFormat="1" applyFont="1" applyAlignment="1">
      <alignment horizontal="center"/>
    </xf>
    <xf numFmtId="167" fontId="2" fillId="0" borderId="3" xfId="2" applyNumberFormat="1" applyFont="1" applyBorder="1" applyAlignment="1">
      <alignment horizontal="center"/>
    </xf>
    <xf numFmtId="169" fontId="2" fillId="0" borderId="3" xfId="1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170" fontId="2" fillId="0" borderId="5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7" fontId="2" fillId="0" borderId="0" xfId="2" applyNumberFormat="1" applyFont="1" applyAlignment="1">
      <alignment horizontal="center"/>
    </xf>
    <xf numFmtId="171" fontId="2" fillId="0" borderId="5" xfId="0" applyNumberFormat="1" applyFont="1" applyBorder="1" applyAlignment="1">
      <alignment horizontal="center"/>
    </xf>
    <xf numFmtId="170" fontId="2" fillId="0" borderId="3" xfId="0" applyNumberFormat="1" applyFont="1" applyBorder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171" fontId="2" fillId="0" borderId="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173" fontId="2" fillId="0" borderId="5" xfId="0" applyNumberFormat="1" applyFont="1" applyBorder="1" applyAlignment="1">
      <alignment horizontal="center"/>
    </xf>
    <xf numFmtId="173" fontId="2" fillId="0" borderId="3" xfId="0" applyNumberFormat="1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73" fontId="2" fillId="0" borderId="13" xfId="0" applyNumberFormat="1" applyFont="1" applyBorder="1" applyAlignment="1">
      <alignment horizontal="center"/>
    </xf>
    <xf numFmtId="0" fontId="6" fillId="0" borderId="16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171" fontId="2" fillId="0" borderId="16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71" fontId="6" fillId="0" borderId="16" xfId="0" applyNumberFormat="1" applyFont="1" applyBorder="1" applyAlignment="1">
      <alignment horizontal="center"/>
    </xf>
    <xf numFmtId="164" fontId="2" fillId="0" borderId="0" xfId="0" applyNumberFormat="1" applyFont="1"/>
    <xf numFmtId="164" fontId="15" fillId="6" borderId="9" xfId="0" applyNumberFormat="1" applyFont="1" applyFill="1" applyBorder="1" applyAlignment="1">
      <alignment vertical="top"/>
    </xf>
    <xf numFmtId="10" fontId="2" fillId="6" borderId="5" xfId="2" applyNumberFormat="1" applyFont="1" applyFill="1" applyBorder="1" applyAlignment="1">
      <alignment vertical="top"/>
    </xf>
    <xf numFmtId="10" fontId="2" fillId="6" borderId="5" xfId="0" applyNumberFormat="1" applyFont="1" applyFill="1" applyBorder="1" applyAlignment="1">
      <alignment vertical="top"/>
    </xf>
    <xf numFmtId="10" fontId="2" fillId="6" borderId="10" xfId="0" applyNumberFormat="1" applyFont="1" applyFill="1" applyBorder="1" applyAlignment="1">
      <alignment vertical="top"/>
    </xf>
    <xf numFmtId="10" fontId="2" fillId="6" borderId="13" xfId="0" applyNumberFormat="1" applyFont="1" applyFill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164" fontId="2" fillId="0" borderId="5" xfId="0" applyNumberFormat="1" applyFont="1" applyBorder="1" applyAlignment="1">
      <alignment vertical="top"/>
    </xf>
    <xf numFmtId="164" fontId="6" fillId="0" borderId="5" xfId="0" applyNumberFormat="1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164" fontId="2" fillId="0" borderId="13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164" fontId="2" fillId="0" borderId="14" xfId="0" applyNumberFormat="1" applyFont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2" fillId="6" borderId="11" xfId="0" applyNumberFormat="1" applyFont="1" applyFill="1" applyBorder="1" applyAlignment="1">
      <alignment vertical="top"/>
    </xf>
    <xf numFmtId="164" fontId="2" fillId="0" borderId="11" xfId="0" applyNumberFormat="1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10" fontId="6" fillId="6" borderId="13" xfId="0" applyNumberFormat="1" applyFont="1" applyFill="1" applyBorder="1" applyAlignment="1">
      <alignment vertical="top"/>
    </xf>
    <xf numFmtId="10" fontId="6" fillId="6" borderId="5" xfId="0" applyNumberFormat="1" applyFont="1" applyFill="1" applyBorder="1" applyAlignment="1">
      <alignment vertical="top"/>
    </xf>
    <xf numFmtId="0" fontId="6" fillId="0" borderId="19" xfId="0" applyFont="1" applyBorder="1"/>
    <xf numFmtId="0" fontId="2" fillId="0" borderId="19" xfId="0" applyFont="1" applyBorder="1"/>
    <xf numFmtId="172" fontId="2" fillId="0" borderId="19" xfId="0" applyNumberFormat="1" applyFont="1" applyBorder="1"/>
    <xf numFmtId="0" fontId="6" fillId="0" borderId="20" xfId="0" applyFont="1" applyBorder="1"/>
    <xf numFmtId="0" fontId="2" fillId="0" borderId="20" xfId="0" applyFont="1" applyBorder="1"/>
    <xf numFmtId="172" fontId="2" fillId="0" borderId="20" xfId="0" applyNumberFormat="1" applyFont="1" applyBorder="1"/>
    <xf numFmtId="0" fontId="6" fillId="0" borderId="21" xfId="0" applyFont="1" applyBorder="1"/>
    <xf numFmtId="0" fontId="2" fillId="0" borderId="21" xfId="0" applyFont="1" applyBorder="1"/>
    <xf numFmtId="172" fontId="2" fillId="0" borderId="21" xfId="0" applyNumberFormat="1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1" xfId="0" applyFont="1" applyBorder="1"/>
    <xf numFmtId="0" fontId="6" fillId="0" borderId="15" xfId="0" applyFont="1" applyBorder="1"/>
    <xf numFmtId="0" fontId="6" fillId="0" borderId="22" xfId="0" applyFont="1" applyBorder="1"/>
    <xf numFmtId="0" fontId="2" fillId="0" borderId="11" xfId="0" applyFont="1" applyBorder="1"/>
    <xf numFmtId="164" fontId="6" fillId="0" borderId="14" xfId="0" applyNumberFormat="1" applyFont="1" applyBorder="1" applyAlignment="1">
      <alignment vertical="top"/>
    </xf>
    <xf numFmtId="164" fontId="6" fillId="0" borderId="3" xfId="0" applyNumberFormat="1" applyFont="1" applyBorder="1" applyAlignment="1">
      <alignment vertical="top"/>
    </xf>
    <xf numFmtId="164" fontId="2" fillId="0" borderId="12" xfId="0" applyNumberFormat="1" applyFont="1" applyBorder="1" applyAlignment="1">
      <alignment vertical="top"/>
    </xf>
    <xf numFmtId="0" fontId="6" fillId="0" borderId="23" xfId="0" applyFont="1" applyBorder="1" applyAlignment="1">
      <alignment horizontal="left"/>
    </xf>
    <xf numFmtId="0" fontId="2" fillId="0" borderId="23" xfId="0" applyFont="1" applyBorder="1"/>
    <xf numFmtId="164" fontId="2" fillId="0" borderId="23" xfId="0" applyNumberFormat="1" applyFont="1" applyBorder="1"/>
    <xf numFmtId="0" fontId="6" fillId="0" borderId="24" xfId="0" applyFont="1" applyBorder="1" applyAlignment="1">
      <alignment horizontal="left"/>
    </xf>
    <xf numFmtId="0" fontId="2" fillId="0" borderId="24" xfId="0" applyFont="1" applyBorder="1"/>
    <xf numFmtId="164" fontId="2" fillId="0" borderId="24" xfId="0" applyNumberFormat="1" applyFont="1" applyBorder="1"/>
    <xf numFmtId="49" fontId="6" fillId="0" borderId="24" xfId="0" applyNumberFormat="1" applyFont="1" applyBorder="1" applyAlignment="1">
      <alignment horizontal="left"/>
    </xf>
    <xf numFmtId="49" fontId="6" fillId="0" borderId="25" xfId="0" applyNumberFormat="1" applyFont="1" applyBorder="1" applyAlignment="1">
      <alignment horizontal="left"/>
    </xf>
    <xf numFmtId="0" fontId="2" fillId="0" borderId="25" xfId="0" applyFont="1" applyBorder="1"/>
    <xf numFmtId="164" fontId="2" fillId="0" borderId="25" xfId="0" applyNumberFormat="1" applyFont="1" applyBorder="1"/>
    <xf numFmtId="0" fontId="16" fillId="2" borderId="3" xfId="0" applyFont="1" applyFill="1" applyBorder="1"/>
    <xf numFmtId="0" fontId="3" fillId="2" borderId="17" xfId="0" applyFont="1" applyFill="1" applyBorder="1" applyAlignment="1">
      <alignment horizontal="center" vertical="center" textRotation="90"/>
    </xf>
    <xf numFmtId="0" fontId="3" fillId="2" borderId="18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0"/>
  <tableStyles count="0" defaultTableStyle="TableStyleMedium2" defaultPivotStyle="PivotStyleLight16"/>
  <colors>
    <mruColors>
      <color rgb="FF001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Summary!$C$17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Summary!$B$18:$B$23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52 - wk range</c:v>
                </c:pt>
              </c:strCache>
            </c:strRef>
          </c:cat>
          <c:val>
            <c:numRef>
              <c:f>Summary!$C$18:$C$23</c:f>
              <c:numCache>
                <c:formatCode>_-[$$-409]* #,##0.00_ ;_-[$$-409]* \-#,##0.00\ ;_-[$$-409]* "-"??_ ;_-@_ </c:formatCode>
                <c:ptCount val="6"/>
                <c:pt idx="0">
                  <c:v>35.884430504413487</c:v>
                </c:pt>
                <c:pt idx="1">
                  <c:v>5.6471299234510139</c:v>
                </c:pt>
                <c:pt idx="2">
                  <c:v>5.8434135630027244</c:v>
                </c:pt>
                <c:pt idx="3">
                  <c:v>6.8224205333164774</c:v>
                </c:pt>
                <c:pt idx="4">
                  <c:v>10.021672591360705</c:v>
                </c:pt>
                <c:pt idx="5">
                  <c:v>96.775000000000006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E42-B036-5DE5C2E1C942}"/>
            </c:ext>
          </c:extLst>
        </c:ser>
        <c:ser>
          <c:idx val="1"/>
          <c:order val="1"/>
          <c:tx>
            <c:strRef>
              <c:f>Summary!$D$17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Summary!$B$18:$B$23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52 - wk range</c:v>
                </c:pt>
              </c:strCache>
            </c:strRef>
          </c:cat>
          <c:val>
            <c:numRef>
              <c:f>Summary!$D$18:$D$23</c:f>
              <c:numCache>
                <c:formatCode>_-[$$-409]* #,##0.00_ ;_-[$$-409]* \-#,##0.00\ ;_-[$$-409]* "-"??_ ;_-@_ </c:formatCode>
                <c:ptCount val="6"/>
                <c:pt idx="0">
                  <c:v>53.335455178321283</c:v>
                </c:pt>
                <c:pt idx="1">
                  <c:v>6.0804137476308204</c:v>
                </c:pt>
                <c:pt idx="2">
                  <c:v>6.7520420001663641</c:v>
                </c:pt>
                <c:pt idx="3">
                  <c:v>14.978242259829351</c:v>
                </c:pt>
                <c:pt idx="4">
                  <c:v>16.334052583312573</c:v>
                </c:pt>
                <c:pt idx="5">
                  <c:v>101.84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E-4E42-B036-5DE5C2E1C942}"/>
            </c:ext>
          </c:extLst>
        </c:ser>
        <c:ser>
          <c:idx val="2"/>
          <c:order val="2"/>
          <c:tx>
            <c:strRef>
              <c:f>Summary!$E$17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Summary!$B$18:$B$23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52 - wk range</c:v>
                </c:pt>
              </c:strCache>
            </c:strRef>
          </c:cat>
          <c:val>
            <c:numRef>
              <c:f>Summary!$E$18:$E$23</c:f>
              <c:numCache>
                <c:formatCode>_-[$$-409]* #,##0.00_ ;_-[$$-409]* \-#,##0.00\ ;_-[$$-409]* "-"??_ ;_-@_ </c:formatCode>
                <c:ptCount val="6"/>
                <c:pt idx="0">
                  <c:v>72.034034662833946</c:v>
                </c:pt>
                <c:pt idx="1">
                  <c:v>12.517436609491371</c:v>
                </c:pt>
                <c:pt idx="2">
                  <c:v>9.6120510851599636</c:v>
                </c:pt>
                <c:pt idx="3">
                  <c:v>40.537366008098054</c:v>
                </c:pt>
                <c:pt idx="4">
                  <c:v>35.648383845063712</c:v>
                </c:pt>
                <c:pt idx="5">
                  <c:v>113.56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E-4E42-B036-5DE5C2E1C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846911"/>
        <c:axId val="1509843551"/>
      </c:barChart>
      <c:catAx>
        <c:axId val="150984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43551"/>
        <c:crosses val="autoZero"/>
        <c:auto val="1"/>
        <c:lblAlgn val="ctr"/>
        <c:lblOffset val="100"/>
        <c:noMultiLvlLbl val="0"/>
      </c:catAx>
      <c:valAx>
        <c:axId val="1509843551"/>
        <c:scaling>
          <c:orientation val="minMax"/>
          <c:max val="230"/>
          <c:min val="0"/>
        </c:scaling>
        <c:delete val="0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15</xdr:row>
      <xdr:rowOff>160020</xdr:rowOff>
    </xdr:from>
    <xdr:to>
      <xdr:col>11</xdr:col>
      <xdr:colOff>484094</xdr:colOff>
      <xdr:row>25</xdr:row>
      <xdr:rowOff>107576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7E080-08E6-F277-9BEC-5FCEA26A2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B429-FB7C-44DB-8296-4117CA268826}">
  <dimension ref="A1:X25"/>
  <sheetViews>
    <sheetView showGridLines="0" zoomScaleNormal="100" workbookViewId="0">
      <selection activeCell="K10" sqref="K10"/>
    </sheetView>
  </sheetViews>
  <sheetFormatPr defaultRowHeight="13.2" x14ac:dyDescent="0.25"/>
  <cols>
    <col min="1" max="1" width="2.88671875" style="9" customWidth="1"/>
    <col min="2" max="2" width="17.33203125" style="2" customWidth="1"/>
    <col min="3" max="8" width="13.77734375" style="2" customWidth="1"/>
    <col min="9" max="9" width="8.88671875" style="2" customWidth="1"/>
    <col min="10" max="16384" width="8.88671875" style="2"/>
  </cols>
  <sheetData>
    <row r="1" spans="1:24" s="12" customForma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4" s="3" customFormat="1" ht="13.8" x14ac:dyDescent="0.25">
      <c r="A2" s="2"/>
      <c r="B2" s="1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1:24" s="3" customFormat="1" x14ac:dyDescent="0.25">
      <c r="A3" s="2"/>
      <c r="B3" s="3" t="s">
        <v>217</v>
      </c>
      <c r="C3" s="4"/>
      <c r="D3" s="4"/>
      <c r="E3" s="4"/>
      <c r="F3" s="4"/>
      <c r="G3" s="4"/>
      <c r="H3" s="4"/>
      <c r="I3" s="4"/>
      <c r="J3" s="4"/>
      <c r="K3" s="4"/>
    </row>
    <row r="4" spans="1:24" s="3" customFormat="1" x14ac:dyDescent="0.25">
      <c r="A4" s="2"/>
      <c r="B4" s="8" t="s">
        <v>195</v>
      </c>
      <c r="C4" s="4"/>
      <c r="D4" s="4"/>
      <c r="E4" s="4"/>
      <c r="F4" s="4"/>
      <c r="G4" s="4"/>
      <c r="H4" s="4"/>
      <c r="I4" s="4"/>
      <c r="J4" s="4"/>
      <c r="K4" s="4"/>
    </row>
    <row r="5" spans="1:24" s="12" customForma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24" s="12" customFormat="1" x14ac:dyDescent="0.25">
      <c r="A6" s="9" t="s">
        <v>10</v>
      </c>
      <c r="B6" s="3" t="s">
        <v>206</v>
      </c>
      <c r="C6" s="4"/>
      <c r="D6" s="4"/>
      <c r="E6" s="4"/>
      <c r="F6" s="4"/>
      <c r="G6" s="4"/>
      <c r="H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12" customFormat="1" x14ac:dyDescent="0.25">
      <c r="A7" s="9"/>
      <c r="B7" s="2"/>
      <c r="C7" s="2"/>
      <c r="D7" s="2"/>
      <c r="E7" s="2"/>
      <c r="F7" s="2"/>
      <c r="G7" s="2"/>
      <c r="H7" s="2"/>
      <c r="I7" s="2"/>
      <c r="J7" s="2"/>
      <c r="K7" s="2"/>
    </row>
    <row r="8" spans="1:24" s="12" customFormat="1" x14ac:dyDescent="0.25">
      <c r="A8" s="9"/>
      <c r="B8" s="166" t="s">
        <v>208</v>
      </c>
      <c r="C8" s="166" t="s">
        <v>103</v>
      </c>
      <c r="D8" s="16" t="s">
        <v>180</v>
      </c>
      <c r="E8" s="16" t="s">
        <v>181</v>
      </c>
      <c r="F8" s="16" t="s">
        <v>182</v>
      </c>
      <c r="G8" s="16" t="s">
        <v>183</v>
      </c>
      <c r="H8" s="167" t="s">
        <v>207</v>
      </c>
      <c r="I8" s="2"/>
      <c r="J8" s="2"/>
      <c r="K8" s="2"/>
    </row>
    <row r="9" spans="1:24" s="12" customFormat="1" x14ac:dyDescent="0.25">
      <c r="A9" s="9"/>
      <c r="B9" s="164" t="s">
        <v>198</v>
      </c>
      <c r="C9" s="85">
        <f>DCF!L191</f>
        <v>72.034034662833946</v>
      </c>
      <c r="D9" s="134">
        <f>Comps!R30</f>
        <v>12.517436609491371</v>
      </c>
      <c r="E9" s="134">
        <f>Comps!S30</f>
        <v>9.6120510851599636</v>
      </c>
      <c r="F9" s="134">
        <f>Comps!T30</f>
        <v>40.537366008098054</v>
      </c>
      <c r="G9" s="134">
        <f>Comps!U30</f>
        <v>35.648383845063712</v>
      </c>
      <c r="H9" s="86">
        <f>Comps!D39</f>
        <v>113.56</v>
      </c>
      <c r="I9" s="2"/>
      <c r="J9" s="2"/>
      <c r="K9" s="2"/>
    </row>
    <row r="10" spans="1:24" s="12" customFormat="1" x14ac:dyDescent="0.25">
      <c r="A10" s="9"/>
      <c r="B10" s="164" t="s">
        <v>102</v>
      </c>
      <c r="C10" s="85">
        <f>DCF!L192</f>
        <v>59.842471142488293</v>
      </c>
      <c r="D10" s="134">
        <f>Comps!R31</f>
        <v>10.633324596116726</v>
      </c>
      <c r="E10" s="134">
        <f>Comps!S31</f>
        <v>8.1557751054816876</v>
      </c>
      <c r="F10" s="134">
        <f>Comps!T31</f>
        <v>55.13722880053313</v>
      </c>
      <c r="G10" s="134">
        <f>Comps!U31</f>
        <v>53.334522931326276</v>
      </c>
      <c r="H10" s="86">
        <f>Comps!D40</f>
        <v>104.44327272727273</v>
      </c>
      <c r="I10" s="2"/>
      <c r="J10" s="2"/>
      <c r="K10" s="2"/>
    </row>
    <row r="11" spans="1:24" s="12" customFormat="1" x14ac:dyDescent="0.25">
      <c r="A11" s="9"/>
      <c r="B11" s="164" t="s">
        <v>199</v>
      </c>
      <c r="C11" s="85">
        <f>DCF!L193</f>
        <v>53.335455178321283</v>
      </c>
      <c r="D11" s="134">
        <f>Comps!R32</f>
        <v>6.0804137476308204</v>
      </c>
      <c r="E11" s="134">
        <f>Comps!S32</f>
        <v>6.7520420001663641</v>
      </c>
      <c r="F11" s="134">
        <f>Comps!T32</f>
        <v>14.978242259829351</v>
      </c>
      <c r="G11" s="134">
        <f>Comps!U32</f>
        <v>16.334052583312573</v>
      </c>
      <c r="H11" s="86">
        <f>Comps!D41</f>
        <v>101.84</v>
      </c>
      <c r="I11" s="2"/>
      <c r="J11" s="2"/>
      <c r="K11" s="2"/>
    </row>
    <row r="12" spans="1:24" s="12" customFormat="1" x14ac:dyDescent="0.25">
      <c r="A12" s="9"/>
      <c r="B12" s="165" t="s">
        <v>200</v>
      </c>
      <c r="C12" s="87">
        <f>DCF!L194</f>
        <v>35.884430504413487</v>
      </c>
      <c r="D12" s="88">
        <f>Comps!R33</f>
        <v>5.6471299234510139</v>
      </c>
      <c r="E12" s="88">
        <f>Comps!S33</f>
        <v>5.8434135630027244</v>
      </c>
      <c r="F12" s="88">
        <f>Comps!T33</f>
        <v>6.8224205333164774</v>
      </c>
      <c r="G12" s="88">
        <f>Comps!U33</f>
        <v>10.021672591360705</v>
      </c>
      <c r="H12" s="89">
        <f>Comps!D42</f>
        <v>96.775000000000006</v>
      </c>
      <c r="I12" s="2"/>
      <c r="J12" s="2"/>
      <c r="K12" s="2"/>
    </row>
    <row r="13" spans="1:24" s="12" customFormat="1" x14ac:dyDescent="0.25">
      <c r="A13" s="9"/>
      <c r="C13" s="2"/>
      <c r="D13" s="2"/>
      <c r="E13" s="2"/>
      <c r="F13" s="2"/>
      <c r="G13" s="2"/>
      <c r="H13" s="2"/>
      <c r="I13" s="2"/>
      <c r="J13" s="2"/>
      <c r="K13" s="2"/>
    </row>
    <row r="14" spans="1:24" s="12" customFormat="1" x14ac:dyDescent="0.25">
      <c r="A14" s="9"/>
      <c r="C14" s="2"/>
      <c r="D14" s="2"/>
      <c r="E14" s="2"/>
      <c r="F14" s="2"/>
      <c r="G14" s="2"/>
      <c r="H14" s="2"/>
      <c r="I14" s="2"/>
      <c r="J14" s="2"/>
      <c r="K14" s="2"/>
    </row>
    <row r="15" spans="1:24" s="12" customFormat="1" x14ac:dyDescent="0.25">
      <c r="A15" s="9" t="s">
        <v>10</v>
      </c>
      <c r="B15" s="3" t="s">
        <v>212</v>
      </c>
      <c r="C15" s="4"/>
      <c r="D15" s="4"/>
      <c r="E15" s="4"/>
      <c r="F15" s="4"/>
      <c r="G15" s="4"/>
      <c r="H15" s="4"/>
      <c r="I15" s="2"/>
      <c r="J15" s="2"/>
      <c r="K15" s="2"/>
    </row>
    <row r="16" spans="1:24" s="12" customFormat="1" x14ac:dyDescent="0.25">
      <c r="A16" s="9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s="12" customFormat="1" x14ac:dyDescent="0.25">
      <c r="A17" s="9"/>
      <c r="B17" s="79" t="s">
        <v>213</v>
      </c>
      <c r="C17" s="33" t="s">
        <v>214</v>
      </c>
      <c r="D17" s="33" t="s">
        <v>199</v>
      </c>
      <c r="E17" s="163" t="s">
        <v>215</v>
      </c>
      <c r="F17" s="2"/>
      <c r="G17" s="2"/>
      <c r="H17" s="2"/>
      <c r="I17" s="2"/>
      <c r="J17" s="2"/>
      <c r="K17" s="2"/>
    </row>
    <row r="18" spans="1:11" x14ac:dyDescent="0.25">
      <c r="B18" s="99" t="s">
        <v>103</v>
      </c>
      <c r="C18" s="82" cm="1">
        <f t="array" ref="C18:C23">TRANSPOSE(C12:H12)</f>
        <v>35.884430504413487</v>
      </c>
      <c r="D18" s="83" cm="1">
        <f t="array" ref="D18:D23">TRANSPOSE(C11:H11)</f>
        <v>53.335455178321283</v>
      </c>
      <c r="E18" s="84" cm="1">
        <f t="array" ref="E18:E23">TRANSPOSE(C9:H9)</f>
        <v>72.034034662833946</v>
      </c>
    </row>
    <row r="19" spans="1:11" x14ac:dyDescent="0.25">
      <c r="B19" s="99" t="s">
        <v>180</v>
      </c>
      <c r="C19" s="85">
        <v>5.6471299234510139</v>
      </c>
      <c r="D19" s="134">
        <v>6.0804137476308204</v>
      </c>
      <c r="E19" s="86">
        <v>12.517436609491371</v>
      </c>
    </row>
    <row r="20" spans="1:11" x14ac:dyDescent="0.25">
      <c r="B20" s="99" t="s">
        <v>181</v>
      </c>
      <c r="C20" s="85">
        <v>5.8434135630027244</v>
      </c>
      <c r="D20" s="134">
        <v>6.7520420001663641</v>
      </c>
      <c r="E20" s="86">
        <v>9.6120510851599636</v>
      </c>
    </row>
    <row r="21" spans="1:11" x14ac:dyDescent="0.25">
      <c r="B21" s="99" t="s">
        <v>182</v>
      </c>
      <c r="C21" s="85">
        <v>6.8224205333164774</v>
      </c>
      <c r="D21" s="134">
        <v>14.978242259829351</v>
      </c>
      <c r="E21" s="86">
        <v>40.537366008098054</v>
      </c>
    </row>
    <row r="22" spans="1:11" x14ac:dyDescent="0.25">
      <c r="B22" s="99" t="s">
        <v>183</v>
      </c>
      <c r="C22" s="85">
        <v>10.021672591360705</v>
      </c>
      <c r="D22" s="134">
        <v>16.334052583312573</v>
      </c>
      <c r="E22" s="86">
        <v>35.648383845063712</v>
      </c>
    </row>
    <row r="23" spans="1:11" x14ac:dyDescent="0.25">
      <c r="B23" s="168" t="s">
        <v>207</v>
      </c>
      <c r="C23" s="87">
        <v>96.775000000000006</v>
      </c>
      <c r="D23" s="88">
        <v>101.84</v>
      </c>
      <c r="E23" s="89">
        <v>113.56</v>
      </c>
    </row>
    <row r="25" spans="1:11" x14ac:dyDescent="0.25">
      <c r="A25" s="9" t="s">
        <v>10</v>
      </c>
      <c r="B25" s="3" t="s">
        <v>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542C-8D9A-48D7-B2A0-A6AF8CA9AB46}">
  <dimension ref="A2:U44"/>
  <sheetViews>
    <sheetView showGridLines="0" zoomScaleNormal="100" workbookViewId="0">
      <selection activeCell="B3" sqref="B3"/>
    </sheetView>
  </sheetViews>
  <sheetFormatPr defaultRowHeight="13.2" x14ac:dyDescent="0.25"/>
  <cols>
    <col min="1" max="1" width="2.88671875" style="2" customWidth="1"/>
    <col min="2" max="9" width="12.77734375" style="2" customWidth="1"/>
    <col min="10" max="10" width="15.21875" style="2" bestFit="1" customWidth="1"/>
    <col min="11" max="21" width="12.77734375" style="2" customWidth="1"/>
    <col min="22" max="16384" width="8.88671875" style="2"/>
  </cols>
  <sheetData>
    <row r="2" spans="1:21" ht="13.8" x14ac:dyDescent="0.25">
      <c r="B2" s="1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B3" s="3" t="s">
        <v>216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B4" s="8" t="s">
        <v>195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6" spans="1:21" x14ac:dyDescent="0.25">
      <c r="A6" s="10" t="s">
        <v>10</v>
      </c>
      <c r="B6" s="3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B7" s="41"/>
      <c r="C7" s="41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41"/>
      <c r="R7" s="41"/>
      <c r="S7" s="41"/>
      <c r="T7" s="41"/>
      <c r="U7" s="41"/>
    </row>
    <row r="8" spans="1:21" x14ac:dyDescent="0.25">
      <c r="B8" s="36" t="s">
        <v>174</v>
      </c>
      <c r="C8" s="36"/>
      <c r="D8" s="106" t="s">
        <v>175</v>
      </c>
      <c r="E8" s="106" t="s">
        <v>100</v>
      </c>
      <c r="F8" s="106" t="s">
        <v>176</v>
      </c>
      <c r="G8" s="106" t="s">
        <v>177</v>
      </c>
      <c r="H8" s="106" t="s">
        <v>88</v>
      </c>
      <c r="I8" s="106" t="s">
        <v>178</v>
      </c>
      <c r="J8" s="106" t="s">
        <v>196</v>
      </c>
      <c r="K8" s="106" t="s">
        <v>157</v>
      </c>
      <c r="L8" s="106" t="s">
        <v>179</v>
      </c>
      <c r="M8" s="106" t="s">
        <v>180</v>
      </c>
      <c r="N8" s="106" t="s">
        <v>181</v>
      </c>
      <c r="O8" s="106" t="s">
        <v>182</v>
      </c>
      <c r="P8" s="106" t="s">
        <v>183</v>
      </c>
      <c r="Q8" s="41"/>
      <c r="R8" s="41"/>
      <c r="S8" s="41"/>
      <c r="T8" s="41"/>
      <c r="U8" s="41"/>
    </row>
    <row r="9" spans="1:21" x14ac:dyDescent="0.25">
      <c r="B9" s="2" t="s">
        <v>184</v>
      </c>
      <c r="D9" s="109">
        <v>2100</v>
      </c>
      <c r="E9" s="110">
        <v>713.16</v>
      </c>
      <c r="F9" s="110">
        <v>44.03</v>
      </c>
      <c r="G9" s="111">
        <f>F9/E9</f>
        <v>6.1739301138594431E-2</v>
      </c>
      <c r="H9" s="112">
        <v>21.89</v>
      </c>
      <c r="I9" s="111">
        <f>H9/E9</f>
        <v>3.0694374333950308E-2</v>
      </c>
      <c r="J9" s="123">
        <v>119.02</v>
      </c>
      <c r="K9" s="110">
        <v>949.57</v>
      </c>
      <c r="L9" s="110">
        <v>1010</v>
      </c>
      <c r="M9" s="114"/>
      <c r="N9" s="114"/>
      <c r="O9" s="114"/>
      <c r="P9" s="114"/>
    </row>
    <row r="10" spans="1:21" x14ac:dyDescent="0.25">
      <c r="B10" s="56" t="s">
        <v>186</v>
      </c>
      <c r="C10" s="56"/>
      <c r="D10" s="115">
        <v>341</v>
      </c>
      <c r="E10" s="116">
        <v>286.27</v>
      </c>
      <c r="F10" s="116">
        <v>13.46</v>
      </c>
      <c r="G10" s="117">
        <f t="shared" ref="G10:G19" si="0">F10/E10</f>
        <v>4.701854892234604E-2</v>
      </c>
      <c r="H10" s="113">
        <v>8.5500000000000007</v>
      </c>
      <c r="I10" s="117">
        <f t="shared" ref="I10:I19" si="1">H10/E10</f>
        <v>2.9866908862262904E-2</v>
      </c>
      <c r="J10" s="124">
        <v>972.33</v>
      </c>
      <c r="K10" s="116">
        <v>448.48</v>
      </c>
      <c r="L10" s="116">
        <v>439.4</v>
      </c>
      <c r="M10" s="118">
        <f>L10/E10</f>
        <v>1.5349145911202711</v>
      </c>
      <c r="N10" s="118">
        <f>L10/F10</f>
        <v>32.644873699851409</v>
      </c>
      <c r="O10" s="118">
        <f>J10/E10</f>
        <v>3.3965487127536944</v>
      </c>
      <c r="P10" s="118">
        <f>J10/H10</f>
        <v>113.72280701754386</v>
      </c>
    </row>
    <row r="11" spans="1:21" x14ac:dyDescent="0.25">
      <c r="B11" s="2" t="s">
        <v>187</v>
      </c>
      <c r="D11" s="109">
        <v>440</v>
      </c>
      <c r="E11" s="113">
        <v>104.78</v>
      </c>
      <c r="F11" s="113">
        <v>8.07</v>
      </c>
      <c r="G11" s="117">
        <f t="shared" si="0"/>
        <v>7.701851498377553E-2</v>
      </c>
      <c r="H11" s="113">
        <v>3.7</v>
      </c>
      <c r="I11" s="117">
        <f t="shared" si="1"/>
        <v>3.5312082458484446E-2</v>
      </c>
      <c r="J11" s="123">
        <v>113.26</v>
      </c>
      <c r="K11" s="113">
        <v>47.76</v>
      </c>
      <c r="L11" s="113">
        <v>63.98</v>
      </c>
      <c r="M11" s="108">
        <f t="shared" ref="M11:M19" si="2">L11/E11</f>
        <v>0.61061271234968506</v>
      </c>
      <c r="N11" s="108">
        <f t="shared" ref="N11:N19" si="3">L11/F11</f>
        <v>7.9281288723667895</v>
      </c>
      <c r="O11" s="108">
        <f t="shared" ref="O11:O19" si="4">J11/E11</f>
        <v>1.0809314754724184</v>
      </c>
      <c r="P11" s="108">
        <f t="shared" ref="P11:P19" si="5">J11/H11</f>
        <v>30.610810810810811</v>
      </c>
    </row>
    <row r="12" spans="1:21" x14ac:dyDescent="0.25">
      <c r="B12" s="2" t="s">
        <v>188</v>
      </c>
      <c r="D12" s="109">
        <v>300</v>
      </c>
      <c r="E12" s="113">
        <v>399.83</v>
      </c>
      <c r="F12" s="113">
        <v>14.63</v>
      </c>
      <c r="G12" s="117">
        <f t="shared" si="0"/>
        <v>3.6590550984168274E-2</v>
      </c>
      <c r="H12" s="113">
        <v>1.77</v>
      </c>
      <c r="I12" s="117">
        <f t="shared" si="1"/>
        <v>4.4268814246054573E-3</v>
      </c>
      <c r="J12" s="123">
        <v>71.5</v>
      </c>
      <c r="K12" s="113">
        <v>100.87</v>
      </c>
      <c r="L12" s="113">
        <v>171.39</v>
      </c>
      <c r="M12" s="108">
        <f t="shared" si="2"/>
        <v>0.42865717930120301</v>
      </c>
      <c r="N12" s="108">
        <f t="shared" si="3"/>
        <v>11.714969241285029</v>
      </c>
      <c r="O12" s="108">
        <f t="shared" si="4"/>
        <v>0.17882600105044644</v>
      </c>
      <c r="P12" s="108">
        <f t="shared" si="5"/>
        <v>40.395480225988699</v>
      </c>
    </row>
    <row r="13" spans="1:21" x14ac:dyDescent="0.25">
      <c r="B13" s="2" t="s">
        <v>191</v>
      </c>
      <c r="D13" s="109">
        <v>220</v>
      </c>
      <c r="E13" s="113">
        <v>63.9</v>
      </c>
      <c r="F13" s="113">
        <v>5.63</v>
      </c>
      <c r="G13" s="117">
        <f t="shared" si="0"/>
        <v>8.8106416275430366E-2</v>
      </c>
      <c r="H13" s="113">
        <v>2.5299999999999998</v>
      </c>
      <c r="I13" s="117">
        <f t="shared" si="1"/>
        <v>3.9593114241001565E-2</v>
      </c>
      <c r="J13" s="123">
        <v>44.02</v>
      </c>
      <c r="K13" s="113">
        <v>45.56</v>
      </c>
      <c r="L13" s="113">
        <v>56.55</v>
      </c>
      <c r="M13" s="108">
        <f t="shared" si="2"/>
        <v>0.88497652582159625</v>
      </c>
      <c r="N13" s="108">
        <f t="shared" si="3"/>
        <v>10.044404973357016</v>
      </c>
      <c r="O13" s="108">
        <f t="shared" si="4"/>
        <v>0.68888888888888899</v>
      </c>
      <c r="P13" s="108">
        <f t="shared" si="5"/>
        <v>17.399209486166011</v>
      </c>
    </row>
    <row r="14" spans="1:21" x14ac:dyDescent="0.25">
      <c r="B14" s="2" t="s">
        <v>197</v>
      </c>
      <c r="D14" s="109">
        <v>409</v>
      </c>
      <c r="E14" s="113">
        <v>147.63999999999999</v>
      </c>
      <c r="F14" s="113">
        <v>7.96</v>
      </c>
      <c r="G14" s="117">
        <f t="shared" si="0"/>
        <v>5.3914928203738832E-2</v>
      </c>
      <c r="H14" s="113">
        <v>1.02</v>
      </c>
      <c r="I14" s="117">
        <f t="shared" si="1"/>
        <v>6.9086968301273373E-3</v>
      </c>
      <c r="J14" s="123">
        <v>73.2</v>
      </c>
      <c r="K14" s="113">
        <v>39.770000000000003</v>
      </c>
      <c r="L14" s="113">
        <v>59.91</v>
      </c>
      <c r="M14" s="108">
        <f t="shared" si="2"/>
        <v>0.40578434028718507</v>
      </c>
      <c r="N14" s="108">
        <f t="shared" si="3"/>
        <v>7.5263819095477382</v>
      </c>
      <c r="O14" s="108">
        <f t="shared" si="4"/>
        <v>0.4958005960444325</v>
      </c>
      <c r="P14" s="108">
        <f t="shared" si="5"/>
        <v>71.764705882352942</v>
      </c>
    </row>
    <row r="15" spans="1:21" x14ac:dyDescent="0.25">
      <c r="B15" s="2" t="s">
        <v>192</v>
      </c>
      <c r="D15" s="109">
        <v>341</v>
      </c>
      <c r="E15" s="113">
        <v>71.180000000000007</v>
      </c>
      <c r="F15" s="113">
        <v>4.26</v>
      </c>
      <c r="G15" s="117">
        <f t="shared" si="0"/>
        <v>5.9848271986513053E-2</v>
      </c>
      <c r="H15" s="113">
        <v>1.53</v>
      </c>
      <c r="I15" s="117">
        <f t="shared" si="1"/>
        <v>2.1494801910649057E-2</v>
      </c>
      <c r="J15" s="123">
        <v>625.47</v>
      </c>
      <c r="K15" s="113">
        <v>29.8</v>
      </c>
      <c r="L15" s="113">
        <v>40.200000000000003</v>
      </c>
      <c r="M15" s="108">
        <f t="shared" si="2"/>
        <v>0.56476538353470074</v>
      </c>
      <c r="N15" s="108">
        <f t="shared" si="3"/>
        <v>9.4366197183098599</v>
      </c>
      <c r="O15" s="108">
        <f t="shared" si="4"/>
        <v>8.7871593144141613</v>
      </c>
      <c r="P15" s="108">
        <f t="shared" si="5"/>
        <v>408.80392156862746</v>
      </c>
    </row>
    <row r="16" spans="1:21" x14ac:dyDescent="0.25">
      <c r="B16" s="2" t="s">
        <v>193</v>
      </c>
      <c r="D16" s="109">
        <v>30</v>
      </c>
      <c r="E16" s="113">
        <v>39.42</v>
      </c>
      <c r="F16" s="113">
        <v>1.71</v>
      </c>
      <c r="G16" s="117">
        <f t="shared" si="0"/>
        <v>4.3378995433789952E-2</v>
      </c>
      <c r="H16" s="113">
        <v>0.67600000000000005</v>
      </c>
      <c r="I16" s="117">
        <f t="shared" si="1"/>
        <v>1.714865550481989E-2</v>
      </c>
      <c r="J16" s="123">
        <v>89.4</v>
      </c>
      <c r="K16" s="113">
        <v>16.61</v>
      </c>
      <c r="L16" s="113">
        <v>21.67</v>
      </c>
      <c r="M16" s="108">
        <f t="shared" si="2"/>
        <v>0.54972095383054287</v>
      </c>
      <c r="N16" s="108">
        <f t="shared" si="3"/>
        <v>12.672514619883042</v>
      </c>
      <c r="O16" s="108">
        <f t="shared" si="4"/>
        <v>2.2678843226788432</v>
      </c>
      <c r="P16" s="108">
        <f t="shared" si="5"/>
        <v>132.24852071005918</v>
      </c>
    </row>
    <row r="17" spans="1:21" x14ac:dyDescent="0.25">
      <c r="B17" s="2" t="s">
        <v>194</v>
      </c>
      <c r="D17" s="109">
        <v>75</v>
      </c>
      <c r="E17" s="113">
        <v>82.65</v>
      </c>
      <c r="F17" s="113">
        <v>4.5199999999999996</v>
      </c>
      <c r="G17" s="117">
        <f t="shared" si="0"/>
        <v>5.4688445251058669E-2</v>
      </c>
      <c r="H17" s="113">
        <v>1.8</v>
      </c>
      <c r="I17" s="117">
        <f t="shared" si="1"/>
        <v>2.1778584392014518E-2</v>
      </c>
      <c r="J17" s="123">
        <v>81.33</v>
      </c>
      <c r="K17" s="113">
        <v>35.29</v>
      </c>
      <c r="L17" s="113">
        <v>49.03</v>
      </c>
      <c r="M17" s="108">
        <f t="shared" si="2"/>
        <v>0.59322444041137323</v>
      </c>
      <c r="N17" s="108">
        <f t="shared" si="3"/>
        <v>10.847345132743364</v>
      </c>
      <c r="O17" s="108">
        <f t="shared" si="4"/>
        <v>0.98402903811252262</v>
      </c>
      <c r="P17" s="108">
        <f t="shared" si="5"/>
        <v>45.18333333333333</v>
      </c>
    </row>
    <row r="18" spans="1:21" x14ac:dyDescent="0.25">
      <c r="B18" s="2" t="s">
        <v>189</v>
      </c>
      <c r="D18" s="109">
        <v>95</v>
      </c>
      <c r="E18" s="113">
        <v>17.78</v>
      </c>
      <c r="F18" s="113">
        <v>3.97</v>
      </c>
      <c r="G18" s="117">
        <f t="shared" si="0"/>
        <v>0.22328458942632171</v>
      </c>
      <c r="H18" s="113">
        <v>2.54</v>
      </c>
      <c r="I18" s="117">
        <f t="shared" si="1"/>
        <v>0.14285714285714285</v>
      </c>
      <c r="J18" s="123">
        <v>87.3</v>
      </c>
      <c r="K18" s="113">
        <v>65.37</v>
      </c>
      <c r="L18" s="113">
        <v>72.349999999999994</v>
      </c>
      <c r="M18" s="108">
        <f t="shared" si="2"/>
        <v>4.0691788526434189</v>
      </c>
      <c r="N18" s="108">
        <f t="shared" si="3"/>
        <v>18.224181360201509</v>
      </c>
      <c r="O18" s="108">
        <f t="shared" si="4"/>
        <v>4.9100112485939249</v>
      </c>
      <c r="P18" s="108">
        <f t="shared" si="5"/>
        <v>34.370078740157481</v>
      </c>
    </row>
    <row r="19" spans="1:21" x14ac:dyDescent="0.25">
      <c r="B19" s="15" t="s">
        <v>190</v>
      </c>
      <c r="C19" s="15"/>
      <c r="D19" s="119">
        <v>23.4</v>
      </c>
      <c r="E19" s="120">
        <v>16.98</v>
      </c>
      <c r="F19" s="120">
        <v>1.39</v>
      </c>
      <c r="G19" s="111">
        <f t="shared" si="0"/>
        <v>8.1861012956419316E-2</v>
      </c>
      <c r="H19" s="120">
        <v>0.65</v>
      </c>
      <c r="I19" s="111">
        <f t="shared" si="1"/>
        <v>3.828032979976443E-2</v>
      </c>
      <c r="J19" s="125">
        <v>659.63</v>
      </c>
      <c r="K19" s="120">
        <v>22.48</v>
      </c>
      <c r="L19" s="120">
        <v>24.91</v>
      </c>
      <c r="M19" s="121">
        <f t="shared" si="2"/>
        <v>1.467020023557126</v>
      </c>
      <c r="N19" s="121">
        <f t="shared" si="3"/>
        <v>17.920863309352519</v>
      </c>
      <c r="O19" s="121">
        <f t="shared" si="4"/>
        <v>38.847467608951703</v>
      </c>
      <c r="P19" s="121">
        <f t="shared" si="5"/>
        <v>1014.8153846153846</v>
      </c>
    </row>
    <row r="20" spans="1:21" x14ac:dyDescent="0.25">
      <c r="D20" s="9"/>
      <c r="E20" s="9"/>
      <c r="F20" s="9"/>
      <c r="G20" s="9"/>
      <c r="H20" s="9"/>
      <c r="I20" s="9"/>
      <c r="J20" s="122"/>
      <c r="K20" s="9"/>
      <c r="L20" s="9"/>
      <c r="M20" s="9"/>
      <c r="N20" s="9"/>
      <c r="O20" s="9"/>
      <c r="P20" s="9"/>
    </row>
    <row r="21" spans="1:21" x14ac:dyDescent="0.25">
      <c r="B21" s="128" t="s">
        <v>198</v>
      </c>
      <c r="C21" s="129"/>
      <c r="D21" s="130"/>
      <c r="E21" s="130"/>
      <c r="F21" s="130"/>
      <c r="G21" s="130"/>
      <c r="H21" s="130"/>
      <c r="I21" s="130"/>
      <c r="J21" s="130"/>
      <c r="K21" s="130"/>
      <c r="L21" s="130"/>
      <c r="M21" s="131">
        <f>QUARTILE(M10:M19,3)</f>
        <v>1.3215091491232436</v>
      </c>
      <c r="N21" s="131">
        <f>QUARTILE(N10:N19,3)</f>
        <v>16.608776136985149</v>
      </c>
      <c r="O21" s="131">
        <f>QUARTILE(O10:O19,3)</f>
        <v>4.5316456146338675</v>
      </c>
      <c r="P21" s="131">
        <f>QUARTILE(P10:P19,3)</f>
        <v>127.61709228693036</v>
      </c>
    </row>
    <row r="22" spans="1:21" x14ac:dyDescent="0.25">
      <c r="B22" s="128" t="s">
        <v>102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1">
        <f>AVERAGE(M10:M19)</f>
        <v>1.1108855002857103</v>
      </c>
      <c r="N22" s="131">
        <f>AVERAGE(N10:N19)</f>
        <v>13.89602828368983</v>
      </c>
      <c r="O22" s="131">
        <f>AVERAGE(O10:O19)</f>
        <v>6.1637547206961036</v>
      </c>
      <c r="P22" s="131">
        <f>AVERAGE(P10:P19)</f>
        <v>190.93142523904243</v>
      </c>
    </row>
    <row r="23" spans="1:21" x14ac:dyDescent="0.25">
      <c r="B23" s="128" t="s">
        <v>199</v>
      </c>
      <c r="C23" s="128"/>
      <c r="D23" s="132"/>
      <c r="E23" s="132"/>
      <c r="F23" s="132"/>
      <c r="G23" s="132"/>
      <c r="H23" s="132"/>
      <c r="I23" s="132"/>
      <c r="J23" s="132"/>
      <c r="K23" s="132"/>
      <c r="L23" s="132"/>
      <c r="M23" s="133">
        <f>MEDIAN(M10:M19)</f>
        <v>0.60191857638052915</v>
      </c>
      <c r="N23" s="133">
        <f>MEDIAN(N10:N19)</f>
        <v>11.281157187014196</v>
      </c>
      <c r="O23" s="133">
        <f>MEDIAN(O10:O19)</f>
        <v>1.6744078990756308</v>
      </c>
      <c r="P23" s="133">
        <f>MEDIAN(P10:P19)</f>
        <v>58.474019607843132</v>
      </c>
    </row>
    <row r="24" spans="1:21" x14ac:dyDescent="0.25">
      <c r="B24" s="128" t="s">
        <v>200</v>
      </c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1">
        <f>QUARTILE(M10:M19,1)</f>
        <v>0.55348206125658228</v>
      </c>
      <c r="N24" s="131">
        <f>QUARTILE(N10:N19,1)</f>
        <v>9.5885660320716486</v>
      </c>
      <c r="O24" s="131">
        <f>QUARTILE(O10:O19,1)</f>
        <v>0.76267392619479746</v>
      </c>
      <c r="P24" s="131">
        <f>QUARTILE(P10:P19,1)</f>
        <v>35.876429111615288</v>
      </c>
    </row>
    <row r="27" spans="1:21" x14ac:dyDescent="0.25">
      <c r="A27" s="10" t="s">
        <v>10</v>
      </c>
      <c r="B27" s="3" t="s">
        <v>206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B28" s="41"/>
      <c r="C28" s="41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91" t="s">
        <v>168</v>
      </c>
      <c r="O28" s="191"/>
      <c r="P28" s="191"/>
      <c r="Q28" s="191"/>
      <c r="R28" s="192" t="s">
        <v>170</v>
      </c>
      <c r="S28" s="191"/>
      <c r="T28" s="191"/>
      <c r="U28" s="191"/>
    </row>
    <row r="29" spans="1:21" x14ac:dyDescent="0.25">
      <c r="B29" s="38" t="s">
        <v>0</v>
      </c>
      <c r="C29" s="38"/>
      <c r="D29" s="105" t="s">
        <v>100</v>
      </c>
      <c r="E29" s="105" t="s">
        <v>176</v>
      </c>
      <c r="F29" s="105" t="s">
        <v>88</v>
      </c>
      <c r="G29" s="105" t="s">
        <v>201</v>
      </c>
      <c r="H29" s="105" t="s">
        <v>202</v>
      </c>
      <c r="I29" s="105" t="s">
        <v>31</v>
      </c>
      <c r="J29" s="105" t="s">
        <v>180</v>
      </c>
      <c r="K29" s="105" t="s">
        <v>181</v>
      </c>
      <c r="L29" s="105" t="s">
        <v>182</v>
      </c>
      <c r="M29" s="105" t="s">
        <v>183</v>
      </c>
      <c r="N29" s="105" t="s">
        <v>180</v>
      </c>
      <c r="O29" s="105" t="s">
        <v>181</v>
      </c>
      <c r="P29" s="105" t="s">
        <v>182</v>
      </c>
      <c r="Q29" s="105" t="s">
        <v>183</v>
      </c>
      <c r="R29" s="126" t="s">
        <v>180</v>
      </c>
      <c r="S29" s="105" t="s">
        <v>181</v>
      </c>
      <c r="T29" s="105" t="s">
        <v>182</v>
      </c>
      <c r="U29" s="105" t="s">
        <v>183</v>
      </c>
    </row>
    <row r="30" spans="1:21" x14ac:dyDescent="0.25">
      <c r="B30" s="12" t="s">
        <v>198</v>
      </c>
      <c r="D30" s="107">
        <v>713.16300000000001</v>
      </c>
      <c r="E30" s="107">
        <v>42.798000000000002</v>
      </c>
      <c r="F30" s="107">
        <v>22.27</v>
      </c>
      <c r="G30" s="107">
        <v>7972.4025009999996</v>
      </c>
      <c r="H30" s="107">
        <v>10.727</v>
      </c>
      <c r="I30" s="107">
        <v>44.762</v>
      </c>
      <c r="J30" s="108">
        <f>M21</f>
        <v>1.3215091491232436</v>
      </c>
      <c r="K30" s="108">
        <f t="shared" ref="J30:M33" si="6">N21</f>
        <v>16.608776136985149</v>
      </c>
      <c r="L30" s="108">
        <f t="shared" si="6"/>
        <v>4.5316456146338675</v>
      </c>
      <c r="M30" s="108">
        <f t="shared" si="6"/>
        <v>127.61709228693036</v>
      </c>
      <c r="N30" s="107">
        <f t="shared" ref="N30:N33" si="7">J30*D30+H30+I30</f>
        <v>997.94042931617969</v>
      </c>
      <c r="O30" s="107">
        <f t="shared" ref="O30:O33" si="8">K30*E30+H30+I30</f>
        <v>766.31140111069044</v>
      </c>
      <c r="P30" s="107">
        <f t="shared" ref="P30:P33" si="9">L30*D30</f>
        <v>3231.8019814691329</v>
      </c>
      <c r="Q30" s="107">
        <f t="shared" ref="Q30:Q33" si="10">M30*F30</f>
        <v>2842.0326452299391</v>
      </c>
      <c r="R30" s="127">
        <f>N30*100/$G30</f>
        <v>12.517436609491371</v>
      </c>
      <c r="S30" s="123">
        <f t="shared" ref="S30:U33" si="11">O30*100/$G30</f>
        <v>9.6120510851599636</v>
      </c>
      <c r="T30" s="123">
        <f t="shared" si="11"/>
        <v>40.537366008098054</v>
      </c>
      <c r="U30" s="123">
        <f t="shared" si="11"/>
        <v>35.648383845063712</v>
      </c>
    </row>
    <row r="31" spans="1:21" x14ac:dyDescent="0.25">
      <c r="B31" s="12" t="s">
        <v>102</v>
      </c>
      <c r="D31" s="107">
        <v>713.16300000000001</v>
      </c>
      <c r="E31" s="107">
        <v>42.798000000000002</v>
      </c>
      <c r="F31" s="107">
        <v>22.27</v>
      </c>
      <c r="G31" s="107">
        <v>7972.4025009999996</v>
      </c>
      <c r="H31" s="107">
        <v>10.727</v>
      </c>
      <c r="I31" s="107">
        <v>44.762</v>
      </c>
      <c r="J31" s="108">
        <f t="shared" si="6"/>
        <v>1.1108855002857103</v>
      </c>
      <c r="K31" s="108">
        <f t="shared" si="6"/>
        <v>13.89602828368983</v>
      </c>
      <c r="L31" s="108">
        <f t="shared" si="6"/>
        <v>6.1637547206961036</v>
      </c>
      <c r="M31" s="108">
        <f t="shared" si="6"/>
        <v>190.93142523904243</v>
      </c>
      <c r="N31" s="107">
        <f t="shared" si="7"/>
        <v>847.7314360402579</v>
      </c>
      <c r="O31" s="107">
        <f t="shared" si="8"/>
        <v>650.21121848535745</v>
      </c>
      <c r="P31" s="107">
        <f t="shared" si="9"/>
        <v>4395.7618078757951</v>
      </c>
      <c r="Q31" s="107">
        <f t="shared" si="10"/>
        <v>4252.0428400734745</v>
      </c>
      <c r="R31" s="127">
        <f t="shared" ref="R31:R33" si="12">N31*100/$G31</f>
        <v>10.633324596116726</v>
      </c>
      <c r="S31" s="123">
        <f>O31*100/$G31</f>
        <v>8.1557751054816876</v>
      </c>
      <c r="T31" s="123">
        <f>P31*100/$G31</f>
        <v>55.13722880053313</v>
      </c>
      <c r="U31" s="123">
        <f t="shared" si="11"/>
        <v>53.334522931326276</v>
      </c>
    </row>
    <row r="32" spans="1:21" x14ac:dyDescent="0.25">
      <c r="B32" s="12" t="s">
        <v>199</v>
      </c>
      <c r="D32" s="107">
        <v>713.16300000000001</v>
      </c>
      <c r="E32" s="107">
        <v>42.798000000000002</v>
      </c>
      <c r="F32" s="107">
        <v>22.27</v>
      </c>
      <c r="G32" s="107">
        <v>7972.4025009999996</v>
      </c>
      <c r="H32" s="107">
        <v>10.727</v>
      </c>
      <c r="I32" s="107">
        <v>44.762</v>
      </c>
      <c r="J32" s="108">
        <f t="shared" si="6"/>
        <v>0.60191857638052915</v>
      </c>
      <c r="K32" s="108">
        <f t="shared" si="6"/>
        <v>11.281157187014196</v>
      </c>
      <c r="L32" s="108">
        <f t="shared" si="6"/>
        <v>1.6744078990756308</v>
      </c>
      <c r="M32" s="108">
        <f t="shared" si="6"/>
        <v>58.474019607843132</v>
      </c>
      <c r="N32" s="107">
        <f t="shared" si="7"/>
        <v>484.75505768726731</v>
      </c>
      <c r="O32" s="107">
        <f t="shared" si="8"/>
        <v>538.29996528983361</v>
      </c>
      <c r="P32" s="107">
        <f t="shared" si="9"/>
        <v>1194.1257605284741</v>
      </c>
      <c r="Q32" s="107">
        <f t="shared" si="10"/>
        <v>1302.2164166666666</v>
      </c>
      <c r="R32" s="127">
        <f t="shared" si="12"/>
        <v>6.0804137476308204</v>
      </c>
      <c r="S32" s="123">
        <f t="shared" si="11"/>
        <v>6.7520420001663641</v>
      </c>
      <c r="T32" s="123">
        <f t="shared" si="11"/>
        <v>14.978242259829351</v>
      </c>
      <c r="U32" s="123">
        <f t="shared" si="11"/>
        <v>16.334052583312573</v>
      </c>
    </row>
    <row r="33" spans="1:21" x14ac:dyDescent="0.25">
      <c r="B33" s="12" t="s">
        <v>200</v>
      </c>
      <c r="D33" s="107">
        <v>713.16300000000001</v>
      </c>
      <c r="E33" s="107">
        <v>42.798000000000002</v>
      </c>
      <c r="F33" s="107">
        <v>22.27</v>
      </c>
      <c r="G33" s="107">
        <v>7972.4025009999996</v>
      </c>
      <c r="H33" s="107">
        <v>10.727</v>
      </c>
      <c r="I33" s="107">
        <v>44.762</v>
      </c>
      <c r="J33" s="108">
        <f t="shared" si="6"/>
        <v>0.55348206125658228</v>
      </c>
      <c r="K33" s="108">
        <f t="shared" si="6"/>
        <v>9.5885660320716486</v>
      </c>
      <c r="L33" s="108">
        <f t="shared" si="6"/>
        <v>0.76267392619479746</v>
      </c>
      <c r="M33" s="108">
        <f t="shared" si="6"/>
        <v>35.876429111615288</v>
      </c>
      <c r="N33" s="107">
        <f t="shared" si="7"/>
        <v>450.21192725192799</v>
      </c>
      <c r="O33" s="107">
        <f t="shared" si="8"/>
        <v>465.86044904060242</v>
      </c>
      <c r="P33" s="107">
        <f t="shared" si="9"/>
        <v>543.91082522686031</v>
      </c>
      <c r="Q33" s="107">
        <f t="shared" si="10"/>
        <v>798.96807631567242</v>
      </c>
      <c r="R33" s="127">
        <f t="shared" si="12"/>
        <v>5.6471299234510139</v>
      </c>
      <c r="S33" s="123">
        <f t="shared" si="11"/>
        <v>5.8434135630027244</v>
      </c>
      <c r="T33" s="123">
        <f t="shared" si="11"/>
        <v>6.8224205333164774</v>
      </c>
      <c r="U33" s="123">
        <f t="shared" si="11"/>
        <v>10.021672591360705</v>
      </c>
    </row>
    <row r="34" spans="1:21" x14ac:dyDescent="0.25">
      <c r="B34" s="12"/>
      <c r="D34" s="107"/>
      <c r="E34" s="107"/>
      <c r="F34" s="107"/>
      <c r="G34" s="107"/>
      <c r="H34" s="107"/>
      <c r="I34" s="107"/>
      <c r="J34" s="108"/>
      <c r="K34" s="108"/>
      <c r="L34" s="108"/>
      <c r="M34" s="108"/>
      <c r="N34" s="107"/>
      <c r="O34" s="107"/>
      <c r="P34" s="107"/>
      <c r="Q34" s="107"/>
      <c r="R34" s="123"/>
      <c r="S34" s="123"/>
      <c r="T34" s="123"/>
      <c r="U34" s="123"/>
    </row>
    <row r="36" spans="1:21" x14ac:dyDescent="0.25">
      <c r="A36" s="10" t="s">
        <v>10</v>
      </c>
      <c r="B36" s="3" t="s">
        <v>205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B37" s="41"/>
      <c r="C37" s="41"/>
      <c r="D37" s="41"/>
    </row>
    <row r="38" spans="1:21" x14ac:dyDescent="0.25">
      <c r="B38" s="38" t="s">
        <v>206</v>
      </c>
      <c r="C38" s="43"/>
      <c r="D38" s="43"/>
    </row>
    <row r="39" spans="1:21" x14ac:dyDescent="0.25">
      <c r="B39" s="154" t="s">
        <v>198</v>
      </c>
      <c r="C39" s="155"/>
      <c r="D39" s="156">
        <f>QUARTILE(Input!S4:S58,3)</f>
        <v>113.56</v>
      </c>
    </row>
    <row r="40" spans="1:21" x14ac:dyDescent="0.25">
      <c r="B40" s="157" t="s">
        <v>102</v>
      </c>
      <c r="C40" s="158"/>
      <c r="D40" s="159">
        <f>AVERAGE(Input!S4:S58)</f>
        <v>104.44327272727273</v>
      </c>
    </row>
    <row r="41" spans="1:21" x14ac:dyDescent="0.25">
      <c r="B41" s="157" t="s">
        <v>199</v>
      </c>
      <c r="C41" s="158"/>
      <c r="D41" s="159">
        <f>MEDIAN(Input!S4:S58)</f>
        <v>101.84</v>
      </c>
    </row>
    <row r="42" spans="1:21" x14ac:dyDescent="0.25">
      <c r="B42" s="160" t="s">
        <v>200</v>
      </c>
      <c r="C42" s="161"/>
      <c r="D42" s="162">
        <f>QUARTILE(Input!S4:S58,1)</f>
        <v>96.775000000000006</v>
      </c>
    </row>
    <row r="44" spans="1:21" x14ac:dyDescent="0.25">
      <c r="A44" s="10" t="s">
        <v>10</v>
      </c>
      <c r="B44" s="3" t="s">
        <v>203</v>
      </c>
    </row>
  </sheetData>
  <mergeCells count="2">
    <mergeCell ref="N28:Q28"/>
    <mergeCell ref="R28:U28"/>
  </mergeCells>
  <pageMargins left="0.7" right="0.7" top="0.75" bottom="0.75" header="0.3" footer="0.3"/>
  <ignoredErrors>
    <ignoredError sqref="D39:D4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EF79-4CE7-40AC-978D-895655F9464D}">
  <dimension ref="A2:XFD241"/>
  <sheetViews>
    <sheetView showGridLines="0" tabSelected="1" topLeftCell="A53" zoomScale="85" zoomScaleNormal="85" workbookViewId="0">
      <selection activeCell="F248" sqref="F248"/>
    </sheetView>
  </sheetViews>
  <sheetFormatPr defaultRowHeight="13.2" outlineLevelRow="1" x14ac:dyDescent="0.25"/>
  <cols>
    <col min="1" max="1" width="2.88671875" style="10" customWidth="1"/>
    <col min="2" max="2" width="8.88671875" style="2" customWidth="1"/>
    <col min="3" max="3" width="8.88671875" style="2"/>
    <col min="4" max="4" width="8.88671875" style="2" customWidth="1"/>
    <col min="5" max="5" width="11.44140625" style="2" bestFit="1" customWidth="1"/>
    <col min="6" max="6" width="8.88671875" style="2"/>
    <col min="7" max="19" width="12.77734375" style="2" customWidth="1"/>
    <col min="20" max="16384" width="8.88671875" style="2"/>
  </cols>
  <sheetData>
    <row r="2" spans="1:19 16384:16384" ht="13.8" x14ac:dyDescent="0.25">
      <c r="B2" s="1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 16384:16384" x14ac:dyDescent="0.25">
      <c r="B3" s="3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 16384:16384" x14ac:dyDescent="0.25">
      <c r="B4" s="8" t="s">
        <v>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6" spans="1:19 16384:16384" x14ac:dyDescent="0.25">
      <c r="A6" s="10" t="s">
        <v>10</v>
      </c>
      <c r="B6" s="3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8" spans="1:19 16384:16384" x14ac:dyDescent="0.25">
      <c r="B8" s="12" t="s">
        <v>1</v>
      </c>
      <c r="E8" s="5" t="s">
        <v>0</v>
      </c>
      <c r="G8" s="12" t="s">
        <v>5</v>
      </c>
      <c r="J8" s="90">
        <f ca="1">O185</f>
        <v>39.729145609594411</v>
      </c>
    </row>
    <row r="9" spans="1:19 16384:16384" x14ac:dyDescent="0.25">
      <c r="B9" s="12" t="s">
        <v>2</v>
      </c>
      <c r="E9" s="5" t="s">
        <v>185</v>
      </c>
      <c r="G9" s="12" t="s">
        <v>6</v>
      </c>
      <c r="J9" s="92">
        <f ca="1">J8/E11-1</f>
        <v>-0.66614163353282008</v>
      </c>
    </row>
    <row r="10" spans="1:19 16384:16384" x14ac:dyDescent="0.25">
      <c r="B10" s="12" t="s">
        <v>3</v>
      </c>
      <c r="E10" s="6">
        <f ca="1">TODAY()</f>
        <v>46106</v>
      </c>
    </row>
    <row r="11" spans="1:19 16384:16384" x14ac:dyDescent="0.25">
      <c r="B11" s="12" t="s">
        <v>4</v>
      </c>
      <c r="E11" s="7">
        <v>119</v>
      </c>
    </row>
    <row r="13" spans="1:19 16384:16384" x14ac:dyDescent="0.25">
      <c r="A13" s="10" t="s">
        <v>10</v>
      </c>
      <c r="B13" s="3" t="s">
        <v>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5" spans="1:19 16384:16384" outlineLevel="1" x14ac:dyDescent="0.25">
      <c r="B15" s="14" t="s">
        <v>15</v>
      </c>
      <c r="C15" s="15"/>
      <c r="D15" s="15"/>
      <c r="E15" s="15"/>
      <c r="G15" s="58" t="s">
        <v>16</v>
      </c>
      <c r="H15" s="58" t="s">
        <v>17</v>
      </c>
      <c r="I15" s="58" t="s">
        <v>102</v>
      </c>
      <c r="J15" s="9"/>
      <c r="K15" s="58" t="s">
        <v>18</v>
      </c>
      <c r="L15" s="58" t="s">
        <v>17</v>
      </c>
      <c r="M15" s="58" t="s">
        <v>102</v>
      </c>
      <c r="N15" s="9"/>
      <c r="O15" s="58" t="s">
        <v>19</v>
      </c>
      <c r="P15" s="58" t="s">
        <v>17</v>
      </c>
      <c r="Q15" s="58" t="s">
        <v>102</v>
      </c>
      <c r="XFD15" s="12"/>
    </row>
    <row r="16" spans="1:19 16384:16384" outlineLevel="1" x14ac:dyDescent="0.25"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9" outlineLevel="1" x14ac:dyDescent="0.25">
      <c r="B17" s="12" t="s">
        <v>65</v>
      </c>
      <c r="C17" s="12"/>
      <c r="D17" s="12"/>
      <c r="E17" s="79">
        <v>1</v>
      </c>
      <c r="G17" s="35" t="s">
        <v>100</v>
      </c>
      <c r="H17" s="9" t="s">
        <v>101</v>
      </c>
      <c r="I17" s="59">
        <v>-1.4529608807638538E-4</v>
      </c>
      <c r="J17" s="9"/>
      <c r="K17" s="35" t="s">
        <v>100</v>
      </c>
      <c r="L17" s="9" t="s">
        <v>101</v>
      </c>
      <c r="M17" s="59">
        <v>4.5044039140573797E-2</v>
      </c>
      <c r="N17" s="9"/>
      <c r="O17" s="35" t="s">
        <v>100</v>
      </c>
      <c r="P17" s="9" t="s">
        <v>101</v>
      </c>
      <c r="Q17" s="59">
        <v>5.9521415750590424E-2</v>
      </c>
    </row>
    <row r="18" spans="1:19" outlineLevel="1" x14ac:dyDescent="0.25">
      <c r="G18" s="35" t="s">
        <v>58</v>
      </c>
      <c r="H18" s="9" t="s">
        <v>101</v>
      </c>
      <c r="I18" s="59">
        <v>6.3106600667349563E-2</v>
      </c>
      <c r="J18" s="9"/>
      <c r="K18" s="35" t="s">
        <v>58</v>
      </c>
      <c r="L18" s="9" t="s">
        <v>101</v>
      </c>
      <c r="M18" s="59">
        <v>4.8084527145906317E-2</v>
      </c>
      <c r="N18" s="9"/>
      <c r="O18" s="35" t="s">
        <v>58</v>
      </c>
      <c r="P18" s="9" t="s">
        <v>101</v>
      </c>
      <c r="Q18" s="59">
        <v>3.7067888099486801E-2</v>
      </c>
    </row>
    <row r="19" spans="1:19" outlineLevel="1" x14ac:dyDescent="0.25">
      <c r="G19" s="35" t="s">
        <v>69</v>
      </c>
      <c r="H19" s="9" t="s">
        <v>101</v>
      </c>
      <c r="I19" s="59">
        <v>8.8729276639538217E-3</v>
      </c>
      <c r="J19" s="9"/>
      <c r="K19" s="35" t="s">
        <v>69</v>
      </c>
      <c r="L19" s="9" t="s">
        <v>101</v>
      </c>
      <c r="M19" s="59">
        <v>3.2653214470434302E-2</v>
      </c>
      <c r="N19" s="9"/>
      <c r="O19" s="35" t="s">
        <v>69</v>
      </c>
      <c r="P19" s="9" t="s">
        <v>101</v>
      </c>
      <c r="Q19" s="59">
        <v>4.2192472396061519E-2</v>
      </c>
    </row>
    <row r="20" spans="1:19" outlineLevel="1" x14ac:dyDescent="0.25"/>
    <row r="21" spans="1:19" outlineLevel="1" x14ac:dyDescent="0.25">
      <c r="B21" s="12" t="s">
        <v>156</v>
      </c>
      <c r="C21" s="12"/>
      <c r="D21" s="12"/>
      <c r="E21" s="80">
        <f ca="1">CHOOSE(scenario,M21,I21,Q21)</f>
        <v>7.5210832372528458E-2</v>
      </c>
      <c r="G21" s="2" t="s">
        <v>156</v>
      </c>
      <c r="I21" s="59">
        <v>8.2000000000000003E-2</v>
      </c>
      <c r="K21" s="2" t="s">
        <v>156</v>
      </c>
      <c r="M21" s="59">
        <f ca="1">WACC!L11</f>
        <v>7.5210832372528458E-2</v>
      </c>
      <c r="O21" s="2" t="s">
        <v>156</v>
      </c>
      <c r="Q21" s="59">
        <v>6.8000000000000005E-2</v>
      </c>
    </row>
    <row r="22" spans="1:19" outlineLevel="1" x14ac:dyDescent="0.25">
      <c r="B22" s="12" t="s">
        <v>171</v>
      </c>
      <c r="C22" s="12"/>
      <c r="D22" s="12"/>
      <c r="E22" s="80">
        <f>CHOOSE(scenario,M22,I22,Q22)</f>
        <v>0.02</v>
      </c>
      <c r="G22" s="2" t="s">
        <v>171</v>
      </c>
      <c r="I22" s="59">
        <v>1.4999999999999999E-2</v>
      </c>
      <c r="K22" s="2" t="s">
        <v>171</v>
      </c>
      <c r="M22" s="59">
        <f>WACC!L12</f>
        <v>0.02</v>
      </c>
      <c r="O22" s="2" t="s">
        <v>171</v>
      </c>
      <c r="Q22" s="59">
        <v>2.5000000000000001E-2</v>
      </c>
    </row>
    <row r="24" spans="1:19" x14ac:dyDescent="0.25">
      <c r="A24" s="10" t="s">
        <v>10</v>
      </c>
      <c r="B24" s="3" t="s">
        <v>11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B25" s="36"/>
      <c r="C25" s="36"/>
      <c r="D25" s="36"/>
      <c r="E25" s="36"/>
      <c r="F25" s="36"/>
      <c r="G25" s="36"/>
      <c r="H25" s="36"/>
      <c r="I25" s="36"/>
      <c r="J25" s="187" t="s">
        <v>13</v>
      </c>
      <c r="K25" s="187"/>
      <c r="L25" s="187"/>
      <c r="M25" s="187"/>
      <c r="N25" s="187"/>
      <c r="O25" s="188" t="s">
        <v>14</v>
      </c>
      <c r="P25" s="188"/>
      <c r="Q25" s="188"/>
      <c r="R25" s="188"/>
      <c r="S25" s="188"/>
    </row>
    <row r="26" spans="1:19" x14ac:dyDescent="0.25">
      <c r="B26" s="37" t="s">
        <v>12</v>
      </c>
      <c r="C26" s="38"/>
      <c r="D26" s="38"/>
      <c r="E26" s="38"/>
      <c r="F26" s="38"/>
      <c r="G26" s="38"/>
      <c r="H26" s="38"/>
      <c r="I26" s="38"/>
      <c r="J26" s="39">
        <v>44592</v>
      </c>
      <c r="K26" s="39">
        <f>EOMONTH(J26,12)</f>
        <v>44957</v>
      </c>
      <c r="L26" s="39">
        <f t="shared" ref="L26:S26" si="0">EOMONTH(K26,12)</f>
        <v>45322</v>
      </c>
      <c r="M26" s="39">
        <f t="shared" si="0"/>
        <v>45688</v>
      </c>
      <c r="N26" s="39">
        <f t="shared" si="0"/>
        <v>46053</v>
      </c>
      <c r="O26" s="40">
        <f t="shared" si="0"/>
        <v>46418</v>
      </c>
      <c r="P26" s="40">
        <f t="shared" si="0"/>
        <v>46783</v>
      </c>
      <c r="Q26" s="40">
        <f t="shared" si="0"/>
        <v>47149</v>
      </c>
      <c r="R26" s="40">
        <f t="shared" si="0"/>
        <v>47514</v>
      </c>
      <c r="S26" s="40">
        <f t="shared" si="0"/>
        <v>47879</v>
      </c>
    </row>
    <row r="27" spans="1:19" x14ac:dyDescent="0.25">
      <c r="B27" s="11"/>
    </row>
    <row r="28" spans="1:19" x14ac:dyDescent="0.25">
      <c r="B28" s="14" t="s">
        <v>49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hidden="1" outlineLevel="1" x14ac:dyDescent="0.25">
      <c r="B29" s="2" t="s">
        <v>53</v>
      </c>
      <c r="J29" s="26">
        <f>Input!H38</f>
        <v>393247</v>
      </c>
      <c r="K29" s="26">
        <f>Input!I38</f>
        <v>420553</v>
      </c>
      <c r="L29" s="26">
        <f>Input!J38</f>
        <v>441817</v>
      </c>
      <c r="M29" s="26">
        <f>Input!K38</f>
        <v>462415</v>
      </c>
      <c r="N29" s="26">
        <f>Input!L38</f>
        <v>482975</v>
      </c>
      <c r="O29" s="26">
        <f ca="1">N29*(1+O30)</f>
        <v>504708.87499999994</v>
      </c>
      <c r="P29" s="26">
        <f t="shared" ref="P29:S29" ca="1" si="1">O29*(1+P30)</f>
        <v>525906.64775</v>
      </c>
      <c r="Q29" s="26">
        <f t="shared" ca="1" si="1"/>
        <v>548520.63360324991</v>
      </c>
      <c r="R29" s="26">
        <f t="shared" ca="1" si="1"/>
        <v>571009.97958098317</v>
      </c>
      <c r="S29" s="26">
        <f t="shared" ca="1" si="1"/>
        <v>595563.40870296536</v>
      </c>
    </row>
    <row r="30" spans="1:19" hidden="1" outlineLevel="1" x14ac:dyDescent="0.25">
      <c r="B30" s="27" t="s">
        <v>64</v>
      </c>
      <c r="J30" s="26"/>
      <c r="K30" s="29">
        <f>K29/J29-1</f>
        <v>6.9437274791670278E-2</v>
      </c>
      <c r="L30" s="29">
        <f t="shared" ref="L30:N30" si="2">L29/K29-1</f>
        <v>5.0561998131032126E-2</v>
      </c>
      <c r="M30" s="29">
        <f t="shared" si="2"/>
        <v>4.6621112361000083E-2</v>
      </c>
      <c r="N30" s="29">
        <f t="shared" si="2"/>
        <v>4.4462225490090157E-2</v>
      </c>
      <c r="O30" s="29">
        <f ca="1">OFFSET(O30,scenario,0)</f>
        <v>4.4999999999999998E-2</v>
      </c>
      <c r="P30" s="29">
        <f ca="1">OFFSET(P30,scenario,0)</f>
        <v>4.2000000000000003E-2</v>
      </c>
      <c r="Q30" s="29">
        <f ca="1">OFFSET(Q30,scenario,0)</f>
        <v>4.2999999999999997E-2</v>
      </c>
      <c r="R30" s="29">
        <f ca="1">OFFSET(R30,scenario,0)</f>
        <v>4.1000000000000002E-2</v>
      </c>
      <c r="S30" s="29">
        <f ca="1">OFFSET(S30,scenario,0)</f>
        <v>4.2999999999999997E-2</v>
      </c>
    </row>
    <row r="31" spans="1:19" hidden="1" outlineLevel="1" x14ac:dyDescent="0.25">
      <c r="B31" s="27" t="s">
        <v>66</v>
      </c>
      <c r="J31" s="26"/>
      <c r="K31" s="26"/>
      <c r="L31" s="26"/>
      <c r="M31" s="26"/>
      <c r="N31" s="26"/>
      <c r="O31" s="30">
        <v>4.4999999999999998E-2</v>
      </c>
      <c r="P31" s="30">
        <v>4.2000000000000003E-2</v>
      </c>
      <c r="Q31" s="30">
        <v>4.2999999999999997E-2</v>
      </c>
      <c r="R31" s="30">
        <v>4.1000000000000002E-2</v>
      </c>
      <c r="S31" s="30">
        <v>4.2999999999999997E-2</v>
      </c>
    </row>
    <row r="32" spans="1:19" hidden="1" outlineLevel="1" x14ac:dyDescent="0.25">
      <c r="B32" s="27" t="s">
        <v>67</v>
      </c>
      <c r="J32" s="26"/>
      <c r="K32" s="26"/>
      <c r="L32" s="26"/>
      <c r="M32" s="26"/>
      <c r="N32" s="26"/>
      <c r="O32" s="30">
        <f>O31-1%</f>
        <v>3.4999999999999996E-2</v>
      </c>
      <c r="P32" s="30">
        <f t="shared" ref="P32:S32" si="3">P31-1%</f>
        <v>3.2000000000000001E-2</v>
      </c>
      <c r="Q32" s="30">
        <f t="shared" si="3"/>
        <v>3.2999999999999995E-2</v>
      </c>
      <c r="R32" s="30">
        <f t="shared" si="3"/>
        <v>3.1E-2</v>
      </c>
      <c r="S32" s="30">
        <f t="shared" si="3"/>
        <v>3.2999999999999995E-2</v>
      </c>
    </row>
    <row r="33" spans="2:19" hidden="1" outlineLevel="1" x14ac:dyDescent="0.25">
      <c r="B33" s="27" t="s">
        <v>68</v>
      </c>
      <c r="J33" s="26"/>
      <c r="K33" s="26"/>
      <c r="L33" s="26"/>
      <c r="M33" s="26"/>
      <c r="N33" s="26"/>
      <c r="O33" s="30">
        <f>O31+1%</f>
        <v>5.5E-2</v>
      </c>
      <c r="P33" s="30">
        <f t="shared" ref="P33:S33" si="4">P31+1%</f>
        <v>5.2000000000000005E-2</v>
      </c>
      <c r="Q33" s="30">
        <f t="shared" si="4"/>
        <v>5.2999999999999999E-2</v>
      </c>
      <c r="R33" s="30">
        <f t="shared" si="4"/>
        <v>5.1000000000000004E-2</v>
      </c>
      <c r="S33" s="30">
        <f t="shared" si="4"/>
        <v>5.2999999999999999E-2</v>
      </c>
    </row>
    <row r="34" spans="2:19" hidden="1" outlineLevel="1" x14ac:dyDescent="0.25">
      <c r="B34" s="2" t="s">
        <v>56</v>
      </c>
      <c r="J34" s="26">
        <f>Input!H39</f>
        <v>1924.3979662831148</v>
      </c>
      <c r="K34" s="26">
        <f>Input!I39</f>
        <v>2084.7644634733742</v>
      </c>
      <c r="L34" s="26">
        <f>Input!J39</f>
        <v>1985</v>
      </c>
      <c r="M34" s="26">
        <f>Input!K39</f>
        <v>2594</v>
      </c>
      <c r="N34" s="26">
        <f>Input!L39</f>
        <v>2624</v>
      </c>
      <c r="O34" s="26">
        <f ca="1">N34*(1+O35)</f>
        <v>2676.48</v>
      </c>
      <c r="P34" s="26">
        <f t="shared" ref="P34" ca="1" si="5">O34*(1+P35)</f>
        <v>2727.3331199999998</v>
      </c>
      <c r="Q34" s="26">
        <f t="shared" ref="Q34" ca="1" si="6">P34*(1+Q35)</f>
        <v>2787.3344486399997</v>
      </c>
      <c r="R34" s="26">
        <f t="shared" ref="R34" ca="1" si="7">Q34*(1+R35)</f>
        <v>2854.2304754073598</v>
      </c>
      <c r="S34" s="26">
        <f t="shared" ref="S34" ca="1" si="8">R34*(1+S35)</f>
        <v>2928.4404677679513</v>
      </c>
    </row>
    <row r="35" spans="2:19" hidden="1" outlineLevel="1" x14ac:dyDescent="0.25">
      <c r="B35" s="27" t="s">
        <v>64</v>
      </c>
      <c r="J35" s="26"/>
      <c r="K35" s="29">
        <f>K34/J34-1</f>
        <v>8.3333333333333259E-2</v>
      </c>
      <c r="L35" s="29">
        <f t="shared" ref="L35" si="9">L34/K34-1</f>
        <v>-4.7854069474668193E-2</v>
      </c>
      <c r="M35" s="29">
        <f t="shared" ref="M35" si="10">M34/L34-1</f>
        <v>0.30680100755667516</v>
      </c>
      <c r="N35" s="29">
        <f t="shared" ref="N35" si="11">N34/M34-1</f>
        <v>1.1565150346954489E-2</v>
      </c>
      <c r="O35" s="29">
        <f ca="1">OFFSET(O35,scenario,0)</f>
        <v>0.02</v>
      </c>
      <c r="P35" s="29">
        <f ca="1">OFFSET(P35,scenario,0)</f>
        <v>1.9E-2</v>
      </c>
      <c r="Q35" s="29">
        <f ca="1">OFFSET(Q35,scenario,0)</f>
        <v>2.1999999999999999E-2</v>
      </c>
      <c r="R35" s="29">
        <f ca="1">OFFSET(R35,scenario,0)</f>
        <v>2.4E-2</v>
      </c>
      <c r="S35" s="29">
        <f ca="1">OFFSET(S35,scenario,0)</f>
        <v>2.5999999999999999E-2</v>
      </c>
    </row>
    <row r="36" spans="2:19" hidden="1" outlineLevel="1" x14ac:dyDescent="0.25">
      <c r="B36" s="27" t="s">
        <v>66</v>
      </c>
      <c r="J36" s="26"/>
      <c r="K36" s="26"/>
      <c r="L36" s="26"/>
      <c r="M36" s="26"/>
      <c r="N36" s="28"/>
      <c r="O36" s="30">
        <v>0.02</v>
      </c>
      <c r="P36" s="30">
        <v>1.9E-2</v>
      </c>
      <c r="Q36" s="30">
        <v>2.1999999999999999E-2</v>
      </c>
      <c r="R36" s="30">
        <v>2.4E-2</v>
      </c>
      <c r="S36" s="30">
        <v>2.5999999999999999E-2</v>
      </c>
    </row>
    <row r="37" spans="2:19" hidden="1" outlineLevel="1" x14ac:dyDescent="0.25">
      <c r="B37" s="27" t="s">
        <v>67</v>
      </c>
      <c r="J37" s="26"/>
      <c r="K37" s="26"/>
      <c r="L37" s="26"/>
      <c r="M37" s="26"/>
      <c r="N37" s="26"/>
      <c r="O37" s="30">
        <f>O36-1%</f>
        <v>0.01</v>
      </c>
      <c r="P37" s="30">
        <f t="shared" ref="P37" si="12">P36-1%</f>
        <v>8.9999999999999993E-3</v>
      </c>
      <c r="Q37" s="30">
        <f t="shared" ref="Q37" si="13">Q36-1%</f>
        <v>1.1999999999999999E-2</v>
      </c>
      <c r="R37" s="30">
        <f t="shared" ref="R37" si="14">R36-1%</f>
        <v>1.4E-2</v>
      </c>
      <c r="S37" s="30">
        <f t="shared" ref="S37" si="15">S36-1%</f>
        <v>1.6E-2</v>
      </c>
    </row>
    <row r="38" spans="2:19" hidden="1" outlineLevel="1" x14ac:dyDescent="0.25">
      <c r="B38" s="27" t="s">
        <v>68</v>
      </c>
      <c r="J38" s="26"/>
      <c r="K38" s="26"/>
      <c r="L38" s="26"/>
      <c r="M38" s="26"/>
      <c r="N38" s="26"/>
      <c r="O38" s="30">
        <f>O36+1%</f>
        <v>0.03</v>
      </c>
      <c r="P38" s="30">
        <f t="shared" ref="P38:S38" si="16">P36+1%</f>
        <v>2.8999999999999998E-2</v>
      </c>
      <c r="Q38" s="30">
        <f t="shared" si="16"/>
        <v>3.2000000000000001E-2</v>
      </c>
      <c r="R38" s="30">
        <f t="shared" si="16"/>
        <v>3.4000000000000002E-2</v>
      </c>
      <c r="S38" s="30">
        <f t="shared" si="16"/>
        <v>3.5999999999999997E-2</v>
      </c>
    </row>
    <row r="39" spans="2:19" hidden="1" outlineLevel="1" x14ac:dyDescent="0.25">
      <c r="B39" s="33" t="s">
        <v>57</v>
      </c>
      <c r="C39" s="33"/>
      <c r="D39" s="33"/>
      <c r="E39" s="33"/>
      <c r="F39" s="33"/>
      <c r="G39" s="33"/>
      <c r="H39" s="33"/>
      <c r="I39" s="33"/>
      <c r="J39" s="34">
        <f>Input!H40</f>
        <v>395171.39796628314</v>
      </c>
      <c r="K39" s="34">
        <f>Input!I40</f>
        <v>422637.7644634734</v>
      </c>
      <c r="L39" s="34">
        <f>Input!J40</f>
        <v>443802</v>
      </c>
      <c r="M39" s="34">
        <f>Input!K40</f>
        <v>465009</v>
      </c>
      <c r="N39" s="34">
        <f>Input!L40</f>
        <v>485599</v>
      </c>
      <c r="O39" s="34">
        <f ca="1">O29+O34</f>
        <v>507385.35499999992</v>
      </c>
      <c r="P39" s="34">
        <f t="shared" ref="P39:S39" ca="1" si="17">P29+P34</f>
        <v>528633.98086999997</v>
      </c>
      <c r="Q39" s="34">
        <f t="shared" ca="1" si="17"/>
        <v>551307.96805188991</v>
      </c>
      <c r="R39" s="34">
        <f t="shared" ca="1" si="17"/>
        <v>573864.2100563905</v>
      </c>
      <c r="S39" s="34">
        <f t="shared" ca="1" si="17"/>
        <v>598491.84917073336</v>
      </c>
    </row>
    <row r="40" spans="2:19" hidden="1" outlineLevel="1" x14ac:dyDescent="0.25">
      <c r="J40" s="26"/>
      <c r="K40" s="26"/>
      <c r="L40" s="26"/>
      <c r="M40" s="26"/>
      <c r="N40" s="26"/>
    </row>
    <row r="41" spans="2:19" hidden="1" outlineLevel="1" x14ac:dyDescent="0.25">
      <c r="B41" s="2" t="s">
        <v>58</v>
      </c>
      <c r="J41" s="26">
        <f>Input!H42</f>
        <v>281957.50053665868</v>
      </c>
      <c r="K41" s="26">
        <f>Input!I42</f>
        <v>304777.65525958018</v>
      </c>
      <c r="L41" s="26">
        <f>Input!J42</f>
        <v>323563</v>
      </c>
      <c r="M41" s="26">
        <f>Input!K42</f>
        <v>336451</v>
      </c>
      <c r="N41" s="26">
        <f>Input!L42</f>
        <v>350360</v>
      </c>
      <c r="O41" s="26">
        <f ca="1">N41*(1+O42)</f>
        <v>365425.48</v>
      </c>
      <c r="P41" s="26">
        <f t="shared" ref="P41" ca="1" si="18">O41*(1+P42)</f>
        <v>380407.92467999994</v>
      </c>
      <c r="Q41" s="26">
        <f t="shared" ref="Q41" ca="1" si="19">P41*(1+Q42)</f>
        <v>396385.05751655996</v>
      </c>
      <c r="R41" s="26">
        <f t="shared" ref="R41" ca="1" si="20">Q41*(1+R42)</f>
        <v>413826.0000472886</v>
      </c>
      <c r="S41" s="26">
        <f t="shared" ref="S41" ca="1" si="21">R41*(1+S42)</f>
        <v>431620.51804932201</v>
      </c>
    </row>
    <row r="42" spans="2:19" hidden="1" outlineLevel="1" x14ac:dyDescent="0.25">
      <c r="B42" s="27" t="s">
        <v>64</v>
      </c>
      <c r="J42" s="26"/>
      <c r="K42" s="29">
        <f>K41/J41-1</f>
        <v>8.0934731934731774E-2</v>
      </c>
      <c r="L42" s="29">
        <f t="shared" ref="L42" si="22">L41/K41-1</f>
        <v>6.1636226987901388E-2</v>
      </c>
      <c r="M42" s="29">
        <f t="shared" ref="M42" si="23">M41/L41-1</f>
        <v>3.9831501129609981E-2</v>
      </c>
      <c r="N42" s="29">
        <f t="shared" ref="N42" si="24">N41/M41-1</f>
        <v>4.1340343764768139E-2</v>
      </c>
      <c r="O42" s="29">
        <f ca="1">OFFSET(O42,scenario,0)</f>
        <v>4.2999999999999997E-2</v>
      </c>
      <c r="P42" s="29">
        <f ca="1">OFFSET(P42,scenario,0)</f>
        <v>4.1000000000000002E-2</v>
      </c>
      <c r="Q42" s="29">
        <f ca="1">OFFSET(Q42,scenario,0)</f>
        <v>4.2000000000000003E-2</v>
      </c>
      <c r="R42" s="29">
        <f ca="1">OFFSET(R42,scenario,0)</f>
        <v>4.3999999999999997E-2</v>
      </c>
      <c r="S42" s="29">
        <f ca="1">OFFSET(S42,scenario,0)</f>
        <v>4.2999999999999997E-2</v>
      </c>
    </row>
    <row r="43" spans="2:19" hidden="1" outlineLevel="1" x14ac:dyDescent="0.25">
      <c r="B43" s="27" t="s">
        <v>66</v>
      </c>
      <c r="J43" s="26"/>
      <c r="K43" s="26"/>
      <c r="L43" s="26"/>
      <c r="M43" s="26"/>
      <c r="N43" s="28"/>
      <c r="O43" s="30">
        <v>4.2999999999999997E-2</v>
      </c>
      <c r="P43" s="30">
        <v>4.1000000000000002E-2</v>
      </c>
      <c r="Q43" s="30">
        <v>4.2000000000000003E-2</v>
      </c>
      <c r="R43" s="30">
        <v>4.3999999999999997E-2</v>
      </c>
      <c r="S43" s="30">
        <v>4.2999999999999997E-2</v>
      </c>
    </row>
    <row r="44" spans="2:19" hidden="1" outlineLevel="1" x14ac:dyDescent="0.25">
      <c r="B44" s="27" t="s">
        <v>67</v>
      </c>
      <c r="J44" s="26"/>
      <c r="K44" s="26"/>
      <c r="L44" s="26"/>
      <c r="M44" s="26"/>
      <c r="N44" s="26"/>
      <c r="O44" s="30">
        <f>O43-1%</f>
        <v>3.2999999999999995E-2</v>
      </c>
      <c r="P44" s="30">
        <f t="shared" ref="P44" si="25">P43-1%</f>
        <v>3.1E-2</v>
      </c>
      <c r="Q44" s="30">
        <f t="shared" ref="Q44" si="26">Q43-1%</f>
        <v>3.2000000000000001E-2</v>
      </c>
      <c r="R44" s="30">
        <f t="shared" ref="R44" si="27">R43-1%</f>
        <v>3.3999999999999996E-2</v>
      </c>
      <c r="S44" s="30">
        <f t="shared" ref="S44" si="28">S43-1%</f>
        <v>3.2999999999999995E-2</v>
      </c>
    </row>
    <row r="45" spans="2:19" hidden="1" outlineLevel="1" x14ac:dyDescent="0.25">
      <c r="B45" s="27" t="s">
        <v>68</v>
      </c>
      <c r="J45" s="26"/>
      <c r="K45" s="26"/>
      <c r="L45" s="26"/>
      <c r="M45" s="26"/>
      <c r="N45" s="26"/>
      <c r="O45" s="30">
        <f>O43+1%</f>
        <v>5.2999999999999999E-2</v>
      </c>
      <c r="P45" s="30">
        <f t="shared" ref="P45:S45" si="29">P43+1%</f>
        <v>5.1000000000000004E-2</v>
      </c>
      <c r="Q45" s="30">
        <f t="shared" si="29"/>
        <v>5.2000000000000005E-2</v>
      </c>
      <c r="R45" s="30">
        <f t="shared" si="29"/>
        <v>5.3999999999999999E-2</v>
      </c>
      <c r="S45" s="30">
        <f t="shared" si="29"/>
        <v>5.2999999999999999E-2</v>
      </c>
    </row>
    <row r="46" spans="2:19" hidden="1" outlineLevel="1" x14ac:dyDescent="0.25">
      <c r="B46" s="2" t="s">
        <v>28</v>
      </c>
      <c r="J46" s="26">
        <f>Input!H43</f>
        <v>88005.534181156545</v>
      </c>
      <c r="K46" s="26">
        <f>Input!I43</f>
        <v>94973.547820190157</v>
      </c>
      <c r="L46" s="26">
        <f>Input!J43</f>
        <v>98085</v>
      </c>
      <c r="M46" s="26">
        <f>Input!K43</f>
        <v>104676</v>
      </c>
      <c r="N46" s="26">
        <f>Input!L43</f>
        <v>110081</v>
      </c>
      <c r="O46" s="26">
        <f ca="1">N46*(1+O47)</f>
        <v>112282.62</v>
      </c>
      <c r="P46" s="26">
        <f t="shared" ref="P46" ca="1" si="30">O46*(1+P47)</f>
        <v>114303.70715999999</v>
      </c>
      <c r="Q46" s="26">
        <f t="shared" ref="Q46" ca="1" si="31">P46*(1+Q47)</f>
        <v>116132.56647455999</v>
      </c>
      <c r="R46" s="26">
        <f t="shared" ref="R46" ca="1" si="32">Q46*(1+R47)</f>
        <v>117758.42240520383</v>
      </c>
      <c r="S46" s="26">
        <f t="shared" ref="S46" ca="1" si="33">R46*(1+S47)</f>
        <v>119171.52347406629</v>
      </c>
    </row>
    <row r="47" spans="2:19" hidden="1" outlineLevel="1" x14ac:dyDescent="0.25">
      <c r="B47" s="27" t="s">
        <v>64</v>
      </c>
      <c r="J47" s="26"/>
      <c r="K47" s="29">
        <f>K46/J46-1</f>
        <v>7.9176993854615851E-2</v>
      </c>
      <c r="L47" s="29">
        <f t="shared" ref="L47" si="34">L46/K46-1</f>
        <v>3.2761250382060458E-2</v>
      </c>
      <c r="M47" s="29">
        <f t="shared" ref="M47" si="35">M46/L46-1</f>
        <v>6.7196819085487025E-2</v>
      </c>
      <c r="N47" s="29">
        <f t="shared" ref="N47" si="36">N46/M46-1</f>
        <v>5.1635522946998247E-2</v>
      </c>
      <c r="O47" s="29">
        <f ca="1">OFFSET(O47,scenario,0)</f>
        <v>0.02</v>
      </c>
      <c r="P47" s="29">
        <f ca="1">OFFSET(P47,scenario,0)</f>
        <v>1.7999999999999999E-2</v>
      </c>
      <c r="Q47" s="29">
        <f ca="1">OFFSET(Q47,scenario,0)</f>
        <v>1.6E-2</v>
      </c>
      <c r="R47" s="29">
        <f ca="1">OFFSET(R47,scenario,0)</f>
        <v>1.4E-2</v>
      </c>
      <c r="S47" s="29">
        <f ca="1">OFFSET(S47,scenario,0)</f>
        <v>1.2E-2</v>
      </c>
    </row>
    <row r="48" spans="2:19" hidden="1" outlineLevel="1" x14ac:dyDescent="0.25">
      <c r="B48" s="27" t="s">
        <v>66</v>
      </c>
      <c r="J48" s="26"/>
      <c r="K48" s="26"/>
      <c r="L48" s="26"/>
      <c r="M48" s="26"/>
      <c r="N48" s="28"/>
      <c r="O48" s="30">
        <v>0.02</v>
      </c>
      <c r="P48" s="30">
        <v>1.7999999999999999E-2</v>
      </c>
      <c r="Q48" s="30">
        <v>1.6E-2</v>
      </c>
      <c r="R48" s="30">
        <v>1.4E-2</v>
      </c>
      <c r="S48" s="30">
        <v>1.2E-2</v>
      </c>
    </row>
    <row r="49" spans="2:19" hidden="1" outlineLevel="1" x14ac:dyDescent="0.25">
      <c r="B49" s="27" t="s">
        <v>67</v>
      </c>
      <c r="J49" s="26"/>
      <c r="K49" s="26"/>
      <c r="L49" s="26"/>
      <c r="M49" s="26"/>
      <c r="N49" s="26"/>
      <c r="O49" s="30">
        <f>O48-1%</f>
        <v>0.01</v>
      </c>
      <c r="P49" s="30">
        <f t="shared" ref="P49" si="37">P48-1%</f>
        <v>7.9999999999999984E-3</v>
      </c>
      <c r="Q49" s="30">
        <f t="shared" ref="Q49" si="38">Q48-1%</f>
        <v>6.0000000000000001E-3</v>
      </c>
      <c r="R49" s="30">
        <f t="shared" ref="R49" si="39">R48-1%</f>
        <v>4.0000000000000001E-3</v>
      </c>
      <c r="S49" s="30">
        <f t="shared" ref="S49" si="40">S48-1%</f>
        <v>2E-3</v>
      </c>
    </row>
    <row r="50" spans="2:19" hidden="1" outlineLevel="1" x14ac:dyDescent="0.25">
      <c r="B50" s="27" t="s">
        <v>68</v>
      </c>
      <c r="J50" s="26"/>
      <c r="K50" s="26"/>
      <c r="L50" s="26"/>
      <c r="M50" s="26"/>
      <c r="N50" s="26"/>
      <c r="O50" s="30">
        <f>O48+1%</f>
        <v>0.03</v>
      </c>
      <c r="P50" s="30">
        <f t="shared" ref="P50:S50" si="41">P48+1%</f>
        <v>2.7999999999999997E-2</v>
      </c>
      <c r="Q50" s="30">
        <f t="shared" si="41"/>
        <v>2.6000000000000002E-2</v>
      </c>
      <c r="R50" s="30">
        <f t="shared" si="41"/>
        <v>2.4E-2</v>
      </c>
      <c r="S50" s="30">
        <f t="shared" si="41"/>
        <v>2.1999999999999999E-2</v>
      </c>
    </row>
    <row r="51" spans="2:19" hidden="1" outlineLevel="1" x14ac:dyDescent="0.25">
      <c r="B51" s="33" t="s">
        <v>59</v>
      </c>
      <c r="C51" s="33"/>
      <c r="D51" s="33"/>
      <c r="E51" s="33"/>
      <c r="F51" s="33"/>
      <c r="G51" s="33"/>
      <c r="H51" s="33"/>
      <c r="I51" s="33"/>
      <c r="J51" s="34">
        <f>Input!H44</f>
        <v>25208.363248467911</v>
      </c>
      <c r="K51" s="34">
        <f>Input!I44</f>
        <v>22886.561383703069</v>
      </c>
      <c r="L51" s="34">
        <f>Input!J44</f>
        <v>22154</v>
      </c>
      <c r="M51" s="34">
        <f>Input!K44</f>
        <v>23882</v>
      </c>
      <c r="N51" s="34">
        <f>Input!L44</f>
        <v>25158</v>
      </c>
      <c r="O51" s="34">
        <f ca="1">O39-O41-O46</f>
        <v>29677.254999999946</v>
      </c>
      <c r="P51" s="34">
        <f t="shared" ref="P51:S51" ca="1" si="42">P39-P41-P46</f>
        <v>33922.349030000041</v>
      </c>
      <c r="Q51" s="34">
        <f t="shared" ca="1" si="42"/>
        <v>38790.344060769959</v>
      </c>
      <c r="R51" s="34">
        <f t="shared" ca="1" si="42"/>
        <v>42279.787603898061</v>
      </c>
      <c r="S51" s="34">
        <f t="shared" ca="1" si="42"/>
        <v>47699.807647345064</v>
      </c>
    </row>
    <row r="52" spans="2:19" collapsed="1" x14ac:dyDescent="0.25">
      <c r="J52" s="26"/>
      <c r="K52" s="26"/>
      <c r="L52" s="26"/>
      <c r="M52" s="26"/>
      <c r="N52" s="26"/>
    </row>
    <row r="53" spans="2:19" x14ac:dyDescent="0.25">
      <c r="B53" s="14" t="s">
        <v>54</v>
      </c>
      <c r="C53" s="15"/>
      <c r="D53" s="15"/>
      <c r="E53" s="15"/>
      <c r="F53" s="15"/>
      <c r="G53" s="15"/>
      <c r="H53" s="15"/>
      <c r="I53" s="15"/>
      <c r="J53" s="31"/>
      <c r="K53" s="31"/>
      <c r="L53" s="31"/>
      <c r="M53" s="31"/>
      <c r="N53" s="31"/>
      <c r="O53" s="15"/>
      <c r="P53" s="15"/>
      <c r="Q53" s="15"/>
      <c r="R53" s="15"/>
      <c r="S53" s="15"/>
    </row>
    <row r="54" spans="2:19" hidden="1" outlineLevel="1" x14ac:dyDescent="0.25">
      <c r="B54" s="2" t="s">
        <v>53</v>
      </c>
      <c r="J54" s="26">
        <f>Input!H47</f>
        <v>100959</v>
      </c>
      <c r="K54" s="26">
        <f>Input!I47</f>
        <v>100983</v>
      </c>
      <c r="L54" s="26">
        <f>Input!J47</f>
        <v>114641</v>
      </c>
      <c r="M54" s="26">
        <f>Input!K47</f>
        <v>121885</v>
      </c>
      <c r="N54" s="26">
        <f>Input!L47</f>
        <v>130423</v>
      </c>
      <c r="O54" s="26">
        <f ca="1">N54*(1+O55)</f>
        <v>140074.302</v>
      </c>
      <c r="P54" s="26">
        <f t="shared" ref="P54" ca="1" si="43">O54*(1+P55)</f>
        <v>150579.87464999998</v>
      </c>
      <c r="Q54" s="26">
        <f t="shared" ref="Q54" ca="1" si="44">P54*(1+Q55)</f>
        <v>161572.20549944998</v>
      </c>
      <c r="R54" s="26">
        <f t="shared" ref="R54" ca="1" si="45">Q54*(1+R55)</f>
        <v>173528.54870640929</v>
      </c>
      <c r="S54" s="26">
        <f t="shared" ref="S54" ca="1" si="46">R54*(1+S55)</f>
        <v>185849.07566456433</v>
      </c>
    </row>
    <row r="55" spans="2:19" hidden="1" outlineLevel="1" x14ac:dyDescent="0.25">
      <c r="B55" s="27" t="s">
        <v>64</v>
      </c>
      <c r="J55" s="26"/>
      <c r="K55" s="29">
        <f>K54/J54-1</f>
        <v>2.3772026268087387E-4</v>
      </c>
      <c r="L55" s="29">
        <f t="shared" ref="L55" si="47">L54/K54-1</f>
        <v>0.13525048770585157</v>
      </c>
      <c r="M55" s="29">
        <f t="shared" ref="M55" si="48">M54/L54-1</f>
        <v>6.318856255615346E-2</v>
      </c>
      <c r="N55" s="29">
        <f t="shared" ref="N55" si="49">N54/M54-1</f>
        <v>7.0049636952865368E-2</v>
      </c>
      <c r="O55" s="29">
        <f ca="1">OFFSET(O55,scenario,0)</f>
        <v>7.3999999999999996E-2</v>
      </c>
      <c r="P55" s="29">
        <f ca="1">OFFSET(P55,scenario,0)</f>
        <v>7.4999999999999997E-2</v>
      </c>
      <c r="Q55" s="29">
        <f ca="1">OFFSET(Q55,scenario,0)</f>
        <v>7.2999999999999995E-2</v>
      </c>
      <c r="R55" s="29">
        <f ca="1">OFFSET(R55,scenario,0)</f>
        <v>7.3999999999999996E-2</v>
      </c>
      <c r="S55" s="29">
        <f ca="1">OFFSET(S55,scenario,0)</f>
        <v>7.0999999999999994E-2</v>
      </c>
    </row>
    <row r="56" spans="2:19" hidden="1" outlineLevel="1" x14ac:dyDescent="0.25">
      <c r="B56" s="27" t="s">
        <v>66</v>
      </c>
      <c r="J56" s="26"/>
      <c r="K56" s="26"/>
      <c r="L56" s="26"/>
      <c r="M56" s="26"/>
      <c r="N56" s="28"/>
      <c r="O56" s="30">
        <v>7.3999999999999996E-2</v>
      </c>
      <c r="P56" s="30">
        <v>7.4999999999999997E-2</v>
      </c>
      <c r="Q56" s="30">
        <v>7.2999999999999995E-2</v>
      </c>
      <c r="R56" s="30">
        <v>7.3999999999999996E-2</v>
      </c>
      <c r="S56" s="30">
        <v>7.0999999999999994E-2</v>
      </c>
    </row>
    <row r="57" spans="2:19" hidden="1" outlineLevel="1" x14ac:dyDescent="0.25">
      <c r="B57" s="27" t="s">
        <v>67</v>
      </c>
      <c r="J57" s="26"/>
      <c r="K57" s="26"/>
      <c r="L57" s="26"/>
      <c r="M57" s="26"/>
      <c r="N57" s="26"/>
      <c r="O57" s="30">
        <f>O56-1%</f>
        <v>6.4000000000000001E-2</v>
      </c>
      <c r="P57" s="30">
        <f t="shared" ref="P57" si="50">P56-1%</f>
        <v>6.5000000000000002E-2</v>
      </c>
      <c r="Q57" s="30">
        <f t="shared" ref="Q57" si="51">Q56-1%</f>
        <v>6.3E-2</v>
      </c>
      <c r="R57" s="30">
        <f t="shared" ref="R57" si="52">R56-1%</f>
        <v>6.4000000000000001E-2</v>
      </c>
      <c r="S57" s="30">
        <f t="shared" ref="S57" si="53">S56-1%</f>
        <v>6.0999999999999992E-2</v>
      </c>
    </row>
    <row r="58" spans="2:19" hidden="1" outlineLevel="1" x14ac:dyDescent="0.25">
      <c r="B58" s="27" t="s">
        <v>68</v>
      </c>
      <c r="J58" s="26"/>
      <c r="K58" s="26"/>
      <c r="L58" s="26"/>
      <c r="M58" s="26"/>
      <c r="N58" s="26"/>
      <c r="O58" s="30">
        <f>O56+1%</f>
        <v>8.3999999999999991E-2</v>
      </c>
      <c r="P58" s="30">
        <f t="shared" ref="P58:S58" si="54">P56+1%</f>
        <v>8.4999999999999992E-2</v>
      </c>
      <c r="Q58" s="30">
        <f t="shared" si="54"/>
        <v>8.299999999999999E-2</v>
      </c>
      <c r="R58" s="30">
        <f t="shared" si="54"/>
        <v>8.3999999999999991E-2</v>
      </c>
      <c r="S58" s="30">
        <f t="shared" si="54"/>
        <v>8.0999999999999989E-2</v>
      </c>
    </row>
    <row r="59" spans="2:19" hidden="1" outlineLevel="1" x14ac:dyDescent="0.25">
      <c r="B59" s="2" t="s">
        <v>56</v>
      </c>
      <c r="J59" s="26">
        <f>Input!H48</f>
        <v>1189.1566497190261</v>
      </c>
      <c r="K59" s="26">
        <f>Input!I48</f>
        <v>1288.2530371956116</v>
      </c>
      <c r="L59" s="26">
        <f>Input!J48</f>
        <v>1408</v>
      </c>
      <c r="M59" s="26">
        <f>Input!K48</f>
        <v>1478</v>
      </c>
      <c r="N59" s="26">
        <f>Input!L48</f>
        <v>1565</v>
      </c>
      <c r="O59" s="26">
        <f ca="1">N59*(1+O60)</f>
        <v>1662.03</v>
      </c>
      <c r="P59" s="26">
        <f t="shared" ref="P59" ca="1" si="55">O59*(1+P60)</f>
        <v>1763.41383</v>
      </c>
      <c r="Q59" s="26">
        <f t="shared" ref="Q59" ca="1" si="56">P59*(1+Q60)</f>
        <v>1876.27231512</v>
      </c>
      <c r="R59" s="26">
        <f t="shared" ref="R59" ca="1" si="57">Q59*(1+R60)</f>
        <v>2000.1062879179201</v>
      </c>
      <c r="S59" s="26">
        <f t="shared" ref="S59" ca="1" si="58">R59*(1+S60)</f>
        <v>2126.1129840567492</v>
      </c>
    </row>
    <row r="60" spans="2:19" hidden="1" outlineLevel="1" x14ac:dyDescent="0.25">
      <c r="B60" s="27" t="s">
        <v>64</v>
      </c>
      <c r="J60" s="26"/>
      <c r="K60" s="29">
        <f>K59/J59-1</f>
        <v>8.3333333333333259E-2</v>
      </c>
      <c r="L60" s="29">
        <f t="shared" ref="L60" si="59">L59/K59-1</f>
        <v>9.2952983107313036E-2</v>
      </c>
      <c r="M60" s="29">
        <f t="shared" ref="M60" si="60">M59/L59-1</f>
        <v>4.9715909090909172E-2</v>
      </c>
      <c r="N60" s="29">
        <f t="shared" ref="N60" si="61">N59/M59-1</f>
        <v>5.8863328822733374E-2</v>
      </c>
      <c r="O60" s="29">
        <f ca="1">OFFSET(O60,scenario,0)</f>
        <v>6.2E-2</v>
      </c>
      <c r="P60" s="29">
        <f ca="1">OFFSET(P60,scenario,0)</f>
        <v>6.0999999999999999E-2</v>
      </c>
      <c r="Q60" s="29">
        <f ca="1">OFFSET(Q60,scenario,0)</f>
        <v>6.4000000000000001E-2</v>
      </c>
      <c r="R60" s="29">
        <f ca="1">OFFSET(R60,scenario,0)</f>
        <v>6.6000000000000003E-2</v>
      </c>
      <c r="S60" s="29">
        <f ca="1">OFFSET(S60,scenario,0)</f>
        <v>6.3E-2</v>
      </c>
    </row>
    <row r="61" spans="2:19" hidden="1" outlineLevel="1" x14ac:dyDescent="0.25">
      <c r="B61" s="27" t="s">
        <v>66</v>
      </c>
      <c r="J61" s="26"/>
      <c r="K61" s="26"/>
      <c r="L61" s="26"/>
      <c r="M61" s="26"/>
      <c r="N61" s="28"/>
      <c r="O61" s="30">
        <v>6.2E-2</v>
      </c>
      <c r="P61" s="30">
        <v>6.0999999999999999E-2</v>
      </c>
      <c r="Q61" s="30">
        <v>6.4000000000000001E-2</v>
      </c>
      <c r="R61" s="30">
        <v>6.6000000000000003E-2</v>
      </c>
      <c r="S61" s="30">
        <v>6.3E-2</v>
      </c>
    </row>
    <row r="62" spans="2:19" hidden="1" outlineLevel="1" x14ac:dyDescent="0.25">
      <c r="B62" s="27" t="s">
        <v>67</v>
      </c>
      <c r="J62" s="26"/>
      <c r="K62" s="26"/>
      <c r="L62" s="26"/>
      <c r="M62" s="26"/>
      <c r="N62" s="26"/>
      <c r="O62" s="30">
        <f>O61-1%</f>
        <v>5.1999999999999998E-2</v>
      </c>
      <c r="P62" s="30">
        <f t="shared" ref="P62" si="62">P61-1%</f>
        <v>5.0999999999999997E-2</v>
      </c>
      <c r="Q62" s="30">
        <f t="shared" ref="Q62" si="63">Q61-1%</f>
        <v>5.3999999999999999E-2</v>
      </c>
      <c r="R62" s="30">
        <f t="shared" ref="R62" si="64">R61-1%</f>
        <v>5.6000000000000001E-2</v>
      </c>
      <c r="S62" s="30">
        <f t="shared" ref="S62" si="65">S61-1%</f>
        <v>5.2999999999999999E-2</v>
      </c>
    </row>
    <row r="63" spans="2:19" hidden="1" outlineLevel="1" x14ac:dyDescent="0.25">
      <c r="B63" s="27" t="s">
        <v>68</v>
      </c>
      <c r="J63" s="26"/>
      <c r="K63" s="26"/>
      <c r="L63" s="26"/>
      <c r="M63" s="26"/>
      <c r="N63" s="26"/>
      <c r="O63" s="30">
        <f>O61+1%</f>
        <v>7.1999999999999995E-2</v>
      </c>
      <c r="P63" s="30">
        <f t="shared" ref="P63:S63" si="66">P61+1%</f>
        <v>7.0999999999999994E-2</v>
      </c>
      <c r="Q63" s="30">
        <f t="shared" si="66"/>
        <v>7.3999999999999996E-2</v>
      </c>
      <c r="R63" s="30">
        <f t="shared" si="66"/>
        <v>7.5999999999999998E-2</v>
      </c>
      <c r="S63" s="30">
        <f t="shared" si="66"/>
        <v>7.2999999999999995E-2</v>
      </c>
    </row>
    <row r="64" spans="2:19" hidden="1" outlineLevel="1" x14ac:dyDescent="0.25">
      <c r="B64" s="33" t="s">
        <v>57</v>
      </c>
      <c r="C64" s="33"/>
      <c r="D64" s="33"/>
      <c r="E64" s="33"/>
      <c r="F64" s="33"/>
      <c r="G64" s="33"/>
      <c r="H64" s="33"/>
      <c r="I64" s="33"/>
      <c r="J64" s="34">
        <f>Input!H49</f>
        <v>102148.15664971902</v>
      </c>
      <c r="K64" s="34">
        <f>Input!I49</f>
        <v>102271.25303719561</v>
      </c>
      <c r="L64" s="34">
        <f>Input!J49</f>
        <v>116049</v>
      </c>
      <c r="M64" s="34">
        <f>Input!K49</f>
        <v>123363</v>
      </c>
      <c r="N64" s="34">
        <f>Input!L49</f>
        <v>131988</v>
      </c>
      <c r="O64" s="34">
        <f ca="1">O54+O59</f>
        <v>141736.33199999999</v>
      </c>
      <c r="P64" s="34">
        <f t="shared" ref="P64:S64" ca="1" si="67">P54+P59</f>
        <v>152343.28847999999</v>
      </c>
      <c r="Q64" s="34">
        <f t="shared" ca="1" si="67"/>
        <v>163448.47781456998</v>
      </c>
      <c r="R64" s="34">
        <f t="shared" ca="1" si="67"/>
        <v>175528.6549943272</v>
      </c>
      <c r="S64" s="34">
        <f t="shared" ca="1" si="67"/>
        <v>187975.18864862109</v>
      </c>
    </row>
    <row r="65" spans="2:19" hidden="1" outlineLevel="1" x14ac:dyDescent="0.25">
      <c r="J65" s="26"/>
      <c r="K65" s="26"/>
      <c r="L65" s="26"/>
      <c r="M65" s="26"/>
      <c r="N65" s="26"/>
    </row>
    <row r="66" spans="2:19" hidden="1" outlineLevel="1" x14ac:dyDescent="0.25">
      <c r="B66" s="2" t="s">
        <v>58</v>
      </c>
      <c r="J66" s="26">
        <f>Input!H51</f>
        <v>80279.027379349369</v>
      </c>
      <c r="K66" s="26">
        <f>Input!I51</f>
        <v>86776.388940278019</v>
      </c>
      <c r="L66" s="26">
        <f>Input!J51</f>
        <v>89831</v>
      </c>
      <c r="M66" s="26">
        <f>Input!K51</f>
        <v>95267</v>
      </c>
      <c r="N66" s="26">
        <f>Input!L51</f>
        <v>102576</v>
      </c>
      <c r="O66" s="26">
        <f ca="1">N66*(1+O67)</f>
        <v>110679.504</v>
      </c>
      <c r="P66" s="26">
        <f t="shared" ref="P66" ca="1" si="68">O66*(1+P67)</f>
        <v>119201.82580799999</v>
      </c>
      <c r="Q66" s="26">
        <f t="shared" ref="Q66" ca="1" si="69">P66*(1+Q67)</f>
        <v>128857.17369844799</v>
      </c>
      <c r="R66" s="26">
        <f t="shared" ref="R66" ca="1" si="70">Q66*(1+R67)</f>
        <v>138650.31889953004</v>
      </c>
      <c r="S66" s="26">
        <f t="shared" ref="S66" ca="1" si="71">R66*(1+S67)</f>
        <v>148771.79217919573</v>
      </c>
    </row>
    <row r="67" spans="2:19" hidden="1" outlineLevel="1" x14ac:dyDescent="0.25">
      <c r="B67" s="27" t="s">
        <v>64</v>
      </c>
      <c r="J67" s="26"/>
      <c r="K67" s="29">
        <f>K66/J66-1</f>
        <v>8.0934731934731996E-2</v>
      </c>
      <c r="L67" s="29">
        <f t="shared" ref="L67" si="72">L66/K66-1</f>
        <v>3.5200946905318276E-2</v>
      </c>
      <c r="M67" s="29">
        <f t="shared" ref="M67" si="73">M66/L66-1</f>
        <v>6.0513631151829506E-2</v>
      </c>
      <c r="N67" s="29">
        <f t="shared" ref="N67" si="74">N66/M66-1</f>
        <v>7.672121511121377E-2</v>
      </c>
      <c r="O67" s="29">
        <f ca="1">OFFSET(O67,scenario,0)</f>
        <v>7.9000000000000001E-2</v>
      </c>
      <c r="P67" s="29">
        <f ca="1">OFFSET(P67,scenario,0)</f>
        <v>7.6999999999999999E-2</v>
      </c>
      <c r="Q67" s="29">
        <f ca="1">OFFSET(Q67,scenario,0)</f>
        <v>8.1000000000000003E-2</v>
      </c>
      <c r="R67" s="29">
        <f ca="1">OFFSET(R67,scenario,0)</f>
        <v>7.5999999999999998E-2</v>
      </c>
      <c r="S67" s="29">
        <f ca="1">OFFSET(S67,scenario,0)</f>
        <v>7.2999999999999995E-2</v>
      </c>
    </row>
    <row r="68" spans="2:19" hidden="1" outlineLevel="1" x14ac:dyDescent="0.25">
      <c r="B68" s="27" t="s">
        <v>66</v>
      </c>
      <c r="J68" s="26"/>
      <c r="K68" s="26"/>
      <c r="L68" s="26"/>
      <c r="M68" s="26"/>
      <c r="N68" s="28"/>
      <c r="O68" s="30">
        <v>7.9000000000000001E-2</v>
      </c>
      <c r="P68" s="30">
        <v>7.6999999999999999E-2</v>
      </c>
      <c r="Q68" s="30">
        <v>8.1000000000000003E-2</v>
      </c>
      <c r="R68" s="30">
        <v>7.5999999999999998E-2</v>
      </c>
      <c r="S68" s="30">
        <v>7.2999999999999995E-2</v>
      </c>
    </row>
    <row r="69" spans="2:19" hidden="1" outlineLevel="1" x14ac:dyDescent="0.25">
      <c r="B69" s="27" t="s">
        <v>67</v>
      </c>
      <c r="J69" s="26"/>
      <c r="K69" s="26"/>
      <c r="L69" s="26"/>
      <c r="M69" s="26"/>
      <c r="N69" s="26"/>
      <c r="O69" s="30">
        <f>O68-1%</f>
        <v>6.9000000000000006E-2</v>
      </c>
      <c r="P69" s="30">
        <f t="shared" ref="P69" si="75">P68-1%</f>
        <v>6.7000000000000004E-2</v>
      </c>
      <c r="Q69" s="30">
        <f t="shared" ref="Q69" si="76">Q68-1%</f>
        <v>7.1000000000000008E-2</v>
      </c>
      <c r="R69" s="30">
        <f t="shared" ref="R69" si="77">R68-1%</f>
        <v>6.6000000000000003E-2</v>
      </c>
      <c r="S69" s="30">
        <f t="shared" ref="S69" si="78">S68-1%</f>
        <v>6.3E-2</v>
      </c>
    </row>
    <row r="70" spans="2:19" hidden="1" outlineLevel="1" x14ac:dyDescent="0.25">
      <c r="B70" s="27" t="s">
        <v>68</v>
      </c>
      <c r="J70" s="26"/>
      <c r="K70" s="26"/>
      <c r="L70" s="26"/>
      <c r="M70" s="26"/>
      <c r="N70" s="26"/>
      <c r="O70" s="30">
        <f>O68+1%</f>
        <v>8.8999999999999996E-2</v>
      </c>
      <c r="P70" s="30">
        <f t="shared" ref="P70:S70" si="79">P68+1%</f>
        <v>8.6999999999999994E-2</v>
      </c>
      <c r="Q70" s="30">
        <f t="shared" si="79"/>
        <v>9.0999999999999998E-2</v>
      </c>
      <c r="R70" s="30">
        <f t="shared" si="79"/>
        <v>8.5999999999999993E-2</v>
      </c>
      <c r="S70" s="30">
        <f t="shared" si="79"/>
        <v>8.299999999999999E-2</v>
      </c>
    </row>
    <row r="71" spans="2:19" hidden="1" outlineLevel="1" x14ac:dyDescent="0.25">
      <c r="B71" s="2" t="s">
        <v>28</v>
      </c>
      <c r="J71" s="26">
        <f>Input!H52</f>
        <v>19188.988381033338</v>
      </c>
      <c r="K71" s="26">
        <f>Input!I52</f>
        <v>20708.314796154711</v>
      </c>
      <c r="L71" s="26">
        <f>Input!J52</f>
        <v>21309</v>
      </c>
      <c r="M71" s="26">
        <f>Input!K52</f>
        <v>22595</v>
      </c>
      <c r="N71" s="26">
        <f>Input!L52</f>
        <v>24309</v>
      </c>
      <c r="O71" s="26">
        <f ca="1">N71*(1+O72)</f>
        <v>26205.102000000003</v>
      </c>
      <c r="P71" s="26">
        <f t="shared" ref="P71" ca="1" si="80">O71*(1+P72)</f>
        <v>28275.305058000002</v>
      </c>
      <c r="Q71" s="26">
        <f t="shared" ref="Q71" ca="1" si="81">P71*(1+Q72)</f>
        <v>30452.503547466</v>
      </c>
      <c r="R71" s="26">
        <f t="shared" ref="R71" ca="1" si="82">Q71*(1+R72)</f>
        <v>32736.441313525949</v>
      </c>
      <c r="S71" s="26">
        <f t="shared" ref="S71" ca="1" si="83">R71*(1+S72)</f>
        <v>35093.465088099816</v>
      </c>
    </row>
    <row r="72" spans="2:19" hidden="1" outlineLevel="1" x14ac:dyDescent="0.25">
      <c r="B72" s="27" t="s">
        <v>64</v>
      </c>
      <c r="J72" s="26"/>
      <c r="K72" s="29">
        <f>K71/J71-1</f>
        <v>7.9176993854615851E-2</v>
      </c>
      <c r="L72" s="29">
        <f t="shared" ref="L72" si="84">L71/K71-1</f>
        <v>2.90069573385483E-2</v>
      </c>
      <c r="M72" s="29">
        <f t="shared" ref="M72" si="85">M71/L71-1</f>
        <v>6.0350086817776427E-2</v>
      </c>
      <c r="N72" s="29">
        <f t="shared" ref="N72" si="86">N71/M71-1</f>
        <v>7.5857490595264476E-2</v>
      </c>
      <c r="O72" s="29">
        <f ca="1">OFFSET(O72,scenario,0)</f>
        <v>7.8E-2</v>
      </c>
      <c r="P72" s="29">
        <f ca="1">OFFSET(P72,scenario,0)</f>
        <v>7.9000000000000001E-2</v>
      </c>
      <c r="Q72" s="29">
        <f ca="1">OFFSET(Q72,scenario,0)</f>
        <v>7.6999999999999999E-2</v>
      </c>
      <c r="R72" s="29">
        <f ca="1">OFFSET(R72,scenario,0)</f>
        <v>7.4999999999999997E-2</v>
      </c>
      <c r="S72" s="29">
        <f ca="1">OFFSET(S72,scenario,0)</f>
        <v>7.1999999999999995E-2</v>
      </c>
    </row>
    <row r="73" spans="2:19" hidden="1" outlineLevel="1" x14ac:dyDescent="0.25">
      <c r="B73" s="27" t="s">
        <v>66</v>
      </c>
      <c r="J73" s="26"/>
      <c r="K73" s="26"/>
      <c r="L73" s="26"/>
      <c r="M73" s="26"/>
      <c r="N73" s="28"/>
      <c r="O73" s="30">
        <v>7.8E-2</v>
      </c>
      <c r="P73" s="30">
        <v>7.9000000000000001E-2</v>
      </c>
      <c r="Q73" s="30">
        <v>7.6999999999999999E-2</v>
      </c>
      <c r="R73" s="30">
        <v>7.4999999999999997E-2</v>
      </c>
      <c r="S73" s="30">
        <v>7.1999999999999995E-2</v>
      </c>
    </row>
    <row r="74" spans="2:19" hidden="1" outlineLevel="1" x14ac:dyDescent="0.25">
      <c r="B74" s="27" t="s">
        <v>67</v>
      </c>
      <c r="J74" s="26"/>
      <c r="K74" s="26"/>
      <c r="L74" s="26"/>
      <c r="M74" s="26"/>
      <c r="N74" s="26"/>
      <c r="O74" s="30">
        <f>O73-1%</f>
        <v>6.8000000000000005E-2</v>
      </c>
      <c r="P74" s="30">
        <f t="shared" ref="P74" si="87">P73-1%</f>
        <v>6.9000000000000006E-2</v>
      </c>
      <c r="Q74" s="30">
        <f t="shared" ref="Q74" si="88">Q73-1%</f>
        <v>6.7000000000000004E-2</v>
      </c>
      <c r="R74" s="30">
        <f t="shared" ref="R74" si="89">R73-1%</f>
        <v>6.5000000000000002E-2</v>
      </c>
      <c r="S74" s="30">
        <f t="shared" ref="S74" si="90">S73-1%</f>
        <v>6.1999999999999993E-2</v>
      </c>
    </row>
    <row r="75" spans="2:19" hidden="1" outlineLevel="1" x14ac:dyDescent="0.25">
      <c r="B75" s="27" t="s">
        <v>68</v>
      </c>
      <c r="J75" s="26"/>
      <c r="K75" s="26"/>
      <c r="L75" s="26"/>
      <c r="M75" s="26"/>
      <c r="N75" s="26"/>
      <c r="O75" s="30">
        <f>O73+1%</f>
        <v>8.7999999999999995E-2</v>
      </c>
      <c r="P75" s="30">
        <f t="shared" ref="P75:S75" si="91">P73+1%</f>
        <v>8.8999999999999996E-2</v>
      </c>
      <c r="Q75" s="30">
        <f t="shared" si="91"/>
        <v>8.6999999999999994E-2</v>
      </c>
      <c r="R75" s="30">
        <f t="shared" si="91"/>
        <v>8.4999999999999992E-2</v>
      </c>
      <c r="S75" s="30">
        <f t="shared" si="91"/>
        <v>8.199999999999999E-2</v>
      </c>
    </row>
    <row r="76" spans="2:19" hidden="1" outlineLevel="1" x14ac:dyDescent="0.25">
      <c r="B76" s="33" t="s">
        <v>59</v>
      </c>
      <c r="C76" s="33"/>
      <c r="D76" s="33"/>
      <c r="E76" s="33"/>
      <c r="F76" s="33"/>
      <c r="G76" s="33"/>
      <c r="H76" s="33"/>
      <c r="I76" s="33"/>
      <c r="J76" s="34">
        <f>Input!H53</f>
        <v>2680.140889336315</v>
      </c>
      <c r="K76" s="34">
        <f>Input!I53</f>
        <v>-5213.4506992371207</v>
      </c>
      <c r="L76" s="34">
        <f>Input!J53</f>
        <v>4909</v>
      </c>
      <c r="M76" s="34">
        <f>Input!K53</f>
        <v>5501</v>
      </c>
      <c r="N76" s="34">
        <f>Input!L53</f>
        <v>5103</v>
      </c>
      <c r="O76" s="34">
        <f ca="1">O64-O66-O71</f>
        <v>4851.7259999999915</v>
      </c>
      <c r="P76" s="34">
        <f t="shared" ref="P76:S76" ca="1" si="92">P64-P66-P71</f>
        <v>4866.1576139999925</v>
      </c>
      <c r="Q76" s="34">
        <f t="shared" ca="1" si="92"/>
        <v>4138.8005686559882</v>
      </c>
      <c r="R76" s="34">
        <f t="shared" ca="1" si="92"/>
        <v>4141.8947812712031</v>
      </c>
      <c r="S76" s="34">
        <f t="shared" ca="1" si="92"/>
        <v>4109.9313813255358</v>
      </c>
    </row>
    <row r="77" spans="2:19" collapsed="1" x14ac:dyDescent="0.25">
      <c r="J77" s="26"/>
      <c r="K77" s="26"/>
      <c r="L77" s="26"/>
      <c r="M77" s="26"/>
      <c r="N77" s="26"/>
    </row>
    <row r="78" spans="2:19" x14ac:dyDescent="0.25">
      <c r="B78" s="14" t="s">
        <v>55</v>
      </c>
      <c r="C78" s="15"/>
      <c r="D78" s="15"/>
      <c r="E78" s="15"/>
      <c r="F78" s="15"/>
      <c r="G78" s="15"/>
      <c r="H78" s="15"/>
      <c r="I78" s="15"/>
      <c r="J78" s="31"/>
      <c r="K78" s="31"/>
      <c r="L78" s="31"/>
      <c r="M78" s="31"/>
      <c r="N78" s="31"/>
      <c r="O78" s="15"/>
      <c r="P78" s="15"/>
      <c r="Q78" s="15"/>
      <c r="R78" s="15"/>
      <c r="S78" s="15"/>
    </row>
    <row r="79" spans="2:19" hidden="1" outlineLevel="1" x14ac:dyDescent="0.25">
      <c r="B79" s="2" t="s">
        <v>53</v>
      </c>
      <c r="J79" s="26">
        <f>Input!H56</f>
        <v>73556</v>
      </c>
      <c r="K79" s="26">
        <f>Input!I56</f>
        <v>84345</v>
      </c>
      <c r="L79" s="26">
        <f>Input!J56</f>
        <v>86179</v>
      </c>
      <c r="M79" s="26">
        <f>Input!K56</f>
        <v>90238</v>
      </c>
      <c r="N79" s="26">
        <f>Input!L56</f>
        <v>93015</v>
      </c>
      <c r="O79" s="26">
        <f ca="1">N79*(1+O80)</f>
        <v>96270.524999999994</v>
      </c>
      <c r="P79" s="26">
        <f t="shared" ref="P79" ca="1" si="93">O79*(1+P80)</f>
        <v>99543.722849999991</v>
      </c>
      <c r="Q79" s="26">
        <f t="shared" ref="Q79" ca="1" si="94">P79*(1+Q80)</f>
        <v>102629.57825834998</v>
      </c>
      <c r="R79" s="26">
        <f t="shared" ref="R79" ca="1" si="95">Q79*(1+R80)</f>
        <v>106324.24307565058</v>
      </c>
      <c r="S79" s="26">
        <f t="shared" ref="S79" ca="1" si="96">R79*(1+S80)</f>
        <v>110364.5643125253</v>
      </c>
    </row>
    <row r="80" spans="2:19" hidden="1" outlineLevel="1" x14ac:dyDescent="0.25">
      <c r="B80" s="27" t="s">
        <v>64</v>
      </c>
      <c r="J80" s="26"/>
      <c r="K80" s="29">
        <f>K79/J79-1</f>
        <v>0.14667736146609389</v>
      </c>
      <c r="L80" s="29">
        <f t="shared" ref="L80" si="97">L79/K79-1</f>
        <v>2.1744027506076291E-2</v>
      </c>
      <c r="M80" s="29">
        <f t="shared" ref="M80" si="98">M79/L79-1</f>
        <v>4.7099641443971274E-2</v>
      </c>
      <c r="N80" s="29">
        <f t="shared" ref="N80" si="99">N79/M79-1</f>
        <v>3.077417495955137E-2</v>
      </c>
      <c r="O80" s="29">
        <f ca="1">OFFSET(O80,scenario,0)</f>
        <v>3.5000000000000003E-2</v>
      </c>
      <c r="P80" s="29">
        <f ca="1">OFFSET(P80,scenario,0)</f>
        <v>3.4000000000000002E-2</v>
      </c>
      <c r="Q80" s="29">
        <f ca="1">OFFSET(Q80,scenario,0)</f>
        <v>3.1E-2</v>
      </c>
      <c r="R80" s="29">
        <f ca="1">OFFSET(R80,scenario,0)</f>
        <v>3.5999999999999997E-2</v>
      </c>
      <c r="S80" s="29">
        <f ca="1">OFFSET(S80,scenario,0)</f>
        <v>3.7999999999999999E-2</v>
      </c>
    </row>
    <row r="81" spans="2:19" hidden="1" outlineLevel="1" x14ac:dyDescent="0.25">
      <c r="B81" s="27" t="s">
        <v>66</v>
      </c>
      <c r="J81" s="26"/>
      <c r="K81" s="26"/>
      <c r="L81" s="26"/>
      <c r="M81" s="26"/>
      <c r="N81" s="28"/>
      <c r="O81" s="30">
        <v>3.5000000000000003E-2</v>
      </c>
      <c r="P81" s="30">
        <v>3.4000000000000002E-2</v>
      </c>
      <c r="Q81" s="30">
        <v>3.1E-2</v>
      </c>
      <c r="R81" s="30">
        <v>3.5999999999999997E-2</v>
      </c>
      <c r="S81" s="30">
        <v>3.7999999999999999E-2</v>
      </c>
    </row>
    <row r="82" spans="2:19" hidden="1" outlineLevel="1" x14ac:dyDescent="0.25">
      <c r="B82" s="27" t="s">
        <v>67</v>
      </c>
      <c r="J82" s="26"/>
      <c r="K82" s="26"/>
      <c r="L82" s="26"/>
      <c r="M82" s="26"/>
      <c r="N82" s="26"/>
      <c r="O82" s="30">
        <v>2.5000000000000001E-2</v>
      </c>
      <c r="P82" s="30">
        <v>2.4E-2</v>
      </c>
      <c r="Q82" s="30">
        <v>2.0999999999999998E-2</v>
      </c>
      <c r="R82" s="30">
        <v>2.5999999999999995E-2</v>
      </c>
      <c r="S82" s="30">
        <v>2.7999999999999997E-2</v>
      </c>
    </row>
    <row r="83" spans="2:19" hidden="1" outlineLevel="1" x14ac:dyDescent="0.25">
      <c r="B83" s="27" t="s">
        <v>68</v>
      </c>
      <c r="J83" s="26"/>
      <c r="K83" s="26"/>
      <c r="L83" s="26"/>
      <c r="M83" s="26"/>
      <c r="N83" s="26"/>
      <c r="O83" s="30">
        <v>4.5000000000000005E-2</v>
      </c>
      <c r="P83" s="30">
        <v>4.4000000000000004E-2</v>
      </c>
      <c r="Q83" s="30">
        <v>4.1000000000000002E-2</v>
      </c>
      <c r="R83" s="30">
        <v>4.5999999999999999E-2</v>
      </c>
      <c r="S83" s="30">
        <v>4.8000000000000001E-2</v>
      </c>
    </row>
    <row r="84" spans="2:19" hidden="1" outlineLevel="1" x14ac:dyDescent="0.25">
      <c r="B84" s="2" t="s">
        <v>56</v>
      </c>
      <c r="J84" s="26">
        <f>Input!H57</f>
        <v>1843.1794487556863</v>
      </c>
      <c r="K84" s="26">
        <f>Input!I57</f>
        <v>1996.7777361519934</v>
      </c>
      <c r="L84" s="26">
        <f>Input!J57</f>
        <v>2051</v>
      </c>
      <c r="M84" s="26">
        <f>Input!K57</f>
        <v>2323</v>
      </c>
      <c r="N84" s="26">
        <f>Input!L57</f>
        <v>2525</v>
      </c>
      <c r="O84" s="26">
        <f ca="1">N84*(1+O85)</f>
        <v>2737.1000000000004</v>
      </c>
      <c r="P84" s="26">
        <f t="shared" ref="P84" ca="1" si="100">O84*(1+P85)</f>
        <v>2958.8051000000005</v>
      </c>
      <c r="Q84" s="26">
        <f t="shared" ref="Q84" ca="1" si="101">P84*(1+Q85)</f>
        <v>3198.4683131000006</v>
      </c>
      <c r="R84" s="26">
        <f t="shared" ref="R84" ca="1" si="102">Q84*(1+R85)</f>
        <v>3463.9411830873005</v>
      </c>
      <c r="S84" s="26">
        <f t="shared" ref="S84" ca="1" si="103">R84*(1+S85)</f>
        <v>3761.8401248328087</v>
      </c>
    </row>
    <row r="85" spans="2:19" hidden="1" outlineLevel="1" x14ac:dyDescent="0.25">
      <c r="B85" s="27" t="s">
        <v>64</v>
      </c>
      <c r="J85" s="26"/>
      <c r="K85" s="29">
        <f>K84/J84-1</f>
        <v>8.3333333333333259E-2</v>
      </c>
      <c r="L85" s="29">
        <f t="shared" ref="L85" si="104">L84/K84-1</f>
        <v>2.7154882021320326E-2</v>
      </c>
      <c r="M85" s="29">
        <f t="shared" ref="M85" si="105">M84/L84-1</f>
        <v>0.13261823500731351</v>
      </c>
      <c r="N85" s="29">
        <f t="shared" ref="N85" si="106">N84/M84-1</f>
        <v>8.6956521739130377E-2</v>
      </c>
      <c r="O85" s="29">
        <f ca="1">OFFSET(O85,scenario,0)</f>
        <v>8.4000000000000005E-2</v>
      </c>
      <c r="P85" s="29">
        <f ca="1">OFFSET(P85,scenario,0)</f>
        <v>8.1000000000000003E-2</v>
      </c>
      <c r="Q85" s="29">
        <f ca="1">OFFSET(Q85,scenario,0)</f>
        <v>8.1000000000000003E-2</v>
      </c>
      <c r="R85" s="29">
        <f ca="1">OFFSET(R85,scenario,0)</f>
        <v>8.3000000000000004E-2</v>
      </c>
      <c r="S85" s="29">
        <f ca="1">OFFSET(S85,scenario,0)</f>
        <v>8.5999999999999993E-2</v>
      </c>
    </row>
    <row r="86" spans="2:19" hidden="1" outlineLevel="1" x14ac:dyDescent="0.25">
      <c r="B86" s="27" t="s">
        <v>66</v>
      </c>
      <c r="J86" s="26"/>
      <c r="K86" s="26"/>
      <c r="L86" s="26"/>
      <c r="M86" s="26"/>
      <c r="N86" s="28"/>
      <c r="O86" s="30">
        <v>8.4000000000000005E-2</v>
      </c>
      <c r="P86" s="30">
        <v>8.1000000000000003E-2</v>
      </c>
      <c r="Q86" s="30">
        <v>8.1000000000000003E-2</v>
      </c>
      <c r="R86" s="30">
        <v>8.3000000000000004E-2</v>
      </c>
      <c r="S86" s="30">
        <v>8.5999999999999993E-2</v>
      </c>
    </row>
    <row r="87" spans="2:19" hidden="1" outlineLevel="1" x14ac:dyDescent="0.25">
      <c r="B87" s="27" t="s">
        <v>67</v>
      </c>
      <c r="J87" s="26"/>
      <c r="K87" s="26"/>
      <c r="L87" s="26"/>
      <c r="M87" s="26"/>
      <c r="N87" s="26"/>
      <c r="O87" s="30">
        <v>7.400000000000001E-2</v>
      </c>
      <c r="P87" s="30">
        <v>7.1000000000000008E-2</v>
      </c>
      <c r="Q87" s="30">
        <v>7.1000000000000008E-2</v>
      </c>
      <c r="R87" s="30">
        <v>7.3000000000000009E-2</v>
      </c>
      <c r="S87" s="30">
        <v>7.5999999999999998E-2</v>
      </c>
    </row>
    <row r="88" spans="2:19" hidden="1" outlineLevel="1" x14ac:dyDescent="0.25">
      <c r="B88" s="27" t="s">
        <v>68</v>
      </c>
      <c r="J88" s="26"/>
      <c r="K88" s="26"/>
      <c r="L88" s="26"/>
      <c r="M88" s="26"/>
      <c r="N88" s="26"/>
      <c r="O88" s="32">
        <v>9.4E-2</v>
      </c>
      <c r="P88" s="32">
        <v>9.0999999999999998E-2</v>
      </c>
      <c r="Q88" s="32">
        <v>9.0999999999999998E-2</v>
      </c>
      <c r="R88" s="32">
        <v>9.2999999999999999E-2</v>
      </c>
      <c r="S88" s="32">
        <v>9.5999999999999988E-2</v>
      </c>
    </row>
    <row r="89" spans="2:19" hidden="1" outlineLevel="1" x14ac:dyDescent="0.25">
      <c r="B89" s="33" t="s">
        <v>57</v>
      </c>
      <c r="C89" s="33"/>
      <c r="D89" s="33"/>
      <c r="E89" s="33"/>
      <c r="F89" s="33"/>
      <c r="G89" s="33"/>
      <c r="H89" s="33"/>
      <c r="I89" s="33"/>
      <c r="J89" s="34">
        <f>Input!H58</f>
        <v>75399.179448755691</v>
      </c>
      <c r="K89" s="34">
        <f>Input!I58</f>
        <v>86341.777736151998</v>
      </c>
      <c r="L89" s="34">
        <f>Input!J58</f>
        <v>88230</v>
      </c>
      <c r="M89" s="34">
        <f>Input!K58</f>
        <v>92561</v>
      </c>
      <c r="N89" s="34">
        <f>Input!L58</f>
        <v>95540</v>
      </c>
      <c r="O89" s="34">
        <f ca="1">O79+O84</f>
        <v>99007.625</v>
      </c>
      <c r="P89" s="34">
        <f t="shared" ref="P89:S89" ca="1" si="107">P79+P84</f>
        <v>102502.52794999999</v>
      </c>
      <c r="Q89" s="34">
        <f t="shared" ca="1" si="107"/>
        <v>105828.04657144999</v>
      </c>
      <c r="R89" s="34">
        <f t="shared" ca="1" si="107"/>
        <v>109788.18425873788</v>
      </c>
      <c r="S89" s="34">
        <f t="shared" ca="1" si="107"/>
        <v>114126.40443735811</v>
      </c>
    </row>
    <row r="90" spans="2:19" hidden="1" outlineLevel="1" x14ac:dyDescent="0.25">
      <c r="J90" s="26"/>
      <c r="K90" s="26"/>
      <c r="L90" s="26"/>
      <c r="M90" s="26"/>
      <c r="N90" s="26"/>
    </row>
    <row r="91" spans="2:19" hidden="1" outlineLevel="1" x14ac:dyDescent="0.25">
      <c r="B91" s="2" t="s">
        <v>58</v>
      </c>
      <c r="J91" s="26">
        <f>Input!H60</f>
        <v>66763.472083991961</v>
      </c>
      <c r="K91" s="26">
        <f>Input!I60</f>
        <v>72166.955800141805</v>
      </c>
      <c r="L91" s="26">
        <f>Input!J60</f>
        <v>76748</v>
      </c>
      <c r="M91" s="26">
        <f>Input!K60</f>
        <v>80035</v>
      </c>
      <c r="N91" s="26">
        <f>Input!L60</f>
        <v>82459</v>
      </c>
      <c r="O91" s="26">
        <f ca="1">N91*(1+O92)</f>
        <v>85097.688000000009</v>
      </c>
      <c r="P91" s="26">
        <f t="shared" ref="P91" ca="1" si="108">O91*(1+P92)</f>
        <v>87735.71632800001</v>
      </c>
      <c r="Q91" s="26">
        <f t="shared" ref="Q91" ca="1" si="109">P91*(1+Q92)</f>
        <v>90630.994966824001</v>
      </c>
      <c r="R91" s="26">
        <f t="shared" ref="R91" ca="1" si="110">Q91*(1+R92)</f>
        <v>93712.448795696022</v>
      </c>
      <c r="S91" s="26">
        <f t="shared" ref="S91" ca="1" si="111">R91*(1+S92)</f>
        <v>96711.247157158301</v>
      </c>
    </row>
    <row r="92" spans="2:19" hidden="1" outlineLevel="1" x14ac:dyDescent="0.25">
      <c r="B92" s="27" t="s">
        <v>64</v>
      </c>
      <c r="J92" s="26"/>
      <c r="K92" s="29">
        <f>K91/J91-1</f>
        <v>8.0934731934731774E-2</v>
      </c>
      <c r="L92" s="29">
        <f t="shared" ref="L92" si="112">L91/K91-1</f>
        <v>6.3478418191074582E-2</v>
      </c>
      <c r="M92" s="29">
        <f t="shared" ref="M92" si="113">M91/L91-1</f>
        <v>4.2828477615051819E-2</v>
      </c>
      <c r="N92" s="29">
        <f t="shared" ref="N92" si="114">N91/M91-1</f>
        <v>3.0286749547073111E-2</v>
      </c>
      <c r="O92" s="29">
        <f ca="1">OFFSET(O92,scenario,0)</f>
        <v>3.2000000000000001E-2</v>
      </c>
      <c r="P92" s="29">
        <f ca="1">OFFSET(P92,scenario,0)</f>
        <v>3.1E-2</v>
      </c>
      <c r="Q92" s="29">
        <f ca="1">OFFSET(Q92,scenario,0)</f>
        <v>3.3000000000000002E-2</v>
      </c>
      <c r="R92" s="29">
        <f ca="1">OFFSET(R92,scenario,0)</f>
        <v>3.4000000000000002E-2</v>
      </c>
      <c r="S92" s="29">
        <f ca="1">OFFSET(S92,scenario,0)</f>
        <v>3.2000000000000001E-2</v>
      </c>
    </row>
    <row r="93" spans="2:19" hidden="1" outlineLevel="1" x14ac:dyDescent="0.25">
      <c r="B93" s="27" t="s">
        <v>66</v>
      </c>
      <c r="J93" s="26"/>
      <c r="K93" s="26"/>
      <c r="L93" s="26"/>
      <c r="M93" s="26"/>
      <c r="N93" s="28"/>
      <c r="O93" s="30">
        <v>3.2000000000000001E-2</v>
      </c>
      <c r="P93" s="30">
        <v>3.1E-2</v>
      </c>
      <c r="Q93" s="30">
        <v>3.3000000000000002E-2</v>
      </c>
      <c r="R93" s="30">
        <v>3.4000000000000002E-2</v>
      </c>
      <c r="S93" s="30">
        <v>3.2000000000000001E-2</v>
      </c>
    </row>
    <row r="94" spans="2:19" hidden="1" outlineLevel="1" x14ac:dyDescent="0.25">
      <c r="B94" s="27" t="s">
        <v>67</v>
      </c>
      <c r="J94" s="26"/>
      <c r="K94" s="26"/>
      <c r="L94" s="26"/>
      <c r="M94" s="26"/>
      <c r="N94" s="26"/>
      <c r="O94" s="30">
        <v>4.2000000000000003E-2</v>
      </c>
      <c r="P94" s="30">
        <v>4.1000000000000002E-2</v>
      </c>
      <c r="Q94" s="30">
        <v>4.3000000000000003E-2</v>
      </c>
      <c r="R94" s="30">
        <v>4.4000000000000004E-2</v>
      </c>
      <c r="S94" s="30">
        <v>4.2000000000000003E-2</v>
      </c>
    </row>
    <row r="95" spans="2:19" hidden="1" outlineLevel="1" x14ac:dyDescent="0.25">
      <c r="B95" s="27" t="s">
        <v>68</v>
      </c>
      <c r="J95" s="26"/>
      <c r="K95" s="26"/>
      <c r="L95" s="26"/>
      <c r="M95" s="26"/>
      <c r="N95" s="26"/>
      <c r="O95" s="30">
        <v>2.1999999999999999E-2</v>
      </c>
      <c r="P95" s="30">
        <v>2.0999999999999998E-2</v>
      </c>
      <c r="Q95" s="30">
        <v>2.3E-2</v>
      </c>
      <c r="R95" s="30">
        <v>2.4E-2</v>
      </c>
      <c r="S95" s="30">
        <v>2.1999999999999999E-2</v>
      </c>
    </row>
    <row r="96" spans="2:19" hidden="1" outlineLevel="1" x14ac:dyDescent="0.25">
      <c r="B96" s="2" t="s">
        <v>28</v>
      </c>
      <c r="J96" s="26">
        <f>Input!H61</f>
        <v>8453.6421186347598</v>
      </c>
      <c r="K96" s="26">
        <f>Input!I61</f>
        <v>9122.976088711026</v>
      </c>
      <c r="L96" s="26">
        <f>Input!J61</f>
        <v>9290</v>
      </c>
      <c r="M96" s="26">
        <f>Input!K61</f>
        <v>10122</v>
      </c>
      <c r="N96" s="26">
        <f>Input!L61</f>
        <v>10639</v>
      </c>
      <c r="O96" s="26">
        <f ca="1">N96*(1+O97)</f>
        <v>11202.867</v>
      </c>
      <c r="P96" s="26">
        <f t="shared" ref="P96" ca="1" si="115">O96*(1+P97)</f>
        <v>11785.416084</v>
      </c>
      <c r="Q96" s="26">
        <f t="shared" ref="Q96" ca="1" si="116">P96*(1+Q97)</f>
        <v>12421.828552536001</v>
      </c>
      <c r="R96" s="26">
        <f t="shared" ref="R96" ca="1" si="117">Q96*(1+R97)</f>
        <v>13105.02912292548</v>
      </c>
      <c r="S96" s="26">
        <f t="shared" ref="S96" ca="1" si="118">R96*(1+S97)</f>
        <v>13786.490637317605</v>
      </c>
    </row>
    <row r="97" spans="2:19" hidden="1" outlineLevel="1" x14ac:dyDescent="0.25">
      <c r="B97" s="27" t="s">
        <v>64</v>
      </c>
      <c r="J97" s="26"/>
      <c r="K97" s="29">
        <f>K96/J96-1</f>
        <v>7.9176993854615851E-2</v>
      </c>
      <c r="L97" s="29">
        <f t="shared" ref="L97" si="119">L96/K96-1</f>
        <v>1.8308050976441059E-2</v>
      </c>
      <c r="M97" s="29">
        <f t="shared" ref="M97" si="120">M96/L96-1</f>
        <v>8.9558665231431744E-2</v>
      </c>
      <c r="N97" s="29">
        <f t="shared" ref="N97" si="121">N96/M96-1</f>
        <v>5.1076862280181823E-2</v>
      </c>
      <c r="O97" s="29">
        <f ca="1">OFFSET(O97,scenario,0)</f>
        <v>5.2999999999999999E-2</v>
      </c>
      <c r="P97" s="29">
        <f ca="1">OFFSET(P97,scenario,0)</f>
        <v>5.1999999999999998E-2</v>
      </c>
      <c r="Q97" s="29">
        <f ca="1">OFFSET(Q97,scenario,0)</f>
        <v>5.3999999999999999E-2</v>
      </c>
      <c r="R97" s="29">
        <f ca="1">OFFSET(R97,scenario,0)</f>
        <v>5.5E-2</v>
      </c>
      <c r="S97" s="29">
        <f ca="1">OFFSET(S97,scenario,0)</f>
        <v>5.1999999999999998E-2</v>
      </c>
    </row>
    <row r="98" spans="2:19" hidden="1" outlineLevel="1" x14ac:dyDescent="0.25">
      <c r="B98" s="27" t="s">
        <v>66</v>
      </c>
      <c r="J98" s="26"/>
      <c r="K98" s="26"/>
      <c r="L98" s="26"/>
      <c r="M98" s="26"/>
      <c r="N98" s="28"/>
      <c r="O98" s="30">
        <v>5.2999999999999999E-2</v>
      </c>
      <c r="P98" s="30">
        <v>5.1999999999999998E-2</v>
      </c>
      <c r="Q98" s="30">
        <v>5.3999999999999999E-2</v>
      </c>
      <c r="R98" s="30">
        <v>5.5E-2</v>
      </c>
      <c r="S98" s="30">
        <v>5.1999999999999998E-2</v>
      </c>
    </row>
    <row r="99" spans="2:19" hidden="1" outlineLevel="1" x14ac:dyDescent="0.25">
      <c r="B99" s="27" t="s">
        <v>67</v>
      </c>
      <c r="J99" s="26"/>
      <c r="K99" s="26"/>
      <c r="L99" s="26"/>
      <c r="M99" s="26"/>
      <c r="N99" s="26"/>
      <c r="O99" s="30">
        <v>6.3E-2</v>
      </c>
      <c r="P99" s="30">
        <v>6.2E-2</v>
      </c>
      <c r="Q99" s="30">
        <v>6.4000000000000001E-2</v>
      </c>
      <c r="R99" s="30">
        <v>6.5000000000000002E-2</v>
      </c>
      <c r="S99" s="30">
        <v>6.2E-2</v>
      </c>
    </row>
    <row r="100" spans="2:19" hidden="1" outlineLevel="1" x14ac:dyDescent="0.25">
      <c r="B100" s="27" t="s">
        <v>68</v>
      </c>
      <c r="J100" s="26"/>
      <c r="K100" s="26"/>
      <c r="L100" s="26"/>
      <c r="M100" s="26"/>
      <c r="N100" s="26"/>
      <c r="O100" s="32">
        <v>4.2999999999999997E-2</v>
      </c>
      <c r="P100" s="32">
        <v>4.1999999999999996E-2</v>
      </c>
      <c r="Q100" s="32">
        <v>4.3999999999999997E-2</v>
      </c>
      <c r="R100" s="32">
        <v>4.4999999999999998E-2</v>
      </c>
      <c r="S100" s="32">
        <v>4.1999999999999996E-2</v>
      </c>
    </row>
    <row r="101" spans="2:19" hidden="1" outlineLevel="1" x14ac:dyDescent="0.25">
      <c r="B101" s="33" t="s">
        <v>59</v>
      </c>
      <c r="C101" s="33"/>
      <c r="D101" s="33"/>
      <c r="E101" s="33"/>
      <c r="F101" s="33"/>
      <c r="G101" s="33"/>
      <c r="H101" s="33"/>
      <c r="I101" s="33"/>
      <c r="J101" s="34">
        <f>Input!H62</f>
        <v>182.0652461289701</v>
      </c>
      <c r="K101" s="34">
        <f>Input!I62</f>
        <v>5051.8458472991679</v>
      </c>
      <c r="L101" s="34">
        <f>Input!J62</f>
        <v>2192</v>
      </c>
      <c r="M101" s="34">
        <f>Input!K62</f>
        <v>2404</v>
      </c>
      <c r="N101" s="34">
        <f>Input!L62</f>
        <v>2442</v>
      </c>
      <c r="O101" s="34">
        <f ca="1">O89-O91-O96</f>
        <v>2707.0699999999906</v>
      </c>
      <c r="P101" s="34">
        <f t="shared" ref="P101:S101" ca="1" si="122">P89-P91-P96</f>
        <v>2981.3955379999788</v>
      </c>
      <c r="Q101" s="34">
        <f t="shared" ca="1" si="122"/>
        <v>2775.2230520899866</v>
      </c>
      <c r="R101" s="34">
        <f t="shared" ca="1" si="122"/>
        <v>2970.7063401163759</v>
      </c>
      <c r="S101" s="34">
        <f t="shared" ca="1" si="122"/>
        <v>3628.6666428822064</v>
      </c>
    </row>
    <row r="102" spans="2:19" collapsed="1" x14ac:dyDescent="0.25">
      <c r="B102" s="11"/>
      <c r="J102" s="26"/>
      <c r="K102" s="26"/>
      <c r="L102" s="26"/>
      <c r="M102" s="26"/>
      <c r="N102" s="26"/>
    </row>
    <row r="103" spans="2:19" x14ac:dyDescent="0.25">
      <c r="B103" s="14" t="s">
        <v>60</v>
      </c>
      <c r="C103" s="15"/>
      <c r="D103" s="15"/>
      <c r="E103" s="15"/>
      <c r="F103" s="15"/>
      <c r="G103" s="15"/>
      <c r="H103" s="15"/>
      <c r="I103" s="15"/>
      <c r="J103" s="31"/>
      <c r="K103" s="31"/>
      <c r="L103" s="31"/>
      <c r="M103" s="31"/>
      <c r="N103" s="31"/>
      <c r="O103" s="15"/>
      <c r="P103" s="15"/>
      <c r="Q103" s="15"/>
      <c r="R103" s="15"/>
      <c r="S103" s="15"/>
    </row>
    <row r="104" spans="2:19" hidden="1" outlineLevel="1" x14ac:dyDescent="0.25">
      <c r="B104" s="2" t="s">
        <v>61</v>
      </c>
      <c r="J104" s="26">
        <f>Input!H65</f>
        <v>0</v>
      </c>
      <c r="K104" s="26">
        <f>Input!I65</f>
        <v>0</v>
      </c>
      <c r="L104" s="26">
        <f>Input!J65</f>
        <v>44</v>
      </c>
      <c r="M104" s="26">
        <f>Input!K65</f>
        <v>52</v>
      </c>
      <c r="N104" s="26">
        <f>Input!L65</f>
        <v>36</v>
      </c>
      <c r="O104" s="26">
        <f ca="1">N104*(1+O105)</f>
        <v>39.6</v>
      </c>
      <c r="P104" s="26">
        <f t="shared" ref="P104" ca="1" si="123">O104*(1+P105)</f>
        <v>43.243200000000002</v>
      </c>
      <c r="Q104" s="26">
        <f t="shared" ref="Q104" ca="1" si="124">P104*(1+Q105)</f>
        <v>46.918872</v>
      </c>
      <c r="R104" s="26">
        <f t="shared" ref="R104" ca="1" si="125">Q104*(1+R105)</f>
        <v>50.766219504000006</v>
      </c>
      <c r="S104" s="26">
        <f t="shared" ref="S104" ca="1" si="126">R104*(1+S105)</f>
        <v>55.284413039856005</v>
      </c>
    </row>
    <row r="105" spans="2:19" hidden="1" outlineLevel="1" x14ac:dyDescent="0.25">
      <c r="B105" s="27" t="s">
        <v>64</v>
      </c>
      <c r="J105" s="26"/>
      <c r="K105" s="29"/>
      <c r="L105" s="29"/>
      <c r="M105" s="29">
        <f t="shared" ref="M105" si="127">M104/L104-1</f>
        <v>0.18181818181818188</v>
      </c>
      <c r="N105" s="29">
        <f t="shared" ref="N105" si="128">N104/M104-1</f>
        <v>-0.30769230769230771</v>
      </c>
      <c r="O105" s="29">
        <f ca="1">OFFSET(O105,scenario,0)</f>
        <v>0.1</v>
      </c>
      <c r="P105" s="29">
        <f ca="1">OFFSET(P105,scenario,0)</f>
        <v>9.1999999999999998E-2</v>
      </c>
      <c r="Q105" s="29">
        <f ca="1">OFFSET(Q105,scenario,0)</f>
        <v>8.5000000000000006E-2</v>
      </c>
      <c r="R105" s="29">
        <f ca="1">OFFSET(R105,scenario,0)</f>
        <v>8.2000000000000003E-2</v>
      </c>
      <c r="S105" s="29">
        <f ca="1">OFFSET(S105,scenario,0)</f>
        <v>8.8999999999999996E-2</v>
      </c>
    </row>
    <row r="106" spans="2:19" hidden="1" outlineLevel="1" x14ac:dyDescent="0.25">
      <c r="B106" s="27" t="s">
        <v>66</v>
      </c>
      <c r="J106" s="26"/>
      <c r="K106" s="26"/>
      <c r="L106" s="26"/>
      <c r="M106" s="26"/>
      <c r="N106" s="28"/>
      <c r="O106" s="30">
        <v>0.1</v>
      </c>
      <c r="P106" s="30">
        <v>9.1999999999999998E-2</v>
      </c>
      <c r="Q106" s="30">
        <v>8.5000000000000006E-2</v>
      </c>
      <c r="R106" s="30">
        <v>8.2000000000000003E-2</v>
      </c>
      <c r="S106" s="30">
        <v>8.8999999999999996E-2</v>
      </c>
    </row>
    <row r="107" spans="2:19" hidden="1" outlineLevel="1" x14ac:dyDescent="0.25">
      <c r="B107" s="27" t="s">
        <v>67</v>
      </c>
      <c r="J107" s="26"/>
      <c r="K107" s="26"/>
      <c r="L107" s="26"/>
      <c r="M107" s="26"/>
      <c r="N107" s="26"/>
      <c r="O107" s="30">
        <v>0.11</v>
      </c>
      <c r="P107" s="30">
        <v>0.10199999999999999</v>
      </c>
      <c r="Q107" s="30">
        <v>9.5000000000000001E-2</v>
      </c>
      <c r="R107" s="30">
        <v>9.1999999999999998E-2</v>
      </c>
      <c r="S107" s="30">
        <v>9.8999999999999991E-2</v>
      </c>
    </row>
    <row r="108" spans="2:19" hidden="1" outlineLevel="1" x14ac:dyDescent="0.25">
      <c r="B108" s="27" t="s">
        <v>68</v>
      </c>
      <c r="J108" s="26"/>
      <c r="K108" s="26"/>
      <c r="L108" s="26"/>
      <c r="M108" s="26"/>
      <c r="N108" s="26"/>
      <c r="O108" s="30">
        <v>9.0000000000000011E-2</v>
      </c>
      <c r="P108" s="30">
        <v>8.2000000000000003E-2</v>
      </c>
      <c r="Q108" s="30">
        <v>7.5000000000000011E-2</v>
      </c>
      <c r="R108" s="30">
        <v>7.2000000000000008E-2</v>
      </c>
      <c r="S108" s="30">
        <v>7.9000000000000001E-2</v>
      </c>
    </row>
    <row r="109" spans="2:19" hidden="1" outlineLevel="1" x14ac:dyDescent="0.25">
      <c r="B109" s="2" t="s">
        <v>28</v>
      </c>
      <c r="J109" s="26">
        <f>Input!H66</f>
        <v>-1662</v>
      </c>
      <c r="K109" s="26">
        <f>Input!I66</f>
        <v>-5121</v>
      </c>
      <c r="L109" s="26">
        <f>Input!J66</f>
        <v>2287</v>
      </c>
      <c r="M109" s="26">
        <f>Input!K66</f>
        <v>2491</v>
      </c>
      <c r="N109" s="26">
        <f>Input!L66</f>
        <v>2914</v>
      </c>
      <c r="O109" s="26">
        <f ca="1">N109*(1+O110)</f>
        <v>3354.0140000000001</v>
      </c>
      <c r="P109" s="26">
        <f t="shared" ref="P109" ca="1" si="129">O109*(1+P110)</f>
        <v>3850.4080719999997</v>
      </c>
      <c r="Q109" s="26">
        <f t="shared" ref="Q109" ca="1" si="130">P109*(1+Q110)</f>
        <v>4397.1660182239993</v>
      </c>
      <c r="R109" s="26">
        <f t="shared" ref="R109" ca="1" si="131">Q109*(1+R110)</f>
        <v>5003.9749287389104</v>
      </c>
      <c r="S109" s="26">
        <f t="shared" ref="S109" ca="1" si="132">R109*(1+S110)</f>
        <v>5674.5075691899237</v>
      </c>
    </row>
    <row r="110" spans="2:19" hidden="1" outlineLevel="1" x14ac:dyDescent="0.25">
      <c r="B110" s="27" t="s">
        <v>64</v>
      </c>
      <c r="J110" s="26"/>
      <c r="K110" s="29">
        <f>K109/J109-1</f>
        <v>2.0812274368231045</v>
      </c>
      <c r="L110" s="29">
        <f t="shared" ref="L110" si="133">L109/K109-1</f>
        <v>-1.4465924624096855</v>
      </c>
      <c r="M110" s="29">
        <f t="shared" ref="M110" si="134">M109/L109-1</f>
        <v>8.9199825098382091E-2</v>
      </c>
      <c r="N110" s="29">
        <f t="shared" ref="N110" si="135">N109/M109-1</f>
        <v>0.16981132075471694</v>
      </c>
      <c r="O110" s="29">
        <f ca="1">OFFSET(O110,scenario,0)</f>
        <v>0.151</v>
      </c>
      <c r="P110" s="29">
        <f ca="1">OFFSET(P110,scenario,0)</f>
        <v>0.14799999999999999</v>
      </c>
      <c r="Q110" s="29">
        <f ca="1">OFFSET(Q110,scenario,0)</f>
        <v>0.14199999999999999</v>
      </c>
      <c r="R110" s="29">
        <f ca="1">OFFSET(R110,scenario,0)</f>
        <v>0.13800000000000001</v>
      </c>
      <c r="S110" s="29">
        <f ca="1">OFFSET(S110,scenario,0)</f>
        <v>0.13400000000000001</v>
      </c>
    </row>
    <row r="111" spans="2:19" hidden="1" outlineLevel="1" x14ac:dyDescent="0.25">
      <c r="B111" s="27" t="s">
        <v>66</v>
      </c>
      <c r="J111" s="26"/>
      <c r="K111" s="26"/>
      <c r="L111" s="26"/>
      <c r="M111" s="26"/>
      <c r="N111" s="28"/>
      <c r="O111" s="30">
        <v>0.151</v>
      </c>
      <c r="P111" s="30">
        <v>0.14799999999999999</v>
      </c>
      <c r="Q111" s="30">
        <v>0.14199999999999999</v>
      </c>
      <c r="R111" s="30">
        <v>0.13800000000000001</v>
      </c>
      <c r="S111" s="30">
        <v>0.13400000000000001</v>
      </c>
    </row>
    <row r="112" spans="2:19" hidden="1" outlineLevel="1" x14ac:dyDescent="0.25">
      <c r="B112" s="27" t="s">
        <v>67</v>
      </c>
      <c r="J112" s="26"/>
      <c r="K112" s="26"/>
      <c r="L112" s="26"/>
      <c r="M112" s="26"/>
      <c r="N112" s="26"/>
      <c r="O112" s="30">
        <v>0.161</v>
      </c>
      <c r="P112" s="30">
        <v>0.158</v>
      </c>
      <c r="Q112" s="30">
        <v>0.152</v>
      </c>
      <c r="R112" s="30">
        <v>0.14800000000000002</v>
      </c>
      <c r="S112" s="30">
        <v>0.14400000000000002</v>
      </c>
    </row>
    <row r="113" spans="2:19" hidden="1" outlineLevel="1" x14ac:dyDescent="0.25">
      <c r="B113" s="27" t="s">
        <v>68</v>
      </c>
      <c r="J113" s="26"/>
      <c r="K113" s="26"/>
      <c r="L113" s="26"/>
      <c r="M113" s="26"/>
      <c r="N113" s="26"/>
      <c r="O113" s="32">
        <v>0.14099999999999999</v>
      </c>
      <c r="P113" s="32">
        <v>0.13799999999999998</v>
      </c>
      <c r="Q113" s="32">
        <v>0.13199999999999998</v>
      </c>
      <c r="R113" s="32">
        <v>0.128</v>
      </c>
      <c r="S113" s="32">
        <v>0.12400000000000001</v>
      </c>
    </row>
    <row r="114" spans="2:19" hidden="1" outlineLevel="1" x14ac:dyDescent="0.25">
      <c r="B114" s="33" t="s">
        <v>59</v>
      </c>
      <c r="C114" s="33"/>
      <c r="D114" s="33"/>
      <c r="E114" s="33"/>
      <c r="F114" s="33"/>
      <c r="G114" s="33"/>
      <c r="H114" s="33"/>
      <c r="I114" s="33"/>
      <c r="J114" s="34">
        <f>Input!H67</f>
        <v>1662</v>
      </c>
      <c r="K114" s="34">
        <f>Input!I67</f>
        <v>5121</v>
      </c>
      <c r="L114" s="34">
        <f>Input!J67</f>
        <v>-2243</v>
      </c>
      <c r="M114" s="34">
        <f>Input!K67</f>
        <v>-2439</v>
      </c>
      <c r="N114" s="34">
        <f>Input!L67</f>
        <v>-2878</v>
      </c>
      <c r="O114" s="34">
        <f ca="1">O104-O109</f>
        <v>-3314.4140000000002</v>
      </c>
      <c r="P114" s="34">
        <f t="shared" ref="P114:S114" ca="1" si="136">P104-P109</f>
        <v>-3807.1648719999998</v>
      </c>
      <c r="Q114" s="34">
        <f t="shared" ca="1" si="136"/>
        <v>-4350.2471462239992</v>
      </c>
      <c r="R114" s="34">
        <f t="shared" ca="1" si="136"/>
        <v>-4953.2087092349102</v>
      </c>
      <c r="S114" s="34">
        <f t="shared" ca="1" si="136"/>
        <v>-5619.2231561500676</v>
      </c>
    </row>
    <row r="115" spans="2:19" collapsed="1" x14ac:dyDescent="0.25">
      <c r="J115" s="26"/>
      <c r="K115" s="26"/>
      <c r="L115" s="26"/>
      <c r="M115" s="26"/>
      <c r="N115" s="26"/>
    </row>
    <row r="116" spans="2:19" x14ac:dyDescent="0.25">
      <c r="B116" s="14" t="s">
        <v>62</v>
      </c>
      <c r="C116" s="15"/>
      <c r="D116" s="15"/>
      <c r="E116" s="15"/>
      <c r="F116" s="15"/>
      <c r="G116" s="15"/>
      <c r="H116" s="15"/>
      <c r="I116" s="15"/>
      <c r="J116" s="31"/>
      <c r="K116" s="31"/>
      <c r="L116" s="31"/>
      <c r="M116" s="31"/>
      <c r="N116" s="31"/>
      <c r="O116" s="15"/>
      <c r="P116" s="15"/>
      <c r="Q116" s="15"/>
      <c r="R116" s="15"/>
      <c r="S116" s="15"/>
    </row>
    <row r="117" spans="2:19" hidden="1" outlineLevel="1" x14ac:dyDescent="0.25">
      <c r="B117" s="2" t="s">
        <v>53</v>
      </c>
      <c r="J117" s="26">
        <f>Input!H70</f>
        <v>567762</v>
      </c>
      <c r="K117" s="26">
        <f>Input!I70</f>
        <v>605881</v>
      </c>
      <c r="L117" s="26">
        <f>Input!J70</f>
        <v>642637</v>
      </c>
      <c r="M117" s="26">
        <f>Input!K70</f>
        <v>674538</v>
      </c>
      <c r="N117" s="26">
        <f>Input!L70</f>
        <v>706413</v>
      </c>
      <c r="O117" s="26">
        <f ca="1">O29+O54+O79</f>
        <v>741053.70199999993</v>
      </c>
      <c r="P117" s="26">
        <f t="shared" ref="P117:S117" ca="1" si="137">P29+P54+P79</f>
        <v>776030.24525000004</v>
      </c>
      <c r="Q117" s="26">
        <f t="shared" ca="1" si="137"/>
        <v>812722.41736104991</v>
      </c>
      <c r="R117" s="26">
        <f t="shared" ca="1" si="137"/>
        <v>850862.77136304299</v>
      </c>
      <c r="S117" s="26">
        <f t="shared" ca="1" si="137"/>
        <v>891777.04868005496</v>
      </c>
    </row>
    <row r="118" spans="2:19" hidden="1" outlineLevel="1" x14ac:dyDescent="0.25">
      <c r="B118" s="27" t="s">
        <v>64</v>
      </c>
      <c r="J118" s="26"/>
      <c r="K118" s="29">
        <f>K117/J117-1</f>
        <v>6.7139047699564358E-2</v>
      </c>
      <c r="L118" s="29">
        <f t="shared" ref="L118" si="138">L117/K117-1</f>
        <v>6.0665378184824981E-2</v>
      </c>
      <c r="M118" s="29">
        <f t="shared" ref="M118" si="139">M117/L117-1</f>
        <v>4.9640776986074497E-2</v>
      </c>
      <c r="N118" s="29">
        <f t="shared" ref="N118" si="140">N117/M117-1</f>
        <v>4.7254565346948496E-2</v>
      </c>
      <c r="O118" s="29">
        <f t="shared" ref="O118" ca="1" si="141">O117/N117-1</f>
        <v>4.9037463919831437E-2</v>
      </c>
      <c r="P118" s="29">
        <f t="shared" ref="P118" ca="1" si="142">P117/O117-1</f>
        <v>4.7198392175362258E-2</v>
      </c>
      <c r="Q118" s="29">
        <f t="shared" ref="Q118" ca="1" si="143">Q117/P117-1</f>
        <v>4.728188409619194E-2</v>
      </c>
      <c r="R118" s="29">
        <f t="shared" ref="R118" ca="1" si="144">R117/Q117-1</f>
        <v>4.6929127568348328E-2</v>
      </c>
      <c r="S118" s="29">
        <f t="shared" ref="S118" ca="1" si="145">S117/R117-1</f>
        <v>4.8085635773521096E-2</v>
      </c>
    </row>
    <row r="119" spans="2:19" hidden="1" outlineLevel="1" x14ac:dyDescent="0.25">
      <c r="B119" s="2" t="s">
        <v>56</v>
      </c>
      <c r="J119" s="26">
        <f>Input!H71</f>
        <v>4992</v>
      </c>
      <c r="K119" s="26">
        <f>Input!I71</f>
        <v>5408</v>
      </c>
      <c r="L119" s="26">
        <f>Input!J71</f>
        <v>5488</v>
      </c>
      <c r="M119" s="26">
        <f>Input!K71</f>
        <v>6447</v>
      </c>
      <c r="N119" s="26">
        <f>Input!L71</f>
        <v>6750</v>
      </c>
      <c r="O119" s="26">
        <f ca="1">O34+O59+O84+O104</f>
        <v>7115.2100000000009</v>
      </c>
      <c r="P119" s="26">
        <f t="shared" ref="P119:S119" ca="1" si="146">P34+P59+P84+P104</f>
        <v>7492.7952500000001</v>
      </c>
      <c r="Q119" s="26">
        <f t="shared" ca="1" si="146"/>
        <v>7908.9939488600012</v>
      </c>
      <c r="R119" s="26">
        <f t="shared" ca="1" si="146"/>
        <v>8369.0441659165808</v>
      </c>
      <c r="S119" s="26">
        <f t="shared" ca="1" si="146"/>
        <v>8871.677989697364</v>
      </c>
    </row>
    <row r="120" spans="2:19" hidden="1" outlineLevel="1" x14ac:dyDescent="0.25">
      <c r="B120" s="27" t="s">
        <v>64</v>
      </c>
      <c r="J120" s="26"/>
      <c r="K120" s="29">
        <f>K119/J119-1</f>
        <v>8.3333333333333259E-2</v>
      </c>
      <c r="L120" s="29">
        <f t="shared" ref="L120" si="147">L119/K119-1</f>
        <v>1.4792899408283988E-2</v>
      </c>
      <c r="M120" s="29">
        <f t="shared" ref="M120" si="148">M119/L119-1</f>
        <v>0.17474489795918369</v>
      </c>
      <c r="N120" s="29">
        <f t="shared" ref="N120" si="149">N119/M119-1</f>
        <v>4.6998604001861288E-2</v>
      </c>
      <c r="O120" s="29">
        <f t="shared" ref="O120" ca="1" si="150">O119/N119-1</f>
        <v>5.4105185185185256E-2</v>
      </c>
      <c r="P120" s="29">
        <f t="shared" ref="P120" ca="1" si="151">P119/O119-1</f>
        <v>5.306733743628067E-2</v>
      </c>
      <c r="Q120" s="29">
        <f t="shared" ref="Q120" ca="1" si="152">Q119/P119-1</f>
        <v>5.5546519686361595E-2</v>
      </c>
      <c r="R120" s="29">
        <f t="shared" ref="R120" ca="1" si="153">R119/Q119-1</f>
        <v>5.8167981924286405E-2</v>
      </c>
      <c r="S120" s="29">
        <f t="shared" ref="S120" ca="1" si="154">S119/R119-1</f>
        <v>6.005868935759584E-2</v>
      </c>
    </row>
    <row r="121" spans="2:19" hidden="1" outlineLevel="1" x14ac:dyDescent="0.25">
      <c r="B121" s="33" t="s">
        <v>57</v>
      </c>
      <c r="C121" s="33"/>
      <c r="D121" s="33"/>
      <c r="E121" s="33"/>
      <c r="F121" s="33"/>
      <c r="G121" s="33"/>
      <c r="H121" s="33"/>
      <c r="I121" s="33"/>
      <c r="J121" s="34">
        <f>Input!H72</f>
        <v>572754</v>
      </c>
      <c r="K121" s="34">
        <f>Input!I72</f>
        <v>611289</v>
      </c>
      <c r="L121" s="34">
        <f>Input!J72</f>
        <v>648125</v>
      </c>
      <c r="M121" s="34">
        <f>Input!K72</f>
        <v>680985</v>
      </c>
      <c r="N121" s="34">
        <f>Input!L72</f>
        <v>713163</v>
      </c>
      <c r="O121" s="34">
        <f ca="1">O117+O119</f>
        <v>748168.91199999989</v>
      </c>
      <c r="P121" s="34">
        <f t="shared" ref="P121:S121" ca="1" si="155">P117+P119</f>
        <v>783523.0405</v>
      </c>
      <c r="Q121" s="34">
        <f t="shared" ca="1" si="155"/>
        <v>820631.41130990989</v>
      </c>
      <c r="R121" s="34">
        <f t="shared" ca="1" si="155"/>
        <v>859231.81552895962</v>
      </c>
      <c r="S121" s="34">
        <f t="shared" ca="1" si="155"/>
        <v>900648.72666975227</v>
      </c>
    </row>
    <row r="122" spans="2:19" hidden="1" outlineLevel="1" x14ac:dyDescent="0.25">
      <c r="B122" s="27" t="s">
        <v>64</v>
      </c>
      <c r="J122" s="26"/>
      <c r="K122" s="29">
        <f>K121/J121-1</f>
        <v>6.7280193590965709E-2</v>
      </c>
      <c r="L122" s="29">
        <f t="shared" ref="L122" si="156">L121/K121-1</f>
        <v>6.02595499019285E-2</v>
      </c>
      <c r="M122" s="29">
        <f t="shared" ref="M122" si="157">M121/L121-1</f>
        <v>5.0700096432015451E-2</v>
      </c>
      <c r="N122" s="29">
        <f t="shared" ref="N122" si="158">N121/M121-1</f>
        <v>4.7252142117667706E-2</v>
      </c>
      <c r="O122" s="29">
        <f t="shared" ref="O122" ca="1" si="159">O121/N121-1</f>
        <v>4.9085429277738513E-2</v>
      </c>
      <c r="P122" s="29">
        <f t="shared" ref="P122" ca="1" si="160">P121/O121-1</f>
        <v>4.7254206814730804E-2</v>
      </c>
      <c r="Q122" s="29">
        <f t="shared" ref="Q122" ca="1" si="161">Q121/P121-1</f>
        <v>4.7360918430974897E-2</v>
      </c>
      <c r="R122" s="29">
        <f t="shared" ref="R122" ca="1" si="162">R121/Q121-1</f>
        <v>4.7037444200965783E-2</v>
      </c>
      <c r="S122" s="29">
        <f t="shared" ref="S122" ca="1" si="163">S121/R121-1</f>
        <v>4.8202255075128431E-2</v>
      </c>
    </row>
    <row r="123" spans="2:19" hidden="1" outlineLevel="1" x14ac:dyDescent="0.25">
      <c r="J123" s="26"/>
      <c r="K123" s="26"/>
      <c r="L123" s="26"/>
      <c r="M123" s="26"/>
      <c r="N123" s="26"/>
    </row>
    <row r="124" spans="2:19" hidden="1" outlineLevel="1" x14ac:dyDescent="0.25">
      <c r="B124" s="2" t="s">
        <v>58</v>
      </c>
      <c r="J124" s="26">
        <f>Input!H74</f>
        <v>429000</v>
      </c>
      <c r="K124" s="26">
        <f>Input!I74</f>
        <v>463721</v>
      </c>
      <c r="L124" s="26">
        <f>Input!J74</f>
        <v>490142</v>
      </c>
      <c r="M124" s="26">
        <f>Input!K74</f>
        <v>511753</v>
      </c>
      <c r="N124" s="26">
        <f>Input!L74</f>
        <v>535395</v>
      </c>
      <c r="O124" s="26">
        <f ca="1">O41+O66+O91</f>
        <v>561202.67200000002</v>
      </c>
      <c r="P124" s="26">
        <f t="shared" ref="P124:S124" ca="1" si="164">P41+P66+P91</f>
        <v>587345.46681599994</v>
      </c>
      <c r="Q124" s="26">
        <f t="shared" ca="1" si="164"/>
        <v>615873.22618183191</v>
      </c>
      <c r="R124" s="26">
        <f t="shared" ca="1" si="164"/>
        <v>646188.76774251461</v>
      </c>
      <c r="S124" s="26">
        <f t="shared" ca="1" si="164"/>
        <v>677103.55738567607</v>
      </c>
    </row>
    <row r="125" spans="2:19" hidden="1" outlineLevel="1" x14ac:dyDescent="0.25">
      <c r="B125" s="27" t="s">
        <v>64</v>
      </c>
      <c r="J125" s="26"/>
      <c r="K125" s="29">
        <f>K124/J124-1</f>
        <v>8.0934731934731996E-2</v>
      </c>
      <c r="L125" s="29">
        <f t="shared" ref="L125" si="165">L124/K124-1</f>
        <v>5.6976069662577178E-2</v>
      </c>
      <c r="M125" s="29">
        <f t="shared" ref="M125" si="166">M124/L124-1</f>
        <v>4.4091304152674038E-2</v>
      </c>
      <c r="N125" s="29">
        <f t="shared" ref="N125" si="167">N124/M124-1</f>
        <v>4.619806820868666E-2</v>
      </c>
      <c r="O125" s="29">
        <f t="shared" ref="O125" ca="1" si="168">O124/N124-1</f>
        <v>4.8203050084516974E-2</v>
      </c>
      <c r="P125" s="29">
        <f t="shared" ref="P125" ca="1" si="169">P124/O124-1</f>
        <v>4.6583518077048414E-2</v>
      </c>
      <c r="Q125" s="29">
        <f t="shared" ref="Q125" ca="1" si="170">Q124/P124-1</f>
        <v>4.8570664076937442E-2</v>
      </c>
      <c r="R125" s="29">
        <f t="shared" ref="R125" ca="1" si="171">R124/Q124-1</f>
        <v>4.9223671807633096E-2</v>
      </c>
      <c r="S125" s="29">
        <f t="shared" ref="S125" ca="1" si="172">S124/R124-1</f>
        <v>4.7841731683395672E-2</v>
      </c>
    </row>
    <row r="126" spans="2:19" hidden="1" outlineLevel="1" x14ac:dyDescent="0.25">
      <c r="B126" s="2" t="s">
        <v>28</v>
      </c>
      <c r="J126" s="26">
        <f>Input!H75</f>
        <v>117812</v>
      </c>
      <c r="K126" s="26">
        <f>Input!I75</f>
        <v>127140</v>
      </c>
      <c r="L126" s="26">
        <f>Input!J75</f>
        <v>130971</v>
      </c>
      <c r="M126" s="26">
        <f>Input!K75</f>
        <v>139884</v>
      </c>
      <c r="N126" s="26">
        <f>Input!L75</f>
        <v>147943</v>
      </c>
      <c r="O126" s="26">
        <f ca="1">O46+O71+O96+O109</f>
        <v>153044.603</v>
      </c>
      <c r="P126" s="26">
        <f t="shared" ref="P126:S126" ca="1" si="173">P46+P71+P96+P109</f>
        <v>158214.83637399998</v>
      </c>
      <c r="Q126" s="26">
        <f t="shared" ca="1" si="173"/>
        <v>163404.06459278599</v>
      </c>
      <c r="R126" s="26">
        <f t="shared" ca="1" si="173"/>
        <v>168603.86777039416</v>
      </c>
      <c r="S126" s="26">
        <f t="shared" ca="1" si="173"/>
        <v>173725.98676867361</v>
      </c>
    </row>
    <row r="127" spans="2:19" hidden="1" outlineLevel="1" x14ac:dyDescent="0.25">
      <c r="B127" s="27" t="s">
        <v>64</v>
      </c>
      <c r="J127" s="26"/>
      <c r="K127" s="29">
        <f>K126/J126-1</f>
        <v>7.9176993854615851E-2</v>
      </c>
      <c r="L127" s="29">
        <f t="shared" ref="L127" si="174">L126/K126-1</f>
        <v>3.0132137800849446E-2</v>
      </c>
      <c r="M127" s="29">
        <f t="shared" ref="M127" si="175">M126/L126-1</f>
        <v>6.8053233158485549E-2</v>
      </c>
      <c r="N127" s="29">
        <f t="shared" ref="N127" si="176">N126/M126-1</f>
        <v>5.7612021389151113E-2</v>
      </c>
      <c r="O127" s="29">
        <f t="shared" ref="O127" ca="1" si="177">O126/N126-1</f>
        <v>3.4483571375462096E-2</v>
      </c>
      <c r="P127" s="29">
        <f t="shared" ref="P127" ca="1" si="178">P126/O126-1</f>
        <v>3.378252661415293E-2</v>
      </c>
      <c r="Q127" s="29">
        <f t="shared" ref="Q127" ca="1" si="179">Q126/P126-1</f>
        <v>3.2798619508219273E-2</v>
      </c>
      <c r="R127" s="29">
        <f t="shared" ref="R127" ca="1" si="180">R126/Q126-1</f>
        <v>3.1821749297157531E-2</v>
      </c>
      <c r="S127" s="29">
        <f t="shared" ref="S127" ca="1" si="181">S126/R126-1</f>
        <v>3.0379605557179667E-2</v>
      </c>
    </row>
    <row r="128" spans="2:19" hidden="1" outlineLevel="1" x14ac:dyDescent="0.25">
      <c r="B128" s="33" t="s">
        <v>59</v>
      </c>
      <c r="C128" s="33"/>
      <c r="D128" s="33"/>
      <c r="E128" s="33"/>
      <c r="F128" s="33"/>
      <c r="G128" s="33"/>
      <c r="H128" s="33"/>
      <c r="I128" s="33"/>
      <c r="J128" s="34">
        <f>Input!H76</f>
        <v>25942</v>
      </c>
      <c r="K128" s="34">
        <f>Input!I76</f>
        <v>20428</v>
      </c>
      <c r="L128" s="34">
        <f>Input!J76</f>
        <v>27012</v>
      </c>
      <c r="M128" s="34">
        <f>Input!K76</f>
        <v>29348</v>
      </c>
      <c r="N128" s="34">
        <f>Input!L76</f>
        <v>29825</v>
      </c>
      <c r="O128" s="34">
        <f ca="1">O121-O124-O126</f>
        <v>33921.636999999871</v>
      </c>
      <c r="P128" s="34">
        <f t="shared" ref="P128:S128" ca="1" si="182">P121-P124-P126</f>
        <v>37962.737310000084</v>
      </c>
      <c r="Q128" s="34">
        <f t="shared" ca="1" si="182"/>
        <v>41354.120535291993</v>
      </c>
      <c r="R128" s="34">
        <f t="shared" ca="1" si="182"/>
        <v>44439.180016050843</v>
      </c>
      <c r="S128" s="34">
        <f t="shared" ca="1" si="182"/>
        <v>49819.182515402586</v>
      </c>
    </row>
    <row r="129" spans="1:20" hidden="1" outlineLevel="1" x14ac:dyDescent="0.25">
      <c r="B129" s="27" t="s">
        <v>64</v>
      </c>
      <c r="K129" s="29">
        <f>K128/J128-1</f>
        <v>-0.212551075476062</v>
      </c>
      <c r="L129" s="29">
        <f t="shared" ref="L129" si="183">L128/K128-1</f>
        <v>0.32230272175445474</v>
      </c>
      <c r="M129" s="29">
        <f t="shared" ref="M129" si="184">M128/L128-1</f>
        <v>8.6480082926106983E-2</v>
      </c>
      <c r="N129" s="29">
        <f t="shared" ref="N129" si="185">N128/M128-1</f>
        <v>1.6253237017854749E-2</v>
      </c>
      <c r="O129" s="29">
        <f t="shared" ref="O129" ca="1" si="186">O128/N128-1</f>
        <v>0.13735580888515919</v>
      </c>
      <c r="P129" s="29">
        <f t="shared" ref="P129" ca="1" si="187">P128/O128-1</f>
        <v>0.11913046266016658</v>
      </c>
      <c r="Q129" s="29">
        <f t="shared" ref="Q129" ca="1" si="188">Q128/P128-1</f>
        <v>8.9334528161080673E-2</v>
      </c>
      <c r="R129" s="29">
        <f t="shared" ref="R129" ca="1" si="189">R128/Q128-1</f>
        <v>7.4601017766198874E-2</v>
      </c>
      <c r="S129" s="29">
        <f t="shared" ref="S129" ca="1" si="190">S128/R128-1</f>
        <v>0.12106439626943066</v>
      </c>
    </row>
    <row r="130" spans="1:20" hidden="1" outlineLevel="1" x14ac:dyDescent="0.25">
      <c r="B130" s="27"/>
      <c r="K130" s="29"/>
      <c r="L130" s="29"/>
      <c r="M130" s="29"/>
      <c r="N130" s="29"/>
      <c r="O130" s="29"/>
      <c r="P130" s="29"/>
      <c r="Q130" s="29"/>
      <c r="R130" s="29"/>
      <c r="S130" s="29"/>
    </row>
    <row r="131" spans="1:20" customFormat="1" ht="14.4" hidden="1" outlineLevel="1" x14ac:dyDescent="0.3">
      <c r="A131" s="18"/>
      <c r="B131" s="13" t="s">
        <v>86</v>
      </c>
      <c r="J131" s="17">
        <f>Input!H19</f>
        <v>18696</v>
      </c>
      <c r="K131" s="17">
        <f>Input!I19</f>
        <v>17016</v>
      </c>
      <c r="L131" s="17">
        <f>Input!J19</f>
        <v>21848</v>
      </c>
      <c r="M131" s="17">
        <f>Input!K19</f>
        <v>26309</v>
      </c>
      <c r="N131" s="17">
        <f>Input!L19</f>
        <v>29469</v>
      </c>
      <c r="O131" s="17">
        <f ca="1">O132*O121</f>
        <v>30915.498515385676</v>
      </c>
      <c r="P131" s="17">
        <f t="shared" ref="P131:S131" ca="1" si="191">P132*P121</f>
        <v>32376.385876012217</v>
      </c>
      <c r="Q131" s="17">
        <f t="shared" ca="1" si="191"/>
        <v>33909.761246575792</v>
      </c>
      <c r="R131" s="17">
        <f t="shared" ca="1" si="191"/>
        <v>35504.789749079675</v>
      </c>
      <c r="S131" s="17">
        <f t="shared" ca="1" si="191"/>
        <v>37216.200680953625</v>
      </c>
    </row>
    <row r="132" spans="1:20" customFormat="1" ht="14.4" hidden="1" outlineLevel="1" x14ac:dyDescent="0.3">
      <c r="A132" s="18"/>
      <c r="B132" s="35" t="s">
        <v>87</v>
      </c>
      <c r="J132" s="52">
        <f>J131/J121</f>
        <v>3.2642286217119391E-2</v>
      </c>
      <c r="K132" s="52">
        <f t="shared" ref="K132:N132" si="192">K131/K121</f>
        <v>2.7836260753915088E-2</v>
      </c>
      <c r="L132" s="52">
        <f t="shared" si="192"/>
        <v>3.3709546769527483E-2</v>
      </c>
      <c r="M132" s="52">
        <f t="shared" si="192"/>
        <v>3.8633743768218098E-2</v>
      </c>
      <c r="N132" s="52">
        <f t="shared" si="192"/>
        <v>4.1321549211049927E-2</v>
      </c>
      <c r="O132" s="55">
        <f>N132</f>
        <v>4.1321549211049927E-2</v>
      </c>
      <c r="P132" s="55">
        <f t="shared" ref="P132:S132" si="193">O132</f>
        <v>4.1321549211049927E-2</v>
      </c>
      <c r="Q132" s="55">
        <f t="shared" si="193"/>
        <v>4.1321549211049927E-2</v>
      </c>
      <c r="R132" s="55">
        <f t="shared" si="193"/>
        <v>4.1321549211049927E-2</v>
      </c>
      <c r="S132" s="55">
        <f t="shared" si="193"/>
        <v>4.1321549211049927E-2</v>
      </c>
      <c r="T132" s="2"/>
    </row>
    <row r="133" spans="1:20" hidden="1" outlineLevel="1" x14ac:dyDescent="0.25">
      <c r="B133" s="27"/>
      <c r="K133" s="29"/>
      <c r="L133" s="29"/>
      <c r="M133" s="29"/>
      <c r="N133" s="29"/>
      <c r="O133" s="29"/>
      <c r="P133" s="29"/>
      <c r="Q133" s="29"/>
      <c r="R133" s="29"/>
      <c r="S133" s="29"/>
    </row>
    <row r="134" spans="1:20" hidden="1" outlineLevel="1" x14ac:dyDescent="0.25">
      <c r="B134" s="13" t="s">
        <v>71</v>
      </c>
      <c r="J134" s="25">
        <f>Input!H20</f>
        <v>4756</v>
      </c>
      <c r="K134" s="25">
        <f>Input!I20</f>
        <v>5724</v>
      </c>
      <c r="L134" s="25">
        <f>Input!J20</f>
        <v>5578</v>
      </c>
      <c r="M134" s="25">
        <f>Input!K20</f>
        <v>6152</v>
      </c>
      <c r="N134" s="25">
        <f>Input!L20</f>
        <v>7199</v>
      </c>
      <c r="O134" s="25">
        <f ca="1">O135*O131</f>
        <v>7728.874628846419</v>
      </c>
      <c r="P134" s="25">
        <f t="shared" ref="P134:S134" ca="1" si="194">P135*P131</f>
        <v>8094.0964690030542</v>
      </c>
      <c r="Q134" s="25">
        <f t="shared" ca="1" si="194"/>
        <v>8477.440311643948</v>
      </c>
      <c r="R134" s="25">
        <f t="shared" ca="1" si="194"/>
        <v>8876.1974372699187</v>
      </c>
      <c r="S134" s="25">
        <f t="shared" ca="1" si="194"/>
        <v>9304.0501702384063</v>
      </c>
    </row>
    <row r="135" spans="1:20" hidden="1" outlineLevel="1" x14ac:dyDescent="0.25">
      <c r="B135" s="27" t="s">
        <v>72</v>
      </c>
      <c r="J135" s="52">
        <v>0.254</v>
      </c>
      <c r="K135" s="52">
        <v>0.33600000000000002</v>
      </c>
      <c r="L135" s="52">
        <v>0.255</v>
      </c>
      <c r="M135" s="52">
        <v>0.23400000000000001</v>
      </c>
      <c r="N135" s="52">
        <v>0.24399999999999999</v>
      </c>
      <c r="O135" s="55">
        <v>0.25</v>
      </c>
      <c r="P135" s="55">
        <v>0.25</v>
      </c>
      <c r="Q135" s="55">
        <v>0.25</v>
      </c>
      <c r="R135" s="55">
        <v>0.25</v>
      </c>
      <c r="S135" s="55">
        <v>0.25</v>
      </c>
    </row>
    <row r="136" spans="1:20" hidden="1" outlineLevel="1" x14ac:dyDescent="0.25">
      <c r="B136" s="27"/>
      <c r="J136" s="49"/>
      <c r="K136" s="49"/>
      <c r="L136" s="49"/>
      <c r="M136" s="49"/>
      <c r="N136" s="49"/>
      <c r="O136" s="50"/>
      <c r="P136" s="50"/>
      <c r="Q136" s="50"/>
      <c r="R136" s="50"/>
      <c r="S136" s="50"/>
    </row>
    <row r="137" spans="1:20" hidden="1" outlineLevel="1" x14ac:dyDescent="0.25">
      <c r="B137" s="13" t="s">
        <v>88</v>
      </c>
      <c r="J137" s="51">
        <f>J131-J134</f>
        <v>13940</v>
      </c>
      <c r="K137" s="51">
        <f t="shared" ref="K137:S137" si="195">K131-K134</f>
        <v>11292</v>
      </c>
      <c r="L137" s="51">
        <f t="shared" si="195"/>
        <v>16270</v>
      </c>
      <c r="M137" s="51">
        <f t="shared" si="195"/>
        <v>20157</v>
      </c>
      <c r="N137" s="51">
        <f t="shared" si="195"/>
        <v>22270</v>
      </c>
      <c r="O137" s="51">
        <f t="shared" ca="1" si="195"/>
        <v>23186.623886539259</v>
      </c>
      <c r="P137" s="51">
        <f t="shared" ca="1" si="195"/>
        <v>24282.289407009164</v>
      </c>
      <c r="Q137" s="51">
        <f t="shared" ca="1" si="195"/>
        <v>25432.320934931842</v>
      </c>
      <c r="R137" s="51">
        <f t="shared" ca="1" si="195"/>
        <v>26628.592311809756</v>
      </c>
      <c r="S137" s="51">
        <f t="shared" ca="1" si="195"/>
        <v>27912.150510715219</v>
      </c>
    </row>
    <row r="138" spans="1:20" hidden="1" outlineLevel="1" x14ac:dyDescent="0.25">
      <c r="B138" s="27" t="s">
        <v>64</v>
      </c>
      <c r="J138" s="49"/>
      <c r="K138" s="29">
        <f>K137/J137-1</f>
        <v>-0.18995695839311333</v>
      </c>
      <c r="L138" s="29">
        <f t="shared" ref="L138" si="196">L137/K137-1</f>
        <v>0.44084307474318107</v>
      </c>
      <c r="M138" s="29">
        <f t="shared" ref="M138" si="197">M137/L137-1</f>
        <v>0.23890596189305469</v>
      </c>
      <c r="N138" s="29">
        <f t="shared" ref="N138" si="198">N137/M137-1</f>
        <v>0.10482710720841393</v>
      </c>
      <c r="O138" s="29">
        <f t="shared" ref="O138" ca="1" si="199">O137/N137-1</f>
        <v>4.1159581793410727E-2</v>
      </c>
      <c r="P138" s="29">
        <f t="shared" ref="P138" ca="1" si="200">P137/O137-1</f>
        <v>4.7254206814730804E-2</v>
      </c>
      <c r="Q138" s="29">
        <f t="shared" ref="Q138" ca="1" si="201">Q137/P137-1</f>
        <v>4.7360918430974452E-2</v>
      </c>
      <c r="R138" s="29">
        <f t="shared" ref="R138" ca="1" si="202">R137/Q137-1</f>
        <v>4.7037444200966005E-2</v>
      </c>
      <c r="S138" s="29">
        <f t="shared" ref="S138" ca="1" si="203">S137/R137-1</f>
        <v>4.8202255075128653E-2</v>
      </c>
    </row>
    <row r="139" spans="1:20" collapsed="1" x14ac:dyDescent="0.25"/>
    <row r="140" spans="1:20" x14ac:dyDescent="0.25">
      <c r="A140" s="10" t="s">
        <v>10</v>
      </c>
      <c r="B140" s="3" t="s">
        <v>89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20" x14ac:dyDescent="0.25">
      <c r="B141" s="41"/>
      <c r="C141" s="41"/>
      <c r="D141" s="41"/>
      <c r="E141" s="41"/>
      <c r="F141" s="41"/>
      <c r="G141" s="41"/>
      <c r="H141" s="41"/>
      <c r="I141" s="41"/>
      <c r="J141" s="189" t="s">
        <v>13</v>
      </c>
      <c r="K141" s="189"/>
      <c r="L141" s="189"/>
      <c r="M141" s="189"/>
      <c r="N141" s="189"/>
      <c r="O141" s="190" t="s">
        <v>14</v>
      </c>
      <c r="P141" s="190"/>
      <c r="Q141" s="190"/>
      <c r="R141" s="190"/>
      <c r="S141" s="190"/>
    </row>
    <row r="142" spans="1:20" x14ac:dyDescent="0.25">
      <c r="B142" s="42" t="s">
        <v>12</v>
      </c>
      <c r="C142" s="43"/>
      <c r="D142" s="43"/>
      <c r="E142" s="43"/>
      <c r="F142" s="43"/>
      <c r="G142" s="43"/>
      <c r="H142" s="43"/>
      <c r="I142" s="43"/>
      <c r="J142" s="44">
        <v>44592</v>
      </c>
      <c r="K142" s="44">
        <f>EOMONTH(J142,12)</f>
        <v>44957</v>
      </c>
      <c r="L142" s="44">
        <f t="shared" ref="L142" si="204">EOMONTH(K142,12)</f>
        <v>45322</v>
      </c>
      <c r="M142" s="44">
        <f t="shared" ref="M142" si="205">EOMONTH(L142,12)</f>
        <v>45688</v>
      </c>
      <c r="N142" s="44">
        <f t="shared" ref="N142" si="206">EOMONTH(M142,12)</f>
        <v>46053</v>
      </c>
      <c r="O142" s="45">
        <f t="shared" ref="O142" si="207">EOMONTH(N142,12)</f>
        <v>46418</v>
      </c>
      <c r="P142" s="45">
        <f t="shared" ref="P142" si="208">EOMONTH(O142,12)</f>
        <v>46783</v>
      </c>
      <c r="Q142" s="45">
        <f t="shared" ref="Q142" si="209">EOMONTH(P142,12)</f>
        <v>47149</v>
      </c>
      <c r="R142" s="45">
        <f t="shared" ref="R142" si="210">EOMONTH(Q142,12)</f>
        <v>47514</v>
      </c>
      <c r="S142" s="45">
        <f t="shared" ref="S142" si="211">EOMONTH(R142,12)</f>
        <v>47879</v>
      </c>
    </row>
    <row r="143" spans="1:20" hidden="1" outlineLevel="1" x14ac:dyDescent="0.25">
      <c r="B143" s="11"/>
    </row>
    <row r="144" spans="1:20" hidden="1" outlineLevel="1" x14ac:dyDescent="0.25">
      <c r="B144" s="2" t="s">
        <v>90</v>
      </c>
      <c r="J144" s="26">
        <v>0</v>
      </c>
      <c r="K144" s="25">
        <f>Input!E95</f>
        <v>7933</v>
      </c>
      <c r="L144" s="25">
        <f>Input!F95</f>
        <v>8796</v>
      </c>
      <c r="M144" s="25">
        <f>Input!G95</f>
        <v>9975</v>
      </c>
      <c r="N144" s="25">
        <f>Input!H95</f>
        <v>11172</v>
      </c>
      <c r="O144" s="25">
        <f ca="1">O145*O121</f>
        <v>11720.382415890894</v>
      </c>
      <c r="P144" s="25">
        <f t="shared" ref="P144:S144" ca="1" si="212">P145*P121</f>
        <v>12274.219790519137</v>
      </c>
      <c r="Q144" s="25">
        <f t="shared" ca="1" si="212"/>
        <v>12855.53811282177</v>
      </c>
      <c r="R144" s="25">
        <f t="shared" ca="1" si="212"/>
        <v>13460.229769477015</v>
      </c>
      <c r="S144" s="25">
        <f t="shared" ca="1" si="212"/>
        <v>14109.043198195182</v>
      </c>
    </row>
    <row r="145" spans="2:20" hidden="1" outlineLevel="1" x14ac:dyDescent="0.25">
      <c r="B145" s="27" t="s">
        <v>91</v>
      </c>
      <c r="J145" s="26"/>
      <c r="K145" s="29">
        <f>K144/K121</f>
        <v>1.2977495096427386E-2</v>
      </c>
      <c r="L145" s="29">
        <f t="shared" ref="L145:N145" si="213">L144/L121</f>
        <v>1.357145612343298E-2</v>
      </c>
      <c r="M145" s="29">
        <f t="shared" si="213"/>
        <v>1.4647899733474306E-2</v>
      </c>
      <c r="N145" s="29">
        <f t="shared" si="213"/>
        <v>1.566542291173266E-2</v>
      </c>
      <c r="O145" s="54">
        <f>N145</f>
        <v>1.566542291173266E-2</v>
      </c>
      <c r="P145" s="54">
        <f t="shared" ref="P145:S145" si="214">O145</f>
        <v>1.566542291173266E-2</v>
      </c>
      <c r="Q145" s="54">
        <f t="shared" si="214"/>
        <v>1.566542291173266E-2</v>
      </c>
      <c r="R145" s="54">
        <f t="shared" si="214"/>
        <v>1.566542291173266E-2</v>
      </c>
      <c r="S145" s="54">
        <f t="shared" si="214"/>
        <v>1.566542291173266E-2</v>
      </c>
    </row>
    <row r="146" spans="2:20" hidden="1" outlineLevel="1" x14ac:dyDescent="0.25">
      <c r="J146" s="26"/>
      <c r="K146" s="25"/>
      <c r="L146" s="25"/>
      <c r="M146" s="25"/>
      <c r="N146" s="25"/>
    </row>
    <row r="147" spans="2:20" hidden="1" outlineLevel="1" x14ac:dyDescent="0.25">
      <c r="B147" s="2" t="s">
        <v>92</v>
      </c>
      <c r="J147" s="26">
        <v>0</v>
      </c>
      <c r="K147" s="25">
        <f>Input!E96</f>
        <v>56576</v>
      </c>
      <c r="L147" s="25">
        <f>Input!F96</f>
        <v>54892</v>
      </c>
      <c r="M147" s="25">
        <f>Input!G96</f>
        <v>56435</v>
      </c>
      <c r="N147" s="25">
        <f>Input!H96</f>
        <v>58851</v>
      </c>
      <c r="O147" s="25">
        <f ca="1">O148*O$124</f>
        <v>61687.797700523915</v>
      </c>
      <c r="P147" s="25">
        <f t="shared" ref="P147:S147" ca="1" si="215">P148*P$124</f>
        <v>64561.432339839579</v>
      </c>
      <c r="Q147" s="25">
        <f t="shared" ca="1" si="215"/>
        <v>67697.223982343858</v>
      </c>
      <c r="R147" s="25">
        <f t="shared" ca="1" si="215"/>
        <v>71029.529917938577</v>
      </c>
      <c r="S147" s="25">
        <f t="shared" ca="1" si="215"/>
        <v>74427.705629870325</v>
      </c>
    </row>
    <row r="148" spans="2:20" hidden="1" outlineLevel="1" x14ac:dyDescent="0.25">
      <c r="B148" s="27" t="s">
        <v>91</v>
      </c>
      <c r="J148" s="26"/>
      <c r="K148" s="29">
        <f>K147/K$124</f>
        <v>0.12200439488399274</v>
      </c>
      <c r="L148" s="29">
        <f t="shared" ref="L148:N148" si="216">L147/L$124</f>
        <v>0.11199203496129694</v>
      </c>
      <c r="M148" s="29">
        <f t="shared" si="216"/>
        <v>0.11027780980277595</v>
      </c>
      <c r="N148" s="29">
        <f t="shared" si="216"/>
        <v>0.1099207127447959</v>
      </c>
      <c r="O148" s="54">
        <f>N148</f>
        <v>0.1099207127447959</v>
      </c>
      <c r="P148" s="54">
        <f t="shared" ref="P148:S148" si="217">O148</f>
        <v>0.1099207127447959</v>
      </c>
      <c r="Q148" s="54">
        <f t="shared" si="217"/>
        <v>0.1099207127447959</v>
      </c>
      <c r="R148" s="54">
        <f t="shared" si="217"/>
        <v>0.1099207127447959</v>
      </c>
      <c r="S148" s="54">
        <f t="shared" si="217"/>
        <v>0.1099207127447959</v>
      </c>
    </row>
    <row r="149" spans="2:20" hidden="1" outlineLevel="1" x14ac:dyDescent="0.25">
      <c r="J149" s="26"/>
      <c r="K149" s="25"/>
      <c r="L149" s="25"/>
      <c r="M149" s="25"/>
      <c r="N149" s="25"/>
    </row>
    <row r="150" spans="2:20" hidden="1" outlineLevel="1" x14ac:dyDescent="0.25">
      <c r="B150" s="2" t="s">
        <v>93</v>
      </c>
      <c r="J150" s="26">
        <v>0</v>
      </c>
      <c r="K150" s="25">
        <f>Input!E97</f>
        <v>53742</v>
      </c>
      <c r="L150" s="25">
        <f>Input!F97</f>
        <v>56812</v>
      </c>
      <c r="M150" s="25">
        <f>Input!G97</f>
        <v>58666</v>
      </c>
      <c r="N150" s="25">
        <f>Input!H97</f>
        <v>63061</v>
      </c>
      <c r="O150" s="25">
        <f ca="1">O151*O$124</f>
        <v>66100.732541379737</v>
      </c>
      <c r="P150" s="25">
        <f t="shared" ref="P150" ca="1" si="218">P151*P$124</f>
        <v>69179.937210627249</v>
      </c>
      <c r="Q150" s="25">
        <f t="shared" ref="Q150" ca="1" si="219">Q151*Q$124</f>
        <v>72540.052701748253</v>
      </c>
      <c r="R150" s="25">
        <f t="shared" ref="R150" ca="1" si="220">R151*R$124</f>
        <v>76110.740448847515</v>
      </c>
      <c r="S150" s="25">
        <f t="shared" ref="S150" ca="1" si="221">S151*S$124</f>
        <v>79752.010071625846</v>
      </c>
    </row>
    <row r="151" spans="2:20" hidden="1" outlineLevel="1" x14ac:dyDescent="0.25">
      <c r="B151" s="27" t="s">
        <v>91</v>
      </c>
      <c r="K151" s="29">
        <f>K150/K$124</f>
        <v>0.11589296150055745</v>
      </c>
      <c r="L151" s="29">
        <f t="shared" ref="L151" si="222">L150/L$124</f>
        <v>0.11590926711034762</v>
      </c>
      <c r="M151" s="29">
        <f t="shared" ref="M151" si="223">M150/M$124</f>
        <v>0.11463733480800307</v>
      </c>
      <c r="N151" s="29">
        <f t="shared" ref="N151" si="224">N150/N$124</f>
        <v>0.11778406596998478</v>
      </c>
      <c r="O151" s="54">
        <f>N151</f>
        <v>0.11778406596998478</v>
      </c>
      <c r="P151" s="54">
        <f t="shared" ref="P151:S151" si="225">O151</f>
        <v>0.11778406596998478</v>
      </c>
      <c r="Q151" s="54">
        <f t="shared" si="225"/>
        <v>0.11778406596998478</v>
      </c>
      <c r="R151" s="54">
        <f t="shared" si="225"/>
        <v>0.11778406596998478</v>
      </c>
      <c r="S151" s="54">
        <f t="shared" si="225"/>
        <v>0.11778406596998478</v>
      </c>
    </row>
    <row r="152" spans="2:20" hidden="1" outlineLevel="1" x14ac:dyDescent="0.25"/>
    <row r="153" spans="2:20" hidden="1" outlineLevel="1" x14ac:dyDescent="0.25">
      <c r="B153" s="33" t="s">
        <v>95</v>
      </c>
      <c r="C153" s="56"/>
      <c r="D153" s="56"/>
      <c r="E153" s="56"/>
      <c r="F153" s="56"/>
      <c r="G153" s="56"/>
      <c r="H153" s="56"/>
      <c r="I153" s="56"/>
      <c r="J153" s="56"/>
      <c r="K153" s="57">
        <f>K144+K147-K150</f>
        <v>10767</v>
      </c>
      <c r="L153" s="57">
        <f t="shared" ref="L153:S153" si="226">L144+L147-L150</f>
        <v>6876</v>
      </c>
      <c r="M153" s="57">
        <f t="shared" si="226"/>
        <v>7744</v>
      </c>
      <c r="N153" s="57">
        <f t="shared" si="226"/>
        <v>6962</v>
      </c>
      <c r="O153" s="57">
        <f t="shared" ca="1" si="226"/>
        <v>7307.4475750350684</v>
      </c>
      <c r="P153" s="57">
        <f t="shared" ca="1" si="226"/>
        <v>7655.714919731472</v>
      </c>
      <c r="Q153" s="57">
        <f t="shared" ca="1" si="226"/>
        <v>8012.7093934173754</v>
      </c>
      <c r="R153" s="57">
        <f t="shared" ca="1" si="226"/>
        <v>8379.0192385680712</v>
      </c>
      <c r="S153" s="57">
        <f t="shared" ca="1" si="226"/>
        <v>8784.7387564396631</v>
      </c>
    </row>
    <row r="154" spans="2:20" hidden="1" outlineLevel="1" x14ac:dyDescent="0.25">
      <c r="B154" s="14" t="s">
        <v>96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31">
        <f>L153-K153</f>
        <v>-3891</v>
      </c>
      <c r="M154" s="31">
        <f t="shared" ref="M154:S154" si="227">M153-L153</f>
        <v>868</v>
      </c>
      <c r="N154" s="31">
        <f t="shared" si="227"/>
        <v>-782</v>
      </c>
      <c r="O154" s="31">
        <f t="shared" ca="1" si="227"/>
        <v>345.44757503506844</v>
      </c>
      <c r="P154" s="31">
        <f t="shared" ca="1" si="227"/>
        <v>348.2673446964036</v>
      </c>
      <c r="Q154" s="31">
        <f t="shared" ca="1" si="227"/>
        <v>356.99447368590336</v>
      </c>
      <c r="R154" s="31">
        <f t="shared" ca="1" si="227"/>
        <v>366.30984515069576</v>
      </c>
      <c r="S154" s="31">
        <f t="shared" ca="1" si="227"/>
        <v>405.71951787159196</v>
      </c>
    </row>
    <row r="155" spans="2:20" hidden="1" outlineLevel="1" x14ac:dyDescent="0.25"/>
    <row r="156" spans="2:20" hidden="1" outlineLevel="1" x14ac:dyDescent="0.25"/>
    <row r="157" spans="2:20" hidden="1" outlineLevel="1" x14ac:dyDescent="0.25">
      <c r="B157" s="12" t="s">
        <v>97</v>
      </c>
      <c r="J157" s="51">
        <v>13106</v>
      </c>
      <c r="K157" s="51">
        <v>16857</v>
      </c>
      <c r="L157" s="51">
        <v>20606</v>
      </c>
      <c r="M157" s="51">
        <v>23783</v>
      </c>
      <c r="N157" s="51">
        <v>26642</v>
      </c>
      <c r="O157" s="51">
        <f ca="1">O158*O121</f>
        <v>27949.734006817511</v>
      </c>
      <c r="P157" s="51">
        <f t="shared" ref="P157:S157" ca="1" si="228">P158*P121</f>
        <v>29270.476517992378</v>
      </c>
      <c r="Q157" s="51">
        <f t="shared" ca="1" si="228"/>
        <v>30656.753168796782</v>
      </c>
      <c r="R157" s="51">
        <f t="shared" ca="1" si="228"/>
        <v>32098.768485356843</v>
      </c>
      <c r="S157" s="51">
        <f t="shared" ca="1" si="228"/>
        <v>33646.001511485505</v>
      </c>
      <c r="T157" s="12"/>
    </row>
    <row r="158" spans="2:20" hidden="1" outlineLevel="1" x14ac:dyDescent="0.25">
      <c r="B158" s="2" t="s">
        <v>98</v>
      </c>
      <c r="J158" s="29">
        <f>J157/J121</f>
        <v>2.2882424217028602E-2</v>
      </c>
      <c r="K158" s="29">
        <f t="shared" ref="K158:N158" si="229">K157/K121</f>
        <v>2.7576154650255445E-2</v>
      </c>
      <c r="L158" s="29">
        <f t="shared" si="229"/>
        <v>3.1793249758919964E-2</v>
      </c>
      <c r="M158" s="29">
        <f t="shared" si="229"/>
        <v>3.4924410963530765E-2</v>
      </c>
      <c r="N158" s="29">
        <f t="shared" si="229"/>
        <v>3.73575185476532E-2</v>
      </c>
      <c r="O158" s="53">
        <f>N158</f>
        <v>3.73575185476532E-2</v>
      </c>
      <c r="P158" s="53">
        <f t="shared" ref="P158:S158" si="230">O158</f>
        <v>3.73575185476532E-2</v>
      </c>
      <c r="Q158" s="53">
        <f t="shared" si="230"/>
        <v>3.73575185476532E-2</v>
      </c>
      <c r="R158" s="53">
        <f t="shared" si="230"/>
        <v>3.73575185476532E-2</v>
      </c>
      <c r="S158" s="53">
        <f t="shared" si="230"/>
        <v>3.73575185476532E-2</v>
      </c>
    </row>
    <row r="159" spans="2:20" hidden="1" outlineLevel="1" x14ac:dyDescent="0.25"/>
    <row r="160" spans="2:20" hidden="1" outlineLevel="1" x14ac:dyDescent="0.25">
      <c r="B160" s="12" t="s">
        <v>70</v>
      </c>
      <c r="J160" s="25">
        <v>10658</v>
      </c>
      <c r="K160" s="25">
        <v>10945</v>
      </c>
      <c r="L160" s="25">
        <v>11853</v>
      </c>
      <c r="M160" s="25">
        <v>12973</v>
      </c>
      <c r="N160" s="25">
        <v>14203</v>
      </c>
      <c r="O160" s="25">
        <f ca="1">O161*O157</f>
        <v>14900.160352031719</v>
      </c>
      <c r="P160" s="25">
        <f t="shared" ref="P160:S160" ca="1" si="231">P161*P157</f>
        <v>15604.255610879278</v>
      </c>
      <c r="Q160" s="25">
        <f t="shared" ca="1" si="231"/>
        <v>16343.287488042213</v>
      </c>
      <c r="R160" s="25">
        <f t="shared" ca="1" si="231"/>
        <v>17112.033961321344</v>
      </c>
      <c r="S160" s="25">
        <f t="shared" ca="1" si="231"/>
        <v>17936.872587179212</v>
      </c>
    </row>
    <row r="161" spans="1:19" hidden="1" outlineLevel="1" x14ac:dyDescent="0.25">
      <c r="B161" s="2" t="s">
        <v>99</v>
      </c>
      <c r="J161" s="29">
        <f>J160/J157</f>
        <v>0.81321532122691897</v>
      </c>
      <c r="K161" s="29">
        <f t="shared" ref="K161:N161" si="232">K160/K157</f>
        <v>0.64928516343358844</v>
      </c>
      <c r="L161" s="29">
        <f t="shared" si="232"/>
        <v>0.57522080947296905</v>
      </c>
      <c r="M161" s="29">
        <f t="shared" si="232"/>
        <v>0.5454736576546273</v>
      </c>
      <c r="N161" s="29">
        <f t="shared" si="232"/>
        <v>0.53310562270099837</v>
      </c>
      <c r="O161" s="53">
        <f>N161</f>
        <v>0.53310562270099837</v>
      </c>
      <c r="P161" s="53">
        <f t="shared" ref="P161:S161" si="233">O161</f>
        <v>0.53310562270099837</v>
      </c>
      <c r="Q161" s="53">
        <f t="shared" si="233"/>
        <v>0.53310562270099837</v>
      </c>
      <c r="R161" s="53">
        <f t="shared" si="233"/>
        <v>0.53310562270099837</v>
      </c>
      <c r="S161" s="53">
        <f t="shared" si="233"/>
        <v>0.53310562270099837</v>
      </c>
    </row>
    <row r="162" spans="1:19" collapsed="1" x14ac:dyDescent="0.25"/>
    <row r="163" spans="1:19" x14ac:dyDescent="0.25">
      <c r="A163" s="10" t="s">
        <v>10</v>
      </c>
      <c r="B163" s="3" t="s">
        <v>103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25">
      <c r="B164" s="41"/>
      <c r="C164" s="41"/>
      <c r="D164" s="41"/>
      <c r="E164" s="41"/>
      <c r="F164" s="41"/>
      <c r="G164" s="41"/>
      <c r="H164" s="41"/>
      <c r="I164" s="41"/>
      <c r="J164" s="189" t="s">
        <v>13</v>
      </c>
      <c r="K164" s="189"/>
      <c r="L164" s="189"/>
      <c r="M164" s="189"/>
      <c r="N164" s="189"/>
      <c r="O164" s="190" t="s">
        <v>14</v>
      </c>
      <c r="P164" s="190"/>
      <c r="Q164" s="190"/>
      <c r="R164" s="190"/>
      <c r="S164" s="190"/>
    </row>
    <row r="165" spans="1:19" x14ac:dyDescent="0.25">
      <c r="B165" s="42" t="s">
        <v>12</v>
      </c>
      <c r="C165" s="43"/>
      <c r="D165" s="43"/>
      <c r="E165" s="43"/>
      <c r="F165" s="43"/>
      <c r="G165" s="43"/>
      <c r="H165" s="43"/>
      <c r="I165" s="43"/>
      <c r="J165" s="44">
        <v>44592</v>
      </c>
      <c r="K165" s="44">
        <f>EOMONTH(J165,12)</f>
        <v>44957</v>
      </c>
      <c r="L165" s="44">
        <f t="shared" ref="L165" si="234">EOMONTH(K165,12)</f>
        <v>45322</v>
      </c>
      <c r="M165" s="44">
        <f t="shared" ref="M165" si="235">EOMONTH(L165,12)</f>
        <v>45688</v>
      </c>
      <c r="N165" s="44">
        <f t="shared" ref="N165" si="236">EOMONTH(M165,12)</f>
        <v>46053</v>
      </c>
      <c r="O165" s="45">
        <f t="shared" ref="O165" si="237">EOMONTH(N165,12)</f>
        <v>46418</v>
      </c>
      <c r="P165" s="45">
        <f t="shared" ref="P165" si="238">EOMONTH(O165,12)</f>
        <v>46783</v>
      </c>
      <c r="Q165" s="45">
        <f t="shared" ref="Q165" si="239">EOMONTH(P165,12)</f>
        <v>47149</v>
      </c>
      <c r="R165" s="45">
        <f t="shared" ref="R165" si="240">EOMONTH(Q165,12)</f>
        <v>47514</v>
      </c>
      <c r="S165" s="45">
        <f t="shared" ref="S165" si="241">EOMONTH(R165,12)</f>
        <v>47879</v>
      </c>
    </row>
    <row r="166" spans="1:19" hidden="1" outlineLevel="1" x14ac:dyDescent="0.25">
      <c r="O166" s="93"/>
    </row>
    <row r="167" spans="1:19" hidden="1" outlineLevel="1" x14ac:dyDescent="0.25">
      <c r="B167" s="2" t="s">
        <v>104</v>
      </c>
      <c r="J167" s="26"/>
      <c r="K167" s="26"/>
      <c r="L167" s="26"/>
      <c r="M167" s="26"/>
      <c r="N167" s="26"/>
      <c r="O167" s="94">
        <f t="shared" ref="O167:S167" ca="1" si="242">O128</f>
        <v>33921.636999999871</v>
      </c>
      <c r="P167" s="26">
        <f t="shared" ca="1" si="242"/>
        <v>37962.737310000084</v>
      </c>
      <c r="Q167" s="26">
        <f t="shared" ca="1" si="242"/>
        <v>41354.120535291993</v>
      </c>
      <c r="R167" s="26">
        <f t="shared" ca="1" si="242"/>
        <v>44439.180016050843</v>
      </c>
      <c r="S167" s="26">
        <f t="shared" ca="1" si="242"/>
        <v>49819.182515402586</v>
      </c>
    </row>
    <row r="168" spans="1:19" hidden="1" outlineLevel="1" x14ac:dyDescent="0.25">
      <c r="B168" s="2" t="s">
        <v>72</v>
      </c>
      <c r="J168" s="53"/>
      <c r="K168" s="53"/>
      <c r="L168" s="53"/>
      <c r="M168" s="53"/>
      <c r="N168" s="53"/>
      <c r="O168" s="95">
        <f t="shared" ref="O168:S168" si="243">O135</f>
        <v>0.25</v>
      </c>
      <c r="P168" s="53">
        <f t="shared" si="243"/>
        <v>0.25</v>
      </c>
      <c r="Q168" s="53">
        <f t="shared" si="243"/>
        <v>0.25</v>
      </c>
      <c r="R168" s="53">
        <f t="shared" si="243"/>
        <v>0.25</v>
      </c>
      <c r="S168" s="53">
        <f t="shared" si="243"/>
        <v>0.25</v>
      </c>
    </row>
    <row r="169" spans="1:19" hidden="1" outlineLevel="1" x14ac:dyDescent="0.25">
      <c r="B169" s="12" t="s">
        <v>105</v>
      </c>
      <c r="O169" s="96">
        <f ca="1">O167*(1-O168)</f>
        <v>25441.227749999904</v>
      </c>
      <c r="P169" s="51">
        <f t="shared" ref="P169:S169" ca="1" si="244">P167*(1-P168)</f>
        <v>28472.052982500063</v>
      </c>
      <c r="Q169" s="51">
        <f t="shared" ca="1" si="244"/>
        <v>31015.590401468995</v>
      </c>
      <c r="R169" s="51">
        <f t="shared" ca="1" si="244"/>
        <v>33329.385012038132</v>
      </c>
      <c r="S169" s="51">
        <f t="shared" ca="1" si="244"/>
        <v>37364.38688655194</v>
      </c>
    </row>
    <row r="170" spans="1:19" hidden="1" outlineLevel="1" x14ac:dyDescent="0.25">
      <c r="B170" s="2" t="s">
        <v>106</v>
      </c>
      <c r="O170" s="97">
        <f ca="1">O160</f>
        <v>14900.160352031719</v>
      </c>
      <c r="P170" s="25">
        <f t="shared" ref="P170:S170" ca="1" si="245">P160</f>
        <v>15604.255610879278</v>
      </c>
      <c r="Q170" s="25">
        <f t="shared" ca="1" si="245"/>
        <v>16343.287488042213</v>
      </c>
      <c r="R170" s="25">
        <f t="shared" ca="1" si="245"/>
        <v>17112.033961321344</v>
      </c>
      <c r="S170" s="25">
        <f t="shared" ca="1" si="245"/>
        <v>17936.872587179212</v>
      </c>
    </row>
    <row r="171" spans="1:19" hidden="1" outlineLevel="1" x14ac:dyDescent="0.25">
      <c r="B171" s="2" t="s">
        <v>107</v>
      </c>
      <c r="O171" s="94">
        <f ca="1">-O157</f>
        <v>-27949.734006817511</v>
      </c>
      <c r="P171" s="26">
        <f t="shared" ref="P171:S171" ca="1" si="246">-P157</f>
        <v>-29270.476517992378</v>
      </c>
      <c r="Q171" s="26">
        <f t="shared" ca="1" si="246"/>
        <v>-30656.753168796782</v>
      </c>
      <c r="R171" s="26">
        <f t="shared" ca="1" si="246"/>
        <v>-32098.768485356843</v>
      </c>
      <c r="S171" s="26">
        <f t="shared" ca="1" si="246"/>
        <v>-33646.001511485505</v>
      </c>
    </row>
    <row r="172" spans="1:19" hidden="1" outlineLevel="1" x14ac:dyDescent="0.25">
      <c r="B172" s="2" t="s">
        <v>108</v>
      </c>
      <c r="O172" s="94">
        <f ca="1">-O154</f>
        <v>-345.44757503506844</v>
      </c>
      <c r="P172" s="26">
        <f t="shared" ref="P172:S172" ca="1" si="247">-P154</f>
        <v>-348.2673446964036</v>
      </c>
      <c r="Q172" s="26">
        <f t="shared" ca="1" si="247"/>
        <v>-356.99447368590336</v>
      </c>
      <c r="R172" s="26">
        <f t="shared" ca="1" si="247"/>
        <v>-366.30984515069576</v>
      </c>
      <c r="S172" s="26">
        <f t="shared" ca="1" si="247"/>
        <v>-405.71951787159196</v>
      </c>
    </row>
    <row r="173" spans="1:19" hidden="1" outlineLevel="1" x14ac:dyDescent="0.25">
      <c r="B173" s="33" t="s">
        <v>109</v>
      </c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98">
        <f ca="1">SUM(O169:O172)</f>
        <v>12046.206520179039</v>
      </c>
      <c r="P173" s="57">
        <f t="shared" ref="P173:S173" ca="1" si="248">SUM(P169:P172)</f>
        <v>14457.564730690559</v>
      </c>
      <c r="Q173" s="57">
        <f t="shared" ca="1" si="248"/>
        <v>16345.130247028519</v>
      </c>
      <c r="R173" s="57">
        <f t="shared" ca="1" si="248"/>
        <v>17976.340642851937</v>
      </c>
      <c r="S173" s="57">
        <f t="shared" ca="1" si="248"/>
        <v>21249.538444374055</v>
      </c>
    </row>
    <row r="174" spans="1:19" hidden="1" outlineLevel="1" x14ac:dyDescent="0.25">
      <c r="O174" s="99"/>
    </row>
    <row r="175" spans="1:19" hidden="1" outlineLevel="1" x14ac:dyDescent="0.25">
      <c r="B175" s="2" t="s">
        <v>110</v>
      </c>
      <c r="O175" s="99">
        <v>1</v>
      </c>
      <c r="P175" s="2">
        <v>2</v>
      </c>
      <c r="Q175" s="2">
        <v>3</v>
      </c>
      <c r="R175" s="2">
        <v>4</v>
      </c>
      <c r="S175" s="2">
        <v>5</v>
      </c>
    </row>
    <row r="176" spans="1:19" hidden="1" outlineLevel="1" x14ac:dyDescent="0.25">
      <c r="B176" s="2" t="s">
        <v>204</v>
      </c>
      <c r="O176" s="99">
        <v>0.5</v>
      </c>
      <c r="P176" s="2">
        <f>O176+1</f>
        <v>1.5</v>
      </c>
      <c r="Q176" s="2">
        <f t="shared" ref="Q176:S176" si="249">P176+1</f>
        <v>2.5</v>
      </c>
      <c r="R176" s="2">
        <f t="shared" si="249"/>
        <v>3.5</v>
      </c>
      <c r="S176" s="2">
        <f t="shared" si="249"/>
        <v>4.5</v>
      </c>
    </row>
    <row r="177" spans="1:19" hidden="1" outlineLevel="1" x14ac:dyDescent="0.25">
      <c r="B177" s="2" t="s">
        <v>162</v>
      </c>
      <c r="O177" s="99"/>
      <c r="S177" s="26">
        <f ca="1">S173*(1+tgr)/(wacc-tgr)</f>
        <v>392577.47586588183</v>
      </c>
    </row>
    <row r="178" spans="1:19" hidden="1" outlineLevel="1" x14ac:dyDescent="0.25">
      <c r="B178" s="33" t="s">
        <v>164</v>
      </c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100">
        <f ca="1">O173/(1+wacc)^O176</f>
        <v>11617.254107167433</v>
      </c>
      <c r="P178" s="34">
        <f ca="1">P173/(1+wacc)^P176</f>
        <v>12967.453484035408</v>
      </c>
      <c r="Q178" s="34">
        <f ca="1">Q173/(1+wacc)^Q176</f>
        <v>13634.973803710358</v>
      </c>
      <c r="R178" s="34">
        <f ca="1">R173/(1+wacc)^R176</f>
        <v>13946.768118979893</v>
      </c>
      <c r="S178" s="34">
        <f ca="1">(S173+S177)/(1+wacc)^S176</f>
        <v>298605.29030663054</v>
      </c>
    </row>
    <row r="179" spans="1:19" hidden="1" outlineLevel="1" x14ac:dyDescent="0.25">
      <c r="O179" s="99"/>
    </row>
    <row r="180" spans="1:19" hidden="1" outlineLevel="1" x14ac:dyDescent="0.25">
      <c r="B180" s="33" t="s">
        <v>165</v>
      </c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100">
        <f ca="1">SUM(O178:S178)</f>
        <v>350771.73982052365</v>
      </c>
      <c r="P180" s="56"/>
      <c r="Q180" s="56"/>
      <c r="R180" s="56"/>
      <c r="S180" s="56"/>
    </row>
    <row r="181" spans="1:19" hidden="1" outlineLevel="1" x14ac:dyDescent="0.25">
      <c r="B181" s="2" t="s">
        <v>166</v>
      </c>
      <c r="O181" s="97">
        <v>10727</v>
      </c>
    </row>
    <row r="182" spans="1:19" hidden="1" outlineLevel="1" x14ac:dyDescent="0.25">
      <c r="B182" s="2" t="s">
        <v>167</v>
      </c>
      <c r="O182" s="97">
        <f>34624+6596+3542</f>
        <v>44762</v>
      </c>
    </row>
    <row r="183" spans="1:19" hidden="1" outlineLevel="1" x14ac:dyDescent="0.25">
      <c r="B183" s="33" t="s">
        <v>168</v>
      </c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100">
        <f ca="1">O180+O181-O182</f>
        <v>316736.73982052365</v>
      </c>
      <c r="P183" s="56"/>
      <c r="Q183" s="56"/>
      <c r="R183" s="56"/>
      <c r="S183" s="56"/>
    </row>
    <row r="184" spans="1:19" hidden="1" outlineLevel="1" x14ac:dyDescent="0.25">
      <c r="B184" s="2" t="s">
        <v>169</v>
      </c>
      <c r="O184" s="97">
        <f>7972402501/10^6</f>
        <v>7972.4025009999996</v>
      </c>
    </row>
    <row r="185" spans="1:19" hidden="1" outlineLevel="1" x14ac:dyDescent="0.25">
      <c r="B185" s="16" t="s">
        <v>170</v>
      </c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101">
        <f ca="1">O183/O184</f>
        <v>39.729145609594411</v>
      </c>
      <c r="P185" s="91"/>
      <c r="Q185" s="91"/>
      <c r="R185" s="91"/>
      <c r="S185" s="91"/>
    </row>
    <row r="186" spans="1:19" collapsed="1" x14ac:dyDescent="0.25"/>
    <row r="188" spans="1:19" x14ac:dyDescent="0.25">
      <c r="A188" s="10" t="s">
        <v>10</v>
      </c>
      <c r="B188" s="14" t="s">
        <v>173</v>
      </c>
      <c r="C188" s="15"/>
      <c r="D188" s="15"/>
      <c r="E188" s="15"/>
      <c r="F188" s="15"/>
      <c r="G188" s="15"/>
      <c r="H188" s="15"/>
      <c r="I188" s="15"/>
    </row>
    <row r="189" spans="1:19" hidden="1" outlineLevel="1" x14ac:dyDescent="0.25"/>
    <row r="190" spans="1:19" hidden="1" outlineLevel="1" x14ac:dyDescent="0.25"/>
    <row r="191" spans="1:19" ht="14.4" hidden="1" customHeight="1" outlineLevel="1" x14ac:dyDescent="0.25">
      <c r="B191" s="81"/>
      <c r="C191" s="185" t="s">
        <v>172</v>
      </c>
      <c r="D191" s="185"/>
      <c r="E191" s="185"/>
      <c r="F191" s="185"/>
      <c r="G191" s="185"/>
      <c r="H191" s="186"/>
      <c r="J191" s="172" t="s">
        <v>198</v>
      </c>
      <c r="K191" s="173"/>
      <c r="L191" s="174">
        <f>QUARTILE((D206:H212,D219:H225,D232:H238),3)</f>
        <v>72.034034662833946</v>
      </c>
    </row>
    <row r="192" spans="1:19" ht="13.2" hidden="1" customHeight="1" outlineLevel="1" x14ac:dyDescent="0.25">
      <c r="B192" s="183" t="s">
        <v>156</v>
      </c>
      <c r="C192" s="135">
        <f ca="1">O185</f>
        <v>39.729145609594411</v>
      </c>
      <c r="D192" s="136">
        <v>0.01</v>
      </c>
      <c r="E192" s="137">
        <v>1.4999999999999999E-2</v>
      </c>
      <c r="F192" s="153">
        <v>0.02</v>
      </c>
      <c r="G192" s="137">
        <v>2.5000000000000001E-2</v>
      </c>
      <c r="H192" s="138">
        <v>0.03</v>
      </c>
      <c r="J192" s="175" t="s">
        <v>102</v>
      </c>
      <c r="K192" s="176"/>
      <c r="L192" s="177">
        <f>AVERAGE(D206:H212,D219:H225,D232:H238)</f>
        <v>59.842471142488293</v>
      </c>
    </row>
    <row r="193" spans="1:12" hidden="1" outlineLevel="1" x14ac:dyDescent="0.25">
      <c r="B193" s="183"/>
      <c r="C193" s="139">
        <f>C194+1%</f>
        <v>9.9999999999999992E-2</v>
      </c>
      <c r="D193" s="140">
        <f t="dataTable" ref="D193:H199" dt2D="1" dtr="1" r1="E22" r2="E21" ca="1"/>
        <v>23.189237674733466</v>
      </c>
      <c r="E193" s="141">
        <v>24.437179831011161</v>
      </c>
      <c r="F193" s="142">
        <v>25.841114756823572</v>
      </c>
      <c r="G193" s="141">
        <v>27.432241006077632</v>
      </c>
      <c r="H193" s="143">
        <v>29.250671005225129</v>
      </c>
      <c r="I193" s="145"/>
      <c r="J193" s="178" t="s">
        <v>199</v>
      </c>
      <c r="K193" s="176"/>
      <c r="L193" s="177">
        <f>MEDIAN(D206:H212,D219:H225,D232:H238)</f>
        <v>53.335455178321283</v>
      </c>
    </row>
    <row r="194" spans="1:12" hidden="1" outlineLevel="1" x14ac:dyDescent="0.25">
      <c r="B194" s="183"/>
      <c r="C194" s="139">
        <f>C195+1%</f>
        <v>0.09</v>
      </c>
      <c r="D194" s="144">
        <v>26.73435826528765</v>
      </c>
      <c r="E194" s="145">
        <v>28.377164323482273</v>
      </c>
      <c r="F194" s="146">
        <v>30.254656961418984</v>
      </c>
      <c r="G194" s="145">
        <v>32.420994620576728</v>
      </c>
      <c r="H194" s="147">
        <v>34.94838855626076</v>
      </c>
      <c r="I194" s="145"/>
      <c r="J194" s="179" t="s">
        <v>200</v>
      </c>
      <c r="K194" s="180"/>
      <c r="L194" s="181">
        <f>QUARTILE((D206:H212,D219:H225,D232:H238),1)</f>
        <v>35.884430504413487</v>
      </c>
    </row>
    <row r="195" spans="1:12" hidden="1" outlineLevel="1" x14ac:dyDescent="0.25">
      <c r="B195" s="183"/>
      <c r="C195" s="139">
        <v>0.08</v>
      </c>
      <c r="D195" s="144">
        <v>31.300008859080037</v>
      </c>
      <c r="E195" s="145">
        <v>33.53736823390355</v>
      </c>
      <c r="F195" s="146">
        <v>36.147620837864331</v>
      </c>
      <c r="G195" s="145">
        <v>39.232464824363433</v>
      </c>
      <c r="H195" s="147">
        <v>42.93427760816234</v>
      </c>
      <c r="I195" s="145"/>
      <c r="J195" s="145"/>
    </row>
    <row r="196" spans="1:12" hidden="1" outlineLevel="1" x14ac:dyDescent="0.25">
      <c r="B196" s="183"/>
      <c r="C196" s="152">
        <v>7.4999999999999997E-2</v>
      </c>
      <c r="D196" s="148">
        <v>34.112850502559134</v>
      </c>
      <c r="E196" s="146">
        <v>36.765843214964661</v>
      </c>
      <c r="F196" s="146">
        <v>39.90119823871666</v>
      </c>
      <c r="G196" s="146">
        <v>43.663624267219056</v>
      </c>
      <c r="H196" s="169">
        <v>48.262144968721977</v>
      </c>
      <c r="I196" s="145"/>
      <c r="J196" s="145"/>
    </row>
    <row r="197" spans="1:12" hidden="1" outlineLevel="1" x14ac:dyDescent="0.25">
      <c r="B197" s="183"/>
      <c r="C197" s="139">
        <f>C198+1%</f>
        <v>7.0000000000000007E-2</v>
      </c>
      <c r="D197" s="144">
        <v>37.3968936312125</v>
      </c>
      <c r="E197" s="145">
        <v>40.583828054021438</v>
      </c>
      <c r="F197" s="146">
        <v>44.408149361392198</v>
      </c>
      <c r="G197" s="145">
        <v>49.08231984817867</v>
      </c>
      <c r="H197" s="147">
        <v>54.925032956661752</v>
      </c>
      <c r="I197" s="145"/>
      <c r="J197" s="145"/>
    </row>
    <row r="198" spans="1:12" hidden="1" outlineLevel="1" x14ac:dyDescent="0.25">
      <c r="B198" s="183"/>
      <c r="C198" s="139">
        <f>C199+1%</f>
        <v>6.0000000000000005E-2</v>
      </c>
      <c r="D198" s="144">
        <v>45.944311233983257</v>
      </c>
      <c r="E198" s="145">
        <v>50.774646131592647</v>
      </c>
      <c r="F198" s="146">
        <v>56.812564753604413</v>
      </c>
      <c r="G198" s="145">
        <v>64.575602981905249</v>
      </c>
      <c r="H198" s="147">
        <v>74.926320619639696</v>
      </c>
      <c r="I198" s="145"/>
      <c r="J198" s="145"/>
    </row>
    <row r="199" spans="1:12" hidden="1" outlineLevel="1" x14ac:dyDescent="0.25">
      <c r="B199" s="184"/>
      <c r="C199" s="149">
        <v>0.05</v>
      </c>
      <c r="D199" s="150">
        <v>58.780900605383628</v>
      </c>
      <c r="E199" s="151">
        <v>66.805802032184687</v>
      </c>
      <c r="F199" s="170">
        <v>77.505670601252817</v>
      </c>
      <c r="G199" s="151">
        <v>92.485486597948139</v>
      </c>
      <c r="H199" s="171">
        <v>114.95521059299112</v>
      </c>
      <c r="I199" s="145"/>
      <c r="J199" s="145"/>
    </row>
    <row r="200" spans="1:12" hidden="1" outlineLevel="1" x14ac:dyDescent="0.25">
      <c r="A200" s="146"/>
      <c r="B200" s="145"/>
      <c r="C200" s="145"/>
      <c r="D200" s="145"/>
      <c r="E200" s="145"/>
      <c r="F200" s="145"/>
      <c r="G200" s="145"/>
      <c r="H200" s="145"/>
      <c r="I200" s="145"/>
      <c r="J200" s="145"/>
    </row>
    <row r="201" spans="1:12" hidden="1" outlineLevel="1" x14ac:dyDescent="0.25">
      <c r="A201" s="146"/>
      <c r="B201" s="145"/>
      <c r="C201" s="145"/>
      <c r="D201" s="145"/>
      <c r="E201" s="145"/>
      <c r="F201" s="145"/>
      <c r="G201" s="145"/>
      <c r="H201" s="145"/>
      <c r="I201" s="145"/>
      <c r="J201" s="145"/>
    </row>
    <row r="202" spans="1:12" hidden="1" outlineLevel="1" x14ac:dyDescent="0.25">
      <c r="B202" s="12" t="s">
        <v>209</v>
      </c>
    </row>
    <row r="203" spans="1:12" hidden="1" outlineLevel="1" x14ac:dyDescent="0.25"/>
    <row r="204" spans="1:12" hidden="1" outlineLevel="1" x14ac:dyDescent="0.25">
      <c r="B204" s="81"/>
      <c r="C204" s="185" t="s">
        <v>172</v>
      </c>
      <c r="D204" s="185"/>
      <c r="E204" s="185"/>
      <c r="F204" s="185"/>
      <c r="G204" s="185"/>
      <c r="H204" s="186"/>
    </row>
    <row r="205" spans="1:12" hidden="1" outlineLevel="1" x14ac:dyDescent="0.25">
      <c r="B205" s="183" t="s">
        <v>156</v>
      </c>
      <c r="C205" s="135">
        <f>O198</f>
        <v>0</v>
      </c>
      <c r="D205" s="136">
        <v>0.01</v>
      </c>
      <c r="E205" s="137">
        <v>1.4999999999999999E-2</v>
      </c>
      <c r="F205" s="153">
        <v>0.02</v>
      </c>
      <c r="G205" s="137">
        <v>2.5000000000000001E-2</v>
      </c>
      <c r="H205" s="138">
        <v>0.03</v>
      </c>
    </row>
    <row r="206" spans="1:12" hidden="1" outlineLevel="1" x14ac:dyDescent="0.25">
      <c r="B206" s="183"/>
      <c r="C206" s="139">
        <f>C207+1%</f>
        <v>9.9999999999999992E-2</v>
      </c>
      <c r="D206" s="140">
        <v>34.06622239740463</v>
      </c>
      <c r="E206" s="141">
        <v>35.893334508410796</v>
      </c>
      <c r="F206" s="142">
        <v>37.948835633292752</v>
      </c>
      <c r="G206" s="141">
        <v>40.278403574825617</v>
      </c>
      <c r="H206" s="143">
        <v>42.940766936577475</v>
      </c>
    </row>
    <row r="207" spans="1:12" hidden="1" outlineLevel="1" x14ac:dyDescent="0.25">
      <c r="B207" s="183"/>
      <c r="C207" s="139">
        <f>C208+1%</f>
        <v>0.09</v>
      </c>
      <c r="D207" s="144">
        <v>37.82293152593688</v>
      </c>
      <c r="E207" s="145">
        <v>40.141886346480995</v>
      </c>
      <c r="F207" s="146">
        <v>42.792120427102859</v>
      </c>
      <c r="G207" s="145">
        <v>45.850082827820366</v>
      </c>
      <c r="H207" s="147">
        <v>49.41770562865748</v>
      </c>
    </row>
    <row r="208" spans="1:12" hidden="1" outlineLevel="1" x14ac:dyDescent="0.25">
      <c r="B208" s="183"/>
      <c r="C208" s="139">
        <v>0.08</v>
      </c>
      <c r="D208" s="144">
        <v>42.643098737141614</v>
      </c>
      <c r="E208" s="145">
        <v>45.687001466141517</v>
      </c>
      <c r="F208" s="146">
        <v>49.238221316641408</v>
      </c>
      <c r="G208" s="145">
        <v>53.435117503595819</v>
      </c>
      <c r="H208" s="147">
        <v>58.47139292794111</v>
      </c>
    </row>
    <row r="209" spans="2:8" hidden="1" outlineLevel="1" x14ac:dyDescent="0.25">
      <c r="B209" s="183"/>
      <c r="C209" s="152">
        <v>7.4999999999999997E-2</v>
      </c>
      <c r="D209" s="148">
        <v>45.605295401476326</v>
      </c>
      <c r="E209" s="146">
        <v>49.148285299196928</v>
      </c>
      <c r="F209" s="146">
        <v>53.335455178321283</v>
      </c>
      <c r="G209" s="146">
        <v>58.36005903327051</v>
      </c>
      <c r="H209" s="169">
        <v>64.50124152265289</v>
      </c>
    </row>
    <row r="210" spans="2:8" hidden="1" outlineLevel="1" x14ac:dyDescent="0.25">
      <c r="B210" s="183"/>
      <c r="C210" s="139">
        <f>C211+1%</f>
        <v>7.0000000000000007E-2</v>
      </c>
      <c r="D210" s="144">
        <v>49.058219572310954</v>
      </c>
      <c r="E210" s="145">
        <v>53.235640497860572</v>
      </c>
      <c r="F210" s="146">
        <v>58.248545608520146</v>
      </c>
      <c r="G210" s="145">
        <v>64.375429632659603</v>
      </c>
      <c r="H210" s="147">
        <v>72.034034662833946</v>
      </c>
    </row>
    <row r="211" spans="2:8" hidden="1" outlineLevel="1" x14ac:dyDescent="0.25">
      <c r="B211" s="183"/>
      <c r="C211" s="139">
        <f>C212+1%</f>
        <v>6.0000000000000005E-2</v>
      </c>
      <c r="D211" s="144">
        <v>58.024977375096391</v>
      </c>
      <c r="E211" s="145">
        <v>64.123163892412222</v>
      </c>
      <c r="F211" s="146">
        <v>71.745897039056999</v>
      </c>
      <c r="G211" s="145">
        <v>81.546553941886046</v>
      </c>
      <c r="H211" s="147">
        <v>94.614096478991399</v>
      </c>
    </row>
    <row r="212" spans="2:8" hidden="1" outlineLevel="1" x14ac:dyDescent="0.25">
      <c r="B212" s="184"/>
      <c r="C212" s="149">
        <v>0.05</v>
      </c>
      <c r="D212" s="150">
        <v>71.456727600993574</v>
      </c>
      <c r="E212" s="151">
        <v>81.211045440904172</v>
      </c>
      <c r="F212" s="170">
        <v>94.216802560785013</v>
      </c>
      <c r="G212" s="151">
        <v>112.42486252861819</v>
      </c>
      <c r="H212" s="171">
        <v>139.73695248036788</v>
      </c>
    </row>
    <row r="213" spans="2:8" hidden="1" outlineLevel="1" x14ac:dyDescent="0.25"/>
    <row r="214" spans="2:8" hidden="1" outlineLevel="1" x14ac:dyDescent="0.25"/>
    <row r="215" spans="2:8" hidden="1" outlineLevel="1" x14ac:dyDescent="0.25">
      <c r="B215" s="12" t="s">
        <v>210</v>
      </c>
    </row>
    <row r="216" spans="2:8" hidden="1" outlineLevel="1" x14ac:dyDescent="0.25"/>
    <row r="217" spans="2:8" hidden="1" outlineLevel="1" x14ac:dyDescent="0.25">
      <c r="B217" s="81"/>
      <c r="C217" s="185" t="s">
        <v>172</v>
      </c>
      <c r="D217" s="185"/>
      <c r="E217" s="185"/>
      <c r="F217" s="185"/>
      <c r="G217" s="185"/>
      <c r="H217" s="186"/>
    </row>
    <row r="218" spans="2:8" hidden="1" outlineLevel="1" x14ac:dyDescent="0.25">
      <c r="B218" s="183" t="s">
        <v>156</v>
      </c>
      <c r="C218" s="135">
        <f>O211</f>
        <v>0</v>
      </c>
      <c r="D218" s="136">
        <v>0.01</v>
      </c>
      <c r="E218" s="137">
        <v>1.4999999999999999E-2</v>
      </c>
      <c r="F218" s="153">
        <v>0.02</v>
      </c>
      <c r="G218" s="137">
        <v>2.5000000000000001E-2</v>
      </c>
      <c r="H218" s="138">
        <v>0.03</v>
      </c>
    </row>
    <row r="219" spans="2:8" hidden="1" outlineLevel="1" x14ac:dyDescent="0.25">
      <c r="B219" s="183"/>
      <c r="C219" s="139">
        <f>C220+1%</f>
        <v>9.9999999999999992E-2</v>
      </c>
      <c r="D219" s="140">
        <v>18.624534311561508</v>
      </c>
      <c r="E219" s="141">
        <v>19.659889043597822</v>
      </c>
      <c r="F219" s="142">
        <v>20.824663117138677</v>
      </c>
      <c r="G219" s="141">
        <v>22.144740400484974</v>
      </c>
      <c r="H219" s="143">
        <v>23.653400152880742</v>
      </c>
    </row>
    <row r="220" spans="2:8" hidden="1" outlineLevel="1" x14ac:dyDescent="0.25">
      <c r="B220" s="183"/>
      <c r="C220" s="139">
        <f>C221+1%</f>
        <v>0.09</v>
      </c>
      <c r="D220" s="144">
        <v>20.758674934606677</v>
      </c>
      <c r="E220" s="145">
        <v>22.072738167161461</v>
      </c>
      <c r="F220" s="146">
        <v>23.574524718652651</v>
      </c>
      <c r="G220" s="145">
        <v>25.307355354988623</v>
      </c>
      <c r="H220" s="147">
        <v>27.328991097380609</v>
      </c>
    </row>
    <row r="221" spans="2:8" hidden="1" outlineLevel="1" x14ac:dyDescent="0.25">
      <c r="B221" s="183"/>
      <c r="C221" s="139">
        <v>0.08</v>
      </c>
      <c r="D221" s="144">
        <v>23.495510913784887</v>
      </c>
      <c r="E221" s="145">
        <v>25.220374470511462</v>
      </c>
      <c r="F221" s="146">
        <v>27.232715286692457</v>
      </c>
      <c r="G221" s="145">
        <v>29.610936251269983</v>
      </c>
      <c r="H221" s="147">
        <v>32.46480140876303</v>
      </c>
    </row>
    <row r="222" spans="2:8" hidden="1" outlineLevel="1" x14ac:dyDescent="0.25">
      <c r="B222" s="183"/>
      <c r="C222" s="152">
        <v>7.4999999999999997E-2</v>
      </c>
      <c r="D222" s="148">
        <v>25.176818686280654</v>
      </c>
      <c r="E222" s="146">
        <v>27.184495902180554</v>
      </c>
      <c r="F222" s="146">
        <v>29.557205339153185</v>
      </c>
      <c r="G222" s="146">
        <v>32.404456663520314</v>
      </c>
      <c r="H222" s="169">
        <v>35.884430504413487</v>
      </c>
    </row>
    <row r="223" spans="2:8" hidden="1" outlineLevel="1" x14ac:dyDescent="0.25">
      <c r="B223" s="183"/>
      <c r="C223" s="139">
        <f>C224+1%</f>
        <v>7.0000000000000007E-2</v>
      </c>
      <c r="D223" s="144">
        <v>27.136222227001248</v>
      </c>
      <c r="E223" s="145">
        <v>29.50340730388934</v>
      </c>
      <c r="F223" s="146">
        <v>32.344029396155065</v>
      </c>
      <c r="G223" s="145">
        <v>35.815900842257591</v>
      </c>
      <c r="H223" s="147">
        <v>40.155740149885773</v>
      </c>
    </row>
    <row r="224" spans="2:8" hidden="1" outlineLevel="1" x14ac:dyDescent="0.25">
      <c r="B224" s="183"/>
      <c r="C224" s="139">
        <f>C225+1%</f>
        <v>6.0000000000000005E-2</v>
      </c>
      <c r="D224" s="144">
        <v>32.22292661655419</v>
      </c>
      <c r="E224" s="145">
        <v>35.678536280301657</v>
      </c>
      <c r="F224" s="146">
        <v>39.998048359985994</v>
      </c>
      <c r="G224" s="145">
        <v>45.551706748151581</v>
      </c>
      <c r="H224" s="147">
        <v>52.956584599039033</v>
      </c>
    </row>
    <row r="225" spans="1:8" hidden="1" outlineLevel="1" x14ac:dyDescent="0.25">
      <c r="B225" s="184"/>
      <c r="C225" s="149">
        <v>0.05</v>
      </c>
      <c r="D225" s="150">
        <v>39.839851474520145</v>
      </c>
      <c r="E225" s="151">
        <v>45.367251283487612</v>
      </c>
      <c r="F225" s="170">
        <v>52.737117695444255</v>
      </c>
      <c r="G225" s="151">
        <v>63.054930672183524</v>
      </c>
      <c r="H225" s="171">
        <v>78.531650137292445</v>
      </c>
    </row>
    <row r="226" spans="1:8" hidden="1" outlineLevel="1" x14ac:dyDescent="0.25"/>
    <row r="227" spans="1:8" hidden="1" outlineLevel="1" x14ac:dyDescent="0.25"/>
    <row r="228" spans="1:8" hidden="1" outlineLevel="1" x14ac:dyDescent="0.25">
      <c r="B228" s="12" t="s">
        <v>211</v>
      </c>
    </row>
    <row r="229" spans="1:8" hidden="1" outlineLevel="1" x14ac:dyDescent="0.25"/>
    <row r="230" spans="1:8" hidden="1" outlineLevel="1" x14ac:dyDescent="0.25">
      <c r="B230" s="81"/>
      <c r="C230" s="185" t="s">
        <v>172</v>
      </c>
      <c r="D230" s="185"/>
      <c r="E230" s="185"/>
      <c r="F230" s="185"/>
      <c r="G230" s="185"/>
      <c r="H230" s="186"/>
    </row>
    <row r="231" spans="1:8" hidden="1" outlineLevel="1" x14ac:dyDescent="0.25">
      <c r="B231" s="183" t="s">
        <v>156</v>
      </c>
      <c r="C231" s="135">
        <f>O224</f>
        <v>0</v>
      </c>
      <c r="D231" s="136">
        <v>0.01</v>
      </c>
      <c r="E231" s="137">
        <v>1.4999999999999999E-2</v>
      </c>
      <c r="F231" s="153">
        <v>0.02</v>
      </c>
      <c r="G231" s="137">
        <v>2.5000000000000001E-2</v>
      </c>
      <c r="H231" s="138">
        <v>0.03</v>
      </c>
    </row>
    <row r="232" spans="1:8" hidden="1" outlineLevel="1" x14ac:dyDescent="0.25">
      <c r="B232" s="183"/>
      <c r="C232" s="139">
        <f>C233+1%</f>
        <v>9.9999999999999992E-2</v>
      </c>
      <c r="D232" s="140">
        <v>49.548992113032178</v>
      </c>
      <c r="E232" s="141">
        <v>52.170158976389054</v>
      </c>
      <c r="F232" s="142">
        <v>55.118971697665565</v>
      </c>
      <c r="G232" s="141">
        <v>58.460959448445593</v>
      </c>
      <c r="H232" s="143">
        <v>62.280374020765628</v>
      </c>
    </row>
    <row r="233" spans="1:8" hidden="1" outlineLevel="1" x14ac:dyDescent="0.25">
      <c r="B233" s="183"/>
      <c r="C233" s="139">
        <f>C234+1%</f>
        <v>0.09</v>
      </c>
      <c r="D233" s="144">
        <v>54.932960768320136</v>
      </c>
      <c r="E233" s="145">
        <v>58.259722983193015</v>
      </c>
      <c r="F233" s="146">
        <v>62.061736943047741</v>
      </c>
      <c r="G233" s="145">
        <v>66.448676127495474</v>
      </c>
      <c r="H233" s="147">
        <v>71.566771842684531</v>
      </c>
    </row>
    <row r="234" spans="1:8" hidden="1" outlineLevel="1" x14ac:dyDescent="0.25">
      <c r="B234" s="183"/>
      <c r="C234" s="139">
        <v>0.08</v>
      </c>
      <c r="D234" s="144">
        <v>61.842486951683355</v>
      </c>
      <c r="E234" s="145">
        <v>66.209256193961778</v>
      </c>
      <c r="F234" s="146">
        <v>71.303820309953267</v>
      </c>
      <c r="G234" s="145">
        <v>77.32466881067046</v>
      </c>
      <c r="H234" s="147">
        <v>84.549687011531105</v>
      </c>
    </row>
    <row r="235" spans="1:8" hidden="1" outlineLevel="1" x14ac:dyDescent="0.25">
      <c r="B235" s="183"/>
      <c r="C235" s="152">
        <v>7.4999999999999997E-2</v>
      </c>
      <c r="D235" s="148">
        <v>66.089280420971036</v>
      </c>
      <c r="E235" s="146">
        <v>71.172037883510825</v>
      </c>
      <c r="F235" s="146">
        <v>77.1789330665124</v>
      </c>
      <c r="G235" s="146">
        <v>84.387207286114247</v>
      </c>
      <c r="H235" s="169">
        <v>93.197320221183233</v>
      </c>
    </row>
    <row r="236" spans="1:8" hidden="1" outlineLevel="1" x14ac:dyDescent="0.25">
      <c r="B236" s="183"/>
      <c r="C236" s="139">
        <f>C237+1%</f>
        <v>7.0000000000000007E-2</v>
      </c>
      <c r="D236" s="144">
        <v>71.040050048892567</v>
      </c>
      <c r="E236" s="145">
        <v>77.032959426694447</v>
      </c>
      <c r="F236" s="146">
        <v>84.224450680056776</v>
      </c>
      <c r="G236" s="145">
        <v>93.01405110083293</v>
      </c>
      <c r="H236" s="147">
        <v>104.00105162680309</v>
      </c>
    </row>
    <row r="237" spans="1:8" hidden="1" outlineLevel="1" x14ac:dyDescent="0.25">
      <c r="B237" s="183"/>
      <c r="C237" s="139">
        <f>C238+1%</f>
        <v>6.0000000000000005E-2</v>
      </c>
      <c r="D237" s="144">
        <v>83.898101908139438</v>
      </c>
      <c r="E237" s="145">
        <v>92.646533013965524</v>
      </c>
      <c r="F237" s="146">
        <v>103.58207189624815</v>
      </c>
      <c r="G237" s="145">
        <v>117.64205045918294</v>
      </c>
      <c r="H237" s="147">
        <v>136.38868854309598</v>
      </c>
    </row>
    <row r="238" spans="1:8" hidden="1" outlineLevel="1" x14ac:dyDescent="0.25">
      <c r="A238" s="12"/>
      <c r="B238" s="184"/>
      <c r="C238" s="149">
        <v>0.05</v>
      </c>
      <c r="D238" s="150">
        <v>103.16153185110169</v>
      </c>
      <c r="E238" s="151">
        <v>117.15503260160827</v>
      </c>
      <c r="F238" s="170">
        <v>135.81303360228381</v>
      </c>
      <c r="G238" s="151">
        <v>161.9342350032295</v>
      </c>
      <c r="H238" s="171">
        <v>201.11603710464803</v>
      </c>
    </row>
    <row r="239" spans="1:8" collapsed="1" x14ac:dyDescent="0.25"/>
    <row r="241" spans="1:3" x14ac:dyDescent="0.25">
      <c r="A241" s="10" t="s">
        <v>10</v>
      </c>
      <c r="B241" s="3" t="s">
        <v>203</v>
      </c>
      <c r="C241" s="4"/>
    </row>
  </sheetData>
  <mergeCells count="14">
    <mergeCell ref="B205:B212"/>
    <mergeCell ref="C217:H217"/>
    <mergeCell ref="B218:B225"/>
    <mergeCell ref="C230:H230"/>
    <mergeCell ref="B231:B238"/>
    <mergeCell ref="B192:B199"/>
    <mergeCell ref="C191:H191"/>
    <mergeCell ref="C204:H204"/>
    <mergeCell ref="J25:N25"/>
    <mergeCell ref="O25:S25"/>
    <mergeCell ref="J141:N141"/>
    <mergeCell ref="O141:S141"/>
    <mergeCell ref="J164:N164"/>
    <mergeCell ref="O164:S164"/>
  </mergeCells>
  <dataValidations count="1">
    <dataValidation type="list" allowBlank="1" showInputMessage="1" showErrorMessage="1" sqref="E17" xr:uid="{61C1B7E6-36BC-4860-808C-D40093834FD9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C6EC-5625-4553-87D4-8464731289BC}">
  <dimension ref="A3:M27"/>
  <sheetViews>
    <sheetView showGridLines="0" zoomScaleNormal="100" workbookViewId="0">
      <selection activeCell="B3" sqref="B3"/>
    </sheetView>
  </sheetViews>
  <sheetFormatPr defaultRowHeight="14.4" x14ac:dyDescent="0.3"/>
  <cols>
    <col min="1" max="1" width="2.88671875" style="18" customWidth="1"/>
    <col min="5" max="5" width="10.33203125" bestFit="1" customWidth="1"/>
  </cols>
  <sheetData>
    <row r="3" spans="1:13" x14ac:dyDescent="0.3">
      <c r="A3" s="103" t="s">
        <v>10</v>
      </c>
      <c r="B3" s="182" t="s">
        <v>111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5" spans="1:13" x14ac:dyDescent="0.3">
      <c r="B5" s="19" t="s">
        <v>112</v>
      </c>
      <c r="C5" s="20"/>
      <c r="D5" s="20"/>
      <c r="E5" s="20"/>
      <c r="I5" s="19" t="s">
        <v>159</v>
      </c>
      <c r="J5" s="20"/>
      <c r="K5" s="20"/>
      <c r="L5" s="20"/>
    </row>
    <row r="6" spans="1:13" x14ac:dyDescent="0.3">
      <c r="I6" t="s">
        <v>157</v>
      </c>
      <c r="L6" s="17">
        <v>949566</v>
      </c>
    </row>
    <row r="7" spans="1:13" x14ac:dyDescent="0.3">
      <c r="B7" t="s">
        <v>113</v>
      </c>
      <c r="E7" s="48">
        <v>4.3920000000000001E-2</v>
      </c>
      <c r="F7" s="65" t="s">
        <v>144</v>
      </c>
      <c r="I7" t="s">
        <v>158</v>
      </c>
      <c r="L7" s="17">
        <v>44762</v>
      </c>
    </row>
    <row r="8" spans="1:13" x14ac:dyDescent="0.3">
      <c r="B8" t="s">
        <v>114</v>
      </c>
      <c r="E8" s="48">
        <v>4.4600000000000001E-2</v>
      </c>
      <c r="F8" s="65" t="s">
        <v>145</v>
      </c>
      <c r="I8" s="68" t="s">
        <v>129</v>
      </c>
      <c r="J8" s="68"/>
      <c r="K8" s="69"/>
      <c r="L8" s="73">
        <f>SUM(L6:L7)</f>
        <v>994328</v>
      </c>
    </row>
    <row r="9" spans="1:13" x14ac:dyDescent="0.3">
      <c r="B9" t="s">
        <v>115</v>
      </c>
      <c r="E9" s="48">
        <v>2.3E-3</v>
      </c>
      <c r="F9" s="65" t="s">
        <v>145</v>
      </c>
    </row>
    <row r="10" spans="1:13" x14ac:dyDescent="0.3">
      <c r="B10" t="s">
        <v>116</v>
      </c>
      <c r="E10" s="23">
        <f>Input!AB22</f>
        <v>0.69050580170746401</v>
      </c>
      <c r="F10" s="65" t="s">
        <v>127</v>
      </c>
    </row>
    <row r="11" spans="1:13" x14ac:dyDescent="0.3">
      <c r="B11" s="68" t="s">
        <v>146</v>
      </c>
      <c r="C11" s="69"/>
      <c r="D11" s="69"/>
      <c r="E11" s="70">
        <f>E7+(E8*E10)+E9</f>
        <v>7.7016558756152889E-2</v>
      </c>
      <c r="I11" s="74" t="s">
        <v>156</v>
      </c>
      <c r="J11" s="67"/>
      <c r="K11" s="67"/>
      <c r="L11" s="75">
        <f ca="1">(E25*(L7/L8))+(E11*(L6/L8))</f>
        <v>7.5210832372528458E-2</v>
      </c>
    </row>
    <row r="12" spans="1:13" x14ac:dyDescent="0.3">
      <c r="I12" s="76" t="s">
        <v>161</v>
      </c>
      <c r="J12" s="19"/>
      <c r="K12" s="19"/>
      <c r="L12" s="77">
        <v>0.02</v>
      </c>
      <c r="M12" s="65" t="s">
        <v>163</v>
      </c>
    </row>
    <row r="14" spans="1:13" x14ac:dyDescent="0.3">
      <c r="B14" s="19" t="s">
        <v>147</v>
      </c>
      <c r="C14" s="20"/>
      <c r="D14" s="20"/>
      <c r="E14" s="20"/>
    </row>
    <row r="15" spans="1:13" x14ac:dyDescent="0.3">
      <c r="B15" s="47" t="s">
        <v>151</v>
      </c>
    </row>
    <row r="17" spans="1:6" x14ac:dyDescent="0.3">
      <c r="B17" t="s">
        <v>148</v>
      </c>
      <c r="E17" s="71">
        <v>111.431</v>
      </c>
      <c r="F17" s="65" t="s">
        <v>155</v>
      </c>
    </row>
    <row r="18" spans="1:6" x14ac:dyDescent="0.3">
      <c r="B18" t="s">
        <v>149</v>
      </c>
      <c r="E18" s="71">
        <v>100</v>
      </c>
    </row>
    <row r="19" spans="1:6" x14ac:dyDescent="0.3">
      <c r="B19" t="s">
        <v>152</v>
      </c>
      <c r="E19" s="60">
        <v>50510</v>
      </c>
    </row>
    <row r="20" spans="1:6" x14ac:dyDescent="0.3">
      <c r="B20" t="s">
        <v>153</v>
      </c>
      <c r="E20" s="23">
        <f ca="1">YEARFRAC(TODAY(),E19,1)</f>
        <v>12.058129738837405</v>
      </c>
    </row>
    <row r="21" spans="1:6" x14ac:dyDescent="0.3">
      <c r="B21" t="s">
        <v>150</v>
      </c>
      <c r="E21" s="48">
        <v>6.2E-2</v>
      </c>
      <c r="F21" s="65" t="s">
        <v>155</v>
      </c>
    </row>
    <row r="22" spans="1:6" x14ac:dyDescent="0.3">
      <c r="B22" s="68" t="s">
        <v>154</v>
      </c>
      <c r="C22" s="68"/>
      <c r="D22" s="68"/>
      <c r="E22" s="72">
        <f ca="1">RATE(E20,(E18*E21),-E17,E18)</f>
        <v>4.9206347630174535E-2</v>
      </c>
    </row>
    <row r="24" spans="1:6" x14ac:dyDescent="0.3">
      <c r="B24" t="s">
        <v>72</v>
      </c>
      <c r="E24" s="48">
        <v>0.25</v>
      </c>
    </row>
    <row r="25" spans="1:6" x14ac:dyDescent="0.3">
      <c r="B25" s="68" t="s">
        <v>160</v>
      </c>
      <c r="C25" s="68"/>
      <c r="D25" s="68"/>
      <c r="E25" s="70">
        <f ca="1">E22*(1-E24)</f>
        <v>3.6904760722630901E-2</v>
      </c>
    </row>
    <row r="27" spans="1:6" x14ac:dyDescent="0.3">
      <c r="A27" s="10" t="s">
        <v>10</v>
      </c>
      <c r="B27" s="3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91C2-034E-405D-A5AA-FB2B27B360F2}">
  <sheetPr>
    <tabColor rgb="FF00144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0DA4-732F-49B2-AF26-C2A4A120EA31}">
  <dimension ref="B2:AI275"/>
  <sheetViews>
    <sheetView topLeftCell="K3" workbookViewId="0">
      <selection activeCell="AA25" sqref="AA25"/>
    </sheetView>
  </sheetViews>
  <sheetFormatPr defaultRowHeight="14.4" x14ac:dyDescent="0.3"/>
  <cols>
    <col min="8" max="8" width="9.44140625" customWidth="1"/>
    <col min="18" max="18" width="10.33203125" bestFit="1" customWidth="1"/>
    <col min="22" max="22" width="10.33203125" bestFit="1" customWidth="1"/>
    <col min="28" max="28" width="10.5546875" bestFit="1" customWidth="1"/>
  </cols>
  <sheetData>
    <row r="2" spans="2:32" x14ac:dyDescent="0.3">
      <c r="B2" s="19" t="s">
        <v>48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32" x14ac:dyDescent="0.3">
      <c r="B3" s="20" t="s">
        <v>21</v>
      </c>
      <c r="C3" s="20"/>
      <c r="D3" s="20"/>
      <c r="E3" s="20"/>
      <c r="F3" s="20"/>
      <c r="G3" s="20"/>
      <c r="H3" s="19">
        <v>2022</v>
      </c>
      <c r="I3" s="19">
        <v>2023</v>
      </c>
      <c r="J3" s="19">
        <v>2024</v>
      </c>
      <c r="K3" s="19">
        <v>2025</v>
      </c>
      <c r="L3" s="19">
        <v>2026</v>
      </c>
      <c r="R3" t="s">
        <v>117</v>
      </c>
      <c r="S3" t="s">
        <v>118</v>
      </c>
      <c r="V3" t="s">
        <v>117</v>
      </c>
      <c r="W3" t="s">
        <v>118</v>
      </c>
      <c r="AA3" t="s">
        <v>119</v>
      </c>
    </row>
    <row r="4" spans="2:32" ht="15" thickBot="1" x14ac:dyDescent="0.35">
      <c r="B4" s="18" t="s">
        <v>22</v>
      </c>
      <c r="R4" s="60">
        <v>46096</v>
      </c>
      <c r="S4">
        <v>119.02</v>
      </c>
      <c r="V4" s="60">
        <v>46096</v>
      </c>
      <c r="W4" s="46">
        <v>21616.7</v>
      </c>
      <c r="X4" s="46"/>
      <c r="Y4" s="46"/>
      <c r="Z4" s="46"/>
    </row>
    <row r="5" spans="2:32" x14ac:dyDescent="0.3">
      <c r="B5" t="s">
        <v>23</v>
      </c>
      <c r="H5" s="17">
        <v>567762</v>
      </c>
      <c r="I5" s="17">
        <v>605881</v>
      </c>
      <c r="J5" s="17">
        <v>642637</v>
      </c>
      <c r="K5" s="17">
        <v>674538</v>
      </c>
      <c r="L5" s="17">
        <v>706413</v>
      </c>
      <c r="R5" s="60">
        <v>46089</v>
      </c>
      <c r="S5">
        <v>126.52</v>
      </c>
      <c r="T5" s="22">
        <f>S4/S5-1</f>
        <v>-5.9279165349351848E-2</v>
      </c>
      <c r="V5" s="60">
        <v>46089</v>
      </c>
      <c r="W5" s="46">
        <v>22050.9</v>
      </c>
      <c r="X5" s="22">
        <f>W4/W5-1</f>
        <v>-1.9690806270945882E-2</v>
      </c>
      <c r="Y5" s="46"/>
      <c r="Z5" s="46"/>
      <c r="AA5" s="63" t="s">
        <v>120</v>
      </c>
      <c r="AB5" s="63"/>
    </row>
    <row r="6" spans="2:32" x14ac:dyDescent="0.3">
      <c r="B6" t="s">
        <v>24</v>
      </c>
      <c r="H6" s="17">
        <v>4992</v>
      </c>
      <c r="I6" s="17">
        <v>5408</v>
      </c>
      <c r="J6" s="17">
        <v>5488</v>
      </c>
      <c r="K6" s="17">
        <v>6447</v>
      </c>
      <c r="L6" s="17">
        <v>6750</v>
      </c>
      <c r="R6" s="60">
        <v>46082</v>
      </c>
      <c r="S6">
        <v>123.8</v>
      </c>
      <c r="T6" s="22">
        <f t="shared" ref="T6:T69" si="0">S5/S6-1</f>
        <v>2.1970920840064689E-2</v>
      </c>
      <c r="V6" s="60">
        <v>46082</v>
      </c>
      <c r="W6" s="46">
        <v>22518.1</v>
      </c>
      <c r="X6" s="22">
        <f t="shared" ref="X6:X69" si="1">W5/W6-1</f>
        <v>-2.0747754028980991E-2</v>
      </c>
      <c r="Y6" s="46"/>
      <c r="Z6" s="46"/>
      <c r="AA6" t="s">
        <v>121</v>
      </c>
      <c r="AB6">
        <v>0.45516505873178231</v>
      </c>
    </row>
    <row r="7" spans="2:32" x14ac:dyDescent="0.3">
      <c r="B7" s="18" t="s">
        <v>25</v>
      </c>
      <c r="H7" s="17">
        <v>572754</v>
      </c>
      <c r="I7" s="17">
        <v>611289</v>
      </c>
      <c r="J7" s="17">
        <v>648125</v>
      </c>
      <c r="K7" s="17">
        <v>680985</v>
      </c>
      <c r="L7" s="17">
        <v>713163</v>
      </c>
      <c r="R7" s="60">
        <v>46075</v>
      </c>
      <c r="S7">
        <v>127.95</v>
      </c>
      <c r="T7" s="22">
        <f t="shared" si="0"/>
        <v>-3.2434544744040728E-2</v>
      </c>
      <c r="V7" s="60">
        <v>46075</v>
      </c>
      <c r="W7" s="46">
        <v>23494.400000000001</v>
      </c>
      <c r="X7" s="22">
        <f t="shared" si="1"/>
        <v>-4.1554583219831187E-2</v>
      </c>
      <c r="Y7" s="46"/>
      <c r="Z7" s="46"/>
      <c r="AA7" t="s">
        <v>122</v>
      </c>
      <c r="AB7">
        <v>0.20717523069030683</v>
      </c>
    </row>
    <row r="8" spans="2:32" x14ac:dyDescent="0.3">
      <c r="B8" s="18" t="s">
        <v>26</v>
      </c>
      <c r="R8" s="60">
        <v>46068</v>
      </c>
      <c r="S8">
        <v>122.99</v>
      </c>
      <c r="T8" s="22">
        <f t="shared" si="0"/>
        <v>4.0328481990405729E-2</v>
      </c>
      <c r="V8" s="60">
        <v>46068</v>
      </c>
      <c r="W8" s="46">
        <v>23452.6</v>
      </c>
      <c r="X8" s="22">
        <f t="shared" si="1"/>
        <v>1.7823183783463037E-3</v>
      </c>
      <c r="Y8" s="46"/>
      <c r="Z8" s="46"/>
      <c r="AA8" t="s">
        <v>123</v>
      </c>
      <c r="AB8">
        <v>0.20422792671517784</v>
      </c>
    </row>
    <row r="9" spans="2:32" x14ac:dyDescent="0.3">
      <c r="B9" t="s">
        <v>27</v>
      </c>
      <c r="H9" s="17">
        <v>429000</v>
      </c>
      <c r="I9" s="17">
        <v>463721</v>
      </c>
      <c r="J9" s="17">
        <v>490142</v>
      </c>
      <c r="K9" s="17">
        <v>511753</v>
      </c>
      <c r="L9" s="17">
        <v>535395</v>
      </c>
      <c r="R9" s="60">
        <v>46061</v>
      </c>
      <c r="S9">
        <v>133.88999999999999</v>
      </c>
      <c r="T9" s="22">
        <f t="shared" si="0"/>
        <v>-8.1410112779147004E-2</v>
      </c>
      <c r="V9" s="60">
        <v>46061</v>
      </c>
      <c r="W9" s="46">
        <v>23326.1</v>
      </c>
      <c r="X9" s="22">
        <f t="shared" si="1"/>
        <v>5.423109735446463E-3</v>
      </c>
      <c r="Y9" s="46"/>
      <c r="Z9" s="46"/>
      <c r="AA9" t="s">
        <v>124</v>
      </c>
      <c r="AB9">
        <v>2.7436840460961207E-2</v>
      </c>
    </row>
    <row r="10" spans="2:32" ht="15" thickBot="1" x14ac:dyDescent="0.35">
      <c r="B10" t="s">
        <v>28</v>
      </c>
      <c r="H10" s="17">
        <v>117812</v>
      </c>
      <c r="I10" s="17">
        <v>127140</v>
      </c>
      <c r="J10" s="17">
        <v>130971</v>
      </c>
      <c r="K10" s="17">
        <v>139884</v>
      </c>
      <c r="L10" s="17">
        <v>147943</v>
      </c>
      <c r="R10" s="60">
        <v>46054</v>
      </c>
      <c r="S10">
        <v>131.18</v>
      </c>
      <c r="T10" s="22">
        <f t="shared" si="0"/>
        <v>2.065863698734538E-2</v>
      </c>
      <c r="V10" s="60">
        <v>46054</v>
      </c>
      <c r="W10" s="46">
        <v>23252.799999999999</v>
      </c>
      <c r="X10" s="22">
        <f t="shared" si="1"/>
        <v>3.1523085391866879E-3</v>
      </c>
      <c r="Y10" s="46"/>
      <c r="Z10" s="46"/>
      <c r="AA10" s="61" t="s">
        <v>125</v>
      </c>
      <c r="AB10" s="61">
        <v>271</v>
      </c>
    </row>
    <row r="11" spans="2:32" x14ac:dyDescent="0.3">
      <c r="B11" s="18" t="s">
        <v>29</v>
      </c>
      <c r="H11" s="17">
        <v>25942</v>
      </c>
      <c r="I11" s="17">
        <v>20428</v>
      </c>
      <c r="J11" s="17">
        <v>27012</v>
      </c>
      <c r="K11" s="17">
        <v>29348</v>
      </c>
      <c r="L11" s="17">
        <v>29825</v>
      </c>
      <c r="R11" s="60">
        <v>46047</v>
      </c>
      <c r="S11">
        <v>119.14</v>
      </c>
      <c r="T11" s="22">
        <f t="shared" si="0"/>
        <v>0.10105757931844894</v>
      </c>
      <c r="V11" s="60">
        <v>46047</v>
      </c>
      <c r="W11" s="46">
        <v>22719.3</v>
      </c>
      <c r="X11" s="22">
        <f t="shared" si="1"/>
        <v>2.348223756893919E-2</v>
      </c>
      <c r="Y11" s="46"/>
      <c r="Z11" s="46"/>
    </row>
    <row r="12" spans="2:32" ht="15" thickBot="1" x14ac:dyDescent="0.35">
      <c r="B12" s="18" t="s">
        <v>30</v>
      </c>
      <c r="R12" s="60">
        <v>46040</v>
      </c>
      <c r="S12">
        <v>117.73</v>
      </c>
      <c r="T12" s="22">
        <f t="shared" si="0"/>
        <v>1.1976556527647952E-2</v>
      </c>
      <c r="V12" s="60">
        <v>46040</v>
      </c>
      <c r="W12" s="46">
        <v>22757.200000000001</v>
      </c>
      <c r="X12" s="22">
        <f t="shared" si="1"/>
        <v>-1.6654069920728487E-3</v>
      </c>
      <c r="Y12" s="46"/>
      <c r="Z12" s="46"/>
      <c r="AA12" t="s">
        <v>126</v>
      </c>
    </row>
    <row r="13" spans="2:32" x14ac:dyDescent="0.3">
      <c r="B13" t="s">
        <v>31</v>
      </c>
      <c r="H13" s="17">
        <v>1674</v>
      </c>
      <c r="I13" s="17">
        <v>1787</v>
      </c>
      <c r="J13" s="17">
        <v>2259</v>
      </c>
      <c r="K13" s="17">
        <v>2249</v>
      </c>
      <c r="L13" s="17">
        <v>2318</v>
      </c>
      <c r="R13" s="60">
        <v>46033</v>
      </c>
      <c r="S13">
        <v>119.7</v>
      </c>
      <c r="T13" s="22">
        <f t="shared" si="0"/>
        <v>-1.6457811194653282E-2</v>
      </c>
      <c r="V13" s="60">
        <v>46033</v>
      </c>
      <c r="W13" s="46">
        <v>22807.1</v>
      </c>
      <c r="X13" s="22">
        <f t="shared" si="1"/>
        <v>-2.1879151667681951E-3</v>
      </c>
      <c r="Y13" s="46"/>
      <c r="Z13" s="46"/>
      <c r="AA13" s="62"/>
      <c r="AB13" s="62" t="s">
        <v>131</v>
      </c>
      <c r="AC13" s="62" t="s">
        <v>132</v>
      </c>
      <c r="AD13" s="62" t="s">
        <v>133</v>
      </c>
      <c r="AE13" s="62" t="s">
        <v>134</v>
      </c>
      <c r="AF13" s="62" t="s">
        <v>135</v>
      </c>
    </row>
    <row r="14" spans="2:32" x14ac:dyDescent="0.3">
      <c r="B14" t="s">
        <v>32</v>
      </c>
      <c r="H14">
        <v>320</v>
      </c>
      <c r="I14">
        <v>341</v>
      </c>
      <c r="J14">
        <v>424</v>
      </c>
      <c r="K14">
        <v>479</v>
      </c>
      <c r="L14">
        <v>481</v>
      </c>
      <c r="R14" s="60">
        <v>46026</v>
      </c>
      <c r="S14">
        <v>114.53</v>
      </c>
      <c r="T14" s="22">
        <f t="shared" si="0"/>
        <v>4.5141011088797756E-2</v>
      </c>
      <c r="V14" s="60">
        <v>46026</v>
      </c>
      <c r="W14" s="46">
        <v>22591.7</v>
      </c>
      <c r="X14" s="22">
        <f t="shared" si="1"/>
        <v>9.5344750505714781E-3</v>
      </c>
      <c r="Y14" s="46"/>
      <c r="Z14" s="46"/>
      <c r="AA14" t="s">
        <v>127</v>
      </c>
      <c r="AB14">
        <v>1</v>
      </c>
      <c r="AC14">
        <v>5.2915279832042916E-2</v>
      </c>
      <c r="AD14">
        <v>5.2915279832042916E-2</v>
      </c>
      <c r="AE14">
        <v>70.293133127281536</v>
      </c>
      <c r="AF14">
        <v>2.8966402208483694E-15</v>
      </c>
    </row>
    <row r="15" spans="2:32" x14ac:dyDescent="0.3">
      <c r="B15" t="s">
        <v>33</v>
      </c>
      <c r="H15">
        <v>-158</v>
      </c>
      <c r="I15">
        <v>-254</v>
      </c>
      <c r="J15">
        <v>-546</v>
      </c>
      <c r="K15">
        <v>-483</v>
      </c>
      <c r="L15">
        <v>-368</v>
      </c>
      <c r="R15" s="60">
        <v>46019</v>
      </c>
      <c r="S15">
        <v>112.76</v>
      </c>
      <c r="T15" s="22">
        <f t="shared" si="0"/>
        <v>1.5697055693508322E-2</v>
      </c>
      <c r="V15" s="60">
        <v>46019</v>
      </c>
      <c r="W15" s="46">
        <v>22233.8</v>
      </c>
      <c r="X15" s="22">
        <f t="shared" si="1"/>
        <v>1.609711340391673E-2</v>
      </c>
      <c r="Y15" s="46"/>
      <c r="Z15" s="46"/>
      <c r="AA15" t="s">
        <v>128</v>
      </c>
      <c r="AB15">
        <v>269</v>
      </c>
      <c r="AC15">
        <v>0.20249787769518401</v>
      </c>
      <c r="AD15">
        <v>7.5278021448023792E-4</v>
      </c>
    </row>
    <row r="16" spans="2:32" ht="15" thickBot="1" x14ac:dyDescent="0.35">
      <c r="B16" t="s">
        <v>34</v>
      </c>
      <c r="H16" s="17">
        <v>1836</v>
      </c>
      <c r="I16" s="17">
        <v>1874</v>
      </c>
      <c r="J16" s="17">
        <v>2137</v>
      </c>
      <c r="K16" s="17">
        <v>2245</v>
      </c>
      <c r="L16" s="17">
        <v>2431</v>
      </c>
      <c r="R16" s="60">
        <v>46012</v>
      </c>
      <c r="S16">
        <v>111.74</v>
      </c>
      <c r="T16" s="22">
        <f t="shared" si="0"/>
        <v>9.1283336316450026E-3</v>
      </c>
      <c r="V16" s="60">
        <v>46012</v>
      </c>
      <c r="W16" s="46">
        <v>22246.6</v>
      </c>
      <c r="X16" s="22">
        <f t="shared" si="1"/>
        <v>-5.7536882040398751E-4</v>
      </c>
      <c r="Y16" s="46"/>
      <c r="Z16" s="46"/>
      <c r="AA16" s="61" t="s">
        <v>129</v>
      </c>
      <c r="AB16" s="61">
        <v>270</v>
      </c>
      <c r="AC16" s="61">
        <v>0.25541315752722693</v>
      </c>
      <c r="AD16" s="61"/>
      <c r="AE16" s="61"/>
      <c r="AF16" s="61"/>
    </row>
    <row r="17" spans="2:35" ht="15" thickBot="1" x14ac:dyDescent="0.35">
      <c r="B17" t="s">
        <v>50</v>
      </c>
      <c r="H17" s="17">
        <v>2410</v>
      </c>
      <c r="I17" t="s">
        <v>51</v>
      </c>
      <c r="J17" t="s">
        <v>51</v>
      </c>
      <c r="K17" t="s">
        <v>51</v>
      </c>
      <c r="L17" t="s">
        <v>51</v>
      </c>
      <c r="R17" s="60">
        <v>46005</v>
      </c>
      <c r="S17">
        <v>114.36</v>
      </c>
      <c r="T17" s="22">
        <f t="shared" si="0"/>
        <v>-2.2910108429520903E-2</v>
      </c>
      <c r="V17" s="60">
        <v>46005</v>
      </c>
      <c r="W17" s="46">
        <v>21923.9</v>
      </c>
      <c r="X17" s="22">
        <f t="shared" si="1"/>
        <v>1.471909651111325E-2</v>
      </c>
      <c r="Y17" s="46"/>
      <c r="Z17" s="46"/>
    </row>
    <row r="18" spans="2:35" x14ac:dyDescent="0.3">
      <c r="B18" t="s">
        <v>35</v>
      </c>
      <c r="H18" s="17">
        <v>3000</v>
      </c>
      <c r="I18" s="17">
        <v>1538</v>
      </c>
      <c r="J18" s="17">
        <v>3027</v>
      </c>
      <c r="K18">
        <v>794</v>
      </c>
      <c r="L18" s="17">
        <v>-2075</v>
      </c>
      <c r="R18" s="60">
        <v>45998</v>
      </c>
      <c r="S18">
        <v>116.7</v>
      </c>
      <c r="T18" s="22">
        <f t="shared" si="0"/>
        <v>-2.0051413881748137E-2</v>
      </c>
      <c r="V18" s="60">
        <v>45998</v>
      </c>
      <c r="W18" s="46">
        <v>22004.3</v>
      </c>
      <c r="X18" s="22">
        <f t="shared" si="1"/>
        <v>-3.6538312966101216E-3</v>
      </c>
      <c r="Y18" s="46"/>
      <c r="Z18" s="46"/>
      <c r="AA18" s="62"/>
      <c r="AB18" s="62" t="s">
        <v>136</v>
      </c>
      <c r="AC18" s="62" t="s">
        <v>124</v>
      </c>
      <c r="AD18" s="62" t="s">
        <v>137</v>
      </c>
      <c r="AE18" s="62" t="s">
        <v>138</v>
      </c>
      <c r="AF18" s="62" t="s">
        <v>139</v>
      </c>
      <c r="AG18" s="62" t="s">
        <v>140</v>
      </c>
      <c r="AH18" s="62" t="s">
        <v>141</v>
      </c>
      <c r="AI18" s="62" t="s">
        <v>142</v>
      </c>
    </row>
    <row r="19" spans="2:35" x14ac:dyDescent="0.3">
      <c r="B19" t="s">
        <v>36</v>
      </c>
      <c r="H19" s="17">
        <v>18696</v>
      </c>
      <c r="I19" s="17">
        <v>17016</v>
      </c>
      <c r="J19" s="17">
        <v>21848</v>
      </c>
      <c r="K19" s="17">
        <v>26309</v>
      </c>
      <c r="L19" s="17">
        <v>29469</v>
      </c>
      <c r="R19" s="60">
        <v>45991</v>
      </c>
      <c r="S19">
        <v>115.11</v>
      </c>
      <c r="T19" s="22">
        <f t="shared" si="0"/>
        <v>1.3812874641647044E-2</v>
      </c>
      <c r="V19" s="60">
        <v>45991</v>
      </c>
      <c r="W19" s="46">
        <v>21810.1</v>
      </c>
      <c r="X19" s="22">
        <f t="shared" si="1"/>
        <v>8.9041315720699288E-3</v>
      </c>
      <c r="Y19" s="46"/>
      <c r="Z19" s="46"/>
      <c r="AA19" t="s">
        <v>130</v>
      </c>
      <c r="AB19">
        <v>2.6901003338368683E-3</v>
      </c>
      <c r="AC19">
        <v>1.6716336792243856E-3</v>
      </c>
      <c r="AD19">
        <v>1.6092642588327348</v>
      </c>
      <c r="AE19">
        <v>0.10873146753965407</v>
      </c>
      <c r="AF19">
        <v>-6.0104878647320933E-4</v>
      </c>
      <c r="AG19">
        <v>5.9812494541469459E-3</v>
      </c>
      <c r="AH19">
        <v>-6.0104878647320933E-4</v>
      </c>
      <c r="AI19">
        <v>5.9812494541469459E-3</v>
      </c>
    </row>
    <row r="20" spans="2:35" ht="15" thickBot="1" x14ac:dyDescent="0.35">
      <c r="B20" t="s">
        <v>37</v>
      </c>
      <c r="H20" s="17">
        <v>4756</v>
      </c>
      <c r="I20" s="17">
        <v>5724</v>
      </c>
      <c r="J20" s="17">
        <v>5578</v>
      </c>
      <c r="K20" s="17">
        <v>6152</v>
      </c>
      <c r="L20" s="17">
        <v>7199</v>
      </c>
      <c r="R20" s="60">
        <v>45984</v>
      </c>
      <c r="S20">
        <v>110.51</v>
      </c>
      <c r="T20" s="22">
        <f t="shared" si="0"/>
        <v>4.162519229029038E-2</v>
      </c>
      <c r="V20" s="60">
        <v>45984</v>
      </c>
      <c r="W20" s="46">
        <v>21824.7</v>
      </c>
      <c r="X20" s="22">
        <f t="shared" si="1"/>
        <v>-6.6896681283146187E-4</v>
      </c>
      <c r="Y20" s="46"/>
      <c r="Z20" s="46"/>
      <c r="AA20" s="61" t="s">
        <v>143</v>
      </c>
      <c r="AB20" s="61">
        <v>0.69050580170746401</v>
      </c>
      <c r="AC20" s="61">
        <v>8.235896520188192E-2</v>
      </c>
      <c r="AD20" s="61">
        <v>8.3841000189216288</v>
      </c>
      <c r="AE20" s="61">
        <v>2.8966402208482235E-15</v>
      </c>
      <c r="AF20" s="61">
        <v>0.52835566125349331</v>
      </c>
      <c r="AG20" s="61">
        <v>0.8526559421614347</v>
      </c>
      <c r="AH20" s="61">
        <v>0.52835566125349331</v>
      </c>
      <c r="AI20" s="61">
        <v>0.8526559421614347</v>
      </c>
    </row>
    <row r="21" spans="2:35" x14ac:dyDescent="0.3">
      <c r="B21" t="s">
        <v>38</v>
      </c>
      <c r="H21" s="17">
        <v>13940</v>
      </c>
      <c r="I21" s="17">
        <v>11292</v>
      </c>
      <c r="J21" s="17">
        <v>16270</v>
      </c>
      <c r="K21" s="17">
        <v>20157</v>
      </c>
      <c r="L21" s="17">
        <v>22270</v>
      </c>
      <c r="R21" s="60">
        <v>45977</v>
      </c>
      <c r="S21">
        <v>105.32</v>
      </c>
      <c r="T21" s="22">
        <f t="shared" si="0"/>
        <v>4.9278389669578537E-2</v>
      </c>
      <c r="V21" s="60">
        <v>45977</v>
      </c>
      <c r="W21" s="46">
        <v>21177</v>
      </c>
      <c r="X21" s="22">
        <f t="shared" si="1"/>
        <v>3.0585068706615592E-2</v>
      </c>
      <c r="Y21" s="46"/>
      <c r="Z21" s="46"/>
    </row>
    <row r="22" spans="2:35" x14ac:dyDescent="0.3">
      <c r="B22" t="s">
        <v>39</v>
      </c>
      <c r="H22">
        <v>-267</v>
      </c>
      <c r="I22">
        <v>388</v>
      </c>
      <c r="J22">
        <v>-759</v>
      </c>
      <c r="K22">
        <v>-721</v>
      </c>
      <c r="L22">
        <v>-377</v>
      </c>
      <c r="R22" s="60">
        <v>45970</v>
      </c>
      <c r="S22">
        <v>102.48</v>
      </c>
      <c r="T22" s="22">
        <f t="shared" si="0"/>
        <v>2.7712724434035829E-2</v>
      </c>
      <c r="V22" s="60">
        <v>45970</v>
      </c>
      <c r="W22" s="46">
        <v>21470.3</v>
      </c>
      <c r="X22" s="22">
        <f t="shared" si="1"/>
        <v>-1.3660731335845333E-2</v>
      </c>
      <c r="Y22" s="46"/>
      <c r="Z22" s="46"/>
      <c r="AA22" s="18" t="s">
        <v>116</v>
      </c>
      <c r="AB22" s="64">
        <v>0.69050580170746401</v>
      </c>
      <c r="AC22" s="102"/>
    </row>
    <row r="23" spans="2:35" x14ac:dyDescent="0.3">
      <c r="B23" t="s">
        <v>40</v>
      </c>
      <c r="H23" s="17">
        <v>13673</v>
      </c>
      <c r="I23" s="17">
        <v>11680</v>
      </c>
      <c r="J23" s="17">
        <v>15511</v>
      </c>
      <c r="K23" s="17">
        <v>19436</v>
      </c>
      <c r="L23" s="17">
        <v>21893</v>
      </c>
      <c r="R23" s="60">
        <v>45963</v>
      </c>
      <c r="S23">
        <v>102.59</v>
      </c>
      <c r="T23" s="22">
        <f t="shared" si="0"/>
        <v>-1.0722292621112572E-3</v>
      </c>
      <c r="V23" s="60">
        <v>45963</v>
      </c>
      <c r="W23" s="46">
        <v>21408.6</v>
      </c>
      <c r="X23" s="22">
        <f t="shared" si="1"/>
        <v>2.8820193753913426E-3</v>
      </c>
      <c r="Y23" s="46"/>
      <c r="Z23" s="46"/>
    </row>
    <row r="24" spans="2:35" x14ac:dyDescent="0.3">
      <c r="R24" s="60">
        <v>45956</v>
      </c>
      <c r="S24">
        <v>101.18</v>
      </c>
      <c r="T24" s="22">
        <f t="shared" si="0"/>
        <v>1.393556038742827E-2</v>
      </c>
      <c r="V24" s="60">
        <v>45956</v>
      </c>
      <c r="W24" s="46">
        <v>21459.599999999999</v>
      </c>
      <c r="X24" s="22">
        <f t="shared" si="1"/>
        <v>-2.3765587429401824E-3</v>
      </c>
      <c r="Y24" s="46"/>
      <c r="Z24" s="46"/>
      <c r="AB24" s="48"/>
    </row>
    <row r="25" spans="2:35" x14ac:dyDescent="0.3">
      <c r="B25" t="s">
        <v>41</v>
      </c>
      <c r="R25" s="60">
        <v>45949</v>
      </c>
      <c r="S25">
        <v>106.17</v>
      </c>
      <c r="T25" s="22">
        <f t="shared" si="0"/>
        <v>-4.7000094188565433E-2</v>
      </c>
      <c r="V25" s="60">
        <v>45949</v>
      </c>
      <c r="W25" s="46">
        <v>21698.1</v>
      </c>
      <c r="X25" s="22">
        <f t="shared" si="1"/>
        <v>-1.099174582106266E-2</v>
      </c>
      <c r="Y25" s="46"/>
      <c r="Z25" s="46"/>
      <c r="AB25" s="48"/>
    </row>
    <row r="26" spans="2:35" x14ac:dyDescent="0.3">
      <c r="B26" t="s">
        <v>42</v>
      </c>
      <c r="H26">
        <v>4.9000000000000004</v>
      </c>
      <c r="I26">
        <v>4.29</v>
      </c>
      <c r="J26">
        <v>1.92</v>
      </c>
      <c r="K26">
        <v>2.42</v>
      </c>
      <c r="L26">
        <v>2.74</v>
      </c>
      <c r="R26" s="60">
        <v>45942</v>
      </c>
      <c r="S26">
        <v>107.73</v>
      </c>
      <c r="T26" s="22">
        <f t="shared" si="0"/>
        <v>-1.4480646059593427E-2</v>
      </c>
      <c r="V26" s="60">
        <v>45942</v>
      </c>
      <c r="W26" s="46">
        <v>21411.4</v>
      </c>
      <c r="X26" s="22">
        <f t="shared" si="1"/>
        <v>1.339006323734071E-2</v>
      </c>
      <c r="Y26" s="46"/>
      <c r="Z26" s="46"/>
      <c r="AB26" s="48"/>
    </row>
    <row r="27" spans="2:35" x14ac:dyDescent="0.3">
      <c r="B27" t="s">
        <v>43</v>
      </c>
      <c r="H27">
        <v>4.87</v>
      </c>
      <c r="I27">
        <v>4.2699999999999996</v>
      </c>
      <c r="J27">
        <v>1.91</v>
      </c>
      <c r="K27">
        <v>2.41</v>
      </c>
      <c r="L27">
        <v>2.73</v>
      </c>
      <c r="R27" s="60">
        <v>45935</v>
      </c>
      <c r="S27">
        <v>101.84</v>
      </c>
      <c r="T27" s="22">
        <f t="shared" si="0"/>
        <v>5.7835820895522305E-2</v>
      </c>
      <c r="V27" s="60">
        <v>45935</v>
      </c>
      <c r="W27" s="46">
        <v>21096.9</v>
      </c>
      <c r="X27" s="22">
        <f t="shared" si="1"/>
        <v>1.4907403457379953E-2</v>
      </c>
      <c r="Y27" s="46"/>
      <c r="Z27" s="46"/>
      <c r="AB27" s="48"/>
    </row>
    <row r="28" spans="2:35" x14ac:dyDescent="0.3">
      <c r="R28" s="60">
        <v>45928</v>
      </c>
      <c r="S28">
        <v>102.07</v>
      </c>
      <c r="T28" s="22">
        <f t="shared" si="0"/>
        <v>-2.2533555403153605E-3</v>
      </c>
      <c r="V28" s="60">
        <v>45928</v>
      </c>
      <c r="W28" s="46">
        <v>21725.4</v>
      </c>
      <c r="X28" s="22">
        <f t="shared" si="1"/>
        <v>-2.8929271728023398E-2</v>
      </c>
      <c r="Y28" s="46"/>
      <c r="Z28" s="46"/>
      <c r="AB28" s="48"/>
    </row>
    <row r="29" spans="2:35" x14ac:dyDescent="0.3">
      <c r="B29" t="s">
        <v>44</v>
      </c>
      <c r="R29" s="60">
        <v>45921</v>
      </c>
      <c r="S29">
        <v>103.16</v>
      </c>
      <c r="T29" s="22">
        <f t="shared" si="0"/>
        <v>-1.0566110895696035E-2</v>
      </c>
      <c r="V29" s="60">
        <v>45921</v>
      </c>
      <c r="W29" s="46">
        <v>21477.5</v>
      </c>
      <c r="X29" s="22">
        <f t="shared" si="1"/>
        <v>1.1542311721569165E-2</v>
      </c>
      <c r="Y29" s="46"/>
      <c r="Z29" s="46"/>
      <c r="AB29" s="48"/>
    </row>
    <row r="30" spans="2:35" x14ac:dyDescent="0.3">
      <c r="B30" t="s">
        <v>45</v>
      </c>
      <c r="H30" s="17">
        <v>2792</v>
      </c>
      <c r="I30" s="17">
        <v>2724</v>
      </c>
      <c r="J30" s="17">
        <v>8077</v>
      </c>
      <c r="K30" s="17">
        <v>8041</v>
      </c>
      <c r="L30" s="17">
        <v>7983</v>
      </c>
      <c r="R30" s="60">
        <v>45914</v>
      </c>
      <c r="S30">
        <v>102.33</v>
      </c>
      <c r="T30" s="22">
        <f t="shared" si="0"/>
        <v>8.1110133880581969E-3</v>
      </c>
      <c r="V30" s="60">
        <v>45914</v>
      </c>
      <c r="W30" s="46">
        <v>21494</v>
      </c>
      <c r="X30" s="22">
        <f t="shared" si="1"/>
        <v>-7.6765609007167779E-4</v>
      </c>
      <c r="Y30" s="46"/>
      <c r="Z30" s="46"/>
      <c r="AB30" s="48"/>
    </row>
    <row r="31" spans="2:35" x14ac:dyDescent="0.3">
      <c r="B31" t="s">
        <v>46</v>
      </c>
      <c r="H31" s="17">
        <v>2805</v>
      </c>
      <c r="I31" s="17">
        <v>2734</v>
      </c>
      <c r="J31" s="17">
        <v>8108</v>
      </c>
      <c r="K31" s="17">
        <v>8081</v>
      </c>
      <c r="L31" s="17">
        <v>8022</v>
      </c>
      <c r="R31" s="60">
        <v>45907</v>
      </c>
      <c r="S31">
        <v>103.49</v>
      </c>
      <c r="T31" s="22">
        <f t="shared" si="0"/>
        <v>-1.1208812445646865E-2</v>
      </c>
      <c r="V31" s="60">
        <v>45907</v>
      </c>
      <c r="W31" s="46">
        <v>21374.3</v>
      </c>
      <c r="X31" s="22">
        <f t="shared" si="1"/>
        <v>5.6001833978189808E-3</v>
      </c>
      <c r="Y31" s="46"/>
      <c r="Z31" s="46"/>
      <c r="AB31" s="48"/>
    </row>
    <row r="32" spans="2:35" x14ac:dyDescent="0.3">
      <c r="R32" s="60">
        <v>45900</v>
      </c>
      <c r="S32">
        <v>100.51</v>
      </c>
      <c r="T32" s="22">
        <f t="shared" si="0"/>
        <v>2.964879116505803E-2</v>
      </c>
      <c r="V32" s="60">
        <v>45900</v>
      </c>
      <c r="W32" s="46">
        <v>21136</v>
      </c>
      <c r="X32" s="22">
        <f t="shared" si="1"/>
        <v>1.1274602573807746E-2</v>
      </c>
      <c r="Y32" s="46"/>
      <c r="Z32" s="46"/>
      <c r="AB32" s="48"/>
    </row>
    <row r="33" spans="2:28" x14ac:dyDescent="0.3">
      <c r="B33" t="s">
        <v>47</v>
      </c>
      <c r="H33">
        <v>2.2000000000000002</v>
      </c>
      <c r="I33">
        <v>2.2400000000000002</v>
      </c>
      <c r="J33">
        <v>0.76</v>
      </c>
      <c r="K33">
        <v>0.83</v>
      </c>
      <c r="L33">
        <v>0.94</v>
      </c>
      <c r="R33" s="60">
        <v>45893</v>
      </c>
      <c r="S33">
        <v>96.98</v>
      </c>
      <c r="T33" s="22">
        <f t="shared" si="0"/>
        <v>3.6399257578882294E-2</v>
      </c>
      <c r="V33" s="60">
        <v>45893</v>
      </c>
      <c r="W33" s="46">
        <v>21151.5</v>
      </c>
      <c r="X33" s="22">
        <f t="shared" si="1"/>
        <v>-7.3280854785717775E-4</v>
      </c>
      <c r="Y33" s="46"/>
      <c r="Z33" s="46"/>
      <c r="AB33" s="48"/>
    </row>
    <row r="34" spans="2:28" x14ac:dyDescent="0.3">
      <c r="R34" s="60">
        <v>45886</v>
      </c>
      <c r="S34">
        <v>96.83</v>
      </c>
      <c r="T34" s="22">
        <f t="shared" si="0"/>
        <v>1.5491066818136279E-3</v>
      </c>
      <c r="V34" s="60">
        <v>45886</v>
      </c>
      <c r="W34" s="46">
        <v>21150.1</v>
      </c>
      <c r="X34" s="22">
        <f t="shared" si="1"/>
        <v>6.6193540456227495E-5</v>
      </c>
      <c r="Y34" s="46"/>
      <c r="Z34" s="46"/>
      <c r="AB34" s="48"/>
    </row>
    <row r="35" spans="2:28" x14ac:dyDescent="0.3">
      <c r="B35" s="19" t="s">
        <v>52</v>
      </c>
      <c r="C35" s="20"/>
      <c r="D35" s="20"/>
      <c r="E35" s="20"/>
      <c r="F35" s="20"/>
      <c r="G35" s="20"/>
      <c r="H35" s="19">
        <v>2022</v>
      </c>
      <c r="I35" s="19">
        <v>2023</v>
      </c>
      <c r="J35" s="19">
        <v>2024</v>
      </c>
      <c r="K35" s="19">
        <v>2025</v>
      </c>
      <c r="L35" s="19">
        <v>2026</v>
      </c>
      <c r="R35" s="60">
        <v>45879</v>
      </c>
      <c r="S35">
        <v>100</v>
      </c>
      <c r="T35" s="22">
        <f t="shared" si="0"/>
        <v>-3.1700000000000061E-2</v>
      </c>
      <c r="V35" s="60">
        <v>45879</v>
      </c>
      <c r="W35" s="46">
        <v>20802.7</v>
      </c>
      <c r="X35" s="22">
        <f t="shared" si="1"/>
        <v>1.6699755320222831E-2</v>
      </c>
      <c r="Y35" s="46"/>
      <c r="Z35" s="46"/>
      <c r="AB35" s="48"/>
    </row>
    <row r="36" spans="2:28" x14ac:dyDescent="0.3">
      <c r="R36" s="60">
        <v>45872</v>
      </c>
      <c r="S36">
        <v>103.73</v>
      </c>
      <c r="T36" s="22">
        <f t="shared" si="0"/>
        <v>-3.5958739034030685E-2</v>
      </c>
      <c r="V36" s="60">
        <v>45872</v>
      </c>
      <c r="W36" s="46">
        <v>20524.2</v>
      </c>
      <c r="X36" s="22">
        <f t="shared" si="1"/>
        <v>1.356934740452731E-2</v>
      </c>
      <c r="Y36" s="46"/>
      <c r="Z36" s="46"/>
      <c r="AB36" s="48"/>
    </row>
    <row r="37" spans="2:28" x14ac:dyDescent="0.3">
      <c r="B37" s="18" t="s">
        <v>49</v>
      </c>
      <c r="R37" s="60">
        <v>45865</v>
      </c>
      <c r="S37">
        <v>98.49</v>
      </c>
      <c r="T37" s="22">
        <f t="shared" si="0"/>
        <v>5.3203370900599234E-2</v>
      </c>
      <c r="V37" s="60">
        <v>45865</v>
      </c>
      <c r="W37" s="46">
        <v>20267.7</v>
      </c>
      <c r="X37" s="22">
        <f t="shared" si="1"/>
        <v>1.2655604730679837E-2</v>
      </c>
      <c r="Y37" s="46"/>
      <c r="Z37" s="46"/>
      <c r="AB37" s="48"/>
    </row>
    <row r="38" spans="2:28" x14ac:dyDescent="0.3">
      <c r="B38" t="s">
        <v>53</v>
      </c>
      <c r="H38" s="17">
        <v>393247</v>
      </c>
      <c r="I38" s="17">
        <v>420553</v>
      </c>
      <c r="J38" s="17">
        <v>441817</v>
      </c>
      <c r="K38" s="17">
        <v>462415</v>
      </c>
      <c r="L38" s="17">
        <v>482975</v>
      </c>
      <c r="R38" s="60">
        <v>45858</v>
      </c>
      <c r="S38">
        <v>97.47</v>
      </c>
      <c r="T38" s="22">
        <f t="shared" si="0"/>
        <v>1.046475838719596E-2</v>
      </c>
      <c r="V38" s="60">
        <v>45858</v>
      </c>
      <c r="W38" s="46">
        <v>20950.400000000001</v>
      </c>
      <c r="X38" s="22">
        <f t="shared" si="1"/>
        <v>-3.25864899954178E-2</v>
      </c>
      <c r="Y38" s="46"/>
      <c r="Z38" s="46"/>
      <c r="AB38" s="48"/>
    </row>
    <row r="39" spans="2:28" x14ac:dyDescent="0.3">
      <c r="B39" t="s">
        <v>56</v>
      </c>
      <c r="H39" s="24">
        <v>1924.3979662831148</v>
      </c>
      <c r="I39" s="24">
        <v>2084.7644634733742</v>
      </c>
      <c r="J39" s="17">
        <v>1985</v>
      </c>
      <c r="K39" s="17">
        <v>2594</v>
      </c>
      <c r="L39" s="17">
        <v>2624</v>
      </c>
      <c r="N39" t="s">
        <v>56</v>
      </c>
      <c r="P39" s="22">
        <f>AVERAGE(J39:L39)/AVERAGE(J$71:L$71)</f>
        <v>0.38549638747658549</v>
      </c>
      <c r="R39" s="60">
        <v>45851</v>
      </c>
      <c r="S39">
        <v>95.05</v>
      </c>
      <c r="T39" s="22">
        <f t="shared" si="0"/>
        <v>2.5460284061020522E-2</v>
      </c>
      <c r="V39" s="60">
        <v>45851</v>
      </c>
      <c r="W39" s="46">
        <v>20541.599999999999</v>
      </c>
      <c r="X39" s="22">
        <f t="shared" si="1"/>
        <v>1.9901078786462634E-2</v>
      </c>
      <c r="Y39" s="46"/>
      <c r="Z39" s="46"/>
      <c r="AB39" s="48"/>
    </row>
    <row r="40" spans="2:28" x14ac:dyDescent="0.3">
      <c r="B40" t="s">
        <v>57</v>
      </c>
      <c r="H40" s="17">
        <v>395171.39796628314</v>
      </c>
      <c r="I40" s="17">
        <v>422637.7644634734</v>
      </c>
      <c r="J40" s="17">
        <v>443802</v>
      </c>
      <c r="K40" s="17">
        <v>465009</v>
      </c>
      <c r="L40" s="17">
        <v>485599</v>
      </c>
      <c r="P40" s="22"/>
      <c r="R40" s="60">
        <v>45844</v>
      </c>
      <c r="S40">
        <v>94.4</v>
      </c>
      <c r="T40" s="22">
        <f t="shared" si="0"/>
        <v>6.8855932203388814E-3</v>
      </c>
      <c r="V40" s="60">
        <v>45844</v>
      </c>
      <c r="W40" s="46">
        <v>20547.7</v>
      </c>
      <c r="X40" s="22">
        <f t="shared" si="1"/>
        <v>-2.9687020931790098E-4</v>
      </c>
      <c r="Y40" s="46"/>
      <c r="Z40" s="46"/>
      <c r="AB40" s="48"/>
    </row>
    <row r="41" spans="2:28" x14ac:dyDescent="0.3">
      <c r="P41" s="22"/>
      <c r="R41" s="60">
        <v>45837</v>
      </c>
      <c r="S41">
        <v>98.36</v>
      </c>
      <c r="T41" s="22">
        <f t="shared" si="0"/>
        <v>-4.0260268401789312E-2</v>
      </c>
      <c r="V41" s="60">
        <v>45837</v>
      </c>
      <c r="W41" s="46">
        <v>20725.8</v>
      </c>
      <c r="X41" s="22">
        <f t="shared" si="1"/>
        <v>-8.5931544258845971E-3</v>
      </c>
      <c r="Y41" s="46"/>
      <c r="Z41" s="46"/>
      <c r="AB41" s="48"/>
    </row>
    <row r="42" spans="2:28" x14ac:dyDescent="0.3">
      <c r="B42" t="s">
        <v>58</v>
      </c>
      <c r="H42" s="21">
        <v>281957.50053665868</v>
      </c>
      <c r="I42" s="21">
        <v>304777.65525958018</v>
      </c>
      <c r="J42" s="17">
        <v>323563</v>
      </c>
      <c r="K42" s="17">
        <v>336451</v>
      </c>
      <c r="L42" s="17">
        <v>350360</v>
      </c>
      <c r="N42" t="s">
        <v>58</v>
      </c>
      <c r="P42" s="22">
        <f>AVERAGE(J42:L42)/AVERAGE(J$74:L$74)</f>
        <v>0.65724359099454233</v>
      </c>
      <c r="R42" s="60">
        <v>45830</v>
      </c>
      <c r="S42">
        <v>97.27</v>
      </c>
      <c r="T42" s="22">
        <f t="shared" si="0"/>
        <v>1.1205921661354923E-2</v>
      </c>
      <c r="V42" s="60">
        <v>45830</v>
      </c>
      <c r="W42" s="46">
        <v>20338.400000000001</v>
      </c>
      <c r="X42" s="22">
        <f t="shared" si="1"/>
        <v>1.9047712701097286E-2</v>
      </c>
      <c r="Y42" s="46"/>
      <c r="Z42" s="46"/>
      <c r="AB42" s="48"/>
    </row>
    <row r="43" spans="2:28" x14ac:dyDescent="0.3">
      <c r="B43" t="s">
        <v>28</v>
      </c>
      <c r="H43" s="21">
        <v>88005.534181156545</v>
      </c>
      <c r="I43" s="21">
        <v>94973.547820190157</v>
      </c>
      <c r="J43" s="17">
        <v>98085</v>
      </c>
      <c r="K43" s="17">
        <v>104676</v>
      </c>
      <c r="L43" s="17">
        <v>110081</v>
      </c>
      <c r="N43" t="s">
        <v>63</v>
      </c>
      <c r="P43" s="22">
        <f>AVERAGE(J43:L43)/AVERAGE(J$75:L$75)</f>
        <v>0.74699974689468429</v>
      </c>
      <c r="R43" s="60">
        <v>45823</v>
      </c>
      <c r="S43">
        <v>96.12</v>
      </c>
      <c r="T43" s="22">
        <f t="shared" si="0"/>
        <v>1.196421140241366E-2</v>
      </c>
      <c r="V43" s="60">
        <v>45823</v>
      </c>
      <c r="W43" s="46">
        <v>19868.400000000001</v>
      </c>
      <c r="X43" s="22">
        <f t="shared" si="1"/>
        <v>2.3655654204666643E-2</v>
      </c>
      <c r="Y43" s="46"/>
      <c r="Z43" s="46"/>
      <c r="AB43" s="48"/>
    </row>
    <row r="44" spans="2:28" x14ac:dyDescent="0.3">
      <c r="B44" t="s">
        <v>59</v>
      </c>
      <c r="H44" s="17">
        <v>25208.363248467911</v>
      </c>
      <c r="I44" s="17">
        <v>22886.561383703069</v>
      </c>
      <c r="J44" s="17">
        <v>22154</v>
      </c>
      <c r="K44" s="17">
        <v>23882</v>
      </c>
      <c r="L44" s="17">
        <v>25158</v>
      </c>
      <c r="P44" s="22"/>
      <c r="R44" s="60">
        <v>45816</v>
      </c>
      <c r="S44">
        <v>94.44</v>
      </c>
      <c r="T44" s="22">
        <f t="shared" si="0"/>
        <v>1.7789072426937835E-2</v>
      </c>
      <c r="V44" s="60">
        <v>45816</v>
      </c>
      <c r="W44" s="46">
        <v>19981.099999999999</v>
      </c>
      <c r="X44" s="22">
        <f t="shared" si="1"/>
        <v>-5.6403301119556382E-3</v>
      </c>
      <c r="Y44" s="46"/>
      <c r="Z44" s="46"/>
      <c r="AB44" s="48"/>
    </row>
    <row r="45" spans="2:28" x14ac:dyDescent="0.3">
      <c r="P45" s="22"/>
      <c r="R45" s="60">
        <v>45809</v>
      </c>
      <c r="S45">
        <v>97.47</v>
      </c>
      <c r="T45" s="22">
        <f t="shared" si="0"/>
        <v>-3.1086488150200098E-2</v>
      </c>
      <c r="V45" s="60">
        <v>45809</v>
      </c>
      <c r="W45" s="46">
        <v>20045.400000000001</v>
      </c>
      <c r="X45" s="22">
        <f t="shared" si="1"/>
        <v>-3.2077184790526569E-3</v>
      </c>
      <c r="Y45" s="46"/>
      <c r="Z45" s="46"/>
      <c r="AB45" s="48"/>
    </row>
    <row r="46" spans="2:28" x14ac:dyDescent="0.3">
      <c r="B46" s="18" t="s">
        <v>54</v>
      </c>
      <c r="H46" s="17"/>
      <c r="I46" s="17"/>
      <c r="P46" s="22"/>
      <c r="R46" s="60">
        <v>45802</v>
      </c>
      <c r="S46">
        <v>98.72</v>
      </c>
      <c r="T46" s="22">
        <f t="shared" si="0"/>
        <v>-1.2662074554295022E-2</v>
      </c>
      <c r="V46" s="60">
        <v>45802</v>
      </c>
      <c r="W46" s="46">
        <v>19783.8</v>
      </c>
      <c r="X46" s="22">
        <f t="shared" si="1"/>
        <v>1.3222939981196946E-2</v>
      </c>
      <c r="Y46" s="46"/>
      <c r="Z46" s="46"/>
      <c r="AB46" s="48"/>
    </row>
    <row r="47" spans="2:28" x14ac:dyDescent="0.3">
      <c r="B47" t="s">
        <v>53</v>
      </c>
      <c r="H47" s="17">
        <v>100959</v>
      </c>
      <c r="I47" s="17">
        <v>100983</v>
      </c>
      <c r="J47" s="17">
        <v>114641</v>
      </c>
      <c r="K47" s="17">
        <v>121885</v>
      </c>
      <c r="L47" s="17">
        <v>130423</v>
      </c>
      <c r="P47" s="22"/>
      <c r="R47" s="60">
        <v>45795</v>
      </c>
      <c r="S47">
        <v>96.34</v>
      </c>
      <c r="T47" s="22">
        <f t="shared" si="0"/>
        <v>2.4704172721610851E-2</v>
      </c>
      <c r="V47" s="60">
        <v>45795</v>
      </c>
      <c r="W47" s="46">
        <v>19534.8</v>
      </c>
      <c r="X47" s="22">
        <f t="shared" si="1"/>
        <v>1.2746483199213676E-2</v>
      </c>
      <c r="Y47" s="46"/>
      <c r="Z47" s="46"/>
      <c r="AB47" s="48"/>
    </row>
    <row r="48" spans="2:28" x14ac:dyDescent="0.3">
      <c r="B48" t="s">
        <v>56</v>
      </c>
      <c r="H48" s="24">
        <v>1189.1566497190261</v>
      </c>
      <c r="I48" s="24">
        <v>1288.2530371956116</v>
      </c>
      <c r="J48" s="17">
        <v>1408</v>
      </c>
      <c r="K48" s="17">
        <v>1478</v>
      </c>
      <c r="L48" s="17">
        <v>1565</v>
      </c>
      <c r="N48" t="s">
        <v>56</v>
      </c>
      <c r="P48" s="22">
        <f>AVERAGE(J48:L48)/AVERAGE(J$71:L$71)</f>
        <v>0.23821246989563824</v>
      </c>
      <c r="R48" s="60">
        <v>45788</v>
      </c>
      <c r="S48">
        <v>98.24</v>
      </c>
      <c r="T48" s="22">
        <f t="shared" si="0"/>
        <v>-1.9340390879478697E-2</v>
      </c>
      <c r="V48" s="60">
        <v>45788</v>
      </c>
      <c r="W48" s="46">
        <v>19934.099999999999</v>
      </c>
      <c r="X48" s="22">
        <f t="shared" si="1"/>
        <v>-2.0031002152091082E-2</v>
      </c>
      <c r="Y48" s="46"/>
      <c r="Z48" s="46"/>
      <c r="AB48" s="48"/>
    </row>
    <row r="49" spans="2:28" x14ac:dyDescent="0.3">
      <c r="B49" t="s">
        <v>57</v>
      </c>
      <c r="H49" s="17">
        <v>102148.15664971902</v>
      </c>
      <c r="I49" s="17">
        <v>102271.25303719561</v>
      </c>
      <c r="J49" s="17">
        <v>116049</v>
      </c>
      <c r="K49" s="17">
        <v>123363</v>
      </c>
      <c r="L49" s="17">
        <v>131988</v>
      </c>
      <c r="P49" s="22"/>
      <c r="R49" s="60">
        <v>45781</v>
      </c>
      <c r="S49">
        <v>96.72</v>
      </c>
      <c r="T49" s="22">
        <f t="shared" si="0"/>
        <v>1.5715467328370591E-2</v>
      </c>
      <c r="V49" s="60">
        <v>45781</v>
      </c>
      <c r="W49" s="46">
        <v>19319.2</v>
      </c>
      <c r="X49" s="22">
        <f t="shared" si="1"/>
        <v>3.1828440101039357E-2</v>
      </c>
      <c r="Y49" s="46"/>
      <c r="Z49" s="46"/>
      <c r="AB49" s="48"/>
    </row>
    <row r="50" spans="2:28" x14ac:dyDescent="0.3">
      <c r="H50" s="17"/>
      <c r="I50" s="17"/>
      <c r="P50" s="22"/>
      <c r="R50" s="60">
        <v>45774</v>
      </c>
      <c r="S50">
        <v>98.75</v>
      </c>
      <c r="T50" s="22">
        <f t="shared" si="0"/>
        <v>-2.0556962025316428E-2</v>
      </c>
      <c r="V50" s="60">
        <v>45774</v>
      </c>
      <c r="W50" s="46">
        <v>19386.7</v>
      </c>
      <c r="X50" s="22">
        <f t="shared" si="1"/>
        <v>-3.4817684288713791E-3</v>
      </c>
      <c r="Y50" s="46"/>
      <c r="Z50" s="46"/>
      <c r="AB50" s="48"/>
    </row>
    <row r="51" spans="2:28" x14ac:dyDescent="0.3">
      <c r="B51" t="s">
        <v>58</v>
      </c>
      <c r="H51" s="21">
        <v>80279.027379349369</v>
      </c>
      <c r="I51" s="21">
        <v>86776.388940278019</v>
      </c>
      <c r="J51" s="17">
        <v>89831</v>
      </c>
      <c r="K51" s="17">
        <v>95267</v>
      </c>
      <c r="L51" s="17">
        <v>102576</v>
      </c>
      <c r="N51" t="s">
        <v>58</v>
      </c>
      <c r="P51" s="22">
        <f>AVERAGE(J51:L51)/AVERAGE(J$74:L$74)</f>
        <v>0.18713059995186335</v>
      </c>
      <c r="R51" s="60">
        <v>45767</v>
      </c>
      <c r="S51">
        <v>95.09</v>
      </c>
      <c r="T51" s="22">
        <f t="shared" si="0"/>
        <v>3.8489851719423651E-2</v>
      </c>
      <c r="V51" s="60">
        <v>45767</v>
      </c>
      <c r="W51" s="46">
        <v>18899.8</v>
      </c>
      <c r="X51" s="22">
        <f t="shared" si="1"/>
        <v>2.5762177377538498E-2</v>
      </c>
      <c r="Y51" s="46"/>
      <c r="Z51" s="46"/>
      <c r="AB51" s="48"/>
    </row>
    <row r="52" spans="2:28" x14ac:dyDescent="0.3">
      <c r="B52" t="s">
        <v>28</v>
      </c>
      <c r="H52" s="21">
        <v>19188.988381033338</v>
      </c>
      <c r="I52" s="21">
        <v>20708.314796154711</v>
      </c>
      <c r="J52" s="17">
        <v>21309</v>
      </c>
      <c r="K52" s="17">
        <v>22595</v>
      </c>
      <c r="L52" s="17">
        <v>24309</v>
      </c>
      <c r="N52" t="s">
        <v>63</v>
      </c>
      <c r="P52" s="22">
        <f>AVERAGE(J52:L52)/AVERAGE(J$75:L$75)</f>
        <v>0.16287804621798577</v>
      </c>
      <c r="R52" s="60">
        <v>45760</v>
      </c>
      <c r="S52">
        <v>93.22</v>
      </c>
      <c r="T52" s="22">
        <f t="shared" si="0"/>
        <v>2.0060072945719876E-2</v>
      </c>
      <c r="V52" s="60">
        <v>45760</v>
      </c>
      <c r="W52" s="46">
        <v>18367.099999999999</v>
      </c>
      <c r="X52" s="22">
        <f t="shared" si="1"/>
        <v>2.9002945484044806E-2</v>
      </c>
      <c r="Y52" s="46"/>
      <c r="Z52" s="46"/>
      <c r="AB52" s="48"/>
    </row>
    <row r="53" spans="2:28" x14ac:dyDescent="0.3">
      <c r="B53" t="s">
        <v>59</v>
      </c>
      <c r="H53" s="17">
        <v>2680.140889336315</v>
      </c>
      <c r="I53" s="17">
        <v>-5213.4506992371207</v>
      </c>
      <c r="J53" s="17">
        <v>4909</v>
      </c>
      <c r="K53" s="17">
        <v>5501</v>
      </c>
      <c r="L53" s="17">
        <v>5103</v>
      </c>
      <c r="P53" s="22"/>
      <c r="R53" s="60">
        <v>45753</v>
      </c>
      <c r="S53">
        <v>92.8</v>
      </c>
      <c r="T53" s="22">
        <f t="shared" si="0"/>
        <v>4.5258620689654361E-3</v>
      </c>
      <c r="V53" s="60">
        <v>45753</v>
      </c>
      <c r="W53" s="46">
        <v>18219.7</v>
      </c>
      <c r="X53" s="22">
        <f t="shared" si="1"/>
        <v>8.090144184591308E-3</v>
      </c>
      <c r="Y53" s="46"/>
      <c r="Z53" s="46"/>
      <c r="AB53" s="48"/>
    </row>
    <row r="54" spans="2:28" x14ac:dyDescent="0.3">
      <c r="H54" s="17"/>
      <c r="I54" s="17"/>
      <c r="P54" s="22"/>
      <c r="R54" s="60">
        <v>45746</v>
      </c>
      <c r="S54">
        <v>83.19</v>
      </c>
      <c r="T54" s="22">
        <f t="shared" si="0"/>
        <v>0.11551869215049893</v>
      </c>
      <c r="V54" s="60">
        <v>45746</v>
      </c>
      <c r="W54" s="46">
        <v>17618.599999999999</v>
      </c>
      <c r="X54" s="22">
        <f t="shared" si="1"/>
        <v>3.4117353251677418E-2</v>
      </c>
      <c r="Y54" s="46"/>
      <c r="Z54" s="46"/>
      <c r="AB54" s="48"/>
    </row>
    <row r="55" spans="2:28" x14ac:dyDescent="0.3">
      <c r="B55" s="18" t="s">
        <v>55</v>
      </c>
      <c r="H55" s="17"/>
      <c r="I55" s="17"/>
      <c r="J55" s="17"/>
      <c r="K55" s="17"/>
      <c r="L55" s="17"/>
      <c r="P55" s="22"/>
      <c r="R55" s="60">
        <v>45739</v>
      </c>
      <c r="S55">
        <v>85.15</v>
      </c>
      <c r="T55" s="22">
        <f t="shared" si="0"/>
        <v>-2.3018203170874996E-2</v>
      </c>
      <c r="V55" s="60">
        <v>45739</v>
      </c>
      <c r="W55" s="46">
        <v>19270.3</v>
      </c>
      <c r="X55" s="22">
        <f t="shared" si="1"/>
        <v>-8.5712209981162801E-2</v>
      </c>
      <c r="Y55" s="46"/>
      <c r="Z55" s="46"/>
      <c r="AB55" s="48"/>
    </row>
    <row r="56" spans="2:28" x14ac:dyDescent="0.3">
      <c r="B56" t="s">
        <v>53</v>
      </c>
      <c r="H56" s="17">
        <v>73556</v>
      </c>
      <c r="I56" s="17">
        <v>84345</v>
      </c>
      <c r="J56" s="17">
        <v>86179</v>
      </c>
      <c r="K56" s="17">
        <v>90238</v>
      </c>
      <c r="L56" s="17">
        <v>93015</v>
      </c>
      <c r="P56" s="22"/>
      <c r="R56" s="60">
        <v>45732</v>
      </c>
      <c r="S56">
        <v>85.98</v>
      </c>
      <c r="T56" s="22">
        <f t="shared" si="0"/>
        <v>-9.653407769248612E-3</v>
      </c>
      <c r="V56" s="60">
        <v>45732</v>
      </c>
      <c r="W56" s="46">
        <v>19454.3</v>
      </c>
      <c r="X56" s="22">
        <f t="shared" si="1"/>
        <v>-9.4580632559382316E-3</v>
      </c>
      <c r="Y56" s="46"/>
      <c r="Z56" s="46"/>
      <c r="AB56" s="48"/>
    </row>
    <row r="57" spans="2:28" x14ac:dyDescent="0.3">
      <c r="B57" t="s">
        <v>56</v>
      </c>
      <c r="H57" s="24">
        <v>1843.1794487556863</v>
      </c>
      <c r="I57" s="24">
        <v>1996.7777361519934</v>
      </c>
      <c r="J57" s="17">
        <v>2051</v>
      </c>
      <c r="K57" s="17">
        <v>2323</v>
      </c>
      <c r="L57" s="17">
        <v>2525</v>
      </c>
      <c r="N57" t="s">
        <v>56</v>
      </c>
      <c r="P57" s="22">
        <f>AVERAGE(J57:L57)/AVERAGE(J$71:L$71)</f>
        <v>0.36922665239496921</v>
      </c>
      <c r="R57" s="60">
        <v>45725</v>
      </c>
      <c r="S57">
        <v>85.35</v>
      </c>
      <c r="T57" s="22">
        <f t="shared" si="0"/>
        <v>7.381370826010647E-3</v>
      </c>
      <c r="V57" s="60">
        <v>45725</v>
      </c>
      <c r="W57" s="46">
        <v>19231.3</v>
      </c>
      <c r="X57" s="22">
        <f t="shared" si="1"/>
        <v>1.1595679959233163E-2</v>
      </c>
      <c r="Y57" s="46"/>
      <c r="Z57" s="46"/>
      <c r="AB57" s="48"/>
    </row>
    <row r="58" spans="2:28" x14ac:dyDescent="0.3">
      <c r="B58" t="s">
        <v>57</v>
      </c>
      <c r="H58" s="17">
        <v>75399.179448755691</v>
      </c>
      <c r="I58" s="17">
        <v>86341.777736151998</v>
      </c>
      <c r="J58" s="17">
        <v>88230</v>
      </c>
      <c r="K58" s="17">
        <v>92561</v>
      </c>
      <c r="L58" s="17">
        <v>95540</v>
      </c>
      <c r="P58" s="22"/>
      <c r="R58" s="60">
        <v>45718</v>
      </c>
      <c r="S58">
        <v>91.72</v>
      </c>
      <c r="T58" s="22">
        <f t="shared" si="0"/>
        <v>-6.9450501526384656E-2</v>
      </c>
      <c r="V58" s="60">
        <v>45718</v>
      </c>
      <c r="W58" s="46">
        <v>19573.099999999999</v>
      </c>
      <c r="X58" s="22">
        <f t="shared" si="1"/>
        <v>-1.7462742232962514E-2</v>
      </c>
      <c r="Y58" s="46"/>
      <c r="Z58" s="46"/>
      <c r="AB58" s="48"/>
    </row>
    <row r="59" spans="2:28" x14ac:dyDescent="0.3">
      <c r="H59" s="17"/>
      <c r="I59" s="17"/>
      <c r="J59" s="17"/>
      <c r="K59" s="17"/>
      <c r="L59" s="17"/>
      <c r="P59" s="22"/>
      <c r="R59" s="60">
        <v>45711</v>
      </c>
      <c r="S59">
        <v>98.61</v>
      </c>
      <c r="T59" s="22">
        <f t="shared" si="0"/>
        <v>-6.9871209816448676E-2</v>
      </c>
      <c r="V59" s="60">
        <v>45711</v>
      </c>
      <c r="W59" s="46">
        <v>20028.2</v>
      </c>
      <c r="X59" s="22">
        <f t="shared" si="1"/>
        <v>-2.2722960625518152E-2</v>
      </c>
      <c r="Y59" s="46"/>
      <c r="Z59" s="46"/>
      <c r="AB59" s="48"/>
    </row>
    <row r="60" spans="2:28" x14ac:dyDescent="0.3">
      <c r="B60" t="s">
        <v>58</v>
      </c>
      <c r="H60" s="21">
        <v>66763.472083991961</v>
      </c>
      <c r="I60" s="21">
        <v>72166.955800141805</v>
      </c>
      <c r="J60" s="17">
        <v>76748</v>
      </c>
      <c r="K60" s="17">
        <v>80035</v>
      </c>
      <c r="L60" s="17">
        <v>82459</v>
      </c>
      <c r="N60" t="s">
        <v>58</v>
      </c>
      <c r="P60" s="22">
        <f>AVERAGE(J60:L60)/AVERAGE(J$74:L$74)</f>
        <v>0.1556258090535943</v>
      </c>
      <c r="R60" s="60">
        <v>45704</v>
      </c>
      <c r="S60">
        <v>94.78</v>
      </c>
      <c r="T60" s="22">
        <f t="shared" si="0"/>
        <v>4.0409369065203649E-2</v>
      </c>
      <c r="V60" s="60">
        <v>45704</v>
      </c>
      <c r="W60" s="46">
        <v>19881.5</v>
      </c>
      <c r="X60" s="22">
        <f t="shared" si="1"/>
        <v>7.378718909539117E-3</v>
      </c>
      <c r="Y60" s="46"/>
      <c r="Z60" s="46"/>
      <c r="AB60" s="48"/>
    </row>
    <row r="61" spans="2:28" x14ac:dyDescent="0.3">
      <c r="B61" t="s">
        <v>28</v>
      </c>
      <c r="H61" s="21">
        <v>8453.6421186347598</v>
      </c>
      <c r="I61" s="21">
        <v>9122.976088711026</v>
      </c>
      <c r="J61" s="17">
        <v>9290</v>
      </c>
      <c r="K61" s="17">
        <v>10122</v>
      </c>
      <c r="L61" s="17">
        <v>10639</v>
      </c>
      <c r="N61" t="s">
        <v>63</v>
      </c>
      <c r="P61" s="22">
        <f>AVERAGE(J61:L61)/AVERAGE(J$75:L$75)</f>
        <v>7.175535699788442E-2</v>
      </c>
      <c r="R61" s="60">
        <v>45697</v>
      </c>
      <c r="S61">
        <v>104.04</v>
      </c>
      <c r="T61" s="22">
        <f t="shared" si="0"/>
        <v>-8.9004229142637503E-2</v>
      </c>
      <c r="V61" s="60">
        <v>45697</v>
      </c>
      <c r="W61" s="46">
        <v>20130.5</v>
      </c>
      <c r="X61" s="22">
        <f t="shared" si="1"/>
        <v>-1.2369290380268794E-2</v>
      </c>
      <c r="Y61" s="46"/>
      <c r="Z61" s="46"/>
      <c r="AB61" s="48"/>
    </row>
    <row r="62" spans="2:28" x14ac:dyDescent="0.3">
      <c r="B62" t="s">
        <v>59</v>
      </c>
      <c r="H62" s="17">
        <v>182.0652461289701</v>
      </c>
      <c r="I62" s="17">
        <v>5051.8458472991679</v>
      </c>
      <c r="J62" s="17">
        <v>2192</v>
      </c>
      <c r="K62" s="17">
        <v>2404</v>
      </c>
      <c r="L62" s="17">
        <v>2442</v>
      </c>
      <c r="R62" s="60">
        <v>45690</v>
      </c>
      <c r="S62">
        <v>101.15</v>
      </c>
      <c r="T62" s="22">
        <f t="shared" si="0"/>
        <v>2.857142857142847E-2</v>
      </c>
      <c r="V62" s="60">
        <v>45690</v>
      </c>
      <c r="W62" s="46">
        <v>20039.5</v>
      </c>
      <c r="X62" s="22">
        <f t="shared" si="1"/>
        <v>4.5410314628608894E-3</v>
      </c>
      <c r="Y62" s="46"/>
      <c r="Z62" s="46"/>
      <c r="AB62" s="48"/>
    </row>
    <row r="63" spans="2:28" x14ac:dyDescent="0.3">
      <c r="H63" s="17"/>
      <c r="I63" s="17"/>
      <c r="J63" s="17"/>
      <c r="K63" s="17"/>
      <c r="L63" s="17"/>
      <c r="R63" s="60">
        <v>45683</v>
      </c>
      <c r="S63">
        <v>98.16</v>
      </c>
      <c r="T63" s="22">
        <f t="shared" si="0"/>
        <v>3.046047269763652E-2</v>
      </c>
      <c r="V63" s="60">
        <v>45683</v>
      </c>
      <c r="W63" s="46">
        <v>19998.8</v>
      </c>
      <c r="X63" s="22">
        <f t="shared" si="1"/>
        <v>2.0351221073264814E-3</v>
      </c>
      <c r="Y63" s="46"/>
      <c r="Z63" s="46"/>
      <c r="AB63" s="48"/>
    </row>
    <row r="64" spans="2:28" x14ac:dyDescent="0.3">
      <c r="B64" s="18" t="s">
        <v>60</v>
      </c>
      <c r="H64" s="17"/>
      <c r="I64" s="17"/>
      <c r="J64" s="17"/>
      <c r="K64" s="17"/>
      <c r="L64" s="17"/>
      <c r="R64" s="60">
        <v>45676</v>
      </c>
      <c r="S64">
        <v>94.76</v>
      </c>
      <c r="T64" s="22">
        <f t="shared" si="0"/>
        <v>3.5880118193330368E-2</v>
      </c>
      <c r="V64" s="60">
        <v>45676</v>
      </c>
      <c r="W64" s="46">
        <v>19997.5</v>
      </c>
      <c r="X64" s="22">
        <f t="shared" si="1"/>
        <v>6.5008126015619894E-5</v>
      </c>
      <c r="Y64" s="46"/>
      <c r="Z64" s="46"/>
      <c r="AB64" s="48"/>
    </row>
    <row r="65" spans="2:28" x14ac:dyDescent="0.3">
      <c r="B65" t="s">
        <v>61</v>
      </c>
      <c r="H65" s="17">
        <v>0</v>
      </c>
      <c r="I65" s="17">
        <v>0</v>
      </c>
      <c r="J65" s="17">
        <v>44</v>
      </c>
      <c r="K65" s="17">
        <v>52</v>
      </c>
      <c r="L65" s="17">
        <v>36</v>
      </c>
      <c r="R65" s="60">
        <v>45669</v>
      </c>
      <c r="S65">
        <v>91.94</v>
      </c>
      <c r="T65" s="22">
        <f t="shared" si="0"/>
        <v>3.0672177507069964E-2</v>
      </c>
      <c r="V65" s="60">
        <v>45669</v>
      </c>
      <c r="W65" s="46">
        <v>19607.400000000001</v>
      </c>
      <c r="X65" s="22">
        <f t="shared" si="1"/>
        <v>1.989554963942175E-2</v>
      </c>
      <c r="Y65" s="46"/>
      <c r="Z65" s="46"/>
      <c r="AB65" s="48"/>
    </row>
    <row r="66" spans="2:28" x14ac:dyDescent="0.3">
      <c r="B66" t="s">
        <v>28</v>
      </c>
      <c r="H66" s="17">
        <v>-1662</v>
      </c>
      <c r="I66" s="17">
        <v>-5121</v>
      </c>
      <c r="J66" s="17">
        <v>2287</v>
      </c>
      <c r="K66" s="17">
        <v>2491</v>
      </c>
      <c r="L66" s="17">
        <v>2914</v>
      </c>
      <c r="R66" s="60">
        <v>45662</v>
      </c>
      <c r="S66">
        <v>93</v>
      </c>
      <c r="T66" s="22">
        <f t="shared" si="0"/>
        <v>-1.1397849462365661E-2</v>
      </c>
      <c r="V66" s="60">
        <v>45662</v>
      </c>
      <c r="W66" s="46">
        <v>18963</v>
      </c>
      <c r="X66" s="22">
        <f t="shared" si="1"/>
        <v>3.398196487897498E-2</v>
      </c>
      <c r="Y66" s="46"/>
      <c r="Z66" s="46"/>
      <c r="AB66" s="48"/>
    </row>
    <row r="67" spans="2:28" x14ac:dyDescent="0.3">
      <c r="B67" t="s">
        <v>59</v>
      </c>
      <c r="H67" s="17">
        <v>1662</v>
      </c>
      <c r="I67" s="17">
        <v>5121</v>
      </c>
      <c r="J67" s="17">
        <v>-2243</v>
      </c>
      <c r="K67" s="17">
        <v>-2439</v>
      </c>
      <c r="L67" s="17">
        <v>-2878</v>
      </c>
      <c r="R67" s="60">
        <v>45655</v>
      </c>
      <c r="S67">
        <v>90.78</v>
      </c>
      <c r="T67" s="22">
        <f t="shared" si="0"/>
        <v>2.4454725710508995E-2</v>
      </c>
      <c r="V67" s="60">
        <v>45655</v>
      </c>
      <c r="W67" s="46">
        <v>19254.3</v>
      </c>
      <c r="X67" s="22">
        <f t="shared" si="1"/>
        <v>-1.5129088047864614E-2</v>
      </c>
      <c r="Y67" s="46"/>
      <c r="Z67" s="46"/>
      <c r="AB67" s="48"/>
    </row>
    <row r="68" spans="2:28" x14ac:dyDescent="0.3">
      <c r="H68" s="17"/>
      <c r="I68" s="17"/>
      <c r="R68" s="60">
        <v>45648</v>
      </c>
      <c r="S68">
        <v>91.66</v>
      </c>
      <c r="T68" s="22">
        <f t="shared" si="0"/>
        <v>-9.6006982325986812E-3</v>
      </c>
      <c r="V68" s="60">
        <v>45648</v>
      </c>
      <c r="W68" s="46">
        <v>19238.5</v>
      </c>
      <c r="X68" s="22">
        <f t="shared" si="1"/>
        <v>8.2126984952046733E-4</v>
      </c>
      <c r="Y68" s="46"/>
      <c r="Z68" s="46"/>
      <c r="AB68" s="48"/>
    </row>
    <row r="69" spans="2:28" x14ac:dyDescent="0.3">
      <c r="B69" s="18" t="s">
        <v>62</v>
      </c>
      <c r="R69" s="60">
        <v>45641</v>
      </c>
      <c r="S69">
        <v>92.24</v>
      </c>
      <c r="T69" s="22">
        <f t="shared" si="0"/>
        <v>-6.2879444926279282E-3</v>
      </c>
      <c r="V69" s="60">
        <v>45641</v>
      </c>
      <c r="W69" s="46">
        <v>19119.400000000001</v>
      </c>
      <c r="X69" s="22">
        <f t="shared" si="1"/>
        <v>6.2292749772481226E-3</v>
      </c>
      <c r="Y69" s="46"/>
      <c r="Z69" s="46"/>
      <c r="AB69" s="48"/>
    </row>
    <row r="70" spans="2:28" x14ac:dyDescent="0.3">
      <c r="B70" t="s">
        <v>53</v>
      </c>
      <c r="H70" s="17">
        <v>567762</v>
      </c>
      <c r="I70" s="17">
        <v>605881</v>
      </c>
      <c r="J70" s="17">
        <v>642637</v>
      </c>
      <c r="K70" s="17">
        <v>674538</v>
      </c>
      <c r="L70" s="17">
        <v>706413</v>
      </c>
      <c r="R70" s="60">
        <v>45634</v>
      </c>
      <c r="S70">
        <v>94.25</v>
      </c>
      <c r="T70" s="22">
        <f t="shared" ref="T70:T133" si="2">S69/S70-1</f>
        <v>-2.1326259946949699E-2</v>
      </c>
      <c r="V70" s="60">
        <v>45634</v>
      </c>
      <c r="W70" s="46">
        <v>19729.400000000001</v>
      </c>
      <c r="X70" s="22">
        <f t="shared" ref="X70:X133" si="3">W69/W70-1</f>
        <v>-3.0918324936389352E-2</v>
      </c>
      <c r="Y70" s="46"/>
      <c r="Z70" s="46"/>
      <c r="AB70" s="48"/>
    </row>
    <row r="71" spans="2:28" x14ac:dyDescent="0.3">
      <c r="B71" t="s">
        <v>56</v>
      </c>
      <c r="H71" s="17">
        <v>4992</v>
      </c>
      <c r="I71" s="17">
        <v>5408</v>
      </c>
      <c r="J71" s="17">
        <v>5488</v>
      </c>
      <c r="K71" s="17">
        <v>6447</v>
      </c>
      <c r="L71" s="17">
        <v>6750</v>
      </c>
      <c r="R71" s="60">
        <v>45627</v>
      </c>
      <c r="S71">
        <v>95.7</v>
      </c>
      <c r="T71" s="22">
        <f t="shared" si="2"/>
        <v>-1.5151515151515138E-2</v>
      </c>
      <c r="V71" s="60">
        <v>45627</v>
      </c>
      <c r="W71" s="46">
        <v>20107.8</v>
      </c>
      <c r="X71" s="22">
        <f t="shared" si="3"/>
        <v>-1.8818567918916895E-2</v>
      </c>
      <c r="Y71" s="46"/>
      <c r="Z71" s="46"/>
      <c r="AB71" s="48"/>
    </row>
    <row r="72" spans="2:28" x14ac:dyDescent="0.3">
      <c r="B72" t="s">
        <v>57</v>
      </c>
      <c r="H72" s="17">
        <v>572754</v>
      </c>
      <c r="I72" s="17">
        <v>611289</v>
      </c>
      <c r="J72" s="17">
        <v>648125</v>
      </c>
      <c r="K72" s="17">
        <v>680985</v>
      </c>
      <c r="L72" s="17">
        <v>713163</v>
      </c>
      <c r="R72" s="60">
        <v>45620</v>
      </c>
      <c r="S72">
        <v>92.5</v>
      </c>
      <c r="T72" s="22">
        <f t="shared" si="2"/>
        <v>3.4594594594594685E-2</v>
      </c>
      <c r="V72" s="60">
        <v>45620</v>
      </c>
      <c r="W72" s="46">
        <v>20272</v>
      </c>
      <c r="X72" s="22">
        <f t="shared" si="3"/>
        <v>-8.099842146803482E-3</v>
      </c>
      <c r="Y72" s="46"/>
      <c r="Z72" s="46"/>
      <c r="AB72" s="48"/>
    </row>
    <row r="73" spans="2:28" x14ac:dyDescent="0.3">
      <c r="R73" s="60">
        <v>45613</v>
      </c>
      <c r="S73">
        <v>90.44</v>
      </c>
      <c r="T73" s="22">
        <f t="shared" si="2"/>
        <v>2.277753206545774E-2</v>
      </c>
      <c r="V73" s="60">
        <v>45613</v>
      </c>
      <c r="W73" s="46">
        <v>20123.5</v>
      </c>
      <c r="X73" s="22">
        <f t="shared" si="3"/>
        <v>7.3794320073545805E-3</v>
      </c>
      <c r="Y73" s="46"/>
      <c r="Z73" s="46"/>
      <c r="AB73" s="48"/>
    </row>
    <row r="74" spans="2:28" x14ac:dyDescent="0.3">
      <c r="B74" t="s">
        <v>58</v>
      </c>
      <c r="H74" s="17">
        <v>429000</v>
      </c>
      <c r="I74" s="17">
        <v>463721</v>
      </c>
      <c r="J74" s="17">
        <v>490142</v>
      </c>
      <c r="K74" s="17">
        <v>511753</v>
      </c>
      <c r="L74" s="17">
        <v>535395</v>
      </c>
      <c r="R74" s="60">
        <v>45606</v>
      </c>
      <c r="S74">
        <v>84.25</v>
      </c>
      <c r="T74" s="22">
        <f t="shared" si="2"/>
        <v>7.3471810089020817E-2</v>
      </c>
      <c r="V74" s="60">
        <v>45606</v>
      </c>
      <c r="W74" s="46">
        <v>19645.8</v>
      </c>
      <c r="X74" s="22">
        <f t="shared" si="3"/>
        <v>2.4315629803825844E-2</v>
      </c>
      <c r="Y74" s="46"/>
      <c r="Z74" s="46"/>
      <c r="AB74" s="48"/>
    </row>
    <row r="75" spans="2:28" x14ac:dyDescent="0.3">
      <c r="B75" t="s">
        <v>28</v>
      </c>
      <c r="H75" s="17">
        <v>117812</v>
      </c>
      <c r="I75" s="17">
        <v>127140</v>
      </c>
      <c r="J75" s="17">
        <v>130971</v>
      </c>
      <c r="K75" s="17">
        <v>139884</v>
      </c>
      <c r="L75" s="17">
        <v>147943</v>
      </c>
      <c r="R75" s="60">
        <v>45599</v>
      </c>
      <c r="S75">
        <v>84.83</v>
      </c>
      <c r="T75" s="22">
        <f t="shared" si="2"/>
        <v>-6.8372038194034479E-3</v>
      </c>
      <c r="V75" s="60">
        <v>45599</v>
      </c>
      <c r="W75" s="46">
        <v>19937.099999999999</v>
      </c>
      <c r="X75" s="22">
        <f t="shared" si="3"/>
        <v>-1.4610951442285969E-2</v>
      </c>
      <c r="Y75" s="46"/>
      <c r="Z75" s="46"/>
      <c r="AB75" s="48"/>
    </row>
    <row r="76" spans="2:28" x14ac:dyDescent="0.3">
      <c r="B76" t="s">
        <v>59</v>
      </c>
      <c r="H76" s="17">
        <v>25942</v>
      </c>
      <c r="I76" s="17">
        <v>20428</v>
      </c>
      <c r="J76" s="17">
        <v>27012</v>
      </c>
      <c r="K76" s="17">
        <v>29348</v>
      </c>
      <c r="L76" s="17">
        <v>29825</v>
      </c>
      <c r="R76" s="60">
        <v>45592</v>
      </c>
      <c r="S76">
        <v>82.19</v>
      </c>
      <c r="T76" s="22">
        <f t="shared" si="2"/>
        <v>3.2120695948412159E-2</v>
      </c>
      <c r="V76" s="60">
        <v>45592</v>
      </c>
      <c r="W76" s="46">
        <v>19253.5</v>
      </c>
      <c r="X76" s="22">
        <f t="shared" si="3"/>
        <v>3.5505232814812882E-2</v>
      </c>
      <c r="Y76" s="46"/>
      <c r="Z76" s="46"/>
      <c r="AB76" s="48"/>
    </row>
    <row r="77" spans="2:28" x14ac:dyDescent="0.3">
      <c r="R77" s="60">
        <v>45585</v>
      </c>
      <c r="S77">
        <v>82.51</v>
      </c>
      <c r="T77" s="22">
        <f t="shared" si="2"/>
        <v>-3.8783177796631874E-3</v>
      </c>
      <c r="V77" s="60">
        <v>45585</v>
      </c>
      <c r="W77" s="46">
        <v>19456.3</v>
      </c>
      <c r="X77" s="22">
        <f t="shared" si="3"/>
        <v>-1.0423359014817835E-2</v>
      </c>
      <c r="Y77" s="46"/>
      <c r="Z77" s="46"/>
      <c r="AB77" s="48"/>
    </row>
    <row r="78" spans="2:28" x14ac:dyDescent="0.3">
      <c r="R78" s="60">
        <v>45578</v>
      </c>
      <c r="S78">
        <v>81.31</v>
      </c>
      <c r="T78" s="22">
        <f t="shared" si="2"/>
        <v>1.4758332308449251E-2</v>
      </c>
      <c r="V78" s="60">
        <v>45578</v>
      </c>
      <c r="W78" s="46">
        <v>19884.8</v>
      </c>
      <c r="X78" s="22">
        <f t="shared" si="3"/>
        <v>-2.1549122948181565E-2</v>
      </c>
      <c r="Y78" s="46"/>
      <c r="Z78" s="46"/>
      <c r="AB78" s="48"/>
    </row>
    <row r="79" spans="2:28" x14ac:dyDescent="0.3">
      <c r="B79" s="18" t="s">
        <v>73</v>
      </c>
      <c r="G79" s="18" t="s">
        <v>81</v>
      </c>
      <c r="I79" t="s">
        <v>79</v>
      </c>
      <c r="R79" s="60">
        <v>45571</v>
      </c>
      <c r="S79">
        <v>80.099999999999994</v>
      </c>
      <c r="T79" s="22">
        <f t="shared" si="2"/>
        <v>1.5106117353308468E-2</v>
      </c>
      <c r="V79" s="60">
        <v>45571</v>
      </c>
      <c r="W79" s="46">
        <v>19711.2</v>
      </c>
      <c r="X79" s="22">
        <f t="shared" si="3"/>
        <v>8.8071756158933923E-3</v>
      </c>
      <c r="Y79" s="46"/>
      <c r="Z79" s="46"/>
      <c r="AB79" s="48"/>
    </row>
    <row r="80" spans="2:28" x14ac:dyDescent="0.3">
      <c r="B80" s="47" t="s">
        <v>78</v>
      </c>
      <c r="G80" t="s">
        <v>82</v>
      </c>
      <c r="J80" t="s">
        <v>83</v>
      </c>
      <c r="R80" s="60">
        <v>45564</v>
      </c>
      <c r="S80">
        <v>80.94</v>
      </c>
      <c r="T80" s="22">
        <f t="shared" si="2"/>
        <v>-1.0378057820607856E-2</v>
      </c>
      <c r="V80" s="60">
        <v>45564</v>
      </c>
      <c r="W80" s="46">
        <v>19538.7</v>
      </c>
      <c r="X80" s="22">
        <f t="shared" si="3"/>
        <v>8.8286324064548172E-3</v>
      </c>
      <c r="Y80" s="46"/>
      <c r="Z80" s="46"/>
      <c r="AB80" s="48"/>
    </row>
    <row r="81" spans="2:28" x14ac:dyDescent="0.3">
      <c r="B81" s="193">
        <v>2023</v>
      </c>
      <c r="C81" s="193"/>
      <c r="D81" s="193"/>
      <c r="E81" s="193"/>
      <c r="F81" s="193">
        <v>2024</v>
      </c>
      <c r="G81" s="193"/>
      <c r="H81" s="193"/>
      <c r="I81" s="193"/>
      <c r="J81" s="193">
        <v>2025</v>
      </c>
      <c r="K81" s="193"/>
      <c r="L81" s="193"/>
      <c r="M81" s="193"/>
      <c r="R81" s="60">
        <v>45557</v>
      </c>
      <c r="S81">
        <v>79.78</v>
      </c>
      <c r="T81" s="22">
        <f t="shared" si="2"/>
        <v>1.4539984958636287E-2</v>
      </c>
      <c r="V81" s="60">
        <v>45557</v>
      </c>
      <c r="W81" s="46">
        <v>19501.2</v>
      </c>
      <c r="X81" s="22">
        <f t="shared" si="3"/>
        <v>1.9229585871638477E-3</v>
      </c>
      <c r="Y81" s="46"/>
      <c r="Z81" s="46"/>
      <c r="AB81" s="48"/>
    </row>
    <row r="82" spans="2:28" x14ac:dyDescent="0.3">
      <c r="B82" s="18" t="s">
        <v>74</v>
      </c>
      <c r="C82" s="18" t="s">
        <v>75</v>
      </c>
      <c r="D82" s="18" t="s">
        <v>76</v>
      </c>
      <c r="E82" s="18" t="s">
        <v>77</v>
      </c>
      <c r="F82" s="18" t="s">
        <v>74</v>
      </c>
      <c r="G82" s="18" t="s">
        <v>75</v>
      </c>
      <c r="H82" s="18" t="s">
        <v>76</v>
      </c>
      <c r="I82" s="18" t="s">
        <v>77</v>
      </c>
      <c r="J82" s="18" t="s">
        <v>74</v>
      </c>
      <c r="K82" s="18" t="s">
        <v>75</v>
      </c>
      <c r="L82" s="18" t="s">
        <v>76</v>
      </c>
      <c r="M82" s="18" t="s">
        <v>77</v>
      </c>
      <c r="R82" s="60">
        <v>45550</v>
      </c>
      <c r="S82">
        <v>79.06</v>
      </c>
      <c r="T82" s="22">
        <f t="shared" si="2"/>
        <v>9.1070073362002901E-3</v>
      </c>
      <c r="V82" s="60">
        <v>45550</v>
      </c>
      <c r="W82" s="46">
        <v>19373.7</v>
      </c>
      <c r="X82" s="22">
        <f t="shared" si="3"/>
        <v>6.5810867309805676E-3</v>
      </c>
      <c r="Y82" s="46"/>
      <c r="Z82" s="46"/>
      <c r="AB82" s="48"/>
    </row>
    <row r="83" spans="2:28" x14ac:dyDescent="0.3">
      <c r="B83" s="46">
        <v>18487</v>
      </c>
      <c r="C83" s="46">
        <v>18693.099999999999</v>
      </c>
      <c r="D83" s="46">
        <v>18961.8</v>
      </c>
      <c r="E83" s="46">
        <v>19190.599999999999</v>
      </c>
      <c r="F83" s="46">
        <v>19443.8</v>
      </c>
      <c r="G83" s="46">
        <v>19756.099999999999</v>
      </c>
      <c r="H83" s="46">
        <v>20032.8</v>
      </c>
      <c r="I83" s="46">
        <v>20351.3</v>
      </c>
      <c r="J83" s="46">
        <v>20555</v>
      </c>
      <c r="K83" s="46">
        <v>20789.900000000001</v>
      </c>
      <c r="L83" s="46">
        <v>21111.200000000001</v>
      </c>
      <c r="M83" s="46">
        <v>21368.1</v>
      </c>
      <c r="R83" s="60">
        <v>45543</v>
      </c>
      <c r="S83">
        <v>80.599999999999994</v>
      </c>
      <c r="T83" s="22">
        <f t="shared" si="2"/>
        <v>-1.9106699751860967E-2</v>
      </c>
      <c r="V83" s="60">
        <v>45543</v>
      </c>
      <c r="W83" s="46">
        <v>19121.5</v>
      </c>
      <c r="X83" s="22">
        <f t="shared" si="3"/>
        <v>1.3189341840336821E-2</v>
      </c>
      <c r="Y83" s="46"/>
      <c r="Z83" s="46"/>
      <c r="AB83" s="48"/>
    </row>
    <row r="84" spans="2:28" x14ac:dyDescent="0.3">
      <c r="R84" s="60">
        <v>45536</v>
      </c>
      <c r="S84">
        <v>76.64</v>
      </c>
      <c r="T84" s="22">
        <f t="shared" si="2"/>
        <v>5.1670146137786865E-2</v>
      </c>
      <c r="V84" s="60">
        <v>45536</v>
      </c>
      <c r="W84" s="46">
        <v>18663.099999999999</v>
      </c>
      <c r="X84" s="22">
        <f t="shared" si="3"/>
        <v>2.4561835922220832E-2</v>
      </c>
      <c r="Y84" s="46"/>
      <c r="Z84" s="46"/>
      <c r="AB84" s="48"/>
    </row>
    <row r="85" spans="2:28" x14ac:dyDescent="0.3">
      <c r="B85" s="18" t="s">
        <v>80</v>
      </c>
      <c r="R85" s="60">
        <v>45529</v>
      </c>
      <c r="S85">
        <v>77.23</v>
      </c>
      <c r="T85" s="22">
        <f t="shared" si="2"/>
        <v>-7.6395183218956886E-3</v>
      </c>
      <c r="V85" s="60">
        <v>45529</v>
      </c>
      <c r="W85" s="46">
        <v>19292.2</v>
      </c>
      <c r="X85" s="22">
        <f t="shared" si="3"/>
        <v>-3.2609033702740042E-2</v>
      </c>
      <c r="Y85" s="46"/>
      <c r="Z85" s="46"/>
      <c r="AB85" s="48"/>
    </row>
    <row r="86" spans="2:28" x14ac:dyDescent="0.3">
      <c r="B86" s="18">
        <v>23</v>
      </c>
      <c r="C86" s="18">
        <v>24</v>
      </c>
      <c r="D86" s="18">
        <v>25</v>
      </c>
      <c r="E86" s="18">
        <v>26</v>
      </c>
      <c r="F86" s="18">
        <v>27</v>
      </c>
      <c r="G86" s="18">
        <v>28</v>
      </c>
      <c r="H86" s="18">
        <v>29</v>
      </c>
      <c r="I86" s="18">
        <v>30</v>
      </c>
      <c r="R86" s="60">
        <v>45522</v>
      </c>
      <c r="S86">
        <v>75.7</v>
      </c>
      <c r="T86" s="22">
        <f t="shared" si="2"/>
        <v>2.021136063408191E-2</v>
      </c>
      <c r="V86" s="60">
        <v>45522</v>
      </c>
      <c r="W86" s="46">
        <v>19093.5</v>
      </c>
      <c r="X86" s="22">
        <f t="shared" si="3"/>
        <v>1.0406682902558417E-2</v>
      </c>
      <c r="Y86" s="46"/>
      <c r="Z86" s="46"/>
      <c r="AB86" s="48"/>
    </row>
    <row r="87" spans="2:28" x14ac:dyDescent="0.3">
      <c r="B87" s="46">
        <f>AVERAGE(B83:E83)</f>
        <v>18833.125</v>
      </c>
      <c r="C87" s="46">
        <f>AVERAGE(F83:I83)</f>
        <v>19896</v>
      </c>
      <c r="D87" s="46">
        <f>AVERAGE(J83:M83)</f>
        <v>20956.050000000003</v>
      </c>
      <c r="E87">
        <f>_xlfn.FORECAST.LINEAR(E86,$B$87:$D$87,$B$86:$D$86)</f>
        <v>22017.983333333337</v>
      </c>
      <c r="F87">
        <f t="shared" ref="F87:I87" si="4">_xlfn.FORECAST.LINEAR(F86,$B$87:$D$87,$B$86:$D$86)</f>
        <v>23079.445833333339</v>
      </c>
      <c r="G87">
        <f t="shared" si="4"/>
        <v>24140.90833333334</v>
      </c>
      <c r="H87">
        <f t="shared" si="4"/>
        <v>25202.370833333342</v>
      </c>
      <c r="I87">
        <f t="shared" si="4"/>
        <v>26263.833333333343</v>
      </c>
      <c r="R87" s="60">
        <v>45515</v>
      </c>
      <c r="S87">
        <v>73.45</v>
      </c>
      <c r="T87" s="22">
        <f t="shared" si="2"/>
        <v>3.0633083730428945E-2</v>
      </c>
      <c r="V87" s="60">
        <v>45515</v>
      </c>
      <c r="W87" s="46">
        <v>18753.8</v>
      </c>
      <c r="X87" s="22">
        <f t="shared" si="3"/>
        <v>1.8113662297774447E-2</v>
      </c>
      <c r="Y87" s="46"/>
      <c r="Z87" s="46"/>
      <c r="AB87" s="48"/>
    </row>
    <row r="88" spans="2:28" x14ac:dyDescent="0.3">
      <c r="R88" s="60">
        <v>45508</v>
      </c>
      <c r="S88">
        <v>67.95</v>
      </c>
      <c r="T88" s="22">
        <f t="shared" si="2"/>
        <v>8.0941869021339263E-2</v>
      </c>
      <c r="V88" s="60">
        <v>45508</v>
      </c>
      <c r="W88" s="46">
        <v>18267.2</v>
      </c>
      <c r="X88" s="22">
        <f t="shared" si="3"/>
        <v>2.6637908382237008E-2</v>
      </c>
      <c r="Y88" s="46"/>
      <c r="Z88" s="46"/>
      <c r="AB88" s="48"/>
    </row>
    <row r="89" spans="2:28" x14ac:dyDescent="0.3">
      <c r="B89" s="18" t="s">
        <v>84</v>
      </c>
      <c r="G89" t="s">
        <v>85</v>
      </c>
      <c r="R89" s="60">
        <v>45501</v>
      </c>
      <c r="S89">
        <v>68.459999999999994</v>
      </c>
      <c r="T89" s="22">
        <f t="shared" si="2"/>
        <v>-7.4496056091146734E-3</v>
      </c>
      <c r="V89" s="60">
        <v>45501</v>
      </c>
      <c r="W89" s="46">
        <v>18162.3</v>
      </c>
      <c r="X89" s="22">
        <f t="shared" si="3"/>
        <v>5.7757002141800573E-3</v>
      </c>
      <c r="Y89" s="46"/>
      <c r="Z89" s="46"/>
      <c r="AB89" s="48"/>
    </row>
    <row r="90" spans="2:28" x14ac:dyDescent="0.3">
      <c r="B90" s="18" t="s">
        <v>80</v>
      </c>
      <c r="R90" s="60">
        <v>45494</v>
      </c>
      <c r="S90">
        <v>69.78</v>
      </c>
      <c r="T90" s="22">
        <f t="shared" si="2"/>
        <v>-1.8916595012897774E-2</v>
      </c>
      <c r="V90" s="60">
        <v>45494</v>
      </c>
      <c r="W90" s="46">
        <v>18564.5</v>
      </c>
      <c r="X90" s="22">
        <f t="shared" si="3"/>
        <v>-2.1665005790621916E-2</v>
      </c>
      <c r="Y90" s="46"/>
      <c r="Z90" s="46"/>
      <c r="AB90" s="48"/>
    </row>
    <row r="91" spans="2:28" x14ac:dyDescent="0.3">
      <c r="B91" s="18">
        <v>22</v>
      </c>
      <c r="C91" s="18">
        <v>23</v>
      </c>
      <c r="D91" s="18">
        <v>24</v>
      </c>
      <c r="E91" s="18">
        <v>25</v>
      </c>
      <c r="F91" s="18">
        <v>26</v>
      </c>
      <c r="G91" s="18">
        <v>27</v>
      </c>
      <c r="H91" s="18">
        <v>28</v>
      </c>
      <c r="I91" s="18">
        <v>29</v>
      </c>
      <c r="J91" s="18">
        <v>30</v>
      </c>
      <c r="R91" s="60">
        <v>45487</v>
      </c>
      <c r="S91">
        <v>70.75</v>
      </c>
      <c r="T91" s="22">
        <f t="shared" si="2"/>
        <v>-1.371024734982329E-2</v>
      </c>
      <c r="V91" s="60">
        <v>45487</v>
      </c>
      <c r="W91" s="46">
        <v>18406.099999999999</v>
      </c>
      <c r="X91" s="22">
        <f t="shared" si="3"/>
        <v>8.6058426282591416E-3</v>
      </c>
      <c r="Y91" s="46"/>
      <c r="Z91" s="46"/>
      <c r="AB91" s="48"/>
    </row>
    <row r="92" spans="2:28" x14ac:dyDescent="0.3">
      <c r="B92">
        <v>8</v>
      </c>
      <c r="C92">
        <v>4.0999999999999996</v>
      </c>
      <c r="D92">
        <v>3</v>
      </c>
      <c r="E92">
        <v>2.7</v>
      </c>
      <c r="F92">
        <v>2.4</v>
      </c>
      <c r="G92">
        <v>2.2000000000000002</v>
      </c>
      <c r="H92">
        <v>2.2000000000000002</v>
      </c>
      <c r="I92">
        <v>2.2000000000000002</v>
      </c>
      <c r="J92">
        <v>2.2000000000000002</v>
      </c>
      <c r="R92" s="60">
        <v>45480</v>
      </c>
      <c r="S92">
        <v>69.239999999999995</v>
      </c>
      <c r="T92" s="22">
        <f t="shared" si="2"/>
        <v>2.1808203350664357E-2</v>
      </c>
      <c r="V92" s="60">
        <v>45480</v>
      </c>
      <c r="W92" s="46">
        <v>18505.900000000001</v>
      </c>
      <c r="X92" s="22">
        <f t="shared" si="3"/>
        <v>-5.3928747048239689E-3</v>
      </c>
      <c r="Y92" s="46"/>
      <c r="Z92" s="46"/>
      <c r="AB92" s="48"/>
    </row>
    <row r="93" spans="2:28" x14ac:dyDescent="0.3">
      <c r="R93" s="60">
        <v>45473</v>
      </c>
      <c r="S93">
        <v>70.040000000000006</v>
      </c>
      <c r="T93" s="22">
        <f t="shared" si="2"/>
        <v>-1.1422044545973842E-2</v>
      </c>
      <c r="V93" s="60">
        <v>45473</v>
      </c>
      <c r="W93" s="46">
        <v>18098.900000000001</v>
      </c>
      <c r="X93" s="22">
        <f t="shared" si="3"/>
        <v>2.248755449226203E-2</v>
      </c>
      <c r="Y93" s="46"/>
      <c r="Z93" s="46"/>
      <c r="AB93" s="48"/>
    </row>
    <row r="94" spans="2:28" x14ac:dyDescent="0.3">
      <c r="E94" s="18">
        <v>23</v>
      </c>
      <c r="F94" s="18">
        <v>24</v>
      </c>
      <c r="G94" s="18">
        <v>25</v>
      </c>
      <c r="H94" s="18">
        <v>26</v>
      </c>
      <c r="R94" s="60">
        <v>45466</v>
      </c>
      <c r="S94">
        <v>67.709999999999994</v>
      </c>
      <c r="T94" s="22">
        <f t="shared" si="2"/>
        <v>3.4411460640969116E-2</v>
      </c>
      <c r="V94" s="60">
        <v>45466</v>
      </c>
      <c r="W94" s="46">
        <v>18026.5</v>
      </c>
      <c r="X94" s="22">
        <f t="shared" si="3"/>
        <v>4.0163093223866131E-3</v>
      </c>
      <c r="Y94" s="46"/>
      <c r="Z94" s="46"/>
      <c r="AB94" s="48"/>
    </row>
    <row r="95" spans="2:28" x14ac:dyDescent="0.3">
      <c r="B95" t="s">
        <v>90</v>
      </c>
      <c r="E95">
        <v>7933</v>
      </c>
      <c r="F95">
        <v>8796</v>
      </c>
      <c r="G95">
        <v>9975</v>
      </c>
      <c r="H95" s="17">
        <v>11172</v>
      </c>
      <c r="R95" s="60">
        <v>45459</v>
      </c>
      <c r="S95">
        <v>67.91</v>
      </c>
      <c r="T95" s="22">
        <f t="shared" si="2"/>
        <v>-2.9450743631277421E-3</v>
      </c>
      <c r="V95" s="60">
        <v>45459</v>
      </c>
      <c r="W95" s="46">
        <v>17995.7</v>
      </c>
      <c r="X95" s="22">
        <f t="shared" si="3"/>
        <v>1.7115199742159248E-3</v>
      </c>
      <c r="Y95" s="46"/>
      <c r="Z95" s="46"/>
      <c r="AB95" s="48"/>
    </row>
    <row r="96" spans="2:28" x14ac:dyDescent="0.3">
      <c r="B96" t="s">
        <v>92</v>
      </c>
      <c r="E96">
        <v>56576</v>
      </c>
      <c r="F96">
        <v>54892</v>
      </c>
      <c r="G96">
        <v>56435</v>
      </c>
      <c r="H96">
        <v>58851</v>
      </c>
      <c r="R96" s="60">
        <v>45452</v>
      </c>
      <c r="S96">
        <v>67.02</v>
      </c>
      <c r="T96" s="22">
        <f t="shared" si="2"/>
        <v>1.3279618024470308E-2</v>
      </c>
      <c r="V96" s="60">
        <v>45452</v>
      </c>
      <c r="W96" s="46">
        <v>17817.3</v>
      </c>
      <c r="X96" s="22">
        <f t="shared" si="3"/>
        <v>1.0012740426439626E-2</v>
      </c>
      <c r="Y96" s="46"/>
      <c r="Z96" s="46"/>
      <c r="AB96" s="48"/>
    </row>
    <row r="97" spans="2:28" x14ac:dyDescent="0.3">
      <c r="B97" t="s">
        <v>94</v>
      </c>
      <c r="E97">
        <v>53742</v>
      </c>
      <c r="F97">
        <v>56812</v>
      </c>
      <c r="G97">
        <v>58666</v>
      </c>
      <c r="H97">
        <v>63061</v>
      </c>
      <c r="R97" s="60">
        <v>45445</v>
      </c>
      <c r="S97">
        <v>65.88</v>
      </c>
      <c r="T97" s="22">
        <f t="shared" si="2"/>
        <v>1.7304189435336959E-2</v>
      </c>
      <c r="V97" s="60">
        <v>45445</v>
      </c>
      <c r="W97" s="46">
        <v>17985.599999999999</v>
      </c>
      <c r="X97" s="22">
        <f t="shared" si="3"/>
        <v>-9.3574859887910478E-3</v>
      </c>
      <c r="Y97" s="46"/>
      <c r="Z97" s="46"/>
      <c r="AB97" s="48"/>
    </row>
    <row r="98" spans="2:28" x14ac:dyDescent="0.3">
      <c r="R98" s="60">
        <v>45438</v>
      </c>
      <c r="S98">
        <v>65.760000000000005</v>
      </c>
      <c r="T98" s="22">
        <f t="shared" si="2"/>
        <v>1.8248175182480342E-3</v>
      </c>
      <c r="V98" s="60">
        <v>45438</v>
      </c>
      <c r="W98" s="46">
        <v>18083.7</v>
      </c>
      <c r="X98" s="22">
        <f t="shared" si="3"/>
        <v>-5.4247747971931659E-3</v>
      </c>
      <c r="Y98" s="46"/>
      <c r="Z98" s="46"/>
      <c r="AB98" s="48"/>
    </row>
    <row r="99" spans="2:28" x14ac:dyDescent="0.3">
      <c r="R99" s="60">
        <v>45431</v>
      </c>
      <c r="S99">
        <v>65.38</v>
      </c>
      <c r="T99" s="22">
        <f t="shared" si="2"/>
        <v>5.8121749770574382E-3</v>
      </c>
      <c r="V99" s="60">
        <v>45431</v>
      </c>
      <c r="W99" s="46">
        <v>18110.599999999999</v>
      </c>
      <c r="X99" s="22">
        <f t="shared" si="3"/>
        <v>-1.4853179905689462E-3</v>
      </c>
      <c r="Y99" s="46"/>
      <c r="Z99" s="46"/>
      <c r="AB99" s="48"/>
    </row>
    <row r="100" spans="2:28" x14ac:dyDescent="0.3">
      <c r="D100" s="18"/>
      <c r="E100" s="18"/>
      <c r="R100" s="60">
        <v>45424</v>
      </c>
      <c r="S100">
        <v>64.650000000000006</v>
      </c>
      <c r="T100" s="22">
        <f t="shared" si="2"/>
        <v>1.1291569992265993E-2</v>
      </c>
      <c r="V100" s="60">
        <v>45424</v>
      </c>
      <c r="W100" s="46">
        <v>18388.3</v>
      </c>
      <c r="X100" s="22">
        <f t="shared" si="3"/>
        <v>-1.5101994202835534E-2</v>
      </c>
      <c r="Y100" s="46"/>
      <c r="Z100" s="46"/>
      <c r="AB100" s="48"/>
    </row>
    <row r="101" spans="2:28" x14ac:dyDescent="0.3">
      <c r="B101" s="27"/>
      <c r="D101" s="66"/>
      <c r="E101" s="66"/>
      <c r="R101" s="60">
        <v>45417</v>
      </c>
      <c r="S101">
        <v>60.48</v>
      </c>
      <c r="T101" s="22">
        <f t="shared" si="2"/>
        <v>6.8948412698412787E-2</v>
      </c>
      <c r="V101" s="60">
        <v>45417</v>
      </c>
      <c r="W101" s="46">
        <v>18162.099999999999</v>
      </c>
      <c r="X101" s="22">
        <f t="shared" si="3"/>
        <v>1.2454506912746854E-2</v>
      </c>
      <c r="Y101" s="46"/>
      <c r="Z101" s="46"/>
      <c r="AB101" s="48"/>
    </row>
    <row r="102" spans="2:28" x14ac:dyDescent="0.3">
      <c r="B102" s="27"/>
      <c r="D102" s="66"/>
      <c r="E102" s="66"/>
      <c r="R102" s="60">
        <v>45410</v>
      </c>
      <c r="S102">
        <v>59.82</v>
      </c>
      <c r="T102" s="22">
        <f t="shared" si="2"/>
        <v>1.1033099297893534E-2</v>
      </c>
      <c r="V102" s="60">
        <v>45410</v>
      </c>
      <c r="W102" s="46">
        <v>17797.900000000001</v>
      </c>
      <c r="X102" s="22">
        <f t="shared" si="3"/>
        <v>2.0463088341882818E-2</v>
      </c>
      <c r="Y102" s="46"/>
      <c r="Z102" s="46"/>
      <c r="AB102" s="48"/>
    </row>
    <row r="103" spans="2:28" x14ac:dyDescent="0.3">
      <c r="B103" s="27"/>
      <c r="D103" s="66"/>
      <c r="E103" s="66"/>
      <c r="R103" s="60">
        <v>45403</v>
      </c>
      <c r="S103">
        <v>60.16</v>
      </c>
      <c r="T103" s="22">
        <f t="shared" si="2"/>
        <v>-5.6515957446807707E-3</v>
      </c>
      <c r="V103" s="60">
        <v>45403</v>
      </c>
      <c r="W103" s="46">
        <v>17763.3</v>
      </c>
      <c r="X103" s="22">
        <f t="shared" si="3"/>
        <v>1.9478362691618401E-3</v>
      </c>
      <c r="Y103" s="46"/>
      <c r="Z103" s="46"/>
      <c r="AB103" s="48"/>
    </row>
    <row r="104" spans="2:28" x14ac:dyDescent="0.3">
      <c r="R104" s="60">
        <v>45396</v>
      </c>
      <c r="S104">
        <v>59.53</v>
      </c>
      <c r="T104" s="22">
        <f t="shared" si="2"/>
        <v>1.0582899378464461E-2</v>
      </c>
      <c r="V104" s="60">
        <v>45396</v>
      </c>
      <c r="W104" s="46">
        <v>17458.8</v>
      </c>
      <c r="X104" s="22">
        <f t="shared" si="3"/>
        <v>1.7441061241322497E-2</v>
      </c>
      <c r="Y104" s="46"/>
      <c r="Z104" s="46"/>
      <c r="AB104" s="48"/>
    </row>
    <row r="105" spans="2:28" x14ac:dyDescent="0.3">
      <c r="R105" s="60">
        <v>45389</v>
      </c>
      <c r="S105">
        <v>60.14</v>
      </c>
      <c r="T105" s="22">
        <f t="shared" si="2"/>
        <v>-1.0142999667442587E-2</v>
      </c>
      <c r="V105" s="60">
        <v>45389</v>
      </c>
      <c r="W105" s="46">
        <v>17639</v>
      </c>
      <c r="X105" s="22">
        <f t="shared" si="3"/>
        <v>-1.0215998639378721E-2</v>
      </c>
      <c r="Y105" s="46"/>
      <c r="Z105" s="46"/>
      <c r="AB105" s="48"/>
    </row>
    <row r="106" spans="2:28" x14ac:dyDescent="0.3">
      <c r="R106" s="60">
        <v>45382</v>
      </c>
      <c r="S106">
        <v>59.85</v>
      </c>
      <c r="T106" s="22">
        <f t="shared" si="2"/>
        <v>4.8454469507099862E-3</v>
      </c>
      <c r="V106" s="60">
        <v>45382</v>
      </c>
      <c r="W106" s="46">
        <v>18122.3</v>
      </c>
      <c r="X106" s="22">
        <f t="shared" si="3"/>
        <v>-2.6668800317840358E-2</v>
      </c>
      <c r="Y106" s="46"/>
      <c r="Z106" s="46"/>
      <c r="AB106" s="48"/>
    </row>
    <row r="107" spans="2:28" x14ac:dyDescent="0.3">
      <c r="R107" s="60">
        <v>45375</v>
      </c>
      <c r="S107">
        <v>60.17</v>
      </c>
      <c r="T107" s="22">
        <f t="shared" si="2"/>
        <v>-5.3182649160711248E-3</v>
      </c>
      <c r="V107" s="60">
        <v>45375</v>
      </c>
      <c r="W107" s="46">
        <v>18312.7</v>
      </c>
      <c r="X107" s="22">
        <f t="shared" si="3"/>
        <v>-1.0397156072015634E-2</v>
      </c>
      <c r="Y107" s="46"/>
      <c r="Z107" s="46"/>
      <c r="AB107" s="48"/>
    </row>
    <row r="108" spans="2:28" x14ac:dyDescent="0.3">
      <c r="R108" s="60">
        <v>45368</v>
      </c>
      <c r="S108">
        <v>60.87</v>
      </c>
      <c r="T108" s="22">
        <f t="shared" si="2"/>
        <v>-1.1499917857729525E-2</v>
      </c>
      <c r="V108" s="60">
        <v>45368</v>
      </c>
      <c r="W108" s="46">
        <v>18112</v>
      </c>
      <c r="X108" s="22">
        <f t="shared" si="3"/>
        <v>1.1081051236749184E-2</v>
      </c>
      <c r="Y108" s="46"/>
      <c r="Z108" s="46"/>
      <c r="AB108" s="48"/>
    </row>
    <row r="109" spans="2:28" x14ac:dyDescent="0.3">
      <c r="R109" s="60">
        <v>45361</v>
      </c>
      <c r="S109">
        <v>60.68</v>
      </c>
      <c r="T109" s="22">
        <f t="shared" si="2"/>
        <v>3.1311799604483159E-3</v>
      </c>
      <c r="V109" s="60">
        <v>45361</v>
      </c>
      <c r="W109" s="46">
        <v>17848.099999999999</v>
      </c>
      <c r="X109" s="22">
        <f t="shared" si="3"/>
        <v>1.4785887573467216E-2</v>
      </c>
      <c r="Y109" s="46"/>
      <c r="Z109" s="46"/>
      <c r="AB109" s="48"/>
    </row>
    <row r="110" spans="2:28" x14ac:dyDescent="0.3">
      <c r="R110" s="60">
        <v>45354</v>
      </c>
      <c r="S110">
        <v>60.12</v>
      </c>
      <c r="T110" s="22">
        <f t="shared" si="2"/>
        <v>9.3147039254823927E-3</v>
      </c>
      <c r="V110" s="60">
        <v>45354</v>
      </c>
      <c r="W110" s="46">
        <v>17889.599999999999</v>
      </c>
      <c r="X110" s="22">
        <f t="shared" si="3"/>
        <v>-2.319783561398836E-3</v>
      </c>
      <c r="Y110" s="46"/>
      <c r="Z110" s="46"/>
      <c r="AB110" s="48"/>
    </row>
    <row r="111" spans="2:28" x14ac:dyDescent="0.3">
      <c r="R111" s="60">
        <v>45347</v>
      </c>
      <c r="S111">
        <v>58.76</v>
      </c>
      <c r="T111" s="22">
        <f t="shared" si="2"/>
        <v>2.3144996596323963E-2</v>
      </c>
      <c r="V111" s="60">
        <v>45347</v>
      </c>
      <c r="W111" s="46">
        <v>17728.3</v>
      </c>
      <c r="X111" s="22">
        <f t="shared" si="3"/>
        <v>9.0984471156285718E-3</v>
      </c>
      <c r="Y111" s="46"/>
      <c r="Z111" s="46"/>
      <c r="AB111" s="48"/>
    </row>
    <row r="112" spans="2:28" x14ac:dyDescent="0.3">
      <c r="R112" s="60">
        <v>45340</v>
      </c>
      <c r="S112">
        <v>58.52</v>
      </c>
      <c r="T112" s="22">
        <f t="shared" si="2"/>
        <v>4.1011619958988277E-3</v>
      </c>
      <c r="V112" s="60">
        <v>45340</v>
      </c>
      <c r="W112" s="46">
        <v>17616</v>
      </c>
      <c r="X112" s="22">
        <f t="shared" si="3"/>
        <v>6.3748864668482508E-3</v>
      </c>
      <c r="Y112" s="46"/>
      <c r="Z112" s="46"/>
      <c r="AB112" s="48"/>
    </row>
    <row r="113" spans="18:28" x14ac:dyDescent="0.3">
      <c r="R113" s="60">
        <v>45333</v>
      </c>
      <c r="S113">
        <v>56.79</v>
      </c>
      <c r="T113" s="22">
        <f t="shared" si="2"/>
        <v>3.0463109702412394E-2</v>
      </c>
      <c r="V113" s="60">
        <v>45333</v>
      </c>
      <c r="W113" s="46">
        <v>17409.3</v>
      </c>
      <c r="X113" s="22">
        <f t="shared" si="3"/>
        <v>1.1872964450035273E-2</v>
      </c>
      <c r="Y113" s="46"/>
      <c r="Z113" s="46"/>
      <c r="AB113" s="48"/>
    </row>
    <row r="114" spans="18:28" x14ac:dyDescent="0.3">
      <c r="R114" s="60">
        <v>45326</v>
      </c>
      <c r="S114">
        <v>56.43</v>
      </c>
      <c r="T114" s="22">
        <f t="shared" si="2"/>
        <v>6.3795853269537073E-3</v>
      </c>
      <c r="V114" s="60">
        <v>45326</v>
      </c>
      <c r="W114" s="46">
        <v>17275.900000000001</v>
      </c>
      <c r="X114" s="22">
        <f t="shared" si="3"/>
        <v>7.7217395331066196E-3</v>
      </c>
      <c r="Y114" s="46"/>
      <c r="Z114" s="46"/>
      <c r="AB114" s="48"/>
    </row>
    <row r="115" spans="18:28" x14ac:dyDescent="0.3">
      <c r="R115" s="60">
        <v>45319</v>
      </c>
      <c r="S115">
        <v>56.52</v>
      </c>
      <c r="T115" s="22">
        <f t="shared" si="2"/>
        <v>-1.5923566878981443E-3</v>
      </c>
      <c r="V115" s="60">
        <v>45319</v>
      </c>
      <c r="W115" s="46">
        <v>17102</v>
      </c>
      <c r="X115" s="22">
        <f t="shared" si="3"/>
        <v>1.0168401356566603E-2</v>
      </c>
      <c r="Y115" s="46"/>
      <c r="Z115" s="46"/>
      <c r="AB115" s="48"/>
    </row>
    <row r="116" spans="18:28" x14ac:dyDescent="0.3">
      <c r="R116" s="60">
        <v>45312</v>
      </c>
      <c r="S116">
        <v>54.76</v>
      </c>
      <c r="T116" s="22">
        <f t="shared" si="2"/>
        <v>3.2140248356464562E-2</v>
      </c>
      <c r="V116" s="60">
        <v>45312</v>
      </c>
      <c r="W116" s="46">
        <v>16949.099999999999</v>
      </c>
      <c r="X116" s="22">
        <f t="shared" si="3"/>
        <v>9.0211279654968113E-3</v>
      </c>
      <c r="Y116" s="46"/>
      <c r="Z116" s="46"/>
      <c r="AB116" s="48"/>
    </row>
    <row r="117" spans="18:28" x14ac:dyDescent="0.3">
      <c r="R117" s="60">
        <v>45305</v>
      </c>
      <c r="S117">
        <v>54.13</v>
      </c>
      <c r="T117" s="22">
        <f t="shared" si="2"/>
        <v>1.1638647699981464E-2</v>
      </c>
      <c r="V117" s="60">
        <v>45305</v>
      </c>
      <c r="W117" s="46">
        <v>16729.5</v>
      </c>
      <c r="X117" s="22">
        <f t="shared" si="3"/>
        <v>1.3126513045817134E-2</v>
      </c>
      <c r="Y117" s="46"/>
      <c r="Z117" s="46"/>
      <c r="AB117" s="48"/>
    </row>
    <row r="118" spans="18:28" x14ac:dyDescent="0.3">
      <c r="R118" s="60">
        <v>45298</v>
      </c>
      <c r="S118">
        <v>53.77</v>
      </c>
      <c r="T118" s="22">
        <f t="shared" si="2"/>
        <v>6.6951831876511658E-3</v>
      </c>
      <c r="V118" s="60">
        <v>45298</v>
      </c>
      <c r="W118" s="46">
        <v>16799.599999999999</v>
      </c>
      <c r="X118" s="22">
        <f t="shared" si="3"/>
        <v>-4.172718398056996E-3</v>
      </c>
      <c r="Y118" s="46"/>
      <c r="Z118" s="46"/>
      <c r="AB118" s="48"/>
    </row>
    <row r="119" spans="18:28" x14ac:dyDescent="0.3">
      <c r="R119" s="60">
        <v>45291</v>
      </c>
      <c r="S119">
        <v>52.24</v>
      </c>
      <c r="T119" s="22">
        <f t="shared" si="2"/>
        <v>2.928790199081166E-2</v>
      </c>
      <c r="V119" s="60">
        <v>45291</v>
      </c>
      <c r="W119" s="46">
        <v>16758.2</v>
      </c>
      <c r="X119" s="22">
        <f t="shared" si="3"/>
        <v>2.4704323853395049E-3</v>
      </c>
      <c r="Y119" s="46"/>
      <c r="Z119" s="46"/>
      <c r="AB119" s="48"/>
    </row>
    <row r="120" spans="18:28" x14ac:dyDescent="0.3">
      <c r="R120" s="60">
        <v>45284</v>
      </c>
      <c r="S120">
        <v>52.55</v>
      </c>
      <c r="T120" s="22">
        <f t="shared" si="2"/>
        <v>-5.8991436726926194E-3</v>
      </c>
      <c r="V120" s="60">
        <v>45284</v>
      </c>
      <c r="W120" s="46">
        <v>16852.900000000001</v>
      </c>
      <c r="X120" s="22">
        <f t="shared" si="3"/>
        <v>-5.6192109369901377E-3</v>
      </c>
      <c r="Y120" s="46"/>
      <c r="Z120" s="46"/>
      <c r="AB120" s="48"/>
    </row>
    <row r="121" spans="18:28" x14ac:dyDescent="0.3">
      <c r="R121" s="60">
        <v>45277</v>
      </c>
      <c r="S121">
        <v>52.22</v>
      </c>
      <c r="T121" s="22">
        <f t="shared" si="2"/>
        <v>6.3194178475678431E-3</v>
      </c>
      <c r="V121" s="60">
        <v>45277</v>
      </c>
      <c r="W121" s="46">
        <v>16770.5</v>
      </c>
      <c r="X121" s="22">
        <f t="shared" si="3"/>
        <v>4.913389582898553E-3</v>
      </c>
      <c r="Y121" s="46"/>
      <c r="Z121" s="46"/>
      <c r="AB121" s="48"/>
    </row>
    <row r="122" spans="18:28" x14ac:dyDescent="0.3">
      <c r="R122" s="60">
        <v>45270</v>
      </c>
      <c r="S122">
        <v>50.91</v>
      </c>
      <c r="T122" s="22">
        <f t="shared" si="2"/>
        <v>2.5731683362797186E-2</v>
      </c>
      <c r="V122" s="60">
        <v>45270</v>
      </c>
      <c r="W122" s="46">
        <v>16609.8</v>
      </c>
      <c r="X122" s="22">
        <f t="shared" si="3"/>
        <v>9.6750111380028425E-3</v>
      </c>
      <c r="Y122" s="46"/>
      <c r="Z122" s="46"/>
      <c r="AB122" s="48"/>
    </row>
    <row r="123" spans="18:28" x14ac:dyDescent="0.3">
      <c r="R123" s="60">
        <v>45263</v>
      </c>
      <c r="S123">
        <v>50.29</v>
      </c>
      <c r="T123" s="22">
        <f t="shared" si="2"/>
        <v>1.2328494730562634E-2</v>
      </c>
      <c r="V123" s="60">
        <v>45263</v>
      </c>
      <c r="W123" s="46">
        <v>16207.8</v>
      </c>
      <c r="X123" s="22">
        <f t="shared" si="3"/>
        <v>2.4802872690926625E-2</v>
      </c>
      <c r="Y123" s="46"/>
      <c r="Z123" s="46"/>
      <c r="AB123" s="48"/>
    </row>
    <row r="124" spans="18:28" x14ac:dyDescent="0.3">
      <c r="R124" s="60">
        <v>45256</v>
      </c>
      <c r="S124">
        <v>51.45</v>
      </c>
      <c r="T124" s="22">
        <f t="shared" si="2"/>
        <v>-2.2546161321671643E-2</v>
      </c>
      <c r="V124" s="60">
        <v>45256</v>
      </c>
      <c r="W124" s="46">
        <v>16263.8</v>
      </c>
      <c r="X124" s="22">
        <f t="shared" si="3"/>
        <v>-3.4432297495050612E-3</v>
      </c>
      <c r="Y124" s="46"/>
      <c r="Z124" s="46"/>
      <c r="AB124" s="48"/>
    </row>
    <row r="125" spans="18:28" x14ac:dyDescent="0.3">
      <c r="R125" s="60">
        <v>45249</v>
      </c>
      <c r="S125">
        <v>52.02</v>
      </c>
      <c r="T125" s="22">
        <f t="shared" si="2"/>
        <v>-1.0957324106113053E-2</v>
      </c>
      <c r="V125" s="60">
        <v>45249</v>
      </c>
      <c r="W125" s="46">
        <v>15983.8</v>
      </c>
      <c r="X125" s="22">
        <f t="shared" si="3"/>
        <v>1.7517736708417164E-2</v>
      </c>
      <c r="Y125" s="46"/>
      <c r="Z125" s="46"/>
      <c r="AB125" s="48"/>
    </row>
    <row r="126" spans="18:28" x14ac:dyDescent="0.3">
      <c r="R126" s="60">
        <v>45242</v>
      </c>
      <c r="S126">
        <v>51.78</v>
      </c>
      <c r="T126" s="22">
        <f t="shared" si="2"/>
        <v>4.6349942062573479E-3</v>
      </c>
      <c r="V126" s="60">
        <v>45242</v>
      </c>
      <c r="W126" s="46">
        <v>15813.5</v>
      </c>
      <c r="X126" s="22">
        <f t="shared" si="3"/>
        <v>1.0769279413159527E-2</v>
      </c>
      <c r="Y126" s="46"/>
      <c r="Z126" s="46"/>
      <c r="AB126" s="48"/>
    </row>
    <row r="127" spans="18:28" x14ac:dyDescent="0.3">
      <c r="R127" s="60">
        <v>45235</v>
      </c>
      <c r="S127">
        <v>55.4</v>
      </c>
      <c r="T127" s="22">
        <f t="shared" si="2"/>
        <v>-6.5342960288808594E-2</v>
      </c>
      <c r="V127" s="60">
        <v>45235</v>
      </c>
      <c r="W127" s="46">
        <v>15388.4</v>
      </c>
      <c r="X127" s="22">
        <f t="shared" si="3"/>
        <v>2.7624704322736671E-2</v>
      </c>
      <c r="Y127" s="46"/>
      <c r="Z127" s="46"/>
      <c r="AB127" s="48"/>
    </row>
    <row r="128" spans="18:28" x14ac:dyDescent="0.3">
      <c r="R128" s="60">
        <v>45228</v>
      </c>
      <c r="S128">
        <v>54.89</v>
      </c>
      <c r="T128" s="22">
        <f t="shared" si="2"/>
        <v>9.2913098925122561E-3</v>
      </c>
      <c r="V128" s="60">
        <v>45228</v>
      </c>
      <c r="W128" s="46">
        <v>15475.2</v>
      </c>
      <c r="X128" s="22">
        <f t="shared" si="3"/>
        <v>-5.6089743589744501E-3</v>
      </c>
      <c r="Y128" s="46"/>
      <c r="Z128" s="46"/>
      <c r="AB128" s="48"/>
    </row>
    <row r="129" spans="18:28" x14ac:dyDescent="0.3">
      <c r="R129" s="60">
        <v>45221</v>
      </c>
      <c r="S129">
        <v>53.72</v>
      </c>
      <c r="T129" s="22">
        <f t="shared" si="2"/>
        <v>2.1779597915115412E-2</v>
      </c>
      <c r="V129" s="60">
        <v>45221</v>
      </c>
      <c r="W129" s="46">
        <v>14675.8</v>
      </c>
      <c r="X129" s="22">
        <f t="shared" si="3"/>
        <v>5.4470625110726534E-2</v>
      </c>
      <c r="Y129" s="46"/>
      <c r="Z129" s="46"/>
      <c r="AB129" s="48"/>
    </row>
    <row r="130" spans="18:28" x14ac:dyDescent="0.3">
      <c r="R130" s="60">
        <v>45214</v>
      </c>
      <c r="S130">
        <v>52.92</v>
      </c>
      <c r="T130" s="22">
        <f t="shared" si="2"/>
        <v>1.5117157974300799E-2</v>
      </c>
      <c r="V130" s="60">
        <v>45214</v>
      </c>
      <c r="W130" s="46">
        <v>15033.3</v>
      </c>
      <c r="X130" s="22">
        <f t="shared" si="3"/>
        <v>-2.3780540533349326E-2</v>
      </c>
      <c r="Y130" s="46"/>
      <c r="Z130" s="46"/>
      <c r="AB130" s="48"/>
    </row>
    <row r="131" spans="18:28" x14ac:dyDescent="0.3">
      <c r="R131" s="60">
        <v>45207</v>
      </c>
      <c r="S131">
        <v>53.28</v>
      </c>
      <c r="T131" s="22">
        <f t="shared" si="2"/>
        <v>-6.7567567567567988E-3</v>
      </c>
      <c r="V131" s="60">
        <v>45207</v>
      </c>
      <c r="W131" s="46">
        <v>15323.7</v>
      </c>
      <c r="X131" s="22">
        <f t="shared" si="3"/>
        <v>-1.895103662953479E-2</v>
      </c>
      <c r="Y131" s="46"/>
      <c r="Z131" s="46"/>
      <c r="AB131" s="48"/>
    </row>
    <row r="132" spans="18:28" x14ac:dyDescent="0.3">
      <c r="R132" s="60">
        <v>45200</v>
      </c>
      <c r="S132">
        <v>52.14</v>
      </c>
      <c r="T132" s="22">
        <f t="shared" si="2"/>
        <v>2.1864211737629535E-2</v>
      </c>
      <c r="V132" s="60">
        <v>45200</v>
      </c>
      <c r="W132" s="46">
        <v>15214</v>
      </c>
      <c r="X132" s="22">
        <f t="shared" si="3"/>
        <v>7.210464046273124E-3</v>
      </c>
      <c r="Y132" s="46"/>
      <c r="Z132" s="46"/>
      <c r="AB132" s="48"/>
    </row>
    <row r="133" spans="18:28" x14ac:dyDescent="0.3">
      <c r="R133" s="60">
        <v>45193</v>
      </c>
      <c r="S133">
        <v>53.31</v>
      </c>
      <c r="T133" s="22">
        <f t="shared" si="2"/>
        <v>-2.1947101857062501E-2</v>
      </c>
      <c r="V133" s="60">
        <v>45193</v>
      </c>
      <c r="W133" s="46">
        <v>15398.2</v>
      </c>
      <c r="X133" s="22">
        <f t="shared" si="3"/>
        <v>-1.1962437167980733E-2</v>
      </c>
      <c r="Y133" s="46"/>
      <c r="Z133" s="46"/>
      <c r="AB133" s="48"/>
    </row>
    <row r="134" spans="18:28" x14ac:dyDescent="0.3">
      <c r="R134" s="60">
        <v>45186</v>
      </c>
      <c r="S134">
        <v>54.12</v>
      </c>
      <c r="T134" s="22">
        <f t="shared" ref="T134:T197" si="5">S133/S134-1</f>
        <v>-1.4966740576496607E-2</v>
      </c>
      <c r="V134" s="60">
        <v>45186</v>
      </c>
      <c r="W134" s="46">
        <v>15569.5</v>
      </c>
      <c r="X134" s="22">
        <f t="shared" ref="X134:X197" si="6">W133/W134-1</f>
        <v>-1.1002280098911243E-2</v>
      </c>
      <c r="Y134" s="46"/>
      <c r="Z134" s="46"/>
      <c r="AB134" s="48"/>
    </row>
    <row r="135" spans="18:28" x14ac:dyDescent="0.3">
      <c r="R135" s="60">
        <v>45179</v>
      </c>
      <c r="S135">
        <v>54.88</v>
      </c>
      <c r="T135" s="22">
        <f t="shared" si="5"/>
        <v>-1.384839650145786E-2</v>
      </c>
      <c r="V135" s="60">
        <v>45179</v>
      </c>
      <c r="W135" s="46">
        <v>15973.7</v>
      </c>
      <c r="X135" s="22">
        <f t="shared" si="6"/>
        <v>-2.5304093603861433E-2</v>
      </c>
      <c r="Y135" s="46"/>
      <c r="Z135" s="46"/>
      <c r="AB135" s="48"/>
    </row>
    <row r="136" spans="18:28" x14ac:dyDescent="0.3">
      <c r="R136" s="60">
        <v>45172</v>
      </c>
      <c r="S136">
        <v>54.59</v>
      </c>
      <c r="T136" s="22">
        <f t="shared" si="5"/>
        <v>5.312328265250077E-3</v>
      </c>
      <c r="V136" s="60">
        <v>45172</v>
      </c>
      <c r="W136" s="46">
        <v>15879</v>
      </c>
      <c r="X136" s="22">
        <f t="shared" si="6"/>
        <v>5.9638516279363341E-3</v>
      </c>
      <c r="Y136" s="46"/>
      <c r="Z136" s="46"/>
      <c r="AB136" s="48"/>
    </row>
    <row r="137" spans="18:28" x14ac:dyDescent="0.3">
      <c r="R137" s="60">
        <v>45165</v>
      </c>
      <c r="S137">
        <v>53.86</v>
      </c>
      <c r="T137" s="22">
        <f t="shared" si="5"/>
        <v>1.3553657630895E-2</v>
      </c>
      <c r="V137" s="60">
        <v>45165</v>
      </c>
      <c r="W137" s="46">
        <v>16091.8</v>
      </c>
      <c r="X137" s="22">
        <f t="shared" si="6"/>
        <v>-1.3224126573782913E-2</v>
      </c>
      <c r="Y137" s="46"/>
      <c r="Z137" s="46"/>
      <c r="AB137" s="48"/>
    </row>
    <row r="138" spans="18:28" x14ac:dyDescent="0.3">
      <c r="R138" s="60">
        <v>45158</v>
      </c>
      <c r="S138">
        <v>52.61</v>
      </c>
      <c r="T138" s="22">
        <f t="shared" si="5"/>
        <v>2.3759741494012498E-2</v>
      </c>
      <c r="V138" s="60">
        <v>45158</v>
      </c>
      <c r="W138" s="46">
        <v>15766.9</v>
      </c>
      <c r="X138" s="22">
        <f t="shared" si="6"/>
        <v>2.0606460369508195E-2</v>
      </c>
      <c r="Y138" s="46"/>
      <c r="Z138" s="46"/>
      <c r="AB138" s="48"/>
    </row>
    <row r="139" spans="18:28" x14ac:dyDescent="0.3">
      <c r="R139" s="60">
        <v>45151</v>
      </c>
      <c r="S139">
        <v>52.64</v>
      </c>
      <c r="T139" s="22">
        <f t="shared" si="5"/>
        <v>-5.6990881458973686E-4</v>
      </c>
      <c r="V139" s="60">
        <v>45151</v>
      </c>
      <c r="W139" s="46">
        <v>15750.2</v>
      </c>
      <c r="X139" s="22">
        <f t="shared" si="6"/>
        <v>1.0603039961396554E-3</v>
      </c>
      <c r="Y139" s="46"/>
      <c r="Z139" s="46"/>
      <c r="AB139" s="48"/>
    </row>
    <row r="140" spans="18:28" x14ac:dyDescent="0.3">
      <c r="R140" s="60">
        <v>45144</v>
      </c>
      <c r="S140">
        <v>53.73</v>
      </c>
      <c r="T140" s="22">
        <f t="shared" si="5"/>
        <v>-2.0286618276567969E-2</v>
      </c>
      <c r="V140" s="60">
        <v>45144</v>
      </c>
      <c r="W140" s="46">
        <v>16143.4</v>
      </c>
      <c r="X140" s="22">
        <f t="shared" si="6"/>
        <v>-2.43567030489239E-2</v>
      </c>
      <c r="Y140" s="46"/>
      <c r="Z140" s="46"/>
      <c r="AB140" s="48"/>
    </row>
    <row r="141" spans="18:28" x14ac:dyDescent="0.3">
      <c r="R141" s="60">
        <v>45137</v>
      </c>
      <c r="S141">
        <v>52.78</v>
      </c>
      <c r="T141" s="22">
        <f t="shared" si="5"/>
        <v>1.7999242137173077E-2</v>
      </c>
      <c r="V141" s="60">
        <v>45137</v>
      </c>
      <c r="W141" s="46">
        <v>16071.1</v>
      </c>
      <c r="X141" s="22">
        <f t="shared" si="6"/>
        <v>4.4987586412876812E-3</v>
      </c>
      <c r="Y141" s="46"/>
      <c r="Z141" s="46"/>
      <c r="AB141" s="48"/>
    </row>
    <row r="142" spans="18:28" x14ac:dyDescent="0.3">
      <c r="R142" s="60">
        <v>45130</v>
      </c>
      <c r="S142">
        <v>53.3</v>
      </c>
      <c r="T142" s="22">
        <f t="shared" si="5"/>
        <v>-9.7560975609755074E-3</v>
      </c>
      <c r="V142" s="60">
        <v>45130</v>
      </c>
      <c r="W142" s="46">
        <v>16363.3</v>
      </c>
      <c r="X142" s="22">
        <f t="shared" si="6"/>
        <v>-1.7857033727915472E-2</v>
      </c>
      <c r="Y142" s="46"/>
      <c r="Z142" s="46"/>
      <c r="AB142" s="48"/>
    </row>
    <row r="143" spans="18:28" x14ac:dyDescent="0.3">
      <c r="R143" s="60">
        <v>45123</v>
      </c>
      <c r="S143">
        <v>52.79</v>
      </c>
      <c r="T143" s="22">
        <f t="shared" si="5"/>
        <v>9.6609206289068883E-3</v>
      </c>
      <c r="V143" s="60">
        <v>45123</v>
      </c>
      <c r="W143" s="46">
        <v>16289.1</v>
      </c>
      <c r="X143" s="22">
        <f t="shared" si="6"/>
        <v>4.5551933501544184E-3</v>
      </c>
      <c r="Y143" s="46"/>
      <c r="Z143" s="46"/>
      <c r="AB143" s="48"/>
    </row>
    <row r="144" spans="18:28" x14ac:dyDescent="0.3">
      <c r="R144" s="60">
        <v>45116</v>
      </c>
      <c r="S144">
        <v>51.55</v>
      </c>
      <c r="T144" s="22">
        <f t="shared" si="5"/>
        <v>2.4054316197866132E-2</v>
      </c>
      <c r="V144" s="60">
        <v>45116</v>
      </c>
      <c r="W144" s="46">
        <v>16040.2</v>
      </c>
      <c r="X144" s="22">
        <f t="shared" si="6"/>
        <v>1.5517262877021487E-2</v>
      </c>
      <c r="Y144" s="46"/>
      <c r="Z144" s="46"/>
      <c r="AB144" s="48"/>
    </row>
    <row r="145" spans="18:28" x14ac:dyDescent="0.3">
      <c r="R145" s="60">
        <v>45109</v>
      </c>
      <c r="S145">
        <v>51.16</v>
      </c>
      <c r="T145" s="22">
        <f t="shared" si="5"/>
        <v>7.6231430805315803E-3</v>
      </c>
      <c r="V145" s="60">
        <v>45109</v>
      </c>
      <c r="W145" s="46">
        <v>15671.6</v>
      </c>
      <c r="X145" s="22">
        <f t="shared" si="6"/>
        <v>2.3520253196865681E-2</v>
      </c>
      <c r="Y145" s="46"/>
      <c r="Z145" s="46"/>
      <c r="AB145" s="48"/>
    </row>
    <row r="146" spans="18:28" x14ac:dyDescent="0.3">
      <c r="R146" s="60">
        <v>45102</v>
      </c>
      <c r="S146">
        <v>52.39</v>
      </c>
      <c r="T146" s="22">
        <f t="shared" si="5"/>
        <v>-2.3477762931857327E-2</v>
      </c>
      <c r="V146" s="60">
        <v>45102</v>
      </c>
      <c r="W146" s="46">
        <v>15875.9</v>
      </c>
      <c r="X146" s="22">
        <f t="shared" si="6"/>
        <v>-1.2868561782324095E-2</v>
      </c>
      <c r="Y146" s="46"/>
      <c r="Z146" s="46"/>
      <c r="AB146" s="48"/>
    </row>
    <row r="147" spans="18:28" x14ac:dyDescent="0.3">
      <c r="R147" s="60">
        <v>45095</v>
      </c>
      <c r="S147">
        <v>51.82</v>
      </c>
      <c r="T147" s="22">
        <f t="shared" si="5"/>
        <v>1.0999614048629924E-2</v>
      </c>
      <c r="V147" s="60">
        <v>45095</v>
      </c>
      <c r="W147" s="46">
        <v>15469.4</v>
      </c>
      <c r="X147" s="22">
        <f t="shared" si="6"/>
        <v>2.6277683685210773E-2</v>
      </c>
      <c r="Y147" s="46"/>
      <c r="Z147" s="46"/>
      <c r="AB147" s="48"/>
    </row>
    <row r="148" spans="18:28" x14ac:dyDescent="0.3">
      <c r="R148" s="60">
        <v>45088</v>
      </c>
      <c r="S148">
        <v>51.84</v>
      </c>
      <c r="T148" s="22">
        <f t="shared" si="5"/>
        <v>-3.8580246913588745E-4</v>
      </c>
      <c r="V148" s="60">
        <v>45088</v>
      </c>
      <c r="W148" s="46">
        <v>15795.1</v>
      </c>
      <c r="X148" s="22">
        <f t="shared" si="6"/>
        <v>-2.0620318959677419E-2</v>
      </c>
      <c r="Y148" s="46"/>
      <c r="Z148" s="46"/>
      <c r="AB148" s="48"/>
    </row>
    <row r="149" spans="18:28" x14ac:dyDescent="0.3">
      <c r="R149" s="60">
        <v>45081</v>
      </c>
      <c r="S149">
        <v>51.03</v>
      </c>
      <c r="T149" s="22">
        <f t="shared" si="5"/>
        <v>1.5873015873015817E-2</v>
      </c>
      <c r="V149" s="60">
        <v>45081</v>
      </c>
      <c r="W149" s="46">
        <v>15499.9</v>
      </c>
      <c r="X149" s="22">
        <f t="shared" si="6"/>
        <v>1.9045284163123677E-2</v>
      </c>
      <c r="Y149" s="46"/>
      <c r="Z149" s="46"/>
      <c r="AB149" s="48"/>
    </row>
    <row r="150" spans="18:28" x14ac:dyDescent="0.3">
      <c r="R150" s="60">
        <v>45074</v>
      </c>
      <c r="S150">
        <v>49.61</v>
      </c>
      <c r="T150" s="22">
        <f t="shared" si="5"/>
        <v>2.8623261439225889E-2</v>
      </c>
      <c r="V150" s="60">
        <v>45074</v>
      </c>
      <c r="W150" s="46">
        <v>15345.2</v>
      </c>
      <c r="X150" s="22">
        <f t="shared" si="6"/>
        <v>1.0081328363266584E-2</v>
      </c>
      <c r="Y150" s="46"/>
      <c r="Z150" s="46"/>
      <c r="AB150" s="48"/>
    </row>
    <row r="151" spans="18:28" x14ac:dyDescent="0.3">
      <c r="R151" s="60">
        <v>45067</v>
      </c>
      <c r="S151">
        <v>48.81</v>
      </c>
      <c r="T151" s="22">
        <f t="shared" si="5"/>
        <v>1.6390083999180405E-2</v>
      </c>
      <c r="V151" s="60">
        <v>45067</v>
      </c>
      <c r="W151" s="46">
        <v>15078.7</v>
      </c>
      <c r="X151" s="22">
        <f t="shared" si="6"/>
        <v>1.7673937408397178E-2</v>
      </c>
      <c r="Y151" s="46"/>
      <c r="Z151" s="46"/>
      <c r="AB151" s="48"/>
    </row>
    <row r="152" spans="18:28" x14ac:dyDescent="0.3">
      <c r="R152" s="60">
        <v>45060</v>
      </c>
      <c r="S152">
        <v>49.97</v>
      </c>
      <c r="T152" s="22">
        <f t="shared" si="5"/>
        <v>-2.3213928357014191E-2</v>
      </c>
      <c r="V152" s="60">
        <v>45060</v>
      </c>
      <c r="W152" s="46">
        <v>15324.3</v>
      </c>
      <c r="X152" s="22">
        <f t="shared" si="6"/>
        <v>-1.6026833199558776E-2</v>
      </c>
      <c r="Y152" s="46"/>
      <c r="Z152" s="46"/>
      <c r="AB152" s="48"/>
    </row>
    <row r="153" spans="18:28" x14ac:dyDescent="0.3">
      <c r="R153" s="60">
        <v>45053</v>
      </c>
      <c r="S153">
        <v>51.02</v>
      </c>
      <c r="T153" s="22">
        <f t="shared" si="5"/>
        <v>-2.0580164641317178E-2</v>
      </c>
      <c r="V153" s="60">
        <v>45053</v>
      </c>
      <c r="W153" s="46">
        <v>15246.4</v>
      </c>
      <c r="X153" s="22">
        <f t="shared" si="6"/>
        <v>5.1094028754328225E-3</v>
      </c>
      <c r="Y153" s="46"/>
      <c r="Z153" s="46"/>
      <c r="AB153" s="48"/>
    </row>
    <row r="154" spans="18:28" x14ac:dyDescent="0.3">
      <c r="R154" s="60">
        <v>45046</v>
      </c>
      <c r="S154">
        <v>50.59</v>
      </c>
      <c r="T154" s="22">
        <f t="shared" si="5"/>
        <v>8.4997034987150943E-3</v>
      </c>
      <c r="V154" s="60">
        <v>45046</v>
      </c>
      <c r="W154" s="46">
        <v>15380.9</v>
      </c>
      <c r="X154" s="22">
        <f t="shared" si="6"/>
        <v>-8.7446118237554105E-3</v>
      </c>
      <c r="Y154" s="46"/>
      <c r="Z154" s="46"/>
      <c r="AB154" s="48"/>
    </row>
    <row r="155" spans="18:28" x14ac:dyDescent="0.3">
      <c r="R155" s="60">
        <v>45039</v>
      </c>
      <c r="S155">
        <v>50.32</v>
      </c>
      <c r="T155" s="22">
        <f t="shared" si="5"/>
        <v>5.3656597774245363E-3</v>
      </c>
      <c r="V155" s="60">
        <v>45039</v>
      </c>
      <c r="W155" s="46">
        <v>15545.9</v>
      </c>
      <c r="X155" s="22">
        <f t="shared" si="6"/>
        <v>-1.0613730951569256E-2</v>
      </c>
      <c r="Y155" s="46"/>
      <c r="Z155" s="46"/>
      <c r="AB155" s="48"/>
    </row>
    <row r="156" spans="18:28" x14ac:dyDescent="0.3">
      <c r="R156" s="60">
        <v>45032</v>
      </c>
      <c r="S156">
        <v>50.58</v>
      </c>
      <c r="T156" s="22">
        <f t="shared" si="5"/>
        <v>-5.1403716884143025E-3</v>
      </c>
      <c r="V156" s="60">
        <v>45032</v>
      </c>
      <c r="W156" s="46">
        <v>15578.9</v>
      </c>
      <c r="X156" s="22">
        <f t="shared" si="6"/>
        <v>-2.1182496838673126E-3</v>
      </c>
      <c r="Y156" s="46"/>
      <c r="Z156" s="46"/>
      <c r="AB156" s="48"/>
    </row>
    <row r="157" spans="18:28" x14ac:dyDescent="0.3">
      <c r="R157" s="60">
        <v>45025</v>
      </c>
      <c r="S157">
        <v>49.49</v>
      </c>
      <c r="T157" s="22">
        <f t="shared" si="5"/>
        <v>2.2024651444736199E-2</v>
      </c>
      <c r="V157" s="60">
        <v>45025</v>
      </c>
      <c r="W157" s="46">
        <v>15601.8</v>
      </c>
      <c r="X157" s="22">
        <f t="shared" si="6"/>
        <v>-1.467779358791943E-3</v>
      </c>
      <c r="Y157" s="46"/>
      <c r="Z157" s="46"/>
      <c r="AB157" s="48"/>
    </row>
    <row r="158" spans="18:28" x14ac:dyDescent="0.3">
      <c r="R158" s="60">
        <v>45018</v>
      </c>
      <c r="S158">
        <v>50.27</v>
      </c>
      <c r="T158" s="22">
        <f t="shared" si="5"/>
        <v>-1.551621245275514E-2</v>
      </c>
      <c r="V158" s="60">
        <v>45018</v>
      </c>
      <c r="W158" s="46">
        <v>15379.1</v>
      </c>
      <c r="X158" s="22">
        <f t="shared" si="6"/>
        <v>1.4480691327841022E-2</v>
      </c>
      <c r="Y158" s="46"/>
      <c r="Z158" s="46"/>
      <c r="AB158" s="48"/>
    </row>
    <row r="159" spans="18:28" x14ac:dyDescent="0.3">
      <c r="R159" s="60">
        <v>45011</v>
      </c>
      <c r="S159">
        <v>49.15</v>
      </c>
      <c r="T159" s="22">
        <f t="shared" si="5"/>
        <v>2.2787385554425388E-2</v>
      </c>
      <c r="V159" s="60">
        <v>45011</v>
      </c>
      <c r="W159" s="46">
        <v>15374.9</v>
      </c>
      <c r="X159" s="22">
        <f t="shared" si="6"/>
        <v>2.7317250843905683E-4</v>
      </c>
      <c r="Y159" s="46"/>
      <c r="Z159" s="46"/>
      <c r="AB159" s="48"/>
    </row>
    <row r="160" spans="18:28" x14ac:dyDescent="0.3">
      <c r="R160" s="60">
        <v>45004</v>
      </c>
      <c r="S160">
        <v>47.27</v>
      </c>
      <c r="T160" s="22">
        <f t="shared" si="5"/>
        <v>3.9771525280304587E-2</v>
      </c>
      <c r="V160" s="60">
        <v>45004</v>
      </c>
      <c r="W160" s="46">
        <v>14758.6</v>
      </c>
      <c r="X160" s="22">
        <f t="shared" si="6"/>
        <v>4.17587034000515E-2</v>
      </c>
      <c r="Y160" s="46"/>
      <c r="Z160" s="46"/>
      <c r="AB160" s="48"/>
    </row>
    <row r="161" spans="18:28" x14ac:dyDescent="0.3">
      <c r="R161" s="60">
        <v>44997</v>
      </c>
      <c r="S161">
        <v>46.47</v>
      </c>
      <c r="T161" s="22">
        <f t="shared" si="5"/>
        <v>1.7215407789972215E-2</v>
      </c>
      <c r="V161" s="60">
        <v>44997</v>
      </c>
      <c r="W161" s="46">
        <v>14599</v>
      </c>
      <c r="X161" s="22">
        <f t="shared" si="6"/>
        <v>1.0932255633947507E-2</v>
      </c>
      <c r="Y161" s="46"/>
      <c r="Z161" s="46"/>
      <c r="AB161" s="48"/>
    </row>
    <row r="162" spans="18:28" x14ac:dyDescent="0.3">
      <c r="R162" s="60">
        <v>44990</v>
      </c>
      <c r="S162">
        <v>45.66</v>
      </c>
      <c r="T162" s="22">
        <f t="shared" si="5"/>
        <v>1.7739816031537403E-2</v>
      </c>
      <c r="V162" s="60">
        <v>44990</v>
      </c>
      <c r="W162" s="46">
        <v>14894.2</v>
      </c>
      <c r="X162" s="22">
        <f t="shared" si="6"/>
        <v>-1.9819795625142689E-2</v>
      </c>
      <c r="Y162" s="46"/>
      <c r="Z162" s="46"/>
      <c r="AB162" s="48"/>
    </row>
    <row r="163" spans="18:28" x14ac:dyDescent="0.3">
      <c r="R163" s="60">
        <v>44983</v>
      </c>
      <c r="S163">
        <v>46.89</v>
      </c>
      <c r="T163" s="22">
        <f t="shared" si="5"/>
        <v>-2.6231605886116505E-2</v>
      </c>
      <c r="V163" s="60">
        <v>44983</v>
      </c>
      <c r="W163" s="46">
        <v>15721.1</v>
      </c>
      <c r="X163" s="22">
        <f t="shared" si="6"/>
        <v>-5.2598100641812584E-2</v>
      </c>
      <c r="Y163" s="46"/>
      <c r="Z163" s="46"/>
      <c r="AB163" s="48"/>
    </row>
    <row r="164" spans="18:28" x14ac:dyDescent="0.3">
      <c r="R164" s="60">
        <v>44976</v>
      </c>
      <c r="S164">
        <v>47.49</v>
      </c>
      <c r="T164" s="22">
        <f t="shared" si="5"/>
        <v>-1.2634238787113117E-2</v>
      </c>
      <c r="V164" s="60">
        <v>44976</v>
      </c>
      <c r="W164" s="46">
        <v>15464.5</v>
      </c>
      <c r="X164" s="22">
        <f t="shared" si="6"/>
        <v>1.6592841669630376E-2</v>
      </c>
      <c r="Y164" s="46"/>
      <c r="Z164" s="46"/>
      <c r="AB164" s="48"/>
    </row>
    <row r="165" spans="18:28" x14ac:dyDescent="0.3">
      <c r="R165" s="60">
        <v>44969</v>
      </c>
      <c r="S165">
        <v>48.81</v>
      </c>
      <c r="T165" s="22">
        <f t="shared" si="5"/>
        <v>-2.7043638598647779E-2</v>
      </c>
      <c r="V165" s="60">
        <v>44969</v>
      </c>
      <c r="W165" s="46">
        <v>15840.2</v>
      </c>
      <c r="X165" s="22">
        <f t="shared" si="6"/>
        <v>-2.3718134872034446E-2</v>
      </c>
      <c r="Y165" s="46"/>
      <c r="Z165" s="46"/>
      <c r="AB165" s="48"/>
    </row>
    <row r="166" spans="18:28" x14ac:dyDescent="0.3">
      <c r="R166" s="60">
        <v>44962</v>
      </c>
      <c r="S166">
        <v>47.91</v>
      </c>
      <c r="T166" s="22">
        <f t="shared" si="5"/>
        <v>1.8785222291797243E-2</v>
      </c>
      <c r="V166" s="60">
        <v>44962</v>
      </c>
      <c r="W166" s="46">
        <v>15910.7</v>
      </c>
      <c r="X166" s="22">
        <f t="shared" si="6"/>
        <v>-4.4309804094100347E-3</v>
      </c>
      <c r="Y166" s="46"/>
      <c r="Z166" s="46"/>
      <c r="AB166" s="48"/>
    </row>
    <row r="167" spans="18:28" x14ac:dyDescent="0.3">
      <c r="R167" s="60">
        <v>44955</v>
      </c>
      <c r="S167">
        <v>47.24</v>
      </c>
      <c r="T167" s="22">
        <f t="shared" si="5"/>
        <v>1.4182895850973543E-2</v>
      </c>
      <c r="V167" s="60">
        <v>44955</v>
      </c>
      <c r="W167" s="46">
        <v>15999.4</v>
      </c>
      <c r="X167" s="22">
        <f t="shared" si="6"/>
        <v>-5.5439578984211035E-3</v>
      </c>
      <c r="Y167" s="46"/>
      <c r="Z167" s="46"/>
      <c r="AB167" s="48"/>
    </row>
    <row r="168" spans="18:28" x14ac:dyDescent="0.3">
      <c r="R168" s="60">
        <v>44948</v>
      </c>
      <c r="S168">
        <v>47.77</v>
      </c>
      <c r="T168" s="22">
        <f t="shared" si="5"/>
        <v>-1.1094829390831062E-2</v>
      </c>
      <c r="V168" s="60">
        <v>44948</v>
      </c>
      <c r="W168" s="46">
        <v>15962.6</v>
      </c>
      <c r="X168" s="22">
        <f t="shared" si="6"/>
        <v>2.3053888464283911E-3</v>
      </c>
      <c r="Y168" s="46"/>
      <c r="Z168" s="46"/>
      <c r="AB168" s="48"/>
    </row>
    <row r="169" spans="18:28" x14ac:dyDescent="0.3">
      <c r="R169" s="60">
        <v>44941</v>
      </c>
      <c r="S169">
        <v>46.85</v>
      </c>
      <c r="T169" s="22">
        <f t="shared" si="5"/>
        <v>1.9637139807897608E-2</v>
      </c>
      <c r="V169" s="60">
        <v>44941</v>
      </c>
      <c r="W169" s="46">
        <v>15777.5</v>
      </c>
      <c r="X169" s="22">
        <f t="shared" si="6"/>
        <v>1.1731896688321974E-2</v>
      </c>
      <c r="Y169" s="46"/>
      <c r="Z169" s="46"/>
      <c r="AB169" s="48"/>
    </row>
    <row r="170" spans="18:28" x14ac:dyDescent="0.3">
      <c r="R170" s="60">
        <v>44934</v>
      </c>
      <c r="S170">
        <v>48.43</v>
      </c>
      <c r="T170" s="22">
        <f t="shared" si="5"/>
        <v>-3.2624406359694325E-2</v>
      </c>
      <c r="V170" s="60">
        <v>44934</v>
      </c>
      <c r="W170" s="46">
        <v>15918.4</v>
      </c>
      <c r="X170" s="22">
        <f t="shared" si="6"/>
        <v>-8.8513920997085327E-3</v>
      </c>
      <c r="Y170" s="46"/>
      <c r="Z170" s="46"/>
      <c r="AB170" s="48"/>
    </row>
    <row r="171" spans="18:28" x14ac:dyDescent="0.3">
      <c r="R171" s="60">
        <v>44927</v>
      </c>
      <c r="S171">
        <v>48.93</v>
      </c>
      <c r="T171" s="22">
        <f t="shared" si="5"/>
        <v>-1.0218679746576753E-2</v>
      </c>
      <c r="V171" s="60">
        <v>44927</v>
      </c>
      <c r="W171" s="46">
        <v>15539.7</v>
      </c>
      <c r="X171" s="22">
        <f t="shared" si="6"/>
        <v>2.4369839829597728E-2</v>
      </c>
      <c r="Y171" s="46"/>
      <c r="Z171" s="46"/>
      <c r="AB171" s="48"/>
    </row>
    <row r="172" spans="18:28" x14ac:dyDescent="0.3">
      <c r="R172" s="60">
        <v>44920</v>
      </c>
      <c r="S172">
        <v>47.26</v>
      </c>
      <c r="T172" s="22">
        <f t="shared" si="5"/>
        <v>3.5336436732966714E-2</v>
      </c>
      <c r="V172" s="60">
        <v>44920</v>
      </c>
      <c r="W172" s="46">
        <v>15184.3</v>
      </c>
      <c r="X172" s="22">
        <f t="shared" si="6"/>
        <v>2.3405754628135655E-2</v>
      </c>
      <c r="Y172" s="46"/>
      <c r="Z172" s="46"/>
      <c r="AB172" s="48"/>
    </row>
    <row r="173" spans="18:28" x14ac:dyDescent="0.3">
      <c r="R173" s="60">
        <v>44913</v>
      </c>
      <c r="S173">
        <v>47.92</v>
      </c>
      <c r="T173" s="22">
        <f t="shared" si="5"/>
        <v>-1.3772954924874847E-2</v>
      </c>
      <c r="V173" s="60">
        <v>44913</v>
      </c>
      <c r="W173" s="46">
        <v>15188.5</v>
      </c>
      <c r="X173" s="22">
        <f t="shared" si="6"/>
        <v>-2.7652500246899692E-4</v>
      </c>
      <c r="Y173" s="46"/>
      <c r="Z173" s="46"/>
      <c r="AB173" s="48"/>
    </row>
    <row r="174" spans="18:28" x14ac:dyDescent="0.3">
      <c r="R174" s="60">
        <v>44906</v>
      </c>
      <c r="S174">
        <v>47.58</v>
      </c>
      <c r="T174" s="22">
        <f t="shared" si="5"/>
        <v>7.1458596048761258E-3</v>
      </c>
      <c r="V174" s="60">
        <v>44906</v>
      </c>
      <c r="W174" s="46">
        <v>15018.2</v>
      </c>
      <c r="X174" s="22">
        <f t="shared" si="6"/>
        <v>1.1339574649425366E-2</v>
      </c>
      <c r="Y174" s="46"/>
      <c r="Z174" s="46"/>
      <c r="AB174" s="48"/>
    </row>
    <row r="175" spans="18:28" x14ac:dyDescent="0.3">
      <c r="R175" s="60">
        <v>44899</v>
      </c>
      <c r="S175">
        <v>48.44</v>
      </c>
      <c r="T175" s="22">
        <f t="shared" si="5"/>
        <v>-1.7753922378199838E-2</v>
      </c>
      <c r="V175" s="60">
        <v>44899</v>
      </c>
      <c r="W175" s="46">
        <v>15291</v>
      </c>
      <c r="X175" s="22">
        <f t="shared" si="6"/>
        <v>-1.7840559806422074E-2</v>
      </c>
      <c r="Y175" s="46"/>
      <c r="Z175" s="46"/>
      <c r="AB175" s="48"/>
    </row>
    <row r="176" spans="18:28" x14ac:dyDescent="0.3">
      <c r="R176" s="60">
        <v>44892</v>
      </c>
      <c r="S176">
        <v>51.07</v>
      </c>
      <c r="T176" s="22">
        <f t="shared" si="5"/>
        <v>-5.1497943998433549E-2</v>
      </c>
      <c r="V176" s="60">
        <v>44892</v>
      </c>
      <c r="W176" s="46">
        <v>15767</v>
      </c>
      <c r="X176" s="22">
        <f t="shared" si="6"/>
        <v>-3.0189636582736101E-2</v>
      </c>
      <c r="Y176" s="46"/>
      <c r="Z176" s="46"/>
      <c r="AB176" s="48"/>
    </row>
    <row r="177" spans="18:28" x14ac:dyDescent="0.3">
      <c r="R177" s="60">
        <v>44885</v>
      </c>
      <c r="S177">
        <v>51.02</v>
      </c>
      <c r="T177" s="22">
        <f t="shared" si="5"/>
        <v>9.8000784006258002E-4</v>
      </c>
      <c r="V177" s="60">
        <v>44885</v>
      </c>
      <c r="W177" s="46">
        <v>15605.7</v>
      </c>
      <c r="X177" s="22">
        <f t="shared" si="6"/>
        <v>1.0335966986421585E-2</v>
      </c>
      <c r="Y177" s="46"/>
      <c r="Z177" s="46"/>
      <c r="AB177" s="48"/>
    </row>
    <row r="178" spans="18:28" x14ac:dyDescent="0.3">
      <c r="R178" s="60">
        <v>44878</v>
      </c>
      <c r="S178">
        <v>50.08</v>
      </c>
      <c r="T178" s="22">
        <f t="shared" si="5"/>
        <v>1.8769968051118413E-2</v>
      </c>
      <c r="V178" s="60">
        <v>44878</v>
      </c>
      <c r="W178" s="46">
        <v>15309.8</v>
      </c>
      <c r="X178" s="22">
        <f t="shared" si="6"/>
        <v>1.9327489581836499E-2</v>
      </c>
      <c r="Y178" s="46"/>
      <c r="Z178" s="46"/>
      <c r="AB178" s="48"/>
    </row>
    <row r="179" spans="18:28" x14ac:dyDescent="0.3">
      <c r="R179" s="60">
        <v>44871</v>
      </c>
      <c r="S179">
        <v>47.53</v>
      </c>
      <c r="T179" s="22">
        <f t="shared" si="5"/>
        <v>5.3650326109825341E-2</v>
      </c>
      <c r="V179" s="60">
        <v>44871</v>
      </c>
      <c r="W179" s="46">
        <v>15352.7</v>
      </c>
      <c r="X179" s="22">
        <f t="shared" si="6"/>
        <v>-2.7942967686466202E-3</v>
      </c>
      <c r="Y179" s="46"/>
      <c r="Z179" s="46"/>
      <c r="AB179" s="48"/>
    </row>
    <row r="180" spans="18:28" x14ac:dyDescent="0.3">
      <c r="R180" s="60">
        <v>44864</v>
      </c>
      <c r="S180">
        <v>46.99</v>
      </c>
      <c r="T180" s="22">
        <f t="shared" si="5"/>
        <v>1.149180676739725E-2</v>
      </c>
      <c r="V180" s="60">
        <v>44864</v>
      </c>
      <c r="W180" s="46">
        <v>14702.8</v>
      </c>
      <c r="X180" s="22">
        <f t="shared" si="6"/>
        <v>4.4202464836629929E-2</v>
      </c>
      <c r="Y180" s="46"/>
      <c r="Z180" s="46"/>
      <c r="AB180" s="48"/>
    </row>
    <row r="181" spans="18:28" x14ac:dyDescent="0.3">
      <c r="R181" s="60">
        <v>44857</v>
      </c>
      <c r="S181">
        <v>47.5</v>
      </c>
      <c r="T181" s="22">
        <f t="shared" si="5"/>
        <v>-1.0736842105263156E-2</v>
      </c>
      <c r="V181" s="60">
        <v>44857</v>
      </c>
      <c r="W181" s="46">
        <v>14795.6</v>
      </c>
      <c r="X181" s="22">
        <f t="shared" si="6"/>
        <v>-6.2721349590419972E-3</v>
      </c>
      <c r="Y181" s="46"/>
      <c r="Z181" s="46"/>
      <c r="AB181" s="48"/>
    </row>
    <row r="182" spans="18:28" x14ac:dyDescent="0.3">
      <c r="R182" s="60">
        <v>44850</v>
      </c>
      <c r="S182">
        <v>45.6</v>
      </c>
      <c r="T182" s="22">
        <f t="shared" si="5"/>
        <v>4.1666666666666741E-2</v>
      </c>
      <c r="V182" s="60">
        <v>44850</v>
      </c>
      <c r="W182" s="46">
        <v>14144</v>
      </c>
      <c r="X182" s="22">
        <f t="shared" si="6"/>
        <v>4.6069004524886825E-2</v>
      </c>
      <c r="Y182" s="46"/>
      <c r="Z182" s="46"/>
      <c r="AB182" s="48"/>
    </row>
    <row r="183" spans="18:28" x14ac:dyDescent="0.3">
      <c r="R183" s="60">
        <v>44843</v>
      </c>
      <c r="S183">
        <v>43.48</v>
      </c>
      <c r="T183" s="22">
        <f t="shared" si="5"/>
        <v>4.8758049678012894E-2</v>
      </c>
      <c r="V183" s="60">
        <v>44843</v>
      </c>
      <c r="W183" s="46">
        <v>13607.3</v>
      </c>
      <c r="X183" s="22">
        <f t="shared" si="6"/>
        <v>3.9442064186135495E-2</v>
      </c>
      <c r="Y183" s="46"/>
      <c r="Z183" s="46"/>
      <c r="AB183" s="48"/>
    </row>
    <row r="184" spans="18:28" x14ac:dyDescent="0.3">
      <c r="R184" s="60">
        <v>44836</v>
      </c>
      <c r="S184">
        <v>42.85</v>
      </c>
      <c r="T184" s="22">
        <f t="shared" si="5"/>
        <v>1.4702450408401235E-2</v>
      </c>
      <c r="V184" s="60">
        <v>44836</v>
      </c>
      <c r="W184" s="46">
        <v>13798.3</v>
      </c>
      <c r="X184" s="22">
        <f t="shared" si="6"/>
        <v>-1.3842284919156733E-2</v>
      </c>
      <c r="Y184" s="46"/>
      <c r="Z184" s="46"/>
      <c r="AB184" s="48"/>
    </row>
    <row r="185" spans="18:28" x14ac:dyDescent="0.3">
      <c r="R185" s="60">
        <v>44829</v>
      </c>
      <c r="S185">
        <v>43.23</v>
      </c>
      <c r="T185" s="22">
        <f t="shared" si="5"/>
        <v>-8.790191996298713E-3</v>
      </c>
      <c r="V185" s="60">
        <v>44829</v>
      </c>
      <c r="W185" s="46">
        <v>13472.2</v>
      </c>
      <c r="X185" s="22">
        <f t="shared" si="6"/>
        <v>2.4205400751176498E-2</v>
      </c>
      <c r="Y185" s="46"/>
      <c r="Z185" s="46"/>
      <c r="AB185" s="48"/>
    </row>
    <row r="186" spans="18:28" x14ac:dyDescent="0.3">
      <c r="R186" s="60">
        <v>44822</v>
      </c>
      <c r="S186">
        <v>43.35</v>
      </c>
      <c r="T186" s="22">
        <f t="shared" si="5"/>
        <v>-2.7681660899655514E-3</v>
      </c>
      <c r="V186" s="60">
        <v>44822</v>
      </c>
      <c r="W186" s="46">
        <v>13797</v>
      </c>
      <c r="X186" s="22">
        <f t="shared" si="6"/>
        <v>-2.3541349568746761E-2</v>
      </c>
      <c r="Y186" s="46"/>
      <c r="Z186" s="46"/>
      <c r="AB186" s="48"/>
    </row>
    <row r="187" spans="18:28" x14ac:dyDescent="0.3">
      <c r="R187" s="60">
        <v>44815</v>
      </c>
      <c r="S187">
        <v>44.4</v>
      </c>
      <c r="T187" s="22">
        <f t="shared" si="5"/>
        <v>-2.3648648648648574E-2</v>
      </c>
      <c r="V187" s="60">
        <v>44815</v>
      </c>
      <c r="W187" s="46">
        <v>14573.9</v>
      </c>
      <c r="X187" s="22">
        <f t="shared" si="6"/>
        <v>-5.3307625275320958E-2</v>
      </c>
      <c r="Y187" s="46"/>
      <c r="Z187" s="46"/>
      <c r="AB187" s="48"/>
    </row>
    <row r="188" spans="18:28" x14ac:dyDescent="0.3">
      <c r="R188" s="60">
        <v>44808</v>
      </c>
      <c r="S188">
        <v>45.61</v>
      </c>
      <c r="T188" s="22">
        <f t="shared" si="5"/>
        <v>-2.6529269896952479E-2</v>
      </c>
      <c r="V188" s="60">
        <v>44808</v>
      </c>
      <c r="W188" s="46">
        <v>15190.8</v>
      </c>
      <c r="X188" s="22">
        <f t="shared" si="6"/>
        <v>-4.0610106116860223E-2</v>
      </c>
      <c r="Y188" s="46"/>
      <c r="Z188" s="46"/>
      <c r="AB188" s="48"/>
    </row>
    <row r="189" spans="18:28" x14ac:dyDescent="0.3">
      <c r="R189" s="60">
        <v>44801</v>
      </c>
      <c r="S189">
        <v>44.33</v>
      </c>
      <c r="T189" s="22">
        <f t="shared" si="5"/>
        <v>2.8874351454996727E-2</v>
      </c>
      <c r="V189" s="60">
        <v>44801</v>
      </c>
      <c r="W189" s="46">
        <v>14689.5</v>
      </c>
      <c r="X189" s="22">
        <f t="shared" si="6"/>
        <v>3.4126416828346828E-2</v>
      </c>
      <c r="Y189" s="46"/>
      <c r="Z189" s="46"/>
      <c r="AB189" s="48"/>
    </row>
    <row r="190" spans="18:28" x14ac:dyDescent="0.3">
      <c r="R190" s="60">
        <v>44794</v>
      </c>
      <c r="S190">
        <v>43.87</v>
      </c>
      <c r="T190" s="22">
        <f t="shared" si="5"/>
        <v>1.0485525416001895E-2</v>
      </c>
      <c r="V190" s="60">
        <v>44794</v>
      </c>
      <c r="W190" s="46">
        <v>15178.2</v>
      </c>
      <c r="X190" s="22">
        <f t="shared" si="6"/>
        <v>-3.2197493773965302E-2</v>
      </c>
      <c r="Y190" s="46"/>
      <c r="Z190" s="46"/>
      <c r="AB190" s="48"/>
    </row>
    <row r="191" spans="18:28" x14ac:dyDescent="0.3">
      <c r="R191" s="60">
        <v>44787</v>
      </c>
      <c r="S191">
        <v>45.67</v>
      </c>
      <c r="T191" s="22">
        <f t="shared" si="5"/>
        <v>-3.9413181519597162E-2</v>
      </c>
      <c r="V191" s="60">
        <v>44787</v>
      </c>
      <c r="W191" s="46">
        <v>15588.3</v>
      </c>
      <c r="X191" s="22">
        <f t="shared" si="6"/>
        <v>-2.6308192682973686E-2</v>
      </c>
      <c r="Y191" s="46"/>
      <c r="Z191" s="46"/>
      <c r="AB191" s="48"/>
    </row>
    <row r="192" spans="18:28" x14ac:dyDescent="0.3">
      <c r="R192" s="60">
        <v>44780</v>
      </c>
      <c r="S192">
        <v>44.07</v>
      </c>
      <c r="T192" s="22">
        <f t="shared" si="5"/>
        <v>3.6305877013841581E-2</v>
      </c>
      <c r="V192" s="60">
        <v>44780</v>
      </c>
      <c r="W192" s="46">
        <v>15804.4</v>
      </c>
      <c r="X192" s="22">
        <f t="shared" si="6"/>
        <v>-1.3673407405532689E-2</v>
      </c>
      <c r="Y192" s="46"/>
      <c r="Z192" s="46"/>
      <c r="AB192" s="48"/>
    </row>
    <row r="193" spans="18:28" x14ac:dyDescent="0.3">
      <c r="R193" s="60">
        <v>44773</v>
      </c>
      <c r="S193">
        <v>42.19</v>
      </c>
      <c r="T193" s="22">
        <f t="shared" si="5"/>
        <v>4.4560322351268056E-2</v>
      </c>
      <c r="V193" s="60">
        <v>44773</v>
      </c>
      <c r="W193" s="46">
        <v>15273.2</v>
      </c>
      <c r="X193" s="22">
        <f t="shared" si="6"/>
        <v>3.4779875860985188E-2</v>
      </c>
      <c r="Y193" s="46"/>
      <c r="Z193" s="46"/>
      <c r="AB193" s="48"/>
    </row>
    <row r="194" spans="18:28" x14ac:dyDescent="0.3">
      <c r="R194" s="60">
        <v>44766</v>
      </c>
      <c r="S194">
        <v>44.02</v>
      </c>
      <c r="T194" s="22">
        <f t="shared" si="5"/>
        <v>-4.1572012721490359E-2</v>
      </c>
      <c r="V194" s="60">
        <v>44766</v>
      </c>
      <c r="W194" s="46">
        <v>15327.7</v>
      </c>
      <c r="X194" s="22">
        <f t="shared" si="6"/>
        <v>-3.555654142500142E-3</v>
      </c>
      <c r="Y194" s="46"/>
      <c r="Z194" s="46"/>
      <c r="AB194" s="48"/>
    </row>
    <row r="195" spans="18:28" x14ac:dyDescent="0.3">
      <c r="R195" s="60">
        <v>44759</v>
      </c>
      <c r="S195">
        <v>44.07</v>
      </c>
      <c r="T195" s="22">
        <f t="shared" si="5"/>
        <v>-1.1345586566824384E-3</v>
      </c>
      <c r="V195" s="60">
        <v>44759</v>
      </c>
      <c r="W195" s="46">
        <v>14790.8</v>
      </c>
      <c r="X195" s="22">
        <f t="shared" si="6"/>
        <v>3.6299591638045303E-2</v>
      </c>
      <c r="Y195" s="46"/>
      <c r="Z195" s="46"/>
      <c r="AB195" s="48"/>
    </row>
    <row r="196" spans="18:28" x14ac:dyDescent="0.3">
      <c r="R196" s="60">
        <v>44752</v>
      </c>
      <c r="S196">
        <v>43.02</v>
      </c>
      <c r="T196" s="22">
        <f t="shared" si="5"/>
        <v>2.440725244072528E-2</v>
      </c>
      <c r="V196" s="60">
        <v>44752</v>
      </c>
      <c r="W196" s="46">
        <v>14449.7</v>
      </c>
      <c r="X196" s="22">
        <f t="shared" si="6"/>
        <v>2.3606026422693827E-2</v>
      </c>
      <c r="Y196" s="46"/>
      <c r="Z196" s="46"/>
      <c r="AB196" s="48"/>
    </row>
    <row r="197" spans="18:28" x14ac:dyDescent="0.3">
      <c r="R197" s="60">
        <v>44745</v>
      </c>
      <c r="S197">
        <v>41.8</v>
      </c>
      <c r="T197" s="22">
        <f t="shared" si="5"/>
        <v>2.9186602870813649E-2</v>
      </c>
      <c r="V197" s="60">
        <v>44745</v>
      </c>
      <c r="W197" s="46">
        <v>14642.3</v>
      </c>
      <c r="X197" s="22">
        <f t="shared" si="6"/>
        <v>-1.3153671212855822E-2</v>
      </c>
      <c r="Y197" s="46"/>
      <c r="Z197" s="46"/>
      <c r="AB197" s="48"/>
    </row>
    <row r="198" spans="18:28" x14ac:dyDescent="0.3">
      <c r="R198" s="60">
        <v>44738</v>
      </c>
      <c r="S198">
        <v>40.880000000000003</v>
      </c>
      <c r="T198" s="22">
        <f t="shared" ref="T198:T261" si="7">S197/S198-1</f>
        <v>2.2504892367905871E-2</v>
      </c>
      <c r="V198" s="60">
        <v>44738</v>
      </c>
      <c r="W198" s="46">
        <v>14636.8</v>
      </c>
      <c r="X198" s="22">
        <f t="shared" ref="X198:X261" si="8">W197/W198-1</f>
        <v>3.7576519457815927E-4</v>
      </c>
      <c r="Y198" s="46"/>
      <c r="Z198" s="46"/>
      <c r="AB198" s="48"/>
    </row>
    <row r="199" spans="18:28" x14ac:dyDescent="0.3">
      <c r="R199" s="60">
        <v>44731</v>
      </c>
      <c r="S199">
        <v>41.24</v>
      </c>
      <c r="T199" s="22">
        <f t="shared" si="7"/>
        <v>-8.7293889427739746E-3</v>
      </c>
      <c r="V199" s="60">
        <v>44731</v>
      </c>
      <c r="W199" s="46">
        <v>14811.5</v>
      </c>
      <c r="X199" s="22">
        <f t="shared" si="8"/>
        <v>-1.1794889106437667E-2</v>
      </c>
      <c r="Y199" s="46"/>
      <c r="Z199" s="46"/>
      <c r="AB199" s="48"/>
    </row>
    <row r="200" spans="18:28" x14ac:dyDescent="0.3">
      <c r="R200" s="60">
        <v>44724</v>
      </c>
      <c r="S200">
        <v>39.43</v>
      </c>
      <c r="T200" s="22">
        <f t="shared" si="7"/>
        <v>4.5904133908191813E-2</v>
      </c>
      <c r="V200" s="60">
        <v>44724</v>
      </c>
      <c r="W200" s="46">
        <v>14097</v>
      </c>
      <c r="X200" s="22">
        <f t="shared" si="8"/>
        <v>5.0684542810527144E-2</v>
      </c>
      <c r="Y200" s="46"/>
      <c r="Z200" s="46"/>
      <c r="AB200" s="48"/>
    </row>
    <row r="201" spans="18:28" x14ac:dyDescent="0.3">
      <c r="R201" s="60">
        <v>44717</v>
      </c>
      <c r="S201">
        <v>40.57</v>
      </c>
      <c r="T201" s="22">
        <f t="shared" si="7"/>
        <v>-2.8099580971160942E-2</v>
      </c>
      <c r="V201" s="60">
        <v>44717</v>
      </c>
      <c r="W201" s="46">
        <v>15096.7</v>
      </c>
      <c r="X201" s="22">
        <f t="shared" si="8"/>
        <v>-6.6219769883484547E-2</v>
      </c>
      <c r="Y201" s="46"/>
      <c r="Z201" s="46"/>
      <c r="AB201" s="48"/>
    </row>
    <row r="202" spans="18:28" x14ac:dyDescent="0.3">
      <c r="R202" s="60">
        <v>44710</v>
      </c>
      <c r="S202">
        <v>41.77</v>
      </c>
      <c r="T202" s="22">
        <f t="shared" si="7"/>
        <v>-2.8728752693320647E-2</v>
      </c>
      <c r="V202" s="60">
        <v>44710</v>
      </c>
      <c r="W202" s="46">
        <v>15797.2</v>
      </c>
      <c r="X202" s="22">
        <f t="shared" si="8"/>
        <v>-4.4343301344542119E-2</v>
      </c>
      <c r="Y202" s="46"/>
      <c r="Z202" s="46"/>
      <c r="AB202" s="48"/>
    </row>
    <row r="203" spans="18:28" x14ac:dyDescent="0.3">
      <c r="R203" s="60">
        <v>44703</v>
      </c>
      <c r="S203">
        <v>42.83</v>
      </c>
      <c r="T203" s="22">
        <f t="shared" si="7"/>
        <v>-2.4749007704879644E-2</v>
      </c>
      <c r="V203" s="60">
        <v>44703</v>
      </c>
      <c r="W203" s="46">
        <v>15942.6</v>
      </c>
      <c r="X203" s="22">
        <f t="shared" si="8"/>
        <v>-9.1202187848907768E-3</v>
      </c>
      <c r="Y203" s="46"/>
      <c r="Z203" s="46"/>
      <c r="AB203" s="48"/>
    </row>
    <row r="204" spans="18:28" x14ac:dyDescent="0.3">
      <c r="R204" s="60">
        <v>44696</v>
      </c>
      <c r="S204">
        <v>39.729999999999997</v>
      </c>
      <c r="T204" s="22">
        <f t="shared" si="7"/>
        <v>7.8026680090611755E-2</v>
      </c>
      <c r="V204" s="60">
        <v>44696</v>
      </c>
      <c r="W204" s="46">
        <v>15081</v>
      </c>
      <c r="X204" s="22">
        <f t="shared" si="8"/>
        <v>5.7131489954246995E-2</v>
      </c>
      <c r="Y204" s="46"/>
      <c r="Z204" s="46"/>
      <c r="AB204" s="48"/>
    </row>
    <row r="205" spans="18:28" x14ac:dyDescent="0.3">
      <c r="R205" s="60">
        <v>44689</v>
      </c>
      <c r="S205">
        <v>49.35</v>
      </c>
      <c r="T205" s="22">
        <f t="shared" si="7"/>
        <v>-0.19493414387031416</v>
      </c>
      <c r="V205" s="60">
        <v>44689</v>
      </c>
      <c r="W205" s="46">
        <v>15257.4</v>
      </c>
      <c r="X205" s="22">
        <f t="shared" si="8"/>
        <v>-1.1561602894333167E-2</v>
      </c>
      <c r="Y205" s="46"/>
      <c r="Z205" s="46"/>
      <c r="AB205" s="48"/>
    </row>
    <row r="206" spans="18:28" x14ac:dyDescent="0.3">
      <c r="R206" s="60">
        <v>44682</v>
      </c>
      <c r="S206">
        <v>49.85</v>
      </c>
      <c r="T206" s="22">
        <f t="shared" si="7"/>
        <v>-1.0030090270812475E-2</v>
      </c>
      <c r="V206" s="60">
        <v>44682</v>
      </c>
      <c r="W206" s="46">
        <v>15566.6</v>
      </c>
      <c r="X206" s="22">
        <f t="shared" si="8"/>
        <v>-1.9863040098672791E-2</v>
      </c>
      <c r="Y206" s="46"/>
      <c r="Z206" s="46"/>
      <c r="AB206" s="48"/>
    </row>
    <row r="207" spans="18:28" x14ac:dyDescent="0.3">
      <c r="R207" s="60">
        <v>44675</v>
      </c>
      <c r="S207">
        <v>51</v>
      </c>
      <c r="T207" s="22">
        <f t="shared" si="7"/>
        <v>-2.2549019607843057E-2</v>
      </c>
      <c r="V207" s="60">
        <v>44675</v>
      </c>
      <c r="W207" s="46">
        <v>15615.2</v>
      </c>
      <c r="X207" s="22">
        <f t="shared" si="8"/>
        <v>-3.1123520672166061E-3</v>
      </c>
      <c r="Y207" s="46"/>
      <c r="Z207" s="46"/>
      <c r="AB207" s="48"/>
    </row>
    <row r="208" spans="18:28" x14ac:dyDescent="0.3">
      <c r="R208" s="60">
        <v>44668</v>
      </c>
      <c r="S208">
        <v>52.29</v>
      </c>
      <c r="T208" s="22">
        <f t="shared" si="7"/>
        <v>-2.4670109007458363E-2</v>
      </c>
      <c r="V208" s="60">
        <v>44668</v>
      </c>
      <c r="W208" s="46">
        <v>16056.9</v>
      </c>
      <c r="X208" s="22">
        <f t="shared" si="8"/>
        <v>-2.750842317010127E-2</v>
      </c>
      <c r="Y208" s="46"/>
      <c r="Z208" s="46"/>
      <c r="AB208" s="48"/>
    </row>
    <row r="209" spans="18:28" x14ac:dyDescent="0.3">
      <c r="R209" s="60">
        <v>44661</v>
      </c>
      <c r="S209">
        <v>52.36</v>
      </c>
      <c r="T209" s="22">
        <f t="shared" si="7"/>
        <v>-1.3368983957219305E-3</v>
      </c>
      <c r="V209" s="60">
        <v>44661</v>
      </c>
      <c r="W209" s="46">
        <v>16511.5</v>
      </c>
      <c r="X209" s="22">
        <f t="shared" si="8"/>
        <v>-2.7532325954637726E-2</v>
      </c>
      <c r="Y209" s="46"/>
      <c r="Z209" s="46"/>
      <c r="AB209" s="48"/>
    </row>
    <row r="210" spans="18:28" x14ac:dyDescent="0.3">
      <c r="R210" s="60">
        <v>44654</v>
      </c>
      <c r="S210">
        <v>52.47</v>
      </c>
      <c r="T210" s="22">
        <f t="shared" si="7"/>
        <v>-2.0964360587002462E-3</v>
      </c>
      <c r="V210" s="60">
        <v>44654</v>
      </c>
      <c r="W210" s="46">
        <v>16690</v>
      </c>
      <c r="X210" s="22">
        <f t="shared" si="8"/>
        <v>-1.0695026962252885E-2</v>
      </c>
      <c r="Y210" s="46"/>
      <c r="Z210" s="46"/>
      <c r="AB210" s="48"/>
    </row>
    <row r="211" spans="18:28" x14ac:dyDescent="0.3">
      <c r="R211" s="60">
        <v>44647</v>
      </c>
      <c r="S211">
        <v>50.34</v>
      </c>
      <c r="T211" s="22">
        <f t="shared" si="7"/>
        <v>4.2312276519666181E-2</v>
      </c>
      <c r="V211" s="60">
        <v>44647</v>
      </c>
      <c r="W211" s="46">
        <v>16787.8</v>
      </c>
      <c r="X211" s="22">
        <f t="shared" si="8"/>
        <v>-5.8256591095914301E-3</v>
      </c>
      <c r="Y211" s="46"/>
      <c r="Z211" s="46"/>
      <c r="AB211" s="48"/>
    </row>
    <row r="212" spans="18:28" x14ac:dyDescent="0.3">
      <c r="R212" s="60">
        <v>44640</v>
      </c>
      <c r="S212">
        <v>47.82</v>
      </c>
      <c r="T212" s="22">
        <f t="shared" si="7"/>
        <v>5.2697616060225938E-2</v>
      </c>
      <c r="V212" s="60">
        <v>44640</v>
      </c>
      <c r="W212" s="46">
        <v>16792.8</v>
      </c>
      <c r="X212" s="22">
        <f t="shared" si="8"/>
        <v>-2.9774665332760186E-4</v>
      </c>
      <c r="Y212" s="46"/>
      <c r="Z212" s="46"/>
      <c r="AB212" s="48"/>
    </row>
    <row r="213" spans="18:28" x14ac:dyDescent="0.3">
      <c r="R213" s="60">
        <v>44633</v>
      </c>
      <c r="S213">
        <v>48.48</v>
      </c>
      <c r="T213" s="22">
        <f t="shared" si="7"/>
        <v>-1.3613861386138515E-2</v>
      </c>
      <c r="V213" s="60">
        <v>44633</v>
      </c>
      <c r="W213" s="46">
        <v>16612.599999999999</v>
      </c>
      <c r="X213" s="22">
        <f t="shared" si="8"/>
        <v>1.0847188278776398E-2</v>
      </c>
      <c r="Y213" s="46"/>
      <c r="Z213" s="46"/>
      <c r="AB213" s="48"/>
    </row>
    <row r="214" spans="18:28" x14ac:dyDescent="0.3">
      <c r="R214" s="60">
        <v>44626</v>
      </c>
      <c r="S214">
        <v>47.36</v>
      </c>
      <c r="T214" s="22">
        <f t="shared" si="7"/>
        <v>2.3648648648648685E-2</v>
      </c>
      <c r="V214" s="60">
        <v>44626</v>
      </c>
      <c r="W214" s="46">
        <v>15753.7</v>
      </c>
      <c r="X214" s="22">
        <f t="shared" si="8"/>
        <v>5.4520525336904768E-2</v>
      </c>
      <c r="Y214" s="46"/>
      <c r="Z214" s="46"/>
      <c r="AB214" s="48"/>
    </row>
    <row r="215" spans="18:28" x14ac:dyDescent="0.3">
      <c r="R215" s="60">
        <v>44619</v>
      </c>
      <c r="S215">
        <v>47.61</v>
      </c>
      <c r="T215" s="22">
        <f t="shared" si="7"/>
        <v>-5.2509976895610544E-3</v>
      </c>
      <c r="V215" s="60">
        <v>44619</v>
      </c>
      <c r="W215" s="46">
        <v>16129.7</v>
      </c>
      <c r="X215" s="22">
        <f t="shared" si="8"/>
        <v>-2.3311034923154228E-2</v>
      </c>
      <c r="Y215" s="46"/>
      <c r="Z215" s="46"/>
      <c r="AB215" s="48"/>
    </row>
    <row r="216" spans="18:28" x14ac:dyDescent="0.3">
      <c r="R216" s="60">
        <v>44612</v>
      </c>
      <c r="S216">
        <v>45.46</v>
      </c>
      <c r="T216" s="22">
        <f t="shared" si="7"/>
        <v>4.7294324681038225E-2</v>
      </c>
      <c r="V216" s="60">
        <v>44612</v>
      </c>
      <c r="W216" s="46">
        <v>16428</v>
      </c>
      <c r="X216" s="22">
        <f t="shared" si="8"/>
        <v>-1.815802288775259E-2</v>
      </c>
      <c r="Y216" s="46"/>
      <c r="Z216" s="46"/>
      <c r="AB216" s="48"/>
    </row>
    <row r="217" spans="18:28" x14ac:dyDescent="0.3">
      <c r="R217" s="60">
        <v>44605</v>
      </c>
      <c r="S217">
        <v>46</v>
      </c>
      <c r="T217" s="22">
        <f t="shared" si="7"/>
        <v>-1.1739130434782585E-2</v>
      </c>
      <c r="V217" s="60">
        <v>44605</v>
      </c>
      <c r="W217" s="46">
        <v>16392.3</v>
      </c>
      <c r="X217" s="22">
        <f t="shared" si="8"/>
        <v>2.1778517962702804E-3</v>
      </c>
      <c r="Y217" s="46"/>
      <c r="Z217" s="46"/>
      <c r="AB217" s="48"/>
    </row>
    <row r="218" spans="18:28" x14ac:dyDescent="0.3">
      <c r="R218" s="60">
        <v>44598</v>
      </c>
      <c r="S218">
        <v>45.11</v>
      </c>
      <c r="T218" s="22">
        <f t="shared" si="7"/>
        <v>1.9729549988916073E-2</v>
      </c>
      <c r="V218" s="60">
        <v>44598</v>
      </c>
      <c r="W218" s="46">
        <v>16665</v>
      </c>
      <c r="X218" s="22">
        <f t="shared" si="8"/>
        <v>-1.6363636363636358E-2</v>
      </c>
      <c r="Y218" s="46"/>
      <c r="Z218" s="46"/>
      <c r="AB218" s="48"/>
    </row>
    <row r="219" spans="18:28" x14ac:dyDescent="0.3">
      <c r="R219" s="60">
        <v>44591</v>
      </c>
      <c r="S219">
        <v>46.44</v>
      </c>
      <c r="T219" s="22">
        <f t="shared" si="7"/>
        <v>-2.8639104220499534E-2</v>
      </c>
      <c r="V219" s="60">
        <v>44591</v>
      </c>
      <c r="W219" s="46">
        <v>16701.599999999999</v>
      </c>
      <c r="X219" s="22">
        <f t="shared" si="8"/>
        <v>-2.1914068113233487E-3</v>
      </c>
      <c r="Y219" s="46"/>
      <c r="Z219" s="46"/>
      <c r="AB219" s="48"/>
    </row>
    <row r="220" spans="18:28" x14ac:dyDescent="0.3">
      <c r="R220" s="60">
        <v>44584</v>
      </c>
      <c r="S220">
        <v>45.84</v>
      </c>
      <c r="T220" s="22">
        <f t="shared" si="7"/>
        <v>1.308900523560208E-2</v>
      </c>
      <c r="V220" s="60">
        <v>44584</v>
      </c>
      <c r="W220" s="46">
        <v>16397.900000000001</v>
      </c>
      <c r="X220" s="22">
        <f t="shared" si="8"/>
        <v>1.8520664231395312E-2</v>
      </c>
      <c r="Y220" s="46"/>
      <c r="Z220" s="46"/>
      <c r="AB220" s="48"/>
    </row>
    <row r="221" spans="18:28" x14ac:dyDescent="0.3">
      <c r="R221" s="60">
        <v>44577</v>
      </c>
      <c r="S221">
        <v>46.73</v>
      </c>
      <c r="T221" s="22">
        <f t="shared" si="7"/>
        <v>-1.904558099721787E-2</v>
      </c>
      <c r="V221" s="60">
        <v>44577</v>
      </c>
      <c r="W221" s="46">
        <v>16397.3</v>
      </c>
      <c r="X221" s="22">
        <f t="shared" si="8"/>
        <v>3.6591390045970229E-5</v>
      </c>
      <c r="Y221" s="46"/>
      <c r="Z221" s="46"/>
      <c r="AB221" s="48"/>
    </row>
    <row r="222" spans="18:28" x14ac:dyDescent="0.3">
      <c r="R222" s="60">
        <v>44570</v>
      </c>
      <c r="S222">
        <v>48.35</v>
      </c>
      <c r="T222" s="22">
        <f t="shared" si="7"/>
        <v>-3.3505687693898722E-2</v>
      </c>
      <c r="V222" s="60">
        <v>44570</v>
      </c>
      <c r="W222" s="46">
        <v>17219.099999999999</v>
      </c>
      <c r="X222" s="22">
        <f t="shared" si="8"/>
        <v>-4.7726071629759947E-2</v>
      </c>
      <c r="Y222" s="46"/>
      <c r="Z222" s="46"/>
      <c r="AB222" s="48"/>
    </row>
    <row r="223" spans="18:28" x14ac:dyDescent="0.3">
      <c r="R223" s="60">
        <v>44563</v>
      </c>
      <c r="S223">
        <v>48.3</v>
      </c>
      <c r="T223" s="22">
        <f t="shared" si="7"/>
        <v>1.0351966873707319E-3</v>
      </c>
      <c r="V223" s="60">
        <v>44563</v>
      </c>
      <c r="W223" s="46">
        <v>17166.3</v>
      </c>
      <c r="X223" s="22">
        <f t="shared" si="8"/>
        <v>3.0757938519074823E-3</v>
      </c>
      <c r="Y223" s="46"/>
      <c r="Z223" s="46"/>
      <c r="AB223" s="48"/>
    </row>
    <row r="224" spans="18:28" x14ac:dyDescent="0.3">
      <c r="R224" s="60">
        <v>44556</v>
      </c>
      <c r="S224">
        <v>48.23</v>
      </c>
      <c r="T224" s="22">
        <f t="shared" si="7"/>
        <v>1.4513788098693414E-3</v>
      </c>
      <c r="V224" s="60">
        <v>44556</v>
      </c>
      <c r="W224" s="46">
        <v>17164.099999999999</v>
      </c>
      <c r="X224" s="22">
        <f t="shared" si="8"/>
        <v>1.2817450376090278E-4</v>
      </c>
      <c r="Y224" s="46"/>
      <c r="Z224" s="46"/>
      <c r="AB224" s="48"/>
    </row>
    <row r="225" spans="18:28" x14ac:dyDescent="0.3">
      <c r="R225" s="60">
        <v>44549</v>
      </c>
      <c r="S225">
        <v>46.5</v>
      </c>
      <c r="T225" s="22">
        <f t="shared" si="7"/>
        <v>3.7204301075268731E-2</v>
      </c>
      <c r="V225" s="60">
        <v>44549</v>
      </c>
      <c r="W225" s="46">
        <v>16963.400000000001</v>
      </c>
      <c r="X225" s="22">
        <f t="shared" si="8"/>
        <v>1.1831354563353935E-2</v>
      </c>
      <c r="Y225" s="46"/>
      <c r="Z225" s="46"/>
      <c r="AB225" s="48"/>
    </row>
    <row r="226" spans="18:28" x14ac:dyDescent="0.3">
      <c r="R226" s="60">
        <v>44542</v>
      </c>
      <c r="S226">
        <v>46.25</v>
      </c>
      <c r="T226" s="22">
        <f t="shared" si="7"/>
        <v>5.4054054054053502E-3</v>
      </c>
      <c r="V226" s="60">
        <v>44542</v>
      </c>
      <c r="W226" s="46">
        <v>16668.599999999999</v>
      </c>
      <c r="X226" s="22">
        <f t="shared" si="8"/>
        <v>1.7685948429982279E-2</v>
      </c>
      <c r="Y226" s="46"/>
      <c r="Z226" s="46"/>
      <c r="AB226" s="48"/>
    </row>
    <row r="227" spans="18:28" x14ac:dyDescent="0.3">
      <c r="R227" s="60">
        <v>44535</v>
      </c>
      <c r="S227">
        <v>47.01</v>
      </c>
      <c r="T227" s="22">
        <f t="shared" si="7"/>
        <v>-1.6166773027015524E-2</v>
      </c>
      <c r="V227" s="60">
        <v>44535</v>
      </c>
      <c r="W227" s="46">
        <v>16856.599999999999</v>
      </c>
      <c r="X227" s="22">
        <f t="shared" si="8"/>
        <v>-1.1152901534117188E-2</v>
      </c>
      <c r="Y227" s="46"/>
      <c r="Z227" s="46"/>
      <c r="AB227" s="48"/>
    </row>
    <row r="228" spans="18:28" x14ac:dyDescent="0.3">
      <c r="R228" s="60">
        <v>44528</v>
      </c>
      <c r="S228">
        <v>45.84</v>
      </c>
      <c r="T228" s="22">
        <f t="shared" si="7"/>
        <v>2.5523560209423923E-2</v>
      </c>
      <c r="V228" s="60">
        <v>44528</v>
      </c>
      <c r="W228" s="46">
        <v>16347.9</v>
      </c>
      <c r="X228" s="22">
        <f t="shared" si="8"/>
        <v>3.1117146544816121E-2</v>
      </c>
      <c r="Y228" s="46"/>
      <c r="Z228" s="46"/>
      <c r="AB228" s="48"/>
    </row>
    <row r="229" spans="18:28" x14ac:dyDescent="0.3">
      <c r="R229" s="60">
        <v>44521</v>
      </c>
      <c r="S229">
        <v>48.3</v>
      </c>
      <c r="T229" s="22">
        <f t="shared" si="7"/>
        <v>-5.0931677018633437E-2</v>
      </c>
      <c r="V229" s="60">
        <v>44521</v>
      </c>
      <c r="W229" s="46">
        <v>16624.900000000001</v>
      </c>
      <c r="X229" s="22">
        <f t="shared" si="8"/>
        <v>-1.6661754356417258E-2</v>
      </c>
      <c r="Y229" s="46"/>
      <c r="Z229" s="46"/>
      <c r="AB229" s="48"/>
    </row>
    <row r="230" spans="18:28" x14ac:dyDescent="0.3">
      <c r="R230" s="60">
        <v>44514</v>
      </c>
      <c r="S230">
        <v>47.46</v>
      </c>
      <c r="T230" s="22">
        <f t="shared" si="7"/>
        <v>1.7699115044247815E-2</v>
      </c>
      <c r="V230" s="60">
        <v>44514</v>
      </c>
      <c r="W230" s="46">
        <v>16974</v>
      </c>
      <c r="X230" s="22">
        <f t="shared" si="8"/>
        <v>-2.0566749145752294E-2</v>
      </c>
      <c r="Y230" s="46"/>
      <c r="Z230" s="46"/>
      <c r="AB230" s="48"/>
    </row>
    <row r="231" spans="18:28" x14ac:dyDescent="0.3">
      <c r="R231" s="60">
        <v>44507</v>
      </c>
      <c r="S231">
        <v>49.25</v>
      </c>
      <c r="T231" s="22">
        <f t="shared" si="7"/>
        <v>-3.6345177664974582E-2</v>
      </c>
      <c r="V231" s="60">
        <v>44507</v>
      </c>
      <c r="W231" s="46">
        <v>17297.7</v>
      </c>
      <c r="X231" s="22">
        <f t="shared" si="8"/>
        <v>-1.8713470577013225E-2</v>
      </c>
      <c r="Y231" s="46"/>
      <c r="Z231" s="46"/>
      <c r="AB231" s="48"/>
    </row>
    <row r="232" spans="18:28" x14ac:dyDescent="0.3">
      <c r="R232" s="60">
        <v>44500</v>
      </c>
      <c r="S232">
        <v>50.08</v>
      </c>
      <c r="T232" s="22">
        <f t="shared" si="7"/>
        <v>-1.6573482428114961E-2</v>
      </c>
      <c r="V232" s="60">
        <v>44500</v>
      </c>
      <c r="W232" s="46">
        <v>17242.400000000001</v>
      </c>
      <c r="X232" s="22">
        <f t="shared" si="8"/>
        <v>3.2072101331601655E-3</v>
      </c>
      <c r="Y232" s="46"/>
      <c r="Z232" s="46"/>
      <c r="AB232" s="48"/>
    </row>
    <row r="233" spans="18:28" x14ac:dyDescent="0.3">
      <c r="R233" s="60">
        <v>44493</v>
      </c>
      <c r="S233">
        <v>49.81</v>
      </c>
      <c r="T233" s="22">
        <f t="shared" si="7"/>
        <v>5.4205982734389924E-3</v>
      </c>
      <c r="V233" s="60">
        <v>44493</v>
      </c>
      <c r="W233" s="46">
        <v>17016.400000000001</v>
      </c>
      <c r="X233" s="22">
        <f t="shared" si="8"/>
        <v>1.3281305093909346E-2</v>
      </c>
      <c r="Y233" s="46"/>
      <c r="Z233" s="46"/>
      <c r="AB233" s="48"/>
    </row>
    <row r="234" spans="18:28" x14ac:dyDescent="0.3">
      <c r="R234" s="60">
        <v>44486</v>
      </c>
      <c r="S234">
        <v>49.45</v>
      </c>
      <c r="T234" s="22">
        <f t="shared" si="7"/>
        <v>7.2800808897877101E-3</v>
      </c>
      <c r="V234" s="60">
        <v>44486</v>
      </c>
      <c r="W234" s="46">
        <v>17122.2</v>
      </c>
      <c r="X234" s="22">
        <f t="shared" si="8"/>
        <v>-6.1791124972258027E-3</v>
      </c>
      <c r="Y234" s="46"/>
      <c r="Z234" s="46"/>
      <c r="AB234" s="48"/>
    </row>
    <row r="235" spans="18:28" x14ac:dyDescent="0.3">
      <c r="R235" s="60">
        <v>44479</v>
      </c>
      <c r="S235">
        <v>46.85</v>
      </c>
      <c r="T235" s="22">
        <f t="shared" si="7"/>
        <v>5.5496264674493201E-2</v>
      </c>
      <c r="V235" s="60">
        <v>44479</v>
      </c>
      <c r="W235" s="46">
        <v>16871.7</v>
      </c>
      <c r="X235" s="22">
        <f t="shared" si="8"/>
        <v>1.4847347925816656E-2</v>
      </c>
      <c r="Y235" s="46"/>
      <c r="Z235" s="46"/>
      <c r="AB235" s="48"/>
    </row>
    <row r="236" spans="18:28" x14ac:dyDescent="0.3">
      <c r="R236" s="60">
        <v>44472</v>
      </c>
      <c r="S236">
        <v>46.55</v>
      </c>
      <c r="T236" s="22">
        <f t="shared" si="7"/>
        <v>6.4446831364124435E-3</v>
      </c>
      <c r="V236" s="60">
        <v>44472</v>
      </c>
      <c r="W236" s="46">
        <v>16517.2</v>
      </c>
      <c r="X236" s="22">
        <f t="shared" si="8"/>
        <v>2.1462475480105603E-2</v>
      </c>
      <c r="Y236" s="46"/>
      <c r="Z236" s="46"/>
      <c r="AB236" s="48"/>
    </row>
    <row r="237" spans="18:28" x14ac:dyDescent="0.3">
      <c r="R237" s="60">
        <v>44465</v>
      </c>
      <c r="S237">
        <v>45.68</v>
      </c>
      <c r="T237" s="22">
        <f t="shared" si="7"/>
        <v>1.9045534150612831E-2</v>
      </c>
      <c r="V237" s="60">
        <v>44465</v>
      </c>
      <c r="W237" s="46">
        <v>16323.7</v>
      </c>
      <c r="X237" s="22">
        <f t="shared" si="8"/>
        <v>1.1853930175144134E-2</v>
      </c>
      <c r="Y237" s="46"/>
      <c r="Z237" s="46"/>
      <c r="AB237" s="48"/>
    </row>
    <row r="238" spans="18:28" x14ac:dyDescent="0.3">
      <c r="R238" s="60">
        <v>44458</v>
      </c>
      <c r="S238">
        <v>47.72</v>
      </c>
      <c r="T238" s="22">
        <f t="shared" si="7"/>
        <v>-4.2749371332774455E-2</v>
      </c>
      <c r="V238" s="60">
        <v>44458</v>
      </c>
      <c r="W238" s="46">
        <v>16539.2</v>
      </c>
      <c r="X238" s="22">
        <f t="shared" si="8"/>
        <v>-1.3029650769081913E-2</v>
      </c>
      <c r="Y238" s="46"/>
      <c r="Z238" s="46"/>
      <c r="AB238" s="48"/>
    </row>
    <row r="239" spans="18:28" x14ac:dyDescent="0.3">
      <c r="R239" s="60">
        <v>44451</v>
      </c>
      <c r="S239">
        <v>48.24</v>
      </c>
      <c r="T239" s="22">
        <f t="shared" si="7"/>
        <v>-1.0779436152570598E-2</v>
      </c>
      <c r="V239" s="60">
        <v>44451</v>
      </c>
      <c r="W239" s="46">
        <v>16460.3</v>
      </c>
      <c r="X239" s="22">
        <f t="shared" si="8"/>
        <v>4.7933512754931851E-3</v>
      </c>
      <c r="Y239" s="46"/>
      <c r="Z239" s="46"/>
      <c r="AB239" s="48"/>
    </row>
    <row r="240" spans="18:28" x14ac:dyDescent="0.3">
      <c r="R240" s="60">
        <v>44444</v>
      </c>
      <c r="S240">
        <v>48.63</v>
      </c>
      <c r="T240" s="22">
        <f t="shared" si="7"/>
        <v>-8.0197409006785847E-3</v>
      </c>
      <c r="V240" s="60">
        <v>44444</v>
      </c>
      <c r="W240" s="46">
        <v>16563.5</v>
      </c>
      <c r="X240" s="22">
        <f t="shared" si="8"/>
        <v>-6.2305672110363197E-3</v>
      </c>
      <c r="Y240" s="46"/>
      <c r="Z240" s="46"/>
      <c r="AB240" s="48"/>
    </row>
    <row r="241" spans="18:28" x14ac:dyDescent="0.3">
      <c r="R241" s="60">
        <v>44437</v>
      </c>
      <c r="S241">
        <v>49.75</v>
      </c>
      <c r="T241" s="22">
        <f t="shared" si="7"/>
        <v>-2.2512562814070325E-2</v>
      </c>
      <c r="V241" s="60">
        <v>44437</v>
      </c>
      <c r="W241" s="46">
        <v>16909.7</v>
      </c>
      <c r="X241" s="22">
        <f t="shared" si="8"/>
        <v>-2.0473456063679452E-2</v>
      </c>
      <c r="Y241" s="46"/>
      <c r="Z241" s="46"/>
      <c r="AB241" s="48"/>
    </row>
    <row r="242" spans="18:28" x14ac:dyDescent="0.3">
      <c r="R242" s="60">
        <v>44430</v>
      </c>
      <c r="S242">
        <v>48.84</v>
      </c>
      <c r="T242" s="22">
        <f t="shared" si="7"/>
        <v>1.8632268632268634E-2</v>
      </c>
      <c r="V242" s="60">
        <v>44430</v>
      </c>
      <c r="W242" s="46">
        <v>16844.8</v>
      </c>
      <c r="X242" s="22">
        <f t="shared" si="8"/>
        <v>3.8528210486323822E-3</v>
      </c>
      <c r="Y242" s="46"/>
      <c r="Z242" s="46"/>
      <c r="AB242" s="48"/>
    </row>
    <row r="243" spans="18:28" x14ac:dyDescent="0.3">
      <c r="R243" s="60">
        <v>44423</v>
      </c>
      <c r="S243">
        <v>50.48</v>
      </c>
      <c r="T243" s="22">
        <f t="shared" si="7"/>
        <v>-3.2488114104595733E-2</v>
      </c>
      <c r="V243" s="60">
        <v>44423</v>
      </c>
      <c r="W243" s="46">
        <v>16516.7</v>
      </c>
      <c r="X243" s="22">
        <f t="shared" si="8"/>
        <v>1.9864742957128145E-2</v>
      </c>
      <c r="Y243" s="46"/>
      <c r="Z243" s="46"/>
      <c r="AB243" s="48"/>
    </row>
    <row r="244" spans="18:28" x14ac:dyDescent="0.3">
      <c r="R244" s="60">
        <v>44416</v>
      </c>
      <c r="S244">
        <v>49.84</v>
      </c>
      <c r="T244" s="22">
        <f t="shared" si="7"/>
        <v>1.2841091492776791E-2</v>
      </c>
      <c r="V244" s="60">
        <v>44416</v>
      </c>
      <c r="W244" s="46">
        <v>16868.099999999999</v>
      </c>
      <c r="X244" s="22">
        <f t="shared" si="8"/>
        <v>-2.0832221767715264E-2</v>
      </c>
      <c r="Y244" s="46"/>
      <c r="Z244" s="46"/>
      <c r="AB244" s="48"/>
    </row>
    <row r="245" spans="18:28" x14ac:dyDescent="0.3">
      <c r="R245" s="60">
        <v>44409</v>
      </c>
      <c r="S245">
        <v>48.41</v>
      </c>
      <c r="T245" s="22">
        <f t="shared" si="7"/>
        <v>2.9539351373683242E-2</v>
      </c>
      <c r="V245" s="60">
        <v>44409</v>
      </c>
      <c r="W245" s="46">
        <v>16748.099999999999</v>
      </c>
      <c r="X245" s="22">
        <f t="shared" si="8"/>
        <v>7.1649918498217779E-3</v>
      </c>
      <c r="Y245" s="46"/>
      <c r="Z245" s="46"/>
      <c r="AB245" s="48"/>
    </row>
    <row r="246" spans="18:28" x14ac:dyDescent="0.3">
      <c r="R246" s="60">
        <v>44402</v>
      </c>
      <c r="S246">
        <v>47.52</v>
      </c>
      <c r="T246" s="22">
        <f t="shared" si="7"/>
        <v>1.8728956228956095E-2</v>
      </c>
      <c r="V246" s="60">
        <v>44402</v>
      </c>
      <c r="W246" s="46">
        <v>16602.3</v>
      </c>
      <c r="X246" s="22">
        <f t="shared" si="8"/>
        <v>8.7819157586599417E-3</v>
      </c>
      <c r="Y246" s="46"/>
      <c r="Z246" s="46"/>
      <c r="AB246" s="48"/>
    </row>
    <row r="247" spans="18:28" x14ac:dyDescent="0.3">
      <c r="R247" s="60">
        <v>44395</v>
      </c>
      <c r="S247">
        <v>47.48</v>
      </c>
      <c r="T247" s="22">
        <f t="shared" si="7"/>
        <v>8.4245998315091164E-4</v>
      </c>
      <c r="V247" s="60">
        <v>44395</v>
      </c>
      <c r="W247" s="46">
        <v>16552.400000000001</v>
      </c>
      <c r="X247" s="22">
        <f t="shared" si="8"/>
        <v>3.0146685676999407E-3</v>
      </c>
      <c r="Y247" s="46"/>
      <c r="Z247" s="46"/>
      <c r="AB247" s="48"/>
    </row>
    <row r="248" spans="18:28" x14ac:dyDescent="0.3">
      <c r="R248" s="60">
        <v>44388</v>
      </c>
      <c r="S248">
        <v>47.19</v>
      </c>
      <c r="T248" s="22">
        <f t="shared" si="7"/>
        <v>6.1453697817333008E-3</v>
      </c>
      <c r="V248" s="60">
        <v>44388</v>
      </c>
      <c r="W248" s="46">
        <v>16364.7</v>
      </c>
      <c r="X248" s="22">
        <f t="shared" si="8"/>
        <v>1.146981001790448E-2</v>
      </c>
      <c r="Y248" s="46"/>
      <c r="Z248" s="46"/>
      <c r="AB248" s="48"/>
    </row>
    <row r="249" spans="18:28" x14ac:dyDescent="0.3">
      <c r="R249" s="60">
        <v>44381</v>
      </c>
      <c r="S249">
        <v>46.77</v>
      </c>
      <c r="T249" s="22">
        <f t="shared" si="7"/>
        <v>8.9801154586273135E-3</v>
      </c>
      <c r="V249" s="60">
        <v>44381</v>
      </c>
      <c r="W249" s="46">
        <v>16633.3</v>
      </c>
      <c r="X249" s="22">
        <f t="shared" si="8"/>
        <v>-1.6148328954566971E-2</v>
      </c>
      <c r="Y249" s="46"/>
      <c r="Z249" s="46"/>
      <c r="AB249" s="48"/>
    </row>
    <row r="250" spans="18:28" x14ac:dyDescent="0.3">
      <c r="R250" s="60">
        <v>44374</v>
      </c>
      <c r="S250">
        <v>46.7</v>
      </c>
      <c r="T250" s="22">
        <f t="shared" si="7"/>
        <v>1.4989293361884481E-3</v>
      </c>
      <c r="V250" s="60">
        <v>44374</v>
      </c>
      <c r="W250" s="46">
        <v>16674.8</v>
      </c>
      <c r="X250" s="22">
        <f t="shared" si="8"/>
        <v>-2.488785472689381E-3</v>
      </c>
      <c r="Y250" s="46"/>
      <c r="Z250" s="46"/>
      <c r="AB250" s="48"/>
    </row>
    <row r="251" spans="18:28" x14ac:dyDescent="0.3">
      <c r="R251" s="60">
        <v>44367</v>
      </c>
      <c r="S251">
        <v>46.18</v>
      </c>
      <c r="T251" s="22">
        <f t="shared" si="7"/>
        <v>1.1260285838025297E-2</v>
      </c>
      <c r="V251" s="60">
        <v>44367</v>
      </c>
      <c r="W251" s="46">
        <v>16658.8</v>
      </c>
      <c r="X251" s="22">
        <f t="shared" si="8"/>
        <v>9.6045333397354327E-4</v>
      </c>
      <c r="Y251" s="46"/>
      <c r="Z251" s="46"/>
      <c r="AB251" s="48"/>
    </row>
    <row r="252" spans="18:28" x14ac:dyDescent="0.3">
      <c r="R252" s="60">
        <v>44360</v>
      </c>
      <c r="S252">
        <v>45.06</v>
      </c>
      <c r="T252" s="22">
        <f t="shared" si="7"/>
        <v>2.4855747891699975E-2</v>
      </c>
      <c r="V252" s="60">
        <v>44360</v>
      </c>
      <c r="W252" s="46">
        <v>16144</v>
      </c>
      <c r="X252" s="22">
        <f t="shared" si="8"/>
        <v>3.1888007928642104E-2</v>
      </c>
      <c r="Y252" s="46"/>
      <c r="Z252" s="46"/>
      <c r="AB252" s="48"/>
    </row>
    <row r="253" spans="18:28" x14ac:dyDescent="0.3">
      <c r="R253" s="60">
        <v>44353</v>
      </c>
      <c r="S253">
        <v>46.92</v>
      </c>
      <c r="T253" s="22">
        <f t="shared" si="7"/>
        <v>-3.9641943734015306E-2</v>
      </c>
      <c r="V253" s="60">
        <v>44353</v>
      </c>
      <c r="W253" s="46">
        <v>16694.900000000001</v>
      </c>
      <c r="X253" s="22">
        <f t="shared" si="8"/>
        <v>-3.2998101216539233E-2</v>
      </c>
      <c r="Y253" s="46"/>
      <c r="Z253" s="46"/>
      <c r="AB253" s="48"/>
    </row>
    <row r="254" spans="18:28" x14ac:dyDescent="0.3">
      <c r="R254" s="60">
        <v>44346</v>
      </c>
      <c r="S254">
        <v>47.28</v>
      </c>
      <c r="T254" s="22">
        <f t="shared" si="7"/>
        <v>-7.6142131979695105E-3</v>
      </c>
      <c r="V254" s="60">
        <v>44346</v>
      </c>
      <c r="W254" s="46">
        <v>16708.7</v>
      </c>
      <c r="X254" s="22">
        <f t="shared" si="8"/>
        <v>-8.259170372320046E-4</v>
      </c>
      <c r="Y254" s="46"/>
      <c r="Z254" s="46"/>
      <c r="AB254" s="48"/>
    </row>
    <row r="255" spans="18:28" x14ac:dyDescent="0.3">
      <c r="R255" s="60">
        <v>44339</v>
      </c>
      <c r="S255">
        <v>47.34</v>
      </c>
      <c r="T255" s="22">
        <f t="shared" si="7"/>
        <v>-1.2674271229404788E-3</v>
      </c>
      <c r="V255" s="60">
        <v>44339</v>
      </c>
      <c r="W255" s="46">
        <v>16555.7</v>
      </c>
      <c r="X255" s="22">
        <f t="shared" si="8"/>
        <v>9.2415301074555423E-3</v>
      </c>
      <c r="Y255" s="46"/>
      <c r="Z255" s="46"/>
      <c r="AB255" s="48"/>
    </row>
    <row r="256" spans="18:28" x14ac:dyDescent="0.3">
      <c r="R256" s="60">
        <v>44332</v>
      </c>
      <c r="S256">
        <v>47.25</v>
      </c>
      <c r="T256" s="22">
        <f t="shared" si="7"/>
        <v>1.9047619047620756E-3</v>
      </c>
      <c r="V256" s="60">
        <v>44332</v>
      </c>
      <c r="W256" s="46">
        <v>16375</v>
      </c>
      <c r="X256" s="22">
        <f t="shared" si="8"/>
        <v>1.1035114503816779E-2</v>
      </c>
      <c r="Y256" s="46"/>
      <c r="Z256" s="46"/>
      <c r="AB256" s="48"/>
    </row>
    <row r="257" spans="18:28" x14ac:dyDescent="0.3">
      <c r="R257" s="60">
        <v>44325</v>
      </c>
      <c r="S257">
        <v>46.51</v>
      </c>
      <c r="T257" s="22">
        <f t="shared" si="7"/>
        <v>1.5910556869490389E-2</v>
      </c>
      <c r="V257" s="60">
        <v>44325</v>
      </c>
      <c r="W257" s="46">
        <v>16415.400000000001</v>
      </c>
      <c r="X257" s="22">
        <f t="shared" si="8"/>
        <v>-2.46110359784113E-3</v>
      </c>
      <c r="Y257" s="46"/>
      <c r="Z257" s="46"/>
      <c r="AB257" s="48"/>
    </row>
    <row r="258" spans="18:28" x14ac:dyDescent="0.3">
      <c r="R258" s="60">
        <v>44318</v>
      </c>
      <c r="S258">
        <v>46.73</v>
      </c>
      <c r="T258" s="22">
        <f t="shared" si="7"/>
        <v>-4.7078964262785572E-3</v>
      </c>
      <c r="V258" s="60">
        <v>44318</v>
      </c>
      <c r="W258" s="46">
        <v>16590.400000000001</v>
      </c>
      <c r="X258" s="22">
        <f t="shared" si="8"/>
        <v>-1.0548268878387446E-2</v>
      </c>
      <c r="Y258" s="46"/>
      <c r="Z258" s="46"/>
      <c r="AB258" s="48"/>
    </row>
    <row r="259" spans="18:28" x14ac:dyDescent="0.3">
      <c r="R259" s="60">
        <v>44311</v>
      </c>
      <c r="S259">
        <v>46.64</v>
      </c>
      <c r="T259" s="22">
        <f t="shared" si="7"/>
        <v>1.9296740994854122E-3</v>
      </c>
      <c r="V259" s="60">
        <v>44311</v>
      </c>
      <c r="W259" s="46">
        <v>16219.3</v>
      </c>
      <c r="X259" s="22">
        <f t="shared" si="8"/>
        <v>2.2880148958339896E-2</v>
      </c>
      <c r="Y259" s="46"/>
      <c r="Z259" s="46"/>
      <c r="AB259" s="48"/>
    </row>
    <row r="260" spans="18:28" x14ac:dyDescent="0.3">
      <c r="R260" s="60">
        <v>44304</v>
      </c>
      <c r="S260">
        <v>46.63</v>
      </c>
      <c r="T260" s="22">
        <f t="shared" si="7"/>
        <v>2.1445421402521703E-4</v>
      </c>
      <c r="V260" s="60">
        <v>44304</v>
      </c>
      <c r="W260" s="46">
        <v>16206</v>
      </c>
      <c r="X260" s="22">
        <f t="shared" si="8"/>
        <v>8.2068369739607405E-4</v>
      </c>
      <c r="Y260" s="46"/>
      <c r="Z260" s="46"/>
      <c r="AB260" s="48"/>
    </row>
    <row r="261" spans="18:28" x14ac:dyDescent="0.3">
      <c r="R261" s="60">
        <v>44297</v>
      </c>
      <c r="S261">
        <v>46.87</v>
      </c>
      <c r="T261" s="22">
        <f t="shared" si="7"/>
        <v>-5.1205461915936334E-3</v>
      </c>
      <c r="V261" s="60">
        <v>44297</v>
      </c>
      <c r="W261" s="46">
        <v>16186.3</v>
      </c>
      <c r="X261" s="22">
        <f t="shared" si="8"/>
        <v>1.2170786405787393E-3</v>
      </c>
      <c r="Y261" s="46"/>
      <c r="Z261" s="46"/>
      <c r="AB261" s="48"/>
    </row>
    <row r="262" spans="18:28" x14ac:dyDescent="0.3">
      <c r="R262" s="60">
        <v>44290</v>
      </c>
      <c r="S262">
        <v>46.59</v>
      </c>
      <c r="T262" s="22">
        <f t="shared" ref="T262:T275" si="9">S261/S262-1</f>
        <v>6.0098733633826562E-3</v>
      </c>
      <c r="V262" s="60">
        <v>44290</v>
      </c>
      <c r="W262" s="46">
        <v>15956.4</v>
      </c>
      <c r="X262" s="22">
        <f t="shared" ref="X262:X275" si="10">W261/W262-1</f>
        <v>1.440801183224294E-2</v>
      </c>
      <c r="Y262" s="46"/>
      <c r="Z262" s="46"/>
      <c r="AB262" s="48"/>
    </row>
    <row r="263" spans="18:28" x14ac:dyDescent="0.3">
      <c r="R263" s="60">
        <v>44283</v>
      </c>
      <c r="S263">
        <v>45.21</v>
      </c>
      <c r="T263" s="22">
        <f t="shared" si="9"/>
        <v>3.0524220305242267E-2</v>
      </c>
      <c r="V263" s="60">
        <v>44283</v>
      </c>
      <c r="W263" s="46">
        <v>15752.2</v>
      </c>
      <c r="X263" s="22">
        <f t="shared" si="10"/>
        <v>1.2963268622795399E-2</v>
      </c>
      <c r="Y263" s="46"/>
      <c r="Z263" s="46"/>
      <c r="AB263" s="48"/>
    </row>
    <row r="264" spans="18:28" x14ac:dyDescent="0.3">
      <c r="R264" s="60">
        <v>44276</v>
      </c>
      <c r="S264">
        <v>45.04</v>
      </c>
      <c r="T264" s="22">
        <f t="shared" si="9"/>
        <v>3.7744227353464499E-3</v>
      </c>
      <c r="V264" s="60">
        <v>44276</v>
      </c>
      <c r="W264" s="46">
        <v>15682.5</v>
      </c>
      <c r="X264" s="22">
        <f t="shared" si="10"/>
        <v>4.4444444444444731E-3</v>
      </c>
      <c r="Y264" s="46"/>
      <c r="Z264" s="46"/>
      <c r="AB264" s="48"/>
    </row>
    <row r="265" spans="18:28" x14ac:dyDescent="0.3">
      <c r="R265" s="60">
        <v>44269</v>
      </c>
      <c r="S265">
        <v>43.91</v>
      </c>
      <c r="T265" s="22">
        <f t="shared" si="9"/>
        <v>2.5734456843543585E-2</v>
      </c>
      <c r="V265" s="60">
        <v>44269</v>
      </c>
      <c r="W265" s="46">
        <v>15562.3</v>
      </c>
      <c r="X265" s="22">
        <f t="shared" si="10"/>
        <v>7.7237940407266503E-3</v>
      </c>
      <c r="Y265" s="46"/>
      <c r="Z265" s="46"/>
      <c r="AB265" s="48"/>
    </row>
    <row r="266" spans="18:28" x14ac:dyDescent="0.3">
      <c r="R266" s="60">
        <v>44262</v>
      </c>
      <c r="S266">
        <v>44.71</v>
      </c>
      <c r="T266" s="22">
        <f t="shared" si="9"/>
        <v>-1.7893088794453282E-2</v>
      </c>
      <c r="V266" s="60">
        <v>44262</v>
      </c>
      <c r="W266" s="46">
        <v>15715.2</v>
      </c>
      <c r="X266" s="22">
        <f t="shared" si="10"/>
        <v>-9.7294339238445104E-3</v>
      </c>
      <c r="Y266" s="46"/>
      <c r="Z266" s="46"/>
      <c r="AB266" s="48"/>
    </row>
    <row r="267" spans="18:28" x14ac:dyDescent="0.3">
      <c r="R267" s="60">
        <v>44255</v>
      </c>
      <c r="S267">
        <v>43.04</v>
      </c>
      <c r="T267" s="22">
        <f t="shared" si="9"/>
        <v>3.8801115241635653E-2</v>
      </c>
      <c r="V267" s="60">
        <v>44255</v>
      </c>
      <c r="W267" s="46">
        <v>15251.8</v>
      </c>
      <c r="X267" s="22">
        <f t="shared" si="10"/>
        <v>3.0383299020443566E-2</v>
      </c>
      <c r="Y267" s="46"/>
      <c r="Z267" s="46"/>
      <c r="AB267" s="48"/>
    </row>
    <row r="268" spans="18:28" x14ac:dyDescent="0.3">
      <c r="R268" s="60">
        <v>44248</v>
      </c>
      <c r="S268">
        <v>43.31</v>
      </c>
      <c r="T268" s="22">
        <f t="shared" si="9"/>
        <v>-6.2341260678827615E-3</v>
      </c>
      <c r="V268" s="60">
        <v>44248</v>
      </c>
      <c r="W268" s="46">
        <v>15010.5</v>
      </c>
      <c r="X268" s="22">
        <f t="shared" si="10"/>
        <v>1.6075413876952771E-2</v>
      </c>
      <c r="Y268" s="46"/>
      <c r="Z268" s="46"/>
      <c r="AB268" s="48"/>
    </row>
    <row r="269" spans="18:28" x14ac:dyDescent="0.3">
      <c r="R269" s="60">
        <v>44241</v>
      </c>
      <c r="S269">
        <v>46.11</v>
      </c>
      <c r="T269" s="22">
        <f t="shared" si="9"/>
        <v>-6.0724354803730174E-2</v>
      </c>
      <c r="V269" s="60">
        <v>44241</v>
      </c>
      <c r="W269" s="46">
        <v>15362.7</v>
      </c>
      <c r="X269" s="22">
        <f t="shared" si="10"/>
        <v>-2.2925657599250138E-2</v>
      </c>
      <c r="Y269" s="46"/>
      <c r="Z269" s="46"/>
      <c r="AB269" s="48"/>
    </row>
    <row r="270" spans="18:28" x14ac:dyDescent="0.3">
      <c r="R270" s="60">
        <v>44234</v>
      </c>
      <c r="S270">
        <v>48.16</v>
      </c>
      <c r="T270" s="22">
        <f t="shared" si="9"/>
        <v>-4.2566445182724233E-2</v>
      </c>
      <c r="V270" s="60">
        <v>44234</v>
      </c>
      <c r="W270" s="46">
        <v>15369.6</v>
      </c>
      <c r="X270" s="22">
        <f t="shared" si="10"/>
        <v>-4.4893816364766082E-4</v>
      </c>
      <c r="Y270" s="46"/>
      <c r="Z270" s="46"/>
      <c r="AB270" s="48"/>
    </row>
    <row r="271" spans="18:28" x14ac:dyDescent="0.3">
      <c r="R271" s="60">
        <v>44227</v>
      </c>
      <c r="S271">
        <v>48.12</v>
      </c>
      <c r="T271" s="22">
        <f t="shared" si="9"/>
        <v>8.3125519534488213E-4</v>
      </c>
      <c r="V271" s="60">
        <v>44227</v>
      </c>
      <c r="W271" s="46">
        <v>15069.6</v>
      </c>
      <c r="X271" s="22">
        <f t="shared" si="10"/>
        <v>1.990762860328088E-2</v>
      </c>
      <c r="Y271" s="46"/>
      <c r="Z271" s="46"/>
      <c r="AB271" s="48"/>
    </row>
    <row r="272" spans="18:28" x14ac:dyDescent="0.3">
      <c r="R272" s="60">
        <v>44220</v>
      </c>
      <c r="S272">
        <v>46.83</v>
      </c>
      <c r="T272" s="22">
        <f t="shared" si="9"/>
        <v>2.754644458680322E-2</v>
      </c>
      <c r="V272" s="60">
        <v>44220</v>
      </c>
      <c r="W272" s="46">
        <v>14397.2</v>
      </c>
      <c r="X272" s="22">
        <f t="shared" si="10"/>
        <v>4.6703525685549918E-2</v>
      </c>
      <c r="Y272" s="46"/>
      <c r="Z272" s="46"/>
      <c r="AB272" s="48"/>
    </row>
    <row r="273" spans="18:28" x14ac:dyDescent="0.3">
      <c r="R273" s="60">
        <v>44213</v>
      </c>
      <c r="S273">
        <v>48.78</v>
      </c>
      <c r="T273" s="22">
        <f t="shared" si="9"/>
        <v>-3.9975399753997554E-2</v>
      </c>
      <c r="V273" s="60">
        <v>44213</v>
      </c>
      <c r="W273" s="46">
        <v>14951.8</v>
      </c>
      <c r="X273" s="22">
        <f t="shared" si="10"/>
        <v>-3.7092523977046099E-2</v>
      </c>
      <c r="Y273" s="46"/>
      <c r="Z273" s="46"/>
      <c r="AB273" s="48"/>
    </row>
    <row r="274" spans="18:28" x14ac:dyDescent="0.3">
      <c r="R274" s="60">
        <v>44206</v>
      </c>
      <c r="S274">
        <v>48.21</v>
      </c>
      <c r="T274" s="22">
        <f t="shared" si="9"/>
        <v>1.1823273179838223E-2</v>
      </c>
      <c r="V274" s="60">
        <v>44206</v>
      </c>
      <c r="W274" s="46">
        <v>14894.2</v>
      </c>
      <c r="X274" s="22">
        <f t="shared" si="10"/>
        <v>3.8672771951497875E-3</v>
      </c>
      <c r="Y274" s="46"/>
      <c r="Z274" s="46"/>
      <c r="AB274" s="48"/>
    </row>
    <row r="275" spans="18:28" x14ac:dyDescent="0.3">
      <c r="R275" s="60">
        <v>44199</v>
      </c>
      <c r="S275">
        <v>48.88</v>
      </c>
      <c r="T275" s="22">
        <f t="shared" si="9"/>
        <v>-1.3707037643207909E-2</v>
      </c>
      <c r="V275" s="60">
        <v>44199</v>
      </c>
      <c r="W275" s="46">
        <v>14966.8</v>
      </c>
      <c r="X275" s="22">
        <f t="shared" si="10"/>
        <v>-4.8507362963358114E-3</v>
      </c>
      <c r="Y275" s="46"/>
      <c r="Z275" s="46"/>
      <c r="AB275" s="48"/>
    </row>
  </sheetData>
  <mergeCells count="3">
    <mergeCell ref="B81:E81"/>
    <mergeCell ref="F81:I81"/>
    <mergeCell ref="J81:M81"/>
  </mergeCells>
  <pageMargins left="0.7" right="0.7" top="0.75" bottom="0.75" header="0.3" footer="0.3"/>
  <pageSetup orientation="portrait" r:id="rId1"/>
  <ignoredErrors>
    <ignoredError sqref="P39:P6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Comps</vt:lpstr>
      <vt:lpstr>DCF</vt:lpstr>
      <vt:lpstr>WACC</vt:lpstr>
      <vt:lpstr>Data-&gt;</vt:lpstr>
      <vt:lpstr>Input</vt:lpstr>
      <vt:lpstr>scenario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2026-03-21T13:04:43Z</cp:lastPrinted>
  <dcterms:created xsi:type="dcterms:W3CDTF">2026-03-21T08:47:29Z</dcterms:created>
  <dcterms:modified xsi:type="dcterms:W3CDTF">2026-03-25T11:39:19Z</dcterms:modified>
</cp:coreProperties>
</file>