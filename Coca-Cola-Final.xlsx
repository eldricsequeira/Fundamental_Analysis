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DCF\"/>
    </mc:Choice>
  </mc:AlternateContent>
  <xr:revisionPtr revIDLastSave="0" documentId="13_ncr:1_{255D88CB-1469-44B8-9C76-87593FDA7924}" xr6:coauthVersionLast="47" xr6:coauthVersionMax="47" xr10:uidLastSave="{00000000-0000-0000-0000-000000000000}"/>
  <bookViews>
    <workbookView xWindow="-108" yWindow="-108" windowWidth="23256" windowHeight="13176" tabRatio="704" firstSheet="1" activeTab="10" xr2:uid="{0D2F5D25-8F2F-4E22-AD41-60A178E3F9EB}"/>
  </bookViews>
  <sheets>
    <sheet name="Dashboard" sheetId="11" r:id="rId1"/>
    <sheet name="Financials-&gt;" sheetId="7" r:id="rId2"/>
    <sheet name="Historicals" sheetId="1" r:id="rId3"/>
    <sheet name="Assumptions" sheetId="4" r:id="rId4"/>
    <sheet name="Schedule" sheetId="5" r:id="rId5"/>
    <sheet name="Valuation-&gt;" sheetId="3" r:id="rId6"/>
    <sheet name="Beta" sheetId="10" r:id="rId7"/>
    <sheet name="WACC" sheetId="9" r:id="rId8"/>
    <sheet name="FCFF" sheetId="8" r:id="rId9"/>
    <sheet name="Ratio Analysis" sheetId="12" r:id="rId10"/>
    <sheet name="Analysis" sheetId="13" r:id="rId11"/>
    <sheet name="Data" sheetId="2" r:id="rId12"/>
  </sheets>
  <definedNames>
    <definedName name="days">Schedule!$G$37</definedName>
    <definedName name="tax_rate">FCFF!$E$10</definedName>
    <definedName name="terminal_growth">FCFF!$E$12</definedName>
    <definedName name="wacc">FCFF!$E$11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3" l="1"/>
  <c r="H36" i="13"/>
  <c r="I36" i="13"/>
  <c r="J36" i="13"/>
  <c r="K36" i="13"/>
  <c r="L36" i="13"/>
  <c r="M36" i="13"/>
  <c r="F36" i="13"/>
  <c r="G32" i="13"/>
  <c r="H32" i="13"/>
  <c r="I32" i="13"/>
  <c r="J32" i="13"/>
  <c r="K32" i="13"/>
  <c r="L32" i="13"/>
  <c r="M32" i="13"/>
  <c r="G33" i="13"/>
  <c r="H33" i="13"/>
  <c r="I33" i="13"/>
  <c r="J33" i="13"/>
  <c r="K33" i="13"/>
  <c r="L33" i="13"/>
  <c r="M33" i="13"/>
  <c r="G34" i="13"/>
  <c r="H34" i="13"/>
  <c r="I34" i="13"/>
  <c r="J34" i="13"/>
  <c r="K34" i="13"/>
  <c r="L34" i="13"/>
  <c r="M34" i="13"/>
  <c r="G37" i="13"/>
  <c r="H37" i="13"/>
  <c r="I37" i="13"/>
  <c r="J37" i="13"/>
  <c r="K37" i="13"/>
  <c r="L37" i="13"/>
  <c r="M37" i="13"/>
  <c r="G39" i="13"/>
  <c r="H39" i="13"/>
  <c r="I39" i="13"/>
  <c r="J39" i="13"/>
  <c r="K39" i="13"/>
  <c r="L39" i="13"/>
  <c r="M39" i="13"/>
  <c r="G40" i="13"/>
  <c r="H40" i="13"/>
  <c r="I40" i="13"/>
  <c r="J40" i="13"/>
  <c r="K40" i="13"/>
  <c r="L40" i="13"/>
  <c r="M40" i="13"/>
  <c r="G42" i="13"/>
  <c r="H42" i="13"/>
  <c r="I42" i="13"/>
  <c r="J42" i="13"/>
  <c r="K42" i="13"/>
  <c r="L42" i="13"/>
  <c r="M42" i="13"/>
  <c r="G43" i="13"/>
  <c r="H43" i="13"/>
  <c r="I43" i="13"/>
  <c r="J43" i="13"/>
  <c r="K43" i="13"/>
  <c r="L43" i="13"/>
  <c r="M43" i="13"/>
  <c r="G45" i="13"/>
  <c r="H45" i="13"/>
  <c r="I45" i="13"/>
  <c r="J45" i="13"/>
  <c r="K45" i="13"/>
  <c r="L45" i="13"/>
  <c r="M45" i="13"/>
  <c r="G46" i="13"/>
  <c r="H46" i="13"/>
  <c r="I46" i="13"/>
  <c r="J46" i="13"/>
  <c r="K46" i="13"/>
  <c r="L46" i="13"/>
  <c r="M46" i="13"/>
  <c r="G48" i="13"/>
  <c r="H48" i="13"/>
  <c r="I48" i="13"/>
  <c r="J48" i="13"/>
  <c r="K48" i="13"/>
  <c r="L48" i="13"/>
  <c r="M48" i="13"/>
  <c r="G49" i="13"/>
  <c r="H49" i="13"/>
  <c r="I49" i="13"/>
  <c r="J49" i="13"/>
  <c r="K49" i="13"/>
  <c r="L49" i="13"/>
  <c r="M49" i="13"/>
  <c r="F49" i="13"/>
  <c r="F48" i="13"/>
  <c r="F46" i="13"/>
  <c r="F45" i="13"/>
  <c r="F43" i="13"/>
  <c r="F42" i="13"/>
  <c r="F40" i="13"/>
  <c r="F39" i="13"/>
  <c r="F37" i="13"/>
  <c r="F34" i="13"/>
  <c r="F33" i="13"/>
  <c r="F32" i="13"/>
  <c r="F10" i="13"/>
  <c r="G10" i="13"/>
  <c r="H10" i="13"/>
  <c r="I10" i="13"/>
  <c r="J10" i="13"/>
  <c r="K10" i="13"/>
  <c r="L10" i="13"/>
  <c r="M10" i="13"/>
  <c r="F11" i="13"/>
  <c r="G11" i="13"/>
  <c r="H11" i="13"/>
  <c r="I11" i="13"/>
  <c r="J11" i="13"/>
  <c r="K11" i="13"/>
  <c r="L11" i="13"/>
  <c r="M11" i="13"/>
  <c r="F12" i="13"/>
  <c r="G12" i="13"/>
  <c r="H12" i="13"/>
  <c r="I12" i="13"/>
  <c r="J12" i="13"/>
  <c r="K12" i="13"/>
  <c r="L12" i="13"/>
  <c r="M12" i="13"/>
  <c r="F14" i="13"/>
  <c r="G14" i="13"/>
  <c r="H14" i="13"/>
  <c r="I14" i="13"/>
  <c r="J14" i="13"/>
  <c r="K14" i="13"/>
  <c r="L14" i="13"/>
  <c r="M14" i="13"/>
  <c r="F15" i="13"/>
  <c r="G15" i="13"/>
  <c r="H15" i="13"/>
  <c r="I15" i="13"/>
  <c r="J15" i="13"/>
  <c r="K15" i="13"/>
  <c r="L15" i="13"/>
  <c r="M15" i="13"/>
  <c r="F17" i="13"/>
  <c r="G17" i="13"/>
  <c r="H17" i="13"/>
  <c r="I17" i="13"/>
  <c r="J17" i="13"/>
  <c r="K17" i="13"/>
  <c r="L17" i="13"/>
  <c r="M17" i="13"/>
  <c r="F18" i="13"/>
  <c r="G18" i="13"/>
  <c r="H18" i="13"/>
  <c r="I18" i="13"/>
  <c r="J18" i="13"/>
  <c r="K18" i="13"/>
  <c r="L18" i="13"/>
  <c r="M18" i="13"/>
  <c r="F20" i="13"/>
  <c r="G20" i="13"/>
  <c r="H20" i="13"/>
  <c r="I20" i="13"/>
  <c r="J20" i="13"/>
  <c r="K20" i="13"/>
  <c r="L20" i="13"/>
  <c r="M20" i="13"/>
  <c r="F21" i="13"/>
  <c r="G21" i="13"/>
  <c r="H21" i="13"/>
  <c r="I21" i="13"/>
  <c r="J21" i="13"/>
  <c r="K21" i="13"/>
  <c r="L21" i="13"/>
  <c r="M21" i="13"/>
  <c r="F23" i="13"/>
  <c r="G23" i="13"/>
  <c r="H23" i="13"/>
  <c r="I23" i="13"/>
  <c r="J23" i="13"/>
  <c r="K23" i="13"/>
  <c r="L23" i="13"/>
  <c r="M23" i="13"/>
  <c r="F24" i="13"/>
  <c r="G24" i="13"/>
  <c r="H24" i="13"/>
  <c r="I24" i="13"/>
  <c r="J24" i="13"/>
  <c r="K24" i="13"/>
  <c r="L24" i="13"/>
  <c r="M24" i="13"/>
  <c r="F26" i="13"/>
  <c r="G26" i="13"/>
  <c r="H26" i="13"/>
  <c r="I26" i="13"/>
  <c r="J26" i="13"/>
  <c r="K26" i="13"/>
  <c r="L26" i="13"/>
  <c r="M26" i="13"/>
  <c r="F27" i="13"/>
  <c r="G27" i="13"/>
  <c r="H27" i="13"/>
  <c r="I27" i="13"/>
  <c r="J27" i="13"/>
  <c r="K27" i="13"/>
  <c r="L27" i="13"/>
  <c r="M27" i="13"/>
  <c r="E27" i="13"/>
  <c r="E26" i="13"/>
  <c r="E24" i="13"/>
  <c r="E23" i="13"/>
  <c r="E21" i="13"/>
  <c r="E20" i="13"/>
  <c r="E18" i="13"/>
  <c r="E17" i="13"/>
  <c r="E15" i="13"/>
  <c r="E14" i="13"/>
  <c r="E12" i="13"/>
  <c r="E11" i="13"/>
  <c r="E10" i="13"/>
  <c r="F5" i="13"/>
  <c r="G5" i="13" s="1"/>
  <c r="H5" i="13" s="1"/>
  <c r="I5" i="13" s="1"/>
  <c r="J5" i="13" s="1"/>
  <c r="K5" i="13" s="1"/>
  <c r="L5" i="13" s="1"/>
  <c r="M5" i="13" s="1"/>
  <c r="F64" i="12"/>
  <c r="G64" i="12" s="1"/>
  <c r="H64" i="12" s="1"/>
  <c r="I64" i="12" s="1"/>
  <c r="J64" i="12" s="1"/>
  <c r="K64" i="12" s="1"/>
  <c r="L64" i="12" s="1"/>
  <c r="M64" i="12" s="1"/>
  <c r="F52" i="12"/>
  <c r="G52" i="12" s="1"/>
  <c r="H52" i="12" s="1"/>
  <c r="I52" i="12" s="1"/>
  <c r="J52" i="12" s="1"/>
  <c r="K52" i="12" s="1"/>
  <c r="L52" i="12" s="1"/>
  <c r="M52" i="12" s="1"/>
  <c r="F43" i="12"/>
  <c r="G43" i="12" s="1"/>
  <c r="H43" i="12" s="1"/>
  <c r="I43" i="12" s="1"/>
  <c r="J43" i="12" s="1"/>
  <c r="K43" i="12" s="1"/>
  <c r="L43" i="12" s="1"/>
  <c r="M43" i="12" s="1"/>
  <c r="F30" i="12"/>
  <c r="G30" i="12" s="1"/>
  <c r="H30" i="12" s="1"/>
  <c r="I30" i="12" s="1"/>
  <c r="J30" i="12" s="1"/>
  <c r="K30" i="12" s="1"/>
  <c r="L30" i="12" s="1"/>
  <c r="M30" i="12" s="1"/>
  <c r="F21" i="12"/>
  <c r="G21" i="12" s="1"/>
  <c r="H21" i="12" s="1"/>
  <c r="I21" i="12" s="1"/>
  <c r="J21" i="12" s="1"/>
  <c r="K21" i="12" s="1"/>
  <c r="L21" i="12" s="1"/>
  <c r="M21" i="12" s="1"/>
  <c r="G8" i="12"/>
  <c r="H8" i="12" s="1"/>
  <c r="I8" i="12" s="1"/>
  <c r="J8" i="12" s="1"/>
  <c r="K8" i="12" s="1"/>
  <c r="L8" i="12" s="1"/>
  <c r="M8" i="12" s="1"/>
  <c r="F8" i="12"/>
  <c r="F69" i="12"/>
  <c r="G69" i="12"/>
  <c r="H69" i="12"/>
  <c r="I69" i="12"/>
  <c r="J69" i="12"/>
  <c r="K69" i="12"/>
  <c r="L69" i="12"/>
  <c r="M69" i="12"/>
  <c r="E48" i="12"/>
  <c r="E68" i="12" s="1"/>
  <c r="E69" i="12" s="1"/>
  <c r="F66" i="12"/>
  <c r="G66" i="12"/>
  <c r="H66" i="12"/>
  <c r="I66" i="12"/>
  <c r="J66" i="12"/>
  <c r="K66" i="12"/>
  <c r="L66" i="12"/>
  <c r="M66" i="12"/>
  <c r="F67" i="12"/>
  <c r="G67" i="12"/>
  <c r="H67" i="12"/>
  <c r="I67" i="12"/>
  <c r="J67" i="12"/>
  <c r="K67" i="12"/>
  <c r="L67" i="12"/>
  <c r="M67" i="12"/>
  <c r="F68" i="12"/>
  <c r="G68" i="12"/>
  <c r="H68" i="12"/>
  <c r="I68" i="12"/>
  <c r="J68" i="12"/>
  <c r="K68" i="12"/>
  <c r="L68" i="12"/>
  <c r="M68" i="12"/>
  <c r="E67" i="12"/>
  <c r="E66" i="12"/>
  <c r="F59" i="12"/>
  <c r="G59" i="12"/>
  <c r="H59" i="12"/>
  <c r="I59" i="12"/>
  <c r="J59" i="12"/>
  <c r="K59" i="12"/>
  <c r="L59" i="12"/>
  <c r="M59" i="12"/>
  <c r="E59" i="12"/>
  <c r="F61" i="12"/>
  <c r="G61" i="12"/>
  <c r="H61" i="12"/>
  <c r="I61" i="12"/>
  <c r="J61" i="12"/>
  <c r="K61" i="12"/>
  <c r="L61" i="12"/>
  <c r="M61" i="12"/>
  <c r="F62" i="12"/>
  <c r="G62" i="12"/>
  <c r="H62" i="12"/>
  <c r="I62" i="12"/>
  <c r="J62" i="12"/>
  <c r="K62" i="12"/>
  <c r="L62" i="12"/>
  <c r="M62" i="12"/>
  <c r="E62" i="12"/>
  <c r="E61" i="12"/>
  <c r="F60" i="12"/>
  <c r="G60" i="12"/>
  <c r="H60" i="12"/>
  <c r="I60" i="12"/>
  <c r="J60" i="12"/>
  <c r="K60" i="12"/>
  <c r="L60" i="12"/>
  <c r="M60" i="12"/>
  <c r="E60" i="12"/>
  <c r="F58" i="12"/>
  <c r="G58" i="12"/>
  <c r="H58" i="12"/>
  <c r="I58" i="12"/>
  <c r="J58" i="12"/>
  <c r="K58" i="12"/>
  <c r="L58" i="12"/>
  <c r="M58" i="12"/>
  <c r="E58" i="12"/>
  <c r="K57" i="12"/>
  <c r="F56" i="12"/>
  <c r="F57" i="12" s="1"/>
  <c r="G56" i="12"/>
  <c r="G57" i="12" s="1"/>
  <c r="H56" i="12"/>
  <c r="H57" i="12" s="1"/>
  <c r="I56" i="12"/>
  <c r="J57" i="12" s="1"/>
  <c r="J56" i="12"/>
  <c r="K56" i="12"/>
  <c r="L56" i="12"/>
  <c r="L57" i="12" s="1"/>
  <c r="M56" i="12"/>
  <c r="M57" i="12" s="1"/>
  <c r="E56" i="12"/>
  <c r="G55" i="12"/>
  <c r="K55" i="12"/>
  <c r="L55" i="12"/>
  <c r="M55" i="12"/>
  <c r="F54" i="12"/>
  <c r="F55" i="12" s="1"/>
  <c r="G54" i="12"/>
  <c r="H54" i="12"/>
  <c r="H55" i="12" s="1"/>
  <c r="I54" i="12"/>
  <c r="I55" i="12" s="1"/>
  <c r="J54" i="12"/>
  <c r="K54" i="12"/>
  <c r="L54" i="12"/>
  <c r="M54" i="12"/>
  <c r="E54" i="12"/>
  <c r="J50" i="12"/>
  <c r="K50" i="12"/>
  <c r="L50" i="12"/>
  <c r="M50" i="12"/>
  <c r="F45" i="12"/>
  <c r="G45" i="12"/>
  <c r="H45" i="12"/>
  <c r="I45" i="12"/>
  <c r="J45" i="12"/>
  <c r="K45" i="12"/>
  <c r="L45" i="12"/>
  <c r="M45" i="12"/>
  <c r="F46" i="12"/>
  <c r="G46" i="12"/>
  <c r="H46" i="12"/>
  <c r="I46" i="12"/>
  <c r="J46" i="12"/>
  <c r="K46" i="12"/>
  <c r="L46" i="12"/>
  <c r="M46" i="12"/>
  <c r="F47" i="12"/>
  <c r="G47" i="12"/>
  <c r="H47" i="12"/>
  <c r="I47" i="12"/>
  <c r="J47" i="12"/>
  <c r="K47" i="12"/>
  <c r="L47" i="12"/>
  <c r="M47" i="12"/>
  <c r="F48" i="12"/>
  <c r="G48" i="12"/>
  <c r="H48" i="12"/>
  <c r="I48" i="12"/>
  <c r="J48" i="12"/>
  <c r="K48" i="12"/>
  <c r="L48" i="12"/>
  <c r="M48" i="12"/>
  <c r="F49" i="12"/>
  <c r="G49" i="12"/>
  <c r="H49" i="12"/>
  <c r="I49" i="12"/>
  <c r="J49" i="12"/>
  <c r="K49" i="12"/>
  <c r="L49" i="12"/>
  <c r="M49" i="12"/>
  <c r="I50" i="12"/>
  <c r="E49" i="12"/>
  <c r="E47" i="12"/>
  <c r="E46" i="12"/>
  <c r="E45" i="12"/>
  <c r="F33" i="12"/>
  <c r="G33" i="12"/>
  <c r="H33" i="12"/>
  <c r="I33" i="12"/>
  <c r="J33" i="12"/>
  <c r="K33" i="12"/>
  <c r="L33" i="12"/>
  <c r="M33" i="12"/>
  <c r="F34" i="12"/>
  <c r="G34" i="12"/>
  <c r="H34" i="12"/>
  <c r="I34" i="12"/>
  <c r="J34" i="12"/>
  <c r="K34" i="12"/>
  <c r="L34" i="12"/>
  <c r="M34" i="12"/>
  <c r="F35" i="12"/>
  <c r="G35" i="12"/>
  <c r="H35" i="12"/>
  <c r="I35" i="12"/>
  <c r="J35" i="12"/>
  <c r="K35" i="12"/>
  <c r="L35" i="12"/>
  <c r="M35" i="12"/>
  <c r="F36" i="12"/>
  <c r="G36" i="12"/>
  <c r="H36" i="12"/>
  <c r="I36" i="12"/>
  <c r="J36" i="12"/>
  <c r="K36" i="12"/>
  <c r="L36" i="12"/>
  <c r="M36" i="12"/>
  <c r="F37" i="12"/>
  <c r="G37" i="12"/>
  <c r="H37" i="12"/>
  <c r="I37" i="12"/>
  <c r="J37" i="12"/>
  <c r="K37" i="12"/>
  <c r="L37" i="12"/>
  <c r="M37" i="12"/>
  <c r="F38" i="12"/>
  <c r="G38" i="12"/>
  <c r="H38" i="12"/>
  <c r="I38" i="12"/>
  <c r="J38" i="12"/>
  <c r="K38" i="12"/>
  <c r="L38" i="12"/>
  <c r="M38" i="12"/>
  <c r="F39" i="12"/>
  <c r="G39" i="12"/>
  <c r="H39" i="12"/>
  <c r="I39" i="12"/>
  <c r="J39" i="12"/>
  <c r="J40" i="12" s="1"/>
  <c r="K39" i="12"/>
  <c r="K40" i="12" s="1"/>
  <c r="L39" i="12"/>
  <c r="L40" i="12" s="1"/>
  <c r="M39" i="12"/>
  <c r="F40" i="12"/>
  <c r="G40" i="12"/>
  <c r="H40" i="12"/>
  <c r="I40" i="12"/>
  <c r="E39" i="12"/>
  <c r="E38" i="12"/>
  <c r="E37" i="12"/>
  <c r="E36" i="12"/>
  <c r="E35" i="12"/>
  <c r="E34" i="12"/>
  <c r="E40" i="12" s="1"/>
  <c r="E33" i="12"/>
  <c r="F32" i="12"/>
  <c r="G32" i="12"/>
  <c r="H32" i="12"/>
  <c r="I32" i="12"/>
  <c r="J32" i="12"/>
  <c r="K32" i="12"/>
  <c r="L32" i="12"/>
  <c r="M32" i="12"/>
  <c r="E32" i="12"/>
  <c r="F5" i="12"/>
  <c r="G5" i="12" s="1"/>
  <c r="H5" i="12" s="1"/>
  <c r="I5" i="12" s="1"/>
  <c r="J5" i="12" s="1"/>
  <c r="K5" i="12" s="1"/>
  <c r="L5" i="12" s="1"/>
  <c r="M5" i="12" s="1"/>
  <c r="F28" i="12"/>
  <c r="G28" i="12"/>
  <c r="K28" i="12"/>
  <c r="L28" i="12"/>
  <c r="M28" i="12"/>
  <c r="E28" i="12"/>
  <c r="F27" i="12"/>
  <c r="F41" i="12" s="1"/>
  <c r="G27" i="12"/>
  <c r="G41" i="12" s="1"/>
  <c r="H27" i="12"/>
  <c r="H41" i="12" s="1"/>
  <c r="I27" i="12"/>
  <c r="I41" i="12" s="1"/>
  <c r="J27" i="12"/>
  <c r="J41" i="12" s="1"/>
  <c r="K27" i="12"/>
  <c r="K41" i="12" s="1"/>
  <c r="L27" i="12"/>
  <c r="L41" i="12" s="1"/>
  <c r="M27" i="12"/>
  <c r="M41" i="12" s="1"/>
  <c r="E27" i="12"/>
  <c r="E41" i="12" s="1"/>
  <c r="J26" i="12"/>
  <c r="K26" i="12"/>
  <c r="L26" i="12"/>
  <c r="M26" i="12"/>
  <c r="I26" i="12"/>
  <c r="F25" i="12"/>
  <c r="G25" i="12"/>
  <c r="H25" i="12"/>
  <c r="I25" i="12"/>
  <c r="J25" i="12"/>
  <c r="K25" i="12"/>
  <c r="L25" i="12"/>
  <c r="M25" i="12"/>
  <c r="E25" i="12"/>
  <c r="F24" i="12"/>
  <c r="G24" i="12"/>
  <c r="H24" i="12"/>
  <c r="I24" i="12"/>
  <c r="J24" i="12"/>
  <c r="K24" i="12"/>
  <c r="L24" i="12"/>
  <c r="M24" i="12"/>
  <c r="E24" i="12"/>
  <c r="F23" i="12"/>
  <c r="G23" i="12"/>
  <c r="H23" i="12"/>
  <c r="I23" i="12"/>
  <c r="J23" i="12"/>
  <c r="K23" i="12"/>
  <c r="L23" i="12"/>
  <c r="M23" i="12"/>
  <c r="E23" i="12"/>
  <c r="J19" i="12"/>
  <c r="K19" i="12"/>
  <c r="L19" i="12"/>
  <c r="M19" i="12"/>
  <c r="I19" i="12"/>
  <c r="F18" i="12"/>
  <c r="G18" i="12"/>
  <c r="H18" i="12"/>
  <c r="I18" i="12"/>
  <c r="J18" i="12"/>
  <c r="K18" i="12"/>
  <c r="L18" i="12"/>
  <c r="M18" i="12"/>
  <c r="E18" i="12"/>
  <c r="F17" i="12"/>
  <c r="G17" i="12"/>
  <c r="H17" i="12"/>
  <c r="I17" i="12"/>
  <c r="J17" i="12"/>
  <c r="K17" i="12"/>
  <c r="L17" i="12"/>
  <c r="M17" i="12"/>
  <c r="E17" i="12"/>
  <c r="F16" i="12"/>
  <c r="G16" i="12"/>
  <c r="H16" i="12"/>
  <c r="I16" i="12"/>
  <c r="J16" i="12"/>
  <c r="K16" i="12"/>
  <c r="L16" i="12"/>
  <c r="M16" i="12"/>
  <c r="E16" i="12"/>
  <c r="F11" i="12"/>
  <c r="G11" i="12"/>
  <c r="H11" i="12"/>
  <c r="I11" i="12"/>
  <c r="J11" i="12"/>
  <c r="K11" i="12"/>
  <c r="L11" i="12"/>
  <c r="M11" i="12"/>
  <c r="E11" i="12"/>
  <c r="F14" i="12"/>
  <c r="G14" i="12"/>
  <c r="H14" i="12"/>
  <c r="I14" i="12"/>
  <c r="J14" i="12"/>
  <c r="K14" i="12"/>
  <c r="L14" i="12"/>
  <c r="M14" i="12"/>
  <c r="E14" i="12"/>
  <c r="F13" i="12"/>
  <c r="G13" i="12"/>
  <c r="H13" i="12"/>
  <c r="I13" i="12"/>
  <c r="J13" i="12"/>
  <c r="K13" i="12"/>
  <c r="L13" i="12"/>
  <c r="M13" i="12"/>
  <c r="E13" i="12"/>
  <c r="F12" i="12"/>
  <c r="G12" i="12"/>
  <c r="H12" i="12"/>
  <c r="I12" i="12"/>
  <c r="J12" i="12"/>
  <c r="K12" i="12"/>
  <c r="L12" i="12"/>
  <c r="M12" i="12"/>
  <c r="E12" i="12"/>
  <c r="F10" i="12"/>
  <c r="G10" i="12"/>
  <c r="H10" i="12"/>
  <c r="I10" i="12"/>
  <c r="J10" i="12"/>
  <c r="K10" i="12"/>
  <c r="L10" i="12"/>
  <c r="M10" i="12"/>
  <c r="E10" i="12"/>
  <c r="H23" i="5"/>
  <c r="L7" i="11"/>
  <c r="L6" i="11"/>
  <c r="E10" i="11"/>
  <c r="E11" i="11"/>
  <c r="E9" i="11"/>
  <c r="E6" i="11"/>
  <c r="L20" i="4"/>
  <c r="M20" i="4" s="1"/>
  <c r="N20" i="4" s="1"/>
  <c r="L16" i="4"/>
  <c r="M16" i="4" s="1"/>
  <c r="N16" i="4" s="1"/>
  <c r="L12" i="4"/>
  <c r="M12" i="4" s="1"/>
  <c r="N12" i="4" s="1"/>
  <c r="M139" i="1"/>
  <c r="N139" i="1"/>
  <c r="L139" i="1"/>
  <c r="J55" i="12" l="1"/>
  <c r="J28" i="12"/>
  <c r="M40" i="12"/>
  <c r="I28" i="12"/>
  <c r="H28" i="12"/>
  <c r="I57" i="12"/>
  <c r="L8" i="11"/>
  <c r="E34" i="9" l="1"/>
  <c r="C40" i="8"/>
  <c r="E32" i="9"/>
  <c r="J46" i="5"/>
  <c r="J43" i="5"/>
  <c r="L22" i="5"/>
  <c r="G16" i="8"/>
  <c r="H16" i="8"/>
  <c r="I16" i="8"/>
  <c r="J16" i="8"/>
  <c r="F16" i="8"/>
  <c r="J14" i="4"/>
  <c r="F38" i="8"/>
  <c r="G38" i="8"/>
  <c r="H38" i="8" s="1"/>
  <c r="E38" i="8"/>
  <c r="C42" i="8"/>
  <c r="F30" i="8"/>
  <c r="F29" i="8"/>
  <c r="F28" i="8"/>
  <c r="G24" i="8"/>
  <c r="H24" i="8" s="1"/>
  <c r="I24" i="8" s="1"/>
  <c r="J24" i="8" s="1"/>
  <c r="F24" i="8"/>
  <c r="C39" i="8" l="1"/>
  <c r="H18" i="5"/>
  <c r="R99" i="1"/>
  <c r="J10" i="9" l="1"/>
  <c r="J12" i="9" s="1"/>
  <c r="G25" i="9" l="1"/>
  <c r="F25" i="9"/>
  <c r="H19" i="9"/>
  <c r="H25" i="9" s="1"/>
  <c r="H20" i="9"/>
  <c r="H21" i="9"/>
  <c r="H22" i="9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9" i="10"/>
  <c r="D13" i="9"/>
  <c r="D14" i="9" s="1"/>
  <c r="E30" i="9" s="1"/>
  <c r="L6" i="10" l="1"/>
  <c r="E22" i="9" s="1"/>
  <c r="I22" i="9" s="1"/>
  <c r="H6" i="10"/>
  <c r="E20" i="9" s="1"/>
  <c r="I20" i="9" s="1"/>
  <c r="J6" i="10"/>
  <c r="E21" i="9" s="1"/>
  <c r="I21" i="9" s="1"/>
  <c r="D6" i="10"/>
  <c r="F6" i="10"/>
  <c r="E19" i="9" s="1"/>
  <c r="I19" i="9" s="1"/>
  <c r="E25" i="9" s="1"/>
  <c r="I25" i="9" s="1"/>
  <c r="E31" i="9" l="1"/>
  <c r="G13" i="9"/>
  <c r="G15" i="9" s="1"/>
  <c r="J15" i="9" s="1"/>
  <c r="P65" i="5"/>
  <c r="M95" i="1"/>
  <c r="N95" i="1"/>
  <c r="O95" i="1"/>
  <c r="P95" i="1"/>
  <c r="L95" i="1"/>
  <c r="L84" i="1"/>
  <c r="M84" i="1"/>
  <c r="N84" i="1"/>
  <c r="O84" i="1"/>
  <c r="P84" i="1"/>
  <c r="L100" i="1"/>
  <c r="L101" i="1"/>
  <c r="L146" i="1"/>
  <c r="M131" i="1"/>
  <c r="N131" i="1"/>
  <c r="O131" i="1"/>
  <c r="P131" i="1"/>
  <c r="L131" i="1"/>
  <c r="M117" i="1"/>
  <c r="M132" i="1" s="1"/>
  <c r="N117" i="1"/>
  <c r="N132" i="1" s="1"/>
  <c r="O117" i="1"/>
  <c r="O132" i="1" s="1"/>
  <c r="P117" i="1"/>
  <c r="P132" i="1" s="1"/>
  <c r="L117" i="1"/>
  <c r="L132" i="1" s="1"/>
  <c r="H66" i="4"/>
  <c r="I66" i="4"/>
  <c r="J66" i="4"/>
  <c r="K66" i="4" s="1"/>
  <c r="L66" i="4" s="1"/>
  <c r="M66" i="4" s="1"/>
  <c r="N66" i="4" s="1"/>
  <c r="O66" i="4" s="1"/>
  <c r="G66" i="4"/>
  <c r="K71" i="5"/>
  <c r="L68" i="5" s="1"/>
  <c r="I108" i="1"/>
  <c r="J108" i="1"/>
  <c r="K108" i="1"/>
  <c r="H108" i="1"/>
  <c r="I52" i="5"/>
  <c r="I53" i="5" s="1"/>
  <c r="J52" i="5"/>
  <c r="J53" i="5" s="1"/>
  <c r="K52" i="5"/>
  <c r="H52" i="5"/>
  <c r="H53" i="5" s="1"/>
  <c r="I49" i="5"/>
  <c r="J49" i="5"/>
  <c r="K49" i="5"/>
  <c r="H49" i="5"/>
  <c r="I38" i="5"/>
  <c r="J38" i="5"/>
  <c r="K38" i="5"/>
  <c r="I39" i="5"/>
  <c r="J39" i="5"/>
  <c r="K39" i="5"/>
  <c r="I45" i="5"/>
  <c r="J45" i="5"/>
  <c r="K45" i="5"/>
  <c r="H39" i="5"/>
  <c r="H45" i="5"/>
  <c r="H38" i="5"/>
  <c r="M100" i="1"/>
  <c r="N100" i="1" s="1"/>
  <c r="O100" i="1" s="1"/>
  <c r="P100" i="1" s="1"/>
  <c r="M101" i="1"/>
  <c r="N101" i="1" s="1"/>
  <c r="O101" i="1" s="1"/>
  <c r="P101" i="1" s="1"/>
  <c r="P54" i="1"/>
  <c r="L87" i="1"/>
  <c r="M87" i="1" s="1"/>
  <c r="N87" i="1" s="1"/>
  <c r="O87" i="1" s="1"/>
  <c r="P87" i="1" s="1"/>
  <c r="L85" i="1"/>
  <c r="M85" i="1" s="1"/>
  <c r="N85" i="1" s="1"/>
  <c r="O85" i="1" s="1"/>
  <c r="P85" i="1" s="1"/>
  <c r="L83" i="1"/>
  <c r="M83" i="1" s="1"/>
  <c r="N83" i="1" s="1"/>
  <c r="O83" i="1" s="1"/>
  <c r="P83" i="1" s="1"/>
  <c r="L88" i="1"/>
  <c r="M88" i="1" s="1"/>
  <c r="N88" i="1" s="1"/>
  <c r="O88" i="1" s="1"/>
  <c r="P88" i="1" s="1"/>
  <c r="L82" i="1"/>
  <c r="M82" i="1" s="1"/>
  <c r="N82" i="1" s="1"/>
  <c r="O82" i="1" s="1"/>
  <c r="P82" i="1" s="1"/>
  <c r="L76" i="1"/>
  <c r="L73" i="1"/>
  <c r="M73" i="1" s="1"/>
  <c r="N73" i="1" s="1"/>
  <c r="O73" i="1" s="1"/>
  <c r="P73" i="1" s="1"/>
  <c r="K22" i="5"/>
  <c r="M22" i="5" s="1"/>
  <c r="N22" i="5" s="1"/>
  <c r="O22" i="5" s="1"/>
  <c r="P22" i="5" s="1"/>
  <c r="I31" i="5"/>
  <c r="I23" i="5" s="1"/>
  <c r="I24" i="5" s="1"/>
  <c r="J31" i="5"/>
  <c r="J23" i="5" s="1"/>
  <c r="J24" i="5" s="1"/>
  <c r="H31" i="5"/>
  <c r="H24" i="5" s="1"/>
  <c r="I27" i="5"/>
  <c r="I28" i="5" s="1"/>
  <c r="J27" i="5"/>
  <c r="J28" i="5" s="1"/>
  <c r="K27" i="5"/>
  <c r="K29" i="5" s="1"/>
  <c r="L27" i="5" s="1"/>
  <c r="L29" i="5" s="1"/>
  <c r="M27" i="5" s="1"/>
  <c r="M29" i="5" s="1"/>
  <c r="N27" i="5" s="1"/>
  <c r="N29" i="5" s="1"/>
  <c r="O27" i="5" s="1"/>
  <c r="O29" i="5" s="1"/>
  <c r="P27" i="5" s="1"/>
  <c r="P29" i="5" s="1"/>
  <c r="H28" i="5"/>
  <c r="L10" i="5"/>
  <c r="I10" i="5"/>
  <c r="I11" i="5" s="1"/>
  <c r="H11" i="5"/>
  <c r="I18" i="5"/>
  <c r="J18" i="5"/>
  <c r="K18" i="5"/>
  <c r="L18" i="5" s="1"/>
  <c r="M18" i="5" s="1"/>
  <c r="N18" i="5" s="1"/>
  <c r="O18" i="5" s="1"/>
  <c r="P18" i="5" s="1"/>
  <c r="I17" i="5"/>
  <c r="K17" i="5"/>
  <c r="K10" i="5"/>
  <c r="K11" i="5" s="1"/>
  <c r="J10" i="5"/>
  <c r="J11" i="5" s="1"/>
  <c r="I5" i="5"/>
  <c r="J5" i="5" s="1"/>
  <c r="K5" i="5" s="1"/>
  <c r="L5" i="5" s="1"/>
  <c r="M5" i="5" s="1"/>
  <c r="N5" i="5" s="1"/>
  <c r="O5" i="5" s="1"/>
  <c r="P5" i="5" s="1"/>
  <c r="J4" i="8" s="1"/>
  <c r="H63" i="1"/>
  <c r="H17" i="5" s="1"/>
  <c r="J63" i="1"/>
  <c r="J17" i="5" s="1"/>
  <c r="K63" i="1"/>
  <c r="I63" i="1"/>
  <c r="G59" i="4"/>
  <c r="H59" i="4"/>
  <c r="I59" i="4"/>
  <c r="I51" i="1"/>
  <c r="I53" i="1" s="1"/>
  <c r="J51" i="1"/>
  <c r="J53" i="1" s="1"/>
  <c r="K51" i="1"/>
  <c r="H51" i="1"/>
  <c r="H53" i="1" s="1"/>
  <c r="K44" i="1"/>
  <c r="J59" i="4" s="1"/>
  <c r="H39" i="1"/>
  <c r="I39" i="1"/>
  <c r="J39" i="1"/>
  <c r="K39" i="1"/>
  <c r="H24" i="1"/>
  <c r="I24" i="1"/>
  <c r="J24" i="1"/>
  <c r="K24" i="1"/>
  <c r="I29" i="1"/>
  <c r="J29" i="1"/>
  <c r="K29" i="1"/>
  <c r="I30" i="1"/>
  <c r="I32" i="1" s="1"/>
  <c r="J30" i="1"/>
  <c r="J32" i="1" s="1"/>
  <c r="K30" i="1"/>
  <c r="K32" i="1" s="1"/>
  <c r="I34" i="1"/>
  <c r="J34" i="1"/>
  <c r="K34" i="1"/>
  <c r="I38" i="1"/>
  <c r="J38" i="1"/>
  <c r="K38" i="1"/>
  <c r="I43" i="1"/>
  <c r="J43" i="1"/>
  <c r="K43" i="1"/>
  <c r="I47" i="1"/>
  <c r="H62" i="4" s="1"/>
  <c r="J47" i="1"/>
  <c r="I62" i="4" s="1"/>
  <c r="K47" i="1"/>
  <c r="J62" i="4" s="1"/>
  <c r="H29" i="1"/>
  <c r="H30" i="1"/>
  <c r="H32" i="1" s="1"/>
  <c r="H34" i="1"/>
  <c r="H38" i="1"/>
  <c r="H43" i="1"/>
  <c r="H47" i="1"/>
  <c r="G62" i="4" s="1"/>
  <c r="I23" i="1"/>
  <c r="J23" i="1"/>
  <c r="K23" i="1"/>
  <c r="H23" i="1"/>
  <c r="I19" i="1"/>
  <c r="J19" i="1"/>
  <c r="K19" i="1"/>
  <c r="H19" i="1"/>
  <c r="I13" i="1"/>
  <c r="J13" i="1"/>
  <c r="K13" i="1"/>
  <c r="H13" i="1"/>
  <c r="J34" i="4"/>
  <c r="J36" i="4" s="1"/>
  <c r="K36" i="4" s="1"/>
  <c r="L36" i="4" s="1"/>
  <c r="M36" i="4" s="1"/>
  <c r="N36" i="4" s="1"/>
  <c r="H40" i="4"/>
  <c r="I9" i="1" s="1"/>
  <c r="I11" i="1" s="1"/>
  <c r="I40" i="4"/>
  <c r="J9" i="1" s="1"/>
  <c r="J11" i="1" s="1"/>
  <c r="J40" i="4"/>
  <c r="K9" i="1" s="1"/>
  <c r="K11" i="1" s="1"/>
  <c r="G40" i="4"/>
  <c r="H9" i="1" s="1"/>
  <c r="H11" i="1" s="1"/>
  <c r="H19" i="5" s="1"/>
  <c r="J38" i="4"/>
  <c r="I38" i="4"/>
  <c r="H38" i="4"/>
  <c r="I34" i="4"/>
  <c r="I36" i="4" s="1"/>
  <c r="H34" i="4"/>
  <c r="H36" i="4" s="1"/>
  <c r="J30" i="4"/>
  <c r="J32" i="4" s="1"/>
  <c r="K32" i="4" s="1"/>
  <c r="L32" i="4" s="1"/>
  <c r="M32" i="4" s="1"/>
  <c r="N32" i="4" s="1"/>
  <c r="I30" i="4"/>
  <c r="I32" i="4" s="1"/>
  <c r="H30" i="4"/>
  <c r="H32" i="4" s="1"/>
  <c r="J26" i="4"/>
  <c r="J28" i="4" s="1"/>
  <c r="K28" i="4" s="1"/>
  <c r="L28" i="4" s="1"/>
  <c r="M28" i="4" s="1"/>
  <c r="N28" i="4" s="1"/>
  <c r="I26" i="4"/>
  <c r="I28" i="4" s="1"/>
  <c r="H26" i="4"/>
  <c r="H28" i="4" s="1"/>
  <c r="J22" i="4"/>
  <c r="J24" i="4" s="1"/>
  <c r="K24" i="4" s="1"/>
  <c r="I22" i="4"/>
  <c r="I24" i="4" s="1"/>
  <c r="H22" i="4"/>
  <c r="H24" i="4" s="1"/>
  <c r="J18" i="4"/>
  <c r="J20" i="4" s="1"/>
  <c r="I18" i="4"/>
  <c r="I20" i="4" s="1"/>
  <c r="H18" i="4"/>
  <c r="H20" i="4" s="1"/>
  <c r="J16" i="4"/>
  <c r="I14" i="4"/>
  <c r="I16" i="4" s="1"/>
  <c r="H14" i="4"/>
  <c r="H16" i="4" s="1"/>
  <c r="H10" i="4"/>
  <c r="H12" i="4" s="1"/>
  <c r="I10" i="4"/>
  <c r="I12" i="4" s="1"/>
  <c r="J10" i="4"/>
  <c r="J12" i="4" s="1"/>
  <c r="K9" i="4" s="1"/>
  <c r="H5" i="4"/>
  <c r="I5" i="4" s="1"/>
  <c r="J5" i="4" s="1"/>
  <c r="K5" i="4" s="1"/>
  <c r="L5" i="4" s="1"/>
  <c r="M5" i="4" s="1"/>
  <c r="N5" i="4" s="1"/>
  <c r="O5" i="4" s="1"/>
  <c r="I5" i="1"/>
  <c r="J5" i="1" s="1"/>
  <c r="K5" i="1" s="1"/>
  <c r="L5" i="1" s="1"/>
  <c r="M5" i="1" s="1"/>
  <c r="N5" i="1" s="1"/>
  <c r="O5" i="1" s="1"/>
  <c r="P5" i="1" s="1"/>
  <c r="K19" i="5" l="1"/>
  <c r="K42" i="5"/>
  <c r="J19" i="5"/>
  <c r="J42" i="5"/>
  <c r="I19" i="5"/>
  <c r="N19" i="5" s="1"/>
  <c r="I42" i="5"/>
  <c r="K38" i="4"/>
  <c r="H4" i="8"/>
  <c r="G4" i="8"/>
  <c r="F4" i="8"/>
  <c r="I4" i="8"/>
  <c r="L51" i="1"/>
  <c r="M51" i="1" s="1"/>
  <c r="N51" i="1" s="1"/>
  <c r="O51" i="1" s="1"/>
  <c r="P51" i="1" s="1"/>
  <c r="F32" i="8"/>
  <c r="E11" i="8"/>
  <c r="K53" i="1"/>
  <c r="K53" i="5"/>
  <c r="L53" i="5" s="1"/>
  <c r="M53" i="5" s="1"/>
  <c r="N53" i="5" s="1"/>
  <c r="O53" i="5" s="1"/>
  <c r="P53" i="5" s="1"/>
  <c r="L42" i="5"/>
  <c r="K43" i="5"/>
  <c r="L43" i="5" s="1"/>
  <c r="M43" i="5" s="1"/>
  <c r="N43" i="5" s="1"/>
  <c r="K23" i="5"/>
  <c r="K31" i="5" s="1"/>
  <c r="K30" i="5" s="1"/>
  <c r="L30" i="5" s="1"/>
  <c r="M76" i="1"/>
  <c r="N76" i="1" s="1"/>
  <c r="O76" i="1" s="1"/>
  <c r="P76" i="1" s="1"/>
  <c r="M19" i="5"/>
  <c r="P19" i="5"/>
  <c r="L19" i="5"/>
  <c r="O19" i="5"/>
  <c r="K62" i="4"/>
  <c r="K40" i="1"/>
  <c r="J56" i="4" s="1"/>
  <c r="J57" i="4" s="1"/>
  <c r="H36" i="1"/>
  <c r="G53" i="4" s="1"/>
  <c r="G54" i="4" s="1"/>
  <c r="I36" i="1"/>
  <c r="H53" i="4" s="1"/>
  <c r="H54" i="4" s="1"/>
  <c r="K36" i="1"/>
  <c r="J53" i="4" s="1"/>
  <c r="J54" i="4" s="1"/>
  <c r="J36" i="1"/>
  <c r="I53" i="4" s="1"/>
  <c r="I54" i="4" s="1"/>
  <c r="H40" i="1"/>
  <c r="G56" i="4" s="1"/>
  <c r="G57" i="4" s="1"/>
  <c r="I40" i="1"/>
  <c r="H56" i="4" s="1"/>
  <c r="H57" i="4" s="1"/>
  <c r="J40" i="1"/>
  <c r="I56" i="4" s="1"/>
  <c r="I57" i="4" s="1"/>
  <c r="I25" i="1"/>
  <c r="H25" i="1"/>
  <c r="K25" i="1"/>
  <c r="L25" i="1" s="1"/>
  <c r="M25" i="1" s="1"/>
  <c r="N25" i="1" s="1"/>
  <c r="O25" i="1" s="1"/>
  <c r="P25" i="1" s="1"/>
  <c r="J25" i="1"/>
  <c r="K21" i="1"/>
  <c r="J50" i="4" s="1"/>
  <c r="J51" i="4" s="1"/>
  <c r="H21" i="1"/>
  <c r="G50" i="4" s="1"/>
  <c r="G51" i="4" s="1"/>
  <c r="I21" i="1"/>
  <c r="H50" i="4" s="1"/>
  <c r="H51" i="4" s="1"/>
  <c r="J21" i="1"/>
  <c r="I50" i="4" s="1"/>
  <c r="I51" i="4" s="1"/>
  <c r="H15" i="1"/>
  <c r="H50" i="5" s="1"/>
  <c r="K15" i="1"/>
  <c r="K50" i="5" s="1"/>
  <c r="I15" i="1"/>
  <c r="I46" i="5" s="1"/>
  <c r="J15" i="1"/>
  <c r="J50" i="5" s="1"/>
  <c r="K37" i="4"/>
  <c r="J41" i="4"/>
  <c r="I41" i="4"/>
  <c r="H41" i="4"/>
  <c r="K25" i="4"/>
  <c r="K29" i="4"/>
  <c r="K17" i="4"/>
  <c r="K21" i="4"/>
  <c r="L24" i="4"/>
  <c r="M24" i="4" s="1"/>
  <c r="N24" i="4" s="1"/>
  <c r="K13" i="4"/>
  <c r="K46" i="5" l="1"/>
  <c r="L46" i="5" s="1"/>
  <c r="M46" i="5" s="1"/>
  <c r="N46" i="5" s="1"/>
  <c r="O46" i="5" s="1"/>
  <c r="P46" i="5" s="1"/>
  <c r="I43" i="5"/>
  <c r="L50" i="5"/>
  <c r="M50" i="5"/>
  <c r="O50" i="5"/>
  <c r="N50" i="5"/>
  <c r="P50" i="5"/>
  <c r="H46" i="5"/>
  <c r="I50" i="5"/>
  <c r="M42" i="5"/>
  <c r="N42" i="5" s="1"/>
  <c r="O43" i="5"/>
  <c r="P43" i="5" s="1"/>
  <c r="M30" i="5"/>
  <c r="L31" i="5"/>
  <c r="L23" i="5" s="1"/>
  <c r="L24" i="5" s="1"/>
  <c r="L89" i="1" s="1"/>
  <c r="K17" i="1"/>
  <c r="K57" i="1" s="1"/>
  <c r="J47" i="4"/>
  <c r="J48" i="4" s="1"/>
  <c r="H17" i="1"/>
  <c r="G47" i="4"/>
  <c r="G48" i="4" s="1"/>
  <c r="L47" i="1"/>
  <c r="L104" i="1" s="1"/>
  <c r="J17" i="1"/>
  <c r="I47" i="4"/>
  <c r="I48" i="4" s="1"/>
  <c r="I17" i="1"/>
  <c r="I57" i="1" s="1"/>
  <c r="H47" i="4"/>
  <c r="H48" i="4" s="1"/>
  <c r="L62" i="4"/>
  <c r="L38" i="4"/>
  <c r="M38" i="4" s="1"/>
  <c r="N38" i="4" s="1"/>
  <c r="O38" i="4" s="1"/>
  <c r="M51" i="4"/>
  <c r="L51" i="4"/>
  <c r="K57" i="4"/>
  <c r="K51" i="4"/>
  <c r="L57" i="4"/>
  <c r="N54" i="4"/>
  <c r="N51" i="4"/>
  <c r="O51" i="4"/>
  <c r="O57" i="4"/>
  <c r="O54" i="4"/>
  <c r="M57" i="4"/>
  <c r="N57" i="4"/>
  <c r="M54" i="4"/>
  <c r="K54" i="4"/>
  <c r="L9" i="4"/>
  <c r="M9" i="4" s="1"/>
  <c r="N9" i="4" s="1"/>
  <c r="O9" i="4" s="1"/>
  <c r="L54" i="4"/>
  <c r="L13" i="4"/>
  <c r="M13" i="4" s="1"/>
  <c r="N13" i="4" s="1"/>
  <c r="O13" i="4" s="1"/>
  <c r="L21" i="4"/>
  <c r="M21" i="4" s="1"/>
  <c r="N21" i="4" s="1"/>
  <c r="O21" i="4" s="1"/>
  <c r="L17" i="4"/>
  <c r="M17" i="4" s="1"/>
  <c r="N17" i="4" s="1"/>
  <c r="O17" i="4" s="1"/>
  <c r="K33" i="4"/>
  <c r="K40" i="4" s="1"/>
  <c r="L37" i="4" l="1"/>
  <c r="M37" i="4" s="1"/>
  <c r="N37" i="4" s="1"/>
  <c r="O37" i="4" s="1"/>
  <c r="O42" i="5"/>
  <c r="N30" i="5"/>
  <c r="M31" i="5"/>
  <c r="M23" i="5" s="1"/>
  <c r="M24" i="5" s="1"/>
  <c r="M89" i="1" s="1"/>
  <c r="I27" i="1"/>
  <c r="I41" i="1" s="1"/>
  <c r="H60" i="4" s="1"/>
  <c r="H27" i="1"/>
  <c r="H57" i="1"/>
  <c r="K27" i="1"/>
  <c r="N48" i="4"/>
  <c r="J27" i="1"/>
  <c r="J57" i="1"/>
  <c r="M48" i="4"/>
  <c r="M47" i="1"/>
  <c r="M104" i="1" s="1"/>
  <c r="O48" i="4"/>
  <c r="L48" i="4"/>
  <c r="K48" i="4"/>
  <c r="M62" i="4"/>
  <c r="N47" i="1" s="1"/>
  <c r="L25" i="4"/>
  <c r="M25" i="4" s="1"/>
  <c r="N25" i="4" s="1"/>
  <c r="O25" i="4" s="1"/>
  <c r="L29" i="4"/>
  <c r="M29" i="4" s="1"/>
  <c r="N29" i="4" s="1"/>
  <c r="O29" i="4" s="1"/>
  <c r="L33" i="4"/>
  <c r="N104" i="1" l="1"/>
  <c r="K62" i="1"/>
  <c r="J64" i="4" s="1"/>
  <c r="K64" i="4" s="1"/>
  <c r="K41" i="1"/>
  <c r="K45" i="1" s="1"/>
  <c r="K48" i="1" s="1"/>
  <c r="P42" i="5"/>
  <c r="O30" i="5"/>
  <c r="N31" i="5"/>
  <c r="N23" i="5" s="1"/>
  <c r="N24" i="5" s="1"/>
  <c r="N89" i="1" s="1"/>
  <c r="I62" i="1"/>
  <c r="H64" i="4" s="1"/>
  <c r="I58" i="1"/>
  <c r="I45" i="1"/>
  <c r="I48" i="1" s="1"/>
  <c r="I59" i="1"/>
  <c r="J41" i="1"/>
  <c r="J59" i="1" s="1"/>
  <c r="J58" i="1"/>
  <c r="J62" i="1"/>
  <c r="I64" i="4" s="1"/>
  <c r="K58" i="1"/>
  <c r="H41" i="1"/>
  <c r="H45" i="1" s="1"/>
  <c r="H48" i="1" s="1"/>
  <c r="G44" i="4" s="1"/>
  <c r="H58" i="1"/>
  <c r="H62" i="1"/>
  <c r="G64" i="4" s="1"/>
  <c r="N62" i="4"/>
  <c r="O47" i="1" s="1"/>
  <c r="M33" i="4"/>
  <c r="K64" i="1" l="1"/>
  <c r="L64" i="1" s="1"/>
  <c r="M64" i="1" s="1"/>
  <c r="N64" i="1" s="1"/>
  <c r="O64" i="1" s="1"/>
  <c r="P64" i="1" s="1"/>
  <c r="L65" i="5"/>
  <c r="O104" i="1"/>
  <c r="I64" i="1"/>
  <c r="K60" i="1"/>
  <c r="J44" i="4"/>
  <c r="I50" i="1"/>
  <c r="H44" i="4"/>
  <c r="I54" i="1" s="1"/>
  <c r="H64" i="1"/>
  <c r="H60" i="1"/>
  <c r="H54" i="1"/>
  <c r="J64" i="1"/>
  <c r="L64" i="4"/>
  <c r="M65" i="5" s="1"/>
  <c r="P30" i="5"/>
  <c r="P31" i="5" s="1"/>
  <c r="P23" i="5" s="1"/>
  <c r="P24" i="5" s="1"/>
  <c r="P89" i="1" s="1"/>
  <c r="O31" i="5"/>
  <c r="O23" i="5" s="1"/>
  <c r="O24" i="5" s="1"/>
  <c r="O89" i="1" s="1"/>
  <c r="J60" i="4"/>
  <c r="I60" i="1"/>
  <c r="K50" i="1"/>
  <c r="H59" i="1"/>
  <c r="K59" i="1"/>
  <c r="G60" i="4"/>
  <c r="H50" i="1"/>
  <c r="I66" i="1" s="1"/>
  <c r="I60" i="4"/>
  <c r="J45" i="1"/>
  <c r="J48" i="1" s="1"/>
  <c r="I44" i="4" s="1"/>
  <c r="J54" i="1" s="1"/>
  <c r="O62" i="4"/>
  <c r="P47" i="1" s="1"/>
  <c r="N33" i="4"/>
  <c r="K54" i="1" l="1"/>
  <c r="K44" i="4"/>
  <c r="P104" i="1"/>
  <c r="M64" i="4"/>
  <c r="N65" i="5" s="1"/>
  <c r="O60" i="4"/>
  <c r="M60" i="4"/>
  <c r="N60" i="4"/>
  <c r="K60" i="4"/>
  <c r="L60" i="4"/>
  <c r="J50" i="1"/>
  <c r="J60" i="1"/>
  <c r="O33" i="4"/>
  <c r="L54" i="1" l="1"/>
  <c r="L44" i="4"/>
  <c r="N64" i="4"/>
  <c r="J66" i="1"/>
  <c r="K66" i="1"/>
  <c r="O40" i="4"/>
  <c r="L40" i="4"/>
  <c r="M40" i="4"/>
  <c r="N40" i="4"/>
  <c r="M44" i="4" l="1"/>
  <c r="M54" i="1"/>
  <c r="O65" i="5"/>
  <c r="N41" i="4"/>
  <c r="N53" i="4"/>
  <c r="O36" i="1" s="1"/>
  <c r="O118" i="1" s="1"/>
  <c r="O133" i="1" s="1"/>
  <c r="O11" i="1"/>
  <c r="N56" i="4"/>
  <c r="O40" i="1" s="1"/>
  <c r="O119" i="1" s="1"/>
  <c r="O134" i="1" s="1"/>
  <c r="N50" i="4"/>
  <c r="O21" i="1" s="1"/>
  <c r="N47" i="4"/>
  <c r="O15" i="1" s="1"/>
  <c r="O49" i="5" s="1"/>
  <c r="O93" i="1" s="1"/>
  <c r="K41" i="4"/>
  <c r="L11" i="1"/>
  <c r="K53" i="4"/>
  <c r="L36" i="1" s="1"/>
  <c r="L118" i="1" s="1"/>
  <c r="L133" i="1" s="1"/>
  <c r="K56" i="4"/>
  <c r="L40" i="1" s="1"/>
  <c r="L119" i="1" s="1"/>
  <c r="L134" i="1" s="1"/>
  <c r="K50" i="4"/>
  <c r="L21" i="1" s="1"/>
  <c r="K47" i="4"/>
  <c r="L15" i="1" s="1"/>
  <c r="N11" i="1"/>
  <c r="M56" i="4"/>
  <c r="N40" i="1" s="1"/>
  <c r="N119" i="1" s="1"/>
  <c r="N134" i="1" s="1"/>
  <c r="M53" i="4"/>
  <c r="N36" i="1" s="1"/>
  <c r="N118" i="1" s="1"/>
  <c r="N133" i="1" s="1"/>
  <c r="M50" i="4"/>
  <c r="N21" i="1" s="1"/>
  <c r="M41" i="4"/>
  <c r="M47" i="4"/>
  <c r="N15" i="1" s="1"/>
  <c r="N49" i="5" s="1"/>
  <c r="N93" i="1" s="1"/>
  <c r="L53" i="4"/>
  <c r="M36" i="1" s="1"/>
  <c r="M118" i="1" s="1"/>
  <c r="M133" i="1" s="1"/>
  <c r="M11" i="1"/>
  <c r="L56" i="4"/>
  <c r="M40" i="1" s="1"/>
  <c r="M119" i="1" s="1"/>
  <c r="M134" i="1" s="1"/>
  <c r="L50" i="4"/>
  <c r="M21" i="1" s="1"/>
  <c r="L41" i="4"/>
  <c r="L47" i="4"/>
  <c r="M15" i="1" s="1"/>
  <c r="M49" i="5" s="1"/>
  <c r="M93" i="1" s="1"/>
  <c r="O50" i="4"/>
  <c r="P21" i="1" s="1"/>
  <c r="O41" i="4"/>
  <c r="O53" i="4"/>
  <c r="P36" i="1" s="1"/>
  <c r="P118" i="1" s="1"/>
  <c r="P133" i="1" s="1"/>
  <c r="P11" i="1"/>
  <c r="O56" i="4"/>
  <c r="P40" i="1" s="1"/>
  <c r="P119" i="1" s="1"/>
  <c r="P134" i="1" s="1"/>
  <c r="O47" i="4"/>
  <c r="P15" i="1" s="1"/>
  <c r="P49" i="5" s="1"/>
  <c r="P93" i="1" s="1"/>
  <c r="L49" i="5" l="1"/>
  <c r="L93" i="1" s="1"/>
  <c r="L125" i="1" s="1"/>
  <c r="L17" i="1"/>
  <c r="L27" i="1" s="1"/>
  <c r="F15" i="8" s="1"/>
  <c r="L45" i="5"/>
  <c r="L79" i="1" s="1"/>
  <c r="L124" i="1" s="1"/>
  <c r="N54" i="1"/>
  <c r="N44" i="4"/>
  <c r="O54" i="1" s="1"/>
  <c r="O12" i="5"/>
  <c r="P10" i="5" s="1"/>
  <c r="O38" i="5"/>
  <c r="O77" i="1" s="1"/>
  <c r="P12" i="5"/>
  <c r="P16" i="5" s="1"/>
  <c r="P17" i="5" s="1"/>
  <c r="P38" i="5"/>
  <c r="P77" i="1" s="1"/>
  <c r="M12" i="5"/>
  <c r="N10" i="5" s="1"/>
  <c r="M38" i="5"/>
  <c r="M77" i="1" s="1"/>
  <c r="L12" i="5"/>
  <c r="L38" i="5"/>
  <c r="L77" i="1" s="1"/>
  <c r="L122" i="1" s="1"/>
  <c r="N12" i="5"/>
  <c r="O10" i="5" s="1"/>
  <c r="N38" i="5"/>
  <c r="N77" i="1" s="1"/>
  <c r="N45" i="5"/>
  <c r="N79" i="1" s="1"/>
  <c r="N39" i="5"/>
  <c r="N78" i="1" s="1"/>
  <c r="L39" i="5"/>
  <c r="L78" i="1" s="1"/>
  <c r="L123" i="1" s="1"/>
  <c r="P45" i="5"/>
  <c r="P79" i="1" s="1"/>
  <c r="P39" i="5"/>
  <c r="P78" i="1" s="1"/>
  <c r="M45" i="5"/>
  <c r="M79" i="1" s="1"/>
  <c r="M39" i="5"/>
  <c r="M78" i="1" s="1"/>
  <c r="O45" i="5"/>
  <c r="O79" i="1" s="1"/>
  <c r="O39" i="5"/>
  <c r="O78" i="1" s="1"/>
  <c r="M17" i="1"/>
  <c r="O17" i="1"/>
  <c r="N17" i="1"/>
  <c r="N57" i="1" s="1"/>
  <c r="P17" i="1"/>
  <c r="P57" i="1" s="1"/>
  <c r="F17" i="8" l="1"/>
  <c r="F18" i="8" s="1"/>
  <c r="M10" i="5"/>
  <c r="M11" i="5" s="1"/>
  <c r="G21" i="8" s="1"/>
  <c r="L11" i="5"/>
  <c r="P11" i="5"/>
  <c r="P130" i="1" s="1"/>
  <c r="P135" i="1" s="1"/>
  <c r="P63" i="1"/>
  <c r="P115" i="1" s="1"/>
  <c r="J19" i="8"/>
  <c r="O11" i="5"/>
  <c r="O123" i="1"/>
  <c r="O16" i="5"/>
  <c r="O17" i="5" s="1"/>
  <c r="P122" i="1"/>
  <c r="P123" i="1"/>
  <c r="N124" i="1"/>
  <c r="N122" i="1"/>
  <c r="M124" i="1"/>
  <c r="M122" i="1"/>
  <c r="O124" i="1"/>
  <c r="M80" i="1"/>
  <c r="M123" i="1"/>
  <c r="P124" i="1"/>
  <c r="N11" i="5"/>
  <c r="N16" i="5"/>
  <c r="N17" i="5" s="1"/>
  <c r="O122" i="1"/>
  <c r="N123" i="1"/>
  <c r="L16" i="5"/>
  <c r="L13" i="5" s="1"/>
  <c r="M16" i="5"/>
  <c r="M17" i="5" s="1"/>
  <c r="L80" i="1"/>
  <c r="O80" i="1"/>
  <c r="N80" i="1"/>
  <c r="P80" i="1"/>
  <c r="O27" i="1"/>
  <c r="I15" i="8" s="1"/>
  <c r="I17" i="8" s="1"/>
  <c r="O57" i="1"/>
  <c r="M27" i="1"/>
  <c r="G15" i="8" s="1"/>
  <c r="G17" i="8" s="1"/>
  <c r="M57" i="1"/>
  <c r="L57" i="1"/>
  <c r="N27" i="1"/>
  <c r="H15" i="8" s="1"/>
  <c r="H17" i="8" s="1"/>
  <c r="P27" i="1"/>
  <c r="J15" i="8" s="1"/>
  <c r="J17" i="8" s="1"/>
  <c r="J21" i="8" l="1"/>
  <c r="L17" i="5"/>
  <c r="L63" i="1" s="1"/>
  <c r="M130" i="1"/>
  <c r="M135" i="1" s="1"/>
  <c r="F19" i="8"/>
  <c r="N63" i="1"/>
  <c r="N115" i="1" s="1"/>
  <c r="H19" i="8"/>
  <c r="O130" i="1"/>
  <c r="O135" i="1" s="1"/>
  <c r="I21" i="8"/>
  <c r="N130" i="1"/>
  <c r="N135" i="1" s="1"/>
  <c r="H21" i="8"/>
  <c r="O63" i="1"/>
  <c r="O115" i="1" s="1"/>
  <c r="I19" i="8"/>
  <c r="M63" i="1"/>
  <c r="M115" i="1" s="1"/>
  <c r="G19" i="8"/>
  <c r="F21" i="8"/>
  <c r="L130" i="1"/>
  <c r="L135" i="1" s="1"/>
  <c r="P62" i="1"/>
  <c r="P61" i="5" s="1"/>
  <c r="P99" i="1" s="1"/>
  <c r="M13" i="5"/>
  <c r="L14" i="5"/>
  <c r="L86" i="1" s="1"/>
  <c r="P58" i="1"/>
  <c r="N58" i="1"/>
  <c r="L58" i="1"/>
  <c r="M58" i="1"/>
  <c r="O58" i="1"/>
  <c r="O62" i="1" l="1"/>
  <c r="O61" i="5" s="1"/>
  <c r="O71" i="5" s="1"/>
  <c r="O94" i="1" s="1"/>
  <c r="M62" i="1"/>
  <c r="M61" i="5" s="1"/>
  <c r="M71" i="5" s="1"/>
  <c r="M94" i="1" s="1"/>
  <c r="L115" i="1"/>
  <c r="L62" i="1"/>
  <c r="L61" i="5" s="1"/>
  <c r="N62" i="1"/>
  <c r="N61" i="5" s="1"/>
  <c r="N71" i="5" s="1"/>
  <c r="N94" i="1" s="1"/>
  <c r="P71" i="5"/>
  <c r="P94" i="1" s="1"/>
  <c r="N13" i="5"/>
  <c r="M14" i="5"/>
  <c r="M86" i="1" s="1"/>
  <c r="L71" i="5" l="1"/>
  <c r="L69" i="5" s="1"/>
  <c r="L99" i="1"/>
  <c r="L59" i="5"/>
  <c r="N99" i="1"/>
  <c r="O58" i="5"/>
  <c r="O59" i="5" s="1"/>
  <c r="L64" i="5"/>
  <c r="M58" i="5"/>
  <c r="M59" i="5" s="1"/>
  <c r="M99" i="1"/>
  <c r="N58" i="5"/>
  <c r="N59" i="5" s="1"/>
  <c r="P58" i="5"/>
  <c r="P59" i="5" s="1"/>
  <c r="O99" i="1"/>
  <c r="P68" i="5"/>
  <c r="O68" i="5"/>
  <c r="N68" i="5"/>
  <c r="O13" i="5"/>
  <c r="N14" i="5"/>
  <c r="N86" i="1" s="1"/>
  <c r="L138" i="1" l="1"/>
  <c r="P74" i="5"/>
  <c r="L74" i="5"/>
  <c r="L32" i="1" s="1"/>
  <c r="P69" i="5"/>
  <c r="P138" i="1" s="1"/>
  <c r="M68" i="5"/>
  <c r="M74" i="5" s="1"/>
  <c r="L94" i="1"/>
  <c r="O74" i="5"/>
  <c r="O69" i="5"/>
  <c r="O138" i="1" s="1"/>
  <c r="N69" i="5"/>
  <c r="N138" i="1" s="1"/>
  <c r="N74" i="5"/>
  <c r="P13" i="5"/>
  <c r="P14" i="5" s="1"/>
  <c r="P86" i="1" s="1"/>
  <c r="O14" i="5"/>
  <c r="O86" i="1" s="1"/>
  <c r="O70" i="5" l="1"/>
  <c r="O139" i="1" s="1"/>
  <c r="P70" i="5"/>
  <c r="P139" i="1" s="1"/>
  <c r="M69" i="5"/>
  <c r="M138" i="1" s="1"/>
  <c r="L140" i="1" l="1"/>
  <c r="L41" i="1" l="1"/>
  <c r="K59" i="4" s="1"/>
  <c r="L116" i="1"/>
  <c r="M64" i="5"/>
  <c r="M32" i="1" s="1"/>
  <c r="M140" i="1" s="1"/>
  <c r="L44" i="1" l="1"/>
  <c r="L45" i="1" s="1"/>
  <c r="L113" i="1" s="1"/>
  <c r="L120" i="1" s="1"/>
  <c r="M41" i="1"/>
  <c r="L59" i="4" s="1"/>
  <c r="M116" i="1"/>
  <c r="L59" i="1" l="1"/>
  <c r="L52" i="5"/>
  <c r="L96" i="1" s="1"/>
  <c r="L126" i="1" s="1"/>
  <c r="L48" i="1"/>
  <c r="L60" i="1" s="1"/>
  <c r="M44" i="1"/>
  <c r="M45" i="1" s="1"/>
  <c r="G18" i="8"/>
  <c r="O64" i="5"/>
  <c r="O32" i="1" s="1"/>
  <c r="O140" i="1" s="1"/>
  <c r="N64" i="5"/>
  <c r="N32" i="1" s="1"/>
  <c r="N140" i="1" s="1"/>
  <c r="M59" i="1" l="1"/>
  <c r="M52" i="5"/>
  <c r="M96" i="1" s="1"/>
  <c r="M97" i="1" s="1"/>
  <c r="K43" i="4"/>
  <c r="L53" i="1" s="1"/>
  <c r="L50" i="1"/>
  <c r="L66" i="1" s="1"/>
  <c r="F20" i="8"/>
  <c r="F22" i="8" s="1"/>
  <c r="F26" i="8" s="1"/>
  <c r="N41" i="1"/>
  <c r="M59" i="4" s="1"/>
  <c r="N116" i="1"/>
  <c r="O41" i="1"/>
  <c r="N59" i="4" s="1"/>
  <c r="O116" i="1"/>
  <c r="M48" i="1"/>
  <c r="M113" i="1"/>
  <c r="M120" i="1" s="1"/>
  <c r="P64" i="5"/>
  <c r="P32" i="1" s="1"/>
  <c r="P140" i="1" s="1"/>
  <c r="L103" i="1" l="1"/>
  <c r="L105" i="1" s="1"/>
  <c r="L141" i="1"/>
  <c r="L142" i="1" s="1"/>
  <c r="M126" i="1"/>
  <c r="O44" i="1"/>
  <c r="O45" i="1" s="1"/>
  <c r="O48" i="1" s="1"/>
  <c r="O60" i="1" s="1"/>
  <c r="I18" i="8"/>
  <c r="N44" i="1"/>
  <c r="N45" i="1" s="1"/>
  <c r="N113" i="1" s="1"/>
  <c r="N120" i="1" s="1"/>
  <c r="H18" i="8"/>
  <c r="P41" i="1"/>
  <c r="O59" i="4" s="1"/>
  <c r="P116" i="1"/>
  <c r="M50" i="1"/>
  <c r="M66" i="1" s="1"/>
  <c r="M60" i="1"/>
  <c r="L43" i="4"/>
  <c r="M103" i="1" s="1"/>
  <c r="M105" i="1" s="1"/>
  <c r="O59" i="1" l="1"/>
  <c r="N48" i="1"/>
  <c r="N50" i="1" s="1"/>
  <c r="N66" i="1" s="1"/>
  <c r="N52" i="5"/>
  <c r="N96" i="1" s="1"/>
  <c r="N126" i="1" s="1"/>
  <c r="N59" i="1"/>
  <c r="O113" i="1"/>
  <c r="O120" i="1" s="1"/>
  <c r="O52" i="5"/>
  <c r="O96" i="1" s="1"/>
  <c r="P44" i="1"/>
  <c r="P45" i="1" s="1"/>
  <c r="P48" i="1" s="1"/>
  <c r="P60" i="1" s="1"/>
  <c r="J18" i="8"/>
  <c r="N43" i="4"/>
  <c r="O53" i="1" s="1"/>
  <c r="M53" i="1"/>
  <c r="M141" i="1"/>
  <c r="M142" i="1" s="1"/>
  <c r="M106" i="1"/>
  <c r="O50" i="1"/>
  <c r="N60" i="1" l="1"/>
  <c r="O66" i="1"/>
  <c r="M43" i="4"/>
  <c r="N103" i="1" s="1"/>
  <c r="N105" i="1" s="1"/>
  <c r="O126" i="1"/>
  <c r="P59" i="1"/>
  <c r="P52" i="5"/>
  <c r="P96" i="1" s="1"/>
  <c r="P126" i="1" s="1"/>
  <c r="P113" i="1"/>
  <c r="P120" i="1" s="1"/>
  <c r="O97" i="1"/>
  <c r="O141" i="1"/>
  <c r="O142" i="1" s="1"/>
  <c r="N53" i="1"/>
  <c r="N141" i="1"/>
  <c r="N142" i="1" s="1"/>
  <c r="P50" i="1"/>
  <c r="P66" i="1" s="1"/>
  <c r="O43" i="4"/>
  <c r="O103" i="1" l="1"/>
  <c r="O105" i="1" s="1"/>
  <c r="O106" i="1" s="1"/>
  <c r="P53" i="1"/>
  <c r="P141" i="1"/>
  <c r="P142" i="1" s="1"/>
  <c r="M125" i="1"/>
  <c r="P103" i="1" l="1"/>
  <c r="P105" i="1" s="1"/>
  <c r="M127" i="1"/>
  <c r="M144" i="1" s="1"/>
  <c r="G20" i="8"/>
  <c r="G22" i="8" s="1"/>
  <c r="G26" i="8" s="1"/>
  <c r="N97" i="1"/>
  <c r="N106" i="1" s="1"/>
  <c r="N125" i="1"/>
  <c r="L127" i="1"/>
  <c r="L144" i="1" s="1"/>
  <c r="L147" i="1" s="1"/>
  <c r="M146" i="1" s="1"/>
  <c r="P125" i="1"/>
  <c r="P97" i="1"/>
  <c r="O125" i="1"/>
  <c r="L97" i="1"/>
  <c r="L106" i="1" s="1"/>
  <c r="P106" i="1" l="1"/>
  <c r="M147" i="1"/>
  <c r="M72" i="1" s="1"/>
  <c r="M74" i="1" s="1"/>
  <c r="M90" i="1" s="1"/>
  <c r="M108" i="1" s="1"/>
  <c r="O127" i="1"/>
  <c r="O144" i="1" s="1"/>
  <c r="I20" i="8"/>
  <c r="I22" i="8" s="1"/>
  <c r="I26" i="8" s="1"/>
  <c r="P127" i="1"/>
  <c r="P144" i="1" s="1"/>
  <c r="J20" i="8"/>
  <c r="J22" i="8" s="1"/>
  <c r="N127" i="1"/>
  <c r="N144" i="1" s="1"/>
  <c r="H20" i="8"/>
  <c r="H22" i="8" s="1"/>
  <c r="H26" i="8" s="1"/>
  <c r="L72" i="1"/>
  <c r="L74" i="1" s="1"/>
  <c r="L90" i="1" s="1"/>
  <c r="L108" i="1" s="1"/>
  <c r="J25" i="8" l="1"/>
  <c r="J26" i="8" s="1"/>
  <c r="F27" i="8" s="1"/>
  <c r="F31" i="8" s="1"/>
  <c r="F33" i="8" s="1"/>
  <c r="N146" i="1"/>
  <c r="N147" i="1" s="1"/>
  <c r="N72" i="1" s="1"/>
  <c r="N74" i="1" s="1"/>
  <c r="N90" i="1" s="1"/>
  <c r="N108" i="1" s="1"/>
  <c r="O146" i="1" l="1"/>
  <c r="O147" i="1" s="1"/>
  <c r="P146" i="1" s="1"/>
  <c r="P147" i="1" s="1"/>
  <c r="P72" i="1" s="1"/>
  <c r="P74" i="1" s="1"/>
  <c r="P90" i="1" s="1"/>
  <c r="P108" i="1" s="1"/>
  <c r="C38" i="8"/>
  <c r="I8" i="8"/>
  <c r="I10" i="8" s="1"/>
  <c r="O72" i="1" l="1"/>
  <c r="O74" i="1" s="1"/>
  <c r="O90" i="1" s="1"/>
  <c r="O108" i="1" s="1"/>
</calcChain>
</file>

<file path=xl/sharedStrings.xml><?xml version="1.0" encoding="utf-8"?>
<sst xmlns="http://schemas.openxmlformats.org/spreadsheetml/2006/main" count="920" uniqueCount="553">
  <si>
    <t>The Coca-Cola Company</t>
  </si>
  <si>
    <t>(in Millions, except per share data)</t>
  </si>
  <si>
    <t>Date</t>
  </si>
  <si>
    <t>Actual / Forecast</t>
  </si>
  <si>
    <t>Actual</t>
  </si>
  <si>
    <t>Forecast</t>
  </si>
  <si>
    <t>Income Statement</t>
  </si>
  <si>
    <t>Assumption Sheet</t>
  </si>
  <si>
    <t>Revenue Assumptions</t>
  </si>
  <si>
    <t>Europe, Middle East &amp; Africa</t>
  </si>
  <si>
    <t>Latin America</t>
  </si>
  <si>
    <t>North America</t>
  </si>
  <si>
    <t>Asia Pacific</t>
  </si>
  <si>
    <t>Global Ventures</t>
  </si>
  <si>
    <t>Bottling Investments</t>
  </si>
  <si>
    <t>Corporate</t>
  </si>
  <si>
    <t>Eliminations</t>
  </si>
  <si>
    <t>Growth Rate</t>
  </si>
  <si>
    <t>Consolidated Revenue</t>
  </si>
  <si>
    <t xml:space="preserve">Total Growth </t>
  </si>
  <si>
    <t>Fluctuations</t>
  </si>
  <si>
    <t>Revenue Growth %</t>
  </si>
  <si>
    <t>Net Revenue</t>
  </si>
  <si>
    <t>Cost of Goods Sold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</si>
  <si>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</si>
  <si>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</si>
  <si>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</si>
  <si>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</si>
  <si>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</si>
  <si>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(net) \ loss</t>
  </si>
  <si>
    <t>Other Income (net) \ loss</t>
  </si>
  <si>
    <t>Income Before Taxes</t>
  </si>
  <si>
    <t>Income Taxes</t>
  </si>
  <si>
    <t>Less: Net income (loss) attributable to noncontrolling interests</t>
  </si>
  <si>
    <t>Net income (loss) attributable to NCI</t>
  </si>
  <si>
    <t>Net Income Attributable to Shareowners of The Coca-Cola Company</t>
  </si>
  <si>
    <t>Net Income to Common</t>
  </si>
  <si>
    <t>Basic Net Income Per Share1</t>
  </si>
  <si>
    <t>Diluted Net Income Per Share</t>
  </si>
  <si>
    <t>Average Shares Outstanding — Diluted</t>
  </si>
  <si>
    <t>Dividend Per Share</t>
  </si>
  <si>
    <t>Financial Statements</t>
  </si>
  <si>
    <t>Year Ended December 31,</t>
  </si>
  <si>
    <t>Net Operating Revenues</t>
  </si>
  <si>
    <t>$</t>
  </si>
  <si>
    <t>Cost of goods sold</t>
  </si>
  <si>
    <t>Gross Profit</t>
  </si>
  <si>
    <t>Selling, general and administrative expenses</t>
  </si>
  <si>
    <t>Other operating charges</t>
  </si>
  <si>
    <t>Interest income</t>
  </si>
  <si>
    <t>Interest expense</t>
  </si>
  <si>
    <t>Equity income (loss) — net</t>
  </si>
  <si>
    <t>Other income (loss) — net</t>
  </si>
  <si>
    <t>Income Before Income Taxes</t>
  </si>
  <si>
    <t>Income taxes</t>
  </si>
  <si>
    <t>Consolidated Net Income</t>
  </si>
  <si>
    <t>10,649 </t>
  </si>
  <si>
    <t>10,703 </t>
  </si>
  <si>
    <t>9,571 </t>
  </si>
  <si>
    <t>Diluted Net Income Per Share1</t>
  </si>
  <si>
    <t>Average Shares Outstanding — Basic</t>
  </si>
  <si>
    <t>Effect of dilutive securities</t>
  </si>
  <si>
    <t>9,804 </t>
  </si>
  <si>
    <t>Other Assumptions</t>
  </si>
  <si>
    <t>COGS</t>
  </si>
  <si>
    <t>COGS to Net Revenue %</t>
  </si>
  <si>
    <t>Dividend Payout Ratio</t>
  </si>
  <si>
    <t>Gross Profit Margin</t>
  </si>
  <si>
    <t xml:space="preserve">EBIT Margin </t>
  </si>
  <si>
    <t>Effective Tax rate</t>
  </si>
  <si>
    <t>Net Profit Margin</t>
  </si>
  <si>
    <t>EBITDA</t>
  </si>
  <si>
    <t xml:space="preserve">Selling General &amp; Adminstrative </t>
  </si>
  <si>
    <t>SG&amp;A to Net Revenue %</t>
  </si>
  <si>
    <t>Equity Income to Net Revenue %</t>
  </si>
  <si>
    <t>Other Income to Net Revenue %</t>
  </si>
  <si>
    <t>Less: Extraordinary Item</t>
  </si>
  <si>
    <t>Normalised Gross profit</t>
  </si>
  <si>
    <t>Normalised Net Revenue</t>
  </si>
  <si>
    <t>Normalised COGS</t>
  </si>
  <si>
    <t>Normalised SG&amp;A</t>
  </si>
  <si>
    <t>Normalised Other Operating Charges</t>
  </si>
  <si>
    <t>Normalised Operating Income</t>
  </si>
  <si>
    <t>Normalised Interest Expense</t>
  </si>
  <si>
    <t>Normalised Equity Income Net</t>
  </si>
  <si>
    <t>Normalised Other Income Net</t>
  </si>
  <si>
    <t>Normalised Income Taxes</t>
  </si>
  <si>
    <t>Effective tax rate to PBT %</t>
  </si>
  <si>
    <t>EPS Growth %</t>
  </si>
  <si>
    <t>Depreciation and Ammortisation</t>
  </si>
  <si>
    <t>Operating Activities</t>
  </si>
  <si>
    <t>Consolidated net income</t>
  </si>
  <si>
    <t>Adjustments to reconcile consolidated net income to net cash provided by operating activities:</t>
  </si>
  <si>
    <t>Depreciation and amortization</t>
  </si>
  <si>
    <t>Stock-based compensation expense</t>
  </si>
  <si>
    <t>286 </t>
  </si>
  <si>
    <t>254 </t>
  </si>
  <si>
    <t>356 </t>
  </si>
  <si>
    <t>Deferred income taxes</t>
  </si>
  <si>
    <t>Equity (income) loss — net of dividends</t>
  </si>
  <si>
    <t>Foreign currency adjustments</t>
  </si>
  <si>
    <t>175 </t>
  </si>
  <si>
    <t>203 </t>
  </si>
  <si>
    <t>Significant (gains) losses — net</t>
  </si>
  <si>
    <t>4,000 </t>
  </si>
  <si>
    <t>1,741 </t>
  </si>
  <si>
    <t>1,086 </t>
  </si>
  <si>
    <t>Other items</t>
  </si>
  <si>
    <t>236 </t>
  </si>
  <si>
    <t>Net change in operating assets and liabilities</t>
  </si>
  <si>
    <t>Net Cash Provided by Operating Activities</t>
  </si>
  <si>
    <t>6,805 </t>
  </si>
  <si>
    <t>11,599 </t>
  </si>
  <si>
    <t>11,018 </t>
  </si>
  <si>
    <t>Investing Activities</t>
  </si>
  <si>
    <t>Purchases of investments</t>
  </si>
  <si>
    <t>Proceeds from disposals of investments</t>
  </si>
  <si>
    <t>6,589 </t>
  </si>
  <si>
    <t>4,354 </t>
  </si>
  <si>
    <t>4,771 </t>
  </si>
  <si>
    <t>Acquisitions of businesses, equity method investments and nonmarketable securities</t>
  </si>
  <si>
    <t>Proceeds from disposals of businesses, equity method investments and nonmarketable securities</t>
  </si>
  <si>
    <t>3,485 </t>
  </si>
  <si>
    <t>430 </t>
  </si>
  <si>
    <t>458 </t>
  </si>
  <si>
    <t>Purchases of property, plant and equipment</t>
  </si>
  <si>
    <t>Proceeds from disposals of property, plant and equipment</t>
  </si>
  <si>
    <t>40 </t>
  </si>
  <si>
    <t>74 </t>
  </si>
  <si>
    <t>75 </t>
  </si>
  <si>
    <t>Collateral (paid) received associated with hedging activities — net</t>
  </si>
  <si>
    <t>235 </t>
  </si>
  <si>
    <t>366 </t>
  </si>
  <si>
    <t>Other investing activities</t>
  </si>
  <si>
    <t>194 </t>
  </si>
  <si>
    <t>39 </t>
  </si>
  <si>
    <t>706 </t>
  </si>
  <si>
    <t>Net Cash Provided by (Used in) Investing Activities</t>
  </si>
  <si>
    <t>2,524 </t>
  </si>
  <si>
    <t>Financing Activities</t>
  </si>
  <si>
    <t>Issuances of loans, notes payable and long-term debt</t>
  </si>
  <si>
    <t>12,061 </t>
  </si>
  <si>
    <t>6,891 </t>
  </si>
  <si>
    <t>3,972 </t>
  </si>
  <si>
    <t>Payments of loans, notes payable and long-term debt</t>
  </si>
  <si>
    <t>Issuances of stock</t>
  </si>
  <si>
    <t>747 </t>
  </si>
  <si>
    <t>539 </t>
  </si>
  <si>
    <t>837 </t>
  </si>
  <si>
    <t>Purchases of stock for treasury</t>
  </si>
  <si>
    <t>Dividends</t>
  </si>
  <si>
    <t>Other financing activities</t>
  </si>
  <si>
    <t>Net Cash Provided by (Used in) Financing Activities</t>
  </si>
  <si>
    <t>Effect of Exchange Rate Changes on Cash, Cash Equivalents, Restricted Cash and</t>
  </si>
  <si>
    <t>   Restricted Cash Equivalents</t>
  </si>
  <si>
    <t>Cash, Cash Equivalents, Restricted Cash and Restricted Cash Equivalents</t>
  </si>
  <si>
    <t>Net increase (decrease) in cash, cash equivalents, restricted cash and restricted cash</t>
  </si>
  <si>
    <t>   equivalents during the year</t>
  </si>
  <si>
    <t>1,796 </t>
  </si>
  <si>
    <t>Cash, cash equivalents, restricted cash and restricted cash equivalents at beginning of year</t>
  </si>
  <si>
    <t>9,692 </t>
  </si>
  <si>
    <t>9,825 </t>
  </si>
  <si>
    <t>10,025 </t>
  </si>
  <si>
    <t>Cash, Cash Equivalents, Restricted Cash and Restricted Cash Equivalents at End of Year</t>
  </si>
  <si>
    <t>11,488 </t>
  </si>
  <si>
    <t>Less: Restricted cash and restricted cash equivalents at end of year</t>
  </si>
  <si>
    <t>660 </t>
  </si>
  <si>
    <t>326 </t>
  </si>
  <si>
    <t>306 </t>
  </si>
  <si>
    <t>Cash and Cash Equivalents at End of Year</t>
  </si>
  <si>
    <t>10,828 </t>
  </si>
  <si>
    <t>9,366 </t>
  </si>
  <si>
    <t>9,519 </t>
  </si>
  <si>
    <t>337 </t>
  </si>
  <si>
    <t>201 </t>
  </si>
  <si>
    <t>894 </t>
  </si>
  <si>
    <t>86 </t>
  </si>
  <si>
    <t>506 </t>
  </si>
  <si>
    <t>1,325 </t>
  </si>
  <si>
    <t>12,625 </t>
  </si>
  <si>
    <t>7,059 </t>
  </si>
  <si>
    <t>2,180 </t>
  </si>
  <si>
    <t>108 </t>
  </si>
  <si>
    <t>51 </t>
  </si>
  <si>
    <t>Issuances of debt</t>
  </si>
  <si>
    <t>13,094 </t>
  </si>
  <si>
    <t>Payments of debt</t>
  </si>
  <si>
    <t>702 </t>
  </si>
  <si>
    <t>    Restricted Cash Equivalents</t>
  </si>
  <si>
    <t>2,915 </t>
  </si>
  <si>
    <t>7,110 </t>
  </si>
  <si>
    <t>341 </t>
  </si>
  <si>
    <t>9,684 </t>
  </si>
  <si>
    <t>EBITDA Margin %</t>
  </si>
  <si>
    <t>Schedule</t>
  </si>
  <si>
    <t>Depreciation Schedule</t>
  </si>
  <si>
    <t>Property, plant and equipment</t>
  </si>
  <si>
    <t xml:space="preserve">Opening Gross Block </t>
  </si>
  <si>
    <t>(+) Net Purchases</t>
  </si>
  <si>
    <t>Closing Gross Block</t>
  </si>
  <si>
    <t>December 31,</t>
  </si>
  <si>
    <t>ASSETS</t>
  </si>
  <si>
    <t>Current Assets</t>
  </si>
  <si>
    <t>Cash and cash equivalents</t>
  </si>
  <si>
    <t>Short-term investments</t>
  </si>
  <si>
    <t>2,020 </t>
  </si>
  <si>
    <t>2,997 </t>
  </si>
  <si>
    <t>Total Cash, Cash Equivalents and Short-Term Investments</t>
  </si>
  <si>
    <t>12,848 </t>
  </si>
  <si>
    <t>12,363 </t>
  </si>
  <si>
    <t>Marketable securities</t>
  </si>
  <si>
    <t>1,723 </t>
  </si>
  <si>
    <t>1,300 </t>
  </si>
  <si>
    <t>Trade accounts receivable, less allowances of $506 and $502, respectively</t>
  </si>
  <si>
    <t>3,569 </t>
  </si>
  <si>
    <t>3,410 </t>
  </si>
  <si>
    <t>Inventories</t>
  </si>
  <si>
    <t>4,728 </t>
  </si>
  <si>
    <t>4,424 </t>
  </si>
  <si>
    <t>Prepaid expenses and other current assets</t>
  </si>
  <si>
    <t>3,129 </t>
  </si>
  <si>
    <t>5,235 </t>
  </si>
  <si>
    <t>Total Current Assets</t>
  </si>
  <si>
    <t>25,997 </t>
  </si>
  <si>
    <t>26,732 </t>
  </si>
  <si>
    <t>Equity method investments</t>
  </si>
  <si>
    <t>18,087 </t>
  </si>
  <si>
    <t>19,671 </t>
  </si>
  <si>
    <t>Deferred income tax assets</t>
  </si>
  <si>
    <t>1,319 </t>
  </si>
  <si>
    <t>1,561 </t>
  </si>
  <si>
    <t>Property, plant and equipment — net</t>
  </si>
  <si>
    <t>10,303 </t>
  </si>
  <si>
    <t>9,236 </t>
  </si>
  <si>
    <t>Trademarks with indefinite lives</t>
  </si>
  <si>
    <t>13,301 </t>
  </si>
  <si>
    <t>14,349 </t>
  </si>
  <si>
    <t>Goodwill</t>
  </si>
  <si>
    <t>18,139 </t>
  </si>
  <si>
    <t>18,358 </t>
  </si>
  <si>
    <t>Other noncurrent assets</t>
  </si>
  <si>
    <t>13,403 </t>
  </si>
  <si>
    <t>7,796 </t>
  </si>
  <si>
    <t>Total Assets</t>
  </si>
  <si>
    <t>100,549 </t>
  </si>
  <si>
    <t>97,703 </t>
  </si>
  <si>
    <t>LIABILITIES AND EQUITY</t>
  </si>
  <si>
    <t>Current Liabilities</t>
  </si>
  <si>
    <t>Accounts payable and accrued expenses</t>
  </si>
  <si>
    <t>21,715 </t>
  </si>
  <si>
    <t>15,485 </t>
  </si>
  <si>
    <t>Loans and notes payable</t>
  </si>
  <si>
    <t>1,499 </t>
  </si>
  <si>
    <t>4,557 </t>
  </si>
  <si>
    <t>Current maturities of long-term debt</t>
  </si>
  <si>
    <t>648 </t>
  </si>
  <si>
    <t>1,960 </t>
  </si>
  <si>
    <t>Accrued income taxes</t>
  </si>
  <si>
    <t>1,387 </t>
  </si>
  <si>
    <t>1,569 </t>
  </si>
  <si>
    <t>Total Current Liabilities</t>
  </si>
  <si>
    <t>25,249 </t>
  </si>
  <si>
    <t>23,571 </t>
  </si>
  <si>
    <t>Long-term debt</t>
  </si>
  <si>
    <t>42,375 </t>
  </si>
  <si>
    <t>35,547 </t>
  </si>
  <si>
    <t>Other noncurrent liabilities</t>
  </si>
  <si>
    <t>4,084 </t>
  </si>
  <si>
    <t>8,466 </t>
  </si>
  <si>
    <t>Deferred income tax liabilities</t>
  </si>
  <si>
    <t>2,469 </t>
  </si>
  <si>
    <t>2,639 </t>
  </si>
  <si>
    <t>The Coca-Cola Company Shareowners’ Equity</t>
  </si>
  <si>
    <t>Common stock, $0.25 par value; authorized — 11,200 shares; issued — 7,040 shares</t>
  </si>
  <si>
    <t>1,760 </t>
  </si>
  <si>
    <t>Capital surplus</t>
  </si>
  <si>
    <t>19,801 </t>
  </si>
  <si>
    <t>19,209 </t>
  </si>
  <si>
    <t>Reinvested earnings</t>
  </si>
  <si>
    <t>76,054 </t>
  </si>
  <si>
    <t>73,782 </t>
  </si>
  <si>
    <t>Accumulated other comprehensive income (loss)</t>
  </si>
  <si>
    <t>Treasury stock, at cost — 2,738 and 2,732 shares, respectively</t>
  </si>
  <si>
    <t>Equity Attributable to Shareowners of The Coca-Cola Company</t>
  </si>
  <si>
    <t>24,856 </t>
  </si>
  <si>
    <t>25,941 </t>
  </si>
  <si>
    <t>Equity attributable to noncontrolling interests</t>
  </si>
  <si>
    <t>1,516 </t>
  </si>
  <si>
    <t>1,539 </t>
  </si>
  <si>
    <t>Total Equity</t>
  </si>
  <si>
    <t>26,372 </t>
  </si>
  <si>
    <t>27,480 </t>
  </si>
  <si>
    <t>Total Liabilities and Equity</t>
  </si>
  <si>
    <t>Balance Sheet</t>
  </si>
  <si>
    <t>1,242 </t>
  </si>
  <si>
    <t>10,926 </t>
  </si>
  <si>
    <t>1,699 </t>
  </si>
  <si>
    <t>3,512 </t>
  </si>
  <si>
    <t>3,414 </t>
  </si>
  <si>
    <t>2,994 </t>
  </si>
  <si>
    <t>22,545 </t>
  </si>
  <si>
    <t>17,598 </t>
  </si>
  <si>
    <t>Other investments</t>
  </si>
  <si>
    <t>818 </t>
  </si>
  <si>
    <t>6,731 </t>
  </si>
  <si>
    <t>2,129 </t>
  </si>
  <si>
    <t>9,920 </t>
  </si>
  <si>
    <t>14,465 </t>
  </si>
  <si>
    <t>19,363 </t>
  </si>
  <si>
    <t>Other intangible assets</t>
  </si>
  <si>
    <t>785 </t>
  </si>
  <si>
    <t>94,354 </t>
  </si>
  <si>
    <t>14,619 </t>
  </si>
  <si>
    <t>3,307 </t>
  </si>
  <si>
    <t>1,338 </t>
  </si>
  <si>
    <t>686 </t>
  </si>
  <si>
    <t>19,950 </t>
  </si>
  <si>
    <t>38,116 </t>
  </si>
  <si>
    <t>8,607 </t>
  </si>
  <si>
    <t>2,821 </t>
  </si>
  <si>
    <t>18,116 </t>
  </si>
  <si>
    <t>69,094 </t>
  </si>
  <si>
    <t>22,999 </t>
  </si>
  <si>
    <t>1,861 </t>
  </si>
  <si>
    <t>24,860 </t>
  </si>
  <si>
    <t>(-) Accumulated Depreciation</t>
  </si>
  <si>
    <t>Net PPE Block</t>
  </si>
  <si>
    <t>Depreciation &amp; Amortisation</t>
  </si>
  <si>
    <t xml:space="preserve">Depreciation </t>
  </si>
  <si>
    <t>Rate of Depreciation</t>
  </si>
  <si>
    <t>FATR</t>
  </si>
  <si>
    <t>Other Intangible Assets</t>
  </si>
  <si>
    <t>Other Intangible Assets (with definite life)</t>
  </si>
  <si>
    <t>Opening Balance</t>
  </si>
  <si>
    <t>(-) Accumulated Amortization</t>
  </si>
  <si>
    <t>Net Other Intangible Assets Block</t>
  </si>
  <si>
    <t>Amortization Expense</t>
  </si>
  <si>
    <t>Other Intangible Assets (with in-definite life)</t>
  </si>
  <si>
    <t>1,043 </t>
  </si>
  <si>
    <t>10,562 </t>
  </si>
  <si>
    <t>1,069 </t>
  </si>
  <si>
    <t>Trade accounts receivable, less allowances of $516 and $516, respectively</t>
  </si>
  <si>
    <t>3,487 </t>
  </si>
  <si>
    <t>4,233 </t>
  </si>
  <si>
    <t>3,240 </t>
  </si>
  <si>
    <t>22,591 </t>
  </si>
  <si>
    <t>18,264 </t>
  </si>
  <si>
    <t>501 </t>
  </si>
  <si>
    <t>6,189 </t>
  </si>
  <si>
    <t>1,746 </t>
  </si>
  <si>
    <t>9,841 </t>
  </si>
  <si>
    <t>14,214 </t>
  </si>
  <si>
    <t>18,782 </t>
  </si>
  <si>
    <t>635 </t>
  </si>
  <si>
    <t>92,763 </t>
  </si>
  <si>
    <t>15,749 </t>
  </si>
  <si>
    <t>2,373 </t>
  </si>
  <si>
    <t>399 </t>
  </si>
  <si>
    <t>1,203 </t>
  </si>
  <si>
    <t>19,724 </t>
  </si>
  <si>
    <t>36,377 </t>
  </si>
  <si>
    <t>7,922 </t>
  </si>
  <si>
    <t>2,914 </t>
  </si>
  <si>
    <t>18,822 </t>
  </si>
  <si>
    <t>71,019 </t>
  </si>
  <si>
    <t>Treasury stock, at cost — 2,712 and 2,715 shares, respectively</t>
  </si>
  <si>
    <t>24,105 </t>
  </si>
  <si>
    <t>1,721 </t>
  </si>
  <si>
    <t>25,826 </t>
  </si>
  <si>
    <t>94,3</t>
  </si>
  <si>
    <t>Total Other Intangible Assets</t>
  </si>
  <si>
    <t>Trade accounts receivable</t>
  </si>
  <si>
    <t>*change after complettion</t>
  </si>
  <si>
    <t xml:space="preserve">Consolidated Net Income </t>
  </si>
  <si>
    <t>Dividend Paid</t>
  </si>
  <si>
    <t xml:space="preserve">Assets </t>
  </si>
  <si>
    <t>Equity &amp; Liabilities</t>
  </si>
  <si>
    <t>CFS</t>
  </si>
  <si>
    <t>WC</t>
  </si>
  <si>
    <t>Debt schedule</t>
  </si>
  <si>
    <t>Working Capital Schedule</t>
  </si>
  <si>
    <t>Days</t>
  </si>
  <si>
    <t>Accounts payable and accrued expenses % of COGS</t>
  </si>
  <si>
    <t>Prepaid expenses and other current assets % of (COGS &amp; SG&amp;A)</t>
  </si>
  <si>
    <t>Accrued income taxes % of Taxes</t>
  </si>
  <si>
    <t>B.S Check</t>
  </si>
  <si>
    <t>Debt Schedule</t>
  </si>
  <si>
    <t>Long Term Debt</t>
  </si>
  <si>
    <t>(+) Issuance of new Debt</t>
  </si>
  <si>
    <t>(-) Debt Repaid</t>
  </si>
  <si>
    <t>Closing Balance</t>
  </si>
  <si>
    <t>Avg Int Rate</t>
  </si>
  <si>
    <t>Int Expenses</t>
  </si>
  <si>
    <t>Loans and Note Payables</t>
  </si>
  <si>
    <t>Total LT Debt / EBITDA</t>
  </si>
  <si>
    <t>Notes and Loans Payable % to LT Debt</t>
  </si>
  <si>
    <t>Cash Flow Statement</t>
  </si>
  <si>
    <t>Interest Expenses</t>
  </si>
  <si>
    <t>Equity Income</t>
  </si>
  <si>
    <t>Other Income</t>
  </si>
  <si>
    <t>Cash Flow from Operating Activities</t>
  </si>
  <si>
    <t>Add/Less: Non-Cash Items</t>
  </si>
  <si>
    <t>Cash Flow from Operations before WC changes</t>
  </si>
  <si>
    <t>Changes in Working Capital</t>
  </si>
  <si>
    <t>Purchases of intangible assets</t>
  </si>
  <si>
    <t>Cash Flow from Investing Activities</t>
  </si>
  <si>
    <t>Issuance of Debt</t>
  </si>
  <si>
    <t>Payments of Interest</t>
  </si>
  <si>
    <t>Dividends Paid</t>
  </si>
  <si>
    <t>Cash Flow from Financing Activities</t>
  </si>
  <si>
    <t>Repayments of debt</t>
  </si>
  <si>
    <t>Net increase (decrease) in cash for the year</t>
  </si>
  <si>
    <t>Cash Bal at the beginning of the year</t>
  </si>
  <si>
    <t>Closing balance at the end of the year</t>
  </si>
  <si>
    <t>DO NOT MAKE CHANGES TO THIS SHEET</t>
  </si>
  <si>
    <t>EBIT</t>
  </si>
  <si>
    <t>(-) Income Taxes</t>
  </si>
  <si>
    <t>NOPAT</t>
  </si>
  <si>
    <t>(+) Depreciation &amp; Amortisation</t>
  </si>
  <si>
    <t>(-) Capex</t>
  </si>
  <si>
    <t>FCFF</t>
  </si>
  <si>
    <t>(+) / (-) Changes in WC</t>
  </si>
  <si>
    <t>Valuation Parameters</t>
  </si>
  <si>
    <t>Valuation as on Specified Date</t>
  </si>
  <si>
    <t>Date of Year Ending</t>
  </si>
  <si>
    <t>Tax Rate %</t>
  </si>
  <si>
    <t>WACC</t>
  </si>
  <si>
    <t>Terminal Growth Rate</t>
  </si>
  <si>
    <t>Cost of Equity</t>
  </si>
  <si>
    <t>Weighted Average Cost of Capital</t>
  </si>
  <si>
    <t>Market Returns</t>
  </si>
  <si>
    <t>Year</t>
  </si>
  <si>
    <t>Index Value</t>
  </si>
  <si>
    <t>Total Years</t>
  </si>
  <si>
    <t>CAGR</t>
  </si>
  <si>
    <t>Calculation of Market Returns</t>
  </si>
  <si>
    <t>Monster Beverage Corporation</t>
  </si>
  <si>
    <t> PepsiCo, Inc.</t>
  </si>
  <si>
    <t>Keurig Dr Pepper Inc.</t>
  </si>
  <si>
    <t>Price</t>
  </si>
  <si>
    <t>NYSE</t>
  </si>
  <si>
    <t>Beta</t>
  </si>
  <si>
    <t>Name</t>
  </si>
  <si>
    <t>Market Cap</t>
  </si>
  <si>
    <t>Debt</t>
  </si>
  <si>
    <t>Total Capital</t>
  </si>
  <si>
    <t>Un-Levered Beta</t>
  </si>
  <si>
    <t>Marginal Tax Rate %</t>
  </si>
  <si>
    <t>Levered Beta</t>
  </si>
  <si>
    <t>Cost of Debt</t>
  </si>
  <si>
    <t>CMP</t>
  </si>
  <si>
    <t>Maturity Year</t>
  </si>
  <si>
    <t>Coupon Rate</t>
  </si>
  <si>
    <t>Face Value</t>
  </si>
  <si>
    <t>YTM</t>
  </si>
  <si>
    <t>Risk Free Rate</t>
  </si>
  <si>
    <t>Post Tax Cost of Debt</t>
  </si>
  <si>
    <t>Note:</t>
  </si>
  <si>
    <t>1 - U-S 10 Year Bond Yield</t>
  </si>
  <si>
    <t>2 - Aswath Damodaran Credit Rating (S&amp;P bond ratings classes)</t>
  </si>
  <si>
    <t>(Yield of Coca-Cola Bond)</t>
  </si>
  <si>
    <t>(Using Credit Ratings)</t>
  </si>
  <si>
    <r>
      <t xml:space="preserve">Risk Premium </t>
    </r>
    <r>
      <rPr>
        <vertAlign val="superscript"/>
        <sz val="10"/>
        <color theme="1"/>
        <rFont val="Calibri"/>
        <family val="2"/>
      </rPr>
      <t>2</t>
    </r>
  </si>
  <si>
    <r>
      <t>Risk Free Rate</t>
    </r>
    <r>
      <rPr>
        <vertAlign val="superscript"/>
        <sz val="10"/>
        <color theme="1"/>
        <rFont val="Calibri"/>
        <family val="2"/>
      </rPr>
      <t>1</t>
    </r>
  </si>
  <si>
    <t>Tax Rate (%)</t>
  </si>
  <si>
    <t>PepsiCo, Inc.</t>
  </si>
  <si>
    <t>Discount Rate</t>
  </si>
  <si>
    <t>Terminal value</t>
  </si>
  <si>
    <t>PV of FCFF</t>
  </si>
  <si>
    <t>PV of Enterprise value</t>
  </si>
  <si>
    <t>Add: Cash</t>
  </si>
  <si>
    <t>Add: Investment &amp; Securities</t>
  </si>
  <si>
    <t>Less: Debt</t>
  </si>
  <si>
    <t>PV of Equity Value</t>
  </si>
  <si>
    <t>No. of Shares outstanding</t>
  </si>
  <si>
    <t xml:space="preserve">Price Per Share </t>
  </si>
  <si>
    <t>Sensitivity Table</t>
  </si>
  <si>
    <t>Terminal Value %</t>
  </si>
  <si>
    <t>Implied Share Price</t>
  </si>
  <si>
    <t>Current Share Price</t>
  </si>
  <si>
    <t>Premium (Discount)</t>
  </si>
  <si>
    <t>Equity Risk Premium</t>
  </si>
  <si>
    <t>Market Premium</t>
  </si>
  <si>
    <t>*</t>
  </si>
  <si>
    <r>
      <t>Ratio's</t>
    </r>
    <r>
      <rPr>
        <u/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 xml:space="preserve"> (In Percentages%)</t>
    </r>
  </si>
  <si>
    <r>
      <t xml:space="preserve">Turnover Ratio </t>
    </r>
    <r>
      <rPr>
        <b/>
        <i/>
        <sz val="11"/>
        <color theme="1"/>
        <rFont val="Calibri"/>
        <family val="2"/>
      </rPr>
      <t>(Days)</t>
    </r>
  </si>
  <si>
    <t>Dashboard</t>
  </si>
  <si>
    <t>Company Name:</t>
  </si>
  <si>
    <t>Ticker:</t>
  </si>
  <si>
    <t>KO</t>
  </si>
  <si>
    <t>Last Historical Date:</t>
  </si>
  <si>
    <t>Last Forecast Date:</t>
  </si>
  <si>
    <t>Forecast Period:</t>
  </si>
  <si>
    <t>Days in an Year:</t>
  </si>
  <si>
    <t>Current Price:</t>
  </si>
  <si>
    <t>Implied Share Price:</t>
  </si>
  <si>
    <t>Premium (Discount):</t>
  </si>
  <si>
    <t>Sl. No</t>
  </si>
  <si>
    <t>Particulars</t>
  </si>
  <si>
    <t>Table of Contents</t>
  </si>
  <si>
    <t>Historicals</t>
  </si>
  <si>
    <t>Assumptions</t>
  </si>
  <si>
    <t>Ratio Analysis</t>
  </si>
  <si>
    <t>Profitability Ratio</t>
  </si>
  <si>
    <t xml:space="preserve">Gross Margin </t>
  </si>
  <si>
    <t>EBITDA Margin</t>
  </si>
  <si>
    <t>PAT Margin</t>
  </si>
  <si>
    <t>PBT Margin</t>
  </si>
  <si>
    <t xml:space="preserve">ROE </t>
  </si>
  <si>
    <t xml:space="preserve">ROA </t>
  </si>
  <si>
    <t>ROCE</t>
  </si>
  <si>
    <t>ROIC</t>
  </si>
  <si>
    <t>Liquiditiy Ratio</t>
  </si>
  <si>
    <t>Current Ratio</t>
  </si>
  <si>
    <t>Quick Ratio</t>
  </si>
  <si>
    <t>Cash Ratio</t>
  </si>
  <si>
    <t>Operating Cash Flow</t>
  </si>
  <si>
    <t>Net Working Capital</t>
  </si>
  <si>
    <t>Net Working Capital % Revenue</t>
  </si>
  <si>
    <t>-</t>
  </si>
  <si>
    <t>Efficiency Ratio</t>
  </si>
  <si>
    <t>Asset Turnover</t>
  </si>
  <si>
    <t>Fixed Asset Turnover Ratio</t>
  </si>
  <si>
    <t>Receivables Turnover</t>
  </si>
  <si>
    <t>Days Sales Outstanding (DSO)</t>
  </si>
  <si>
    <t>Inventory Turnover</t>
  </si>
  <si>
    <t>Days Inventory Outstanding (DIO)</t>
  </si>
  <si>
    <t xml:space="preserve">Payables Turnover </t>
  </si>
  <si>
    <t>Days Payable Outstanding (DPO)</t>
  </si>
  <si>
    <t>Cash Conversion Cycle (CCC)</t>
  </si>
  <si>
    <t>Working Capital Turnover</t>
  </si>
  <si>
    <t>Solvency Ratio</t>
  </si>
  <si>
    <t>Debt to Equity</t>
  </si>
  <si>
    <t>Debt to Assets</t>
  </si>
  <si>
    <t>Debt to EBITDA</t>
  </si>
  <si>
    <t>Equity Multiplier</t>
  </si>
  <si>
    <t>Interest Coverage Ratio (ICR)</t>
  </si>
  <si>
    <t>Debt Service Coverage Ratio (DSCR)</t>
  </si>
  <si>
    <t>Financial Ratios</t>
  </si>
  <si>
    <t>Earnings Per Share (Diluted)</t>
  </si>
  <si>
    <t>EPS Growth (%)</t>
  </si>
  <si>
    <t>Dividend Per Share (DPS)</t>
  </si>
  <si>
    <t>DPS Growth (%)</t>
  </si>
  <si>
    <t>Bookvalue Per Share</t>
  </si>
  <si>
    <t>Revenue Per Share</t>
  </si>
  <si>
    <t>EBITDA Per Share</t>
  </si>
  <si>
    <t>Retention Ratio</t>
  </si>
  <si>
    <t>Dupoint Analysis</t>
  </si>
  <si>
    <t>Dupoint Ratio</t>
  </si>
  <si>
    <t>Analysis</t>
  </si>
  <si>
    <t>End</t>
  </si>
  <si>
    <t>Horizontal Analysis</t>
  </si>
  <si>
    <t>Trend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</si>
</sst>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#,##0.0;\(#,##0.0\);\ \-"/>
    <numFmt numFmtId="165" formatCode="#,##0.0"/>
    <numFmt numFmtId="166" formatCode="0.0%"/>
    <numFmt numFmtId="167" formatCode="#,##0;\(#,##0\);\ \-"/>
    <numFmt numFmtId="168" formatCode="0.000%"/>
    <numFmt numFmtId="169" formatCode="_-[$$-409]* #,##0.00_ ;_-[$$-409]* \-#,##0.00\ ;_-[$$-409]* &quot;-&quot;??_ ;_-@_ "/>
    <numFmt numFmtId="170" formatCode="_-[$$-409]* #,##0_ ;_-[$$-409]* \-#,##0\ ;_-[$$-409]* &quot;-&quot;??_ ;_-@_ "/>
    <numFmt numFmtId="171" formatCode="_ * #,##0_ ;_ * \-#,##0_ ;_ * &quot;-&quot;??_ ;_ @_ "/>
    <numFmt numFmtId="172" formatCode="0.0"/>
    <numFmt numFmtId="173" formatCode="0%;\(0%\)"/>
    <numFmt numFmtId="174" formatCode="0.00\x"/>
    <numFmt numFmtId="175" formatCode="&quot;FY&quot;0"/>
  </numFmts>
  <fonts count="4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FF"/>
      <name val="Calibri"/>
      <family val="2"/>
    </font>
    <font>
      <i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Calibri"/>
      <family val="2"/>
    </font>
    <font>
      <b/>
      <sz val="11"/>
      <color rgb="FF0000FF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sz val="11"/>
      <color theme="0" tint="-4.9989318521683403E-2"/>
      <name val="Calibri"/>
      <family val="2"/>
    </font>
    <font>
      <sz val="11"/>
      <color theme="0"/>
      <name val="Calibri"/>
      <family val="2"/>
    </font>
    <font>
      <i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color rgb="FF0000FF"/>
      <name val="Arial"/>
      <family val="2"/>
    </font>
    <font>
      <i/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i/>
      <sz val="10"/>
      <color theme="0" tint="-0.499984740745262"/>
      <name val="Arial"/>
      <family val="2"/>
    </font>
    <font>
      <u/>
      <sz val="11"/>
      <color theme="10"/>
      <name val="Calibri"/>
      <family val="2"/>
    </font>
    <font>
      <sz val="11"/>
      <color rgb="FF00CC00"/>
      <name val="Calibri"/>
      <family val="2"/>
    </font>
    <font>
      <b/>
      <sz val="11"/>
      <color rgb="FF00CC00"/>
      <name val="Calibri"/>
      <family val="2"/>
    </font>
    <font>
      <sz val="10"/>
      <color rgb="FF00CC00"/>
      <name val="Arial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rgb="FFB2B2B2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rgb="FFB2B2B2"/>
      </top>
      <bottom style="thin">
        <color indexed="64"/>
      </bottom>
      <diagonal/>
    </border>
    <border>
      <left/>
      <right/>
      <top style="thin">
        <color rgb="FFB2B2B2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 tint="4.9989318521683403E-2"/>
      </bottom>
      <diagonal/>
    </border>
    <border>
      <left/>
      <right/>
      <top style="thin">
        <color theme="1"/>
      </top>
      <bottom style="thin">
        <color theme="1" tint="4.9989318521683403E-2"/>
      </bottom>
      <diagonal/>
    </border>
    <border>
      <left/>
      <right style="thin">
        <color theme="1"/>
      </right>
      <top style="thin">
        <color theme="1"/>
      </top>
      <bottom style="thin">
        <color theme="1" tint="4.9989318521683403E-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0" borderId="0">
      <alignment vertical="top"/>
    </xf>
    <xf numFmtId="0" fontId="12" fillId="4" borderId="6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" fillId="8" borderId="13" applyNumberFormat="0" applyFont="0" applyAlignment="0" applyProtection="0"/>
    <xf numFmtId="0" fontId="37" fillId="0" borderId="0" applyNumberFormat="0" applyFill="0" applyBorder="0" applyAlignment="0" applyProtection="0"/>
  </cellStyleXfs>
  <cellXfs count="350">
    <xf numFmtId="0" fontId="0" fillId="0" borderId="0" xfId="0"/>
    <xf numFmtId="0" fontId="2" fillId="0" borderId="0" xfId="0" applyFont="1"/>
    <xf numFmtId="0" fontId="4" fillId="2" borderId="0" xfId="2" applyFont="1" applyFill="1">
      <alignment vertical="top"/>
    </xf>
    <xf numFmtId="0" fontId="5" fillId="2" borderId="0" xfId="2" applyFont="1" applyFill="1">
      <alignment vertical="top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2" applyFont="1" applyFill="1">
      <alignment vertical="top"/>
    </xf>
    <xf numFmtId="0" fontId="8" fillId="2" borderId="0" xfId="0" applyFont="1" applyFill="1"/>
    <xf numFmtId="164" fontId="0" fillId="0" borderId="0" xfId="0" applyNumberFormat="1"/>
    <xf numFmtId="164" fontId="9" fillId="0" borderId="0" xfId="0" applyNumberFormat="1" applyFont="1"/>
    <xf numFmtId="0" fontId="2" fillId="0" borderId="4" xfId="0" applyFont="1" applyBorder="1"/>
    <xf numFmtId="164" fontId="2" fillId="0" borderId="4" xfId="0" applyNumberFormat="1" applyFont="1" applyBorder="1"/>
    <xf numFmtId="0" fontId="10" fillId="0" borderId="0" xfId="0" applyFont="1"/>
    <xf numFmtId="0" fontId="0" fillId="0" borderId="5" xfId="0" applyBorder="1"/>
    <xf numFmtId="2" fontId="0" fillId="0" borderId="0" xfId="0" applyNumberFormat="1"/>
    <xf numFmtId="164" fontId="2" fillId="0" borderId="0" xfId="0" applyNumberFormat="1" applyFont="1"/>
    <xf numFmtId="10" fontId="0" fillId="0" borderId="0" xfId="0" applyNumberFormat="1"/>
    <xf numFmtId="0" fontId="11" fillId="2" borderId="0" xfId="0" applyFont="1" applyFill="1"/>
    <xf numFmtId="10" fontId="0" fillId="0" borderId="0" xfId="1" applyNumberFormat="1" applyFont="1"/>
    <xf numFmtId="3" fontId="0" fillId="0" borderId="0" xfId="0" applyNumberFormat="1"/>
    <xf numFmtId="3" fontId="2" fillId="0" borderId="0" xfId="0" applyNumberFormat="1" applyFont="1"/>
    <xf numFmtId="165" fontId="0" fillId="0" borderId="0" xfId="0" applyNumberFormat="1"/>
    <xf numFmtId="165" fontId="2" fillId="0" borderId="4" xfId="0" applyNumberFormat="1" applyFont="1" applyBorder="1"/>
    <xf numFmtId="166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5" borderId="0" xfId="0" applyFill="1"/>
    <xf numFmtId="165" fontId="9" fillId="0" borderId="0" xfId="0" applyNumberFormat="1" applyFont="1"/>
    <xf numFmtId="164" fontId="15" fillId="0" borderId="4" xfId="0" applyNumberFormat="1" applyFont="1" applyBorder="1"/>
    <xf numFmtId="10" fontId="9" fillId="0" borderId="0" xfId="0" applyNumberFormat="1" applyFont="1"/>
    <xf numFmtId="10" fontId="10" fillId="0" borderId="0" xfId="0" applyNumberFormat="1" applyFont="1"/>
    <xf numFmtId="9" fontId="0" fillId="0" borderId="0" xfId="1" applyFont="1"/>
    <xf numFmtId="14" fontId="0" fillId="0" borderId="0" xfId="0" applyNumberFormat="1"/>
    <xf numFmtId="15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center"/>
    </xf>
    <xf numFmtId="15" fontId="2" fillId="0" borderId="0" xfId="0" applyNumberFormat="1" applyFont="1"/>
    <xf numFmtId="165" fontId="0" fillId="5" borderId="0" xfId="0" applyNumberFormat="1" applyFill="1"/>
    <xf numFmtId="0" fontId="8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8" borderId="14" xfId="6" applyFont="1" applyBorder="1"/>
    <xf numFmtId="0" fontId="0" fillId="8" borderId="15" xfId="6" applyFont="1" applyBorder="1"/>
    <xf numFmtId="0" fontId="0" fillId="8" borderId="16" xfId="6" applyFont="1" applyBorder="1"/>
    <xf numFmtId="0" fontId="0" fillId="8" borderId="17" xfId="6" applyFont="1" applyBorder="1"/>
    <xf numFmtId="0" fontId="0" fillId="8" borderId="18" xfId="6" applyFont="1" applyBorder="1"/>
    <xf numFmtId="14" fontId="0" fillId="8" borderId="19" xfId="6" applyNumberFormat="1" applyFont="1" applyBorder="1"/>
    <xf numFmtId="0" fontId="0" fillId="8" borderId="20" xfId="6" applyFont="1" applyBorder="1"/>
    <xf numFmtId="14" fontId="0" fillId="8" borderId="21" xfId="6" applyNumberFormat="1" applyFont="1" applyBorder="1"/>
    <xf numFmtId="10" fontId="0" fillId="8" borderId="21" xfId="6" applyNumberFormat="1" applyFont="1" applyBorder="1"/>
    <xf numFmtId="0" fontId="0" fillId="8" borderId="22" xfId="6" applyFont="1" applyBorder="1"/>
    <xf numFmtId="0" fontId="0" fillId="8" borderId="23" xfId="6" applyFont="1" applyBorder="1"/>
    <xf numFmtId="0" fontId="0" fillId="8" borderId="24" xfId="6" applyFont="1" applyBorder="1"/>
    <xf numFmtId="10" fontId="0" fillId="8" borderId="25" xfId="6" applyNumberFormat="1" applyFont="1" applyBorder="1"/>
    <xf numFmtId="0" fontId="17" fillId="0" borderId="0" xfId="0" applyFont="1" applyAlignment="1">
      <alignment horizontal="center"/>
    </xf>
    <xf numFmtId="2" fontId="2" fillId="8" borderId="13" xfId="6" applyNumberFormat="1" applyFont="1"/>
    <xf numFmtId="0" fontId="18" fillId="0" borderId="0" xfId="0" applyFont="1"/>
    <xf numFmtId="0" fontId="19" fillId="2" borderId="0" xfId="0" applyFont="1" applyFill="1"/>
    <xf numFmtId="0" fontId="20" fillId="0" borderId="0" xfId="0" applyFont="1"/>
    <xf numFmtId="15" fontId="20" fillId="0" borderId="0" xfId="0" applyNumberFormat="1" applyFont="1"/>
    <xf numFmtId="164" fontId="20" fillId="0" borderId="0" xfId="0" applyNumberFormat="1" applyFont="1"/>
    <xf numFmtId="2" fontId="20" fillId="0" borderId="0" xfId="0" applyNumberFormat="1" applyFont="1"/>
    <xf numFmtId="10" fontId="20" fillId="0" borderId="0" xfId="0" applyNumberFormat="1" applyFont="1"/>
    <xf numFmtId="14" fontId="20" fillId="0" borderId="0" xfId="0" applyNumberFormat="1" applyFont="1"/>
    <xf numFmtId="0" fontId="17" fillId="7" borderId="7" xfId="0" applyFont="1" applyFill="1" applyBorder="1"/>
    <xf numFmtId="10" fontId="17" fillId="7" borderId="7" xfId="0" applyNumberFormat="1" applyFont="1" applyFill="1" applyBorder="1"/>
    <xf numFmtId="10" fontId="17" fillId="7" borderId="7" xfId="1" applyNumberFormat="1" applyFont="1" applyFill="1" applyBorder="1"/>
    <xf numFmtId="168" fontId="20" fillId="0" borderId="0" xfId="0" applyNumberFormat="1" applyFont="1"/>
    <xf numFmtId="0" fontId="20" fillId="0" borderId="7" xfId="0" applyFont="1" applyBorder="1"/>
    <xf numFmtId="0" fontId="20" fillId="0" borderId="5" xfId="0" applyFont="1" applyBorder="1"/>
    <xf numFmtId="170" fontId="20" fillId="0" borderId="0" xfId="0" applyNumberFormat="1" applyFont="1"/>
    <xf numFmtId="2" fontId="20" fillId="0" borderId="28" xfId="0" applyNumberFormat="1" applyFont="1" applyBorder="1"/>
    <xf numFmtId="2" fontId="20" fillId="0" borderId="26" xfId="0" applyNumberFormat="1" applyFont="1" applyBorder="1"/>
    <xf numFmtId="0" fontId="17" fillId="0" borderId="0" xfId="0" applyFont="1"/>
    <xf numFmtId="2" fontId="17" fillId="0" borderId="26" xfId="0" applyNumberFormat="1" applyFont="1" applyBorder="1"/>
    <xf numFmtId="2" fontId="20" fillId="0" borderId="7" xfId="0" applyNumberFormat="1" applyFont="1" applyBorder="1"/>
    <xf numFmtId="3" fontId="20" fillId="0" borderId="7" xfId="0" applyNumberFormat="1" applyFont="1" applyBorder="1"/>
    <xf numFmtId="2" fontId="17" fillId="7" borderId="27" xfId="0" applyNumberFormat="1" applyFont="1" applyFill="1" applyBorder="1"/>
    <xf numFmtId="0" fontId="20" fillId="7" borderId="7" xfId="0" applyFont="1" applyFill="1" applyBorder="1"/>
    <xf numFmtId="0" fontId="20" fillId="9" borderId="7" xfId="0" applyFont="1" applyFill="1" applyBorder="1"/>
    <xf numFmtId="0" fontId="17" fillId="9" borderId="7" xfId="0" applyFont="1" applyFill="1" applyBorder="1" applyAlignment="1">
      <alignment horizontal="center"/>
    </xf>
    <xf numFmtId="0" fontId="20" fillId="9" borderId="12" xfId="0" applyFont="1" applyFill="1" applyBorder="1"/>
    <xf numFmtId="0" fontId="17" fillId="9" borderId="27" xfId="0" applyFont="1" applyFill="1" applyBorder="1" applyAlignment="1">
      <alignment horizontal="center"/>
    </xf>
    <xf numFmtId="0" fontId="17" fillId="9" borderId="12" xfId="0" applyFont="1" applyFill="1" applyBorder="1" applyAlignment="1">
      <alignment horizontal="left"/>
    </xf>
    <xf numFmtId="0" fontId="2" fillId="7" borderId="29" xfId="0" applyFont="1" applyFill="1" applyBorder="1"/>
    <xf numFmtId="164" fontId="2" fillId="7" borderId="29" xfId="0" applyNumberFormat="1" applyFont="1" applyFill="1" applyBorder="1"/>
    <xf numFmtId="0" fontId="0" fillId="0" borderId="0" xfId="0" applyAlignment="1">
      <alignment horizontal="left"/>
    </xf>
    <xf numFmtId="169" fontId="0" fillId="0" borderId="9" xfId="0" applyNumberFormat="1" applyBorder="1"/>
    <xf numFmtId="169" fontId="0" fillId="0" borderId="0" xfId="0" applyNumberFormat="1"/>
    <xf numFmtId="169" fontId="0" fillId="0" borderId="26" xfId="0" applyNumberFormat="1" applyBorder="1"/>
    <xf numFmtId="169" fontId="0" fillId="0" borderId="8" xfId="0" applyNumberFormat="1" applyBorder="1"/>
    <xf numFmtId="169" fontId="0" fillId="0" borderId="32" xfId="0" applyNumberFormat="1" applyBorder="1"/>
    <xf numFmtId="169" fontId="0" fillId="0" borderId="10" xfId="0" applyNumberFormat="1" applyBorder="1"/>
    <xf numFmtId="169" fontId="0" fillId="0" borderId="30" xfId="0" applyNumberFormat="1" applyBorder="1"/>
    <xf numFmtId="169" fontId="0" fillId="0" borderId="5" xfId="0" applyNumberFormat="1" applyBorder="1"/>
    <xf numFmtId="169" fontId="0" fillId="0" borderId="31" xfId="0" applyNumberFormat="1" applyBorder="1"/>
    <xf numFmtId="0" fontId="0" fillId="0" borderId="10" xfId="0" applyBorder="1"/>
    <xf numFmtId="169" fontId="22" fillId="9" borderId="9" xfId="0" applyNumberFormat="1" applyFont="1" applyFill="1" applyBorder="1"/>
    <xf numFmtId="169" fontId="2" fillId="0" borderId="5" xfId="0" applyNumberFormat="1" applyFont="1" applyBorder="1"/>
    <xf numFmtId="169" fontId="2" fillId="0" borderId="0" xfId="0" applyNumberFormat="1" applyFont="1"/>
    <xf numFmtId="169" fontId="2" fillId="0" borderId="26" xfId="0" applyNumberFormat="1" applyFont="1" applyBorder="1"/>
    <xf numFmtId="169" fontId="2" fillId="0" borderId="10" xfId="0" applyNumberFormat="1" applyFont="1" applyBorder="1"/>
    <xf numFmtId="169" fontId="2" fillId="0" borderId="8" xfId="0" applyNumberFormat="1" applyFont="1" applyBorder="1"/>
    <xf numFmtId="171" fontId="0" fillId="0" borderId="0" xfId="4" applyNumberFormat="1" applyFont="1" applyBorder="1"/>
    <xf numFmtId="171" fontId="0" fillId="0" borderId="8" xfId="4" applyNumberFormat="1" applyFont="1" applyBorder="1"/>
    <xf numFmtId="0" fontId="2" fillId="10" borderId="0" xfId="0" applyFont="1" applyFill="1"/>
    <xf numFmtId="0" fontId="0" fillId="10" borderId="0" xfId="0" applyFill="1"/>
    <xf numFmtId="0" fontId="0" fillId="8" borderId="33" xfId="6" applyFont="1" applyBorder="1"/>
    <xf numFmtId="0" fontId="0" fillId="8" borderId="34" xfId="6" applyFont="1" applyBorder="1"/>
    <xf numFmtId="169" fontId="0" fillId="8" borderId="19" xfId="6" applyNumberFormat="1" applyFont="1" applyBorder="1"/>
    <xf numFmtId="0" fontId="0" fillId="8" borderId="35" xfId="6" applyFont="1" applyBorder="1"/>
    <xf numFmtId="0" fontId="0" fillId="8" borderId="13" xfId="6" applyFont="1"/>
    <xf numFmtId="169" fontId="0" fillId="8" borderId="21" xfId="6" applyNumberFormat="1" applyFont="1" applyBorder="1"/>
    <xf numFmtId="0" fontId="0" fillId="8" borderId="36" xfId="6" applyFont="1" applyBorder="1"/>
    <xf numFmtId="0" fontId="0" fillId="8" borderId="37" xfId="6" applyFont="1" applyBorder="1"/>
    <xf numFmtId="9" fontId="0" fillId="8" borderId="25" xfId="6" applyNumberFormat="1" applyFont="1" applyBorder="1"/>
    <xf numFmtId="10" fontId="0" fillId="9" borderId="5" xfId="0" applyNumberFormat="1" applyFill="1" applyBorder="1"/>
    <xf numFmtId="10" fontId="2" fillId="9" borderId="5" xfId="0" applyNumberFormat="1" applyFont="1" applyFill="1" applyBorder="1"/>
    <xf numFmtId="10" fontId="0" fillId="9" borderId="31" xfId="0" applyNumberFormat="1" applyFill="1" applyBorder="1"/>
    <xf numFmtId="10" fontId="0" fillId="9" borderId="10" xfId="0" applyNumberFormat="1" applyFill="1" applyBorder="1"/>
    <xf numFmtId="10" fontId="2" fillId="9" borderId="10" xfId="0" applyNumberFormat="1" applyFont="1" applyFill="1" applyBorder="1"/>
    <xf numFmtId="10" fontId="0" fillId="9" borderId="30" xfId="0" applyNumberFormat="1" applyFill="1" applyBorder="1"/>
    <xf numFmtId="164" fontId="0" fillId="0" borderId="5" xfId="0" applyNumberFormat="1" applyBorder="1"/>
    <xf numFmtId="10" fontId="10" fillId="0" borderId="5" xfId="0" applyNumberFormat="1" applyFont="1" applyBorder="1"/>
    <xf numFmtId="164" fontId="2" fillId="0" borderId="5" xfId="0" applyNumberFormat="1" applyFont="1" applyBorder="1"/>
    <xf numFmtId="164" fontId="2" fillId="7" borderId="38" xfId="0" applyNumberFormat="1" applyFont="1" applyFill="1" applyBorder="1"/>
    <xf numFmtId="0" fontId="0" fillId="0" borderId="9" xfId="0" applyBorder="1"/>
    <xf numFmtId="171" fontId="0" fillId="0" borderId="31" xfId="4" applyNumberFormat="1" applyFont="1" applyBorder="1"/>
    <xf numFmtId="171" fontId="0" fillId="0" borderId="5" xfId="0" applyNumberFormat="1" applyBorder="1"/>
    <xf numFmtId="171" fontId="0" fillId="0" borderId="5" xfId="4" applyNumberFormat="1" applyFont="1" applyBorder="1"/>
    <xf numFmtId="169" fontId="2" fillId="10" borderId="9" xfId="0" applyNumberFormat="1" applyFont="1" applyFill="1" applyBorder="1"/>
    <xf numFmtId="0" fontId="24" fillId="2" borderId="0" xfId="2" applyFont="1" applyFill="1">
      <alignment vertical="top"/>
    </xf>
    <xf numFmtId="0" fontId="26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27" fillId="2" borderId="0" xfId="0" applyFont="1" applyFill="1"/>
    <xf numFmtId="0" fontId="4" fillId="2" borderId="0" xfId="0" applyFont="1" applyFill="1"/>
    <xf numFmtId="15" fontId="4" fillId="2" borderId="0" xfId="0" applyNumberFormat="1" applyFont="1" applyFill="1" applyAlignment="1">
      <alignment horizontal="center"/>
    </xf>
    <xf numFmtId="15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26" fillId="0" borderId="5" xfId="0" applyNumberFormat="1" applyFont="1" applyBorder="1" applyAlignment="1">
      <alignment horizontal="center"/>
    </xf>
    <xf numFmtId="164" fontId="26" fillId="0" borderId="0" xfId="0" applyNumberFormat="1" applyFont="1" applyAlignment="1">
      <alignment horizontal="center"/>
    </xf>
    <xf numFmtId="0" fontId="26" fillId="0" borderId="5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8" fillId="0" borderId="0" xfId="0" applyFont="1"/>
    <xf numFmtId="164" fontId="28" fillId="0" borderId="5" xfId="0" applyNumberFormat="1" applyFont="1" applyBorder="1" applyAlignment="1">
      <alignment horizontal="center"/>
    </xf>
    <xf numFmtId="164" fontId="28" fillId="0" borderId="0" xfId="0" applyNumberFormat="1" applyFont="1" applyAlignment="1">
      <alignment horizontal="center"/>
    </xf>
    <xf numFmtId="0" fontId="29" fillId="0" borderId="7" xfId="0" applyFont="1" applyBorder="1"/>
    <xf numFmtId="164" fontId="29" fillId="0" borderId="12" xfId="0" applyNumberFormat="1" applyFont="1" applyBorder="1" applyAlignment="1">
      <alignment horizontal="center"/>
    </xf>
    <xf numFmtId="164" fontId="29" fillId="0" borderId="7" xfId="0" applyNumberFormat="1" applyFont="1" applyBorder="1" applyAlignment="1">
      <alignment horizontal="center"/>
    </xf>
    <xf numFmtId="0" fontId="29" fillId="0" borderId="4" xfId="0" applyFont="1" applyBorder="1"/>
    <xf numFmtId="164" fontId="29" fillId="0" borderId="11" xfId="0" applyNumberFormat="1" applyFont="1" applyBorder="1" applyAlignment="1">
      <alignment horizontal="center"/>
    </xf>
    <xf numFmtId="164" fontId="29" fillId="0" borderId="4" xfId="0" applyNumberFormat="1" applyFont="1" applyBorder="1" applyAlignment="1">
      <alignment horizontal="center"/>
    </xf>
    <xf numFmtId="0" fontId="29" fillId="0" borderId="0" xfId="0" applyFont="1"/>
    <xf numFmtId="164" fontId="29" fillId="0" borderId="5" xfId="0" applyNumberFormat="1" applyFont="1" applyBorder="1" applyAlignment="1">
      <alignment horizontal="center"/>
    </xf>
    <xf numFmtId="164" fontId="29" fillId="0" borderId="0" xfId="0" applyNumberFormat="1" applyFont="1" applyAlignment="1">
      <alignment horizontal="center"/>
    </xf>
    <xf numFmtId="2" fontId="28" fillId="0" borderId="5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0" fontId="30" fillId="0" borderId="0" xfId="0" applyFont="1"/>
    <xf numFmtId="10" fontId="28" fillId="0" borderId="5" xfId="1" applyNumberFormat="1" applyFont="1" applyBorder="1" applyAlignment="1">
      <alignment horizontal="center"/>
    </xf>
    <xf numFmtId="10" fontId="28" fillId="0" borderId="0" xfId="1" applyNumberFormat="1" applyFont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0" xfId="0" applyFont="1" applyAlignment="1">
      <alignment horizontal="center"/>
    </xf>
    <xf numFmtId="165" fontId="28" fillId="0" borderId="5" xfId="0" applyNumberFormat="1" applyFont="1" applyBorder="1" applyAlignment="1">
      <alignment horizontal="center"/>
    </xf>
    <xf numFmtId="165" fontId="28" fillId="0" borderId="0" xfId="0" applyNumberFormat="1" applyFont="1" applyAlignment="1">
      <alignment horizontal="center"/>
    </xf>
    <xf numFmtId="164" fontId="32" fillId="0" borderId="5" xfId="0" applyNumberFormat="1" applyFont="1" applyBorder="1" applyAlignment="1">
      <alignment horizontal="center"/>
    </xf>
    <xf numFmtId="164" fontId="32" fillId="0" borderId="0" xfId="0" applyNumberFormat="1" applyFont="1" applyAlignment="1">
      <alignment horizontal="center"/>
    </xf>
    <xf numFmtId="164" fontId="33" fillId="0" borderId="5" xfId="0" applyNumberFormat="1" applyFont="1" applyBorder="1" applyAlignment="1">
      <alignment horizontal="center"/>
    </xf>
    <xf numFmtId="164" fontId="33" fillId="0" borderId="0" xfId="0" applyNumberFormat="1" applyFont="1" applyAlignment="1">
      <alignment horizontal="center"/>
    </xf>
    <xf numFmtId="167" fontId="26" fillId="0" borderId="5" xfId="0" applyNumberFormat="1" applyFont="1" applyBorder="1" applyAlignment="1">
      <alignment horizontal="center"/>
    </xf>
    <xf numFmtId="167" fontId="26" fillId="0" borderId="0" xfId="0" applyNumberFormat="1" applyFont="1" applyAlignment="1">
      <alignment horizontal="center"/>
    </xf>
    <xf numFmtId="167" fontId="26" fillId="3" borderId="5" xfId="0" applyNumberFormat="1" applyFont="1" applyFill="1" applyBorder="1" applyAlignment="1">
      <alignment horizontal="center"/>
    </xf>
    <xf numFmtId="167" fontId="26" fillId="3" borderId="0" xfId="0" applyNumberFormat="1" applyFont="1" applyFill="1" applyAlignment="1">
      <alignment horizontal="center"/>
    </xf>
    <xf numFmtId="0" fontId="26" fillId="0" borderId="7" xfId="0" applyFont="1" applyBorder="1"/>
    <xf numFmtId="167" fontId="29" fillId="0" borderId="12" xfId="0" applyNumberFormat="1" applyFont="1" applyBorder="1" applyAlignment="1">
      <alignment horizontal="center"/>
    </xf>
    <xf numFmtId="167" fontId="29" fillId="0" borderId="7" xfId="0" applyNumberFormat="1" applyFont="1" applyBorder="1" applyAlignment="1">
      <alignment horizontal="center"/>
    </xf>
    <xf numFmtId="167" fontId="26" fillId="0" borderId="0" xfId="0" applyNumberFormat="1" applyFont="1"/>
    <xf numFmtId="0" fontId="34" fillId="0" borderId="0" xfId="5" applyFont="1"/>
    <xf numFmtId="1" fontId="34" fillId="0" borderId="0" xfId="5" applyNumberFormat="1" applyFont="1"/>
    <xf numFmtId="0" fontId="26" fillId="5" borderId="5" xfId="0" applyFont="1" applyFill="1" applyBorder="1"/>
    <xf numFmtId="0" fontId="26" fillId="5" borderId="0" xfId="0" applyFont="1" applyFill="1"/>
    <xf numFmtId="0" fontId="26" fillId="0" borderId="5" xfId="0" applyFont="1" applyBorder="1"/>
    <xf numFmtId="0" fontId="26" fillId="0" borderId="0" xfId="0" applyFont="1" applyAlignment="1">
      <alignment horizontal="left" indent="1"/>
    </xf>
    <xf numFmtId="164" fontId="29" fillId="0" borderId="9" xfId="0" applyNumberFormat="1" applyFont="1" applyBorder="1" applyAlignment="1">
      <alignment horizontal="center"/>
    </xf>
    <xf numFmtId="164" fontId="29" fillId="0" borderId="10" xfId="0" applyNumberFormat="1" applyFont="1" applyBorder="1" applyAlignment="1">
      <alignment horizontal="center"/>
    </xf>
    <xf numFmtId="0" fontId="29" fillId="0" borderId="0" xfId="0" applyFont="1" applyAlignment="1">
      <alignment horizontal="left"/>
    </xf>
    <xf numFmtId="167" fontId="29" fillId="0" borderId="9" xfId="0" applyNumberFormat="1" applyFont="1" applyBorder="1" applyAlignment="1">
      <alignment horizontal="center"/>
    </xf>
    <xf numFmtId="167" fontId="29" fillId="0" borderId="10" xfId="0" applyNumberFormat="1" applyFont="1" applyBorder="1" applyAlignment="1">
      <alignment horizontal="center"/>
    </xf>
    <xf numFmtId="0" fontId="26" fillId="5" borderId="12" xfId="0" applyFont="1" applyFill="1" applyBorder="1"/>
    <xf numFmtId="0" fontId="26" fillId="5" borderId="7" xfId="0" applyFont="1" applyFill="1" applyBorder="1"/>
    <xf numFmtId="0" fontId="26" fillId="5" borderId="11" xfId="0" applyFont="1" applyFill="1" applyBorder="1"/>
    <xf numFmtId="0" fontId="26" fillId="5" borderId="4" xfId="0" applyFont="1" applyFill="1" applyBorder="1"/>
    <xf numFmtId="167" fontId="29" fillId="0" borderId="11" xfId="0" applyNumberFormat="1" applyFont="1" applyBorder="1" applyAlignment="1">
      <alignment horizontal="center"/>
    </xf>
    <xf numFmtId="167" fontId="29" fillId="0" borderId="4" xfId="0" applyNumberFormat="1" applyFont="1" applyBorder="1" applyAlignment="1">
      <alignment horizontal="center"/>
    </xf>
    <xf numFmtId="0" fontId="25" fillId="2" borderId="0" xfId="2" applyFont="1" applyFill="1">
      <alignment vertical="top"/>
    </xf>
    <xf numFmtId="164" fontId="35" fillId="0" borderId="0" xfId="0" applyNumberFormat="1" applyFont="1"/>
    <xf numFmtId="164" fontId="26" fillId="0" borderId="0" xfId="0" applyNumberFormat="1" applyFont="1"/>
    <xf numFmtId="0" fontId="36" fillId="0" borderId="0" xfId="0" applyFont="1" applyAlignment="1">
      <alignment horizontal="left" indent="1"/>
    </xf>
    <xf numFmtId="0" fontId="36" fillId="0" borderId="0" xfId="0" applyFont="1"/>
    <xf numFmtId="164" fontId="36" fillId="0" borderId="0" xfId="0" applyNumberFormat="1" applyFont="1"/>
    <xf numFmtId="10" fontId="36" fillId="0" borderId="0" xfId="1" applyNumberFormat="1" applyFont="1"/>
    <xf numFmtId="10" fontId="36" fillId="0" borderId="0" xfId="1" applyNumberFormat="1" applyFont="1" applyAlignment="1">
      <alignment horizontal="left" indent="1"/>
    </xf>
    <xf numFmtId="10" fontId="32" fillId="0" borderId="0" xfId="1" applyNumberFormat="1" applyFont="1"/>
    <xf numFmtId="164" fontId="29" fillId="0" borderId="4" xfId="0" applyNumberFormat="1" applyFont="1" applyBorder="1"/>
    <xf numFmtId="2" fontId="28" fillId="0" borderId="0" xfId="1" applyNumberFormat="1" applyFont="1"/>
    <xf numFmtId="2" fontId="32" fillId="0" borderId="0" xfId="1" applyNumberFormat="1" applyFont="1"/>
    <xf numFmtId="2" fontId="26" fillId="0" borderId="0" xfId="0" applyNumberFormat="1" applyFont="1"/>
    <xf numFmtId="2" fontId="35" fillId="0" borderId="0" xfId="0" applyNumberFormat="1" applyFont="1"/>
    <xf numFmtId="10" fontId="26" fillId="0" borderId="0" xfId="1" applyNumberFormat="1" applyFont="1"/>
    <xf numFmtId="10" fontId="26" fillId="0" borderId="0" xfId="0" applyNumberFormat="1" applyFont="1"/>
    <xf numFmtId="0" fontId="24" fillId="2" borderId="39" xfId="2" applyFont="1" applyFill="1" applyBorder="1">
      <alignment vertical="top"/>
    </xf>
    <xf numFmtId="0" fontId="5" fillId="2" borderId="39" xfId="0" applyFont="1" applyFill="1" applyBorder="1"/>
    <xf numFmtId="0" fontId="5" fillId="2" borderId="3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0" xfId="0" applyFont="1" applyFill="1" applyBorder="1"/>
    <xf numFmtId="0" fontId="5" fillId="2" borderId="40" xfId="0" applyFont="1" applyFill="1" applyBorder="1"/>
    <xf numFmtId="15" fontId="4" fillId="2" borderId="40" xfId="0" applyNumberFormat="1" applyFont="1" applyFill="1" applyBorder="1" applyAlignment="1">
      <alignment horizontal="center"/>
    </xf>
    <xf numFmtId="0" fontId="5" fillId="2" borderId="42" xfId="0" applyFont="1" applyFill="1" applyBorder="1"/>
    <xf numFmtId="0" fontId="5" fillId="2" borderId="43" xfId="0" applyFont="1" applyFill="1" applyBorder="1"/>
    <xf numFmtId="0" fontId="4" fillId="2" borderId="44" xfId="0" applyFont="1" applyFill="1" applyBorder="1" applyAlignment="1">
      <alignment horizontal="center"/>
    </xf>
    <xf numFmtId="0" fontId="4" fillId="2" borderId="45" xfId="0" applyFont="1" applyFill="1" applyBorder="1"/>
    <xf numFmtId="15" fontId="4" fillId="2" borderId="45" xfId="0" applyNumberFormat="1" applyFont="1" applyFill="1" applyBorder="1" applyAlignment="1">
      <alignment horizontal="center"/>
    </xf>
    <xf numFmtId="15" fontId="4" fillId="2" borderId="42" xfId="0" applyNumberFormat="1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  <xf numFmtId="0" fontId="8" fillId="2" borderId="45" xfId="0" applyFont="1" applyFill="1" applyBorder="1"/>
    <xf numFmtId="0" fontId="6" fillId="2" borderId="40" xfId="0" applyFont="1" applyFill="1" applyBorder="1"/>
    <xf numFmtId="15" fontId="8" fillId="2" borderId="40" xfId="0" applyNumberFormat="1" applyFont="1" applyFill="1" applyBorder="1" applyAlignment="1">
      <alignment horizontal="center"/>
    </xf>
    <xf numFmtId="15" fontId="8" fillId="2" borderId="45" xfId="0" applyNumberFormat="1" applyFont="1" applyFill="1" applyBorder="1" applyAlignment="1">
      <alignment horizontal="center"/>
    </xf>
    <xf numFmtId="15" fontId="8" fillId="2" borderId="42" xfId="0" applyNumberFormat="1" applyFont="1" applyFill="1" applyBorder="1" applyAlignment="1">
      <alignment horizontal="center"/>
    </xf>
    <xf numFmtId="0" fontId="23" fillId="2" borderId="10" xfId="0" applyFont="1" applyFill="1" applyBorder="1"/>
    <xf numFmtId="0" fontId="8" fillId="2" borderId="3" xfId="0" applyFont="1" applyFill="1" applyBorder="1"/>
    <xf numFmtId="0" fontId="6" fillId="2" borderId="2" xfId="0" applyFont="1" applyFill="1" applyBorder="1"/>
    <xf numFmtId="15" fontId="8" fillId="2" borderId="2" xfId="0" applyNumberFormat="1" applyFont="1" applyFill="1" applyBorder="1" applyAlignment="1">
      <alignment horizontal="center"/>
    </xf>
    <xf numFmtId="15" fontId="8" fillId="2" borderId="41" xfId="0" applyNumberFormat="1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15" fontId="8" fillId="2" borderId="3" xfId="0" applyNumberFormat="1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2" fillId="0" borderId="46" xfId="0" applyFont="1" applyBorder="1"/>
    <xf numFmtId="0" fontId="0" fillId="0" borderId="46" xfId="0" applyBorder="1"/>
    <xf numFmtId="0" fontId="20" fillId="0" borderId="0" xfId="0" applyFont="1" applyAlignment="1">
      <alignment horizontal="center"/>
    </xf>
    <xf numFmtId="0" fontId="17" fillId="0" borderId="46" xfId="0" applyFont="1" applyBorder="1"/>
    <xf numFmtId="0" fontId="20" fillId="0" borderId="46" xfId="0" applyFont="1" applyBorder="1"/>
    <xf numFmtId="0" fontId="17" fillId="9" borderId="31" xfId="0" applyFont="1" applyFill="1" applyBorder="1"/>
    <xf numFmtId="0" fontId="20" fillId="9" borderId="8" xfId="0" applyFont="1" applyFill="1" applyBorder="1"/>
    <xf numFmtId="0" fontId="17" fillId="9" borderId="8" xfId="0" applyFont="1" applyFill="1" applyBorder="1"/>
    <xf numFmtId="0" fontId="17" fillId="9" borderId="8" xfId="0" applyFont="1" applyFill="1" applyBorder="1" applyAlignment="1">
      <alignment horizontal="center"/>
    </xf>
    <xf numFmtId="0" fontId="17" fillId="9" borderId="47" xfId="0" applyFont="1" applyFill="1" applyBorder="1" applyAlignment="1">
      <alignment horizontal="center"/>
    </xf>
    <xf numFmtId="0" fontId="18" fillId="0" borderId="46" xfId="0" applyFont="1" applyBorder="1"/>
    <xf numFmtId="15" fontId="20" fillId="0" borderId="46" xfId="0" applyNumberFormat="1" applyFont="1" applyBorder="1"/>
    <xf numFmtId="164" fontId="20" fillId="0" borderId="46" xfId="0" applyNumberFormat="1" applyFont="1" applyBorder="1"/>
    <xf numFmtId="164" fontId="0" fillId="0" borderId="46" xfId="0" applyNumberFormat="1" applyBorder="1"/>
    <xf numFmtId="0" fontId="9" fillId="4" borderId="48" xfId="3" applyFont="1" applyBorder="1"/>
    <xf numFmtId="165" fontId="0" fillId="0" borderId="46" xfId="0" applyNumberFormat="1" applyBorder="1"/>
    <xf numFmtId="0" fontId="26" fillId="0" borderId="49" xfId="0" applyFont="1" applyBorder="1"/>
    <xf numFmtId="164" fontId="35" fillId="0" borderId="49" xfId="0" applyNumberFormat="1" applyFont="1" applyBorder="1"/>
    <xf numFmtId="164" fontId="26" fillId="0" borderId="49" xfId="0" applyNumberFormat="1" applyFont="1" applyBorder="1"/>
    <xf numFmtId="10" fontId="36" fillId="0" borderId="0" xfId="1" applyNumberFormat="1" applyFont="1" applyBorder="1"/>
    <xf numFmtId="0" fontId="26" fillId="0" borderId="53" xfId="0" applyFont="1" applyBorder="1"/>
    <xf numFmtId="0" fontId="26" fillId="0" borderId="55" xfId="0" applyFont="1" applyBorder="1"/>
    <xf numFmtId="0" fontId="26" fillId="0" borderId="52" xfId="7" applyFont="1" applyBorder="1"/>
    <xf numFmtId="0" fontId="26" fillId="0" borderId="52" xfId="0" applyFont="1" applyBorder="1" applyAlignment="1">
      <alignment horizontal="left"/>
    </xf>
    <xf numFmtId="0" fontId="26" fillId="0" borderId="54" xfId="0" applyFont="1" applyBorder="1" applyAlignment="1">
      <alignment horizontal="left"/>
    </xf>
    <xf numFmtId="0" fontId="29" fillId="9" borderId="56" xfId="0" applyFont="1" applyFill="1" applyBorder="1" applyAlignment="1">
      <alignment horizontal="left"/>
    </xf>
    <xf numFmtId="0" fontId="26" fillId="8" borderId="13" xfId="6" applyFont="1"/>
    <xf numFmtId="15" fontId="26" fillId="8" borderId="13" xfId="6" applyNumberFormat="1" applyFont="1"/>
    <xf numFmtId="172" fontId="26" fillId="8" borderId="13" xfId="6" applyNumberFormat="1" applyFont="1"/>
    <xf numFmtId="169" fontId="26" fillId="8" borderId="13" xfId="6" applyNumberFormat="1" applyFont="1"/>
    <xf numFmtId="173" fontId="26" fillId="8" borderId="13" xfId="6" applyNumberFormat="1" applyFont="1"/>
    <xf numFmtId="164" fontId="38" fillId="0" borderId="0" xfId="0" applyNumberFormat="1" applyFont="1"/>
    <xf numFmtId="164" fontId="39" fillId="0" borderId="4" xfId="0" applyNumberFormat="1" applyFont="1" applyBorder="1"/>
    <xf numFmtId="165" fontId="38" fillId="0" borderId="0" xfId="0" applyNumberFormat="1" applyFont="1"/>
    <xf numFmtId="164" fontId="40" fillId="0" borderId="0" xfId="0" applyNumberFormat="1" applyFont="1"/>
    <xf numFmtId="164" fontId="40" fillId="0" borderId="49" xfId="0" applyNumberFormat="1" applyFont="1" applyBorder="1"/>
    <xf numFmtId="0" fontId="41" fillId="0" borderId="0" xfId="0" applyFont="1"/>
    <xf numFmtId="0" fontId="4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74" fontId="28" fillId="0" borderId="0" xfId="1" applyNumberFormat="1" applyFont="1"/>
    <xf numFmtId="0" fontId="26" fillId="0" borderId="0" xfId="0" applyFont="1" applyAlignment="1">
      <alignment horizontal="left"/>
    </xf>
    <xf numFmtId="0" fontId="26" fillId="0" borderId="0" xfId="7" applyFont="1" applyBorder="1"/>
    <xf numFmtId="0" fontId="26" fillId="0" borderId="59" xfId="7" applyFont="1" applyBorder="1"/>
    <xf numFmtId="0" fontId="26" fillId="0" borderId="60" xfId="7" applyFont="1" applyBorder="1"/>
    <xf numFmtId="0" fontId="29" fillId="0" borderId="61" xfId="0" applyFont="1" applyBorder="1"/>
    <xf numFmtId="0" fontId="26" fillId="0" borderId="62" xfId="0" applyFont="1" applyBorder="1"/>
    <xf numFmtId="175" fontId="29" fillId="0" borderId="62" xfId="0" applyNumberFormat="1" applyFont="1" applyBorder="1"/>
    <xf numFmtId="175" fontId="29" fillId="0" borderId="63" xfId="0" applyNumberFormat="1" applyFont="1" applyBorder="1"/>
    <xf numFmtId="0" fontId="26" fillId="0" borderId="59" xfId="0" applyFont="1" applyBorder="1"/>
    <xf numFmtId="0" fontId="26" fillId="0" borderId="28" xfId="0" applyFont="1" applyBorder="1"/>
    <xf numFmtId="166" fontId="28" fillId="0" borderId="0" xfId="1" applyNumberFormat="1" applyFont="1" applyBorder="1"/>
    <xf numFmtId="166" fontId="28" fillId="0" borderId="28" xfId="1" applyNumberFormat="1" applyFont="1" applyBorder="1"/>
    <xf numFmtId="0" fontId="26" fillId="0" borderId="60" xfId="0" applyFont="1" applyBorder="1"/>
    <xf numFmtId="0" fontId="26" fillId="0" borderId="64" xfId="0" applyFont="1" applyBorder="1"/>
    <xf numFmtId="166" fontId="28" fillId="0" borderId="64" xfId="1" applyNumberFormat="1" applyFont="1" applyBorder="1"/>
    <xf numFmtId="166" fontId="28" fillId="0" borderId="65" xfId="1" applyNumberFormat="1" applyFont="1" applyBorder="1"/>
    <xf numFmtId="174" fontId="28" fillId="0" borderId="0" xfId="1" applyNumberFormat="1" applyFont="1" applyBorder="1"/>
    <xf numFmtId="174" fontId="28" fillId="0" borderId="28" xfId="1" applyNumberFormat="1" applyFont="1" applyBorder="1"/>
    <xf numFmtId="174" fontId="28" fillId="0" borderId="0" xfId="1" applyNumberFormat="1" applyFont="1" applyBorder="1" applyAlignment="1">
      <alignment horizontal="center"/>
    </xf>
    <xf numFmtId="170" fontId="26" fillId="0" borderId="0" xfId="0" applyNumberFormat="1" applyFont="1"/>
    <xf numFmtId="170" fontId="26" fillId="0" borderId="28" xfId="0" applyNumberFormat="1" applyFont="1" applyBorder="1"/>
    <xf numFmtId="166" fontId="28" fillId="0" borderId="0" xfId="1" applyNumberFormat="1" applyFont="1" applyBorder="1" applyAlignment="1"/>
    <xf numFmtId="166" fontId="28" fillId="0" borderId="28" xfId="1" applyNumberFormat="1" applyFont="1" applyBorder="1" applyAlignment="1"/>
    <xf numFmtId="166" fontId="28" fillId="0" borderId="64" xfId="1" applyNumberFormat="1" applyFont="1" applyBorder="1" applyAlignment="1"/>
    <xf numFmtId="166" fontId="28" fillId="0" borderId="65" xfId="1" applyNumberFormat="1" applyFont="1" applyBorder="1" applyAlignment="1"/>
    <xf numFmtId="1" fontId="26" fillId="0" borderId="0" xfId="0" applyNumberFormat="1" applyFont="1"/>
    <xf numFmtId="1" fontId="26" fillId="0" borderId="28" xfId="0" applyNumberFormat="1" applyFont="1" applyBorder="1"/>
    <xf numFmtId="174" fontId="28" fillId="0" borderId="64" xfId="1" applyNumberFormat="1" applyFont="1" applyBorder="1"/>
    <xf numFmtId="174" fontId="28" fillId="0" borderId="65" xfId="1" applyNumberFormat="1" applyFont="1" applyBorder="1"/>
    <xf numFmtId="169" fontId="26" fillId="0" borderId="0" xfId="0" applyNumberFormat="1" applyFont="1"/>
    <xf numFmtId="169" fontId="26" fillId="0" borderId="28" xfId="0" applyNumberFormat="1" applyFont="1" applyBorder="1"/>
    <xf numFmtId="169" fontId="26" fillId="0" borderId="64" xfId="0" applyNumberFormat="1" applyFont="1" applyBorder="1"/>
    <xf numFmtId="169" fontId="26" fillId="0" borderId="65" xfId="0" applyNumberFormat="1" applyFont="1" applyBorder="1"/>
    <xf numFmtId="166" fontId="26" fillId="0" borderId="0" xfId="0" applyNumberFormat="1" applyFont="1"/>
    <xf numFmtId="166" fontId="26" fillId="0" borderId="28" xfId="0" applyNumberFormat="1" applyFont="1" applyBorder="1"/>
    <xf numFmtId="174" fontId="26" fillId="0" borderId="0" xfId="0" applyNumberFormat="1" applyFont="1"/>
    <xf numFmtId="174" fontId="26" fillId="0" borderId="28" xfId="0" applyNumberFormat="1" applyFont="1" applyBorder="1"/>
    <xf numFmtId="0" fontId="29" fillId="0" borderId="66" xfId="0" applyFont="1" applyBorder="1"/>
    <xf numFmtId="0" fontId="26" fillId="0" borderId="29" xfId="0" applyFont="1" applyBorder="1"/>
    <xf numFmtId="166" fontId="28" fillId="0" borderId="29" xfId="1" applyNumberFormat="1" applyFont="1" applyBorder="1"/>
    <xf numFmtId="166" fontId="28" fillId="0" borderId="67" xfId="1" applyNumberFormat="1" applyFont="1" applyBorder="1"/>
    <xf numFmtId="175" fontId="29" fillId="0" borderId="61" xfId="0" applyNumberFormat="1" applyFont="1" applyBorder="1"/>
    <xf numFmtId="166" fontId="28" fillId="0" borderId="59" xfId="1" applyNumberFormat="1" applyFont="1" applyBorder="1" applyAlignment="1"/>
    <xf numFmtId="166" fontId="28" fillId="0" borderId="60" xfId="1" applyNumberFormat="1" applyFont="1" applyBorder="1" applyAlignment="1"/>
    <xf numFmtId="174" fontId="28" fillId="0" borderId="59" xfId="1" applyNumberFormat="1" applyFont="1" applyBorder="1"/>
    <xf numFmtId="174" fontId="28" fillId="0" borderId="59" xfId="1" applyNumberFormat="1" applyFont="1" applyBorder="1" applyAlignment="1">
      <alignment horizontal="center"/>
    </xf>
    <xf numFmtId="170" fontId="26" fillId="0" borderId="59" xfId="0" applyNumberFormat="1" applyFont="1" applyBorder="1"/>
    <xf numFmtId="166" fontId="28" fillId="0" borderId="60" xfId="1" applyNumberFormat="1" applyFont="1" applyBorder="1"/>
    <xf numFmtId="1" fontId="26" fillId="0" borderId="59" xfId="0" applyNumberFormat="1" applyFont="1" applyBorder="1"/>
    <xf numFmtId="174" fontId="28" fillId="0" borderId="60" xfId="1" applyNumberFormat="1" applyFont="1" applyBorder="1"/>
    <xf numFmtId="169" fontId="26" fillId="0" borderId="59" xfId="0" applyNumberFormat="1" applyFont="1" applyBorder="1"/>
    <xf numFmtId="169" fontId="26" fillId="0" borderId="60" xfId="0" applyNumberFormat="1" applyFont="1" applyBorder="1"/>
    <xf numFmtId="166" fontId="26" fillId="0" borderId="59" xfId="0" applyNumberFormat="1" applyFont="1" applyBorder="1"/>
    <xf numFmtId="174" fontId="26" fillId="0" borderId="59" xfId="0" applyNumberFormat="1" applyFont="1" applyBorder="1"/>
    <xf numFmtId="166" fontId="28" fillId="0" borderId="66" xfId="1" applyNumberFormat="1" applyFont="1" applyBorder="1"/>
    <xf numFmtId="0" fontId="26" fillId="8" borderId="58" xfId="6" applyFont="1" applyBorder="1"/>
    <xf numFmtId="0" fontId="26" fillId="8" borderId="14" xfId="6" applyFont="1" applyBorder="1"/>
    <xf numFmtId="0" fontId="26" fillId="8" borderId="15" xfId="6" applyFont="1" applyBorder="1"/>
    <xf numFmtId="0" fontId="29" fillId="9" borderId="56" xfId="0" applyFont="1" applyFill="1" applyBorder="1" applyAlignment="1">
      <alignment horizontal="left"/>
    </xf>
    <xf numFmtId="0" fontId="29" fillId="9" borderId="57" xfId="0" applyFont="1" applyFill="1" applyBorder="1" applyAlignment="1">
      <alignment horizontal="left"/>
    </xf>
    <xf numFmtId="0" fontId="29" fillId="5" borderId="50" xfId="0" applyFont="1" applyFill="1" applyBorder="1" applyAlignment="1">
      <alignment horizontal="center"/>
    </xf>
    <xf numFmtId="0" fontId="29" fillId="5" borderId="49" xfId="0" applyFont="1" applyFill="1" applyBorder="1" applyAlignment="1">
      <alignment horizontal="center"/>
    </xf>
    <xf numFmtId="0" fontId="29" fillId="5" borderId="5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30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 vertical="center" textRotation="90" wrapText="1"/>
    </xf>
    <xf numFmtId="0" fontId="13" fillId="2" borderId="5" xfId="0" applyFont="1" applyFill="1" applyBorder="1" applyAlignment="1">
      <alignment horizontal="center" vertical="center" textRotation="90" wrapText="1"/>
    </xf>
    <xf numFmtId="0" fontId="13" fillId="2" borderId="31" xfId="0" applyFont="1" applyFill="1" applyBorder="1" applyAlignment="1">
      <alignment horizontal="center" vertical="center" textRotation="90" wrapText="1"/>
    </xf>
    <xf numFmtId="0" fontId="13" fillId="6" borderId="0" xfId="0" applyFont="1" applyFill="1" applyAlignment="1">
      <alignment horizontal="center"/>
    </xf>
    <xf numFmtId="166" fontId="10" fillId="0" borderId="0" xfId="1" applyNumberFormat="1" applyFont="1"/>
    <xf numFmtId="166" fontId="14" fillId="0" borderId="0" xfId="1" applyNumberFormat="1" applyFont="1"/>
  </cellXfs>
  <cellStyles count="8">
    <cellStyle name="Comma" xfId="4" builtinId="3"/>
    <cellStyle name="Hyperlink" xfId="7" builtinId="8"/>
    <cellStyle name="Input" xfId="3" builtinId="20"/>
    <cellStyle name="Normal" xfId="0" builtinId="0"/>
    <cellStyle name="Normal 2" xfId="2" xr:uid="{A0367B30-101E-4513-B0A4-4CC1868BD241}"/>
    <cellStyle name="Note" xfId="6" builtinId="10"/>
    <cellStyle name="Percent" xfId="1" builtinId="5"/>
    <cellStyle name="Warning Text" xfId="5" builtinId="11"/>
  </cellStyles>
  <dxfs count="0"/>
  <tableStyles count="0" defaultTableStyle="TableStyleMedium2" defaultPivotStyle="PivotStyleLight16"/>
  <colors>
    <mruColors>
      <color rgb="FF00CC00"/>
      <color rgb="FF1F497D"/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D3A7-E07D-40CF-ADE6-D4E724382206}">
  <dimension ref="B1:M26"/>
  <sheetViews>
    <sheetView showGridLines="0" workbookViewId="0">
      <selection activeCell="C23" sqref="C23"/>
    </sheetView>
  </sheetViews>
  <sheetFormatPr defaultRowHeight="13.2" x14ac:dyDescent="0.25"/>
  <cols>
    <col min="1" max="1" width="2.88671875" style="132" customWidth="1"/>
    <col min="2" max="4" width="8.88671875" style="132"/>
    <col min="5" max="5" width="10.5546875" style="132" customWidth="1"/>
    <col min="6" max="6" width="8.88671875" style="132"/>
    <col min="7" max="7" width="2.88671875" style="132" customWidth="1"/>
    <col min="8" max="10" width="8.88671875" style="132"/>
    <col min="11" max="11" width="7.109375" style="132" customWidth="1"/>
    <col min="12" max="16384" width="8.88671875" style="132"/>
  </cols>
  <sheetData>
    <row r="1" spans="2:13" customFormat="1" ht="14.4" x14ac:dyDescent="0.3"/>
    <row r="2" spans="2:13" customFormat="1" ht="14.4" x14ac:dyDescent="0.3">
      <c r="B2" s="195" t="s">
        <v>0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</row>
    <row r="3" spans="2:13" customFormat="1" ht="14.4" x14ac:dyDescent="0.3">
      <c r="B3" s="2" t="s">
        <v>486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</row>
    <row r="4" spans="2:13" customFormat="1" ht="14.4" x14ac:dyDescent="0.3">
      <c r="B4" s="131" t="s">
        <v>1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</row>
    <row r="6" spans="2:13" x14ac:dyDescent="0.25">
      <c r="B6" s="334" t="s">
        <v>487</v>
      </c>
      <c r="C6" s="335"/>
      <c r="D6" s="336"/>
      <c r="E6" s="334" t="str">
        <f>B2</f>
        <v>The Coca-Cola Company</v>
      </c>
      <c r="F6" s="335"/>
      <c r="G6" s="336"/>
      <c r="I6" s="334" t="s">
        <v>494</v>
      </c>
      <c r="J6" s="335"/>
      <c r="K6" s="336"/>
      <c r="L6" s="268">
        <f>FCFF!I9</f>
        <v>70.069999999999993</v>
      </c>
    </row>
    <row r="7" spans="2:13" x14ac:dyDescent="0.25">
      <c r="B7" s="334" t="s">
        <v>488</v>
      </c>
      <c r="C7" s="335"/>
      <c r="D7" s="336"/>
      <c r="E7" s="334" t="s">
        <v>489</v>
      </c>
      <c r="F7" s="335"/>
      <c r="G7" s="336"/>
      <c r="I7" s="334" t="s">
        <v>495</v>
      </c>
      <c r="J7" s="335"/>
      <c r="K7" s="336"/>
      <c r="L7" s="268">
        <f>FCFF!I8</f>
        <v>83.889061444246067</v>
      </c>
    </row>
    <row r="8" spans="2:13" x14ac:dyDescent="0.25">
      <c r="I8" s="334" t="s">
        <v>496</v>
      </c>
      <c r="J8" s="335"/>
      <c r="K8" s="336"/>
      <c r="L8" s="269">
        <f>L6/L7-1</f>
        <v>-0.1647301949304848</v>
      </c>
    </row>
    <row r="9" spans="2:13" x14ac:dyDescent="0.25">
      <c r="B9" s="334" t="s">
        <v>490</v>
      </c>
      <c r="C9" s="335"/>
      <c r="D9" s="336"/>
      <c r="E9" s="266">
        <f>Historicals!K5</f>
        <v>45657</v>
      </c>
    </row>
    <row r="10" spans="2:13" x14ac:dyDescent="0.25">
      <c r="B10" s="334" t="s">
        <v>491</v>
      </c>
      <c r="C10" s="335"/>
      <c r="D10" s="336"/>
      <c r="E10" s="266">
        <f>Historicals!P5</f>
        <v>47483</v>
      </c>
    </row>
    <row r="11" spans="2:13" x14ac:dyDescent="0.25">
      <c r="B11" s="334" t="s">
        <v>492</v>
      </c>
      <c r="C11" s="335"/>
      <c r="D11" s="336"/>
      <c r="E11" s="267">
        <f>YEARFRAC(Historicals!K5,Historicals!P5,1)</f>
        <v>4.9981751824817522</v>
      </c>
    </row>
    <row r="12" spans="2:13" x14ac:dyDescent="0.25">
      <c r="B12" s="334" t="s">
        <v>493</v>
      </c>
      <c r="C12" s="335"/>
      <c r="D12" s="336"/>
      <c r="E12" s="265">
        <v>365</v>
      </c>
    </row>
    <row r="15" spans="2:13" x14ac:dyDescent="0.25">
      <c r="B15" s="339" t="s">
        <v>499</v>
      </c>
      <c r="C15" s="340"/>
      <c r="D15" s="341"/>
    </row>
    <row r="16" spans="2:13" x14ac:dyDescent="0.25">
      <c r="B16" s="264" t="s">
        <v>497</v>
      </c>
      <c r="C16" s="337" t="s">
        <v>498</v>
      </c>
      <c r="D16" s="338"/>
    </row>
    <row r="17" spans="2:13" x14ac:dyDescent="0.25">
      <c r="B17" s="262">
        <v>1</v>
      </c>
      <c r="C17" s="261" t="s">
        <v>500</v>
      </c>
      <c r="D17" s="259"/>
    </row>
    <row r="18" spans="2:13" x14ac:dyDescent="0.25">
      <c r="B18" s="262">
        <v>2</v>
      </c>
      <c r="C18" s="261" t="s">
        <v>501</v>
      </c>
      <c r="D18" s="259"/>
    </row>
    <row r="19" spans="2:13" x14ac:dyDescent="0.25">
      <c r="B19" s="262">
        <v>3</v>
      </c>
      <c r="C19" s="261" t="s">
        <v>194</v>
      </c>
      <c r="D19" s="259"/>
    </row>
    <row r="20" spans="2:13" x14ac:dyDescent="0.25">
      <c r="B20" s="262">
        <v>4</v>
      </c>
      <c r="C20" s="261" t="s">
        <v>441</v>
      </c>
      <c r="D20" s="259"/>
    </row>
    <row r="21" spans="2:13" x14ac:dyDescent="0.25">
      <c r="B21" s="262">
        <v>5</v>
      </c>
      <c r="C21" s="261" t="s">
        <v>426</v>
      </c>
      <c r="D21" s="259"/>
    </row>
    <row r="22" spans="2:13" x14ac:dyDescent="0.25">
      <c r="B22" s="262">
        <v>6</v>
      </c>
      <c r="C22" s="281" t="s">
        <v>420</v>
      </c>
      <c r="D22" s="259"/>
    </row>
    <row r="23" spans="2:13" x14ac:dyDescent="0.25">
      <c r="B23" s="263">
        <v>7</v>
      </c>
      <c r="C23" s="282" t="s">
        <v>502</v>
      </c>
      <c r="D23" s="260"/>
    </row>
    <row r="24" spans="2:13" x14ac:dyDescent="0.25">
      <c r="B24" s="279"/>
      <c r="C24" s="280"/>
    </row>
    <row r="26" spans="2:13" ht="13.8" x14ac:dyDescent="0.25"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</row>
  </sheetData>
  <mergeCells count="13">
    <mergeCell ref="I6:K6"/>
    <mergeCell ref="I7:K7"/>
    <mergeCell ref="I8:K8"/>
    <mergeCell ref="C16:D16"/>
    <mergeCell ref="B15:D15"/>
    <mergeCell ref="B6:D6"/>
    <mergeCell ref="B7:D7"/>
    <mergeCell ref="E6:G6"/>
    <mergeCell ref="E7:G7"/>
    <mergeCell ref="B9:D9"/>
    <mergeCell ref="B10:D10"/>
    <mergeCell ref="B11:D11"/>
    <mergeCell ref="B12:D12"/>
  </mergeCells>
  <hyperlinks>
    <hyperlink ref="C17" location="Historicals!A1" display="Historicals" xr:uid="{145996BA-D9AB-4E8F-81F1-D06A19FBA6D5}"/>
    <hyperlink ref="C18" location="Assumptions!A1" display="Assumptions" xr:uid="{49F71D14-B4E0-46F2-BE29-47D218765DEE}"/>
    <hyperlink ref="C19" location="Schedule!A1" display="Schedule" xr:uid="{97A4A63B-EDF5-4C82-BEE4-A3AA372C9998}"/>
    <hyperlink ref="C20" location="Beta!A1" display="Beta" xr:uid="{16A9A392-7CB2-4AE9-9E8E-305047ED50CC}"/>
    <hyperlink ref="C21" location="WACC!A1" display="WACC" xr:uid="{86E91101-6254-478E-A3FB-85D6748A319E}"/>
    <hyperlink ref="C22" location="FCFF!A1" display="FCFF" xr:uid="{08F5E651-FA5D-45EB-A78E-7A59996E8BAC}"/>
    <hyperlink ref="C23" location="'Ratio Analysis'!A1" display="Ratio Analysis" xr:uid="{E526C89D-53BE-4A4A-B82E-B2FF390D83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69A1-EBEE-4EA7-8748-05F3A8077BE5}">
  <sheetPr>
    <tabColor rgb="FFFF0000"/>
  </sheetPr>
  <dimension ref="A1"/>
  <sheetViews>
    <sheetView showGridLines="0" workbookViewId="0">
      <selection activeCell="G17" sqref="G17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B35A-B4BD-41F1-8C28-B666A6FA1E04}">
  <dimension ref="A2:R149"/>
  <sheetViews>
    <sheetView showGridLines="0" topLeftCell="A4" zoomScaleNormal="100" workbookViewId="0">
      <selection activeCell="E23" sqref="E23"/>
    </sheetView>
  </sheetViews>
  <sheetFormatPr defaultRowHeight="13.2" x14ac:dyDescent="0.25"/>
  <cols>
    <col min="1" max="1" width="2.88671875" style="132" customWidth="1"/>
    <col min="2" max="7" width="8.88671875" style="132"/>
    <col min="8" max="16" width="12.44140625" style="132" customWidth="1"/>
    <col min="17" max="21" width="11.109375" style="132" customWidth="1"/>
    <col min="22" max="16384" width="8.88671875" style="132"/>
  </cols>
  <sheetData>
    <row r="2" spans="1:16" ht="13.8" x14ac:dyDescent="0.25">
      <c r="B2" s="195" t="s">
        <v>0</v>
      </c>
      <c r="C2" s="3"/>
      <c r="D2" s="3"/>
      <c r="E2" s="3"/>
      <c r="F2" s="3"/>
      <c r="G2" s="133"/>
      <c r="H2" s="133"/>
      <c r="I2" s="133"/>
      <c r="J2" s="133"/>
      <c r="K2" s="133"/>
      <c r="L2" s="133"/>
      <c r="M2" s="134"/>
      <c r="N2" s="134"/>
      <c r="O2" s="134"/>
      <c r="P2" s="134"/>
    </row>
    <row r="3" spans="1:16" x14ac:dyDescent="0.25">
      <c r="B3" s="135" t="s">
        <v>41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4"/>
      <c r="N3" s="134"/>
      <c r="O3" s="134"/>
      <c r="P3" s="134"/>
    </row>
    <row r="4" spans="1:16" x14ac:dyDescent="0.25">
      <c r="B4" s="131" t="s">
        <v>1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4"/>
      <c r="N4" s="134"/>
      <c r="O4" s="134"/>
      <c r="P4" s="134"/>
    </row>
    <row r="5" spans="1:16" x14ac:dyDescent="0.25">
      <c r="B5" s="221" t="s">
        <v>2</v>
      </c>
      <c r="C5" s="216"/>
      <c r="D5" s="216"/>
      <c r="E5" s="216"/>
      <c r="F5" s="216"/>
      <c r="G5" s="216"/>
      <c r="H5" s="222">
        <v>44561</v>
      </c>
      <c r="I5" s="217">
        <f>EDATE(H5,12)</f>
        <v>44926</v>
      </c>
      <c r="J5" s="217">
        <f t="shared" ref="J5" si="0">EDATE(I5,12)</f>
        <v>45291</v>
      </c>
      <c r="K5" s="217">
        <f t="shared" ref="K5" si="1">EDATE(J5,12)</f>
        <v>45657</v>
      </c>
      <c r="L5" s="222">
        <f t="shared" ref="L5" si="2">EDATE(K5,12)</f>
        <v>46022</v>
      </c>
      <c r="M5" s="217">
        <f t="shared" ref="M5" si="3">EDATE(L5,12)</f>
        <v>46387</v>
      </c>
      <c r="N5" s="217">
        <f t="shared" ref="N5" si="4">EDATE(M5,12)</f>
        <v>46752</v>
      </c>
      <c r="O5" s="217">
        <f t="shared" ref="O5" si="5">EDATE(N5,12)</f>
        <v>47118</v>
      </c>
      <c r="P5" s="223">
        <f t="shared" ref="P5" si="6">EDATE(O5,12)</f>
        <v>47483</v>
      </c>
    </row>
    <row r="6" spans="1:16" x14ac:dyDescent="0.25">
      <c r="B6" s="136" t="s">
        <v>3</v>
      </c>
      <c r="C6" s="133"/>
      <c r="D6" s="133"/>
      <c r="E6" s="133"/>
      <c r="F6" s="133"/>
      <c r="G6" s="133"/>
      <c r="H6" s="220" t="s">
        <v>4</v>
      </c>
      <c r="I6" s="214" t="s">
        <v>4</v>
      </c>
      <c r="J6" s="214" t="s">
        <v>4</v>
      </c>
      <c r="K6" s="214" t="s">
        <v>4</v>
      </c>
      <c r="L6" s="220" t="s">
        <v>5</v>
      </c>
      <c r="M6" s="214" t="s">
        <v>5</v>
      </c>
      <c r="N6" s="214" t="s">
        <v>5</v>
      </c>
      <c r="O6" s="214" t="s">
        <v>5</v>
      </c>
      <c r="P6" s="214" t="s">
        <v>5</v>
      </c>
    </row>
    <row r="8" spans="1:16" x14ac:dyDescent="0.25">
      <c r="A8" s="132" t="s">
        <v>483</v>
      </c>
      <c r="B8" s="136" t="s">
        <v>6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</row>
    <row r="9" spans="1:16" x14ac:dyDescent="0.25">
      <c r="B9" s="132" t="s">
        <v>22</v>
      </c>
      <c r="H9" s="141">
        <f>Assumptions!G40</f>
        <v>38655</v>
      </c>
      <c r="I9" s="142">
        <f>Assumptions!H40</f>
        <v>43004</v>
      </c>
      <c r="J9" s="142">
        <f>Assumptions!I40</f>
        <v>45754</v>
      </c>
      <c r="K9" s="142">
        <f>Assumptions!J40</f>
        <v>47061</v>
      </c>
      <c r="L9" s="143"/>
      <c r="M9" s="144"/>
      <c r="N9" s="144"/>
      <c r="O9" s="144"/>
      <c r="P9" s="144"/>
    </row>
    <row r="10" spans="1:16" x14ac:dyDescent="0.25">
      <c r="B10" s="145" t="s">
        <v>76</v>
      </c>
      <c r="C10" s="145"/>
      <c r="D10" s="145"/>
      <c r="E10" s="145"/>
      <c r="F10" s="145"/>
      <c r="G10" s="145"/>
      <c r="H10" s="146">
        <v>3</v>
      </c>
      <c r="I10" s="147">
        <v>42</v>
      </c>
      <c r="J10" s="147">
        <v>30</v>
      </c>
      <c r="K10" s="147">
        <v>-164</v>
      </c>
      <c r="L10" s="146"/>
      <c r="M10" s="147"/>
      <c r="N10" s="147"/>
      <c r="O10" s="147"/>
      <c r="P10" s="147"/>
    </row>
    <row r="11" spans="1:16" x14ac:dyDescent="0.25">
      <c r="B11" s="132" t="s">
        <v>78</v>
      </c>
      <c r="H11" s="141">
        <f t="shared" ref="H11:J11" si="7">SUM(H9:H10)</f>
        <v>38658</v>
      </c>
      <c r="I11" s="142">
        <f t="shared" si="7"/>
        <v>43046</v>
      </c>
      <c r="J11" s="142">
        <f t="shared" si="7"/>
        <v>45784</v>
      </c>
      <c r="K11" s="142">
        <f>SUM(K9:K10)</f>
        <v>46897</v>
      </c>
      <c r="L11" s="141">
        <f>Assumptions!K40</f>
        <v>51644.9758599489</v>
      </c>
      <c r="M11" s="142">
        <f>Assumptions!L40</f>
        <v>56165.18093737353</v>
      </c>
      <c r="N11" s="142">
        <f>Assumptions!M40</f>
        <v>60498.749573422261</v>
      </c>
      <c r="O11" s="142">
        <f>Assumptions!N40</f>
        <v>64515.924807917516</v>
      </c>
      <c r="P11" s="142">
        <f>Assumptions!O40</f>
        <v>67471.203269158927</v>
      </c>
    </row>
    <row r="12" spans="1:16" x14ac:dyDescent="0.25">
      <c r="H12" s="141"/>
      <c r="I12" s="142"/>
      <c r="J12" s="142"/>
      <c r="K12" s="142"/>
      <c r="L12" s="141"/>
      <c r="M12" s="142"/>
      <c r="N12" s="142"/>
      <c r="O12" s="142"/>
      <c r="P12" s="142"/>
    </row>
    <row r="13" spans="1:16" x14ac:dyDescent="0.25">
      <c r="B13" s="132" t="s">
        <v>23</v>
      </c>
      <c r="H13" s="141">
        <f>Data!B5</f>
        <v>15357</v>
      </c>
      <c r="I13" s="142">
        <f>Data!C5</f>
        <v>18000</v>
      </c>
      <c r="J13" s="142">
        <f>Data!D5</f>
        <v>18520</v>
      </c>
      <c r="K13" s="142">
        <f>Data!E5</f>
        <v>18324</v>
      </c>
      <c r="L13" s="143"/>
      <c r="M13" s="144"/>
      <c r="N13" s="144"/>
      <c r="O13" s="144"/>
      <c r="P13" s="144"/>
    </row>
    <row r="14" spans="1:16" x14ac:dyDescent="0.25">
      <c r="B14" s="145" t="s">
        <v>76</v>
      </c>
      <c r="C14" s="145"/>
      <c r="D14" s="145"/>
      <c r="E14" s="145"/>
      <c r="F14" s="145"/>
      <c r="G14" s="145"/>
      <c r="H14" s="146">
        <v>53</v>
      </c>
      <c r="I14" s="147">
        <v>-183</v>
      </c>
      <c r="J14" s="147">
        <v>-55</v>
      </c>
      <c r="K14" s="147">
        <v>-70</v>
      </c>
      <c r="L14" s="146"/>
      <c r="M14" s="147"/>
      <c r="N14" s="147"/>
      <c r="O14" s="147"/>
      <c r="P14" s="147"/>
    </row>
    <row r="15" spans="1:16" x14ac:dyDescent="0.25">
      <c r="B15" s="132" t="s">
        <v>79</v>
      </c>
      <c r="H15" s="141">
        <f t="shared" ref="H15:J15" si="8">SUM(H13:H14)</f>
        <v>15410</v>
      </c>
      <c r="I15" s="142">
        <f t="shared" si="8"/>
        <v>17817</v>
      </c>
      <c r="J15" s="142">
        <f t="shared" si="8"/>
        <v>18465</v>
      </c>
      <c r="K15" s="142">
        <f>SUM(K13:K14)</f>
        <v>18254</v>
      </c>
      <c r="L15" s="141">
        <f>Assumptions!K47</f>
        <v>20715.005058024217</v>
      </c>
      <c r="M15" s="142">
        <f>Assumptions!L47</f>
        <v>22528.077278177454</v>
      </c>
      <c r="N15" s="142">
        <f>Assumptions!M47</f>
        <v>24266.288879989082</v>
      </c>
      <c r="O15" s="142">
        <f>Assumptions!N47</f>
        <v>25877.593831069007</v>
      </c>
      <c r="P15" s="142">
        <f>Assumptions!O47</f>
        <v>27062.967766347796</v>
      </c>
    </row>
    <row r="16" spans="1:16" x14ac:dyDescent="0.25">
      <c r="H16" s="141"/>
      <c r="I16" s="142"/>
      <c r="J16" s="142"/>
      <c r="K16" s="142"/>
      <c r="L16" s="141"/>
      <c r="M16" s="142"/>
      <c r="N16" s="142"/>
      <c r="O16" s="142"/>
      <c r="P16" s="142"/>
    </row>
    <row r="17" spans="2:16" x14ac:dyDescent="0.25">
      <c r="B17" s="148" t="s">
        <v>77</v>
      </c>
      <c r="C17" s="148"/>
      <c r="D17" s="148"/>
      <c r="E17" s="148"/>
      <c r="F17" s="148"/>
      <c r="G17" s="148"/>
      <c r="H17" s="149">
        <f t="shared" ref="H17:J17" si="9">H11-H15</f>
        <v>23248</v>
      </c>
      <c r="I17" s="150">
        <f t="shared" si="9"/>
        <v>25229</v>
      </c>
      <c r="J17" s="150">
        <f t="shared" si="9"/>
        <v>27319</v>
      </c>
      <c r="K17" s="150">
        <f>K11-K15</f>
        <v>28643</v>
      </c>
      <c r="L17" s="149">
        <f>L11-L15</f>
        <v>30929.970801924683</v>
      </c>
      <c r="M17" s="150">
        <f t="shared" ref="M17:P17" si="10">M11-M15</f>
        <v>33637.103659196073</v>
      </c>
      <c r="N17" s="150">
        <f t="shared" si="10"/>
        <v>36232.460693433182</v>
      </c>
      <c r="O17" s="150">
        <f t="shared" si="10"/>
        <v>38638.330976848505</v>
      </c>
      <c r="P17" s="150">
        <f t="shared" si="10"/>
        <v>40408.235502811134</v>
      </c>
    </row>
    <row r="18" spans="2:16" x14ac:dyDescent="0.25">
      <c r="H18" s="141"/>
      <c r="I18" s="142"/>
      <c r="J18" s="142"/>
      <c r="K18" s="142"/>
      <c r="L18" s="141"/>
      <c r="M18" s="142"/>
      <c r="N18" s="142"/>
      <c r="O18" s="142"/>
      <c r="P18" s="142"/>
    </row>
    <row r="19" spans="2:16" x14ac:dyDescent="0.25">
      <c r="B19" s="132" t="s">
        <v>24</v>
      </c>
      <c r="H19" s="141">
        <f>Data!B7</f>
        <v>12144</v>
      </c>
      <c r="I19" s="142">
        <f>Data!C7</f>
        <v>12880</v>
      </c>
      <c r="J19" s="142">
        <f>Data!D7</f>
        <v>13972</v>
      </c>
      <c r="K19" s="142">
        <f>Data!E7</f>
        <v>14582</v>
      </c>
      <c r="L19" s="143"/>
      <c r="M19" s="144"/>
      <c r="N19" s="144"/>
      <c r="O19" s="144"/>
      <c r="P19" s="144"/>
    </row>
    <row r="20" spans="2:16" x14ac:dyDescent="0.25">
      <c r="B20" s="145" t="s">
        <v>76</v>
      </c>
      <c r="C20" s="145"/>
      <c r="D20" s="145"/>
      <c r="E20" s="145"/>
      <c r="F20" s="145"/>
      <c r="G20" s="145"/>
      <c r="H20" s="146">
        <v>-5</v>
      </c>
      <c r="I20" s="147">
        <v>4</v>
      </c>
      <c r="J20" s="147">
        <v>11</v>
      </c>
      <c r="K20" s="147">
        <v>-24</v>
      </c>
      <c r="L20" s="146"/>
      <c r="M20" s="147"/>
      <c r="N20" s="147"/>
      <c r="O20" s="147"/>
      <c r="P20" s="147"/>
    </row>
    <row r="21" spans="2:16" x14ac:dyDescent="0.25">
      <c r="B21" s="132" t="s">
        <v>80</v>
      </c>
      <c r="H21" s="141">
        <f t="shared" ref="H21:J21" si="11">SUM(H19:H20)</f>
        <v>12139</v>
      </c>
      <c r="I21" s="142">
        <f t="shared" si="11"/>
        <v>12884</v>
      </c>
      <c r="J21" s="142">
        <f t="shared" si="11"/>
        <v>13983</v>
      </c>
      <c r="K21" s="142">
        <f>SUM(K19:K20)</f>
        <v>14558</v>
      </c>
      <c r="L21" s="141">
        <f>Assumptions!K50</f>
        <v>15862.628593413157</v>
      </c>
      <c r="M21" s="142">
        <f>Assumptions!L50</f>
        <v>17250.998577430382</v>
      </c>
      <c r="N21" s="142">
        <f>Assumptions!M50</f>
        <v>18582.043632889781</v>
      </c>
      <c r="O21" s="142">
        <f>Assumptions!N50</f>
        <v>19815.909225396979</v>
      </c>
      <c r="P21" s="142">
        <f>Assumptions!O50</f>
        <v>20723.615809439372</v>
      </c>
    </row>
    <row r="22" spans="2:16" x14ac:dyDescent="0.25">
      <c r="H22" s="141"/>
      <c r="I22" s="142"/>
      <c r="J22" s="142"/>
      <c r="K22" s="142"/>
      <c r="L22" s="141"/>
      <c r="M22" s="142"/>
      <c r="N22" s="142"/>
      <c r="O22" s="142"/>
      <c r="P22" s="142"/>
    </row>
    <row r="23" spans="2:16" x14ac:dyDescent="0.25">
      <c r="B23" s="132" t="s">
        <v>25</v>
      </c>
      <c r="H23" s="141">
        <f>Data!B8</f>
        <v>846</v>
      </c>
      <c r="I23" s="142">
        <f>Data!C8</f>
        <v>1215</v>
      </c>
      <c r="J23" s="142">
        <f>Data!D8</f>
        <v>1951</v>
      </c>
      <c r="K23" s="142">
        <f>Data!E8</f>
        <v>4163</v>
      </c>
      <c r="L23" s="141"/>
      <c r="M23" s="142"/>
      <c r="N23" s="142"/>
      <c r="O23" s="142"/>
      <c r="P23" s="142"/>
    </row>
    <row r="24" spans="2:16" x14ac:dyDescent="0.25">
      <c r="B24" s="145" t="s">
        <v>76</v>
      </c>
      <c r="C24" s="145"/>
      <c r="D24" s="145"/>
      <c r="E24" s="145"/>
      <c r="F24" s="145"/>
      <c r="G24" s="145"/>
      <c r="H24" s="146">
        <f>-78-369-261-138</f>
        <v>-846</v>
      </c>
      <c r="I24" s="147">
        <f>-1000-117-41-57</f>
        <v>-1215</v>
      </c>
      <c r="J24" s="147">
        <f>-1702-191-58</f>
        <v>-1951</v>
      </c>
      <c r="K24" s="147">
        <f>-886-3118-133-26</f>
        <v>-4163</v>
      </c>
      <c r="L24" s="146"/>
      <c r="M24" s="147"/>
      <c r="N24" s="147"/>
      <c r="O24" s="147"/>
      <c r="P24" s="147"/>
    </row>
    <row r="25" spans="2:16" x14ac:dyDescent="0.25">
      <c r="B25" s="132" t="s">
        <v>81</v>
      </c>
      <c r="H25" s="141">
        <f t="shared" ref="H25:J25" si="12">SUM(H23:H24)</f>
        <v>0</v>
      </c>
      <c r="I25" s="142">
        <f t="shared" si="12"/>
        <v>0</v>
      </c>
      <c r="J25" s="142">
        <f t="shared" si="12"/>
        <v>0</v>
      </c>
      <c r="K25" s="142">
        <f>SUM(K23:K24)</f>
        <v>0</v>
      </c>
      <c r="L25" s="141">
        <f>K25</f>
        <v>0</v>
      </c>
      <c r="M25" s="142">
        <f t="shared" ref="M25:P25" si="13">L25</f>
        <v>0</v>
      </c>
      <c r="N25" s="142">
        <f t="shared" si="13"/>
        <v>0</v>
      </c>
      <c r="O25" s="142">
        <f t="shared" si="13"/>
        <v>0</v>
      </c>
      <c r="P25" s="142">
        <f t="shared" si="13"/>
        <v>0</v>
      </c>
    </row>
    <row r="26" spans="2:16" x14ac:dyDescent="0.25">
      <c r="H26" s="141"/>
      <c r="I26" s="142"/>
      <c r="J26" s="142"/>
      <c r="K26" s="142"/>
      <c r="L26" s="141"/>
      <c r="M26" s="142"/>
      <c r="N26" s="142"/>
      <c r="O26" s="142"/>
      <c r="P26" s="142"/>
    </row>
    <row r="27" spans="2:16" x14ac:dyDescent="0.25">
      <c r="B27" s="148" t="s">
        <v>82</v>
      </c>
      <c r="C27" s="148"/>
      <c r="D27" s="148"/>
      <c r="E27" s="148"/>
      <c r="F27" s="148"/>
      <c r="G27" s="148"/>
      <c r="H27" s="149">
        <f>H17-H21-H25</f>
        <v>11109</v>
      </c>
      <c r="I27" s="150">
        <f t="shared" ref="I27:P27" si="14">I17-I21-I25</f>
        <v>12345</v>
      </c>
      <c r="J27" s="150">
        <f t="shared" si="14"/>
        <v>13336</v>
      </c>
      <c r="K27" s="150">
        <f t="shared" si="14"/>
        <v>14085</v>
      </c>
      <c r="L27" s="149">
        <f>L17-L21-L25</f>
        <v>15067.342208511525</v>
      </c>
      <c r="M27" s="150">
        <f t="shared" si="14"/>
        <v>16386.105081765691</v>
      </c>
      <c r="N27" s="150">
        <f t="shared" si="14"/>
        <v>17650.417060543401</v>
      </c>
      <c r="O27" s="150">
        <f t="shared" si="14"/>
        <v>18822.421751451526</v>
      </c>
      <c r="P27" s="150">
        <f t="shared" si="14"/>
        <v>19684.619693371762</v>
      </c>
    </row>
    <row r="28" spans="2:16" x14ac:dyDescent="0.25">
      <c r="H28" s="141"/>
      <c r="I28" s="142"/>
      <c r="J28" s="142"/>
      <c r="K28" s="142"/>
      <c r="L28" s="141"/>
      <c r="M28" s="142"/>
      <c r="N28" s="142"/>
      <c r="O28" s="142"/>
      <c r="P28" s="142"/>
    </row>
    <row r="29" spans="2:16" x14ac:dyDescent="0.25">
      <c r="B29" s="132" t="s">
        <v>27</v>
      </c>
      <c r="H29" s="141">
        <f>Data!B10</f>
        <v>276</v>
      </c>
      <c r="I29" s="142">
        <f>Data!C10</f>
        <v>449</v>
      </c>
      <c r="J29" s="142">
        <f>Data!D10</f>
        <v>907</v>
      </c>
      <c r="K29" s="142">
        <f>Data!E10</f>
        <v>988</v>
      </c>
      <c r="L29" s="141">
        <v>0</v>
      </c>
      <c r="M29" s="142">
        <v>0</v>
      </c>
      <c r="N29" s="142">
        <v>0</v>
      </c>
      <c r="O29" s="142">
        <v>0</v>
      </c>
      <c r="P29" s="142">
        <v>0</v>
      </c>
    </row>
    <row r="30" spans="2:16" x14ac:dyDescent="0.25">
      <c r="B30" s="132" t="s">
        <v>28</v>
      </c>
      <c r="H30" s="141">
        <f>Data!B11</f>
        <v>1597</v>
      </c>
      <c r="I30" s="142">
        <f>Data!C11</f>
        <v>882</v>
      </c>
      <c r="J30" s="142">
        <f>Data!D11</f>
        <v>1527</v>
      </c>
      <c r="K30" s="142">
        <f>Data!E11</f>
        <v>1656</v>
      </c>
      <c r="L30" s="143"/>
      <c r="M30" s="144"/>
      <c r="N30" s="144"/>
      <c r="O30" s="144"/>
      <c r="P30" s="144"/>
    </row>
    <row r="31" spans="2:16" x14ac:dyDescent="0.25">
      <c r="B31" s="145" t="s">
        <v>76</v>
      </c>
      <c r="C31" s="145"/>
      <c r="D31" s="145"/>
      <c r="E31" s="145"/>
      <c r="F31" s="145"/>
      <c r="G31" s="145"/>
      <c r="H31" s="146">
        <v>-821</v>
      </c>
      <c r="I31" s="147">
        <v>24</v>
      </c>
      <c r="J31" s="147">
        <v>25</v>
      </c>
      <c r="K31" s="147">
        <v>25</v>
      </c>
      <c r="L31" s="146"/>
      <c r="M31" s="147"/>
      <c r="N31" s="147"/>
      <c r="O31" s="147"/>
      <c r="P31" s="147"/>
    </row>
    <row r="32" spans="2:16" x14ac:dyDescent="0.25">
      <c r="B32" s="132" t="s">
        <v>83</v>
      </c>
      <c r="H32" s="141">
        <f t="shared" ref="H32:J32" si="15">SUM(H30:H31)</f>
        <v>776</v>
      </c>
      <c r="I32" s="142">
        <f t="shared" si="15"/>
        <v>906</v>
      </c>
      <c r="J32" s="142">
        <f t="shared" si="15"/>
        <v>1552</v>
      </c>
      <c r="K32" s="142">
        <f>SUM(K30:K31)</f>
        <v>1681</v>
      </c>
      <c r="L32" s="141">
        <f>Schedule!L64+Schedule!L74</f>
        <v>1544.566114917581</v>
      </c>
      <c r="M32" s="142">
        <f>Schedule!M64+Schedule!M74</f>
        <v>1565.6026223062029</v>
      </c>
      <c r="N32" s="142">
        <f>Schedule!N64+Schedule!N74</f>
        <v>1583.6434692219743</v>
      </c>
      <c r="O32" s="142">
        <f>Schedule!O64+Schedule!O74</f>
        <v>1579.0231679142184</v>
      </c>
      <c r="P32" s="142">
        <f>Schedule!P64+Schedule!P74</f>
        <v>1542.6994110819128</v>
      </c>
    </row>
    <row r="33" spans="2:16" x14ac:dyDescent="0.25">
      <c r="H33" s="141"/>
      <c r="I33" s="142"/>
      <c r="J33" s="142"/>
      <c r="K33" s="142"/>
      <c r="L33" s="141"/>
      <c r="M33" s="142"/>
      <c r="N33" s="142"/>
      <c r="O33" s="142"/>
      <c r="P33" s="142"/>
    </row>
    <row r="34" spans="2:16" x14ac:dyDescent="0.25">
      <c r="B34" s="132" t="s">
        <v>29</v>
      </c>
      <c r="H34" s="141">
        <f>Data!B12</f>
        <v>1438</v>
      </c>
      <c r="I34" s="142">
        <f>Data!C12</f>
        <v>1472</v>
      </c>
      <c r="J34" s="142">
        <f>Data!D12</f>
        <v>1691</v>
      </c>
      <c r="K34" s="142">
        <f>Data!E12</f>
        <v>1770</v>
      </c>
      <c r="L34" s="141"/>
      <c r="M34" s="142"/>
      <c r="N34" s="142"/>
      <c r="O34" s="142"/>
      <c r="P34" s="142"/>
    </row>
    <row r="35" spans="2:16" x14ac:dyDescent="0.25">
      <c r="B35" s="145" t="s">
        <v>76</v>
      </c>
      <c r="C35" s="145"/>
      <c r="D35" s="145"/>
      <c r="E35" s="145"/>
      <c r="F35" s="145"/>
      <c r="G35" s="145"/>
      <c r="H35" s="146">
        <v>13</v>
      </c>
      <c r="I35" s="147">
        <v>34</v>
      </c>
      <c r="J35" s="147">
        <v>159</v>
      </c>
      <c r="K35" s="147">
        <v>92</v>
      </c>
      <c r="L35" s="146"/>
      <c r="M35" s="147"/>
      <c r="N35" s="147"/>
      <c r="O35" s="147"/>
      <c r="P35" s="147"/>
    </row>
    <row r="36" spans="2:16" x14ac:dyDescent="0.25">
      <c r="B36" s="132" t="s">
        <v>84</v>
      </c>
      <c r="H36" s="141">
        <f t="shared" ref="H36:J36" si="16">SUM(H34:H35)</f>
        <v>1451</v>
      </c>
      <c r="I36" s="142">
        <f t="shared" si="16"/>
        <v>1506</v>
      </c>
      <c r="J36" s="142">
        <f t="shared" si="16"/>
        <v>1850</v>
      </c>
      <c r="K36" s="142">
        <f>SUM(K34:K35)</f>
        <v>1862</v>
      </c>
      <c r="L36" s="141">
        <f>Assumptions!K53</f>
        <v>1969.6939247717908</v>
      </c>
      <c r="M36" s="142">
        <f>Assumptions!L53</f>
        <v>2142.0905680361857</v>
      </c>
      <c r="N36" s="142">
        <f>Assumptions!M53</f>
        <v>2307.3690616916806</v>
      </c>
      <c r="O36" s="142">
        <f>Assumptions!N53</f>
        <v>2460.5805894806845</v>
      </c>
      <c r="P36" s="142">
        <f>Assumptions!O53</f>
        <v>2573.2923089498063</v>
      </c>
    </row>
    <row r="37" spans="2:16" x14ac:dyDescent="0.25">
      <c r="H37" s="141"/>
      <c r="I37" s="142"/>
      <c r="J37" s="142"/>
      <c r="K37" s="142"/>
      <c r="L37" s="141"/>
      <c r="M37" s="142"/>
      <c r="N37" s="142"/>
      <c r="O37" s="142"/>
      <c r="P37" s="142"/>
    </row>
    <row r="38" spans="2:16" x14ac:dyDescent="0.25">
      <c r="B38" s="132" t="s">
        <v>30</v>
      </c>
      <c r="H38" s="141">
        <f>Data!B13</f>
        <v>2000</v>
      </c>
      <c r="I38" s="142">
        <f>Data!C13</f>
        <v>-262</v>
      </c>
      <c r="J38" s="142">
        <f>Data!D13</f>
        <v>570</v>
      </c>
      <c r="K38" s="142">
        <f>Data!E13</f>
        <v>1992</v>
      </c>
      <c r="L38" s="141"/>
      <c r="M38" s="142"/>
      <c r="N38" s="142"/>
      <c r="O38" s="142"/>
      <c r="P38" s="142"/>
    </row>
    <row r="39" spans="2:16" x14ac:dyDescent="0.25">
      <c r="B39" s="145" t="s">
        <v>76</v>
      </c>
      <c r="C39" s="145"/>
      <c r="D39" s="145"/>
      <c r="E39" s="145"/>
      <c r="F39" s="145"/>
      <c r="G39" s="145"/>
      <c r="H39" s="146">
        <f>-1666-84+117</f>
        <v>-1633</v>
      </c>
      <c r="I39" s="147">
        <f>96-294+443</f>
        <v>245</v>
      </c>
      <c r="J39" s="147">
        <f>-855+39+108</f>
        <v>-708</v>
      </c>
      <c r="K39" s="147">
        <f>34-1741-206</f>
        <v>-1913</v>
      </c>
      <c r="L39" s="146"/>
      <c r="M39" s="147"/>
      <c r="N39" s="147"/>
      <c r="O39" s="147"/>
      <c r="P39" s="147"/>
    </row>
    <row r="40" spans="2:16" x14ac:dyDescent="0.25">
      <c r="B40" s="132" t="s">
        <v>85</v>
      </c>
      <c r="H40" s="141">
        <f t="shared" ref="H40:J40" si="17">SUM(H38:H39)</f>
        <v>367</v>
      </c>
      <c r="I40" s="142">
        <f t="shared" si="17"/>
        <v>-17</v>
      </c>
      <c r="J40" s="142">
        <f t="shared" si="17"/>
        <v>-138</v>
      </c>
      <c r="K40" s="142">
        <f>SUM(K38:K39)</f>
        <v>79</v>
      </c>
      <c r="L40" s="141">
        <f>Assumptions!K56</f>
        <v>100.21029096582967</v>
      </c>
      <c r="M40" s="142">
        <f>Assumptions!L56</f>
        <v>108.98115509136072</v>
      </c>
      <c r="N40" s="142">
        <f>Assumptions!M56</f>
        <v>117.3898757211561</v>
      </c>
      <c r="O40" s="142">
        <f>Assumptions!N56</f>
        <v>125.18467652038902</v>
      </c>
      <c r="P40" s="142">
        <f>Assumptions!O56</f>
        <v>130.91900613435089</v>
      </c>
    </row>
    <row r="41" spans="2:16" x14ac:dyDescent="0.25">
      <c r="B41" s="148" t="s">
        <v>31</v>
      </c>
      <c r="C41" s="148"/>
      <c r="D41" s="148"/>
      <c r="E41" s="148"/>
      <c r="F41" s="148"/>
      <c r="G41" s="148"/>
      <c r="H41" s="149">
        <f>H27+H29-H32+H36+H40</f>
        <v>12427</v>
      </c>
      <c r="I41" s="150">
        <f t="shared" ref="I41:J41" si="18">I27+I29-I32+I36+I40</f>
        <v>13377</v>
      </c>
      <c r="J41" s="150">
        <f t="shared" si="18"/>
        <v>14403</v>
      </c>
      <c r="K41" s="150">
        <f>K27+K29-K32+K36+K40</f>
        <v>15333</v>
      </c>
      <c r="L41" s="149">
        <f>L27+L29-L32+L36+L40</f>
        <v>15592.680309331565</v>
      </c>
      <c r="M41" s="150">
        <f t="shared" ref="M41:P41" si="19">M27+M29-M32+M36+M40</f>
        <v>17071.574182587035</v>
      </c>
      <c r="N41" s="150">
        <f t="shared" si="19"/>
        <v>18491.532528734264</v>
      </c>
      <c r="O41" s="150">
        <f t="shared" si="19"/>
        <v>19829.163849538378</v>
      </c>
      <c r="P41" s="150">
        <f t="shared" si="19"/>
        <v>20846.131597374006</v>
      </c>
    </row>
    <row r="42" spans="2:16" x14ac:dyDescent="0.25">
      <c r="H42" s="141"/>
      <c r="I42" s="142"/>
      <c r="J42" s="142"/>
      <c r="K42" s="142"/>
      <c r="L42" s="141"/>
      <c r="M42" s="142"/>
      <c r="N42" s="142"/>
      <c r="O42" s="142"/>
      <c r="P42" s="142"/>
    </row>
    <row r="43" spans="2:16" x14ac:dyDescent="0.25">
      <c r="B43" s="132" t="s">
        <v>32</v>
      </c>
      <c r="H43" s="141">
        <f>Data!B15</f>
        <v>2621</v>
      </c>
      <c r="I43" s="142">
        <f>Data!C15</f>
        <v>2115</v>
      </c>
      <c r="J43" s="142">
        <f>Data!D15</f>
        <v>2249</v>
      </c>
      <c r="K43" s="142">
        <f>Data!E15</f>
        <v>2437</v>
      </c>
      <c r="L43" s="141"/>
      <c r="M43" s="142"/>
      <c r="N43" s="142"/>
      <c r="O43" s="142"/>
      <c r="P43" s="142"/>
    </row>
    <row r="44" spans="2:16" x14ac:dyDescent="0.25">
      <c r="B44" s="132" t="s">
        <v>86</v>
      </c>
      <c r="H44" s="141">
        <v>2308</v>
      </c>
      <c r="I44" s="142">
        <v>2545</v>
      </c>
      <c r="J44" s="142">
        <v>2737</v>
      </c>
      <c r="K44" s="142">
        <f>2852</f>
        <v>2852</v>
      </c>
      <c r="L44" s="141">
        <f>Assumptions!K59</f>
        <v>2931.4646545099504</v>
      </c>
      <c r="M44" s="142">
        <f>Assumptions!L59</f>
        <v>3209.5005682344959</v>
      </c>
      <c r="N44" s="142">
        <f>Assumptions!M59</f>
        <v>3476.4564488162255</v>
      </c>
      <c r="O44" s="142">
        <f>Assumptions!N59</f>
        <v>3727.9346334459738</v>
      </c>
      <c r="P44" s="142">
        <f>Assumptions!O59</f>
        <v>3919.1272282029254</v>
      </c>
    </row>
    <row r="45" spans="2:16" x14ac:dyDescent="0.25">
      <c r="B45" s="148" t="s">
        <v>373</v>
      </c>
      <c r="C45" s="148"/>
      <c r="D45" s="148"/>
      <c r="E45" s="148"/>
      <c r="F45" s="148"/>
      <c r="G45" s="148"/>
      <c r="H45" s="149">
        <f>H41-H44</f>
        <v>10119</v>
      </c>
      <c r="I45" s="150">
        <f t="shared" ref="I45:K45" si="20">I41-I44</f>
        <v>10832</v>
      </c>
      <c r="J45" s="150">
        <f t="shared" si="20"/>
        <v>11666</v>
      </c>
      <c r="K45" s="150">
        <f t="shared" si="20"/>
        <v>12481</v>
      </c>
      <c r="L45" s="149">
        <f t="shared" ref="L45" si="21">L41-L44</f>
        <v>12661.215654821615</v>
      </c>
      <c r="M45" s="150">
        <f t="shared" ref="M45" si="22">M41-M44</f>
        <v>13862.073614352539</v>
      </c>
      <c r="N45" s="150">
        <f t="shared" ref="N45" si="23">N41-N44</f>
        <v>15015.076079918039</v>
      </c>
      <c r="O45" s="150">
        <f t="shared" ref="O45" si="24">O41-O44</f>
        <v>16101.229216092404</v>
      </c>
      <c r="P45" s="150">
        <f t="shared" ref="P45" si="25">P41-P44</f>
        <v>16927.004369171082</v>
      </c>
    </row>
    <row r="46" spans="2:16" x14ac:dyDescent="0.25">
      <c r="H46" s="141"/>
      <c r="I46" s="142"/>
      <c r="J46" s="142"/>
      <c r="K46" s="142"/>
      <c r="L46" s="141"/>
      <c r="M46" s="142"/>
      <c r="N46" s="142"/>
      <c r="O46" s="142"/>
      <c r="P46" s="142"/>
    </row>
    <row r="47" spans="2:16" x14ac:dyDescent="0.25">
      <c r="B47" s="132" t="s">
        <v>34</v>
      </c>
      <c r="H47" s="141">
        <f>Data!B17</f>
        <v>33</v>
      </c>
      <c r="I47" s="142">
        <f>Data!C17</f>
        <v>29</v>
      </c>
      <c r="J47" s="142">
        <f>Data!D17</f>
        <v>-11</v>
      </c>
      <c r="K47" s="142">
        <f>Data!E17</f>
        <v>18</v>
      </c>
      <c r="L47" s="141">
        <f>Assumptions!K62</f>
        <v>17.25</v>
      </c>
      <c r="M47" s="142">
        <f>Assumptions!L62</f>
        <v>13.3125</v>
      </c>
      <c r="N47" s="142">
        <f>Assumptions!M62</f>
        <v>9.390625</v>
      </c>
      <c r="O47" s="142">
        <f>Assumptions!N62</f>
        <v>14.48828125</v>
      </c>
      <c r="P47" s="142">
        <f>Assumptions!O62</f>
        <v>13.6103515625</v>
      </c>
    </row>
    <row r="48" spans="2:16" ht="13.8" thickBot="1" x14ac:dyDescent="0.3">
      <c r="B48" s="151" t="s">
        <v>36</v>
      </c>
      <c r="C48" s="151"/>
      <c r="D48" s="151"/>
      <c r="E48" s="151"/>
      <c r="F48" s="151"/>
      <c r="G48" s="151"/>
      <c r="H48" s="152">
        <f>H45-H47</f>
        <v>10086</v>
      </c>
      <c r="I48" s="153">
        <f t="shared" ref="I48:K48" si="26">I45-I47</f>
        <v>10803</v>
      </c>
      <c r="J48" s="153">
        <f t="shared" si="26"/>
        <v>11677</v>
      </c>
      <c r="K48" s="153">
        <f t="shared" si="26"/>
        <v>12463</v>
      </c>
      <c r="L48" s="152">
        <f t="shared" ref="L48" si="27">L45-L47</f>
        <v>12643.965654821615</v>
      </c>
      <c r="M48" s="153">
        <f t="shared" ref="M48" si="28">M45-M47</f>
        <v>13848.761114352539</v>
      </c>
      <c r="N48" s="153">
        <f t="shared" ref="N48" si="29">N45-N47</f>
        <v>15005.685454918039</v>
      </c>
      <c r="O48" s="153">
        <f t="shared" ref="O48" si="30">O45-O47</f>
        <v>16086.740934842404</v>
      </c>
      <c r="P48" s="153">
        <f t="shared" ref="P48" si="31">P45-P47</f>
        <v>16913.394017608582</v>
      </c>
    </row>
    <row r="49" spans="2:16" x14ac:dyDescent="0.25">
      <c r="H49" s="141"/>
      <c r="I49" s="142"/>
      <c r="J49" s="142"/>
      <c r="K49" s="142"/>
      <c r="L49" s="141"/>
      <c r="M49" s="142"/>
      <c r="N49" s="142"/>
      <c r="O49" s="142"/>
      <c r="P49" s="142"/>
    </row>
    <row r="50" spans="2:16" x14ac:dyDescent="0.25">
      <c r="B50" s="154" t="s">
        <v>38</v>
      </c>
      <c r="C50" s="154"/>
      <c r="D50" s="154"/>
      <c r="E50" s="154"/>
      <c r="F50" s="154"/>
      <c r="G50" s="154"/>
      <c r="H50" s="155">
        <f>H48/H51</f>
        <v>2.3239631336405528</v>
      </c>
      <c r="I50" s="156">
        <f t="shared" ref="I50:K50" si="32">I48/I51</f>
        <v>2.4834482758620688</v>
      </c>
      <c r="J50" s="156">
        <f t="shared" si="32"/>
        <v>2.6911730813551511</v>
      </c>
      <c r="K50" s="156">
        <f t="shared" si="32"/>
        <v>2.8849537037037036</v>
      </c>
      <c r="L50" s="155">
        <f t="shared" ref="L50" si="33">L48/L51</f>
        <v>2.9268439015790775</v>
      </c>
      <c r="M50" s="156">
        <f t="shared" ref="M50" si="34">M48/M51</f>
        <v>3.2057317394334581</v>
      </c>
      <c r="N50" s="156">
        <f t="shared" ref="N50" si="35">N48/N51</f>
        <v>3.4735382997495461</v>
      </c>
      <c r="O50" s="156">
        <f t="shared" ref="O50" si="36">O48/O51</f>
        <v>3.723782623806112</v>
      </c>
      <c r="P50" s="156">
        <f t="shared" ref="P50" si="37">P48/P51</f>
        <v>3.9151375040760605</v>
      </c>
    </row>
    <row r="51" spans="2:16" x14ac:dyDescent="0.25">
      <c r="B51" s="132" t="s">
        <v>39</v>
      </c>
      <c r="H51" s="141">
        <f>Data!B23</f>
        <v>4340</v>
      </c>
      <c r="I51" s="142">
        <f>Data!C23</f>
        <v>4350</v>
      </c>
      <c r="J51" s="142">
        <f>Data!D23</f>
        <v>4339</v>
      </c>
      <c r="K51" s="142">
        <f>Data!E23</f>
        <v>4320</v>
      </c>
      <c r="L51" s="141">
        <f>K51</f>
        <v>4320</v>
      </c>
      <c r="M51" s="142">
        <f t="shared" ref="M51:P51" si="38">L51</f>
        <v>4320</v>
      </c>
      <c r="N51" s="142">
        <f t="shared" si="38"/>
        <v>4320</v>
      </c>
      <c r="O51" s="142">
        <f t="shared" si="38"/>
        <v>4320</v>
      </c>
      <c r="P51" s="142">
        <f t="shared" si="38"/>
        <v>4320</v>
      </c>
    </row>
    <row r="52" spans="2:16" x14ac:dyDescent="0.25">
      <c r="H52" s="141"/>
      <c r="I52" s="142"/>
      <c r="J52" s="142"/>
      <c r="K52" s="142"/>
      <c r="L52" s="141"/>
      <c r="M52" s="142"/>
      <c r="N52" s="142"/>
      <c r="O52" s="142"/>
      <c r="P52" s="142"/>
    </row>
    <row r="53" spans="2:16" x14ac:dyDescent="0.25">
      <c r="B53" s="154" t="s">
        <v>40</v>
      </c>
      <c r="C53" s="154"/>
      <c r="D53" s="154"/>
      <c r="E53" s="154"/>
      <c r="F53" s="154"/>
      <c r="G53" s="154"/>
      <c r="H53" s="155">
        <f>Assumptions!G43/Historicals!H51</f>
        <v>1.6799539170506912</v>
      </c>
      <c r="I53" s="156">
        <f>Assumptions!H43/Historicals!I51</f>
        <v>1.76</v>
      </c>
      <c r="J53" s="156">
        <f>Assumptions!I43/Historicals!J51</f>
        <v>1.8400553122839365</v>
      </c>
      <c r="K53" s="156">
        <f>Assumptions!J43/Historicals!K51</f>
        <v>1.9349537037037037</v>
      </c>
      <c r="L53" s="155">
        <f>Assumptions!K43/Historicals!L51</f>
        <v>1.9801978909566569</v>
      </c>
      <c r="M53" s="156">
        <f>Assumptions!L43/Historicals!M51</f>
        <v>2.187665624099425</v>
      </c>
      <c r="N53" s="156">
        <f>Assumptions!M43/Historicals!N51</f>
        <v>2.390774287695546</v>
      </c>
      <c r="O53" s="156">
        <f>Assumptions!N43/Historicals!O51</f>
        <v>2.5848304085016909</v>
      </c>
      <c r="P53" s="156">
        <f>Assumptions!O43/Historicals!P51</f>
        <v>2.7405962528532424</v>
      </c>
    </row>
    <row r="54" spans="2:16" x14ac:dyDescent="0.25">
      <c r="B54" s="145" t="s">
        <v>66</v>
      </c>
      <c r="C54" s="145"/>
      <c r="D54" s="145"/>
      <c r="E54" s="145"/>
      <c r="F54" s="145"/>
      <c r="G54" s="145"/>
      <c r="H54" s="157">
        <f>Assumptions!G44</f>
        <v>0.72288320444180054</v>
      </c>
      <c r="I54" s="158">
        <f>Assumptions!H44</f>
        <v>0.70869202999166903</v>
      </c>
      <c r="J54" s="158">
        <f>Assumptions!I44</f>
        <v>0.68373726128286372</v>
      </c>
      <c r="K54" s="158">
        <f>Assumptions!J44</f>
        <v>0.67070528765144832</v>
      </c>
      <c r="L54" s="157">
        <f>Assumptions!K44</f>
        <v>0.67656423012115863</v>
      </c>
      <c r="M54" s="158">
        <f>Assumptions!L44</f>
        <v>0.68242317259086893</v>
      </c>
      <c r="N54" s="158">
        <f>Assumptions!M44</f>
        <v>0.68828211506057924</v>
      </c>
      <c r="O54" s="158">
        <f>Assumptions!N44</f>
        <v>0.69414105753028954</v>
      </c>
      <c r="P54" s="158">
        <f>Assumptions!O44</f>
        <v>0.7</v>
      </c>
    </row>
    <row r="55" spans="2:16" x14ac:dyDescent="0.25">
      <c r="H55" s="143"/>
      <c r="I55" s="144"/>
      <c r="J55" s="144"/>
      <c r="K55" s="144"/>
      <c r="L55" s="143"/>
      <c r="M55" s="144"/>
      <c r="N55" s="144"/>
      <c r="O55" s="144"/>
      <c r="P55" s="144"/>
    </row>
    <row r="56" spans="2:16" x14ac:dyDescent="0.25">
      <c r="B56" s="159" t="s">
        <v>484</v>
      </c>
      <c r="H56" s="143"/>
      <c r="I56" s="144"/>
      <c r="J56" s="144"/>
      <c r="K56" s="144"/>
      <c r="L56" s="143"/>
      <c r="M56" s="144"/>
      <c r="N56" s="144"/>
      <c r="O56" s="144"/>
      <c r="P56" s="144"/>
    </row>
    <row r="57" spans="2:16" x14ac:dyDescent="0.25">
      <c r="B57" s="132" t="s">
        <v>67</v>
      </c>
      <c r="H57" s="160">
        <f>H17/H11</f>
        <v>0.6013761705209788</v>
      </c>
      <c r="I57" s="161">
        <f t="shared" ref="I57:P57" si="39">I17/I11</f>
        <v>0.58609394601124376</v>
      </c>
      <c r="J57" s="161">
        <f t="shared" si="39"/>
        <v>0.59669316791892368</v>
      </c>
      <c r="K57" s="161">
        <f t="shared" si="39"/>
        <v>0.61076401475574127</v>
      </c>
      <c r="L57" s="160">
        <f t="shared" si="39"/>
        <v>0.59889602593291413</v>
      </c>
      <c r="M57" s="161">
        <f t="shared" si="39"/>
        <v>0.59889602593291413</v>
      </c>
      <c r="N57" s="161">
        <f t="shared" si="39"/>
        <v>0.59889602593291424</v>
      </c>
      <c r="O57" s="161">
        <f t="shared" si="39"/>
        <v>0.59889602593291413</v>
      </c>
      <c r="P57" s="161">
        <f t="shared" si="39"/>
        <v>0.59889602593291424</v>
      </c>
    </row>
    <row r="58" spans="2:16" x14ac:dyDescent="0.25">
      <c r="B58" s="132" t="s">
        <v>68</v>
      </c>
      <c r="H58" s="160">
        <f>H27/H11</f>
        <v>0.28736613378860781</v>
      </c>
      <c r="I58" s="161">
        <f t="shared" ref="I58:P58" si="40">I27/I11</f>
        <v>0.28678622868559217</v>
      </c>
      <c r="J58" s="161">
        <f t="shared" si="40"/>
        <v>0.29128079678490304</v>
      </c>
      <c r="K58" s="161">
        <f t="shared" si="40"/>
        <v>0.30033904087681512</v>
      </c>
      <c r="L58" s="160">
        <f t="shared" si="40"/>
        <v>0.29174846067062205</v>
      </c>
      <c r="M58" s="161">
        <f t="shared" si="40"/>
        <v>0.29174846067062199</v>
      </c>
      <c r="N58" s="161">
        <f t="shared" si="40"/>
        <v>0.2917484606706221</v>
      </c>
      <c r="O58" s="161">
        <f t="shared" si="40"/>
        <v>0.29174846067062193</v>
      </c>
      <c r="P58" s="161">
        <f t="shared" si="40"/>
        <v>0.2917484606706221</v>
      </c>
    </row>
    <row r="59" spans="2:16" x14ac:dyDescent="0.25">
      <c r="B59" s="132" t="s">
        <v>69</v>
      </c>
      <c r="H59" s="160">
        <f>H44/H41</f>
        <v>0.18572463185000401</v>
      </c>
      <c r="I59" s="161">
        <f t="shared" ref="I59:P59" si="41">I44/I41</f>
        <v>0.19025192494580251</v>
      </c>
      <c r="J59" s="161">
        <f t="shared" si="41"/>
        <v>0.19002985489134208</v>
      </c>
      <c r="K59" s="161">
        <f t="shared" si="41"/>
        <v>0.18600404356616448</v>
      </c>
      <c r="L59" s="160">
        <f t="shared" si="41"/>
        <v>0.18800261381332828</v>
      </c>
      <c r="M59" s="161">
        <f t="shared" si="41"/>
        <v>0.18800261381332828</v>
      </c>
      <c r="N59" s="161">
        <f t="shared" si="41"/>
        <v>0.18800261381332828</v>
      </c>
      <c r="O59" s="161">
        <f t="shared" si="41"/>
        <v>0.18800261381332828</v>
      </c>
      <c r="P59" s="161">
        <f t="shared" si="41"/>
        <v>0.18800261381332828</v>
      </c>
    </row>
    <row r="60" spans="2:16" x14ac:dyDescent="0.25">
      <c r="B60" s="132" t="s">
        <v>70</v>
      </c>
      <c r="H60" s="160">
        <f>H48/H11</f>
        <v>0.26090330591339439</v>
      </c>
      <c r="I60" s="161">
        <f t="shared" ref="I60:P60" si="42">I48/I11</f>
        <v>0.25096408493239791</v>
      </c>
      <c r="J60" s="161">
        <f t="shared" si="42"/>
        <v>0.25504543071815483</v>
      </c>
      <c r="K60" s="161">
        <f t="shared" si="42"/>
        <v>0.26575260677655288</v>
      </c>
      <c r="L60" s="160">
        <f t="shared" si="42"/>
        <v>0.24482469871047252</v>
      </c>
      <c r="M60" s="161">
        <f t="shared" si="42"/>
        <v>0.24657200214122826</v>
      </c>
      <c r="N60" s="161">
        <f t="shared" si="42"/>
        <v>0.24803298515627825</v>
      </c>
      <c r="O60" s="161">
        <f t="shared" si="42"/>
        <v>0.24934527378685595</v>
      </c>
      <c r="P60" s="161">
        <f t="shared" si="42"/>
        <v>0.25067574310386859</v>
      </c>
    </row>
    <row r="61" spans="2:16" x14ac:dyDescent="0.25">
      <c r="H61" s="162"/>
      <c r="I61" s="163"/>
      <c r="J61" s="163"/>
      <c r="K61" s="163"/>
      <c r="L61" s="162"/>
      <c r="M61" s="163"/>
      <c r="N61" s="163"/>
      <c r="O61" s="163"/>
      <c r="P61" s="163"/>
    </row>
    <row r="62" spans="2:16" x14ac:dyDescent="0.25">
      <c r="B62" s="132" t="s">
        <v>71</v>
      </c>
      <c r="H62" s="164">
        <f>H63+H27</f>
        <v>12561</v>
      </c>
      <c r="I62" s="165">
        <f t="shared" ref="I62:J62" si="43">I63+I27</f>
        <v>13605</v>
      </c>
      <c r="J62" s="165">
        <f t="shared" si="43"/>
        <v>14464</v>
      </c>
      <c r="K62" s="165">
        <f>K63+K27</f>
        <v>15160</v>
      </c>
      <c r="L62" s="164">
        <f>L63+L27</f>
        <v>16254.620689315387</v>
      </c>
      <c r="M62" s="165">
        <f t="shared" ref="M62" si="44">M63+M27</f>
        <v>17660.573291246303</v>
      </c>
      <c r="N62" s="165">
        <f t="shared" ref="N62" si="45">N63+N27</f>
        <v>19019.979516822361</v>
      </c>
      <c r="O62" s="165">
        <f t="shared" ref="O62" si="46">O63+O27</f>
        <v>20272.135633325441</v>
      </c>
      <c r="P62" s="165">
        <f t="shared" ref="P62" si="47">P63+P27</f>
        <v>21191.183126032385</v>
      </c>
    </row>
    <row r="63" spans="2:16" x14ac:dyDescent="0.25">
      <c r="B63" s="132" t="s">
        <v>89</v>
      </c>
      <c r="H63" s="166">
        <f>Data!D75</f>
        <v>1452</v>
      </c>
      <c r="I63" s="167">
        <f>Data!C32</f>
        <v>1260</v>
      </c>
      <c r="J63" s="167">
        <f>Data!D32</f>
        <v>1128</v>
      </c>
      <c r="K63" s="167">
        <f>Data!E32</f>
        <v>1075</v>
      </c>
      <c r="L63" s="168">
        <f>Schedule!L17</f>
        <v>1187.2784808038618</v>
      </c>
      <c r="M63" s="169">
        <f>Schedule!M17</f>
        <v>1274.468209480613</v>
      </c>
      <c r="N63" s="169">
        <f>Schedule!N17</f>
        <v>1369.5624562789583</v>
      </c>
      <c r="O63" s="169">
        <f>Schedule!O17</f>
        <v>1449.7138818739161</v>
      </c>
      <c r="P63" s="169">
        <f>Schedule!P17</f>
        <v>1506.5634326606237</v>
      </c>
    </row>
    <row r="64" spans="2:16" x14ac:dyDescent="0.25">
      <c r="B64" s="132" t="s">
        <v>193</v>
      </c>
      <c r="H64" s="160">
        <f>H62/H11</f>
        <v>0.32492627657923329</v>
      </c>
      <c r="I64" s="161">
        <f t="shared" ref="I64:K64" si="48">I62/I11</f>
        <v>0.31605724109092598</v>
      </c>
      <c r="J64" s="161">
        <f t="shared" si="48"/>
        <v>0.31591822470732134</v>
      </c>
      <c r="K64" s="161">
        <f t="shared" si="48"/>
        <v>0.3232616158816129</v>
      </c>
      <c r="L64" s="160">
        <f>K64</f>
        <v>0.3232616158816129</v>
      </c>
      <c r="M64" s="161">
        <f t="shared" ref="M64:P64" si="49">L64</f>
        <v>0.3232616158816129</v>
      </c>
      <c r="N64" s="161">
        <f t="shared" si="49"/>
        <v>0.3232616158816129</v>
      </c>
      <c r="O64" s="161">
        <f t="shared" si="49"/>
        <v>0.3232616158816129</v>
      </c>
      <c r="P64" s="161">
        <f t="shared" si="49"/>
        <v>0.3232616158816129</v>
      </c>
    </row>
    <row r="65" spans="1:17" x14ac:dyDescent="0.25">
      <c r="H65" s="162"/>
      <c r="I65" s="163"/>
      <c r="J65" s="163"/>
      <c r="K65" s="163"/>
      <c r="L65" s="162"/>
      <c r="M65" s="163"/>
      <c r="N65" s="163"/>
      <c r="O65" s="163"/>
      <c r="P65" s="163"/>
    </row>
    <row r="66" spans="1:17" x14ac:dyDescent="0.25">
      <c r="B66" s="132" t="s">
        <v>88</v>
      </c>
      <c r="H66" s="162"/>
      <c r="I66" s="161">
        <f>I50/H50-1</f>
        <v>6.8626364985264754E-2</v>
      </c>
      <c r="J66" s="161">
        <f t="shared" ref="J66:P66" si="50">J50/I50-1</f>
        <v>8.3643701184384689E-2</v>
      </c>
      <c r="K66" s="161">
        <f t="shared" si="50"/>
        <v>7.2006004998746986E-2</v>
      </c>
      <c r="L66" s="160">
        <f t="shared" si="50"/>
        <v>1.4520232273258049E-2</v>
      </c>
      <c r="M66" s="161">
        <f t="shared" si="50"/>
        <v>9.5286201530568881E-2</v>
      </c>
      <c r="N66" s="161">
        <f t="shared" si="50"/>
        <v>8.3539916026603267E-2</v>
      </c>
      <c r="O66" s="161">
        <f t="shared" si="50"/>
        <v>7.2043058824084127E-2</v>
      </c>
      <c r="P66" s="161">
        <f t="shared" si="50"/>
        <v>5.138723164091763E-2</v>
      </c>
    </row>
    <row r="69" spans="1:17" x14ac:dyDescent="0.25">
      <c r="A69" s="132" t="s">
        <v>483</v>
      </c>
      <c r="B69" s="136" t="s">
        <v>293</v>
      </c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</row>
    <row r="70" spans="1:17" x14ac:dyDescent="0.25">
      <c r="B70" s="154" t="s">
        <v>375</v>
      </c>
    </row>
    <row r="71" spans="1:17" x14ac:dyDescent="0.25">
      <c r="B71" s="154" t="s">
        <v>202</v>
      </c>
    </row>
    <row r="72" spans="1:17" x14ac:dyDescent="0.25">
      <c r="B72" s="132" t="s">
        <v>203</v>
      </c>
      <c r="H72" s="170">
        <v>9684</v>
      </c>
      <c r="I72" s="171">
        <v>9519</v>
      </c>
      <c r="J72" s="171">
        <v>9366</v>
      </c>
      <c r="K72" s="171">
        <v>10828</v>
      </c>
      <c r="L72" s="172">
        <f>L147</f>
        <v>8399.0759433040421</v>
      </c>
      <c r="M72" s="173">
        <f t="shared" ref="M72:P72" si="51">M147</f>
        <v>13489.718856991973</v>
      </c>
      <c r="N72" s="173">
        <f t="shared" si="51"/>
        <v>18409.62005026135</v>
      </c>
      <c r="O72" s="173">
        <f t="shared" si="51"/>
        <v>23046.582262905016</v>
      </c>
      <c r="P72" s="173">
        <f t="shared" si="51"/>
        <v>27104.991329394616</v>
      </c>
      <c r="Q72" s="132" t="s">
        <v>377</v>
      </c>
    </row>
    <row r="73" spans="1:17" x14ac:dyDescent="0.25">
      <c r="B73" s="132" t="s">
        <v>204</v>
      </c>
      <c r="H73" s="170">
        <v>1242</v>
      </c>
      <c r="I73" s="171">
        <v>1043</v>
      </c>
      <c r="J73" s="171">
        <v>2997</v>
      </c>
      <c r="K73" s="171">
        <v>2020</v>
      </c>
      <c r="L73" s="170">
        <f>K73</f>
        <v>2020</v>
      </c>
      <c r="M73" s="171">
        <f t="shared" ref="M73:P73" si="52">L73</f>
        <v>2020</v>
      </c>
      <c r="N73" s="171">
        <f t="shared" si="52"/>
        <v>2020</v>
      </c>
      <c r="O73" s="171">
        <f t="shared" si="52"/>
        <v>2020</v>
      </c>
      <c r="P73" s="171">
        <f t="shared" si="52"/>
        <v>2020</v>
      </c>
    </row>
    <row r="74" spans="1:17" x14ac:dyDescent="0.25">
      <c r="B74" s="148" t="s">
        <v>207</v>
      </c>
      <c r="C74" s="174"/>
      <c r="D74" s="174"/>
      <c r="E74" s="174"/>
      <c r="F74" s="174"/>
      <c r="G74" s="174"/>
      <c r="H74" s="175">
        <v>10926</v>
      </c>
      <c r="I74" s="176">
        <v>10562</v>
      </c>
      <c r="J74" s="176">
        <v>12363</v>
      </c>
      <c r="K74" s="176">
        <v>12848</v>
      </c>
      <c r="L74" s="175">
        <f>SUM(L72:L73)</f>
        <v>10419.075943304042</v>
      </c>
      <c r="M74" s="176">
        <f t="shared" ref="M74:P74" si="53">SUM(M72:M73)</f>
        <v>15509.718856991973</v>
      </c>
      <c r="N74" s="176">
        <f t="shared" si="53"/>
        <v>20429.62005026135</v>
      </c>
      <c r="O74" s="176">
        <f t="shared" si="53"/>
        <v>25066.582262905016</v>
      </c>
      <c r="P74" s="176">
        <f t="shared" si="53"/>
        <v>29124.991329394616</v>
      </c>
    </row>
    <row r="75" spans="1:17" x14ac:dyDescent="0.25">
      <c r="B75" s="154"/>
      <c r="H75" s="170"/>
      <c r="I75" s="171"/>
      <c r="J75" s="171"/>
      <c r="K75" s="171"/>
      <c r="L75" s="170"/>
      <c r="M75" s="171"/>
      <c r="N75" s="171"/>
      <c r="O75" s="171"/>
      <c r="P75" s="171"/>
    </row>
    <row r="76" spans="1:17" x14ac:dyDescent="0.25">
      <c r="B76" s="132" t="s">
        <v>210</v>
      </c>
      <c r="H76" s="170">
        <v>1699</v>
      </c>
      <c r="I76" s="171">
        <v>1069</v>
      </c>
      <c r="J76" s="171">
        <v>1300</v>
      </c>
      <c r="K76" s="171">
        <v>1723</v>
      </c>
      <c r="L76" s="170">
        <f>K76</f>
        <v>1723</v>
      </c>
      <c r="M76" s="171">
        <f t="shared" ref="M76:P76" si="54">L76</f>
        <v>1723</v>
      </c>
      <c r="N76" s="171">
        <f t="shared" si="54"/>
        <v>1723</v>
      </c>
      <c r="O76" s="171">
        <f t="shared" si="54"/>
        <v>1723</v>
      </c>
      <c r="P76" s="171">
        <f t="shared" si="54"/>
        <v>1723</v>
      </c>
    </row>
    <row r="77" spans="1:17" x14ac:dyDescent="0.25">
      <c r="B77" s="132" t="s">
        <v>371</v>
      </c>
      <c r="H77" s="170">
        <v>3512</v>
      </c>
      <c r="I77" s="171">
        <v>3487</v>
      </c>
      <c r="J77" s="171">
        <v>3410</v>
      </c>
      <c r="K77" s="171">
        <v>3569</v>
      </c>
      <c r="L77" s="172">
        <f>Schedule!L38</f>
        <v>3842.7861753052789</v>
      </c>
      <c r="M77" s="173">
        <f>Schedule!M38</f>
        <v>4179.1244403898954</v>
      </c>
      <c r="N77" s="173">
        <f>Schedule!N38</f>
        <v>4501.5755088056158</v>
      </c>
      <c r="O77" s="173">
        <f>Schedule!O38</f>
        <v>4800.4844577953427</v>
      </c>
      <c r="P77" s="173">
        <f>Schedule!P38</f>
        <v>5020.3800628554072</v>
      </c>
      <c r="Q77" s="132" t="s">
        <v>378</v>
      </c>
    </row>
    <row r="78" spans="1:17" x14ac:dyDescent="0.25">
      <c r="B78" s="132" t="s">
        <v>216</v>
      </c>
      <c r="H78" s="170">
        <v>3414</v>
      </c>
      <c r="I78" s="171">
        <v>4233</v>
      </c>
      <c r="J78" s="171">
        <v>4424</v>
      </c>
      <c r="K78" s="171">
        <v>4728</v>
      </c>
      <c r="L78" s="172">
        <f>Schedule!L39</f>
        <v>5192.9365150388312</v>
      </c>
      <c r="M78" s="173">
        <f>Schedule!M39</f>
        <v>5647.4461282425791</v>
      </c>
      <c r="N78" s="173">
        <f>Schedule!N39</f>
        <v>6083.1893237005615</v>
      </c>
      <c r="O78" s="173">
        <f>Schedule!O39</f>
        <v>6487.1189531594055</v>
      </c>
      <c r="P78" s="173">
        <f>Schedule!P39</f>
        <v>6784.2741590230917</v>
      </c>
      <c r="Q78" s="132" t="s">
        <v>378</v>
      </c>
    </row>
    <row r="79" spans="1:17" x14ac:dyDescent="0.25">
      <c r="B79" s="132" t="s">
        <v>219</v>
      </c>
      <c r="H79" s="170">
        <v>2994</v>
      </c>
      <c r="I79" s="171">
        <v>3240</v>
      </c>
      <c r="J79" s="171">
        <v>5235</v>
      </c>
      <c r="K79" s="171">
        <v>3129</v>
      </c>
      <c r="L79" s="172">
        <f>Schedule!L45</f>
        <v>3488.0962969446405</v>
      </c>
      <c r="M79" s="173">
        <f>Schedule!M45</f>
        <v>3793.3904776361369</v>
      </c>
      <c r="N79" s="173">
        <f>Schedule!N45</f>
        <v>4086.0792524929284</v>
      </c>
      <c r="O79" s="173">
        <f>Schedule!O45</f>
        <v>4357.3988499232619</v>
      </c>
      <c r="P79" s="173">
        <f>Schedule!P45</f>
        <v>4556.9980497573461</v>
      </c>
      <c r="Q79" s="132" t="s">
        <v>378</v>
      </c>
    </row>
    <row r="80" spans="1:17" x14ac:dyDescent="0.25">
      <c r="B80" s="148" t="s">
        <v>222</v>
      </c>
      <c r="C80" s="174"/>
      <c r="D80" s="174"/>
      <c r="E80" s="174"/>
      <c r="F80" s="174"/>
      <c r="G80" s="174"/>
      <c r="H80" s="175">
        <v>22545</v>
      </c>
      <c r="I80" s="176">
        <v>22591</v>
      </c>
      <c r="J80" s="176">
        <v>26732</v>
      </c>
      <c r="K80" s="176">
        <v>25997</v>
      </c>
      <c r="L80" s="175">
        <f>SUM(L76:L79)</f>
        <v>14246.818987288751</v>
      </c>
      <c r="M80" s="176">
        <f t="shared" ref="M80:P80" si="55">SUM(M76:M79)</f>
        <v>15342.961046268611</v>
      </c>
      <c r="N80" s="176">
        <f t="shared" si="55"/>
        <v>16393.844084999106</v>
      </c>
      <c r="O80" s="176">
        <f t="shared" si="55"/>
        <v>17368.002260878009</v>
      </c>
      <c r="P80" s="176">
        <f t="shared" si="55"/>
        <v>18084.652271635845</v>
      </c>
    </row>
    <row r="81" spans="2:17" x14ac:dyDescent="0.25">
      <c r="H81" s="170"/>
      <c r="I81" s="171"/>
      <c r="J81" s="171"/>
      <c r="K81" s="171"/>
      <c r="L81" s="170"/>
      <c r="M81" s="171"/>
      <c r="N81" s="171"/>
      <c r="O81" s="171"/>
      <c r="P81" s="171"/>
    </row>
    <row r="82" spans="2:17" x14ac:dyDescent="0.25">
      <c r="B82" s="132" t="s">
        <v>225</v>
      </c>
      <c r="H82" s="170">
        <v>17598</v>
      </c>
      <c r="I82" s="171">
        <v>18264</v>
      </c>
      <c r="J82" s="171">
        <v>19671</v>
      </c>
      <c r="K82" s="171">
        <v>18087</v>
      </c>
      <c r="L82" s="170">
        <f>K82</f>
        <v>18087</v>
      </c>
      <c r="M82" s="171">
        <f t="shared" ref="M82:P82" si="56">L82</f>
        <v>18087</v>
      </c>
      <c r="N82" s="171">
        <f t="shared" si="56"/>
        <v>18087</v>
      </c>
      <c r="O82" s="171">
        <f t="shared" si="56"/>
        <v>18087</v>
      </c>
      <c r="P82" s="171">
        <f t="shared" si="56"/>
        <v>18087</v>
      </c>
    </row>
    <row r="83" spans="2:17" x14ac:dyDescent="0.25">
      <c r="B83" s="132" t="s">
        <v>302</v>
      </c>
      <c r="H83" s="170">
        <v>818</v>
      </c>
      <c r="I83" s="171">
        <v>501</v>
      </c>
      <c r="J83" s="171">
        <v>118</v>
      </c>
      <c r="K83" s="171">
        <v>44</v>
      </c>
      <c r="L83" s="170">
        <f>K83</f>
        <v>44</v>
      </c>
      <c r="M83" s="171">
        <f t="shared" ref="M83:P83" si="57">L83</f>
        <v>44</v>
      </c>
      <c r="N83" s="171">
        <f t="shared" si="57"/>
        <v>44</v>
      </c>
      <c r="O83" s="171">
        <f t="shared" si="57"/>
        <v>44</v>
      </c>
      <c r="P83" s="171">
        <f t="shared" si="57"/>
        <v>44</v>
      </c>
    </row>
    <row r="84" spans="2:17" x14ac:dyDescent="0.25">
      <c r="B84" s="132" t="s">
        <v>240</v>
      </c>
      <c r="H84" s="170">
        <v>6731</v>
      </c>
      <c r="I84" s="171">
        <v>6189</v>
      </c>
      <c r="J84" s="171">
        <v>7162</v>
      </c>
      <c r="K84" s="171">
        <v>12898</v>
      </c>
      <c r="L84" s="170">
        <f>K84</f>
        <v>12898</v>
      </c>
      <c r="M84" s="171">
        <f t="shared" ref="M84:P84" si="58">L84</f>
        <v>12898</v>
      </c>
      <c r="N84" s="171">
        <f t="shared" si="58"/>
        <v>12898</v>
      </c>
      <c r="O84" s="171">
        <f t="shared" si="58"/>
        <v>12898</v>
      </c>
      <c r="P84" s="171">
        <f t="shared" si="58"/>
        <v>12898</v>
      </c>
    </row>
    <row r="85" spans="2:17" x14ac:dyDescent="0.25">
      <c r="B85" s="132" t="s">
        <v>228</v>
      </c>
      <c r="H85" s="170">
        <v>2129</v>
      </c>
      <c r="I85" s="171">
        <v>1746</v>
      </c>
      <c r="J85" s="171">
        <v>1561</v>
      </c>
      <c r="K85" s="171">
        <v>1319</v>
      </c>
      <c r="L85" s="170">
        <f>K85</f>
        <v>1319</v>
      </c>
      <c r="M85" s="171">
        <f t="shared" ref="M85:P85" si="59">L85</f>
        <v>1319</v>
      </c>
      <c r="N85" s="171">
        <f t="shared" si="59"/>
        <v>1319</v>
      </c>
      <c r="O85" s="171">
        <f t="shared" si="59"/>
        <v>1319</v>
      </c>
      <c r="P85" s="171">
        <f t="shared" si="59"/>
        <v>1319</v>
      </c>
      <c r="Q85" s="145" t="s">
        <v>372</v>
      </c>
    </row>
    <row r="86" spans="2:17" x14ac:dyDescent="0.25">
      <c r="B86" s="132" t="s">
        <v>231</v>
      </c>
      <c r="H86" s="170">
        <v>9920</v>
      </c>
      <c r="I86" s="171">
        <v>9841</v>
      </c>
      <c r="J86" s="171">
        <v>9236</v>
      </c>
      <c r="K86" s="171">
        <v>10303</v>
      </c>
      <c r="L86" s="172">
        <f>Schedule!L14</f>
        <v>11886.133002661683</v>
      </c>
      <c r="M86" s="173">
        <f>Schedule!M14</f>
        <v>12630.793657767903</v>
      </c>
      <c r="N86" s="173">
        <f>Schedule!N14</f>
        <v>13198.725651462382</v>
      </c>
      <c r="O86" s="173">
        <f>Schedule!O14</f>
        <v>13540.116364220961</v>
      </c>
      <c r="P86" s="173">
        <f>Schedule!P14</f>
        <v>13352.185953410124</v>
      </c>
    </row>
    <row r="87" spans="2:17" x14ac:dyDescent="0.25">
      <c r="B87" s="132" t="s">
        <v>234</v>
      </c>
      <c r="H87" s="170">
        <v>14465</v>
      </c>
      <c r="I87" s="171">
        <v>14214</v>
      </c>
      <c r="J87" s="171">
        <v>14349</v>
      </c>
      <c r="K87" s="171">
        <v>13301</v>
      </c>
      <c r="L87" s="170">
        <f>K87</f>
        <v>13301</v>
      </c>
      <c r="M87" s="171">
        <f t="shared" ref="M87:P87" si="60">L87</f>
        <v>13301</v>
      </c>
      <c r="N87" s="171">
        <f t="shared" si="60"/>
        <v>13301</v>
      </c>
      <c r="O87" s="171">
        <f t="shared" si="60"/>
        <v>13301</v>
      </c>
      <c r="P87" s="171">
        <f t="shared" si="60"/>
        <v>13301</v>
      </c>
    </row>
    <row r="88" spans="2:17" x14ac:dyDescent="0.25">
      <c r="B88" s="132" t="s">
        <v>237</v>
      </c>
      <c r="H88" s="170">
        <v>19363</v>
      </c>
      <c r="I88" s="171">
        <v>18782</v>
      </c>
      <c r="J88" s="171">
        <v>18358</v>
      </c>
      <c r="K88" s="171">
        <v>18139</v>
      </c>
      <c r="L88" s="170">
        <f>K88</f>
        <v>18139</v>
      </c>
      <c r="M88" s="171">
        <f t="shared" ref="M88:P88" si="61">L88</f>
        <v>18139</v>
      </c>
      <c r="N88" s="171">
        <f t="shared" si="61"/>
        <v>18139</v>
      </c>
      <c r="O88" s="171">
        <f t="shared" si="61"/>
        <v>18139</v>
      </c>
      <c r="P88" s="171">
        <f t="shared" si="61"/>
        <v>18139</v>
      </c>
    </row>
    <row r="89" spans="2:17" x14ac:dyDescent="0.25">
      <c r="B89" s="132" t="s">
        <v>309</v>
      </c>
      <c r="H89" s="170">
        <v>785</v>
      </c>
      <c r="I89" s="171">
        <v>635</v>
      </c>
      <c r="J89" s="171">
        <v>516</v>
      </c>
      <c r="K89" s="171">
        <v>461</v>
      </c>
      <c r="L89" s="172">
        <f>Schedule!L24</f>
        <v>407</v>
      </c>
      <c r="M89" s="173">
        <f>Schedule!M24</f>
        <v>365</v>
      </c>
      <c r="N89" s="173">
        <f>Schedule!N24</f>
        <v>323</v>
      </c>
      <c r="O89" s="173">
        <f>Schedule!O24</f>
        <v>289</v>
      </c>
      <c r="P89" s="173">
        <f>Schedule!P24</f>
        <v>263</v>
      </c>
    </row>
    <row r="90" spans="2:17" x14ac:dyDescent="0.25">
      <c r="B90" s="148" t="s">
        <v>243</v>
      </c>
      <c r="C90" s="174"/>
      <c r="D90" s="174"/>
      <c r="E90" s="174"/>
      <c r="F90" s="174"/>
      <c r="G90" s="174"/>
      <c r="H90" s="175">
        <v>94354</v>
      </c>
      <c r="I90" s="176">
        <v>92763</v>
      </c>
      <c r="J90" s="176">
        <v>97703</v>
      </c>
      <c r="K90" s="176">
        <v>100549</v>
      </c>
      <c r="L90" s="175">
        <f>SUM(L82:L89)+L74+L80</f>
        <v>100747.02793325447</v>
      </c>
      <c r="M90" s="176">
        <f t="shared" ref="M90:P90" si="62">SUM(M82:M89)+M74+M80</f>
        <v>107636.47356102848</v>
      </c>
      <c r="N90" s="176">
        <f t="shared" si="62"/>
        <v>114133.18978672284</v>
      </c>
      <c r="O90" s="176">
        <f t="shared" si="62"/>
        <v>120051.70088800398</v>
      </c>
      <c r="P90" s="176">
        <f t="shared" si="62"/>
        <v>124612.82955444058</v>
      </c>
    </row>
    <row r="91" spans="2:17" x14ac:dyDescent="0.25">
      <c r="B91" s="154" t="s">
        <v>376</v>
      </c>
      <c r="H91" s="170"/>
      <c r="I91" s="171"/>
      <c r="J91" s="171"/>
      <c r="K91" s="171"/>
      <c r="L91" s="170"/>
      <c r="M91" s="171"/>
      <c r="N91" s="171"/>
      <c r="O91" s="171"/>
      <c r="P91" s="171"/>
    </row>
    <row r="92" spans="2:17" x14ac:dyDescent="0.25">
      <c r="B92" s="154" t="s">
        <v>247</v>
      </c>
      <c r="H92" s="170"/>
      <c r="I92" s="171"/>
      <c r="J92" s="171"/>
      <c r="K92" s="171"/>
      <c r="L92" s="170"/>
      <c r="M92" s="171"/>
      <c r="N92" s="171"/>
      <c r="O92" s="171"/>
      <c r="P92" s="171"/>
    </row>
    <row r="93" spans="2:17" x14ac:dyDescent="0.25">
      <c r="B93" s="132" t="s">
        <v>248</v>
      </c>
      <c r="H93" s="170">
        <v>14619</v>
      </c>
      <c r="I93" s="171">
        <v>15749</v>
      </c>
      <c r="J93" s="171">
        <v>15485</v>
      </c>
      <c r="K93" s="171">
        <v>21715</v>
      </c>
      <c r="L93" s="172">
        <f>Schedule!L49</f>
        <v>17371.884826618196</v>
      </c>
      <c r="M93" s="173">
        <f>Schedule!M49</f>
        <v>18892.351836045378</v>
      </c>
      <c r="N93" s="173">
        <f>Schedule!N49</f>
        <v>20350.039713329596</v>
      </c>
      <c r="O93" s="173">
        <f>Schedule!O49</f>
        <v>21701.301948231983</v>
      </c>
      <c r="P93" s="173">
        <f>Schedule!P49</f>
        <v>22695.372643482027</v>
      </c>
      <c r="Q93" s="132" t="s">
        <v>378</v>
      </c>
    </row>
    <row r="94" spans="2:17" x14ac:dyDescent="0.25">
      <c r="B94" s="132" t="s">
        <v>251</v>
      </c>
      <c r="H94" s="170">
        <v>3307</v>
      </c>
      <c r="I94" s="171">
        <v>2373</v>
      </c>
      <c r="J94" s="171">
        <v>4557</v>
      </c>
      <c r="K94" s="171">
        <v>1499</v>
      </c>
      <c r="L94" s="172">
        <f>Schedule!L71</f>
        <v>1512.3239579607548</v>
      </c>
      <c r="M94" s="173">
        <f>Schedule!M71</f>
        <v>1540.013290450539</v>
      </c>
      <c r="N94" s="173">
        <f>Schedule!N71</f>
        <v>1547.4968353239642</v>
      </c>
      <c r="O94" s="173">
        <f>Schedule!O71</f>
        <v>1531.0054377683732</v>
      </c>
      <c r="P94" s="173">
        <f>Schedule!P71</f>
        <v>1476.6791486378236</v>
      </c>
      <c r="Q94" s="132" t="s">
        <v>379</v>
      </c>
    </row>
    <row r="95" spans="2:17" x14ac:dyDescent="0.25">
      <c r="B95" s="132" t="s">
        <v>254</v>
      </c>
      <c r="H95" s="170">
        <v>1338</v>
      </c>
      <c r="I95" s="171">
        <v>399</v>
      </c>
      <c r="J95" s="171">
        <v>1960</v>
      </c>
      <c r="K95" s="171">
        <v>648</v>
      </c>
      <c r="L95" s="172">
        <f>Schedule!M60</f>
        <v>1803</v>
      </c>
      <c r="M95" s="173">
        <f>Schedule!N60</f>
        <v>5064</v>
      </c>
      <c r="N95" s="173">
        <f>Schedule!O60</f>
        <v>2786</v>
      </c>
      <c r="O95" s="173">
        <f>Schedule!P60</f>
        <v>2684</v>
      </c>
      <c r="P95" s="173">
        <f>Schedule!Q60</f>
        <v>0</v>
      </c>
      <c r="Q95" s="132" t="s">
        <v>379</v>
      </c>
    </row>
    <row r="96" spans="2:17" x14ac:dyDescent="0.25">
      <c r="B96" s="132" t="s">
        <v>257</v>
      </c>
      <c r="H96" s="170">
        <v>686</v>
      </c>
      <c r="I96" s="171">
        <v>1203</v>
      </c>
      <c r="J96" s="171">
        <v>1569</v>
      </c>
      <c r="K96" s="171">
        <v>1387</v>
      </c>
      <c r="L96" s="172">
        <f>Schedule!L52</f>
        <v>1425.6456787536119</v>
      </c>
      <c r="M96" s="173">
        <f>Schedule!M52</f>
        <v>1560.8616017325546</v>
      </c>
      <c r="N96" s="173">
        <f>Schedule!N52</f>
        <v>1690.6890233198123</v>
      </c>
      <c r="O96" s="173">
        <f>Schedule!O52</f>
        <v>1812.9892484535644</v>
      </c>
      <c r="P96" s="173">
        <f>Schedule!P52</f>
        <v>1905.9710608406233</v>
      </c>
      <c r="Q96" s="132" t="s">
        <v>378</v>
      </c>
    </row>
    <row r="97" spans="1:18" x14ac:dyDescent="0.25">
      <c r="B97" s="148" t="s">
        <v>260</v>
      </c>
      <c r="C97" s="174"/>
      <c r="D97" s="174"/>
      <c r="E97" s="174"/>
      <c r="F97" s="174"/>
      <c r="G97" s="174"/>
      <c r="H97" s="175">
        <v>19950</v>
      </c>
      <c r="I97" s="176">
        <v>19724</v>
      </c>
      <c r="J97" s="176">
        <v>23571</v>
      </c>
      <c r="K97" s="176">
        <v>25249</v>
      </c>
      <c r="L97" s="175">
        <f>SUM(L93:L96)</f>
        <v>22112.854463332562</v>
      </c>
      <c r="M97" s="176">
        <f t="shared" ref="M97:P97" si="63">SUM(M93:M96)</f>
        <v>27057.226728228474</v>
      </c>
      <c r="N97" s="176">
        <f t="shared" si="63"/>
        <v>26374.225571973373</v>
      </c>
      <c r="O97" s="176">
        <f t="shared" si="63"/>
        <v>27729.29663445392</v>
      </c>
      <c r="P97" s="176">
        <f t="shared" si="63"/>
        <v>26078.022852960476</v>
      </c>
    </row>
    <row r="98" spans="1:18" x14ac:dyDescent="0.25">
      <c r="H98" s="170"/>
      <c r="I98" s="171"/>
      <c r="J98" s="171"/>
      <c r="K98" s="171"/>
      <c r="L98" s="170"/>
      <c r="M98" s="171"/>
      <c r="N98" s="171"/>
      <c r="O98" s="171"/>
      <c r="P98" s="171"/>
    </row>
    <row r="99" spans="1:18" x14ac:dyDescent="0.25">
      <c r="B99" s="132" t="s">
        <v>263</v>
      </c>
      <c r="H99" s="170">
        <v>38116</v>
      </c>
      <c r="I99" s="171">
        <v>36377</v>
      </c>
      <c r="J99" s="171">
        <v>35547</v>
      </c>
      <c r="K99" s="171">
        <v>42375</v>
      </c>
      <c r="L99" s="172">
        <f>Schedule!L61-Schedule!M60</f>
        <v>41602.412704033057</v>
      </c>
      <c r="M99" s="173">
        <f>Schedule!M61-Schedule!N60</f>
        <v>39136.127948668138</v>
      </c>
      <c r="N99" s="173">
        <f>Schedule!N61-Schedule!O60</f>
        <v>41628.914173544305</v>
      </c>
      <c r="O99" s="173">
        <f>Schedule!O61-Schedule!P60</f>
        <v>41257.592360979805</v>
      </c>
      <c r="P99" s="173">
        <f>Schedule!P61-Schedule!Q60</f>
        <v>42382.36625206477</v>
      </c>
      <c r="Q99" s="132" t="s">
        <v>379</v>
      </c>
      <c r="R99" s="132" t="str">
        <f ca="1">_xlfn.FORMULATEXT(L99)</f>
        <v>=Schedule!L61-Schedule!M60</v>
      </c>
    </row>
    <row r="100" spans="1:18" x14ac:dyDescent="0.25">
      <c r="B100" s="132" t="s">
        <v>266</v>
      </c>
      <c r="H100" s="170">
        <v>8607</v>
      </c>
      <c r="I100" s="171">
        <v>7922</v>
      </c>
      <c r="J100" s="171">
        <v>8466</v>
      </c>
      <c r="K100" s="171">
        <v>4084</v>
      </c>
      <c r="L100" s="170">
        <f>K100</f>
        <v>4084</v>
      </c>
      <c r="M100" s="171">
        <f t="shared" ref="M100:P100" si="64">L100</f>
        <v>4084</v>
      </c>
      <c r="N100" s="171">
        <f t="shared" si="64"/>
        <v>4084</v>
      </c>
      <c r="O100" s="171">
        <f t="shared" si="64"/>
        <v>4084</v>
      </c>
      <c r="P100" s="171">
        <f t="shared" si="64"/>
        <v>4084</v>
      </c>
    </row>
    <row r="101" spans="1:18" x14ac:dyDescent="0.25">
      <c r="B101" s="132" t="s">
        <v>269</v>
      </c>
      <c r="H101" s="170">
        <v>2821</v>
      </c>
      <c r="I101" s="171">
        <v>2914</v>
      </c>
      <c r="J101" s="171">
        <v>2639</v>
      </c>
      <c r="K101" s="171">
        <v>2469</v>
      </c>
      <c r="L101" s="170">
        <f>K101</f>
        <v>2469</v>
      </c>
      <c r="M101" s="171">
        <f t="shared" ref="M101:P101" si="65">L101</f>
        <v>2469</v>
      </c>
      <c r="N101" s="171">
        <f t="shared" si="65"/>
        <v>2469</v>
      </c>
      <c r="O101" s="171">
        <f t="shared" si="65"/>
        <v>2469</v>
      </c>
      <c r="P101" s="171">
        <f t="shared" si="65"/>
        <v>2469</v>
      </c>
    </row>
    <row r="102" spans="1:18" x14ac:dyDescent="0.25">
      <c r="H102" s="170"/>
      <c r="I102" s="171"/>
      <c r="J102" s="171"/>
      <c r="K102" s="171"/>
      <c r="L102" s="170"/>
      <c r="M102" s="171"/>
      <c r="N102" s="171"/>
      <c r="O102" s="171"/>
      <c r="P102" s="171"/>
    </row>
    <row r="103" spans="1:18" x14ac:dyDescent="0.25">
      <c r="B103" s="132" t="s">
        <v>283</v>
      </c>
      <c r="H103" s="170">
        <v>22999</v>
      </c>
      <c r="I103" s="171">
        <v>24105</v>
      </c>
      <c r="J103" s="171">
        <v>25941</v>
      </c>
      <c r="K103" s="171">
        <v>24856</v>
      </c>
      <c r="L103" s="170">
        <f>K103-Assumptions!K43+Historicals!L48</f>
        <v>28945.510765888859</v>
      </c>
      <c r="M103" s="171">
        <f>L103-Assumptions!L43+Historicals!M48</f>
        <v>33343.55638413188</v>
      </c>
      <c r="N103" s="171">
        <f>M103-Assumptions!M43+Historicals!N48</f>
        <v>38021.096916205162</v>
      </c>
      <c r="O103" s="171">
        <f>N103-Assumptions!N43+Historicals!O48</f>
        <v>42941.370486320258</v>
      </c>
      <c r="P103" s="171">
        <f>O103-Assumptions!O43+Historicals!P48</f>
        <v>48015.388691602835</v>
      </c>
    </row>
    <row r="104" spans="1:18" x14ac:dyDescent="0.25">
      <c r="B104" s="132" t="s">
        <v>286</v>
      </c>
      <c r="H104" s="170">
        <v>1861</v>
      </c>
      <c r="I104" s="171">
        <v>1721</v>
      </c>
      <c r="J104" s="171">
        <v>1539</v>
      </c>
      <c r="K104" s="171">
        <v>1516</v>
      </c>
      <c r="L104" s="170">
        <f>K104+L47</f>
        <v>1533.25</v>
      </c>
      <c r="M104" s="171">
        <f t="shared" ref="M104:P104" si="66">L104+M47</f>
        <v>1546.5625</v>
      </c>
      <c r="N104" s="171">
        <f t="shared" si="66"/>
        <v>1555.953125</v>
      </c>
      <c r="O104" s="171">
        <f t="shared" si="66"/>
        <v>1570.44140625</v>
      </c>
      <c r="P104" s="171">
        <f t="shared" si="66"/>
        <v>1584.0517578125</v>
      </c>
    </row>
    <row r="105" spans="1:18" x14ac:dyDescent="0.25">
      <c r="B105" s="148" t="s">
        <v>289</v>
      </c>
      <c r="C105" s="174"/>
      <c r="D105" s="174"/>
      <c r="E105" s="174"/>
      <c r="F105" s="174"/>
      <c r="G105" s="174"/>
      <c r="H105" s="175">
        <v>24860</v>
      </c>
      <c r="I105" s="176">
        <v>25826</v>
      </c>
      <c r="J105" s="176">
        <v>27480</v>
      </c>
      <c r="K105" s="176">
        <v>26372</v>
      </c>
      <c r="L105" s="175">
        <f>SUM(L103:L104)</f>
        <v>30478.760765888859</v>
      </c>
      <c r="M105" s="176">
        <f t="shared" ref="M105:P105" si="67">SUM(M103:M104)</f>
        <v>34890.11888413188</v>
      </c>
      <c r="N105" s="176">
        <f t="shared" si="67"/>
        <v>39577.050041205162</v>
      </c>
      <c r="O105" s="176">
        <f t="shared" si="67"/>
        <v>44511.811892570258</v>
      </c>
      <c r="P105" s="176">
        <f t="shared" si="67"/>
        <v>49599.440449415335</v>
      </c>
    </row>
    <row r="106" spans="1:18" x14ac:dyDescent="0.25">
      <c r="B106" s="148" t="s">
        <v>292</v>
      </c>
      <c r="C106" s="174"/>
      <c r="D106" s="174"/>
      <c r="E106" s="174"/>
      <c r="F106" s="174"/>
      <c r="G106" s="174"/>
      <c r="H106" s="175">
        <v>94354</v>
      </c>
      <c r="I106" s="176">
        <v>92763</v>
      </c>
      <c r="J106" s="176">
        <v>97703</v>
      </c>
      <c r="K106" s="176">
        <v>100549</v>
      </c>
      <c r="L106" s="175">
        <f>SUM(L99:L101)+L105+L97</f>
        <v>100747.02793325449</v>
      </c>
      <c r="M106" s="176">
        <f t="shared" ref="M106:P106" si="68">SUM(M99:M101)+M105+M97</f>
        <v>107636.47356102848</v>
      </c>
      <c r="N106" s="176">
        <f t="shared" si="68"/>
        <v>114133.18978672283</v>
      </c>
      <c r="O106" s="176">
        <f t="shared" si="68"/>
        <v>120051.70088800398</v>
      </c>
      <c r="P106" s="176">
        <f t="shared" si="68"/>
        <v>124612.82955444058</v>
      </c>
    </row>
    <row r="107" spans="1:18" x14ac:dyDescent="0.25">
      <c r="R107" s="177"/>
    </row>
    <row r="108" spans="1:18" x14ac:dyDescent="0.25">
      <c r="B108" s="178" t="s">
        <v>385</v>
      </c>
      <c r="C108" s="178"/>
      <c r="D108" s="178"/>
      <c r="E108" s="178"/>
      <c r="F108" s="178"/>
      <c r="G108" s="178"/>
      <c r="H108" s="178" t="str">
        <f>IF(H106=H90,"TRUE",H90-H106)</f>
        <v>TRUE</v>
      </c>
      <c r="I108" s="178" t="str">
        <f t="shared" ref="I108:P108" si="69">IF(I106=I90,"TRUE",I90-I106)</f>
        <v>TRUE</v>
      </c>
      <c r="J108" s="178" t="str">
        <f t="shared" si="69"/>
        <v>TRUE</v>
      </c>
      <c r="K108" s="178" t="str">
        <f t="shared" si="69"/>
        <v>TRUE</v>
      </c>
      <c r="L108" s="179" t="str">
        <f>IF(L106=L90,"TRUE",L90-L106)</f>
        <v>TRUE</v>
      </c>
      <c r="M108" s="179" t="str">
        <f t="shared" si="69"/>
        <v>TRUE</v>
      </c>
      <c r="N108" s="179" t="str">
        <f t="shared" si="69"/>
        <v>TRUE</v>
      </c>
      <c r="O108" s="179" t="str">
        <f>IF(O106=O90,"TRUE",O90-O106)</f>
        <v>TRUE</v>
      </c>
      <c r="P108" s="179" t="str">
        <f t="shared" si="69"/>
        <v>TRUE</v>
      </c>
    </row>
    <row r="109" spans="1:18" x14ac:dyDescent="0.25">
      <c r="M109" s="177"/>
      <c r="N109" s="177"/>
      <c r="O109" s="177"/>
      <c r="P109" s="177"/>
    </row>
    <row r="110" spans="1:18" x14ac:dyDescent="0.25">
      <c r="A110" s="132" t="s">
        <v>483</v>
      </c>
      <c r="B110" s="136" t="s">
        <v>396</v>
      </c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</row>
    <row r="112" spans="1:18" x14ac:dyDescent="0.25">
      <c r="B112" s="154" t="s">
        <v>90</v>
      </c>
      <c r="H112" s="180"/>
      <c r="I112" s="181"/>
      <c r="J112" s="181"/>
      <c r="K112" s="181"/>
      <c r="L112" s="182"/>
    </row>
    <row r="113" spans="2:16" x14ac:dyDescent="0.25">
      <c r="B113" s="132" t="s">
        <v>55</v>
      </c>
      <c r="H113" s="180"/>
      <c r="I113" s="181"/>
      <c r="J113" s="181"/>
      <c r="K113" s="181"/>
      <c r="L113" s="141">
        <f>L45</f>
        <v>12661.215654821615</v>
      </c>
      <c r="M113" s="142">
        <f t="shared" ref="M113:P113" si="70">M45</f>
        <v>13862.073614352539</v>
      </c>
      <c r="N113" s="142">
        <f t="shared" si="70"/>
        <v>15015.076079918039</v>
      </c>
      <c r="O113" s="142">
        <f t="shared" si="70"/>
        <v>16101.229216092404</v>
      </c>
      <c r="P113" s="142">
        <f t="shared" si="70"/>
        <v>16927.004369171082</v>
      </c>
    </row>
    <row r="114" spans="2:16" x14ac:dyDescent="0.25">
      <c r="B114" s="132" t="s">
        <v>401</v>
      </c>
      <c r="H114" s="180"/>
      <c r="I114" s="181"/>
      <c r="J114" s="181"/>
      <c r="K114" s="181"/>
      <c r="L114" s="143"/>
      <c r="M114" s="144"/>
      <c r="N114" s="144"/>
      <c r="O114" s="144"/>
      <c r="P114" s="144"/>
    </row>
    <row r="115" spans="2:16" x14ac:dyDescent="0.25">
      <c r="B115" s="183" t="s">
        <v>93</v>
      </c>
      <c r="H115" s="180"/>
      <c r="I115" s="181"/>
      <c r="J115" s="181"/>
      <c r="K115" s="181"/>
      <c r="L115" s="141">
        <f>L63</f>
        <v>1187.2784808038618</v>
      </c>
      <c r="M115" s="142">
        <f t="shared" ref="M115:P115" si="71">M63</f>
        <v>1274.468209480613</v>
      </c>
      <c r="N115" s="142">
        <f t="shared" si="71"/>
        <v>1369.5624562789583</v>
      </c>
      <c r="O115" s="142">
        <f t="shared" si="71"/>
        <v>1449.7138818739161</v>
      </c>
      <c r="P115" s="142">
        <f t="shared" si="71"/>
        <v>1506.5634326606237</v>
      </c>
    </row>
    <row r="116" spans="2:16" x14ac:dyDescent="0.25">
      <c r="B116" s="183" t="s">
        <v>397</v>
      </c>
      <c r="H116" s="180"/>
      <c r="I116" s="181"/>
      <c r="J116" s="181"/>
      <c r="K116" s="181"/>
      <c r="L116" s="141">
        <f>L32</f>
        <v>1544.566114917581</v>
      </c>
      <c r="M116" s="142">
        <f t="shared" ref="M116:P116" si="72">M32</f>
        <v>1565.6026223062029</v>
      </c>
      <c r="N116" s="142">
        <f t="shared" si="72"/>
        <v>1583.6434692219743</v>
      </c>
      <c r="O116" s="142">
        <f t="shared" si="72"/>
        <v>1579.0231679142184</v>
      </c>
      <c r="P116" s="142">
        <f t="shared" si="72"/>
        <v>1542.6994110819128</v>
      </c>
    </row>
    <row r="117" spans="2:16" x14ac:dyDescent="0.25">
      <c r="B117" s="183" t="s">
        <v>27</v>
      </c>
      <c r="H117" s="180"/>
      <c r="I117" s="181"/>
      <c r="J117" s="181"/>
      <c r="K117" s="181"/>
      <c r="L117" s="141">
        <f>L29</f>
        <v>0</v>
      </c>
      <c r="M117" s="142">
        <f t="shared" ref="M117:P117" si="73">M29</f>
        <v>0</v>
      </c>
      <c r="N117" s="142">
        <f t="shared" si="73"/>
        <v>0</v>
      </c>
      <c r="O117" s="142">
        <f t="shared" si="73"/>
        <v>0</v>
      </c>
      <c r="P117" s="142">
        <f t="shared" si="73"/>
        <v>0</v>
      </c>
    </row>
    <row r="118" spans="2:16" x14ac:dyDescent="0.25">
      <c r="B118" s="183" t="s">
        <v>398</v>
      </c>
      <c r="H118" s="180"/>
      <c r="I118" s="181"/>
      <c r="J118" s="181"/>
      <c r="K118" s="181"/>
      <c r="L118" s="141">
        <f>-L36</f>
        <v>-1969.6939247717908</v>
      </c>
      <c r="M118" s="142">
        <f t="shared" ref="M118:P118" si="74">-M36</f>
        <v>-2142.0905680361857</v>
      </c>
      <c r="N118" s="142">
        <f t="shared" si="74"/>
        <v>-2307.3690616916806</v>
      </c>
      <c r="O118" s="142">
        <f t="shared" si="74"/>
        <v>-2460.5805894806845</v>
      </c>
      <c r="P118" s="142">
        <f t="shared" si="74"/>
        <v>-2573.2923089498063</v>
      </c>
    </row>
    <row r="119" spans="2:16" x14ac:dyDescent="0.25">
      <c r="B119" s="183" t="s">
        <v>399</v>
      </c>
      <c r="H119" s="180"/>
      <c r="I119" s="181"/>
      <c r="J119" s="181"/>
      <c r="K119" s="181"/>
      <c r="L119" s="141">
        <f>-L40</f>
        <v>-100.21029096582967</v>
      </c>
      <c r="M119" s="142">
        <f t="shared" ref="M119:P119" si="75">-M40</f>
        <v>-108.98115509136072</v>
      </c>
      <c r="N119" s="142">
        <f t="shared" si="75"/>
        <v>-117.3898757211561</v>
      </c>
      <c r="O119" s="142">
        <f t="shared" si="75"/>
        <v>-125.18467652038902</v>
      </c>
      <c r="P119" s="142">
        <f t="shared" si="75"/>
        <v>-130.91900613435089</v>
      </c>
    </row>
    <row r="120" spans="2:16" x14ac:dyDescent="0.25">
      <c r="B120" s="154" t="s">
        <v>402</v>
      </c>
      <c r="H120" s="180"/>
      <c r="I120" s="181"/>
      <c r="J120" s="181"/>
      <c r="K120" s="181"/>
      <c r="L120" s="184">
        <f>SUM(L113:L119)</f>
        <v>13323.156034805437</v>
      </c>
      <c r="M120" s="185">
        <f t="shared" ref="M120:P120" si="76">SUM(M113:M119)</f>
        <v>14451.072723011808</v>
      </c>
      <c r="N120" s="185">
        <f t="shared" si="76"/>
        <v>15543.523068006136</v>
      </c>
      <c r="O120" s="185">
        <f t="shared" si="76"/>
        <v>16544.200999879467</v>
      </c>
      <c r="P120" s="185">
        <f t="shared" si="76"/>
        <v>17272.055897829461</v>
      </c>
    </row>
    <row r="121" spans="2:16" x14ac:dyDescent="0.25">
      <c r="B121" s="154" t="s">
        <v>403</v>
      </c>
      <c r="H121" s="180"/>
      <c r="I121" s="181"/>
      <c r="J121" s="181"/>
      <c r="K121" s="181"/>
      <c r="L121" s="155"/>
      <c r="M121" s="156"/>
      <c r="N121" s="156"/>
      <c r="O121" s="156"/>
      <c r="P121" s="156"/>
    </row>
    <row r="122" spans="2:16" x14ac:dyDescent="0.25">
      <c r="B122" s="183" t="s">
        <v>371</v>
      </c>
      <c r="H122" s="180"/>
      <c r="I122" s="181"/>
      <c r="J122" s="181"/>
      <c r="K122" s="181"/>
      <c r="L122" s="170">
        <f>-(L77-K77)</f>
        <v>-273.7861753052789</v>
      </c>
      <c r="M122" s="171">
        <f t="shared" ref="M122:P122" si="77">-(M77-L77)</f>
        <v>-336.33826508461652</v>
      </c>
      <c r="N122" s="171">
        <f t="shared" si="77"/>
        <v>-322.45106841572033</v>
      </c>
      <c r="O122" s="171">
        <f t="shared" si="77"/>
        <v>-298.90894898972692</v>
      </c>
      <c r="P122" s="171">
        <f t="shared" si="77"/>
        <v>-219.89560506006455</v>
      </c>
    </row>
    <row r="123" spans="2:16" x14ac:dyDescent="0.25">
      <c r="B123" s="183" t="s">
        <v>216</v>
      </c>
      <c r="H123" s="180"/>
      <c r="I123" s="181"/>
      <c r="J123" s="181"/>
      <c r="K123" s="181"/>
      <c r="L123" s="170">
        <f t="shared" ref="L123:P124" si="78">-(L78-K78)</f>
        <v>-464.9365150388312</v>
      </c>
      <c r="M123" s="171">
        <f t="shared" si="78"/>
        <v>-454.5096132037479</v>
      </c>
      <c r="N123" s="171">
        <f t="shared" si="78"/>
        <v>-435.74319545798244</v>
      </c>
      <c r="O123" s="171">
        <f t="shared" si="78"/>
        <v>-403.92962945884392</v>
      </c>
      <c r="P123" s="171">
        <f t="shared" si="78"/>
        <v>-297.15520586368621</v>
      </c>
    </row>
    <row r="124" spans="2:16" x14ac:dyDescent="0.25">
      <c r="B124" s="183" t="s">
        <v>219</v>
      </c>
      <c r="H124" s="180"/>
      <c r="I124" s="181"/>
      <c r="J124" s="181"/>
      <c r="K124" s="181"/>
      <c r="L124" s="170">
        <f t="shared" si="78"/>
        <v>-359.09629694464047</v>
      </c>
      <c r="M124" s="171">
        <f t="shared" si="78"/>
        <v>-305.29418069149642</v>
      </c>
      <c r="N124" s="171">
        <f t="shared" si="78"/>
        <v>-292.6887748567915</v>
      </c>
      <c r="O124" s="171">
        <f t="shared" si="78"/>
        <v>-271.31959743033349</v>
      </c>
      <c r="P124" s="171">
        <f t="shared" si="78"/>
        <v>-199.59919983408417</v>
      </c>
    </row>
    <row r="125" spans="2:16" x14ac:dyDescent="0.25">
      <c r="B125" s="183" t="s">
        <v>248</v>
      </c>
      <c r="H125" s="180"/>
      <c r="I125" s="181"/>
      <c r="J125" s="181"/>
      <c r="K125" s="181"/>
      <c r="L125" s="170">
        <f>L93-K93</f>
        <v>-4343.1151733818042</v>
      </c>
      <c r="M125" s="171">
        <f t="shared" ref="M125:P125" si="79">M93-L93</f>
        <v>1520.4670094271823</v>
      </c>
      <c r="N125" s="171">
        <f t="shared" si="79"/>
        <v>1457.6878772842174</v>
      </c>
      <c r="O125" s="171">
        <f t="shared" si="79"/>
        <v>1351.2622349023877</v>
      </c>
      <c r="P125" s="171">
        <f t="shared" si="79"/>
        <v>994.07069525004408</v>
      </c>
    </row>
    <row r="126" spans="2:16" x14ac:dyDescent="0.25">
      <c r="B126" s="183" t="s">
        <v>257</v>
      </c>
      <c r="H126" s="180"/>
      <c r="I126" s="181"/>
      <c r="J126" s="181"/>
      <c r="K126" s="181"/>
      <c r="L126" s="170">
        <f>L96-K96</f>
        <v>38.645678753611946</v>
      </c>
      <c r="M126" s="171">
        <f t="shared" ref="M126:P126" si="80">M96-L96</f>
        <v>135.21592297894267</v>
      </c>
      <c r="N126" s="171">
        <f t="shared" si="80"/>
        <v>129.82742158725773</v>
      </c>
      <c r="O126" s="171">
        <f t="shared" si="80"/>
        <v>122.30022513375206</v>
      </c>
      <c r="P126" s="171">
        <f t="shared" si="80"/>
        <v>92.981812387058881</v>
      </c>
    </row>
    <row r="127" spans="2:16" x14ac:dyDescent="0.25">
      <c r="B127" s="186" t="s">
        <v>400</v>
      </c>
      <c r="H127" s="180"/>
      <c r="I127" s="181"/>
      <c r="J127" s="181"/>
      <c r="K127" s="181"/>
      <c r="L127" s="184">
        <f>SUM(L122:L126)+L120</f>
        <v>7920.8675528884942</v>
      </c>
      <c r="M127" s="185">
        <f t="shared" ref="M127:P127" si="81">SUM(M122:M126)+M120</f>
        <v>15010.613596438072</v>
      </c>
      <c r="N127" s="185">
        <f t="shared" si="81"/>
        <v>16080.155328147117</v>
      </c>
      <c r="O127" s="185">
        <f t="shared" si="81"/>
        <v>17043.605284036705</v>
      </c>
      <c r="P127" s="185">
        <f t="shared" si="81"/>
        <v>17642.45839470873</v>
      </c>
    </row>
    <row r="128" spans="2:16" x14ac:dyDescent="0.25">
      <c r="H128" s="182"/>
      <c r="L128" s="143"/>
      <c r="M128" s="144"/>
      <c r="N128" s="144"/>
      <c r="O128" s="144"/>
      <c r="P128" s="144"/>
    </row>
    <row r="129" spans="2:16" x14ac:dyDescent="0.25">
      <c r="B129" s="186" t="s">
        <v>114</v>
      </c>
      <c r="H129" s="180"/>
      <c r="I129" s="181"/>
      <c r="J129" s="181"/>
      <c r="K129" s="181"/>
      <c r="L129" s="143"/>
      <c r="M129" s="144"/>
      <c r="N129" s="144"/>
      <c r="O129" s="144"/>
      <c r="P129" s="144"/>
    </row>
    <row r="130" spans="2:16" x14ac:dyDescent="0.25">
      <c r="B130" s="132" t="s">
        <v>125</v>
      </c>
      <c r="H130" s="180"/>
      <c r="I130" s="181"/>
      <c r="J130" s="181"/>
      <c r="K130" s="181"/>
      <c r="L130" s="170">
        <f>-Schedule!L11</f>
        <v>-2716.4114834655447</v>
      </c>
      <c r="M130" s="171">
        <f>-Schedule!M11</f>
        <v>-1977.1288645868335</v>
      </c>
      <c r="N130" s="171">
        <f>-Schedule!N11</f>
        <v>-1895.4944499734374</v>
      </c>
      <c r="O130" s="171">
        <f>-Schedule!O11</f>
        <v>-1757.1045946324957</v>
      </c>
      <c r="P130" s="171">
        <f>-Schedule!P11</f>
        <v>-1292.633021849786</v>
      </c>
    </row>
    <row r="131" spans="2:16" x14ac:dyDescent="0.25">
      <c r="B131" s="132" t="s">
        <v>404</v>
      </c>
      <c r="H131" s="180"/>
      <c r="I131" s="181"/>
      <c r="J131" s="181"/>
      <c r="K131" s="181"/>
      <c r="L131" s="170">
        <f>-Schedule!L28</f>
        <v>0</v>
      </c>
      <c r="M131" s="171">
        <f>-Schedule!M28</f>
        <v>0</v>
      </c>
      <c r="N131" s="171">
        <f>-Schedule!N28</f>
        <v>0</v>
      </c>
      <c r="O131" s="171">
        <f>-Schedule!O28</f>
        <v>0</v>
      </c>
      <c r="P131" s="171">
        <f>-Schedule!P28</f>
        <v>0</v>
      </c>
    </row>
    <row r="132" spans="2:16" x14ac:dyDescent="0.25">
      <c r="B132" s="132" t="s">
        <v>27</v>
      </c>
      <c r="H132" s="180"/>
      <c r="I132" s="181"/>
      <c r="J132" s="181"/>
      <c r="K132" s="181"/>
      <c r="L132" s="170">
        <f>-L117</f>
        <v>0</v>
      </c>
      <c r="M132" s="171">
        <f t="shared" ref="M132:P132" si="82">-M117</f>
        <v>0</v>
      </c>
      <c r="N132" s="171">
        <f t="shared" si="82"/>
        <v>0</v>
      </c>
      <c r="O132" s="171">
        <f t="shared" si="82"/>
        <v>0</v>
      </c>
      <c r="P132" s="171">
        <f t="shared" si="82"/>
        <v>0</v>
      </c>
    </row>
    <row r="133" spans="2:16" x14ac:dyDescent="0.25">
      <c r="B133" s="132" t="s">
        <v>398</v>
      </c>
      <c r="H133" s="180"/>
      <c r="I133" s="181"/>
      <c r="J133" s="181"/>
      <c r="K133" s="181"/>
      <c r="L133" s="170">
        <f>-L118</f>
        <v>1969.6939247717908</v>
      </c>
      <c r="M133" s="171">
        <f t="shared" ref="M133:P133" si="83">-M118</f>
        <v>2142.0905680361857</v>
      </c>
      <c r="N133" s="171">
        <f t="shared" si="83"/>
        <v>2307.3690616916806</v>
      </c>
      <c r="O133" s="171">
        <f t="shared" si="83"/>
        <v>2460.5805894806845</v>
      </c>
      <c r="P133" s="171">
        <f t="shared" si="83"/>
        <v>2573.2923089498063</v>
      </c>
    </row>
    <row r="134" spans="2:16" x14ac:dyDescent="0.25">
      <c r="B134" s="132" t="s">
        <v>399</v>
      </c>
      <c r="H134" s="180"/>
      <c r="I134" s="181"/>
      <c r="J134" s="181"/>
      <c r="K134" s="181"/>
      <c r="L134" s="170">
        <f>-L119</f>
        <v>100.21029096582967</v>
      </c>
      <c r="M134" s="171">
        <f t="shared" ref="M134:P134" si="84">-M119</f>
        <v>108.98115509136072</v>
      </c>
      <c r="N134" s="171">
        <f t="shared" si="84"/>
        <v>117.3898757211561</v>
      </c>
      <c r="O134" s="171">
        <f t="shared" si="84"/>
        <v>125.18467652038902</v>
      </c>
      <c r="P134" s="171">
        <f t="shared" si="84"/>
        <v>130.91900613435089</v>
      </c>
    </row>
    <row r="135" spans="2:16" x14ac:dyDescent="0.25">
      <c r="B135" s="186" t="s">
        <v>405</v>
      </c>
      <c r="H135" s="180"/>
      <c r="I135" s="181"/>
      <c r="J135" s="181"/>
      <c r="K135" s="181"/>
      <c r="L135" s="187">
        <f>SUM(L130:L134)</f>
        <v>-646.50726772792427</v>
      </c>
      <c r="M135" s="188">
        <f t="shared" ref="M135:P135" si="85">SUM(M130:M134)</f>
        <v>273.9428585407129</v>
      </c>
      <c r="N135" s="188">
        <f t="shared" si="85"/>
        <v>529.26448743939932</v>
      </c>
      <c r="O135" s="188">
        <f t="shared" si="85"/>
        <v>828.66067136857782</v>
      </c>
      <c r="P135" s="188">
        <f t="shared" si="85"/>
        <v>1411.5782932343711</v>
      </c>
    </row>
    <row r="136" spans="2:16" x14ac:dyDescent="0.25">
      <c r="H136" s="182"/>
      <c r="L136" s="170"/>
      <c r="M136" s="171"/>
      <c r="N136" s="171"/>
      <c r="O136" s="171"/>
      <c r="P136" s="171"/>
    </row>
    <row r="137" spans="2:16" x14ac:dyDescent="0.25">
      <c r="B137" s="154" t="s">
        <v>139</v>
      </c>
      <c r="H137" s="180"/>
      <c r="I137" s="181"/>
      <c r="J137" s="181"/>
      <c r="K137" s="181"/>
      <c r="L137" s="170"/>
      <c r="M137" s="171"/>
      <c r="N137" s="171"/>
      <c r="O137" s="171"/>
      <c r="P137" s="171"/>
    </row>
    <row r="138" spans="2:16" x14ac:dyDescent="0.25">
      <c r="B138" s="132" t="s">
        <v>406</v>
      </c>
      <c r="H138" s="180"/>
      <c r="I138" s="181"/>
      <c r="J138" s="181"/>
      <c r="K138" s="181"/>
      <c r="L138" s="170">
        <f>Schedule!L59+Schedule!L69</f>
        <v>1043.7366619938116</v>
      </c>
      <c r="M138" s="171">
        <f>Schedule!M59+Schedule!M69</f>
        <v>2625.4045771248652</v>
      </c>
      <c r="N138" s="171">
        <f>Schedule!N59+Schedule!N69</f>
        <v>5286.2697697495914</v>
      </c>
      <c r="O138" s="171">
        <f>Schedule!O59+Schedule!O69</f>
        <v>2312.6781874355001</v>
      </c>
      <c r="P138" s="171">
        <f>Schedule!P59+Schedule!P69</f>
        <v>1124.7738910849657</v>
      </c>
    </row>
    <row r="139" spans="2:16" x14ac:dyDescent="0.25">
      <c r="B139" s="132" t="s">
        <v>410</v>
      </c>
      <c r="H139" s="180"/>
      <c r="I139" s="181"/>
      <c r="J139" s="181"/>
      <c r="K139" s="181"/>
      <c r="L139" s="170">
        <f>-(Schedule!L70+Schedule!L60)</f>
        <v>-648</v>
      </c>
      <c r="M139" s="171">
        <f>-(Schedule!M70+Schedule!M60)</f>
        <v>-1803</v>
      </c>
      <c r="N139" s="171">
        <f>-(Schedule!N70+Schedule!N60)</f>
        <v>-5064</v>
      </c>
      <c r="O139" s="171">
        <f>-(Schedule!O70+Schedule!O60)</f>
        <v>-2802.491397555591</v>
      </c>
      <c r="P139" s="171">
        <f>-(Schedule!P70+Schedule!P60)</f>
        <v>-2738.3262891305494</v>
      </c>
    </row>
    <row r="140" spans="2:16" x14ac:dyDescent="0.25">
      <c r="B140" s="132" t="s">
        <v>407</v>
      </c>
      <c r="H140" s="180"/>
      <c r="I140" s="181"/>
      <c r="J140" s="181"/>
      <c r="K140" s="181"/>
      <c r="L140" s="170">
        <f>-L32</f>
        <v>-1544.566114917581</v>
      </c>
      <c r="M140" s="171">
        <f t="shared" ref="M140:P140" si="86">-M32</f>
        <v>-1565.6026223062029</v>
      </c>
      <c r="N140" s="171">
        <f t="shared" si="86"/>
        <v>-1583.6434692219743</v>
      </c>
      <c r="O140" s="171">
        <f t="shared" si="86"/>
        <v>-1579.0231679142184</v>
      </c>
      <c r="P140" s="171">
        <f t="shared" si="86"/>
        <v>-1542.6994110819128</v>
      </c>
    </row>
    <row r="141" spans="2:16" x14ac:dyDescent="0.25">
      <c r="B141" s="132" t="s">
        <v>408</v>
      </c>
      <c r="H141" s="180"/>
      <c r="I141" s="181"/>
      <c r="J141" s="181"/>
      <c r="K141" s="181"/>
      <c r="L141" s="170">
        <f>-Assumptions!K43</f>
        <v>-8554.454888932758</v>
      </c>
      <c r="M141" s="171">
        <f>-Assumptions!L43</f>
        <v>-9450.7154961095166</v>
      </c>
      <c r="N141" s="171">
        <f>-Assumptions!M43</f>
        <v>-10328.144922844758</v>
      </c>
      <c r="O141" s="171">
        <f>-Assumptions!N43</f>
        <v>-11166.467364727305</v>
      </c>
      <c r="P141" s="171">
        <f>-Assumptions!O43</f>
        <v>-11839.375812326007</v>
      </c>
    </row>
    <row r="142" spans="2:16" x14ac:dyDescent="0.25">
      <c r="B142" s="186" t="s">
        <v>409</v>
      </c>
      <c r="H142" s="180"/>
      <c r="I142" s="181"/>
      <c r="J142" s="181"/>
      <c r="K142" s="181"/>
      <c r="L142" s="187">
        <f>SUM(L138:L141)</f>
        <v>-9703.284341856528</v>
      </c>
      <c r="M142" s="188">
        <f t="shared" ref="M142:P142" si="87">SUM(M138:M141)</f>
        <v>-10193.913541290854</v>
      </c>
      <c r="N142" s="188">
        <f t="shared" si="87"/>
        <v>-11689.51862231714</v>
      </c>
      <c r="O142" s="188">
        <f t="shared" si="87"/>
        <v>-13235.303742761615</v>
      </c>
      <c r="P142" s="188">
        <f t="shared" si="87"/>
        <v>-14995.627621453503</v>
      </c>
    </row>
    <row r="143" spans="2:16" x14ac:dyDescent="0.25">
      <c r="H143" s="182"/>
      <c r="L143" s="143"/>
      <c r="M143" s="144"/>
      <c r="N143" s="144"/>
      <c r="O143" s="144"/>
      <c r="P143" s="144"/>
    </row>
    <row r="144" spans="2:16" x14ac:dyDescent="0.25">
      <c r="B144" s="148" t="s">
        <v>411</v>
      </c>
      <c r="C144" s="148"/>
      <c r="D144" s="148"/>
      <c r="E144" s="148"/>
      <c r="F144" s="148"/>
      <c r="G144" s="148"/>
      <c r="H144" s="189"/>
      <c r="I144" s="190"/>
      <c r="J144" s="190"/>
      <c r="K144" s="190"/>
      <c r="L144" s="175">
        <f>L127+L135+L142</f>
        <v>-2428.9240566959579</v>
      </c>
      <c r="M144" s="176">
        <f t="shared" ref="M144:P144" si="88">M127+M135+M142</f>
        <v>5090.6429136879306</v>
      </c>
      <c r="N144" s="176">
        <f t="shared" si="88"/>
        <v>4919.9011932693757</v>
      </c>
      <c r="O144" s="176">
        <f t="shared" si="88"/>
        <v>4636.9622126436661</v>
      </c>
      <c r="P144" s="176">
        <f t="shared" si="88"/>
        <v>4058.4090664895994</v>
      </c>
    </row>
    <row r="145" spans="1:16" x14ac:dyDescent="0.25">
      <c r="H145" s="182"/>
      <c r="L145" s="143"/>
      <c r="M145" s="144"/>
      <c r="N145" s="144"/>
      <c r="O145" s="144"/>
      <c r="P145" s="144"/>
    </row>
    <row r="146" spans="1:16" x14ac:dyDescent="0.25">
      <c r="B146" s="132" t="s">
        <v>412</v>
      </c>
      <c r="H146" s="180"/>
      <c r="I146" s="181"/>
      <c r="J146" s="181"/>
      <c r="K146" s="181"/>
      <c r="L146" s="170">
        <f>K72</f>
        <v>10828</v>
      </c>
      <c r="M146" s="171">
        <f>L147</f>
        <v>8399.0759433040421</v>
      </c>
      <c r="N146" s="171">
        <f t="shared" ref="N146:P146" si="89">M147</f>
        <v>13489.718856991973</v>
      </c>
      <c r="O146" s="171">
        <f t="shared" si="89"/>
        <v>18409.62005026135</v>
      </c>
      <c r="P146" s="171">
        <f t="shared" si="89"/>
        <v>23046.582262905016</v>
      </c>
    </row>
    <row r="147" spans="1:16" ht="13.8" thickBot="1" x14ac:dyDescent="0.3">
      <c r="B147" s="151" t="s">
        <v>413</v>
      </c>
      <c r="C147" s="151"/>
      <c r="D147" s="151"/>
      <c r="E147" s="151"/>
      <c r="F147" s="151"/>
      <c r="G147" s="151"/>
      <c r="H147" s="191"/>
      <c r="I147" s="192"/>
      <c r="J147" s="192"/>
      <c r="K147" s="192"/>
      <c r="L147" s="193">
        <f>L144+L146</f>
        <v>8399.0759433040421</v>
      </c>
      <c r="M147" s="194">
        <f t="shared" ref="M147:P147" si="90">M144+M146</f>
        <v>13489.718856991973</v>
      </c>
      <c r="N147" s="194">
        <f t="shared" si="90"/>
        <v>18409.62005026135</v>
      </c>
      <c r="O147" s="194">
        <f t="shared" si="90"/>
        <v>23046.582262905016</v>
      </c>
      <c r="P147" s="194">
        <f t="shared" si="90"/>
        <v>27104.991329394616</v>
      </c>
    </row>
    <row r="149" spans="1:16" x14ac:dyDescent="0.25">
      <c r="A149" s="132" t="s">
        <v>483</v>
      </c>
      <c r="B149" s="136" t="s">
        <v>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E7A5-A728-41DC-9FF9-6C697FDEF247}">
  <dimension ref="A2:O66"/>
  <sheetViews>
    <sheetView showGridLines="0" zoomScaleNormal="100" workbookViewId="0">
      <selection activeCell="G5" sqref="G5:O6"/>
    </sheetView>
  </sheetViews>
  <sheetFormatPr defaultRowHeight="13.2" x14ac:dyDescent="0.25"/>
  <cols>
    <col min="1" max="1" width="2.88671875" style="144" customWidth="1"/>
    <col min="2" max="6" width="8.88671875" style="132"/>
    <col min="7" max="15" width="10.44140625" style="132" customWidth="1"/>
    <col min="16" max="16384" width="8.88671875" style="132"/>
  </cols>
  <sheetData>
    <row r="2" spans="1:15" ht="13.8" x14ac:dyDescent="0.25">
      <c r="B2" s="195" t="s">
        <v>0</v>
      </c>
      <c r="C2" s="3"/>
      <c r="D2" s="3"/>
      <c r="E2" s="3"/>
      <c r="F2" s="133"/>
      <c r="G2" s="133"/>
      <c r="H2" s="133"/>
      <c r="I2" s="133"/>
      <c r="J2" s="133"/>
      <c r="K2" s="133"/>
      <c r="L2" s="134"/>
      <c r="M2" s="134"/>
      <c r="N2" s="134"/>
      <c r="O2" s="134"/>
    </row>
    <row r="3" spans="1:15" x14ac:dyDescent="0.25">
      <c r="B3" s="135" t="s">
        <v>7</v>
      </c>
      <c r="C3" s="133"/>
      <c r="D3" s="133"/>
      <c r="E3" s="133"/>
      <c r="F3" s="133"/>
      <c r="G3" s="133"/>
      <c r="H3" s="133"/>
      <c r="I3" s="133"/>
      <c r="J3" s="133"/>
      <c r="K3" s="133"/>
      <c r="L3" s="134"/>
      <c r="M3" s="134"/>
      <c r="N3" s="134"/>
      <c r="O3" s="134"/>
    </row>
    <row r="4" spans="1:15" x14ac:dyDescent="0.25">
      <c r="B4" s="211" t="s">
        <v>1</v>
      </c>
      <c r="C4" s="212"/>
      <c r="D4" s="212"/>
      <c r="E4" s="212"/>
      <c r="F4" s="212"/>
      <c r="G4" s="212"/>
      <c r="H4" s="212"/>
      <c r="I4" s="212"/>
      <c r="J4" s="212"/>
      <c r="K4" s="212"/>
      <c r="L4" s="213"/>
      <c r="M4" s="213"/>
      <c r="N4" s="213"/>
      <c r="O4" s="213"/>
    </row>
    <row r="5" spans="1:15" x14ac:dyDescent="0.25">
      <c r="B5" s="215" t="s">
        <v>2</v>
      </c>
      <c r="C5" s="216"/>
      <c r="D5" s="216"/>
      <c r="E5" s="216"/>
      <c r="F5" s="218"/>
      <c r="G5" s="217">
        <v>44561</v>
      </c>
      <c r="H5" s="137">
        <f>EDATE(G5,12)</f>
        <v>44926</v>
      </c>
      <c r="I5" s="137">
        <f t="shared" ref="I5:O5" si="0">EDATE(H5,12)</f>
        <v>45291</v>
      </c>
      <c r="J5" s="137">
        <f t="shared" si="0"/>
        <v>45657</v>
      </c>
      <c r="K5" s="138">
        <f t="shared" si="0"/>
        <v>46022</v>
      </c>
      <c r="L5" s="137">
        <f t="shared" si="0"/>
        <v>46387</v>
      </c>
      <c r="M5" s="137">
        <f t="shared" si="0"/>
        <v>46752</v>
      </c>
      <c r="N5" s="137">
        <f t="shared" si="0"/>
        <v>47118</v>
      </c>
      <c r="O5" s="137">
        <f t="shared" si="0"/>
        <v>47483</v>
      </c>
    </row>
    <row r="6" spans="1:15" x14ac:dyDescent="0.25">
      <c r="B6" s="136" t="s">
        <v>3</v>
      </c>
      <c r="C6" s="133"/>
      <c r="D6" s="133"/>
      <c r="E6" s="133"/>
      <c r="F6" s="219"/>
      <c r="G6" s="214" t="s">
        <v>4</v>
      </c>
      <c r="H6" s="139" t="s">
        <v>4</v>
      </c>
      <c r="I6" s="139" t="s">
        <v>4</v>
      </c>
      <c r="J6" s="139" t="s">
        <v>4</v>
      </c>
      <c r="K6" s="140" t="s">
        <v>5</v>
      </c>
      <c r="L6" s="139" t="s">
        <v>5</v>
      </c>
      <c r="M6" s="139" t="s">
        <v>5</v>
      </c>
      <c r="N6" s="139" t="s">
        <v>5</v>
      </c>
      <c r="O6" s="139" t="s">
        <v>5</v>
      </c>
    </row>
    <row r="8" spans="1:15" x14ac:dyDescent="0.25">
      <c r="A8" s="144" t="s">
        <v>483</v>
      </c>
      <c r="B8" s="136" t="s">
        <v>8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15" x14ac:dyDescent="0.25">
      <c r="B9" s="132" t="s">
        <v>9</v>
      </c>
      <c r="G9" s="196">
        <v>7193</v>
      </c>
      <c r="H9" s="196">
        <v>7523</v>
      </c>
      <c r="I9" s="196">
        <v>8078</v>
      </c>
      <c r="J9" s="196">
        <v>8122</v>
      </c>
      <c r="K9" s="197">
        <f>J9*(1+K12)</f>
        <v>9056.0300000000007</v>
      </c>
      <c r="L9" s="197">
        <f t="shared" ref="L9:O9" si="1">K9*(1+L12)</f>
        <v>9961.6330000000016</v>
      </c>
      <c r="M9" s="197">
        <f t="shared" si="1"/>
        <v>10808.371805000001</v>
      </c>
      <c r="N9" s="197">
        <f t="shared" si="1"/>
        <v>11564.957831350001</v>
      </c>
      <c r="O9" s="197">
        <f t="shared" si="1"/>
        <v>12027.556144604001</v>
      </c>
    </row>
    <row r="10" spans="1:15" x14ac:dyDescent="0.25">
      <c r="B10" s="198" t="s">
        <v>17</v>
      </c>
      <c r="C10" s="199"/>
      <c r="D10" s="199"/>
      <c r="E10" s="199"/>
      <c r="F10" s="199"/>
      <c r="G10" s="200"/>
      <c r="H10" s="201">
        <f>H9/G9-1</f>
        <v>4.5877936883080839E-2</v>
      </c>
      <c r="I10" s="201">
        <f>I9/H9-1</f>
        <v>7.3773760467898519E-2</v>
      </c>
      <c r="J10" s="201">
        <f>J9/I9-1</f>
        <v>5.4468927952462387E-3</v>
      </c>
      <c r="K10" s="197"/>
      <c r="L10" s="197"/>
      <c r="M10" s="197"/>
      <c r="N10" s="197"/>
      <c r="O10" s="197"/>
    </row>
    <row r="11" spans="1:15" x14ac:dyDescent="0.25">
      <c r="B11" s="202" t="s">
        <v>20</v>
      </c>
      <c r="G11" s="201"/>
      <c r="H11" s="203">
        <v>0.13</v>
      </c>
      <c r="I11" s="203">
        <v>0.12</v>
      </c>
      <c r="J11" s="203">
        <v>0.16</v>
      </c>
    </row>
    <row r="12" spans="1:15" x14ac:dyDescent="0.25">
      <c r="B12" s="202" t="s">
        <v>19</v>
      </c>
      <c r="G12" s="201"/>
      <c r="H12" s="201">
        <f t="shared" ref="H12:I12" si="2">H10+H11</f>
        <v>0.17587793688308084</v>
      </c>
      <c r="I12" s="201">
        <f t="shared" si="2"/>
        <v>0.19377376046789851</v>
      </c>
      <c r="J12" s="201">
        <f>J10+J11</f>
        <v>0.16544689279524624</v>
      </c>
      <c r="K12" s="201">
        <v>0.115</v>
      </c>
      <c r="L12" s="201">
        <f>K12+($O$12-$K$12)/5</f>
        <v>0.1</v>
      </c>
      <c r="M12" s="201">
        <f t="shared" ref="M12:N12" si="3">L12+($O$12-$K$12)/5</f>
        <v>8.5000000000000006E-2</v>
      </c>
      <c r="N12" s="201">
        <f t="shared" si="3"/>
        <v>7.0000000000000007E-2</v>
      </c>
      <c r="O12" s="203">
        <v>0.04</v>
      </c>
    </row>
    <row r="13" spans="1:15" x14ac:dyDescent="0.25">
      <c r="B13" s="255" t="s">
        <v>10</v>
      </c>
      <c r="C13" s="255"/>
      <c r="D13" s="255"/>
      <c r="E13" s="255"/>
      <c r="F13" s="255"/>
      <c r="G13" s="256">
        <v>4143</v>
      </c>
      <c r="H13" s="256">
        <v>4910</v>
      </c>
      <c r="I13" s="256">
        <v>5830</v>
      </c>
      <c r="J13" s="256">
        <v>6459</v>
      </c>
      <c r="K13" s="257">
        <f>J13*(1+K16)</f>
        <v>7653.915</v>
      </c>
      <c r="L13" s="257">
        <f t="shared" ref="L13:O13" si="4">K13*(1+L16)</f>
        <v>8909.1570599999995</v>
      </c>
      <c r="M13" s="257">
        <f t="shared" si="4"/>
        <v>10183.16651958</v>
      </c>
      <c r="N13" s="257">
        <f t="shared" si="4"/>
        <v>11425.51283496876</v>
      </c>
      <c r="O13" s="257">
        <f t="shared" si="4"/>
        <v>12339.553861766262</v>
      </c>
    </row>
    <row r="14" spans="1:15" x14ac:dyDescent="0.25">
      <c r="B14" s="198" t="s">
        <v>17</v>
      </c>
      <c r="C14" s="199"/>
      <c r="D14" s="199"/>
      <c r="E14" s="199"/>
      <c r="F14" s="199"/>
      <c r="G14" s="200"/>
      <c r="H14" s="258">
        <f>H13/G13-1</f>
        <v>0.18513154718802793</v>
      </c>
      <c r="I14" s="258">
        <f>I13/H13-1</f>
        <v>0.18737270875763756</v>
      </c>
      <c r="J14" s="258">
        <f>J13/I13-1</f>
        <v>0.10789022298456263</v>
      </c>
      <c r="K14" s="197"/>
      <c r="L14" s="197"/>
      <c r="M14" s="197"/>
      <c r="N14" s="197"/>
      <c r="O14" s="197"/>
    </row>
    <row r="15" spans="1:15" x14ac:dyDescent="0.25">
      <c r="B15" s="202" t="s">
        <v>20</v>
      </c>
      <c r="C15" s="199"/>
      <c r="D15" s="199"/>
      <c r="E15" s="199"/>
      <c r="F15" s="199"/>
      <c r="G15" s="200"/>
      <c r="H15" s="203">
        <v>0.05</v>
      </c>
      <c r="I15" s="203">
        <v>0.03</v>
      </c>
      <c r="J15" s="203">
        <v>0.13</v>
      </c>
      <c r="K15" s="197"/>
      <c r="L15" s="197"/>
      <c r="M15" s="197"/>
      <c r="N15" s="197"/>
      <c r="O15" s="197"/>
    </row>
    <row r="16" spans="1:15" x14ac:dyDescent="0.25">
      <c r="B16" s="202" t="s">
        <v>19</v>
      </c>
      <c r="G16" s="201"/>
      <c r="H16" s="201">
        <f t="shared" ref="H16:I16" si="5">H14+H15</f>
        <v>0.23513154718802792</v>
      </c>
      <c r="I16" s="201">
        <f t="shared" si="5"/>
        <v>0.21737270875763756</v>
      </c>
      <c r="J16" s="201">
        <f>J14+J15</f>
        <v>0.23789022298456264</v>
      </c>
      <c r="K16" s="201">
        <v>0.185</v>
      </c>
      <c r="L16" s="201">
        <f>K16+($O$16-$K$16)/5</f>
        <v>0.16400000000000001</v>
      </c>
      <c r="M16" s="201">
        <f t="shared" ref="M16:N16" si="6">L16+($O$16-$K$16)/5</f>
        <v>0.14300000000000002</v>
      </c>
      <c r="N16" s="201">
        <f t="shared" si="6"/>
        <v>0.12200000000000003</v>
      </c>
      <c r="O16" s="203">
        <v>0.08</v>
      </c>
    </row>
    <row r="17" spans="2:15" x14ac:dyDescent="0.25">
      <c r="B17" s="255" t="s">
        <v>11</v>
      </c>
      <c r="C17" s="255"/>
      <c r="D17" s="255"/>
      <c r="E17" s="255"/>
      <c r="F17" s="255"/>
      <c r="G17" s="256">
        <v>13190</v>
      </c>
      <c r="H17" s="256">
        <v>15674</v>
      </c>
      <c r="I17" s="256">
        <v>16774</v>
      </c>
      <c r="J17" s="256">
        <v>18649</v>
      </c>
      <c r="K17" s="257">
        <f>J17*(1+K20)</f>
        <v>20327.41</v>
      </c>
      <c r="L17" s="257">
        <f t="shared" ref="L17:O17" si="7">K17*(1+L20)</f>
        <v>21994.25762</v>
      </c>
      <c r="M17" s="257">
        <f t="shared" si="7"/>
        <v>23621.832683880002</v>
      </c>
      <c r="N17" s="257">
        <f t="shared" si="7"/>
        <v>25180.873641016085</v>
      </c>
      <c r="O17" s="257">
        <f t="shared" si="7"/>
        <v>26439.917323066889</v>
      </c>
    </row>
    <row r="18" spans="2:15" x14ac:dyDescent="0.25">
      <c r="B18" s="198" t="s">
        <v>17</v>
      </c>
      <c r="C18" s="199"/>
      <c r="D18" s="199"/>
      <c r="E18" s="199"/>
      <c r="F18" s="199"/>
      <c r="G18" s="200"/>
      <c r="H18" s="201">
        <f>H17/G17-1</f>
        <v>0.18832448824867321</v>
      </c>
      <c r="I18" s="201">
        <f>I17/H17-1</f>
        <v>7.0179915784100988E-2</v>
      </c>
      <c r="J18" s="201">
        <f>J17/I17-1</f>
        <v>0.11178013592464531</v>
      </c>
      <c r="K18" s="197"/>
      <c r="L18" s="197"/>
      <c r="M18" s="197"/>
      <c r="N18" s="197"/>
      <c r="O18" s="197"/>
    </row>
    <row r="19" spans="2:15" x14ac:dyDescent="0.25">
      <c r="B19" s="202" t="s">
        <v>20</v>
      </c>
      <c r="C19" s="199"/>
      <c r="D19" s="199"/>
      <c r="E19" s="199"/>
      <c r="F19" s="199"/>
      <c r="G19" s="200"/>
      <c r="H19" s="203">
        <v>0</v>
      </c>
      <c r="I19" s="203">
        <v>0.01</v>
      </c>
      <c r="J19" s="203">
        <v>0</v>
      </c>
      <c r="K19" s="197"/>
      <c r="L19" s="197"/>
      <c r="M19" s="197"/>
      <c r="N19" s="197"/>
      <c r="O19" s="197"/>
    </row>
    <row r="20" spans="2:15" x14ac:dyDescent="0.25">
      <c r="B20" s="202" t="s">
        <v>19</v>
      </c>
      <c r="G20" s="201"/>
      <c r="H20" s="201">
        <f t="shared" ref="H20:I20" si="8">SUM(H18:H19)</f>
        <v>0.18832448824867321</v>
      </c>
      <c r="I20" s="201">
        <f t="shared" si="8"/>
        <v>8.0179915784100983E-2</v>
      </c>
      <c r="J20" s="201">
        <f>SUM(J18:J19)</f>
        <v>0.11178013592464531</v>
      </c>
      <c r="K20" s="201">
        <v>0.09</v>
      </c>
      <c r="L20" s="201">
        <f>K20+($O$20-$K$20)/5</f>
        <v>8.2000000000000003E-2</v>
      </c>
      <c r="M20" s="201">
        <f t="shared" ref="M20:N20" si="9">L20+($O$20-$K$20)/5</f>
        <v>7.400000000000001E-2</v>
      </c>
      <c r="N20" s="201">
        <f t="shared" si="9"/>
        <v>6.6000000000000017E-2</v>
      </c>
      <c r="O20" s="203">
        <v>0.05</v>
      </c>
    </row>
    <row r="21" spans="2:15" x14ac:dyDescent="0.25">
      <c r="B21" s="255" t="s">
        <v>12</v>
      </c>
      <c r="C21" s="255"/>
      <c r="D21" s="255"/>
      <c r="E21" s="255"/>
      <c r="F21" s="255"/>
      <c r="G21" s="256">
        <v>5291</v>
      </c>
      <c r="H21" s="256">
        <v>5445</v>
      </c>
      <c r="I21" s="256">
        <v>5455</v>
      </c>
      <c r="J21" s="256">
        <v>5546</v>
      </c>
      <c r="K21" s="257">
        <f>J21*(1+K24)</f>
        <v>5730.9344454628781</v>
      </c>
      <c r="L21" s="257">
        <f t="shared" ref="L21:O21" si="10">K21*(1+L24)</f>
        <v>5902.9150080150821</v>
      </c>
      <c r="M21" s="257">
        <f t="shared" si="10"/>
        <v>6060.3621452591151</v>
      </c>
      <c r="N21" s="257">
        <f t="shared" si="10"/>
        <v>6201.789111545364</v>
      </c>
      <c r="O21" s="257">
        <f t="shared" si="10"/>
        <v>6325.824893776271</v>
      </c>
    </row>
    <row r="22" spans="2:15" x14ac:dyDescent="0.25">
      <c r="B22" s="198" t="s">
        <v>17</v>
      </c>
      <c r="C22" s="199"/>
      <c r="D22" s="199"/>
      <c r="E22" s="199"/>
      <c r="F22" s="199"/>
      <c r="G22" s="200"/>
      <c r="H22" s="201">
        <f>H21/G21-1</f>
        <v>2.9106029106028997E-2</v>
      </c>
      <c r="I22" s="201">
        <f>I21/H21-1</f>
        <v>1.8365472910928382E-3</v>
      </c>
      <c r="J22" s="201">
        <f>J21/I21-1</f>
        <v>1.668194317140248E-2</v>
      </c>
      <c r="K22" s="197"/>
      <c r="L22" s="197"/>
      <c r="M22" s="197"/>
      <c r="N22" s="197"/>
      <c r="O22" s="197"/>
    </row>
    <row r="23" spans="2:15" x14ac:dyDescent="0.25">
      <c r="B23" s="202" t="s">
        <v>20</v>
      </c>
      <c r="C23" s="199"/>
      <c r="D23" s="199"/>
      <c r="E23" s="199"/>
      <c r="F23" s="199"/>
      <c r="G23" s="200"/>
      <c r="H23" s="203">
        <v>0.08</v>
      </c>
      <c r="I23" s="203">
        <v>0.05</v>
      </c>
      <c r="J23" s="203">
        <v>0.02</v>
      </c>
      <c r="K23" s="197"/>
      <c r="L23" s="197"/>
      <c r="M23" s="197"/>
      <c r="N23" s="197"/>
      <c r="O23" s="197"/>
    </row>
    <row r="24" spans="2:15" x14ac:dyDescent="0.25">
      <c r="B24" s="202" t="s">
        <v>19</v>
      </c>
      <c r="G24" s="201"/>
      <c r="H24" s="201">
        <f t="shared" ref="H24:I24" si="11">SUM(H22:H23)</f>
        <v>0.109106029106029</v>
      </c>
      <c r="I24" s="201">
        <f t="shared" si="11"/>
        <v>5.1836547291092841E-2</v>
      </c>
      <c r="J24" s="201">
        <f>SUM(J22:J23)</f>
        <v>3.6681943171402484E-2</v>
      </c>
      <c r="K24" s="201">
        <f>J24+($O$24-$J$24)/5</f>
        <v>3.3345554537121985E-2</v>
      </c>
      <c r="L24" s="201">
        <f t="shared" ref="L24:N24" si="12">K24+($O$24-$J$24)/5</f>
        <v>3.000916590284149E-2</v>
      </c>
      <c r="M24" s="201">
        <f t="shared" si="12"/>
        <v>2.6672777268560995E-2</v>
      </c>
      <c r="N24" s="201">
        <f t="shared" si="12"/>
        <v>2.3336388634280499E-2</v>
      </c>
      <c r="O24" s="203">
        <v>0.02</v>
      </c>
    </row>
    <row r="25" spans="2:15" x14ac:dyDescent="0.25">
      <c r="B25" s="255" t="s">
        <v>13</v>
      </c>
      <c r="C25" s="255"/>
      <c r="D25" s="255"/>
      <c r="E25" s="255"/>
      <c r="F25" s="255"/>
      <c r="G25" s="256">
        <v>2805</v>
      </c>
      <c r="H25" s="256">
        <v>2843</v>
      </c>
      <c r="I25" s="256">
        <v>3064</v>
      </c>
      <c r="J25" s="256">
        <v>3129</v>
      </c>
      <c r="K25" s="257">
        <f>J25*(1+K28)</f>
        <v>3249.6895331592686</v>
      </c>
      <c r="L25" s="257">
        <f t="shared" ref="L25:O25" si="13">K25*(1+L28)</f>
        <v>3366.445872036531</v>
      </c>
      <c r="M25" s="257">
        <f t="shared" si="13"/>
        <v>3478.5001763578639</v>
      </c>
      <c r="N25" s="257">
        <f t="shared" si="13"/>
        <v>3585.0912305870311</v>
      </c>
      <c r="O25" s="257">
        <f t="shared" si="13"/>
        <v>3685.4737850434681</v>
      </c>
    </row>
    <row r="26" spans="2:15" x14ac:dyDescent="0.25">
      <c r="B26" s="198" t="s">
        <v>17</v>
      </c>
      <c r="C26" s="199"/>
      <c r="D26" s="199"/>
      <c r="E26" s="199"/>
      <c r="F26" s="199"/>
      <c r="G26" s="200"/>
      <c r="H26" s="201">
        <f>H25/G25-1</f>
        <v>1.3547237076648733E-2</v>
      </c>
      <c r="I26" s="201">
        <f>I25/H25-1</f>
        <v>7.773478719662319E-2</v>
      </c>
      <c r="J26" s="201">
        <f>J25/I25-1</f>
        <v>2.1214099216710247E-2</v>
      </c>
      <c r="K26" s="197"/>
      <c r="L26" s="197"/>
      <c r="M26" s="197"/>
      <c r="N26" s="197"/>
      <c r="O26" s="197"/>
    </row>
    <row r="27" spans="2:15" x14ac:dyDescent="0.25">
      <c r="B27" s="202" t="s">
        <v>20</v>
      </c>
      <c r="C27" s="199"/>
      <c r="D27" s="199"/>
      <c r="E27" s="199"/>
      <c r="F27" s="199"/>
      <c r="G27" s="200"/>
      <c r="H27" s="203">
        <v>0.12</v>
      </c>
      <c r="I27" s="203">
        <v>0</v>
      </c>
      <c r="J27" s="203">
        <v>0.02</v>
      </c>
      <c r="K27" s="197"/>
      <c r="L27" s="197"/>
      <c r="M27" s="197"/>
      <c r="N27" s="197"/>
      <c r="O27" s="197"/>
    </row>
    <row r="28" spans="2:15" x14ac:dyDescent="0.25">
      <c r="B28" s="202" t="s">
        <v>19</v>
      </c>
      <c r="G28" s="201"/>
      <c r="H28" s="201">
        <f t="shared" ref="H28:I28" si="14">SUM(H26:H27)</f>
        <v>0.13354723707664873</v>
      </c>
      <c r="I28" s="201">
        <f t="shared" si="14"/>
        <v>7.773478719662319E-2</v>
      </c>
      <c r="J28" s="201">
        <f>SUM(J26:J27)</f>
        <v>4.1214099216710251E-2</v>
      </c>
      <c r="K28" s="201">
        <f>J28+($O$28-$J$28)/5</f>
        <v>3.8571279373368197E-2</v>
      </c>
      <c r="L28" s="201">
        <f t="shared" ref="L28:N28" si="15">K28+($O$28-$J$28)/5</f>
        <v>3.5928459530026144E-2</v>
      </c>
      <c r="M28" s="201">
        <f t="shared" si="15"/>
        <v>3.328563968668409E-2</v>
      </c>
      <c r="N28" s="201">
        <f t="shared" si="15"/>
        <v>3.064281984334204E-2</v>
      </c>
      <c r="O28" s="203">
        <v>2.8000000000000001E-2</v>
      </c>
    </row>
    <row r="29" spans="2:15" x14ac:dyDescent="0.25">
      <c r="B29" s="255" t="s">
        <v>14</v>
      </c>
      <c r="C29" s="255"/>
      <c r="D29" s="255"/>
      <c r="E29" s="255"/>
      <c r="F29" s="255"/>
      <c r="G29" s="256">
        <v>7203</v>
      </c>
      <c r="H29" s="256">
        <v>7891</v>
      </c>
      <c r="I29" s="256">
        <v>7860</v>
      </c>
      <c r="J29" s="256">
        <v>6223</v>
      </c>
      <c r="K29" s="257">
        <f>J29*(1+K32)</f>
        <v>6692.1160254452934</v>
      </c>
      <c r="L29" s="257">
        <f t="shared" ref="L29:O29" si="16">K29*(1+L32)</f>
        <v>7087.2062952223469</v>
      </c>
      <c r="M29" s="257">
        <f t="shared" si="16"/>
        <v>7389.7740998565469</v>
      </c>
      <c r="N29" s="257">
        <f t="shared" si="16"/>
        <v>7584.4655019682896</v>
      </c>
      <c r="O29" s="257">
        <f t="shared" si="16"/>
        <v>7660.3101569879727</v>
      </c>
    </row>
    <row r="30" spans="2:15" x14ac:dyDescent="0.25">
      <c r="B30" s="198" t="s">
        <v>17</v>
      </c>
      <c r="C30" s="199"/>
      <c r="D30" s="199"/>
      <c r="E30" s="199"/>
      <c r="F30" s="199"/>
      <c r="G30" s="200"/>
      <c r="H30" s="201">
        <f>H29/G29-1</f>
        <v>9.5515757323337391E-2</v>
      </c>
      <c r="I30" s="201">
        <f>I29/H29-1</f>
        <v>-3.9285261690533702E-3</v>
      </c>
      <c r="J30" s="201">
        <f>J29/I29-1</f>
        <v>-0.20826972010178113</v>
      </c>
      <c r="K30" s="197"/>
      <c r="L30" s="197"/>
      <c r="M30" s="197"/>
      <c r="N30" s="197"/>
      <c r="O30" s="197"/>
    </row>
    <row r="31" spans="2:15" x14ac:dyDescent="0.25">
      <c r="B31" s="202" t="s">
        <v>20</v>
      </c>
      <c r="C31" s="199"/>
      <c r="D31" s="199"/>
      <c r="E31" s="199"/>
      <c r="F31" s="199"/>
      <c r="G31" s="200"/>
      <c r="H31" s="203">
        <v>0.09</v>
      </c>
      <c r="I31" s="203">
        <v>0.14000000000000001</v>
      </c>
      <c r="J31" s="203">
        <v>0.3</v>
      </c>
      <c r="K31" s="197"/>
      <c r="L31" s="197"/>
      <c r="M31" s="197"/>
      <c r="N31" s="197"/>
      <c r="O31" s="197"/>
    </row>
    <row r="32" spans="2:15" x14ac:dyDescent="0.25">
      <c r="B32" s="202" t="s">
        <v>19</v>
      </c>
      <c r="G32" s="201"/>
      <c r="H32" s="201">
        <f t="shared" ref="H32:I32" si="17">SUM(H30:H31)</f>
        <v>0.18551575732333739</v>
      </c>
      <c r="I32" s="201">
        <f t="shared" si="17"/>
        <v>0.13607147383094664</v>
      </c>
      <c r="J32" s="201">
        <f>SUM(J30:J31)</f>
        <v>9.1730279898218858E-2</v>
      </c>
      <c r="K32" s="201">
        <f>J32+($O$32-$J$32)/5</f>
        <v>7.5384223918575077E-2</v>
      </c>
      <c r="L32" s="201">
        <f t="shared" ref="L32:N32" si="18">K32+($O$32-$J$32)/5</f>
        <v>5.9038167938931303E-2</v>
      </c>
      <c r="M32" s="201">
        <f t="shared" si="18"/>
        <v>4.2692111959287529E-2</v>
      </c>
      <c r="N32" s="201">
        <f t="shared" si="18"/>
        <v>2.6346055979643755E-2</v>
      </c>
      <c r="O32" s="203">
        <v>0.01</v>
      </c>
    </row>
    <row r="33" spans="1:15" x14ac:dyDescent="0.25">
      <c r="B33" s="255" t="s">
        <v>15</v>
      </c>
      <c r="C33" s="255"/>
      <c r="D33" s="255"/>
      <c r="E33" s="255"/>
      <c r="F33" s="255"/>
      <c r="G33" s="256">
        <v>85</v>
      </c>
      <c r="H33" s="256">
        <v>94</v>
      </c>
      <c r="I33" s="256">
        <v>126</v>
      </c>
      <c r="J33" s="256">
        <v>97</v>
      </c>
      <c r="K33" s="257">
        <f>J33*(1+K36)</f>
        <v>79.527682539682544</v>
      </c>
      <c r="L33" s="257">
        <f t="shared" ref="L33:O33" si="19">K33*(1+L36)</f>
        <v>69.181509744520042</v>
      </c>
      <c r="M33" s="257">
        <f t="shared" si="19"/>
        <v>63.642596488149266</v>
      </c>
      <c r="N33" s="257">
        <f t="shared" si="19"/>
        <v>61.731298193616283</v>
      </c>
      <c r="O33" s="257">
        <f t="shared" si="19"/>
        <v>62.965924157488608</v>
      </c>
    </row>
    <row r="34" spans="1:15" x14ac:dyDescent="0.25">
      <c r="B34" s="198" t="s">
        <v>17</v>
      </c>
      <c r="C34" s="199"/>
      <c r="D34" s="199"/>
      <c r="E34" s="199"/>
      <c r="F34" s="199"/>
      <c r="G34" s="200"/>
      <c r="H34" s="201">
        <f>H33/G33-1</f>
        <v>0.10588235294117654</v>
      </c>
      <c r="I34" s="201">
        <f>I33/H33-1</f>
        <v>0.34042553191489366</v>
      </c>
      <c r="J34" s="201">
        <f>J33/I33-1</f>
        <v>-0.23015873015873012</v>
      </c>
      <c r="K34" s="197"/>
      <c r="L34" s="197"/>
      <c r="M34" s="197"/>
      <c r="N34" s="197"/>
      <c r="O34" s="197"/>
    </row>
    <row r="35" spans="1:15" x14ac:dyDescent="0.25">
      <c r="B35" s="202" t="s">
        <v>20</v>
      </c>
      <c r="C35" s="199"/>
      <c r="D35" s="199"/>
      <c r="E35" s="199"/>
      <c r="F35" s="199"/>
      <c r="G35" s="200"/>
      <c r="H35" s="203">
        <v>0</v>
      </c>
      <c r="I35" s="203">
        <v>0</v>
      </c>
      <c r="J35" s="203">
        <v>0</v>
      </c>
      <c r="K35" s="197"/>
      <c r="L35" s="197"/>
      <c r="M35" s="197"/>
      <c r="N35" s="197"/>
      <c r="O35" s="197"/>
    </row>
    <row r="36" spans="1:15" x14ac:dyDescent="0.25">
      <c r="B36" s="202" t="s">
        <v>19</v>
      </c>
      <c r="G36" s="201"/>
      <c r="H36" s="201">
        <f t="shared" ref="H36:I36" si="20">SUM(H34:H35)</f>
        <v>0.10588235294117654</v>
      </c>
      <c r="I36" s="201">
        <f t="shared" si="20"/>
        <v>0.34042553191489366</v>
      </c>
      <c r="J36" s="201">
        <f>SUM(J34:J35)</f>
        <v>-0.23015873015873012</v>
      </c>
      <c r="K36" s="201">
        <f>J36+($O$36-$J$36)/5</f>
        <v>-0.18012698412698408</v>
      </c>
      <c r="L36" s="201">
        <f t="shared" ref="L36:N36" si="21">K36+($O$36-$J$36)/5</f>
        <v>-0.13009523809523804</v>
      </c>
      <c r="M36" s="201">
        <f t="shared" si="21"/>
        <v>-8.0063492063492017E-2</v>
      </c>
      <c r="N36" s="201">
        <f t="shared" si="21"/>
        <v>-3.0031746031745993E-2</v>
      </c>
      <c r="O36" s="203">
        <v>0.02</v>
      </c>
    </row>
    <row r="37" spans="1:15" x14ac:dyDescent="0.25">
      <c r="B37" s="255" t="s">
        <v>16</v>
      </c>
      <c r="C37" s="255"/>
      <c r="D37" s="255"/>
      <c r="E37" s="255"/>
      <c r="F37" s="255"/>
      <c r="G37" s="256">
        <v>-1255</v>
      </c>
      <c r="H37" s="256">
        <v>-1376</v>
      </c>
      <c r="I37" s="256">
        <v>-1433</v>
      </c>
      <c r="J37" s="256">
        <v>-1164</v>
      </c>
      <c r="K37" s="257">
        <f>J37*(1+K38)</f>
        <v>-1144.6468266582156</v>
      </c>
      <c r="L37" s="257">
        <f t="shared" ref="L37:O37" si="22">K37*(1+L38)</f>
        <v>-1125.6154276449511</v>
      </c>
      <c r="M37" s="257">
        <f t="shared" si="22"/>
        <v>-1106.9004529994188</v>
      </c>
      <c r="N37" s="257">
        <f t="shared" si="22"/>
        <v>-1088.4966417116204</v>
      </c>
      <c r="O37" s="257">
        <f t="shared" si="22"/>
        <v>-1070.3988202434116</v>
      </c>
    </row>
    <row r="38" spans="1:15" x14ac:dyDescent="0.25">
      <c r="B38" s="198" t="s">
        <v>17</v>
      </c>
      <c r="C38" s="199"/>
      <c r="D38" s="199"/>
      <c r="E38" s="199"/>
      <c r="F38" s="199"/>
      <c r="G38" s="200"/>
      <c r="H38" s="201">
        <f>H37/G37-1</f>
        <v>9.6414342629482119E-2</v>
      </c>
      <c r="I38" s="201">
        <f>I37/H37-1</f>
        <v>4.142441860465107E-2</v>
      </c>
      <c r="J38" s="201">
        <f>J37/I37-1</f>
        <v>-0.18771807397069085</v>
      </c>
      <c r="K38" s="201">
        <f>AVERAGE(H38:J38)</f>
        <v>-1.6626437578852554E-2</v>
      </c>
      <c r="L38" s="201">
        <f>K38</f>
        <v>-1.6626437578852554E-2</v>
      </c>
      <c r="M38" s="201">
        <f t="shared" ref="M38:O38" si="23">L38</f>
        <v>-1.6626437578852554E-2</v>
      </c>
      <c r="N38" s="201">
        <f t="shared" si="23"/>
        <v>-1.6626437578852554E-2</v>
      </c>
      <c r="O38" s="201">
        <f t="shared" si="23"/>
        <v>-1.6626437578852554E-2</v>
      </c>
    </row>
    <row r="39" spans="1:15" x14ac:dyDescent="0.25">
      <c r="B39" s="199"/>
      <c r="C39" s="199"/>
      <c r="D39" s="199"/>
      <c r="E39" s="199"/>
      <c r="F39" s="199"/>
      <c r="G39" s="200"/>
      <c r="H39" s="201"/>
      <c r="I39" s="201"/>
      <c r="J39" s="201"/>
      <c r="K39" s="197"/>
      <c r="L39" s="197"/>
      <c r="M39" s="197"/>
      <c r="N39" s="197"/>
      <c r="O39" s="197"/>
    </row>
    <row r="40" spans="1:15" ht="13.8" thickBot="1" x14ac:dyDescent="0.3">
      <c r="B40" s="151" t="s">
        <v>18</v>
      </c>
      <c r="C40" s="151"/>
      <c r="D40" s="151"/>
      <c r="E40" s="151"/>
      <c r="F40" s="151"/>
      <c r="G40" s="204">
        <f>G9+G13+G17+G21+G25+G29+G33+G37</f>
        <v>38655</v>
      </c>
      <c r="H40" s="204">
        <f t="shared" ref="H40:O40" si="24">H9+H13+H17+H21+H25+H29+H33+H37</f>
        <v>43004</v>
      </c>
      <c r="I40" s="204">
        <f t="shared" si="24"/>
        <v>45754</v>
      </c>
      <c r="J40" s="204">
        <f t="shared" si="24"/>
        <v>47061</v>
      </c>
      <c r="K40" s="204">
        <f>K9+K13+K17+K21+K25+K29+K33+K37</f>
        <v>51644.9758599489</v>
      </c>
      <c r="L40" s="204">
        <f t="shared" si="24"/>
        <v>56165.18093737353</v>
      </c>
      <c r="M40" s="204">
        <f t="shared" si="24"/>
        <v>60498.749573422261</v>
      </c>
      <c r="N40" s="204">
        <f t="shared" si="24"/>
        <v>64515.924807917516</v>
      </c>
      <c r="O40" s="204">
        <f t="shared" si="24"/>
        <v>67471.203269158927</v>
      </c>
    </row>
    <row r="41" spans="1:15" x14ac:dyDescent="0.25">
      <c r="B41" s="145" t="s">
        <v>21</v>
      </c>
      <c r="H41" s="201">
        <f>H40/G40-1</f>
        <v>0.11250808433579107</v>
      </c>
      <c r="I41" s="201">
        <f t="shared" ref="I41:O41" si="25">I40/H40-1</f>
        <v>6.3947539763743011E-2</v>
      </c>
      <c r="J41" s="201">
        <f t="shared" si="25"/>
        <v>2.8565808453905772E-2</v>
      </c>
      <c r="K41" s="201">
        <f t="shared" si="25"/>
        <v>9.740498204349457E-2</v>
      </c>
      <c r="L41" s="201">
        <f t="shared" si="25"/>
        <v>8.7524584960259055E-2</v>
      </c>
      <c r="M41" s="201">
        <f t="shared" si="25"/>
        <v>7.7157565661202687E-2</v>
      </c>
      <c r="N41" s="201">
        <f t="shared" si="25"/>
        <v>6.6400963041722827E-2</v>
      </c>
      <c r="O41" s="201">
        <f t="shared" si="25"/>
        <v>4.5806961150136605E-2</v>
      </c>
    </row>
    <row r="42" spans="1:15" x14ac:dyDescent="0.25">
      <c r="B42" s="145"/>
      <c r="H42" s="201"/>
      <c r="I42" s="201"/>
      <c r="J42" s="201"/>
      <c r="K42" s="201"/>
      <c r="L42" s="201"/>
      <c r="M42" s="201"/>
      <c r="N42" s="201"/>
      <c r="O42" s="201"/>
    </row>
    <row r="43" spans="1:15" x14ac:dyDescent="0.25">
      <c r="B43" s="132" t="s">
        <v>374</v>
      </c>
      <c r="G43" s="196">
        <v>7291</v>
      </c>
      <c r="H43" s="196">
        <v>7656</v>
      </c>
      <c r="I43" s="196">
        <v>7984</v>
      </c>
      <c r="J43" s="196">
        <v>8359</v>
      </c>
      <c r="K43" s="197">
        <f>Historicals!L48*Assumptions!K44</f>
        <v>8554.454888932758</v>
      </c>
      <c r="L43" s="197">
        <f>Historicals!M48*Assumptions!L44</f>
        <v>9450.7154961095166</v>
      </c>
      <c r="M43" s="197">
        <f>Historicals!N48*Assumptions!M44</f>
        <v>10328.144922844758</v>
      </c>
      <c r="N43" s="197">
        <f>Historicals!O48*Assumptions!N44</f>
        <v>11166.467364727305</v>
      </c>
      <c r="O43" s="197">
        <f>Historicals!P48*Assumptions!O44</f>
        <v>11839.375812326007</v>
      </c>
    </row>
    <row r="44" spans="1:15" x14ac:dyDescent="0.25">
      <c r="B44" s="145" t="s">
        <v>66</v>
      </c>
      <c r="G44" s="205">
        <f>G43/Historicals!H48</f>
        <v>0.72288320444180054</v>
      </c>
      <c r="H44" s="205">
        <f>H43/Historicals!I48</f>
        <v>0.70869202999166903</v>
      </c>
      <c r="I44" s="205">
        <f>I43/Historicals!J48</f>
        <v>0.68373726128286372</v>
      </c>
      <c r="J44" s="205">
        <f>J43/Historicals!K48</f>
        <v>0.67070528765144832</v>
      </c>
      <c r="K44" s="205">
        <f>J44+($O$44-$J$44)/5</f>
        <v>0.67656423012115863</v>
      </c>
      <c r="L44" s="205">
        <f t="shared" ref="L44:N44" si="26">K44+($O$44-$J$44)/5</f>
        <v>0.68242317259086893</v>
      </c>
      <c r="M44" s="205">
        <f t="shared" si="26"/>
        <v>0.68828211506057924</v>
      </c>
      <c r="N44" s="205">
        <f t="shared" si="26"/>
        <v>0.69414105753028954</v>
      </c>
      <c r="O44" s="206">
        <v>0.7</v>
      </c>
    </row>
    <row r="46" spans="1:15" x14ac:dyDescent="0.25">
      <c r="A46" s="144" t="s">
        <v>483</v>
      </c>
      <c r="B46" s="136" t="s">
        <v>63</v>
      </c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</row>
    <row r="47" spans="1:15" x14ac:dyDescent="0.25">
      <c r="B47" s="132" t="s">
        <v>64</v>
      </c>
      <c r="G47" s="273">
        <f>Historicals!H15</f>
        <v>15410</v>
      </c>
      <c r="H47" s="273">
        <f>Historicals!I15</f>
        <v>17817</v>
      </c>
      <c r="I47" s="273">
        <f>Historicals!J15</f>
        <v>18465</v>
      </c>
      <c r="J47" s="273">
        <f>Historicals!K15</f>
        <v>18254</v>
      </c>
      <c r="K47" s="197">
        <f>K40*K48</f>
        <v>20715.005058024217</v>
      </c>
      <c r="L47" s="197">
        <f t="shared" ref="L47:O47" si="27">L40*L48</f>
        <v>22528.077278177454</v>
      </c>
      <c r="M47" s="197">
        <f t="shared" si="27"/>
        <v>24266.288879989082</v>
      </c>
      <c r="N47" s="197">
        <f t="shared" si="27"/>
        <v>25877.593831069007</v>
      </c>
      <c r="O47" s="197">
        <f t="shared" si="27"/>
        <v>27062.967766347796</v>
      </c>
    </row>
    <row r="48" spans="1:15" x14ac:dyDescent="0.25">
      <c r="B48" s="132" t="s">
        <v>65</v>
      </c>
      <c r="G48" s="201">
        <f>G47/G40</f>
        <v>0.39865476652438236</v>
      </c>
      <c r="H48" s="201">
        <f t="shared" ref="H48:J48" si="28">H47/H40</f>
        <v>0.41431029671658448</v>
      </c>
      <c r="I48" s="201">
        <f t="shared" si="28"/>
        <v>0.40357127245705293</v>
      </c>
      <c r="J48" s="201">
        <f t="shared" si="28"/>
        <v>0.38787956057032363</v>
      </c>
      <c r="K48" s="201">
        <f>AVERAGE($G$48:$J$48)</f>
        <v>0.40110397406708581</v>
      </c>
      <c r="L48" s="201">
        <f t="shared" ref="L48:O48" si="29">AVERAGE($G$48:$J$48)</f>
        <v>0.40110397406708581</v>
      </c>
      <c r="M48" s="201">
        <f t="shared" si="29"/>
        <v>0.40110397406708581</v>
      </c>
      <c r="N48" s="201">
        <f t="shared" si="29"/>
        <v>0.40110397406708581</v>
      </c>
      <c r="O48" s="201">
        <f t="shared" si="29"/>
        <v>0.40110397406708581</v>
      </c>
    </row>
    <row r="50" spans="2:15" x14ac:dyDescent="0.25">
      <c r="B50" s="255" t="s">
        <v>72</v>
      </c>
      <c r="C50" s="255"/>
      <c r="D50" s="255"/>
      <c r="E50" s="255"/>
      <c r="F50" s="255"/>
      <c r="G50" s="274">
        <f>Historicals!H21</f>
        <v>12139</v>
      </c>
      <c r="H50" s="274">
        <f>Historicals!I21</f>
        <v>12884</v>
      </c>
      <c r="I50" s="274">
        <f>Historicals!J21</f>
        <v>13983</v>
      </c>
      <c r="J50" s="274">
        <f>Historicals!K21</f>
        <v>14558</v>
      </c>
      <c r="K50" s="257">
        <f>K40*K51</f>
        <v>15862.628593413157</v>
      </c>
      <c r="L50" s="257">
        <f t="shared" ref="L50:O50" si="30">L40*L51</f>
        <v>17250.998577430382</v>
      </c>
      <c r="M50" s="257">
        <f t="shared" si="30"/>
        <v>18582.043632889781</v>
      </c>
      <c r="N50" s="257">
        <f t="shared" si="30"/>
        <v>19815.909225396979</v>
      </c>
      <c r="O50" s="257">
        <f t="shared" si="30"/>
        <v>20723.615809439372</v>
      </c>
    </row>
    <row r="51" spans="2:15" x14ac:dyDescent="0.25">
      <c r="B51" s="132" t="s">
        <v>73</v>
      </c>
      <c r="G51" s="201">
        <f>G50/G40</f>
        <v>0.3140344069331264</v>
      </c>
      <c r="H51" s="201">
        <f t="shared" ref="H51:J51" si="31">H50/H40</f>
        <v>0.29960003720584133</v>
      </c>
      <c r="I51" s="201">
        <f t="shared" si="31"/>
        <v>0.30561262403287143</v>
      </c>
      <c r="J51" s="201">
        <f t="shared" si="31"/>
        <v>0.30934319287732942</v>
      </c>
      <c r="K51" s="201">
        <f>AVERAGE($G$51:$J$51)</f>
        <v>0.30714756526229214</v>
      </c>
      <c r="L51" s="201">
        <f t="shared" ref="L51:O51" si="32">AVERAGE($G$51:$J$51)</f>
        <v>0.30714756526229214</v>
      </c>
      <c r="M51" s="201">
        <f t="shared" si="32"/>
        <v>0.30714756526229214</v>
      </c>
      <c r="N51" s="201">
        <f t="shared" si="32"/>
        <v>0.30714756526229214</v>
      </c>
      <c r="O51" s="201">
        <f t="shared" si="32"/>
        <v>0.30714756526229214</v>
      </c>
    </row>
    <row r="53" spans="2:15" x14ac:dyDescent="0.25">
      <c r="B53" s="255" t="s">
        <v>29</v>
      </c>
      <c r="C53" s="255"/>
      <c r="D53" s="255"/>
      <c r="E53" s="255"/>
      <c r="F53" s="255"/>
      <c r="G53" s="274">
        <f>Historicals!H36</f>
        <v>1451</v>
      </c>
      <c r="H53" s="274">
        <f>Historicals!I36</f>
        <v>1506</v>
      </c>
      <c r="I53" s="274">
        <f>Historicals!J36</f>
        <v>1850</v>
      </c>
      <c r="J53" s="274">
        <f>Historicals!K36</f>
        <v>1862</v>
      </c>
      <c r="K53" s="257">
        <f>K40*K54</f>
        <v>1969.6939247717908</v>
      </c>
      <c r="L53" s="257">
        <f>L40*L54</f>
        <v>2142.0905680361857</v>
      </c>
      <c r="M53" s="257">
        <f>M40*M54</f>
        <v>2307.3690616916806</v>
      </c>
      <c r="N53" s="257">
        <f>N40*N54</f>
        <v>2460.5805894806845</v>
      </c>
      <c r="O53" s="257">
        <f>O40*O54</f>
        <v>2573.2923089498063</v>
      </c>
    </row>
    <row r="54" spans="2:15" x14ac:dyDescent="0.25">
      <c r="B54" s="132" t="s">
        <v>74</v>
      </c>
      <c r="G54" s="201">
        <f>G53/G40</f>
        <v>3.7537187944638471E-2</v>
      </c>
      <c r="H54" s="201">
        <f>H53/H40</f>
        <v>3.5019998139707936E-2</v>
      </c>
      <c r="I54" s="201">
        <f>I53/I40</f>
        <v>4.0433623289767018E-2</v>
      </c>
      <c r="J54" s="201">
        <f>J53/J40</f>
        <v>3.9565670087758444E-2</v>
      </c>
      <c r="K54" s="201">
        <f>AVERAGE($G$54:$J$54)</f>
        <v>3.8139119865467967E-2</v>
      </c>
      <c r="L54" s="201">
        <f t="shared" ref="L54:O54" si="33">AVERAGE($G$54:$J$54)</f>
        <v>3.8139119865467967E-2</v>
      </c>
      <c r="M54" s="201">
        <f t="shared" si="33"/>
        <v>3.8139119865467967E-2</v>
      </c>
      <c r="N54" s="201">
        <f t="shared" si="33"/>
        <v>3.8139119865467967E-2</v>
      </c>
      <c r="O54" s="201">
        <f t="shared" si="33"/>
        <v>3.8139119865467967E-2</v>
      </c>
    </row>
    <row r="56" spans="2:15" x14ac:dyDescent="0.25">
      <c r="B56" s="255" t="s">
        <v>30</v>
      </c>
      <c r="C56" s="255"/>
      <c r="D56" s="255"/>
      <c r="E56" s="255"/>
      <c r="F56" s="255"/>
      <c r="G56" s="274">
        <f>Historicals!H40</f>
        <v>367</v>
      </c>
      <c r="H56" s="274">
        <f>Historicals!I40</f>
        <v>-17</v>
      </c>
      <c r="I56" s="274">
        <f>Historicals!J40</f>
        <v>-138</v>
      </c>
      <c r="J56" s="274">
        <f>Historicals!K40</f>
        <v>79</v>
      </c>
      <c r="K56" s="257">
        <f>K40*K57</f>
        <v>100.21029096582967</v>
      </c>
      <c r="L56" s="257">
        <f>L40*L57</f>
        <v>108.98115509136072</v>
      </c>
      <c r="M56" s="257">
        <f>M40*M57</f>
        <v>117.3898757211561</v>
      </c>
      <c r="N56" s="257">
        <f>N40*N57</f>
        <v>125.18467652038902</v>
      </c>
      <c r="O56" s="257">
        <f>O40*O57</f>
        <v>130.91900613435089</v>
      </c>
    </row>
    <row r="57" spans="2:15" x14ac:dyDescent="0.25">
      <c r="B57" s="132" t="s">
        <v>75</v>
      </c>
      <c r="G57" s="201">
        <f>G56/G40</f>
        <v>9.4942439529168282E-3</v>
      </c>
      <c r="H57" s="201">
        <f>H56/H40</f>
        <v>-3.9531206399404708E-4</v>
      </c>
      <c r="I57" s="201">
        <f>I56/I40</f>
        <v>-3.0161297372907287E-3</v>
      </c>
      <c r="J57" s="201">
        <f>J56/J40</f>
        <v>1.6786723614032851E-3</v>
      </c>
      <c r="K57" s="201">
        <f>AVERAGE($G$57:$J$57)</f>
        <v>1.9403686282588345E-3</v>
      </c>
      <c r="L57" s="201">
        <f t="shared" ref="L57:O57" si="34">AVERAGE($G$57:$J$57)</f>
        <v>1.9403686282588345E-3</v>
      </c>
      <c r="M57" s="201">
        <f t="shared" si="34"/>
        <v>1.9403686282588345E-3</v>
      </c>
      <c r="N57" s="201">
        <f t="shared" si="34"/>
        <v>1.9403686282588345E-3</v>
      </c>
      <c r="O57" s="201">
        <f t="shared" si="34"/>
        <v>1.9403686282588345E-3</v>
      </c>
    </row>
    <row r="59" spans="2:15" x14ac:dyDescent="0.25">
      <c r="B59" s="255" t="s">
        <v>32</v>
      </c>
      <c r="C59" s="255"/>
      <c r="D59" s="255"/>
      <c r="E59" s="255"/>
      <c r="F59" s="255"/>
      <c r="G59" s="274">
        <f>Historicals!H44</f>
        <v>2308</v>
      </c>
      <c r="H59" s="274">
        <f>Historicals!I44</f>
        <v>2545</v>
      </c>
      <c r="I59" s="274">
        <f>Historicals!J44</f>
        <v>2737</v>
      </c>
      <c r="J59" s="274">
        <f>Historicals!K44</f>
        <v>2852</v>
      </c>
      <c r="K59" s="257">
        <f>Historicals!L41*Assumptions!K60</f>
        <v>2931.4646545099504</v>
      </c>
      <c r="L59" s="257">
        <f>Historicals!M41*Assumptions!L60</f>
        <v>3209.5005682344959</v>
      </c>
      <c r="M59" s="257">
        <f>Historicals!N41*Assumptions!M60</f>
        <v>3476.4564488162255</v>
      </c>
      <c r="N59" s="257">
        <f>Historicals!O41*Assumptions!N60</f>
        <v>3727.9346334459738</v>
      </c>
      <c r="O59" s="257">
        <f>Historicals!P41*Assumptions!O60</f>
        <v>3919.1272282029254</v>
      </c>
    </row>
    <row r="60" spans="2:15" x14ac:dyDescent="0.25">
      <c r="B60" s="132" t="s">
        <v>87</v>
      </c>
      <c r="G60" s="201">
        <f>G59/Historicals!H41</f>
        <v>0.18572463185000401</v>
      </c>
      <c r="H60" s="201">
        <f>H59/Historicals!I41</f>
        <v>0.19025192494580251</v>
      </c>
      <c r="I60" s="201">
        <f>I59/Historicals!J41</f>
        <v>0.19002985489134208</v>
      </c>
      <c r="J60" s="201">
        <f>J59/Historicals!K41</f>
        <v>0.18600404356616448</v>
      </c>
      <c r="K60" s="201">
        <f>AVERAGE($G$60:$J$60)</f>
        <v>0.18800261381332828</v>
      </c>
      <c r="L60" s="201">
        <f t="shared" ref="L60:O60" si="35">AVERAGE($G$60:$J$60)</f>
        <v>0.18800261381332828</v>
      </c>
      <c r="M60" s="201">
        <f t="shared" si="35"/>
        <v>0.18800261381332828</v>
      </c>
      <c r="N60" s="201">
        <f t="shared" si="35"/>
        <v>0.18800261381332828</v>
      </c>
      <c r="O60" s="201">
        <f t="shared" si="35"/>
        <v>0.18800261381332828</v>
      </c>
    </row>
    <row r="62" spans="2:15" x14ac:dyDescent="0.25">
      <c r="B62" s="255" t="s">
        <v>34</v>
      </c>
      <c r="C62" s="255"/>
      <c r="D62" s="255"/>
      <c r="E62" s="255"/>
      <c r="F62" s="255"/>
      <c r="G62" s="274">
        <f>Historicals!H47</f>
        <v>33</v>
      </c>
      <c r="H62" s="274">
        <f>Historicals!I47</f>
        <v>29</v>
      </c>
      <c r="I62" s="274">
        <f>Historicals!J47</f>
        <v>-11</v>
      </c>
      <c r="J62" s="274">
        <f>Historicals!K47</f>
        <v>18</v>
      </c>
      <c r="K62" s="257">
        <f>AVERAGE(G62:J62)</f>
        <v>17.25</v>
      </c>
      <c r="L62" s="257">
        <f t="shared" ref="L62:O62" si="36">AVERAGE(H62:K62)</f>
        <v>13.3125</v>
      </c>
      <c r="M62" s="257">
        <f t="shared" si="36"/>
        <v>9.390625</v>
      </c>
      <c r="N62" s="257">
        <f t="shared" si="36"/>
        <v>14.48828125</v>
      </c>
      <c r="O62" s="257">
        <f t="shared" si="36"/>
        <v>13.6103515625</v>
      </c>
    </row>
    <row r="64" spans="2:15" x14ac:dyDescent="0.25">
      <c r="B64" s="132" t="s">
        <v>394</v>
      </c>
      <c r="G64" s="207">
        <f>(Historicals!H99+Historicals!H95)/Historicals!H62</f>
        <v>3.1409919592389142</v>
      </c>
      <c r="H64" s="207">
        <f>(Historicals!I99+Historicals!I95)/Historicals!I62</f>
        <v>2.7031238515251745</v>
      </c>
      <c r="I64" s="207">
        <f>(Historicals!J99+Historicals!J95)/Historicals!J62</f>
        <v>2.5931277654867255</v>
      </c>
      <c r="J64" s="207">
        <f>(Historicals!K99+Historicals!K95)/Historicals!K62</f>
        <v>2.8379287598944591</v>
      </c>
      <c r="K64" s="207">
        <f>J64+($O$64-$J$64)/5</f>
        <v>2.6703430079155672</v>
      </c>
      <c r="L64" s="207">
        <f t="shared" ref="L64:N64" si="37">K64+($O$64-$J$64)/5</f>
        <v>2.5027572559366753</v>
      </c>
      <c r="M64" s="207">
        <f t="shared" si="37"/>
        <v>2.3351715039577834</v>
      </c>
      <c r="N64" s="207">
        <f t="shared" si="37"/>
        <v>2.1675857519788915</v>
      </c>
      <c r="O64" s="208">
        <v>2</v>
      </c>
    </row>
    <row r="66" spans="2:15" x14ac:dyDescent="0.25">
      <c r="B66" s="132" t="s">
        <v>395</v>
      </c>
      <c r="G66" s="209">
        <f>Historicals!H94/SUM(Historicals!H99,Historicals!H95)</f>
        <v>8.3819131140061842E-2</v>
      </c>
      <c r="H66" s="209">
        <f>Historicals!I94/SUM(Historicals!I99,Historicals!I95)</f>
        <v>6.4525777681096366E-2</v>
      </c>
      <c r="I66" s="209">
        <f>Historicals!J94/SUM(Historicals!J99,Historicals!J95)</f>
        <v>0.1214973205001733</v>
      </c>
      <c r="J66" s="209">
        <f>Historicals!K94/SUM(Historicals!K99,Historicals!K95)</f>
        <v>3.4841828789252259E-2</v>
      </c>
      <c r="K66" s="210">
        <f>J66</f>
        <v>3.4841828789252259E-2</v>
      </c>
      <c r="L66" s="210">
        <f t="shared" ref="L66:O66" si="38">K66</f>
        <v>3.4841828789252259E-2</v>
      </c>
      <c r="M66" s="210">
        <f t="shared" si="38"/>
        <v>3.4841828789252259E-2</v>
      </c>
      <c r="N66" s="210">
        <f t="shared" si="38"/>
        <v>3.4841828789252259E-2</v>
      </c>
      <c r="O66" s="210">
        <f t="shared" si="38"/>
        <v>3.4841828789252259E-2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12EE-37BF-4A79-A7BE-FE2003D58EDD}">
  <dimension ref="A2:Q76"/>
  <sheetViews>
    <sheetView showGridLines="0" topLeftCell="A52" workbookViewId="0">
      <selection activeCell="K10" sqref="K10"/>
    </sheetView>
  </sheetViews>
  <sheetFormatPr defaultRowHeight="14.4" x14ac:dyDescent="0.3"/>
  <cols>
    <col min="1" max="1" width="2.88671875" style="40" customWidth="1"/>
    <col min="8" max="16" width="11.77734375" customWidth="1"/>
  </cols>
  <sheetData>
    <row r="2" spans="1:16" x14ac:dyDescent="0.3">
      <c r="B2" s="2" t="s">
        <v>0</v>
      </c>
      <c r="C2" s="3"/>
      <c r="D2" s="3"/>
      <c r="E2" s="3"/>
      <c r="F2" s="3"/>
      <c r="G2" s="4"/>
      <c r="H2" s="4"/>
      <c r="I2" s="4"/>
      <c r="J2" s="4"/>
      <c r="K2" s="4"/>
      <c r="L2" s="4"/>
      <c r="M2" s="5"/>
      <c r="N2" s="5"/>
      <c r="O2" s="5"/>
      <c r="P2" s="5"/>
    </row>
    <row r="3" spans="1:16" x14ac:dyDescent="0.3">
      <c r="B3" s="17" t="s">
        <v>194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5"/>
      <c r="O3" s="5"/>
      <c r="P3" s="5"/>
    </row>
    <row r="4" spans="1:16" x14ac:dyDescent="0.3">
      <c r="B4" s="6" t="s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5"/>
      <c r="O4" s="5"/>
      <c r="P4" s="5"/>
    </row>
    <row r="5" spans="1:16" x14ac:dyDescent="0.3">
      <c r="B5" s="225" t="s">
        <v>2</v>
      </c>
      <c r="C5" s="226"/>
      <c r="D5" s="226"/>
      <c r="E5" s="226"/>
      <c r="F5" s="226"/>
      <c r="G5" s="226"/>
      <c r="H5" s="228">
        <v>44561</v>
      </c>
      <c r="I5" s="227">
        <f>EDATE(H5,12)</f>
        <v>44926</v>
      </c>
      <c r="J5" s="227">
        <f t="shared" ref="J5:P5" si="0">EDATE(I5,12)</f>
        <v>45291</v>
      </c>
      <c r="K5" s="227">
        <f t="shared" si="0"/>
        <v>45657</v>
      </c>
      <c r="L5" s="228">
        <f t="shared" si="0"/>
        <v>46022</v>
      </c>
      <c r="M5" s="227">
        <f t="shared" si="0"/>
        <v>46387</v>
      </c>
      <c r="N5" s="227">
        <f t="shared" si="0"/>
        <v>46752</v>
      </c>
      <c r="O5" s="227">
        <f t="shared" si="0"/>
        <v>47118</v>
      </c>
      <c r="P5" s="229">
        <f t="shared" si="0"/>
        <v>47483</v>
      </c>
    </row>
    <row r="6" spans="1:16" x14ac:dyDescent="0.3">
      <c r="B6" s="7" t="s">
        <v>3</v>
      </c>
      <c r="C6" s="4"/>
      <c r="D6" s="4"/>
      <c r="E6" s="4"/>
      <c r="F6" s="4"/>
      <c r="G6" s="4"/>
      <c r="H6" s="224" t="s">
        <v>4</v>
      </c>
      <c r="I6" s="39" t="s">
        <v>4</v>
      </c>
      <c r="J6" s="39" t="s">
        <v>4</v>
      </c>
      <c r="K6" s="39" t="s">
        <v>4</v>
      </c>
      <c r="L6" s="224" t="s">
        <v>5</v>
      </c>
      <c r="M6" s="39" t="s">
        <v>5</v>
      </c>
      <c r="N6" s="39" t="s">
        <v>5</v>
      </c>
      <c r="O6" s="39" t="s">
        <v>5</v>
      </c>
      <c r="P6" s="39" t="s">
        <v>5</v>
      </c>
    </row>
    <row r="8" spans="1:16" x14ac:dyDescent="0.3">
      <c r="A8" s="40" t="s">
        <v>483</v>
      </c>
      <c r="B8" s="7" t="s">
        <v>195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B9" s="239" t="s">
        <v>196</v>
      </c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0"/>
      <c r="P9" s="240"/>
    </row>
    <row r="10" spans="1:16" x14ac:dyDescent="0.3">
      <c r="B10" t="s">
        <v>197</v>
      </c>
      <c r="H10" s="9">
        <v>19700</v>
      </c>
      <c r="I10" s="8">
        <f>H12</f>
        <v>18862</v>
      </c>
      <c r="J10" s="8">
        <f>I12</f>
        <v>19075</v>
      </c>
      <c r="K10" s="8">
        <f>J12</f>
        <v>18469</v>
      </c>
      <c r="L10" s="8">
        <f>K12</f>
        <v>19873</v>
      </c>
      <c r="M10" s="8">
        <f t="shared" ref="M10:P10" si="1">L12</f>
        <v>22589.411483465545</v>
      </c>
      <c r="N10" s="8">
        <f t="shared" si="1"/>
        <v>24566.540348052378</v>
      </c>
      <c r="O10" s="8">
        <f t="shared" si="1"/>
        <v>26462.034798025816</v>
      </c>
      <c r="P10" s="8">
        <f t="shared" si="1"/>
        <v>28219.139392658311</v>
      </c>
    </row>
    <row r="11" spans="1:16" x14ac:dyDescent="0.3">
      <c r="B11" s="25" t="s">
        <v>198</v>
      </c>
      <c r="H11" s="8">
        <f>H12-H10</f>
        <v>-838</v>
      </c>
      <c r="I11" s="8">
        <f t="shared" ref="I11:K11" si="2">I12-I10</f>
        <v>213</v>
      </c>
      <c r="J11" s="8">
        <f t="shared" si="2"/>
        <v>-606</v>
      </c>
      <c r="K11" s="8">
        <f t="shared" si="2"/>
        <v>1404</v>
      </c>
      <c r="L11" s="8">
        <f>L12-L10</f>
        <v>2716.4114834655447</v>
      </c>
      <c r="M11" s="8">
        <f t="shared" ref="M11" si="3">M12-M10</f>
        <v>1977.1288645868335</v>
      </c>
      <c r="N11" s="8">
        <f t="shared" ref="N11" si="4">N12-N10</f>
        <v>1895.4944499734374</v>
      </c>
      <c r="O11" s="8">
        <f t="shared" ref="O11" si="5">O12-O10</f>
        <v>1757.1045946324957</v>
      </c>
      <c r="P11" s="8">
        <f t="shared" ref="P11" si="6">P12-P10</f>
        <v>1292.633021849786</v>
      </c>
    </row>
    <row r="12" spans="1:16" x14ac:dyDescent="0.3">
      <c r="B12" t="s">
        <v>199</v>
      </c>
      <c r="G12" s="8"/>
      <c r="H12" s="9">
        <v>18862</v>
      </c>
      <c r="I12" s="9">
        <v>19075</v>
      </c>
      <c r="J12" s="9">
        <v>18469</v>
      </c>
      <c r="K12" s="9">
        <v>19873</v>
      </c>
      <c r="L12" s="8">
        <f>Historicals!L11/Schedule!L19</f>
        <v>22589.411483465545</v>
      </c>
      <c r="M12" s="8">
        <f>Historicals!M11/Schedule!M19</f>
        <v>24566.540348052378</v>
      </c>
      <c r="N12" s="8">
        <f>Historicals!N11/Schedule!N19</f>
        <v>26462.034798025816</v>
      </c>
      <c r="O12" s="8">
        <f>Historicals!O11/Schedule!O19</f>
        <v>28219.139392658311</v>
      </c>
      <c r="P12" s="8">
        <f>Historicals!P11/Schedule!P19</f>
        <v>29511.772414508097</v>
      </c>
    </row>
    <row r="13" spans="1:16" x14ac:dyDescent="0.3">
      <c r="B13" s="25" t="s">
        <v>325</v>
      </c>
      <c r="H13" s="9">
        <v>8942</v>
      </c>
      <c r="I13" s="9">
        <v>9234</v>
      </c>
      <c r="J13" s="9">
        <v>9233</v>
      </c>
      <c r="K13" s="9">
        <v>9570</v>
      </c>
      <c r="L13" s="8">
        <f>K13+L16</f>
        <v>10703.278480803861</v>
      </c>
      <c r="M13" s="8">
        <f t="shared" ref="M13:P13" si="7">L13+M16</f>
        <v>11935.746690284475</v>
      </c>
      <c r="N13" s="8">
        <f t="shared" si="7"/>
        <v>13263.309146563433</v>
      </c>
      <c r="O13" s="8">
        <f t="shared" si="7"/>
        <v>14679.02302843735</v>
      </c>
      <c r="P13" s="8">
        <f t="shared" si="7"/>
        <v>16159.586461097973</v>
      </c>
    </row>
    <row r="14" spans="1:16" ht="15" thickBot="1" x14ac:dyDescent="0.35">
      <c r="B14" s="10" t="s">
        <v>326</v>
      </c>
      <c r="C14" s="10"/>
      <c r="D14" s="10"/>
      <c r="E14" s="10"/>
      <c r="F14" s="10"/>
      <c r="G14" s="10"/>
      <c r="H14" s="29">
        <v>9920</v>
      </c>
      <c r="I14" s="29">
        <v>9841</v>
      </c>
      <c r="J14" s="29">
        <v>9236</v>
      </c>
      <c r="K14" s="29">
        <v>10303</v>
      </c>
      <c r="L14" s="11">
        <f>L12-L13</f>
        <v>11886.133002661683</v>
      </c>
      <c r="M14" s="11">
        <f t="shared" ref="M14:P14" si="8">M12-M13</f>
        <v>12630.793657767903</v>
      </c>
      <c r="N14" s="11">
        <f t="shared" si="8"/>
        <v>13198.725651462382</v>
      </c>
      <c r="O14" s="11">
        <f t="shared" si="8"/>
        <v>13540.116364220961</v>
      </c>
      <c r="P14" s="11">
        <f t="shared" si="8"/>
        <v>13352.185953410124</v>
      </c>
    </row>
    <row r="16" spans="1:16" x14ac:dyDescent="0.3">
      <c r="B16" t="s">
        <v>328</v>
      </c>
      <c r="H16" s="9">
        <v>1262</v>
      </c>
      <c r="I16" s="9">
        <v>1125</v>
      </c>
      <c r="J16" s="9">
        <v>1018</v>
      </c>
      <c r="K16" s="9">
        <v>997</v>
      </c>
      <c r="L16" s="8">
        <f>L12*L18</f>
        <v>1133.2784808038618</v>
      </c>
      <c r="M16" s="8">
        <f t="shared" ref="M16:P16" si="9">M12*M18</f>
        <v>1232.468209480613</v>
      </c>
      <c r="N16" s="8">
        <f t="shared" si="9"/>
        <v>1327.5624562789583</v>
      </c>
      <c r="O16" s="8">
        <f t="shared" si="9"/>
        <v>1415.7138818739161</v>
      </c>
      <c r="P16" s="8">
        <f t="shared" si="9"/>
        <v>1480.5634326606237</v>
      </c>
    </row>
    <row r="17" spans="2:16" x14ac:dyDescent="0.3">
      <c r="B17" t="s">
        <v>327</v>
      </c>
      <c r="H17" s="270">
        <f>Historicals!H63</f>
        <v>1452</v>
      </c>
      <c r="I17" s="270">
        <f>Historicals!I63</f>
        <v>1260</v>
      </c>
      <c r="J17" s="270">
        <f>Historicals!J63</f>
        <v>1128</v>
      </c>
      <c r="K17" s="270">
        <f>Historicals!K63</f>
        <v>1075</v>
      </c>
      <c r="L17" s="8">
        <f>L16+L33</f>
        <v>1187.2784808038618</v>
      </c>
      <c r="M17" s="8">
        <f t="shared" ref="M17:P17" si="10">M16+M33</f>
        <v>1274.468209480613</v>
      </c>
      <c r="N17" s="8">
        <f t="shared" si="10"/>
        <v>1369.5624562789583</v>
      </c>
      <c r="O17" s="8">
        <f t="shared" si="10"/>
        <v>1449.7138818739161</v>
      </c>
      <c r="P17" s="8">
        <f t="shared" si="10"/>
        <v>1506.5634326606237</v>
      </c>
    </row>
    <row r="18" spans="2:16" x14ac:dyDescent="0.3">
      <c r="B18" t="s">
        <v>329</v>
      </c>
      <c r="H18" s="18">
        <f>H16/H12</f>
        <v>6.6907008800763446E-2</v>
      </c>
      <c r="I18" s="18">
        <f t="shared" ref="I18:K18" si="11">I16/I12</f>
        <v>5.8977719528178242E-2</v>
      </c>
      <c r="J18" s="18">
        <f t="shared" si="11"/>
        <v>5.5119389246846069E-2</v>
      </c>
      <c r="K18" s="18">
        <f t="shared" si="11"/>
        <v>5.0168570422180848E-2</v>
      </c>
      <c r="L18" s="16">
        <f>K18</f>
        <v>5.0168570422180848E-2</v>
      </c>
      <c r="M18" s="16">
        <f t="shared" ref="M18:P18" si="12">L18</f>
        <v>5.0168570422180848E-2</v>
      </c>
      <c r="N18" s="16">
        <f t="shared" si="12"/>
        <v>5.0168570422180848E-2</v>
      </c>
      <c r="O18" s="16">
        <f t="shared" si="12"/>
        <v>5.0168570422180848E-2</v>
      </c>
      <c r="P18" s="16">
        <f t="shared" si="12"/>
        <v>5.0168570422180848E-2</v>
      </c>
    </row>
    <row r="19" spans="2:16" x14ac:dyDescent="0.3">
      <c r="B19" t="s">
        <v>330</v>
      </c>
      <c r="H19" s="14">
        <f>Historicals!H11/Schedule!H12</f>
        <v>2.0495175485102322</v>
      </c>
      <c r="I19" s="14">
        <f>Historicals!I11/Schedule!I12</f>
        <v>2.2566710353866317</v>
      </c>
      <c r="J19" s="14">
        <f>Historicals!J11/Schedule!J12</f>
        <v>2.4789647517461693</v>
      </c>
      <c r="K19" s="14">
        <f>Historicals!K11/Schedule!K12</f>
        <v>2.3598349519448498</v>
      </c>
      <c r="L19" s="14">
        <f>AVERAGE($H$19:$K$19)</f>
        <v>2.2862470718969705</v>
      </c>
      <c r="M19" s="14">
        <f t="shared" ref="M19:P19" si="13">AVERAGE($H$19:$K$19)</f>
        <v>2.2862470718969705</v>
      </c>
      <c r="N19" s="14">
        <f t="shared" si="13"/>
        <v>2.2862470718969705</v>
      </c>
      <c r="O19" s="14">
        <f t="shared" si="13"/>
        <v>2.2862470718969705</v>
      </c>
      <c r="P19" s="14">
        <f t="shared" si="13"/>
        <v>2.2862470718969705</v>
      </c>
    </row>
    <row r="21" spans="2:16" x14ac:dyDescent="0.3">
      <c r="B21" s="239" t="s">
        <v>331</v>
      </c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</row>
    <row r="22" spans="2:16" x14ac:dyDescent="0.3">
      <c r="B22" t="s">
        <v>337</v>
      </c>
      <c r="H22" s="28">
        <v>211</v>
      </c>
      <c r="I22" s="28">
        <v>175</v>
      </c>
      <c r="J22" s="28">
        <v>161</v>
      </c>
      <c r="K22" s="21">
        <f>J22</f>
        <v>161</v>
      </c>
      <c r="L22" s="21">
        <f>K22</f>
        <v>161</v>
      </c>
      <c r="M22" s="21">
        <f t="shared" ref="M22:P22" si="14">L22</f>
        <v>161</v>
      </c>
      <c r="N22" s="21">
        <f t="shared" si="14"/>
        <v>161</v>
      </c>
      <c r="O22" s="21">
        <f t="shared" si="14"/>
        <v>161</v>
      </c>
      <c r="P22" s="21">
        <f t="shared" si="14"/>
        <v>161</v>
      </c>
    </row>
    <row r="23" spans="2:16" x14ac:dyDescent="0.3">
      <c r="B23" t="s">
        <v>332</v>
      </c>
      <c r="H23" s="272">
        <f>H31</f>
        <v>574</v>
      </c>
      <c r="I23" s="272">
        <f t="shared" ref="I23:J23" si="15">I31</f>
        <v>460</v>
      </c>
      <c r="J23" s="272">
        <f t="shared" si="15"/>
        <v>355</v>
      </c>
      <c r="K23" s="272">
        <f>K24-K22</f>
        <v>300</v>
      </c>
      <c r="L23" s="272">
        <f t="shared" ref="L23:P23" si="16">L31</f>
        <v>246</v>
      </c>
      <c r="M23" s="272">
        <f t="shared" si="16"/>
        <v>204</v>
      </c>
      <c r="N23" s="272">
        <f t="shared" si="16"/>
        <v>162</v>
      </c>
      <c r="O23" s="272">
        <f t="shared" si="16"/>
        <v>128</v>
      </c>
      <c r="P23" s="272">
        <f t="shared" si="16"/>
        <v>102</v>
      </c>
    </row>
    <row r="24" spans="2:16" x14ac:dyDescent="0.3">
      <c r="B24" t="s">
        <v>370</v>
      </c>
      <c r="H24" s="21">
        <f>SUM(H22:H23)</f>
        <v>785</v>
      </c>
      <c r="I24" s="21">
        <f t="shared" ref="I24:P24" si="17">SUM(I22:I23)</f>
        <v>635</v>
      </c>
      <c r="J24" s="21">
        <f t="shared" si="17"/>
        <v>516</v>
      </c>
      <c r="K24" s="28">
        <v>461</v>
      </c>
      <c r="L24" s="21">
        <f t="shared" si="17"/>
        <v>407</v>
      </c>
      <c r="M24" s="21">
        <f t="shared" si="17"/>
        <v>365</v>
      </c>
      <c r="N24" s="21">
        <f t="shared" si="17"/>
        <v>323</v>
      </c>
      <c r="O24" s="21">
        <f t="shared" si="17"/>
        <v>289</v>
      </c>
      <c r="P24" s="21">
        <f t="shared" si="17"/>
        <v>263</v>
      </c>
    </row>
    <row r="25" spans="2:16" x14ac:dyDescent="0.3">
      <c r="H25" s="21"/>
      <c r="I25" s="21"/>
      <c r="J25" s="21"/>
      <c r="K25" s="21"/>
      <c r="L25" s="21"/>
      <c r="M25" s="21"/>
      <c r="N25" s="21"/>
      <c r="O25" s="21"/>
      <c r="P25" s="21"/>
    </row>
    <row r="26" spans="2:16" x14ac:dyDescent="0.3">
      <c r="B26" s="239" t="s">
        <v>332</v>
      </c>
      <c r="C26" s="240"/>
      <c r="D26" s="240"/>
      <c r="E26" s="240"/>
      <c r="F26" s="240"/>
      <c r="G26" s="240"/>
      <c r="H26" s="254"/>
      <c r="I26" s="254"/>
      <c r="J26" s="254"/>
      <c r="K26" s="254"/>
      <c r="L26" s="254"/>
      <c r="M26" s="254"/>
      <c r="N26" s="254"/>
      <c r="O26" s="254"/>
      <c r="P26" s="254"/>
    </row>
    <row r="27" spans="2:16" x14ac:dyDescent="0.3">
      <c r="B27" t="s">
        <v>333</v>
      </c>
      <c r="H27" s="9">
        <v>772</v>
      </c>
      <c r="I27" s="8">
        <f t="shared" ref="I27:P27" si="18">H29</f>
        <v>798</v>
      </c>
      <c r="J27" s="8">
        <f t="shared" si="18"/>
        <v>707</v>
      </c>
      <c r="K27" s="8">
        <f t="shared" si="18"/>
        <v>562</v>
      </c>
      <c r="L27" s="8">
        <f t="shared" si="18"/>
        <v>562</v>
      </c>
      <c r="M27" s="8">
        <f t="shared" si="18"/>
        <v>562</v>
      </c>
      <c r="N27" s="8">
        <f t="shared" si="18"/>
        <v>562</v>
      </c>
      <c r="O27" s="8">
        <f t="shared" si="18"/>
        <v>562</v>
      </c>
      <c r="P27" s="8">
        <f t="shared" si="18"/>
        <v>562</v>
      </c>
    </row>
    <row r="28" spans="2:16" x14ac:dyDescent="0.3">
      <c r="B28" s="25" t="s">
        <v>198</v>
      </c>
      <c r="H28" s="8">
        <f>H29-H27</f>
        <v>26</v>
      </c>
      <c r="I28" s="8">
        <f t="shared" ref="I28:J28" si="19">I29-I27</f>
        <v>-91</v>
      </c>
      <c r="J28" s="8">
        <f t="shared" si="19"/>
        <v>-145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</row>
    <row r="29" spans="2:16" x14ac:dyDescent="0.3">
      <c r="B29" t="s">
        <v>199</v>
      </c>
      <c r="H29" s="9">
        <v>798</v>
      </c>
      <c r="I29" s="9">
        <v>707</v>
      </c>
      <c r="J29" s="9">
        <v>562</v>
      </c>
      <c r="K29" s="8">
        <f>SUM(K27:K28)</f>
        <v>562</v>
      </c>
      <c r="L29" s="8">
        <f t="shared" ref="L29:P29" si="20">SUM(L27:L28)</f>
        <v>562</v>
      </c>
      <c r="M29" s="8">
        <f t="shared" si="20"/>
        <v>562</v>
      </c>
      <c r="N29" s="8">
        <f t="shared" si="20"/>
        <v>562</v>
      </c>
      <c r="O29" s="8">
        <f t="shared" si="20"/>
        <v>562</v>
      </c>
      <c r="P29" s="8">
        <f t="shared" si="20"/>
        <v>562</v>
      </c>
    </row>
    <row r="30" spans="2:16" x14ac:dyDescent="0.3">
      <c r="B30" s="25" t="s">
        <v>334</v>
      </c>
      <c r="H30" s="9">
        <v>224</v>
      </c>
      <c r="I30" s="9">
        <v>247</v>
      </c>
      <c r="J30" s="9">
        <v>207</v>
      </c>
      <c r="K30" s="8">
        <f>K29-K31</f>
        <v>262</v>
      </c>
      <c r="L30" s="8">
        <f>K30+L33</f>
        <v>316</v>
      </c>
      <c r="M30" s="8">
        <f t="shared" ref="M30:P30" si="21">L30+M33</f>
        <v>358</v>
      </c>
      <c r="N30" s="8">
        <f t="shared" si="21"/>
        <v>400</v>
      </c>
      <c r="O30" s="8">
        <f t="shared" si="21"/>
        <v>434</v>
      </c>
      <c r="P30" s="8">
        <f t="shared" si="21"/>
        <v>460</v>
      </c>
    </row>
    <row r="31" spans="2:16" ht="15" thickBot="1" x14ac:dyDescent="0.35">
      <c r="B31" s="10" t="s">
        <v>335</v>
      </c>
      <c r="C31" s="10"/>
      <c r="D31" s="10"/>
      <c r="E31" s="10"/>
      <c r="F31" s="10"/>
      <c r="G31" s="10"/>
      <c r="H31" s="22">
        <f>H29-H30</f>
        <v>574</v>
      </c>
      <c r="I31" s="22">
        <f t="shared" ref="I31:P31" si="22">I29-I30</f>
        <v>460</v>
      </c>
      <c r="J31" s="22">
        <f t="shared" si="22"/>
        <v>355</v>
      </c>
      <c r="K31" s="22">
        <f>K23</f>
        <v>300</v>
      </c>
      <c r="L31" s="22">
        <f t="shared" si="22"/>
        <v>246</v>
      </c>
      <c r="M31" s="22">
        <f t="shared" si="22"/>
        <v>204</v>
      </c>
      <c r="N31" s="22">
        <f t="shared" si="22"/>
        <v>162</v>
      </c>
      <c r="O31" s="22">
        <f t="shared" si="22"/>
        <v>128</v>
      </c>
      <c r="P31" s="22">
        <f t="shared" si="22"/>
        <v>102</v>
      </c>
    </row>
    <row r="33" spans="1:16" x14ac:dyDescent="0.3">
      <c r="B33" t="s">
        <v>336</v>
      </c>
      <c r="K33" s="21"/>
      <c r="L33" s="28">
        <v>54</v>
      </c>
      <c r="M33" s="28">
        <v>42</v>
      </c>
      <c r="N33" s="28">
        <v>42</v>
      </c>
      <c r="O33" s="28">
        <v>34</v>
      </c>
      <c r="P33" s="28">
        <v>26</v>
      </c>
    </row>
    <row r="34" spans="1:16" x14ac:dyDescent="0.3">
      <c r="K34" s="21"/>
    </row>
    <row r="35" spans="1:16" x14ac:dyDescent="0.3">
      <c r="A35" s="40" t="s">
        <v>483</v>
      </c>
      <c r="B35" s="7" t="s">
        <v>380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7" spans="1:16" x14ac:dyDescent="0.3">
      <c r="B37" s="239" t="s">
        <v>202</v>
      </c>
      <c r="C37" s="240"/>
      <c r="D37" s="240"/>
      <c r="E37" s="240"/>
      <c r="F37" s="239" t="s">
        <v>381</v>
      </c>
      <c r="G37" s="253">
        <v>365</v>
      </c>
      <c r="H37" s="240"/>
      <c r="I37" s="240"/>
      <c r="J37" s="240"/>
      <c r="K37" s="240"/>
      <c r="L37" s="240"/>
      <c r="M37" s="240"/>
      <c r="N37" s="240"/>
      <c r="O37" s="240"/>
      <c r="P37" s="240"/>
    </row>
    <row r="38" spans="1:16" x14ac:dyDescent="0.3">
      <c r="B38" t="s">
        <v>371</v>
      </c>
      <c r="H38" s="270">
        <f>Historicals!H77</f>
        <v>3512</v>
      </c>
      <c r="I38" s="270">
        <f>Historicals!I77</f>
        <v>3487</v>
      </c>
      <c r="J38" s="270">
        <f>Historicals!J77</f>
        <v>3410</v>
      </c>
      <c r="K38" s="270">
        <f>Historicals!K77</f>
        <v>3569</v>
      </c>
      <c r="L38" s="8">
        <f>Historicals!L11*Schedule!L42/days</f>
        <v>3842.7861753052789</v>
      </c>
      <c r="M38" s="8">
        <f>Historicals!M11*Schedule!M42/days</f>
        <v>4179.1244403898954</v>
      </c>
      <c r="N38" s="8">
        <f>Historicals!N11*Schedule!N42/days</f>
        <v>4501.5755088056158</v>
      </c>
      <c r="O38" s="8">
        <f>Historicals!O11*Schedule!O42/days</f>
        <v>4800.4844577953427</v>
      </c>
      <c r="P38" s="8">
        <f>Historicals!P11*Schedule!P42/days</f>
        <v>5020.3800628554072</v>
      </c>
    </row>
    <row r="39" spans="1:16" x14ac:dyDescent="0.3">
      <c r="B39" t="s">
        <v>216</v>
      </c>
      <c r="H39" s="270">
        <f>Historicals!H78</f>
        <v>3414</v>
      </c>
      <c r="I39" s="270">
        <f>Historicals!I78</f>
        <v>4233</v>
      </c>
      <c r="J39" s="270">
        <f>Historicals!J78</f>
        <v>4424</v>
      </c>
      <c r="K39" s="270">
        <f>Historicals!K78</f>
        <v>4728</v>
      </c>
      <c r="L39" s="8">
        <f>Historicals!L15*Schedule!L43/days</f>
        <v>5192.9365150388312</v>
      </c>
      <c r="M39" s="8">
        <f>Historicals!M15*Schedule!M43/days</f>
        <v>5647.4461282425791</v>
      </c>
      <c r="N39" s="8">
        <f>Historicals!N15*Schedule!N43/days</f>
        <v>6083.1893237005615</v>
      </c>
      <c r="O39" s="8">
        <f>Historicals!O15*Schedule!O43/days</f>
        <v>6487.1189531594055</v>
      </c>
      <c r="P39" s="8">
        <f>Historicals!P15*Schedule!P43/days</f>
        <v>6784.2741590230917</v>
      </c>
    </row>
    <row r="40" spans="1:16" x14ac:dyDescent="0.3"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3">
      <c r="B41" s="239" t="s">
        <v>485</v>
      </c>
      <c r="C41" s="240"/>
      <c r="D41" s="240"/>
      <c r="E41" s="240"/>
      <c r="F41" s="240"/>
      <c r="G41" s="240"/>
      <c r="H41" s="252"/>
      <c r="I41" s="252"/>
      <c r="J41" s="252"/>
      <c r="K41" s="252"/>
      <c r="L41" s="252"/>
      <c r="M41" s="252"/>
      <c r="N41" s="252"/>
      <c r="O41" s="252"/>
      <c r="P41" s="252"/>
    </row>
    <row r="42" spans="1:16" x14ac:dyDescent="0.3">
      <c r="B42" t="s">
        <v>371</v>
      </c>
      <c r="H42" s="8"/>
      <c r="I42" s="26">
        <f>AVERAGE(H38:I38)*days/Historicals!I11</f>
        <v>29.673314593690471</v>
      </c>
      <c r="J42" s="26">
        <f>AVERAGE(I38:J38)*days/Historicals!J11</f>
        <v>27.492191595317141</v>
      </c>
      <c r="K42" s="26">
        <f>AVERAGE(J38:K38)*days/Historicals!K11</f>
        <v>27.158826790626264</v>
      </c>
      <c r="L42" s="26">
        <f>K42</f>
        <v>27.158826790626264</v>
      </c>
      <c r="M42" s="26">
        <f t="shared" ref="M42:P42" si="23">L42</f>
        <v>27.158826790626264</v>
      </c>
      <c r="N42" s="26">
        <f t="shared" si="23"/>
        <v>27.158826790626264</v>
      </c>
      <c r="O42" s="26">
        <f t="shared" si="23"/>
        <v>27.158826790626264</v>
      </c>
      <c r="P42" s="26">
        <f t="shared" si="23"/>
        <v>27.158826790626264</v>
      </c>
    </row>
    <row r="43" spans="1:16" x14ac:dyDescent="0.3">
      <c r="B43" t="s">
        <v>216</v>
      </c>
      <c r="H43" s="8"/>
      <c r="I43" s="26">
        <f>AVERAGE(H39:I39)*days/Historicals!I15</f>
        <v>78.32842229331537</v>
      </c>
      <c r="J43" s="26">
        <f>AVERAGE(I39:J39)*days/Historicals!J15</f>
        <v>85.562009206607101</v>
      </c>
      <c r="K43" s="26">
        <f>AVERAGE(J39:K39)*days/Historicals!K15</f>
        <v>91.499945217486584</v>
      </c>
      <c r="L43" s="26">
        <f>K43</f>
        <v>91.499945217486584</v>
      </c>
      <c r="M43" s="26">
        <f t="shared" ref="M43:P43" si="24">L43</f>
        <v>91.499945217486584</v>
      </c>
      <c r="N43" s="26">
        <f t="shared" si="24"/>
        <v>91.499945217486584</v>
      </c>
      <c r="O43" s="26">
        <f t="shared" si="24"/>
        <v>91.499945217486584</v>
      </c>
      <c r="P43" s="26">
        <f t="shared" si="24"/>
        <v>91.499945217486584</v>
      </c>
    </row>
    <row r="44" spans="1:16" x14ac:dyDescent="0.3">
      <c r="H44" s="21"/>
      <c r="I44" s="21"/>
      <c r="J44" s="21"/>
      <c r="K44" s="21"/>
      <c r="L44" s="21"/>
      <c r="M44" s="21"/>
      <c r="N44" s="21"/>
      <c r="O44" s="21"/>
      <c r="P44" s="21"/>
    </row>
    <row r="45" spans="1:16" x14ac:dyDescent="0.3">
      <c r="B45" t="s">
        <v>219</v>
      </c>
      <c r="H45" s="270">
        <f>Historicals!H79</f>
        <v>2994</v>
      </c>
      <c r="I45" s="270">
        <f>Historicals!I79</f>
        <v>3240</v>
      </c>
      <c r="J45" s="270">
        <f>Historicals!J79</f>
        <v>5235</v>
      </c>
      <c r="K45" s="270">
        <f>Historicals!K79</f>
        <v>3129</v>
      </c>
      <c r="L45" s="8">
        <f>SUM(Historicals!L15,Historicals!L21)*Schedule!L46</f>
        <v>3488.0962969446405</v>
      </c>
      <c r="M45" s="8">
        <f>SUM(Historicals!M15,Historicals!M21)*Schedule!M46</f>
        <v>3793.3904776361369</v>
      </c>
      <c r="N45" s="8">
        <f>SUM(Historicals!N15,Historicals!N21)*Schedule!N46</f>
        <v>4086.0792524929284</v>
      </c>
      <c r="O45" s="8">
        <f>SUM(Historicals!O15,Historicals!O21)*Schedule!O46</f>
        <v>4357.3988499232619</v>
      </c>
      <c r="P45" s="8">
        <f>SUM(Historicals!P15,Historicals!P21)*Schedule!P46</f>
        <v>4556.9980497573461</v>
      </c>
    </row>
    <row r="46" spans="1:16" x14ac:dyDescent="0.3">
      <c r="B46" t="s">
        <v>383</v>
      </c>
      <c r="H46" s="18">
        <f>H45/SUM(Historicals!H15,Historicals!H21)</f>
        <v>0.10867908091037787</v>
      </c>
      <c r="I46" s="18">
        <f>I45/SUM(Historicals!I15,Historicals!I21)</f>
        <v>0.10553402169310445</v>
      </c>
      <c r="J46" s="18">
        <f>J45/SUM(Historicals!J15,Historicals!J21)</f>
        <v>0.16133505917159763</v>
      </c>
      <c r="K46" s="18">
        <f>K45/SUM(Historicals!K15,Historicals!K21)</f>
        <v>9.5361453126904791E-2</v>
      </c>
      <c r="L46" s="16">
        <f>K46</f>
        <v>9.5361453126904791E-2</v>
      </c>
      <c r="M46" s="16">
        <f t="shared" ref="M46:P46" si="25">L46</f>
        <v>9.5361453126904791E-2</v>
      </c>
      <c r="N46" s="16">
        <f t="shared" si="25"/>
        <v>9.5361453126904791E-2</v>
      </c>
      <c r="O46" s="16">
        <f t="shared" si="25"/>
        <v>9.5361453126904791E-2</v>
      </c>
      <c r="P46" s="16">
        <f t="shared" si="25"/>
        <v>9.5361453126904791E-2</v>
      </c>
    </row>
    <row r="48" spans="1:16" x14ac:dyDescent="0.3">
      <c r="B48" s="239" t="s">
        <v>202</v>
      </c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</row>
    <row r="49" spans="1:17" x14ac:dyDescent="0.3">
      <c r="B49" t="s">
        <v>248</v>
      </c>
      <c r="H49" s="270">
        <f>Historicals!H93</f>
        <v>14619</v>
      </c>
      <c r="I49" s="270">
        <f>Historicals!I93</f>
        <v>15749</v>
      </c>
      <c r="J49" s="270">
        <f>Historicals!J93</f>
        <v>15485</v>
      </c>
      <c r="K49" s="270">
        <f>Historicals!K93</f>
        <v>21715</v>
      </c>
      <c r="L49" s="8">
        <f>Historicals!L15*Schedule!L50</f>
        <v>17371.884826618196</v>
      </c>
      <c r="M49" s="8">
        <f>Historicals!M15*Schedule!M50</f>
        <v>18892.351836045378</v>
      </c>
      <c r="N49" s="8">
        <f>Historicals!N15*Schedule!N50</f>
        <v>20350.039713329596</v>
      </c>
      <c r="O49" s="8">
        <f>Historicals!O15*Schedule!O50</f>
        <v>21701.301948231983</v>
      </c>
      <c r="P49" s="8">
        <f>Historicals!P15*Schedule!P50</f>
        <v>22695.372643482027</v>
      </c>
    </row>
    <row r="50" spans="1:17" x14ac:dyDescent="0.3">
      <c r="B50" t="s">
        <v>382</v>
      </c>
      <c r="H50" s="23">
        <f>H49/Historicals!H15</f>
        <v>0.94866969500324461</v>
      </c>
      <c r="I50" s="23">
        <f>I49/Historicals!I15</f>
        <v>0.88393107706123364</v>
      </c>
      <c r="J50" s="23">
        <f>J49/Historicals!J15</f>
        <v>0.83861359328459251</v>
      </c>
      <c r="K50" s="23">
        <f>K49/Historicals!K15</f>
        <v>1.1896022789525584</v>
      </c>
      <c r="L50" s="24">
        <f>$J$50</f>
        <v>0.83861359328459251</v>
      </c>
      <c r="M50" s="24">
        <f t="shared" ref="M50:P50" si="26">$J$50</f>
        <v>0.83861359328459251</v>
      </c>
      <c r="N50" s="24">
        <f t="shared" si="26"/>
        <v>0.83861359328459251</v>
      </c>
      <c r="O50" s="24">
        <f t="shared" si="26"/>
        <v>0.83861359328459251</v>
      </c>
      <c r="P50" s="24">
        <f t="shared" si="26"/>
        <v>0.83861359328459251</v>
      </c>
    </row>
    <row r="52" spans="1:17" x14ac:dyDescent="0.3">
      <c r="B52" t="s">
        <v>257</v>
      </c>
      <c r="H52" s="270">
        <f>Historicals!H96</f>
        <v>686</v>
      </c>
      <c r="I52" s="270">
        <f>Historicals!I96</f>
        <v>1203</v>
      </c>
      <c r="J52" s="270">
        <f>Historicals!J96</f>
        <v>1569</v>
      </c>
      <c r="K52" s="270">
        <f>Historicals!K96</f>
        <v>1387</v>
      </c>
      <c r="L52" s="8">
        <f>Historicals!L44*Schedule!L53</f>
        <v>1425.6456787536119</v>
      </c>
      <c r="M52" s="8">
        <f>Historicals!M44*Schedule!M53</f>
        <v>1560.8616017325546</v>
      </c>
      <c r="N52" s="8">
        <f>Historicals!N44*Schedule!N53</f>
        <v>1690.6890233198123</v>
      </c>
      <c r="O52" s="8">
        <f>Historicals!O44*Schedule!O53</f>
        <v>1812.9892484535644</v>
      </c>
      <c r="P52" s="8">
        <f>Historicals!P44*Schedule!P53</f>
        <v>1905.9710608406233</v>
      </c>
      <c r="Q52" s="8"/>
    </row>
    <row r="53" spans="1:17" x14ac:dyDescent="0.3">
      <c r="B53" t="s">
        <v>384</v>
      </c>
      <c r="H53" s="23">
        <f>H52/Historicals!H44</f>
        <v>0.2972270363951473</v>
      </c>
      <c r="I53" s="23">
        <f>I52/Historicals!I44</f>
        <v>0.47269155206286839</v>
      </c>
      <c r="J53" s="23">
        <f>J52/Historicals!J44</f>
        <v>0.57325538911216656</v>
      </c>
      <c r="K53" s="23">
        <f>K52/Historicals!K44</f>
        <v>0.48632538569424966</v>
      </c>
      <c r="L53" s="24">
        <f>K53</f>
        <v>0.48632538569424966</v>
      </c>
      <c r="M53" s="24">
        <f t="shared" ref="M53:P53" si="27">L53</f>
        <v>0.48632538569424966</v>
      </c>
      <c r="N53" s="24">
        <f t="shared" si="27"/>
        <v>0.48632538569424966</v>
      </c>
      <c r="O53" s="24">
        <f t="shared" si="27"/>
        <v>0.48632538569424966</v>
      </c>
      <c r="P53" s="24">
        <f t="shared" si="27"/>
        <v>0.48632538569424966</v>
      </c>
    </row>
    <row r="55" spans="1:17" x14ac:dyDescent="0.3">
      <c r="A55" s="40" t="s">
        <v>483</v>
      </c>
      <c r="B55" s="7" t="s">
        <v>386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7" spans="1:17" x14ac:dyDescent="0.3">
      <c r="B57" s="239" t="s">
        <v>387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</row>
    <row r="58" spans="1:17" x14ac:dyDescent="0.3">
      <c r="B58" t="s">
        <v>333</v>
      </c>
      <c r="H58" s="27"/>
      <c r="I58" s="27"/>
      <c r="J58" s="27"/>
      <c r="K58" s="38"/>
      <c r="L58" s="9">
        <v>43023</v>
      </c>
      <c r="M58" s="8">
        <f t="shared" ref="M58:P58" si="28">L61</f>
        <v>43405.412704033057</v>
      </c>
      <c r="N58" s="8">
        <f t="shared" si="28"/>
        <v>44200.127948668138</v>
      </c>
      <c r="O58" s="8">
        <f t="shared" si="28"/>
        <v>44414.914173544305</v>
      </c>
      <c r="P58" s="8">
        <f t="shared" si="28"/>
        <v>43941.592360979805</v>
      </c>
    </row>
    <row r="59" spans="1:17" x14ac:dyDescent="0.3">
      <c r="B59" s="25" t="s">
        <v>388</v>
      </c>
      <c r="H59" s="27"/>
      <c r="I59" s="27"/>
      <c r="J59" s="27"/>
      <c r="K59" s="38"/>
      <c r="L59" s="8">
        <f>L61+L60-L58</f>
        <v>1030.4127040330568</v>
      </c>
      <c r="M59" s="8">
        <f t="shared" ref="M59:P59" si="29">M61+M60-M58</f>
        <v>2597.715244635081</v>
      </c>
      <c r="N59" s="8">
        <f t="shared" si="29"/>
        <v>5278.7862248761667</v>
      </c>
      <c r="O59" s="8">
        <f t="shared" si="29"/>
        <v>2312.6781874355001</v>
      </c>
      <c r="P59" s="8">
        <f t="shared" si="29"/>
        <v>1124.7738910849657</v>
      </c>
      <c r="Q59" s="8"/>
    </row>
    <row r="60" spans="1:17" x14ac:dyDescent="0.3">
      <c r="B60" s="25" t="s">
        <v>389</v>
      </c>
      <c r="H60" s="27"/>
      <c r="I60" s="27"/>
      <c r="J60" s="27"/>
      <c r="K60" s="38"/>
      <c r="L60" s="9">
        <v>648</v>
      </c>
      <c r="M60" s="9">
        <v>1803</v>
      </c>
      <c r="N60" s="9">
        <v>5064</v>
      </c>
      <c r="O60" s="9">
        <v>2786</v>
      </c>
      <c r="P60" s="9">
        <v>2684</v>
      </c>
    </row>
    <row r="61" spans="1:17" ht="15" thickBot="1" x14ac:dyDescent="0.35">
      <c r="B61" s="10" t="s">
        <v>390</v>
      </c>
      <c r="C61" s="10"/>
      <c r="D61" s="10"/>
      <c r="E61" s="10"/>
      <c r="F61" s="10"/>
      <c r="G61" s="10"/>
      <c r="H61" s="10"/>
      <c r="I61" s="10"/>
      <c r="J61" s="10"/>
      <c r="K61" s="11"/>
      <c r="L61" s="11">
        <f>L65*Historicals!L62</f>
        <v>43405.412704033057</v>
      </c>
      <c r="M61" s="11">
        <f>M65*Historicals!M62</f>
        <v>44200.127948668138</v>
      </c>
      <c r="N61" s="11">
        <f>N65*Historicals!N62</f>
        <v>44414.914173544305</v>
      </c>
      <c r="O61" s="11">
        <f>O65*Historicals!O62</f>
        <v>43941.592360979805</v>
      </c>
      <c r="P61" s="11">
        <f>P65*Historicals!P62</f>
        <v>42382.36625206477</v>
      </c>
    </row>
    <row r="62" spans="1:17" x14ac:dyDescent="0.3">
      <c r="L62" s="19"/>
    </row>
    <row r="63" spans="1:17" x14ac:dyDescent="0.3">
      <c r="B63" t="s">
        <v>391</v>
      </c>
      <c r="H63" s="27"/>
      <c r="I63" s="27"/>
      <c r="J63" s="27"/>
      <c r="K63" s="27"/>
      <c r="L63" s="30">
        <v>3.4000000000000002E-2</v>
      </c>
      <c r="M63" s="30">
        <v>3.4000000000000002E-2</v>
      </c>
      <c r="N63" s="30">
        <v>3.4000000000000002E-2</v>
      </c>
      <c r="O63" s="30">
        <v>3.4000000000000002E-2</v>
      </c>
      <c r="P63" s="30">
        <v>3.4000000000000002E-2</v>
      </c>
    </row>
    <row r="64" spans="1:17" x14ac:dyDescent="0.3">
      <c r="B64" t="s">
        <v>392</v>
      </c>
      <c r="H64" s="27"/>
      <c r="I64" s="27"/>
      <c r="J64" s="27"/>
      <c r="K64" s="38"/>
      <c r="L64" s="8">
        <f>AVERAGE(L58,L61)*L63</f>
        <v>1469.283015968562</v>
      </c>
      <c r="M64" s="8">
        <f t="shared" ref="M64:P64" si="30">AVERAGE(M58,M61)*M63</f>
        <v>1489.2941910959205</v>
      </c>
      <c r="N64" s="8">
        <f t="shared" si="30"/>
        <v>1506.4557160776117</v>
      </c>
      <c r="O64" s="8">
        <f t="shared" si="30"/>
        <v>1502.0606110869101</v>
      </c>
      <c r="P64" s="8">
        <f t="shared" si="30"/>
        <v>1467.5072964217579</v>
      </c>
    </row>
    <row r="65" spans="2:17" x14ac:dyDescent="0.3">
      <c r="B65" t="s">
        <v>394</v>
      </c>
      <c r="H65" s="27"/>
      <c r="I65" s="27"/>
      <c r="J65" s="27"/>
      <c r="K65" s="38"/>
      <c r="L65" s="8">
        <f>Assumptions!K64</f>
        <v>2.6703430079155672</v>
      </c>
      <c r="M65" s="8">
        <f>Assumptions!L64</f>
        <v>2.5027572559366753</v>
      </c>
      <c r="N65" s="8">
        <f>Assumptions!M64</f>
        <v>2.3351715039577834</v>
      </c>
      <c r="O65" s="8">
        <f>Assumptions!N64</f>
        <v>2.1675857519788915</v>
      </c>
      <c r="P65" s="8">
        <f>Assumptions!O64</f>
        <v>2</v>
      </c>
      <c r="Q65" s="21"/>
    </row>
    <row r="66" spans="2:17" x14ac:dyDescent="0.3">
      <c r="K66" s="21"/>
      <c r="L66" s="21"/>
      <c r="M66" s="21"/>
      <c r="N66" s="21"/>
      <c r="O66" s="21"/>
      <c r="P66" s="21"/>
    </row>
    <row r="67" spans="2:17" x14ac:dyDescent="0.3">
      <c r="B67" s="239" t="s">
        <v>393</v>
      </c>
      <c r="C67" s="240"/>
      <c r="D67" s="240"/>
      <c r="E67" s="240"/>
      <c r="F67" s="240"/>
      <c r="G67" s="240"/>
      <c r="H67" s="240"/>
      <c r="I67" s="240"/>
      <c r="J67" s="240"/>
      <c r="K67" s="240"/>
      <c r="L67" s="254"/>
      <c r="M67" s="254"/>
      <c r="N67" s="254"/>
      <c r="O67" s="254"/>
      <c r="P67" s="254"/>
    </row>
    <row r="68" spans="2:17" x14ac:dyDescent="0.3">
      <c r="B68" t="s">
        <v>333</v>
      </c>
      <c r="H68" s="27"/>
      <c r="I68" s="27"/>
      <c r="J68" s="27"/>
      <c r="K68" s="38"/>
      <c r="L68" s="8">
        <f>K71</f>
        <v>1499</v>
      </c>
      <c r="M68" s="8">
        <f t="shared" ref="M68:P68" si="31">L71</f>
        <v>1512.3239579607548</v>
      </c>
      <c r="N68" s="8">
        <f t="shared" si="31"/>
        <v>1540.013290450539</v>
      </c>
      <c r="O68" s="8">
        <f t="shared" si="31"/>
        <v>1547.4968353239642</v>
      </c>
      <c r="P68" s="8">
        <f t="shared" si="31"/>
        <v>1531.0054377683732</v>
      </c>
    </row>
    <row r="69" spans="2:17" x14ac:dyDescent="0.3">
      <c r="B69" s="25" t="s">
        <v>388</v>
      </c>
      <c r="H69" s="27"/>
      <c r="I69" s="27"/>
      <c r="J69" s="27"/>
      <c r="K69" s="38"/>
      <c r="L69" s="8">
        <f>IF(L71&gt;L68,L71-L68,0)</f>
        <v>13.323957960754797</v>
      </c>
      <c r="M69" s="8">
        <f t="shared" ref="M69:P69" si="32">IF(M71&gt;M68,M71-M68,0)</f>
        <v>27.689332489784192</v>
      </c>
      <c r="N69" s="8">
        <f t="shared" si="32"/>
        <v>7.4835448734252168</v>
      </c>
      <c r="O69" s="8">
        <f t="shared" si="32"/>
        <v>0</v>
      </c>
      <c r="P69" s="8">
        <f t="shared" si="32"/>
        <v>0</v>
      </c>
    </row>
    <row r="70" spans="2:17" x14ac:dyDescent="0.3">
      <c r="B70" s="25" t="s">
        <v>389</v>
      </c>
      <c r="H70" s="27"/>
      <c r="I70" s="27"/>
      <c r="J70" s="27"/>
      <c r="K70" s="38"/>
      <c r="L70" s="9">
        <v>0</v>
      </c>
      <c r="M70" s="9">
        <v>0</v>
      </c>
      <c r="N70" s="9">
        <v>0</v>
      </c>
      <c r="O70" s="9">
        <f>MAX(0,O68+O69-O71)</f>
        <v>16.491397555590993</v>
      </c>
      <c r="P70" s="9">
        <f>MAX(0,P68+P69-P71)</f>
        <v>54.32628913054964</v>
      </c>
    </row>
    <row r="71" spans="2:17" ht="15" thickBot="1" x14ac:dyDescent="0.35">
      <c r="B71" s="10" t="s">
        <v>390</v>
      </c>
      <c r="C71" s="10"/>
      <c r="D71" s="10"/>
      <c r="E71" s="10"/>
      <c r="F71" s="10"/>
      <c r="G71" s="10"/>
      <c r="H71" s="10"/>
      <c r="I71" s="10"/>
      <c r="J71" s="10"/>
      <c r="K71" s="271">
        <f>Historicals!K94</f>
        <v>1499</v>
      </c>
      <c r="L71" s="11">
        <f>L61*Assumptions!K66</f>
        <v>1512.3239579607548</v>
      </c>
      <c r="M71" s="11">
        <f>M61*Assumptions!L66</f>
        <v>1540.013290450539</v>
      </c>
      <c r="N71" s="11">
        <f>N61*Assumptions!M66</f>
        <v>1547.4968353239642</v>
      </c>
      <c r="O71" s="11">
        <f>O61*Assumptions!N66</f>
        <v>1531.0054377683732</v>
      </c>
      <c r="P71" s="11">
        <f>P61*Assumptions!O66</f>
        <v>1476.6791486378236</v>
      </c>
      <c r="Q71" s="26"/>
    </row>
    <row r="73" spans="2:17" x14ac:dyDescent="0.3">
      <c r="B73" t="s">
        <v>391</v>
      </c>
      <c r="H73" s="27"/>
      <c r="I73" s="27"/>
      <c r="J73" s="27"/>
      <c r="K73" s="27"/>
      <c r="L73" s="30">
        <v>0.05</v>
      </c>
      <c r="M73" s="30">
        <v>0.05</v>
      </c>
      <c r="N73" s="30">
        <v>0.05</v>
      </c>
      <c r="O73" s="30">
        <v>0.05</v>
      </c>
      <c r="P73" s="30">
        <v>0.05</v>
      </c>
    </row>
    <row r="74" spans="2:17" x14ac:dyDescent="0.3">
      <c r="B74" t="s">
        <v>392</v>
      </c>
      <c r="H74" s="27"/>
      <c r="I74" s="27"/>
      <c r="J74" s="27"/>
      <c r="K74" s="27"/>
      <c r="L74" s="8">
        <f>AVERAGE(L68,L71)*L73</f>
        <v>75.283098949018878</v>
      </c>
      <c r="M74" s="8">
        <f t="shared" ref="M74:P74" si="33">AVERAGE(M68,M71)*M73</f>
        <v>76.30843121028235</v>
      </c>
      <c r="N74" s="8">
        <f t="shared" si="33"/>
        <v>77.187753144362588</v>
      </c>
      <c r="O74" s="8">
        <f t="shared" si="33"/>
        <v>76.962556827308447</v>
      </c>
      <c r="P74" s="8">
        <f t="shared" si="33"/>
        <v>75.192114660154928</v>
      </c>
    </row>
    <row r="76" spans="2:17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C5E1-281F-4A29-96CA-D92112457F58}">
  <sheetPr>
    <tabColor rgb="FFFF0000"/>
  </sheetPr>
  <dimension ref="A1"/>
  <sheetViews>
    <sheetView showGridLines="0" workbookViewId="0">
      <selection activeCell="G17" sqref="G17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4340-3EEE-4185-86AB-0572653C031F}">
  <dimension ref="B2:T272"/>
  <sheetViews>
    <sheetView workbookViewId="0">
      <selection activeCell="D275" sqref="D275"/>
    </sheetView>
  </sheetViews>
  <sheetFormatPr defaultRowHeight="14.4" outlineLevelRow="1" x14ac:dyDescent="0.3"/>
  <cols>
    <col min="2" max="2" width="9.88671875" bestFit="1" customWidth="1"/>
    <col min="3" max="14" width="13.88671875" customWidth="1"/>
    <col min="15" max="15" width="12.77734375" customWidth="1"/>
    <col min="16" max="16" width="10.77734375" customWidth="1"/>
    <col min="18" max="18" width="10.77734375" bestFit="1" customWidth="1"/>
    <col min="19" max="19" width="10.5546875" customWidth="1"/>
    <col min="20" max="20" width="11.44140625" bestFit="1" customWidth="1"/>
    <col min="21" max="21" width="10.5546875" customWidth="1"/>
  </cols>
  <sheetData>
    <row r="2" spans="2:20" x14ac:dyDescent="0.3">
      <c r="B2" s="239" t="s">
        <v>448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</row>
    <row r="4" spans="2:20" x14ac:dyDescent="0.3">
      <c r="C4" s="39" t="s">
        <v>440</v>
      </c>
      <c r="D4" s="39"/>
      <c r="E4" s="39" t="s">
        <v>0</v>
      </c>
      <c r="F4" s="39"/>
      <c r="G4" s="39" t="s">
        <v>436</v>
      </c>
      <c r="H4" s="39"/>
      <c r="I4" s="39" t="s">
        <v>437</v>
      </c>
      <c r="J4" s="39"/>
      <c r="K4" s="39" t="s">
        <v>438</v>
      </c>
      <c r="L4" s="39"/>
      <c r="M4" s="36"/>
    </row>
    <row r="6" spans="2:20" x14ac:dyDescent="0.3">
      <c r="B6" s="1" t="s">
        <v>441</v>
      </c>
      <c r="D6" s="55">
        <f>_xlfn.COVARIANCE.S($D$9:$D$269,D9:D269)/_xlfn.VAR.S($D$9:$D$269,D9:D269)</f>
        <v>1.0019230769230767</v>
      </c>
      <c r="E6" s="1"/>
      <c r="F6" s="55">
        <f>_xlfn.COVARIANCE.S($D$9:$D$269,F9:F269)/_xlfn.VAR.S($D$9:$D$269,F9:F269)</f>
        <v>0.43464450159752116</v>
      </c>
      <c r="G6" s="1"/>
      <c r="H6" s="55">
        <f>_xlfn.COVARIANCE.S($D$9:$D$269,H9:H269)/_xlfn.VAR.S($D$9:$D$269,H9:H269)</f>
        <v>0.32854974382151642</v>
      </c>
      <c r="I6" s="1"/>
      <c r="J6" s="55">
        <f>_xlfn.COVARIANCE.S($D$9:$D$269,J9:J269)/_xlfn.VAR.S($D$9:$D$269,J9:J269)</f>
        <v>0.33852079778913552</v>
      </c>
      <c r="K6" s="1"/>
      <c r="L6" s="55">
        <f>_xlfn.COVARIANCE.S($D$9:$D$269,L9:L269)/_xlfn.VAR.S($D$9:$D$269,L9:L269)</f>
        <v>0.27251843342617105</v>
      </c>
      <c r="M6" s="1"/>
    </row>
    <row r="7" spans="2:20" x14ac:dyDescent="0.3">
      <c r="B7" s="54" t="s">
        <v>2</v>
      </c>
      <c r="C7" s="54" t="s">
        <v>439</v>
      </c>
      <c r="D7" s="54" t="s">
        <v>430</v>
      </c>
      <c r="E7" s="54" t="s">
        <v>439</v>
      </c>
      <c r="F7" s="54" t="s">
        <v>430</v>
      </c>
      <c r="G7" s="54" t="s">
        <v>439</v>
      </c>
      <c r="H7" s="54" t="s">
        <v>430</v>
      </c>
      <c r="I7" s="54" t="s">
        <v>439</v>
      </c>
      <c r="J7" s="54" t="s">
        <v>430</v>
      </c>
      <c r="K7" s="54" t="s">
        <v>439</v>
      </c>
      <c r="L7" s="54" t="s">
        <v>430</v>
      </c>
      <c r="M7" s="1"/>
    </row>
    <row r="8" spans="2:20" x14ac:dyDescent="0.3">
      <c r="B8" s="34">
        <v>46061</v>
      </c>
      <c r="C8" s="35">
        <v>23326.1</v>
      </c>
      <c r="E8">
        <v>78.680000000000007</v>
      </c>
      <c r="G8">
        <v>81.48</v>
      </c>
      <c r="I8">
        <v>165.94</v>
      </c>
      <c r="K8">
        <v>29.69</v>
      </c>
    </row>
    <row r="9" spans="2:20" x14ac:dyDescent="0.3">
      <c r="B9" s="34">
        <v>46054</v>
      </c>
      <c r="C9" s="35">
        <v>23252.799999999999</v>
      </c>
      <c r="D9" s="32">
        <f t="shared" ref="D9:D40" si="0">C9/C8-1</f>
        <v>-3.1424027162705315E-3</v>
      </c>
      <c r="E9">
        <v>79.03</v>
      </c>
      <c r="F9" s="32">
        <f t="shared" ref="F9:F40" si="1">E9/E8-1</f>
        <v>4.4483985765124689E-3</v>
      </c>
      <c r="G9">
        <v>82.54</v>
      </c>
      <c r="H9" s="32">
        <f t="shared" ref="H9:H40" si="2">G9/G8-1</f>
        <v>1.3009327442317087E-2</v>
      </c>
      <c r="I9">
        <v>170.49</v>
      </c>
      <c r="J9" s="32">
        <f t="shared" ref="J9:J40" si="3">I9/I8-1</f>
        <v>2.7419549234663165E-2</v>
      </c>
      <c r="K9">
        <v>28.41</v>
      </c>
      <c r="L9" s="32">
        <f t="shared" ref="L9:L40" si="4">K9/K8-1</f>
        <v>-4.3112158976086223E-2</v>
      </c>
    </row>
    <row r="10" spans="2:20" x14ac:dyDescent="0.3">
      <c r="B10" s="34">
        <v>46047</v>
      </c>
      <c r="C10" s="35">
        <v>22719.3</v>
      </c>
      <c r="D10" s="32">
        <f t="shared" si="0"/>
        <v>-2.2943473474162257E-2</v>
      </c>
      <c r="E10">
        <v>74.81</v>
      </c>
      <c r="F10" s="32">
        <f t="shared" si="1"/>
        <v>-5.3397444008604356E-2</v>
      </c>
      <c r="G10">
        <v>80.760000000000005</v>
      </c>
      <c r="H10" s="32">
        <f t="shared" si="2"/>
        <v>-2.1565301671916615E-2</v>
      </c>
      <c r="I10">
        <v>153.63</v>
      </c>
      <c r="J10" s="32">
        <f t="shared" si="3"/>
        <v>-9.8891430582438877E-2</v>
      </c>
      <c r="K10">
        <v>27.44</v>
      </c>
      <c r="L10" s="32">
        <f t="shared" si="4"/>
        <v>-3.4142907426962243E-2</v>
      </c>
    </row>
    <row r="11" spans="2:20" hidden="1" outlineLevel="1" x14ac:dyDescent="0.3">
      <c r="B11" s="34">
        <v>46040</v>
      </c>
      <c r="C11" s="35">
        <v>22757.200000000001</v>
      </c>
      <c r="D11" s="32">
        <f t="shared" si="0"/>
        <v>1.6681851993680663E-3</v>
      </c>
      <c r="E11">
        <v>72.88</v>
      </c>
      <c r="F11" s="32">
        <f t="shared" si="1"/>
        <v>-2.5798690014704029E-2</v>
      </c>
      <c r="G11">
        <v>82</v>
      </c>
      <c r="H11" s="32">
        <f t="shared" si="2"/>
        <v>1.535413571074784E-2</v>
      </c>
      <c r="I11">
        <v>144.58000000000001</v>
      </c>
      <c r="J11" s="32">
        <f t="shared" si="3"/>
        <v>-5.8907765410401547E-2</v>
      </c>
      <c r="K11">
        <v>27.76</v>
      </c>
      <c r="L11" s="32">
        <f t="shared" si="4"/>
        <v>1.1661807580174877E-2</v>
      </c>
      <c r="N11" s="32"/>
      <c r="O11" s="16"/>
      <c r="Q11" s="16"/>
      <c r="S11" s="14"/>
      <c r="T11" s="19"/>
    </row>
    <row r="12" spans="2:20" hidden="1" outlineLevel="1" x14ac:dyDescent="0.3">
      <c r="B12" s="34">
        <v>46033</v>
      </c>
      <c r="C12" s="35">
        <v>22807.1</v>
      </c>
      <c r="D12" s="32">
        <f t="shared" si="0"/>
        <v>2.1927126360008486E-3</v>
      </c>
      <c r="E12">
        <v>70.44</v>
      </c>
      <c r="F12" s="32">
        <f t="shared" si="1"/>
        <v>-3.3479692645444592E-2</v>
      </c>
      <c r="G12">
        <v>78.17</v>
      </c>
      <c r="H12" s="32">
        <f t="shared" si="2"/>
        <v>-4.6707317073170662E-2</v>
      </c>
      <c r="I12">
        <v>146.32</v>
      </c>
      <c r="J12" s="32">
        <f t="shared" si="3"/>
        <v>1.2034859593304637E-2</v>
      </c>
      <c r="K12">
        <v>27.41</v>
      </c>
      <c r="L12" s="32">
        <f t="shared" si="4"/>
        <v>-1.2608069164265157E-2</v>
      </c>
      <c r="N12" s="32"/>
      <c r="O12" s="16"/>
      <c r="Q12" s="16"/>
      <c r="S12" s="16"/>
    </row>
    <row r="13" spans="2:20" hidden="1" outlineLevel="1" x14ac:dyDescent="0.3">
      <c r="B13" s="34">
        <v>46026</v>
      </c>
      <c r="C13" s="35">
        <v>22591.7</v>
      </c>
      <c r="D13" s="32">
        <f t="shared" si="0"/>
        <v>-9.4444273932239309E-3</v>
      </c>
      <c r="E13">
        <v>70.510000000000005</v>
      </c>
      <c r="F13" s="32">
        <f t="shared" si="1"/>
        <v>9.9375354912001335E-4</v>
      </c>
      <c r="G13">
        <v>77.34</v>
      </c>
      <c r="H13" s="32">
        <f t="shared" si="2"/>
        <v>-1.0617884098759078E-2</v>
      </c>
      <c r="I13">
        <v>139.91</v>
      </c>
      <c r="J13" s="32">
        <f t="shared" si="3"/>
        <v>-4.3808091853471787E-2</v>
      </c>
      <c r="K13">
        <v>27.79</v>
      </c>
      <c r="L13" s="32">
        <f t="shared" si="4"/>
        <v>1.3863553447646781E-2</v>
      </c>
      <c r="N13" s="32"/>
      <c r="O13" s="16"/>
      <c r="Q13" s="16"/>
      <c r="S13" s="16"/>
    </row>
    <row r="14" spans="2:20" hidden="1" outlineLevel="1" x14ac:dyDescent="0.3">
      <c r="B14" s="34">
        <v>46019</v>
      </c>
      <c r="C14" s="35">
        <v>22233.8</v>
      </c>
      <c r="D14" s="32">
        <f t="shared" si="0"/>
        <v>-1.5842101302690925E-2</v>
      </c>
      <c r="E14">
        <v>69.12</v>
      </c>
      <c r="F14" s="32">
        <f t="shared" si="1"/>
        <v>-1.9713515813359783E-2</v>
      </c>
      <c r="G14">
        <v>76.16</v>
      </c>
      <c r="H14" s="32">
        <f t="shared" si="2"/>
        <v>-1.52573054047066E-2</v>
      </c>
      <c r="I14">
        <v>142.22999999999999</v>
      </c>
      <c r="J14" s="32">
        <f t="shared" si="3"/>
        <v>1.6582088485454838E-2</v>
      </c>
      <c r="K14">
        <v>27.73</v>
      </c>
      <c r="L14" s="32">
        <f t="shared" si="4"/>
        <v>-2.1590500179919925E-3</v>
      </c>
      <c r="N14" s="32"/>
      <c r="O14" s="16"/>
      <c r="Q14" s="16"/>
      <c r="S14" s="16"/>
    </row>
    <row r="15" spans="2:20" hidden="1" outlineLevel="1" x14ac:dyDescent="0.3">
      <c r="B15" s="34">
        <v>46012</v>
      </c>
      <c r="C15" s="35">
        <v>22246.6</v>
      </c>
      <c r="D15" s="32">
        <f t="shared" si="0"/>
        <v>5.7570006026863574E-4</v>
      </c>
      <c r="E15">
        <v>69.87</v>
      </c>
      <c r="F15" s="32">
        <f t="shared" si="1"/>
        <v>1.085069444444442E-2</v>
      </c>
      <c r="G15">
        <v>77.31</v>
      </c>
      <c r="H15" s="32">
        <f t="shared" si="2"/>
        <v>1.5099789915966388E-2</v>
      </c>
      <c r="I15">
        <v>143.78</v>
      </c>
      <c r="J15" s="32">
        <f t="shared" si="3"/>
        <v>1.089784152429174E-2</v>
      </c>
      <c r="K15">
        <v>28.1</v>
      </c>
      <c r="L15" s="32">
        <f t="shared" si="4"/>
        <v>1.3342949873782928E-2</v>
      </c>
      <c r="N15" s="32"/>
      <c r="O15" s="16"/>
      <c r="Q15" s="16"/>
      <c r="S15" s="16"/>
    </row>
    <row r="16" spans="2:20" hidden="1" outlineLevel="1" x14ac:dyDescent="0.3">
      <c r="B16" s="34">
        <v>46005</v>
      </c>
      <c r="C16" s="35">
        <v>21923.9</v>
      </c>
      <c r="D16" s="32">
        <f t="shared" si="0"/>
        <v>-1.4505587370654216E-2</v>
      </c>
      <c r="E16">
        <v>70.06</v>
      </c>
      <c r="F16" s="32">
        <f t="shared" si="1"/>
        <v>2.7193359095463165E-3</v>
      </c>
      <c r="G16">
        <v>76.260000000000005</v>
      </c>
      <c r="H16" s="32">
        <f t="shared" si="2"/>
        <v>-1.3581684128831983E-2</v>
      </c>
      <c r="I16">
        <v>148.16</v>
      </c>
      <c r="J16" s="32">
        <f t="shared" si="3"/>
        <v>3.0463207678397497E-2</v>
      </c>
      <c r="K16">
        <v>27.89</v>
      </c>
      <c r="L16" s="32">
        <f t="shared" si="4"/>
        <v>-7.4733096085409789E-3</v>
      </c>
      <c r="N16" s="32"/>
      <c r="O16" s="16"/>
      <c r="Q16" s="16"/>
      <c r="S16" s="16"/>
    </row>
    <row r="17" spans="2:19" hidden="1" outlineLevel="1" x14ac:dyDescent="0.3">
      <c r="B17" s="34">
        <v>45998</v>
      </c>
      <c r="C17" s="35">
        <v>22004.3</v>
      </c>
      <c r="D17" s="32">
        <f t="shared" si="0"/>
        <v>3.667230739056393E-3</v>
      </c>
      <c r="E17">
        <v>70.52</v>
      </c>
      <c r="F17" s="32">
        <f t="shared" si="1"/>
        <v>6.5658007422209064E-3</v>
      </c>
      <c r="G17">
        <v>73.97</v>
      </c>
      <c r="H17" s="32">
        <f t="shared" si="2"/>
        <v>-3.0028848675583641E-2</v>
      </c>
      <c r="I17">
        <v>150.65</v>
      </c>
      <c r="J17" s="32">
        <f t="shared" si="3"/>
        <v>1.6806155507559373E-2</v>
      </c>
      <c r="K17">
        <v>29.51</v>
      </c>
      <c r="L17" s="32">
        <f t="shared" si="4"/>
        <v>5.8085335245607883E-2</v>
      </c>
      <c r="N17" s="32"/>
      <c r="O17" s="16"/>
      <c r="Q17" s="16"/>
      <c r="S17" s="16"/>
    </row>
    <row r="18" spans="2:19" hidden="1" outlineLevel="1" x14ac:dyDescent="0.3">
      <c r="B18" s="34">
        <v>45991</v>
      </c>
      <c r="C18" s="35">
        <v>21810.1</v>
      </c>
      <c r="D18" s="32">
        <f t="shared" si="0"/>
        <v>-8.8255477338520238E-3</v>
      </c>
      <c r="E18">
        <v>70</v>
      </c>
      <c r="F18" s="32">
        <f t="shared" si="1"/>
        <v>-7.3737946681792232E-3</v>
      </c>
      <c r="G18">
        <v>73.739999999999995</v>
      </c>
      <c r="H18" s="32">
        <f t="shared" si="2"/>
        <v>-3.1093686629715123E-3</v>
      </c>
      <c r="I18">
        <v>145.02000000000001</v>
      </c>
      <c r="J18" s="32">
        <f t="shared" si="3"/>
        <v>-3.73713906405575E-2</v>
      </c>
      <c r="K18">
        <v>28.69</v>
      </c>
      <c r="L18" s="32">
        <f t="shared" si="4"/>
        <v>-2.7787190782785465E-2</v>
      </c>
      <c r="N18" s="32"/>
      <c r="O18" s="16"/>
      <c r="Q18" s="16"/>
      <c r="S18" s="16"/>
    </row>
    <row r="19" spans="2:19" hidden="1" outlineLevel="1" x14ac:dyDescent="0.3">
      <c r="B19" s="34">
        <v>45984</v>
      </c>
      <c r="C19" s="35">
        <v>21824.7</v>
      </c>
      <c r="D19" s="32">
        <f t="shared" si="0"/>
        <v>6.69414629002274E-4</v>
      </c>
      <c r="E19">
        <v>73.12</v>
      </c>
      <c r="F19" s="32">
        <f t="shared" si="1"/>
        <v>4.4571428571428706E-2</v>
      </c>
      <c r="G19">
        <v>74.989999999999995</v>
      </c>
      <c r="H19" s="32">
        <f t="shared" si="2"/>
        <v>1.6951451044209476E-2</v>
      </c>
      <c r="I19">
        <v>148.74</v>
      </c>
      <c r="J19" s="32">
        <f t="shared" si="3"/>
        <v>2.5651634257343847E-2</v>
      </c>
      <c r="K19">
        <v>27.9</v>
      </c>
      <c r="L19" s="32">
        <f t="shared" si="4"/>
        <v>-2.75357267340538E-2</v>
      </c>
      <c r="N19" s="32"/>
      <c r="O19" s="16"/>
      <c r="Q19" s="16"/>
      <c r="S19" s="16"/>
    </row>
    <row r="20" spans="2:19" hidden="1" outlineLevel="1" x14ac:dyDescent="0.3">
      <c r="B20" s="34">
        <v>45977</v>
      </c>
      <c r="C20" s="35">
        <v>21177</v>
      </c>
      <c r="D20" s="32">
        <f t="shared" si="0"/>
        <v>-2.9677383881565378E-2</v>
      </c>
      <c r="E20">
        <v>72.95</v>
      </c>
      <c r="F20" s="32">
        <f t="shared" si="1"/>
        <v>-2.3249452954048344E-3</v>
      </c>
      <c r="G20">
        <v>72.040000000000006</v>
      </c>
      <c r="H20" s="32">
        <f t="shared" si="2"/>
        <v>-3.9338578477130182E-2</v>
      </c>
      <c r="I20">
        <v>146.33000000000001</v>
      </c>
      <c r="J20" s="32">
        <f t="shared" si="3"/>
        <v>-1.6202769934113181E-2</v>
      </c>
      <c r="K20">
        <v>27.74</v>
      </c>
      <c r="L20" s="32">
        <f t="shared" si="4"/>
        <v>-5.734767025089571E-3</v>
      </c>
      <c r="N20" s="32"/>
      <c r="O20" s="16"/>
      <c r="Q20" s="16"/>
      <c r="S20" s="16"/>
    </row>
    <row r="21" spans="2:19" hidden="1" outlineLevel="1" x14ac:dyDescent="0.3">
      <c r="B21" s="34">
        <v>45970</v>
      </c>
      <c r="C21" s="35">
        <v>21470.3</v>
      </c>
      <c r="D21" s="32">
        <f t="shared" si="0"/>
        <v>1.3849931529489545E-2</v>
      </c>
      <c r="E21">
        <v>71.16</v>
      </c>
      <c r="F21" s="32">
        <f t="shared" si="1"/>
        <v>-2.4537354352296203E-2</v>
      </c>
      <c r="G21">
        <v>71.31</v>
      </c>
      <c r="H21" s="32">
        <f t="shared" si="2"/>
        <v>-1.0133259300388775E-2</v>
      </c>
      <c r="I21">
        <v>145.85</v>
      </c>
      <c r="J21" s="32">
        <f t="shared" si="3"/>
        <v>-3.2802569534614578E-3</v>
      </c>
      <c r="K21">
        <v>27.13</v>
      </c>
      <c r="L21" s="32">
        <f t="shared" si="4"/>
        <v>-2.1989906272530613E-2</v>
      </c>
      <c r="N21" s="32"/>
      <c r="O21" s="16"/>
      <c r="Q21" s="16"/>
      <c r="S21" s="16"/>
    </row>
    <row r="22" spans="2:19" hidden="1" outlineLevel="1" x14ac:dyDescent="0.3">
      <c r="B22" s="34">
        <v>45963</v>
      </c>
      <c r="C22" s="35">
        <v>21408.6</v>
      </c>
      <c r="D22" s="32">
        <f t="shared" si="0"/>
        <v>-2.8737372090749114E-3</v>
      </c>
      <c r="E22">
        <v>70.55</v>
      </c>
      <c r="F22" s="32">
        <f t="shared" si="1"/>
        <v>-8.572231590781354E-3</v>
      </c>
      <c r="G22">
        <v>69.73</v>
      </c>
      <c r="H22" s="32">
        <f t="shared" si="2"/>
        <v>-2.2156780255223607E-2</v>
      </c>
      <c r="I22">
        <v>142.94999999999999</v>
      </c>
      <c r="J22" s="32">
        <f t="shared" si="3"/>
        <v>-1.9883441892355247E-2</v>
      </c>
      <c r="K22">
        <v>25.96</v>
      </c>
      <c r="L22" s="32">
        <f t="shared" si="4"/>
        <v>-4.3125691116844722E-2</v>
      </c>
      <c r="N22" s="32"/>
      <c r="O22" s="16"/>
      <c r="Q22" s="16"/>
      <c r="S22" s="16"/>
    </row>
    <row r="23" spans="2:19" hidden="1" outlineLevel="1" x14ac:dyDescent="0.3">
      <c r="B23" s="34">
        <v>45956</v>
      </c>
      <c r="C23" s="35">
        <v>21459.599999999999</v>
      </c>
      <c r="D23" s="32">
        <f t="shared" si="0"/>
        <v>2.3822202292536065E-3</v>
      </c>
      <c r="E23">
        <v>68.900000000000006</v>
      </c>
      <c r="F23" s="32">
        <f t="shared" si="1"/>
        <v>-2.3387668320340116E-2</v>
      </c>
      <c r="G23">
        <v>66.83</v>
      </c>
      <c r="H23" s="32">
        <f t="shared" si="2"/>
        <v>-4.1588986089201252E-2</v>
      </c>
      <c r="I23">
        <v>146.09</v>
      </c>
      <c r="J23" s="32">
        <f t="shared" si="3"/>
        <v>2.1965722280517852E-2</v>
      </c>
      <c r="K23">
        <v>27.16</v>
      </c>
      <c r="L23" s="32">
        <f t="shared" si="4"/>
        <v>4.6224961479198745E-2</v>
      </c>
      <c r="N23" s="32"/>
      <c r="O23" s="16"/>
      <c r="Q23" s="16"/>
      <c r="S23" s="16"/>
    </row>
    <row r="24" spans="2:19" hidden="1" outlineLevel="1" x14ac:dyDescent="0.3">
      <c r="B24" s="34">
        <v>45949</v>
      </c>
      <c r="C24" s="35">
        <v>21698.1</v>
      </c>
      <c r="D24" s="32">
        <f t="shared" si="0"/>
        <v>1.1113907062573425E-2</v>
      </c>
      <c r="E24">
        <v>69.709999999999994</v>
      </c>
      <c r="F24" s="32">
        <f t="shared" si="1"/>
        <v>1.1756168359941865E-2</v>
      </c>
      <c r="G24">
        <v>69.69</v>
      </c>
      <c r="H24" s="32">
        <f t="shared" si="2"/>
        <v>4.2795151877899062E-2</v>
      </c>
      <c r="I24">
        <v>151.55000000000001</v>
      </c>
      <c r="J24" s="32">
        <f t="shared" si="3"/>
        <v>3.7374221370388261E-2</v>
      </c>
      <c r="K24">
        <v>27.16</v>
      </c>
      <c r="L24" s="32">
        <f t="shared" si="4"/>
        <v>0</v>
      </c>
      <c r="N24" s="32"/>
      <c r="O24" s="16"/>
      <c r="Q24" s="16"/>
      <c r="S24" s="16"/>
    </row>
    <row r="25" spans="2:19" hidden="1" outlineLevel="1" x14ac:dyDescent="0.3">
      <c r="B25" s="34">
        <v>45942</v>
      </c>
      <c r="C25" s="35">
        <v>21411.4</v>
      </c>
      <c r="D25" s="32">
        <f t="shared" si="0"/>
        <v>-1.3213138477562447E-2</v>
      </c>
      <c r="E25">
        <v>68.44</v>
      </c>
      <c r="F25" s="32">
        <f t="shared" si="1"/>
        <v>-1.8218333094247585E-2</v>
      </c>
      <c r="G25">
        <v>70.22</v>
      </c>
      <c r="H25" s="32">
        <f t="shared" si="2"/>
        <v>7.6051083369206296E-3</v>
      </c>
      <c r="I25">
        <v>153.71</v>
      </c>
      <c r="J25" s="32">
        <f t="shared" si="3"/>
        <v>1.4252721873968976E-2</v>
      </c>
      <c r="K25">
        <v>28.03</v>
      </c>
      <c r="L25" s="32">
        <f t="shared" si="4"/>
        <v>3.2032400589101728E-2</v>
      </c>
      <c r="N25" s="32"/>
      <c r="O25" s="16"/>
      <c r="Q25" s="16"/>
      <c r="S25" s="16"/>
    </row>
    <row r="26" spans="2:19" hidden="1" outlineLevel="1" x14ac:dyDescent="0.3">
      <c r="B26" s="34">
        <v>45935</v>
      </c>
      <c r="C26" s="35">
        <v>21096.9</v>
      </c>
      <c r="D26" s="32">
        <f t="shared" si="0"/>
        <v>-1.4688437000849985E-2</v>
      </c>
      <c r="E26">
        <v>67.040000000000006</v>
      </c>
      <c r="F26" s="32">
        <f t="shared" si="1"/>
        <v>-2.0455873758036147E-2</v>
      </c>
      <c r="G26">
        <v>69.62</v>
      </c>
      <c r="H26" s="32">
        <f t="shared" si="2"/>
        <v>-8.5445741953859011E-3</v>
      </c>
      <c r="I26">
        <v>150.08000000000001</v>
      </c>
      <c r="J26" s="32">
        <f t="shared" si="3"/>
        <v>-2.3615900071563334E-2</v>
      </c>
      <c r="K26">
        <v>25.82</v>
      </c>
      <c r="L26" s="32">
        <f t="shared" si="4"/>
        <v>-7.8844095611844467E-2</v>
      </c>
      <c r="N26" s="32"/>
      <c r="O26" s="16"/>
      <c r="Q26" s="16"/>
      <c r="S26" s="16"/>
    </row>
    <row r="27" spans="2:19" hidden="1" outlineLevel="1" x14ac:dyDescent="0.3">
      <c r="B27" s="34">
        <v>45928</v>
      </c>
      <c r="C27" s="35">
        <v>21725.4</v>
      </c>
      <c r="D27" s="32">
        <f t="shared" si="0"/>
        <v>2.9791106750280738E-2</v>
      </c>
      <c r="E27">
        <v>66.650000000000006</v>
      </c>
      <c r="F27" s="32">
        <f t="shared" si="1"/>
        <v>-5.8174224343675585E-3</v>
      </c>
      <c r="G27">
        <v>67.17</v>
      </c>
      <c r="H27" s="32">
        <f t="shared" si="2"/>
        <v>-3.519103705831661E-2</v>
      </c>
      <c r="I27">
        <v>141.97999999999999</v>
      </c>
      <c r="J27" s="32">
        <f t="shared" si="3"/>
        <v>-5.3971215351812485E-2</v>
      </c>
      <c r="K27">
        <v>25.84</v>
      </c>
      <c r="L27" s="32">
        <f t="shared" si="4"/>
        <v>7.7459333849727585E-4</v>
      </c>
      <c r="N27" s="32"/>
      <c r="O27" s="16"/>
      <c r="Q27" s="16"/>
      <c r="S27" s="16"/>
    </row>
    <row r="28" spans="2:19" hidden="1" outlineLevel="1" x14ac:dyDescent="0.3">
      <c r="B28" s="34">
        <v>45921</v>
      </c>
      <c r="C28" s="35">
        <v>21477.5</v>
      </c>
      <c r="D28" s="32">
        <f t="shared" si="0"/>
        <v>-1.1410606939342927E-2</v>
      </c>
      <c r="E28">
        <v>65.67</v>
      </c>
      <c r="F28" s="32">
        <f t="shared" si="1"/>
        <v>-1.4703675918979808E-2</v>
      </c>
      <c r="G28">
        <v>65.34</v>
      </c>
      <c r="H28" s="32">
        <f t="shared" si="2"/>
        <v>-2.7244305493523857E-2</v>
      </c>
      <c r="I28">
        <v>140.44</v>
      </c>
      <c r="J28" s="32">
        <f t="shared" si="3"/>
        <v>-1.0846598112410177E-2</v>
      </c>
      <c r="K28">
        <v>25.5</v>
      </c>
      <c r="L28" s="32">
        <f t="shared" si="4"/>
        <v>-1.3157894736842146E-2</v>
      </c>
      <c r="N28" s="32"/>
      <c r="O28" s="16"/>
      <c r="Q28" s="16"/>
      <c r="S28" s="16"/>
    </row>
    <row r="29" spans="2:19" hidden="1" outlineLevel="1" x14ac:dyDescent="0.3">
      <c r="B29" s="34">
        <v>45914</v>
      </c>
      <c r="C29" s="35">
        <v>21494</v>
      </c>
      <c r="D29" s="32">
        <f t="shared" si="0"/>
        <v>7.6824583866841323E-4</v>
      </c>
      <c r="E29">
        <v>66.430000000000007</v>
      </c>
      <c r="F29" s="32">
        <f t="shared" si="1"/>
        <v>1.1573016598142249E-2</v>
      </c>
      <c r="G29">
        <v>64.13</v>
      </c>
      <c r="H29" s="32">
        <f t="shared" si="2"/>
        <v>-1.8518518518518601E-2</v>
      </c>
      <c r="I29">
        <v>141.76</v>
      </c>
      <c r="J29" s="32">
        <f t="shared" si="3"/>
        <v>9.3990316149243913E-3</v>
      </c>
      <c r="K29">
        <v>27.11</v>
      </c>
      <c r="L29" s="32">
        <f t="shared" si="4"/>
        <v>6.3137254901960871E-2</v>
      </c>
      <c r="N29" s="32"/>
      <c r="O29" s="16"/>
      <c r="Q29" s="16"/>
      <c r="S29" s="16"/>
    </row>
    <row r="30" spans="2:19" hidden="1" outlineLevel="1" x14ac:dyDescent="0.3">
      <c r="B30" s="34">
        <v>45907</v>
      </c>
      <c r="C30" s="35">
        <v>21374.3</v>
      </c>
      <c r="D30" s="32">
        <f t="shared" si="0"/>
        <v>-5.5689959988834969E-3</v>
      </c>
      <c r="E30">
        <v>67.010000000000005</v>
      </c>
      <c r="F30" s="32">
        <f t="shared" si="1"/>
        <v>8.7309950323648522E-3</v>
      </c>
      <c r="G30">
        <v>64.69</v>
      </c>
      <c r="H30" s="32">
        <f t="shared" si="2"/>
        <v>8.732262591610862E-3</v>
      </c>
      <c r="I30">
        <v>143.53</v>
      </c>
      <c r="J30" s="32">
        <f t="shared" si="3"/>
        <v>1.2485891647855629E-2</v>
      </c>
      <c r="K30">
        <v>27.23</v>
      </c>
      <c r="L30" s="32">
        <f t="shared" si="4"/>
        <v>4.4264109184803946E-3</v>
      </c>
      <c r="N30" s="32"/>
      <c r="O30" s="16"/>
      <c r="Q30" s="16"/>
      <c r="S30" s="16"/>
    </row>
    <row r="31" spans="2:19" hidden="1" outlineLevel="1" x14ac:dyDescent="0.3">
      <c r="B31" s="34">
        <v>45900</v>
      </c>
      <c r="C31" s="35">
        <v>21136</v>
      </c>
      <c r="D31" s="32">
        <f t="shared" si="0"/>
        <v>-1.1148903121973586E-2</v>
      </c>
      <c r="E31">
        <v>67.959999999999994</v>
      </c>
      <c r="F31" s="32">
        <f t="shared" si="1"/>
        <v>1.417698850917759E-2</v>
      </c>
      <c r="G31">
        <v>62.46</v>
      </c>
      <c r="H31" s="32">
        <f t="shared" si="2"/>
        <v>-3.4472097696707338E-2</v>
      </c>
      <c r="I31">
        <v>146.38999999999999</v>
      </c>
      <c r="J31" s="32">
        <f t="shared" si="3"/>
        <v>1.9926147843656317E-2</v>
      </c>
      <c r="K31">
        <v>28.65</v>
      </c>
      <c r="L31" s="32">
        <f t="shared" si="4"/>
        <v>5.2148365773044381E-2</v>
      </c>
      <c r="N31" s="32"/>
      <c r="O31" s="16"/>
      <c r="Q31" s="16"/>
      <c r="S31" s="16"/>
    </row>
    <row r="32" spans="2:19" hidden="1" outlineLevel="1" x14ac:dyDescent="0.3">
      <c r="B32" s="34">
        <v>45893</v>
      </c>
      <c r="C32" s="35">
        <v>21151.5</v>
      </c>
      <c r="D32" s="32">
        <f t="shared" si="0"/>
        <v>7.3334595003782255E-4</v>
      </c>
      <c r="E32">
        <v>68.989999999999995</v>
      </c>
      <c r="F32" s="32">
        <f t="shared" si="1"/>
        <v>1.5155974102413206E-2</v>
      </c>
      <c r="G32">
        <v>62.41</v>
      </c>
      <c r="H32" s="32">
        <f t="shared" si="2"/>
        <v>-8.0051232788991289E-4</v>
      </c>
      <c r="I32">
        <v>148.65</v>
      </c>
      <c r="J32" s="32">
        <f t="shared" si="3"/>
        <v>1.5438212992690881E-2</v>
      </c>
      <c r="K32">
        <v>29.09</v>
      </c>
      <c r="L32" s="32">
        <f t="shared" si="4"/>
        <v>1.5357766143106577E-2</v>
      </c>
      <c r="N32" s="32"/>
      <c r="O32" s="16"/>
      <c r="Q32" s="16"/>
      <c r="S32" s="16"/>
    </row>
    <row r="33" spans="2:19" hidden="1" outlineLevel="1" x14ac:dyDescent="0.3">
      <c r="B33" s="34">
        <v>45886</v>
      </c>
      <c r="C33" s="35">
        <v>21150.1</v>
      </c>
      <c r="D33" s="32">
        <f t="shared" si="0"/>
        <v>-6.6189159161345046E-5</v>
      </c>
      <c r="E33">
        <v>70.13</v>
      </c>
      <c r="F33" s="32">
        <f t="shared" si="1"/>
        <v>1.6524133932453999E-2</v>
      </c>
      <c r="G33">
        <v>62.84</v>
      </c>
      <c r="H33" s="32">
        <f t="shared" si="2"/>
        <v>6.8899214869413417E-3</v>
      </c>
      <c r="I33">
        <v>149.63999999999999</v>
      </c>
      <c r="J33" s="32">
        <f t="shared" si="3"/>
        <v>6.659939455095687E-3</v>
      </c>
      <c r="K33">
        <v>35.130000000000003</v>
      </c>
      <c r="L33" s="32">
        <f t="shared" si="4"/>
        <v>0.20763148848401514</v>
      </c>
      <c r="N33" s="32"/>
      <c r="O33" s="16"/>
      <c r="Q33" s="16"/>
      <c r="S33" s="16"/>
    </row>
    <row r="34" spans="2:19" hidden="1" outlineLevel="1" x14ac:dyDescent="0.3">
      <c r="B34" s="34">
        <v>45879</v>
      </c>
      <c r="C34" s="35">
        <v>20802.7</v>
      </c>
      <c r="D34" s="32">
        <f t="shared" si="0"/>
        <v>-1.6425454253171323E-2</v>
      </c>
      <c r="E34">
        <v>69.92</v>
      </c>
      <c r="F34" s="32">
        <f t="shared" si="1"/>
        <v>-2.9944388991871573E-3</v>
      </c>
      <c r="G34">
        <v>64.64</v>
      </c>
      <c r="H34" s="32">
        <f t="shared" si="2"/>
        <v>2.8644175684277462E-2</v>
      </c>
      <c r="I34">
        <v>150.4</v>
      </c>
      <c r="J34" s="32">
        <f t="shared" si="3"/>
        <v>5.078855920876979E-3</v>
      </c>
      <c r="K34">
        <v>34.78</v>
      </c>
      <c r="L34" s="32">
        <f t="shared" si="4"/>
        <v>-9.9629945915172824E-3</v>
      </c>
      <c r="N34" s="32"/>
      <c r="O34" s="16"/>
      <c r="Q34" s="16"/>
      <c r="S34" s="16"/>
    </row>
    <row r="35" spans="2:19" hidden="1" outlineLevel="1" x14ac:dyDescent="0.3">
      <c r="B35" s="34">
        <v>45872</v>
      </c>
      <c r="C35" s="35">
        <v>20524.2</v>
      </c>
      <c r="D35" s="32">
        <f t="shared" si="0"/>
        <v>-1.3387685252395087E-2</v>
      </c>
      <c r="E35">
        <v>70.34</v>
      </c>
      <c r="F35" s="32">
        <f t="shared" si="1"/>
        <v>6.0068649885582914E-3</v>
      </c>
      <c r="G35">
        <v>64.69</v>
      </c>
      <c r="H35" s="32">
        <f t="shared" si="2"/>
        <v>7.7351485148513532E-4</v>
      </c>
      <c r="I35">
        <v>145.21</v>
      </c>
      <c r="J35" s="32">
        <f t="shared" si="3"/>
        <v>-3.4507978723404276E-2</v>
      </c>
      <c r="K35">
        <v>34.42</v>
      </c>
      <c r="L35" s="32">
        <f t="shared" si="4"/>
        <v>-1.035077630822312E-2</v>
      </c>
      <c r="N35" s="32"/>
      <c r="O35" s="16"/>
      <c r="Q35" s="16"/>
      <c r="S35" s="16"/>
    </row>
    <row r="36" spans="2:19" hidden="1" outlineLevel="1" x14ac:dyDescent="0.3">
      <c r="B36" s="34">
        <v>45865</v>
      </c>
      <c r="C36" s="35">
        <v>20267.7</v>
      </c>
      <c r="D36" s="32">
        <f t="shared" si="0"/>
        <v>-1.249744204402603E-2</v>
      </c>
      <c r="E36">
        <v>68.86</v>
      </c>
      <c r="F36" s="32">
        <f t="shared" si="1"/>
        <v>-2.1040659653113525E-2</v>
      </c>
      <c r="G36">
        <v>59.02</v>
      </c>
      <c r="H36" s="32">
        <f t="shared" si="2"/>
        <v>-8.7648786520327593E-2</v>
      </c>
      <c r="I36">
        <v>139.28</v>
      </c>
      <c r="J36" s="32">
        <f t="shared" si="3"/>
        <v>-4.0837407892018507E-2</v>
      </c>
      <c r="K36">
        <v>33.32</v>
      </c>
      <c r="L36" s="32">
        <f t="shared" si="4"/>
        <v>-3.1958163858222033E-2</v>
      </c>
      <c r="N36" s="32"/>
      <c r="O36" s="16"/>
      <c r="Q36" s="16"/>
      <c r="S36" s="16"/>
    </row>
    <row r="37" spans="2:19" hidden="1" outlineLevel="1" x14ac:dyDescent="0.3">
      <c r="B37" s="34">
        <v>45858</v>
      </c>
      <c r="C37" s="35">
        <v>20950.400000000001</v>
      </c>
      <c r="D37" s="32">
        <f t="shared" si="0"/>
        <v>3.368413781534163E-2</v>
      </c>
      <c r="E37">
        <v>69.17</v>
      </c>
      <c r="F37" s="32">
        <f t="shared" si="1"/>
        <v>4.5018878884692803E-3</v>
      </c>
      <c r="G37">
        <v>60.66</v>
      </c>
      <c r="H37" s="32">
        <f t="shared" si="2"/>
        <v>2.7787190782785354E-2</v>
      </c>
      <c r="I37">
        <v>143.44999999999999</v>
      </c>
      <c r="J37" s="32">
        <f t="shared" si="3"/>
        <v>2.9939689833428984E-2</v>
      </c>
      <c r="K37">
        <v>33.270000000000003</v>
      </c>
      <c r="L37" s="32">
        <f t="shared" si="4"/>
        <v>-1.5006002400959062E-3</v>
      </c>
      <c r="N37" s="32"/>
      <c r="O37" s="16"/>
      <c r="Q37" s="16"/>
      <c r="S37" s="16"/>
    </row>
    <row r="38" spans="2:19" hidden="1" outlineLevel="1" x14ac:dyDescent="0.3">
      <c r="B38" s="34">
        <v>45851</v>
      </c>
      <c r="C38" s="35">
        <v>20541.599999999999</v>
      </c>
      <c r="D38" s="32">
        <f t="shared" si="0"/>
        <v>-1.9512753933099258E-2</v>
      </c>
      <c r="E38">
        <v>69.849999999999994</v>
      </c>
      <c r="F38" s="32">
        <f t="shared" si="1"/>
        <v>9.8308515252276685E-3</v>
      </c>
      <c r="G38">
        <v>59</v>
      </c>
      <c r="H38" s="32">
        <f t="shared" si="2"/>
        <v>-2.7365644576327064E-2</v>
      </c>
      <c r="I38">
        <v>143.24</v>
      </c>
      <c r="J38" s="32">
        <f t="shared" si="3"/>
        <v>-1.4639247124431654E-3</v>
      </c>
      <c r="K38">
        <v>33.54</v>
      </c>
      <c r="L38" s="32">
        <f t="shared" si="4"/>
        <v>8.1154192966634842E-3</v>
      </c>
      <c r="N38" s="32"/>
      <c r="O38" s="16"/>
      <c r="Q38" s="16"/>
      <c r="S38" s="16"/>
    </row>
    <row r="39" spans="2:19" hidden="1" outlineLevel="1" x14ac:dyDescent="0.3">
      <c r="B39" s="34">
        <v>45844</v>
      </c>
      <c r="C39" s="35">
        <v>20547.7</v>
      </c>
      <c r="D39" s="32">
        <f t="shared" si="0"/>
        <v>2.9695836741061576E-4</v>
      </c>
      <c r="E39">
        <v>69.87</v>
      </c>
      <c r="F39" s="32">
        <f t="shared" si="1"/>
        <v>2.8632784538307199E-4</v>
      </c>
      <c r="G39">
        <v>58.83</v>
      </c>
      <c r="H39" s="32">
        <f t="shared" si="2"/>
        <v>-2.8813559322033999E-3</v>
      </c>
      <c r="I39">
        <v>135.26</v>
      </c>
      <c r="J39" s="32">
        <f t="shared" si="3"/>
        <v>-5.5710695336498306E-2</v>
      </c>
      <c r="K39">
        <v>33.49</v>
      </c>
      <c r="L39" s="32">
        <f t="shared" si="4"/>
        <v>-1.4907573047107103E-3</v>
      </c>
      <c r="N39" s="32"/>
      <c r="O39" s="16"/>
      <c r="Q39" s="16"/>
      <c r="S39" s="16"/>
    </row>
    <row r="40" spans="2:19" hidden="1" outlineLevel="1" x14ac:dyDescent="0.3">
      <c r="B40" s="34">
        <v>45837</v>
      </c>
      <c r="C40" s="35">
        <v>20725.8</v>
      </c>
      <c r="D40" s="32">
        <f t="shared" si="0"/>
        <v>8.6676367671321142E-3</v>
      </c>
      <c r="E40">
        <v>71.349999999999994</v>
      </c>
      <c r="F40" s="32">
        <f t="shared" si="1"/>
        <v>2.1182195505939472E-2</v>
      </c>
      <c r="G40">
        <v>63.08</v>
      </c>
      <c r="H40" s="32">
        <f t="shared" si="2"/>
        <v>7.2242053374128812E-2</v>
      </c>
      <c r="I40">
        <v>135.38</v>
      </c>
      <c r="J40" s="32">
        <f t="shared" si="3"/>
        <v>8.8718024545331176E-4</v>
      </c>
      <c r="K40">
        <v>33.79</v>
      </c>
      <c r="L40" s="32">
        <f t="shared" si="4"/>
        <v>8.9578978799640385E-3</v>
      </c>
      <c r="N40" s="32"/>
      <c r="O40" s="16"/>
      <c r="Q40" s="16"/>
      <c r="S40" s="16"/>
    </row>
    <row r="41" spans="2:19" hidden="1" outlineLevel="1" x14ac:dyDescent="0.3">
      <c r="B41" s="34">
        <v>45830</v>
      </c>
      <c r="C41" s="35">
        <v>20338.400000000001</v>
      </c>
      <c r="D41" s="32">
        <f t="shared" ref="D41:D72" si="5">C41/C40-1</f>
        <v>-1.8691678970172321E-2</v>
      </c>
      <c r="E41">
        <v>70.33</v>
      </c>
      <c r="F41" s="32">
        <f t="shared" ref="F41:F72" si="6">E41/E40-1</f>
        <v>-1.4295725297827522E-2</v>
      </c>
      <c r="G41">
        <v>61.71</v>
      </c>
      <c r="H41" s="32">
        <f t="shared" ref="H41:H72" si="7">G41/G40-1</f>
        <v>-2.1718452758402007E-2</v>
      </c>
      <c r="I41">
        <v>131.04</v>
      </c>
      <c r="J41" s="32">
        <f t="shared" ref="J41:J72" si="8">I41/I40-1</f>
        <v>-3.2057911065149991E-2</v>
      </c>
      <c r="K41">
        <v>32.85</v>
      </c>
      <c r="L41" s="32">
        <f t="shared" ref="L41:L72" si="9">K41/K40-1</f>
        <v>-2.7818881325835987E-2</v>
      </c>
      <c r="N41" s="32"/>
      <c r="O41" s="16"/>
      <c r="Q41" s="16"/>
      <c r="S41" s="16"/>
    </row>
    <row r="42" spans="2:19" hidden="1" outlineLevel="1" x14ac:dyDescent="0.3">
      <c r="B42" s="34">
        <v>45823</v>
      </c>
      <c r="C42" s="35">
        <v>19868.400000000001</v>
      </c>
      <c r="D42" s="32">
        <f t="shared" si="5"/>
        <v>-2.3108995791212728E-2</v>
      </c>
      <c r="E42">
        <v>68.84</v>
      </c>
      <c r="F42" s="32">
        <f t="shared" si="6"/>
        <v>-2.1185838191383422E-2</v>
      </c>
      <c r="G42">
        <v>63.09</v>
      </c>
      <c r="H42" s="32">
        <f t="shared" si="7"/>
        <v>2.236266407389409E-2</v>
      </c>
      <c r="I42">
        <v>129.07</v>
      </c>
      <c r="J42" s="32">
        <f t="shared" si="8"/>
        <v>-1.503357753357748E-2</v>
      </c>
      <c r="K42">
        <v>33.58</v>
      </c>
      <c r="L42" s="32">
        <f t="shared" si="9"/>
        <v>2.2222222222222143E-2</v>
      </c>
      <c r="N42" s="32"/>
      <c r="O42" s="16"/>
      <c r="Q42" s="16"/>
      <c r="S42" s="16"/>
    </row>
    <row r="43" spans="2:19" hidden="1" outlineLevel="1" x14ac:dyDescent="0.3">
      <c r="B43" s="34">
        <v>45816</v>
      </c>
      <c r="C43" s="35">
        <v>19981.099999999999</v>
      </c>
      <c r="D43" s="32">
        <f t="shared" si="5"/>
        <v>5.6723238912039786E-3</v>
      </c>
      <c r="E43">
        <v>71.02</v>
      </c>
      <c r="F43" s="32">
        <f t="shared" si="6"/>
        <v>3.1667635095874447E-2</v>
      </c>
      <c r="G43">
        <v>63.06</v>
      </c>
      <c r="H43" s="32">
        <f t="shared" si="7"/>
        <v>-4.755111745126106E-4</v>
      </c>
      <c r="I43">
        <v>130.85</v>
      </c>
      <c r="J43" s="32">
        <f t="shared" si="8"/>
        <v>1.3790966142403382E-2</v>
      </c>
      <c r="K43">
        <v>33.020000000000003</v>
      </c>
      <c r="L43" s="32">
        <f t="shared" si="9"/>
        <v>-1.6676593210244062E-2</v>
      </c>
      <c r="N43" s="32"/>
      <c r="O43" s="16"/>
      <c r="Q43" s="16"/>
      <c r="S43" s="16"/>
    </row>
    <row r="44" spans="2:19" hidden="1" outlineLevel="1" x14ac:dyDescent="0.3">
      <c r="B44" s="34">
        <v>45809</v>
      </c>
      <c r="C44" s="35">
        <v>20045.400000000001</v>
      </c>
      <c r="D44" s="32">
        <f t="shared" si="5"/>
        <v>3.2180410487911981E-3</v>
      </c>
      <c r="E44">
        <v>71.349999999999994</v>
      </c>
      <c r="F44" s="32">
        <f t="shared" si="6"/>
        <v>4.646578428611603E-3</v>
      </c>
      <c r="G44">
        <v>63.41</v>
      </c>
      <c r="H44" s="32">
        <f t="shared" si="7"/>
        <v>5.5502695845226491E-3</v>
      </c>
      <c r="I44">
        <v>130.03</v>
      </c>
      <c r="J44" s="32">
        <f t="shared" si="8"/>
        <v>-6.2667176155902782E-3</v>
      </c>
      <c r="K44">
        <v>32.770000000000003</v>
      </c>
      <c r="L44" s="32">
        <f t="shared" si="9"/>
        <v>-7.5711689884918609E-3</v>
      </c>
      <c r="N44" s="32"/>
      <c r="O44" s="16"/>
      <c r="Q44" s="16"/>
      <c r="S44" s="16"/>
    </row>
    <row r="45" spans="2:19" hidden="1" outlineLevel="1" x14ac:dyDescent="0.3">
      <c r="B45" s="34">
        <v>45802</v>
      </c>
      <c r="C45" s="35">
        <v>19783.8</v>
      </c>
      <c r="D45" s="32">
        <f t="shared" si="5"/>
        <v>-1.3050375647280732E-2</v>
      </c>
      <c r="E45">
        <v>72.099999999999994</v>
      </c>
      <c r="F45" s="32">
        <f t="shared" si="6"/>
        <v>1.0511562718990897E-2</v>
      </c>
      <c r="G45">
        <v>63.95</v>
      </c>
      <c r="H45" s="32">
        <f t="shared" si="7"/>
        <v>8.516006938968701E-3</v>
      </c>
      <c r="I45">
        <v>131.44999999999999</v>
      </c>
      <c r="J45" s="32">
        <f t="shared" si="8"/>
        <v>1.0920556794585812E-2</v>
      </c>
      <c r="K45">
        <v>33.67</v>
      </c>
      <c r="L45" s="32">
        <f t="shared" si="9"/>
        <v>2.7464144034177629E-2</v>
      </c>
      <c r="N45" s="32"/>
      <c r="O45" s="16"/>
      <c r="Q45" s="16"/>
      <c r="S45" s="16"/>
    </row>
    <row r="46" spans="2:19" hidden="1" outlineLevel="1" x14ac:dyDescent="0.3">
      <c r="B46" s="34">
        <v>45795</v>
      </c>
      <c r="C46" s="35">
        <v>19534.8</v>
      </c>
      <c r="D46" s="32">
        <f t="shared" si="5"/>
        <v>-1.2586055257331807E-2</v>
      </c>
      <c r="E46">
        <v>71.77</v>
      </c>
      <c r="F46" s="32">
        <f t="shared" si="6"/>
        <v>-4.5769764216365694E-3</v>
      </c>
      <c r="G46">
        <v>63.36</v>
      </c>
      <c r="H46" s="32">
        <f t="shared" si="7"/>
        <v>-9.2259577795152925E-3</v>
      </c>
      <c r="I46">
        <v>129.34</v>
      </c>
      <c r="J46" s="32">
        <f t="shared" si="8"/>
        <v>-1.6051730696082012E-2</v>
      </c>
      <c r="K46">
        <v>32.92</v>
      </c>
      <c r="L46" s="32">
        <f t="shared" si="9"/>
        <v>-2.2275022275022316E-2</v>
      </c>
      <c r="N46" s="32"/>
      <c r="O46" s="16"/>
      <c r="Q46" s="16"/>
      <c r="S46" s="16"/>
    </row>
    <row r="47" spans="2:19" hidden="1" outlineLevel="1" x14ac:dyDescent="0.3">
      <c r="B47" s="34">
        <v>45788</v>
      </c>
      <c r="C47" s="35">
        <v>19934.099999999999</v>
      </c>
      <c r="D47" s="32">
        <f t="shared" si="5"/>
        <v>2.0440444744763253E-2</v>
      </c>
      <c r="E47">
        <v>72</v>
      </c>
      <c r="F47" s="32">
        <f t="shared" si="6"/>
        <v>3.204681621847616E-3</v>
      </c>
      <c r="G47">
        <v>62.86</v>
      </c>
      <c r="H47" s="32">
        <f t="shared" si="7"/>
        <v>-7.8914141414141437E-3</v>
      </c>
      <c r="I47">
        <v>131.97999999999999</v>
      </c>
      <c r="J47" s="32">
        <f t="shared" si="8"/>
        <v>2.0411319004175033E-2</v>
      </c>
      <c r="K47">
        <v>33.82</v>
      </c>
      <c r="L47" s="32">
        <f t="shared" si="9"/>
        <v>2.7339003645200366E-2</v>
      </c>
      <c r="N47" s="32"/>
      <c r="O47" s="16"/>
      <c r="Q47" s="16"/>
      <c r="S47" s="16"/>
    </row>
    <row r="48" spans="2:19" hidden="1" outlineLevel="1" x14ac:dyDescent="0.3">
      <c r="B48" s="34">
        <v>45781</v>
      </c>
      <c r="C48" s="35">
        <v>19319.2</v>
      </c>
      <c r="D48" s="32">
        <f t="shared" si="5"/>
        <v>-3.0846639677738041E-2</v>
      </c>
      <c r="E48">
        <v>70.52</v>
      </c>
      <c r="F48" s="32">
        <f t="shared" si="6"/>
        <v>-2.055555555555566E-2</v>
      </c>
      <c r="G48">
        <v>61</v>
      </c>
      <c r="H48" s="32">
        <f t="shared" si="7"/>
        <v>-2.9589564110722222E-2</v>
      </c>
      <c r="I48">
        <v>130.44</v>
      </c>
      <c r="J48" s="32">
        <f t="shared" si="8"/>
        <v>-1.1668434611304734E-2</v>
      </c>
      <c r="K48">
        <v>33.54</v>
      </c>
      <c r="L48" s="32">
        <f t="shared" si="9"/>
        <v>-8.2791247782377786E-3</v>
      </c>
      <c r="N48" s="32"/>
      <c r="O48" s="16"/>
      <c r="Q48" s="16"/>
      <c r="S48" s="16"/>
    </row>
    <row r="49" spans="2:19" hidden="1" outlineLevel="1" x14ac:dyDescent="0.3">
      <c r="B49" s="34">
        <v>45774</v>
      </c>
      <c r="C49" s="35">
        <v>19386.7</v>
      </c>
      <c r="D49" s="32">
        <f t="shared" si="5"/>
        <v>3.4939334962109658E-3</v>
      </c>
      <c r="E49">
        <v>71.650000000000006</v>
      </c>
      <c r="F49" s="32">
        <f t="shared" si="6"/>
        <v>1.6023823028928019E-2</v>
      </c>
      <c r="G49">
        <v>60.05</v>
      </c>
      <c r="H49" s="32">
        <f t="shared" si="7"/>
        <v>-1.5573770491803307E-2</v>
      </c>
      <c r="I49">
        <v>133.75</v>
      </c>
      <c r="J49" s="32">
        <f t="shared" si="8"/>
        <v>2.537565164060096E-2</v>
      </c>
      <c r="K49">
        <v>34.409999999999997</v>
      </c>
      <c r="L49" s="32">
        <f t="shared" si="9"/>
        <v>2.5939177101967692E-2</v>
      </c>
      <c r="N49" s="32"/>
      <c r="O49" s="16"/>
      <c r="Q49" s="16"/>
      <c r="S49" s="16"/>
    </row>
    <row r="50" spans="2:19" hidden="1" outlineLevel="1" x14ac:dyDescent="0.3">
      <c r="B50" s="34">
        <v>45767</v>
      </c>
      <c r="C50" s="35">
        <v>18899.8</v>
      </c>
      <c r="D50" s="32">
        <f t="shared" si="5"/>
        <v>-2.5115156266925287E-2</v>
      </c>
      <c r="E50">
        <v>71.91</v>
      </c>
      <c r="F50" s="32">
        <f t="shared" si="6"/>
        <v>3.6287508722958606E-3</v>
      </c>
      <c r="G50">
        <v>58.67</v>
      </c>
      <c r="H50" s="32">
        <f t="shared" si="7"/>
        <v>-2.2980849292256411E-2</v>
      </c>
      <c r="I50">
        <v>133.38</v>
      </c>
      <c r="J50" s="32">
        <f t="shared" si="8"/>
        <v>-2.7663551401869713E-3</v>
      </c>
      <c r="K50">
        <v>34.4</v>
      </c>
      <c r="L50" s="32">
        <f t="shared" si="9"/>
        <v>-2.9061319383894002E-4</v>
      </c>
      <c r="N50" s="32"/>
      <c r="O50" s="16"/>
      <c r="Q50" s="16"/>
      <c r="S50" s="16"/>
    </row>
    <row r="51" spans="2:19" hidden="1" outlineLevel="1" x14ac:dyDescent="0.3">
      <c r="B51" s="34">
        <v>45760</v>
      </c>
      <c r="C51" s="35">
        <v>18367.099999999999</v>
      </c>
      <c r="D51" s="32">
        <f t="shared" si="5"/>
        <v>-2.8185483444269299E-2</v>
      </c>
      <c r="E51">
        <v>73</v>
      </c>
      <c r="F51" s="32">
        <f t="shared" si="6"/>
        <v>1.5157836184119144E-2</v>
      </c>
      <c r="G51">
        <v>58.41</v>
      </c>
      <c r="H51" s="32">
        <f t="shared" si="7"/>
        <v>-4.4315663882734668E-3</v>
      </c>
      <c r="I51">
        <v>142.84</v>
      </c>
      <c r="J51" s="32">
        <f t="shared" si="8"/>
        <v>7.0925176188334049E-2</v>
      </c>
      <c r="K51">
        <v>35.4</v>
      </c>
      <c r="L51" s="32">
        <f t="shared" si="9"/>
        <v>2.9069767441860517E-2</v>
      </c>
      <c r="N51" s="32"/>
      <c r="O51" s="16"/>
      <c r="Q51" s="16"/>
      <c r="S51" s="16"/>
    </row>
    <row r="52" spans="2:19" hidden="1" outlineLevel="1" x14ac:dyDescent="0.3">
      <c r="B52" s="34">
        <v>45753</v>
      </c>
      <c r="C52" s="35">
        <v>18219.7</v>
      </c>
      <c r="D52" s="32">
        <f t="shared" si="5"/>
        <v>-8.0252190057220618E-3</v>
      </c>
      <c r="E52">
        <v>71.430000000000007</v>
      </c>
      <c r="F52" s="32">
        <f t="shared" si="6"/>
        <v>-2.150684931506841E-2</v>
      </c>
      <c r="G52">
        <v>58.15</v>
      </c>
      <c r="H52" s="32">
        <f t="shared" si="7"/>
        <v>-4.4512925868858133E-3</v>
      </c>
      <c r="I52">
        <v>144.43</v>
      </c>
      <c r="J52" s="32">
        <f t="shared" si="8"/>
        <v>1.113133576029135E-2</v>
      </c>
      <c r="K52">
        <v>35.159999999999997</v>
      </c>
      <c r="L52" s="32">
        <f t="shared" si="9"/>
        <v>-6.7796610169491567E-3</v>
      </c>
      <c r="N52" s="32"/>
      <c r="O52" s="16"/>
      <c r="Q52" s="16"/>
      <c r="S52" s="16"/>
    </row>
    <row r="53" spans="2:19" hidden="1" outlineLevel="1" x14ac:dyDescent="0.3">
      <c r="B53" s="34">
        <v>45746</v>
      </c>
      <c r="C53" s="35">
        <v>17618.599999999999</v>
      </c>
      <c r="D53" s="32">
        <f t="shared" si="5"/>
        <v>-3.2991761664571961E-2</v>
      </c>
      <c r="E53">
        <v>69.930000000000007</v>
      </c>
      <c r="F53" s="32">
        <f t="shared" si="6"/>
        <v>-2.0999580008399854E-2</v>
      </c>
      <c r="G53">
        <v>57.08</v>
      </c>
      <c r="H53" s="32">
        <f t="shared" si="7"/>
        <v>-1.840068787618232E-2</v>
      </c>
      <c r="I53">
        <v>146.61000000000001</v>
      </c>
      <c r="J53" s="32">
        <f t="shared" si="8"/>
        <v>1.5093817074015137E-2</v>
      </c>
      <c r="K53">
        <v>33.81</v>
      </c>
      <c r="L53" s="32">
        <f t="shared" si="9"/>
        <v>-3.8395904436859918E-2</v>
      </c>
      <c r="N53" s="32"/>
      <c r="O53" s="16"/>
      <c r="Q53" s="16"/>
      <c r="S53" s="16"/>
    </row>
    <row r="54" spans="2:19" hidden="1" outlineLevel="1" x14ac:dyDescent="0.3">
      <c r="B54" s="34">
        <v>45739</v>
      </c>
      <c r="C54" s="35">
        <v>19270.3</v>
      </c>
      <c r="D54" s="32">
        <f t="shared" si="5"/>
        <v>9.3747516828805999E-2</v>
      </c>
      <c r="E54">
        <v>70.37</v>
      </c>
      <c r="F54" s="32">
        <f t="shared" si="6"/>
        <v>6.2920062920062136E-3</v>
      </c>
      <c r="G54">
        <v>57.86</v>
      </c>
      <c r="H54" s="32">
        <f t="shared" si="7"/>
        <v>1.3665031534688232E-2</v>
      </c>
      <c r="I54">
        <v>149.27000000000001</v>
      </c>
      <c r="J54" s="32">
        <f t="shared" si="8"/>
        <v>1.8143373576154476E-2</v>
      </c>
      <c r="K54">
        <v>33.74</v>
      </c>
      <c r="L54" s="32">
        <f t="shared" si="9"/>
        <v>-2.0703933747412417E-3</v>
      </c>
      <c r="N54" s="32"/>
      <c r="O54" s="16"/>
      <c r="Q54" s="16"/>
      <c r="S54" s="16"/>
    </row>
    <row r="55" spans="2:19" hidden="1" outlineLevel="1" x14ac:dyDescent="0.3">
      <c r="B55" s="34">
        <v>45732</v>
      </c>
      <c r="C55" s="35">
        <v>19454.3</v>
      </c>
      <c r="D55" s="32">
        <f t="shared" si="5"/>
        <v>9.548372365765001E-3</v>
      </c>
      <c r="E55">
        <v>68.67</v>
      </c>
      <c r="F55" s="32">
        <f t="shared" si="6"/>
        <v>-2.4158021884325698E-2</v>
      </c>
      <c r="G55">
        <v>57.31</v>
      </c>
      <c r="H55" s="32">
        <f t="shared" si="7"/>
        <v>-9.5057034220531467E-3</v>
      </c>
      <c r="I55">
        <v>145.44999999999999</v>
      </c>
      <c r="J55" s="32">
        <f t="shared" si="8"/>
        <v>-2.559121055804936E-2</v>
      </c>
      <c r="K55">
        <v>33.549999999999997</v>
      </c>
      <c r="L55" s="32">
        <f t="shared" si="9"/>
        <v>-5.6312981624185854E-3</v>
      </c>
      <c r="N55" s="32"/>
      <c r="O55" s="16"/>
      <c r="Q55" s="16"/>
      <c r="S55" s="16"/>
    </row>
    <row r="56" spans="2:19" hidden="1" outlineLevel="1" x14ac:dyDescent="0.3">
      <c r="B56" s="34">
        <v>45725</v>
      </c>
      <c r="C56" s="35">
        <v>19231.3</v>
      </c>
      <c r="D56" s="32">
        <f t="shared" si="5"/>
        <v>-1.1462761446055625E-2</v>
      </c>
      <c r="E56">
        <v>69.16</v>
      </c>
      <c r="F56" s="32">
        <f t="shared" si="6"/>
        <v>7.135575942915251E-3</v>
      </c>
      <c r="G56">
        <v>55.09</v>
      </c>
      <c r="H56" s="32">
        <f t="shared" si="7"/>
        <v>-3.873669516663758E-2</v>
      </c>
      <c r="I56">
        <v>148.59</v>
      </c>
      <c r="J56" s="32">
        <f t="shared" si="8"/>
        <v>2.1588174630457369E-2</v>
      </c>
      <c r="K56">
        <v>33.590000000000003</v>
      </c>
      <c r="L56" s="32">
        <f t="shared" si="9"/>
        <v>1.1922503725785294E-3</v>
      </c>
      <c r="N56" s="32"/>
      <c r="O56" s="16"/>
      <c r="Q56" s="16"/>
      <c r="S56" s="16"/>
    </row>
    <row r="57" spans="2:19" hidden="1" outlineLevel="1" x14ac:dyDescent="0.3">
      <c r="B57" s="34">
        <v>45718</v>
      </c>
      <c r="C57" s="35">
        <v>19573.099999999999</v>
      </c>
      <c r="D57" s="32">
        <f t="shared" si="5"/>
        <v>1.7773109462178915E-2</v>
      </c>
      <c r="E57">
        <v>71.430000000000007</v>
      </c>
      <c r="F57" s="32">
        <f t="shared" si="6"/>
        <v>3.282244071717777E-2</v>
      </c>
      <c r="G57">
        <v>55.07</v>
      </c>
      <c r="H57" s="32">
        <f t="shared" si="7"/>
        <v>-3.6304229442740699E-4</v>
      </c>
      <c r="I57">
        <v>154.44</v>
      </c>
      <c r="J57" s="32">
        <f t="shared" si="8"/>
        <v>3.937007874015741E-2</v>
      </c>
      <c r="K57">
        <v>33.340000000000003</v>
      </c>
      <c r="L57" s="32">
        <f t="shared" si="9"/>
        <v>-7.4426912771657916E-3</v>
      </c>
      <c r="N57" s="32"/>
      <c r="O57" s="16"/>
      <c r="Q57" s="16"/>
      <c r="S57" s="16"/>
    </row>
    <row r="58" spans="2:19" hidden="1" outlineLevel="1" x14ac:dyDescent="0.3">
      <c r="B58" s="37">
        <v>45711</v>
      </c>
      <c r="C58" s="35">
        <v>20028.2</v>
      </c>
      <c r="D58" s="32">
        <f t="shared" si="5"/>
        <v>2.3251298976656898E-2</v>
      </c>
      <c r="E58">
        <v>71.209999999999994</v>
      </c>
      <c r="F58" s="32">
        <f t="shared" si="6"/>
        <v>-3.0799384012321074E-3</v>
      </c>
      <c r="G58">
        <v>54.65</v>
      </c>
      <c r="H58" s="32">
        <f t="shared" si="7"/>
        <v>-7.6266569820229169E-3</v>
      </c>
      <c r="I58">
        <v>153.47</v>
      </c>
      <c r="J58" s="32">
        <f t="shared" si="8"/>
        <v>-6.2807562807563055E-3</v>
      </c>
      <c r="K58">
        <v>33.520000000000003</v>
      </c>
      <c r="L58" s="32">
        <f t="shared" si="9"/>
        <v>5.3989202159567817E-3</v>
      </c>
      <c r="N58" s="32"/>
      <c r="O58" s="16"/>
      <c r="Q58" s="16"/>
      <c r="S58" s="16"/>
    </row>
    <row r="59" spans="2:19" hidden="1" outlineLevel="1" x14ac:dyDescent="0.3">
      <c r="B59" s="34">
        <v>45704</v>
      </c>
      <c r="C59" s="35">
        <v>19881.5</v>
      </c>
      <c r="D59" s="32">
        <f t="shared" si="5"/>
        <v>-7.324672212180916E-3</v>
      </c>
      <c r="E59">
        <v>71.349999999999994</v>
      </c>
      <c r="F59" s="32">
        <f t="shared" si="6"/>
        <v>1.9660160089876033E-3</v>
      </c>
      <c r="G59">
        <v>53</v>
      </c>
      <c r="H59" s="32">
        <f t="shared" si="7"/>
        <v>-3.0192131747483919E-2</v>
      </c>
      <c r="I59">
        <v>153.5</v>
      </c>
      <c r="J59" s="32">
        <f t="shared" si="8"/>
        <v>1.9547794357199777E-4</v>
      </c>
      <c r="K59">
        <v>34.04</v>
      </c>
      <c r="L59" s="32">
        <f t="shared" si="9"/>
        <v>1.5513126491646601E-2</v>
      </c>
      <c r="N59" s="32"/>
      <c r="O59" s="16"/>
      <c r="Q59" s="16"/>
      <c r="S59" s="16"/>
    </row>
    <row r="60" spans="2:19" hidden="1" outlineLevel="1" x14ac:dyDescent="0.3">
      <c r="B60" s="34">
        <v>45697</v>
      </c>
      <c r="C60" s="35">
        <v>20130.5</v>
      </c>
      <c r="D60" s="32">
        <f t="shared" si="5"/>
        <v>1.2524205920076525E-2</v>
      </c>
      <c r="E60">
        <v>68.87</v>
      </c>
      <c r="F60" s="32">
        <f t="shared" si="6"/>
        <v>-3.4758234057463033E-2</v>
      </c>
      <c r="G60">
        <v>49.25</v>
      </c>
      <c r="H60" s="32">
        <f t="shared" si="7"/>
        <v>-7.0754716981132115E-2</v>
      </c>
      <c r="I60">
        <v>143.38999999999999</v>
      </c>
      <c r="J60" s="32">
        <f t="shared" si="8"/>
        <v>-6.5863192182410546E-2</v>
      </c>
      <c r="K60">
        <v>31.65</v>
      </c>
      <c r="L60" s="32">
        <f t="shared" si="9"/>
        <v>-7.0211515863689788E-2</v>
      </c>
      <c r="M60" s="33"/>
      <c r="N60" s="32"/>
      <c r="O60" s="16"/>
      <c r="Q60" s="16"/>
      <c r="S60" s="16"/>
    </row>
    <row r="61" spans="2:19" hidden="1" outlineLevel="1" x14ac:dyDescent="0.3">
      <c r="B61" s="34">
        <v>45690</v>
      </c>
      <c r="C61" s="35">
        <v>20039.5</v>
      </c>
      <c r="D61" s="32">
        <f t="shared" si="5"/>
        <v>-4.5205037132709514E-3</v>
      </c>
      <c r="E61">
        <v>63.84</v>
      </c>
      <c r="F61" s="32">
        <f t="shared" si="6"/>
        <v>-7.3036155074778564E-2</v>
      </c>
      <c r="G61">
        <v>46.57</v>
      </c>
      <c r="H61" s="32">
        <f t="shared" si="7"/>
        <v>-5.4416243654822338E-2</v>
      </c>
      <c r="I61">
        <v>144.58000000000001</v>
      </c>
      <c r="J61" s="32">
        <f t="shared" si="8"/>
        <v>8.2990445637773913E-3</v>
      </c>
      <c r="K61">
        <v>31.04</v>
      </c>
      <c r="L61" s="32">
        <f t="shared" si="9"/>
        <v>-1.9273301737756654E-2</v>
      </c>
      <c r="M61" s="33"/>
      <c r="N61" s="32"/>
      <c r="O61" s="16"/>
      <c r="Q61" s="16"/>
      <c r="S61" s="16"/>
    </row>
    <row r="62" spans="2:19" hidden="1" outlineLevel="1" x14ac:dyDescent="0.3">
      <c r="B62" s="34">
        <v>45683</v>
      </c>
      <c r="C62" s="35">
        <v>19998.8</v>
      </c>
      <c r="D62" s="32">
        <f t="shared" si="5"/>
        <v>-2.0309887971257101E-3</v>
      </c>
      <c r="E62">
        <v>63.48</v>
      </c>
      <c r="F62" s="32">
        <f t="shared" si="6"/>
        <v>-5.6390977443609991E-3</v>
      </c>
      <c r="G62">
        <v>48.71</v>
      </c>
      <c r="H62" s="32">
        <f t="shared" si="7"/>
        <v>4.5952329826068228E-2</v>
      </c>
      <c r="I62">
        <v>150.69</v>
      </c>
      <c r="J62" s="32">
        <f t="shared" si="8"/>
        <v>4.2260340296029764E-2</v>
      </c>
      <c r="K62">
        <v>32.1</v>
      </c>
      <c r="L62" s="32">
        <f t="shared" si="9"/>
        <v>3.4149484536082575E-2</v>
      </c>
      <c r="M62" s="33"/>
      <c r="N62" s="32"/>
      <c r="O62" s="16"/>
      <c r="Q62" s="16"/>
      <c r="S62" s="16"/>
    </row>
    <row r="63" spans="2:19" hidden="1" outlineLevel="1" x14ac:dyDescent="0.3">
      <c r="B63" s="34">
        <v>45676</v>
      </c>
      <c r="C63" s="35">
        <v>19997.5</v>
      </c>
      <c r="D63" s="32">
        <f t="shared" si="5"/>
        <v>-6.5003900234006373E-5</v>
      </c>
      <c r="E63">
        <v>61.92</v>
      </c>
      <c r="F63" s="32">
        <f t="shared" si="6"/>
        <v>-2.4574669187145459E-2</v>
      </c>
      <c r="G63">
        <v>48.28</v>
      </c>
      <c r="H63" s="32">
        <f t="shared" si="7"/>
        <v>-8.8277561075754685E-3</v>
      </c>
      <c r="I63">
        <v>149.12</v>
      </c>
      <c r="J63" s="32">
        <f t="shared" si="8"/>
        <v>-1.0418740460548137E-2</v>
      </c>
      <c r="K63">
        <v>31.15</v>
      </c>
      <c r="L63" s="32">
        <f t="shared" si="9"/>
        <v>-2.9595015576324046E-2</v>
      </c>
      <c r="M63" s="33"/>
      <c r="N63" s="32"/>
      <c r="O63" s="16"/>
      <c r="Q63" s="16"/>
      <c r="S63" s="16"/>
    </row>
    <row r="64" spans="2:19" hidden="1" outlineLevel="1" x14ac:dyDescent="0.3">
      <c r="B64" s="34">
        <v>45669</v>
      </c>
      <c r="C64" s="35">
        <v>19607.400000000001</v>
      </c>
      <c r="D64" s="32">
        <f t="shared" si="5"/>
        <v>-1.9507438429803625E-2</v>
      </c>
      <c r="E64">
        <v>62.71</v>
      </c>
      <c r="F64" s="32">
        <f t="shared" si="6"/>
        <v>1.2758397932816523E-2</v>
      </c>
      <c r="G64">
        <v>49.42</v>
      </c>
      <c r="H64" s="32">
        <f t="shared" si="7"/>
        <v>2.3612261806130963E-2</v>
      </c>
      <c r="I64">
        <v>148.25</v>
      </c>
      <c r="J64" s="32">
        <f t="shared" si="8"/>
        <v>-5.8342274678111483E-3</v>
      </c>
      <c r="K64">
        <v>31.62</v>
      </c>
      <c r="L64" s="32">
        <f t="shared" si="9"/>
        <v>1.508828250401284E-2</v>
      </c>
      <c r="M64" s="33"/>
      <c r="N64" s="32"/>
      <c r="O64" s="16"/>
      <c r="Q64" s="16"/>
    </row>
    <row r="65" spans="2:17" hidden="1" outlineLevel="1" x14ac:dyDescent="0.3">
      <c r="B65" s="34">
        <v>45662</v>
      </c>
      <c r="C65" s="35">
        <v>18963</v>
      </c>
      <c r="D65" s="32">
        <f t="shared" si="5"/>
        <v>-3.2865142752226295E-2</v>
      </c>
      <c r="E65">
        <v>61.07</v>
      </c>
      <c r="F65" s="32">
        <f t="shared" si="6"/>
        <v>-2.6152128847073852E-2</v>
      </c>
      <c r="G65">
        <v>49.74</v>
      </c>
      <c r="H65" s="32">
        <f t="shared" si="7"/>
        <v>6.4751112909753328E-3</v>
      </c>
      <c r="I65">
        <v>142.63999999999999</v>
      </c>
      <c r="J65" s="32">
        <f t="shared" si="8"/>
        <v>-3.7841483979764057E-2</v>
      </c>
      <c r="K65">
        <v>30.38</v>
      </c>
      <c r="L65" s="32">
        <f t="shared" si="9"/>
        <v>-3.9215686274509887E-2</v>
      </c>
      <c r="M65" s="33"/>
      <c r="N65" s="32"/>
      <c r="O65" s="16"/>
      <c r="Q65" s="16"/>
    </row>
    <row r="66" spans="2:17" hidden="1" outlineLevel="1" x14ac:dyDescent="0.3">
      <c r="B66" s="34">
        <v>45655</v>
      </c>
      <c r="C66" s="35">
        <v>19254.3</v>
      </c>
      <c r="D66" s="32">
        <f t="shared" si="5"/>
        <v>1.5361493434583151E-2</v>
      </c>
      <c r="E66">
        <v>61.75</v>
      </c>
      <c r="F66" s="32">
        <f t="shared" si="6"/>
        <v>1.1134763386277946E-2</v>
      </c>
      <c r="G66">
        <v>52.39</v>
      </c>
      <c r="H66" s="32">
        <f t="shared" si="7"/>
        <v>5.3277040611177995E-2</v>
      </c>
      <c r="I66">
        <v>149.65</v>
      </c>
      <c r="J66" s="32">
        <f t="shared" si="8"/>
        <v>4.9144699943914905E-2</v>
      </c>
      <c r="K66">
        <v>31.54</v>
      </c>
      <c r="L66" s="32">
        <f t="shared" si="9"/>
        <v>3.8183015141540544E-2</v>
      </c>
      <c r="M66" s="16"/>
      <c r="N66" s="32"/>
      <c r="O66" s="16"/>
      <c r="Q66" s="16"/>
    </row>
    <row r="67" spans="2:17" hidden="1" outlineLevel="1" x14ac:dyDescent="0.3">
      <c r="B67" s="34">
        <v>45648</v>
      </c>
      <c r="C67" s="35">
        <v>19238.5</v>
      </c>
      <c r="D67" s="32">
        <f t="shared" si="5"/>
        <v>-8.2059591883365535E-4</v>
      </c>
      <c r="E67">
        <v>62.45</v>
      </c>
      <c r="F67" s="32">
        <f t="shared" si="6"/>
        <v>1.1336032388663986E-2</v>
      </c>
      <c r="G67">
        <v>52.55</v>
      </c>
      <c r="H67" s="32">
        <f t="shared" si="7"/>
        <v>3.0540179423552694E-3</v>
      </c>
      <c r="I67">
        <v>152.88999999999999</v>
      </c>
      <c r="J67" s="32">
        <f t="shared" si="8"/>
        <v>2.1650517875041686E-2</v>
      </c>
      <c r="K67">
        <v>32.270000000000003</v>
      </c>
      <c r="L67" s="32">
        <f t="shared" si="9"/>
        <v>2.3145212428662187E-2</v>
      </c>
      <c r="M67" s="16"/>
      <c r="N67" s="32"/>
      <c r="O67" s="16"/>
      <c r="Q67" s="16"/>
    </row>
    <row r="68" spans="2:17" hidden="1" outlineLevel="1" x14ac:dyDescent="0.3">
      <c r="B68" s="34">
        <v>45641</v>
      </c>
      <c r="C68" s="35">
        <v>19119.400000000001</v>
      </c>
      <c r="D68" s="32">
        <f t="shared" si="5"/>
        <v>-6.190711334043586E-3</v>
      </c>
      <c r="E68">
        <v>62.55</v>
      </c>
      <c r="F68" s="32">
        <f t="shared" si="6"/>
        <v>1.6012810248198228E-3</v>
      </c>
      <c r="G68">
        <v>51.72</v>
      </c>
      <c r="H68" s="32">
        <f t="shared" si="7"/>
        <v>-1.5794481446241626E-2</v>
      </c>
      <c r="I68">
        <v>152.79</v>
      </c>
      <c r="J68" s="32">
        <f t="shared" si="8"/>
        <v>-6.5406501406239936E-4</v>
      </c>
      <c r="K68">
        <v>32.369999999999997</v>
      </c>
      <c r="L68" s="32">
        <f t="shared" si="9"/>
        <v>3.0988534242328836E-3</v>
      </c>
      <c r="M68" s="16"/>
      <c r="N68" s="32"/>
      <c r="O68" s="16"/>
      <c r="Q68" s="16"/>
    </row>
    <row r="69" spans="2:17" hidden="1" outlineLevel="1" x14ac:dyDescent="0.3">
      <c r="B69" s="34">
        <v>45634</v>
      </c>
      <c r="C69" s="35">
        <v>19729.400000000001</v>
      </c>
      <c r="D69" s="32">
        <f t="shared" si="5"/>
        <v>3.1904766885990199E-2</v>
      </c>
      <c r="E69">
        <v>63.12</v>
      </c>
      <c r="F69" s="32">
        <f t="shared" si="6"/>
        <v>9.1127098321341915E-3</v>
      </c>
      <c r="G69">
        <v>52.76</v>
      </c>
      <c r="H69" s="32">
        <f t="shared" si="7"/>
        <v>2.0108275328692971E-2</v>
      </c>
      <c r="I69">
        <v>157.97</v>
      </c>
      <c r="J69" s="32">
        <f t="shared" si="8"/>
        <v>3.3902742326068491E-2</v>
      </c>
      <c r="K69">
        <v>33.549999999999997</v>
      </c>
      <c r="L69" s="32">
        <f t="shared" si="9"/>
        <v>3.6453506333024466E-2</v>
      </c>
      <c r="M69" s="16"/>
      <c r="N69" s="32"/>
      <c r="O69" s="16"/>
      <c r="Q69" s="16"/>
    </row>
    <row r="70" spans="2:17" hidden="1" outlineLevel="1" x14ac:dyDescent="0.3">
      <c r="B70" s="34">
        <v>45627</v>
      </c>
      <c r="C70" s="35">
        <v>20107.8</v>
      </c>
      <c r="D70" s="32">
        <f t="shared" si="5"/>
        <v>1.9179498616278101E-2</v>
      </c>
      <c r="E70">
        <v>62.53</v>
      </c>
      <c r="F70" s="32">
        <f t="shared" si="6"/>
        <v>-9.3472750316856423E-3</v>
      </c>
      <c r="G70">
        <v>52.27</v>
      </c>
      <c r="H70" s="32">
        <f t="shared" si="7"/>
        <v>-9.2873388931007383E-3</v>
      </c>
      <c r="I70">
        <v>157.79</v>
      </c>
      <c r="J70" s="32">
        <f t="shared" si="8"/>
        <v>-1.1394568588972698E-3</v>
      </c>
      <c r="K70">
        <v>32.72</v>
      </c>
      <c r="L70" s="32">
        <f t="shared" si="9"/>
        <v>-2.4739195230998434E-2</v>
      </c>
      <c r="M70" s="16"/>
      <c r="N70" s="32"/>
      <c r="O70" s="16"/>
      <c r="Q70" s="16"/>
    </row>
    <row r="71" spans="2:17" hidden="1" outlineLevel="1" x14ac:dyDescent="0.3">
      <c r="B71" s="34">
        <v>45620</v>
      </c>
      <c r="C71" s="35">
        <v>20272</v>
      </c>
      <c r="D71" s="32">
        <f t="shared" si="5"/>
        <v>8.1659853390227966E-3</v>
      </c>
      <c r="E71">
        <v>64.08</v>
      </c>
      <c r="F71" s="32">
        <f t="shared" si="6"/>
        <v>2.4788101711178623E-2</v>
      </c>
      <c r="G71">
        <v>55.13</v>
      </c>
      <c r="H71" s="32">
        <f t="shared" si="7"/>
        <v>5.4715898220776715E-2</v>
      </c>
      <c r="I71">
        <v>163.44999999999999</v>
      </c>
      <c r="J71" s="32">
        <f t="shared" si="8"/>
        <v>3.5870460738956833E-2</v>
      </c>
      <c r="K71">
        <v>32.65</v>
      </c>
      <c r="L71" s="32">
        <f t="shared" si="9"/>
        <v>-2.1393643031785148E-3</v>
      </c>
      <c r="M71" s="16"/>
      <c r="N71" s="32"/>
      <c r="O71" s="16"/>
      <c r="Q71" s="16"/>
    </row>
    <row r="72" spans="2:17" hidden="1" outlineLevel="1" x14ac:dyDescent="0.3">
      <c r="B72" s="34">
        <v>45613</v>
      </c>
      <c r="C72" s="35">
        <v>20123.5</v>
      </c>
      <c r="D72" s="32">
        <f t="shared" si="5"/>
        <v>-7.3253749013417746E-3</v>
      </c>
      <c r="E72">
        <v>63.92</v>
      </c>
      <c r="F72" s="32">
        <f t="shared" si="6"/>
        <v>-2.4968789013731785E-3</v>
      </c>
      <c r="G72">
        <v>54.06</v>
      </c>
      <c r="H72" s="32">
        <f t="shared" si="7"/>
        <v>-1.9408670415381857E-2</v>
      </c>
      <c r="I72">
        <v>162</v>
      </c>
      <c r="J72" s="32">
        <f t="shared" si="8"/>
        <v>-8.8712144386662306E-3</v>
      </c>
      <c r="K72">
        <v>32.659999999999997</v>
      </c>
      <c r="L72" s="32">
        <f t="shared" si="9"/>
        <v>3.0627871362942649E-4</v>
      </c>
      <c r="M72" s="16"/>
      <c r="N72" s="32"/>
      <c r="O72" s="16"/>
      <c r="Q72" s="16"/>
    </row>
    <row r="73" spans="2:17" hidden="1" outlineLevel="1" x14ac:dyDescent="0.3">
      <c r="B73" s="34">
        <v>45606</v>
      </c>
      <c r="C73" s="35">
        <v>19645.8</v>
      </c>
      <c r="D73" s="32">
        <f t="shared" ref="D73" si="10">C73/C72-1</f>
        <v>-2.3738415285611381E-2</v>
      </c>
      <c r="E73">
        <v>61.74</v>
      </c>
      <c r="F73" s="32">
        <f t="shared" ref="F73" si="11">E73/E72-1</f>
        <v>-3.4105131414267853E-2</v>
      </c>
      <c r="G73">
        <v>52</v>
      </c>
      <c r="H73" s="32">
        <f t="shared" ref="H73" si="12">G73/G72-1</f>
        <v>-3.8105808361080351E-2</v>
      </c>
      <c r="I73">
        <v>158.62</v>
      </c>
      <c r="J73" s="32">
        <f t="shared" ref="J73" si="13">I73/I72-1</f>
        <v>-2.0864197530864215E-2</v>
      </c>
      <c r="K73">
        <v>31.66</v>
      </c>
      <c r="L73" s="32">
        <f t="shared" ref="L73" si="14">K73/K72-1</f>
        <v>-3.0618493570116256E-2</v>
      </c>
      <c r="M73" s="16"/>
      <c r="N73" s="32"/>
      <c r="O73" s="16"/>
      <c r="Q73" s="16"/>
    </row>
    <row r="74" spans="2:17" hidden="1" outlineLevel="1" x14ac:dyDescent="0.3">
      <c r="B74" s="34">
        <v>45599</v>
      </c>
      <c r="C74" s="35">
        <v>19937.099999999999</v>
      </c>
      <c r="D74" s="32">
        <f t="shared" ref="D74:D137" si="15">C74/C73-1</f>
        <v>1.4827596738234083E-2</v>
      </c>
      <c r="E74">
        <v>63.92</v>
      </c>
      <c r="F74" s="32">
        <f t="shared" ref="F74:F137" si="16">E74/E73-1</f>
        <v>3.5309361839974018E-2</v>
      </c>
      <c r="G74">
        <v>54.14</v>
      </c>
      <c r="H74" s="32">
        <f t="shared" ref="H74:H137" si="17">G74/G73-1</f>
        <v>4.1153846153846096E-2</v>
      </c>
      <c r="I74">
        <v>165.11</v>
      </c>
      <c r="J74" s="32">
        <f t="shared" ref="J74:J137" si="18">I74/I73-1</f>
        <v>4.0915395284327305E-2</v>
      </c>
      <c r="K74">
        <v>32.880000000000003</v>
      </c>
      <c r="L74" s="32">
        <f t="shared" ref="L74:L137" si="19">K74/K73-1</f>
        <v>3.8534428300694978E-2</v>
      </c>
      <c r="M74" s="16"/>
      <c r="N74" s="32"/>
      <c r="O74" s="16"/>
      <c r="Q74" s="16"/>
    </row>
    <row r="75" spans="2:17" hidden="1" outlineLevel="1" x14ac:dyDescent="0.3">
      <c r="B75" s="34">
        <v>45592</v>
      </c>
      <c r="C75" s="35">
        <v>19253.5</v>
      </c>
      <c r="D75" s="32">
        <f t="shared" si="15"/>
        <v>-3.428783524183554E-2</v>
      </c>
      <c r="E75">
        <v>65.010000000000005</v>
      </c>
      <c r="F75" s="32">
        <f t="shared" si="16"/>
        <v>1.7052565707133871E-2</v>
      </c>
      <c r="G75">
        <v>52.3</v>
      </c>
      <c r="H75" s="32">
        <f t="shared" si="17"/>
        <v>-3.3985962319911356E-2</v>
      </c>
      <c r="I75">
        <v>165.59</v>
      </c>
      <c r="J75" s="32">
        <f t="shared" si="18"/>
        <v>2.9071528072193153E-3</v>
      </c>
      <c r="K75">
        <v>32.82</v>
      </c>
      <c r="L75" s="32">
        <f t="shared" si="19"/>
        <v>-1.8248175182482562E-3</v>
      </c>
      <c r="M75" s="16"/>
      <c r="N75" s="32"/>
      <c r="O75" s="16"/>
      <c r="Q75" s="16"/>
    </row>
    <row r="76" spans="2:17" hidden="1" outlineLevel="1" x14ac:dyDescent="0.3">
      <c r="B76" s="34">
        <v>45585</v>
      </c>
      <c r="C76" s="35">
        <v>19456.3</v>
      </c>
      <c r="D76" s="32">
        <f t="shared" si="15"/>
        <v>1.0533149816916332E-2</v>
      </c>
      <c r="E76">
        <v>66.92</v>
      </c>
      <c r="F76" s="32">
        <f t="shared" si="16"/>
        <v>2.9380095369943016E-2</v>
      </c>
      <c r="G76">
        <v>53.37</v>
      </c>
      <c r="H76" s="32">
        <f t="shared" si="17"/>
        <v>2.0458891013384273E-2</v>
      </c>
      <c r="I76">
        <v>171.79</v>
      </c>
      <c r="J76" s="32">
        <f t="shared" si="18"/>
        <v>3.744187450933012E-2</v>
      </c>
      <c r="K76">
        <v>34.58</v>
      </c>
      <c r="L76" s="32">
        <f t="shared" si="19"/>
        <v>5.3625837903717111E-2</v>
      </c>
      <c r="M76" s="16"/>
      <c r="N76" s="32"/>
      <c r="O76" s="16"/>
      <c r="Q76" s="16"/>
    </row>
    <row r="77" spans="2:17" hidden="1" outlineLevel="1" x14ac:dyDescent="0.3">
      <c r="B77" s="34">
        <v>45578</v>
      </c>
      <c r="C77" s="35">
        <v>19884.8</v>
      </c>
      <c r="D77" s="32">
        <f t="shared" si="15"/>
        <v>2.2023714683675699E-2</v>
      </c>
      <c r="E77">
        <v>70.44</v>
      </c>
      <c r="F77" s="32">
        <f t="shared" si="16"/>
        <v>5.2600119545726187E-2</v>
      </c>
      <c r="G77">
        <v>54.05</v>
      </c>
      <c r="H77" s="32">
        <f t="shared" si="17"/>
        <v>1.2741240397226905E-2</v>
      </c>
      <c r="I77">
        <v>175.06</v>
      </c>
      <c r="J77" s="32">
        <f t="shared" si="18"/>
        <v>1.9034868152977502E-2</v>
      </c>
      <c r="K77">
        <v>36.94</v>
      </c>
      <c r="L77" s="32">
        <f t="shared" si="19"/>
        <v>6.8247541931752531E-2</v>
      </c>
      <c r="M77" s="16"/>
      <c r="N77" s="32"/>
      <c r="O77" s="16"/>
      <c r="Q77" s="16"/>
    </row>
    <row r="78" spans="2:17" hidden="1" outlineLevel="1" x14ac:dyDescent="0.3">
      <c r="B78" s="34">
        <v>45571</v>
      </c>
      <c r="C78" s="35">
        <v>19711.2</v>
      </c>
      <c r="D78" s="32">
        <f t="shared" si="15"/>
        <v>-8.730286449951663E-3</v>
      </c>
      <c r="E78">
        <v>69.569999999999993</v>
      </c>
      <c r="F78" s="32">
        <f t="shared" si="16"/>
        <v>-1.235093696763212E-2</v>
      </c>
      <c r="G78">
        <v>51.31</v>
      </c>
      <c r="H78" s="32">
        <f t="shared" si="17"/>
        <v>-5.0693802035152502E-2</v>
      </c>
      <c r="I78">
        <v>174.81</v>
      </c>
      <c r="J78" s="32">
        <f t="shared" si="18"/>
        <v>-1.4280818005255602E-3</v>
      </c>
      <c r="K78">
        <v>36.380000000000003</v>
      </c>
      <c r="L78" s="32">
        <f t="shared" si="19"/>
        <v>-1.5159718462371297E-2</v>
      </c>
      <c r="M78" s="16"/>
      <c r="N78" s="32"/>
      <c r="O78" s="16"/>
      <c r="Q78" s="16"/>
    </row>
    <row r="79" spans="2:17" hidden="1" outlineLevel="1" x14ac:dyDescent="0.3">
      <c r="B79" s="34">
        <v>45564</v>
      </c>
      <c r="C79" s="35">
        <v>19538.7</v>
      </c>
      <c r="D79" s="32">
        <f t="shared" si="15"/>
        <v>-8.7513697796176571E-3</v>
      </c>
      <c r="E79">
        <v>70.17</v>
      </c>
      <c r="F79" s="32">
        <f t="shared" si="16"/>
        <v>8.6244070720138399E-3</v>
      </c>
      <c r="G79">
        <v>50.95</v>
      </c>
      <c r="H79" s="32">
        <f t="shared" si="17"/>
        <v>-7.0161761839797609E-3</v>
      </c>
      <c r="I79">
        <v>167.97</v>
      </c>
      <c r="J79" s="32">
        <f t="shared" si="18"/>
        <v>-3.9128196327441245E-2</v>
      </c>
      <c r="K79">
        <v>36.39</v>
      </c>
      <c r="L79" s="32">
        <f t="shared" si="19"/>
        <v>2.7487630566236376E-4</v>
      </c>
      <c r="M79" s="16"/>
      <c r="N79" s="32"/>
      <c r="O79" s="16"/>
      <c r="Q79" s="16"/>
    </row>
    <row r="80" spans="2:17" hidden="1" outlineLevel="1" x14ac:dyDescent="0.3">
      <c r="B80" s="34">
        <v>45557</v>
      </c>
      <c r="C80" s="35">
        <v>19501.2</v>
      </c>
      <c r="D80" s="32">
        <f t="shared" si="15"/>
        <v>-1.9192679144467428E-3</v>
      </c>
      <c r="E80">
        <v>71.790000000000006</v>
      </c>
      <c r="F80" s="32">
        <f t="shared" si="16"/>
        <v>2.3086789226165028E-2</v>
      </c>
      <c r="G80">
        <v>52.46</v>
      </c>
      <c r="H80" s="32">
        <f t="shared" si="17"/>
        <v>2.9636898920510246E-2</v>
      </c>
      <c r="I80">
        <v>170</v>
      </c>
      <c r="J80" s="32">
        <f t="shared" si="18"/>
        <v>1.2085491456807818E-2</v>
      </c>
      <c r="K80">
        <v>37.42</v>
      </c>
      <c r="L80" s="32">
        <f t="shared" si="19"/>
        <v>2.8304479252541981E-2</v>
      </c>
      <c r="M80" s="16"/>
      <c r="N80" s="32"/>
      <c r="O80" s="16"/>
      <c r="Q80" s="16"/>
    </row>
    <row r="81" spans="2:17" hidden="1" outlineLevel="1" x14ac:dyDescent="0.3">
      <c r="B81" s="34">
        <v>45550</v>
      </c>
      <c r="C81" s="35">
        <v>19373.7</v>
      </c>
      <c r="D81" s="32">
        <f t="shared" si="15"/>
        <v>-6.5380591963571932E-3</v>
      </c>
      <c r="E81">
        <v>71.64</v>
      </c>
      <c r="F81" s="32">
        <f t="shared" si="16"/>
        <v>-2.0894274968659143E-3</v>
      </c>
      <c r="G81">
        <v>51.18</v>
      </c>
      <c r="H81" s="32">
        <f t="shared" si="17"/>
        <v>-2.4399542508578009E-2</v>
      </c>
      <c r="I81">
        <v>171.18</v>
      </c>
      <c r="J81" s="32">
        <f t="shared" si="18"/>
        <v>6.9411764705882284E-3</v>
      </c>
      <c r="K81">
        <v>37.46</v>
      </c>
      <c r="L81" s="32">
        <f t="shared" si="19"/>
        <v>1.068947087119243E-3</v>
      </c>
      <c r="M81" s="16"/>
      <c r="N81" s="32"/>
      <c r="O81" s="16"/>
      <c r="Q81" s="16"/>
    </row>
    <row r="82" spans="2:17" hidden="1" outlineLevel="1" x14ac:dyDescent="0.3">
      <c r="B82" s="34">
        <v>45543</v>
      </c>
      <c r="C82" s="35">
        <v>19121.5</v>
      </c>
      <c r="D82" s="32">
        <f t="shared" si="15"/>
        <v>-1.3017647635712337E-2</v>
      </c>
      <c r="E82">
        <v>71.41</v>
      </c>
      <c r="F82" s="32">
        <f t="shared" si="16"/>
        <v>-3.2104969290899232E-3</v>
      </c>
      <c r="G82">
        <v>50.83</v>
      </c>
      <c r="H82" s="32">
        <f t="shared" si="17"/>
        <v>-6.8386088315748328E-3</v>
      </c>
      <c r="I82">
        <v>177.36</v>
      </c>
      <c r="J82" s="32">
        <f t="shared" si="18"/>
        <v>3.6102348405187668E-2</v>
      </c>
      <c r="K82">
        <v>37.61</v>
      </c>
      <c r="L82" s="32">
        <f t="shared" si="19"/>
        <v>4.0042712226373567E-3</v>
      </c>
      <c r="M82" s="16"/>
      <c r="N82" s="32"/>
      <c r="O82" s="16"/>
      <c r="Q82" s="16"/>
    </row>
    <row r="83" spans="2:17" hidden="1" outlineLevel="1" x14ac:dyDescent="0.3">
      <c r="B83" s="34">
        <v>45536</v>
      </c>
      <c r="C83" s="35">
        <v>18663.099999999999</v>
      </c>
      <c r="D83" s="32">
        <f t="shared" si="15"/>
        <v>-2.3973014669351311E-2</v>
      </c>
      <c r="E83">
        <v>71.14</v>
      </c>
      <c r="F83" s="32">
        <f t="shared" si="16"/>
        <v>-3.780983055594378E-3</v>
      </c>
      <c r="G83">
        <v>48.65</v>
      </c>
      <c r="H83" s="32">
        <f t="shared" si="17"/>
        <v>-4.2888058233326753E-2</v>
      </c>
      <c r="I83">
        <v>177.34</v>
      </c>
      <c r="J83" s="32">
        <f t="shared" si="18"/>
        <v>-1.1276499774470761E-4</v>
      </c>
      <c r="K83">
        <v>36.86</v>
      </c>
      <c r="L83" s="32">
        <f t="shared" si="19"/>
        <v>-1.9941504918904562E-2</v>
      </c>
      <c r="M83" s="16"/>
      <c r="N83" s="32"/>
      <c r="O83" s="16"/>
      <c r="Q83" s="16"/>
    </row>
    <row r="84" spans="2:17" hidden="1" outlineLevel="1" x14ac:dyDescent="0.3">
      <c r="B84" s="34">
        <v>45529</v>
      </c>
      <c r="C84" s="35">
        <v>19292.2</v>
      </c>
      <c r="D84" s="32">
        <f t="shared" si="15"/>
        <v>3.3708226393257323E-2</v>
      </c>
      <c r="E84">
        <v>72.47</v>
      </c>
      <c r="F84" s="32">
        <f t="shared" si="16"/>
        <v>1.8695529940961464E-2</v>
      </c>
      <c r="G84">
        <v>47.13</v>
      </c>
      <c r="H84" s="32">
        <f t="shared" si="17"/>
        <v>-3.1243576567317466E-2</v>
      </c>
      <c r="I84">
        <v>172.88</v>
      </c>
      <c r="J84" s="32">
        <f t="shared" si="18"/>
        <v>-2.5149430472538703E-2</v>
      </c>
      <c r="K84">
        <v>36.61</v>
      </c>
      <c r="L84" s="32">
        <f t="shared" si="19"/>
        <v>-6.7824199674443308E-3</v>
      </c>
      <c r="M84" s="16"/>
      <c r="N84" s="32"/>
      <c r="O84" s="16"/>
      <c r="Q84" s="16"/>
    </row>
    <row r="85" spans="2:17" hidden="1" outlineLevel="1" x14ac:dyDescent="0.3">
      <c r="B85" s="34">
        <v>45522</v>
      </c>
      <c r="C85" s="35">
        <v>19093.5</v>
      </c>
      <c r="D85" s="32">
        <f t="shared" si="15"/>
        <v>-1.0299499279501578E-2</v>
      </c>
      <c r="E85">
        <v>69.790000000000006</v>
      </c>
      <c r="F85" s="32">
        <f t="shared" si="16"/>
        <v>-3.6980819649510055E-2</v>
      </c>
      <c r="G85">
        <v>46.65</v>
      </c>
      <c r="H85" s="32">
        <f t="shared" si="17"/>
        <v>-1.0184595798854335E-2</v>
      </c>
      <c r="I85">
        <v>175.87</v>
      </c>
      <c r="J85" s="32">
        <f t="shared" si="18"/>
        <v>1.729523368810737E-2</v>
      </c>
      <c r="K85">
        <v>35.729999999999997</v>
      </c>
      <c r="L85" s="32">
        <f t="shared" si="19"/>
        <v>-2.4037148320131152E-2</v>
      </c>
      <c r="M85" s="16"/>
      <c r="N85" s="32"/>
      <c r="O85" s="16"/>
      <c r="Q85" s="16"/>
    </row>
    <row r="86" spans="2:17" hidden="1" outlineLevel="1" x14ac:dyDescent="0.3">
      <c r="B86" s="34">
        <v>45515</v>
      </c>
      <c r="C86" s="35">
        <v>18753.8</v>
      </c>
      <c r="D86" s="32">
        <f t="shared" si="15"/>
        <v>-1.7791394977348385E-2</v>
      </c>
      <c r="E86">
        <v>69.180000000000007</v>
      </c>
      <c r="F86" s="32">
        <f t="shared" si="16"/>
        <v>-8.740507235993733E-3</v>
      </c>
      <c r="G86">
        <v>46.74</v>
      </c>
      <c r="H86" s="32">
        <f t="shared" si="17"/>
        <v>1.9292604501608412E-3</v>
      </c>
      <c r="I86">
        <v>172.62</v>
      </c>
      <c r="J86" s="32">
        <f t="shared" si="18"/>
        <v>-1.8479558764996851E-2</v>
      </c>
      <c r="K86">
        <v>35.39</v>
      </c>
      <c r="L86" s="32">
        <f t="shared" si="19"/>
        <v>-9.5158130422613452E-3</v>
      </c>
      <c r="M86" s="16"/>
      <c r="N86" s="32"/>
      <c r="O86" s="16"/>
      <c r="Q86" s="16"/>
    </row>
    <row r="87" spans="2:17" hidden="1" outlineLevel="1" x14ac:dyDescent="0.3">
      <c r="B87" s="34">
        <v>45508</v>
      </c>
      <c r="C87" s="35">
        <v>18267.2</v>
      </c>
      <c r="D87" s="32">
        <f t="shared" si="15"/>
        <v>-2.5946741460397327E-2</v>
      </c>
      <c r="E87">
        <v>68.680000000000007</v>
      </c>
      <c r="F87" s="32">
        <f t="shared" si="16"/>
        <v>-7.2275224053194309E-3</v>
      </c>
      <c r="G87">
        <v>46.06</v>
      </c>
      <c r="H87" s="32">
        <f t="shared" si="17"/>
        <v>-1.4548566538296948E-2</v>
      </c>
      <c r="I87">
        <v>172.39</v>
      </c>
      <c r="J87" s="32">
        <f t="shared" si="18"/>
        <v>-1.3324064418955839E-3</v>
      </c>
      <c r="K87">
        <v>34.56</v>
      </c>
      <c r="L87" s="32">
        <f t="shared" si="19"/>
        <v>-2.3452952811528593E-2</v>
      </c>
      <c r="M87" s="16"/>
      <c r="N87" s="32"/>
      <c r="O87" s="16"/>
      <c r="Q87" s="16"/>
    </row>
    <row r="88" spans="2:17" hidden="1" outlineLevel="1" x14ac:dyDescent="0.3">
      <c r="B88" s="34">
        <v>45501</v>
      </c>
      <c r="C88" s="35">
        <v>18162.3</v>
      </c>
      <c r="D88" s="32">
        <f t="shared" si="15"/>
        <v>-5.7425330647281614E-3</v>
      </c>
      <c r="E88">
        <v>69.33</v>
      </c>
      <c r="F88" s="32">
        <f t="shared" si="16"/>
        <v>9.4641817122886884E-3</v>
      </c>
      <c r="G88">
        <v>51.61</v>
      </c>
      <c r="H88" s="32">
        <f t="shared" si="17"/>
        <v>0.12049500651324352</v>
      </c>
      <c r="I88">
        <v>178.04</v>
      </c>
      <c r="J88" s="32">
        <f t="shared" si="18"/>
        <v>3.2774522884158053E-2</v>
      </c>
      <c r="K88">
        <v>35.07</v>
      </c>
      <c r="L88" s="32">
        <f t="shared" si="19"/>
        <v>1.475694444444442E-2</v>
      </c>
      <c r="M88" s="16"/>
      <c r="N88" s="32"/>
      <c r="O88" s="16"/>
      <c r="Q88" s="16"/>
    </row>
    <row r="89" spans="2:17" hidden="1" outlineLevel="1" x14ac:dyDescent="0.3">
      <c r="B89" s="34">
        <v>45494</v>
      </c>
      <c r="C89" s="35">
        <v>18564.5</v>
      </c>
      <c r="D89" s="32">
        <f t="shared" si="15"/>
        <v>2.2144772413185576E-2</v>
      </c>
      <c r="E89">
        <v>67.05</v>
      </c>
      <c r="F89" s="32">
        <f t="shared" si="16"/>
        <v>-3.2886196451752503E-2</v>
      </c>
      <c r="G89">
        <v>51</v>
      </c>
      <c r="H89" s="32">
        <f t="shared" si="17"/>
        <v>-1.1819414842084819E-2</v>
      </c>
      <c r="I89">
        <v>172.75</v>
      </c>
      <c r="J89" s="32">
        <f t="shared" si="18"/>
        <v>-2.9712424174342833E-2</v>
      </c>
      <c r="K89">
        <v>33.74</v>
      </c>
      <c r="L89" s="32">
        <f t="shared" si="19"/>
        <v>-3.7924151696606789E-2</v>
      </c>
      <c r="M89" s="16"/>
      <c r="N89" s="32"/>
      <c r="O89" s="16"/>
      <c r="Q89" s="16"/>
    </row>
    <row r="90" spans="2:17" hidden="1" outlineLevel="1" x14ac:dyDescent="0.3">
      <c r="B90" s="34">
        <v>45487</v>
      </c>
      <c r="C90" s="35">
        <v>18406.099999999999</v>
      </c>
      <c r="D90" s="32">
        <f t="shared" si="15"/>
        <v>-8.5324140159983575E-3</v>
      </c>
      <c r="E90">
        <v>65.290000000000006</v>
      </c>
      <c r="F90" s="32">
        <f t="shared" si="16"/>
        <v>-2.6249067859805963E-2</v>
      </c>
      <c r="G90">
        <v>50.89</v>
      </c>
      <c r="H90" s="32">
        <f t="shared" si="17"/>
        <v>-2.156862745098076E-3</v>
      </c>
      <c r="I90">
        <v>169.36</v>
      </c>
      <c r="J90" s="32">
        <f t="shared" si="18"/>
        <v>-1.9623733719247416E-2</v>
      </c>
      <c r="K90">
        <v>32.979999999999997</v>
      </c>
      <c r="L90" s="32">
        <f t="shared" si="19"/>
        <v>-2.2525192649674119E-2</v>
      </c>
      <c r="M90" s="16"/>
      <c r="N90" s="32"/>
      <c r="O90" s="16"/>
      <c r="Q90" s="16"/>
    </row>
    <row r="91" spans="2:17" hidden="1" outlineLevel="1" x14ac:dyDescent="0.3">
      <c r="B91" s="34">
        <v>45480</v>
      </c>
      <c r="C91" s="35">
        <v>18505.900000000001</v>
      </c>
      <c r="D91" s="32">
        <f t="shared" si="15"/>
        <v>5.4221154943199235E-3</v>
      </c>
      <c r="E91">
        <v>63.7</v>
      </c>
      <c r="F91" s="32">
        <f t="shared" si="16"/>
        <v>-2.4352887119007516E-2</v>
      </c>
      <c r="G91">
        <v>50.83</v>
      </c>
      <c r="H91" s="32">
        <f t="shared" si="17"/>
        <v>-1.1790135586560169E-3</v>
      </c>
      <c r="I91">
        <v>166.38</v>
      </c>
      <c r="J91" s="32">
        <f t="shared" si="18"/>
        <v>-1.7595654227680835E-2</v>
      </c>
      <c r="K91">
        <v>32.619999999999997</v>
      </c>
      <c r="L91" s="32">
        <f t="shared" si="19"/>
        <v>-1.0915706488781041E-2</v>
      </c>
      <c r="M91" s="16"/>
      <c r="N91" s="32"/>
      <c r="O91" s="16"/>
      <c r="Q91" s="16"/>
    </row>
    <row r="92" spans="2:17" hidden="1" outlineLevel="1" x14ac:dyDescent="0.3">
      <c r="B92" s="34">
        <v>45473</v>
      </c>
      <c r="C92" s="35">
        <v>18098.900000000001</v>
      </c>
      <c r="D92" s="32">
        <f t="shared" si="15"/>
        <v>-2.1992986020674454E-2</v>
      </c>
      <c r="E92">
        <v>63.76</v>
      </c>
      <c r="F92" s="32">
        <f t="shared" si="16"/>
        <v>9.4191522762954172E-4</v>
      </c>
      <c r="G92">
        <v>49.75</v>
      </c>
      <c r="H92" s="32">
        <f t="shared" si="17"/>
        <v>-2.124729490458388E-2</v>
      </c>
      <c r="I92">
        <v>164.39</v>
      </c>
      <c r="J92" s="32">
        <f t="shared" si="18"/>
        <v>-1.1960572184156804E-2</v>
      </c>
      <c r="K92">
        <v>32.659999999999997</v>
      </c>
      <c r="L92" s="32">
        <f t="shared" si="19"/>
        <v>1.2262415695891704E-3</v>
      </c>
      <c r="M92" s="16"/>
      <c r="N92" s="32"/>
      <c r="O92" s="16"/>
      <c r="Q92" s="16"/>
    </row>
    <row r="93" spans="2:17" hidden="1" outlineLevel="1" x14ac:dyDescent="0.3">
      <c r="B93" s="34">
        <v>45466</v>
      </c>
      <c r="C93" s="35">
        <v>18026.5</v>
      </c>
      <c r="D93" s="32">
        <f t="shared" si="15"/>
        <v>-4.0002431086972878E-3</v>
      </c>
      <c r="E93">
        <v>63.65</v>
      </c>
      <c r="F93" s="32">
        <f t="shared" si="16"/>
        <v>-1.7252195734002163E-3</v>
      </c>
      <c r="G93">
        <v>49.95</v>
      </c>
      <c r="H93" s="32">
        <f t="shared" si="17"/>
        <v>4.020100502512669E-3</v>
      </c>
      <c r="I93">
        <v>164.93</v>
      </c>
      <c r="J93" s="32">
        <f t="shared" si="18"/>
        <v>3.2848713425392972E-3</v>
      </c>
      <c r="K93">
        <v>33.4</v>
      </c>
      <c r="L93" s="32">
        <f t="shared" si="19"/>
        <v>2.2657685241886272E-2</v>
      </c>
      <c r="M93" s="16"/>
      <c r="N93" s="32"/>
      <c r="O93" s="16"/>
      <c r="Q93" s="16"/>
    </row>
    <row r="94" spans="2:17" hidden="1" outlineLevel="1" x14ac:dyDescent="0.3">
      <c r="B94" s="34">
        <v>45459</v>
      </c>
      <c r="C94" s="35">
        <v>17995.7</v>
      </c>
      <c r="D94" s="32">
        <f t="shared" si="15"/>
        <v>-1.7085956785842793E-3</v>
      </c>
      <c r="E94">
        <v>62.77</v>
      </c>
      <c r="F94" s="32">
        <f t="shared" si="16"/>
        <v>-1.3825608798114564E-2</v>
      </c>
      <c r="G94">
        <v>49.09</v>
      </c>
      <c r="H94" s="32">
        <f t="shared" si="17"/>
        <v>-1.7217217217217251E-2</v>
      </c>
      <c r="I94">
        <v>167.28</v>
      </c>
      <c r="J94" s="32">
        <f t="shared" si="18"/>
        <v>1.4248469047474677E-2</v>
      </c>
      <c r="K94">
        <v>34.380000000000003</v>
      </c>
      <c r="L94" s="32">
        <f t="shared" si="19"/>
        <v>2.9341317365269681E-2</v>
      </c>
      <c r="M94" s="16"/>
      <c r="N94" s="32"/>
      <c r="O94" s="16"/>
      <c r="Q94" s="16"/>
    </row>
    <row r="95" spans="2:17" hidden="1" outlineLevel="1" x14ac:dyDescent="0.3">
      <c r="B95" s="34">
        <v>45452</v>
      </c>
      <c r="C95" s="35">
        <v>17817.3</v>
      </c>
      <c r="D95" s="32">
        <f t="shared" si="15"/>
        <v>-9.9134793311735914E-3</v>
      </c>
      <c r="E95">
        <v>62.55</v>
      </c>
      <c r="F95" s="32">
        <f t="shared" si="16"/>
        <v>-3.5048590090808185E-3</v>
      </c>
      <c r="G95">
        <v>48.03</v>
      </c>
      <c r="H95" s="32">
        <f t="shared" si="17"/>
        <v>-2.1592992462823424E-2</v>
      </c>
      <c r="I95">
        <v>163.81</v>
      </c>
      <c r="J95" s="32">
        <f t="shared" si="18"/>
        <v>-2.0743663318986139E-2</v>
      </c>
      <c r="K95">
        <v>34.04</v>
      </c>
      <c r="L95" s="32">
        <f t="shared" si="19"/>
        <v>-9.8894706224550433E-3</v>
      </c>
      <c r="M95" s="16"/>
      <c r="N95" s="32"/>
      <c r="O95" s="16"/>
      <c r="Q95" s="16"/>
    </row>
    <row r="96" spans="2:17" hidden="1" outlineLevel="1" x14ac:dyDescent="0.3">
      <c r="B96" s="34">
        <v>45445</v>
      </c>
      <c r="C96" s="35">
        <v>17985.599999999999</v>
      </c>
      <c r="D96" s="32">
        <f t="shared" si="15"/>
        <v>9.4458756377229225E-3</v>
      </c>
      <c r="E96">
        <v>63.91</v>
      </c>
      <c r="F96" s="32">
        <f t="shared" si="16"/>
        <v>2.1742605915267887E-2</v>
      </c>
      <c r="G96">
        <v>52.69</v>
      </c>
      <c r="H96" s="32">
        <f t="shared" si="17"/>
        <v>9.702269414948983E-2</v>
      </c>
      <c r="I96">
        <v>171.04</v>
      </c>
      <c r="J96" s="32">
        <f t="shared" si="18"/>
        <v>4.4136499603198764E-2</v>
      </c>
      <c r="K96">
        <v>34.630000000000003</v>
      </c>
      <c r="L96" s="32">
        <f t="shared" si="19"/>
        <v>1.7332549941245778E-2</v>
      </c>
      <c r="M96" s="16"/>
      <c r="N96" s="32"/>
      <c r="O96" s="16"/>
      <c r="Q96" s="16"/>
    </row>
    <row r="97" spans="2:17" hidden="1" outlineLevel="1" x14ac:dyDescent="0.3">
      <c r="B97" s="34">
        <v>45438</v>
      </c>
      <c r="C97" s="35">
        <v>18083.7</v>
      </c>
      <c r="D97" s="32">
        <f t="shared" si="15"/>
        <v>5.4543634907926464E-3</v>
      </c>
      <c r="E97">
        <v>62.93</v>
      </c>
      <c r="F97" s="32">
        <f t="shared" si="16"/>
        <v>-1.5334063526834529E-2</v>
      </c>
      <c r="G97">
        <v>51.92</v>
      </c>
      <c r="H97" s="32">
        <f t="shared" si="17"/>
        <v>-1.4613778705636626E-2</v>
      </c>
      <c r="I97">
        <v>172.9</v>
      </c>
      <c r="J97" s="32">
        <f t="shared" si="18"/>
        <v>1.0874649204864362E-2</v>
      </c>
      <c r="K97">
        <v>34.25</v>
      </c>
      <c r="L97" s="32">
        <f t="shared" si="19"/>
        <v>-1.0973144672249524E-2</v>
      </c>
      <c r="M97" s="16"/>
      <c r="N97" s="32"/>
      <c r="O97" s="16"/>
      <c r="Q97" s="16"/>
    </row>
    <row r="98" spans="2:17" hidden="1" outlineLevel="1" x14ac:dyDescent="0.3">
      <c r="B98" s="34">
        <v>45431</v>
      </c>
      <c r="C98" s="35">
        <v>18110.599999999999</v>
      </c>
      <c r="D98" s="32">
        <f t="shared" si="15"/>
        <v>1.4875274418397755E-3</v>
      </c>
      <c r="E98">
        <v>62</v>
      </c>
      <c r="F98" s="32">
        <f t="shared" si="16"/>
        <v>-1.4778325123152691E-2</v>
      </c>
      <c r="G98">
        <v>52.7</v>
      </c>
      <c r="H98" s="32">
        <f t="shared" si="17"/>
        <v>1.502311248073962E-2</v>
      </c>
      <c r="I98">
        <v>177.99</v>
      </c>
      <c r="J98" s="32">
        <f t="shared" si="18"/>
        <v>2.9438982070560948E-2</v>
      </c>
      <c r="K98">
        <v>34.19</v>
      </c>
      <c r="L98" s="32">
        <f t="shared" si="19"/>
        <v>-1.7518248175183437E-3</v>
      </c>
      <c r="M98" s="16"/>
      <c r="N98" s="32"/>
      <c r="O98" s="16"/>
      <c r="Q98" s="16"/>
    </row>
    <row r="99" spans="2:17" hidden="1" outlineLevel="1" x14ac:dyDescent="0.3">
      <c r="B99" s="34">
        <v>45424</v>
      </c>
      <c r="C99" s="35">
        <v>18388.3</v>
      </c>
      <c r="D99" s="32">
        <f t="shared" si="15"/>
        <v>1.5333561560633147E-2</v>
      </c>
      <c r="E99">
        <v>63.03</v>
      </c>
      <c r="F99" s="32">
        <f t="shared" si="16"/>
        <v>1.6612903225806441E-2</v>
      </c>
      <c r="G99">
        <v>54.11</v>
      </c>
      <c r="H99" s="32">
        <f t="shared" si="17"/>
        <v>2.6755218216318655E-2</v>
      </c>
      <c r="I99">
        <v>182.19</v>
      </c>
      <c r="J99" s="32">
        <f t="shared" si="18"/>
        <v>2.3596831282656217E-2</v>
      </c>
      <c r="K99">
        <v>33.75</v>
      </c>
      <c r="L99" s="32">
        <f t="shared" si="19"/>
        <v>-1.2869260017548956E-2</v>
      </c>
      <c r="M99" s="16"/>
      <c r="N99" s="32"/>
      <c r="O99" s="16"/>
      <c r="Q99" s="16"/>
    </row>
    <row r="100" spans="2:17" hidden="1" outlineLevel="1" x14ac:dyDescent="0.3">
      <c r="B100" s="34">
        <v>45417</v>
      </c>
      <c r="C100" s="35">
        <v>18162.099999999999</v>
      </c>
      <c r="D100" s="32">
        <f t="shared" si="15"/>
        <v>-1.2301300283332428E-2</v>
      </c>
      <c r="E100">
        <v>63.26</v>
      </c>
      <c r="F100" s="32">
        <f t="shared" si="16"/>
        <v>3.6490560050768117E-3</v>
      </c>
      <c r="G100">
        <v>55.46</v>
      </c>
      <c r="H100" s="32">
        <f t="shared" si="17"/>
        <v>2.4949177601182759E-2</v>
      </c>
      <c r="I100">
        <v>179.79</v>
      </c>
      <c r="J100" s="32">
        <f t="shared" si="18"/>
        <v>-1.3173061090070881E-2</v>
      </c>
      <c r="K100">
        <v>34.03</v>
      </c>
      <c r="L100" s="32">
        <f t="shared" si="19"/>
        <v>8.2962962962962461E-3</v>
      </c>
      <c r="M100" s="16"/>
      <c r="N100" s="32"/>
      <c r="O100" s="16"/>
      <c r="Q100" s="16"/>
    </row>
    <row r="101" spans="2:17" hidden="1" outlineLevel="1" x14ac:dyDescent="0.3">
      <c r="B101" s="34">
        <v>45410</v>
      </c>
      <c r="C101" s="35">
        <v>17797.900000000001</v>
      </c>
      <c r="D101" s="32">
        <f t="shared" si="15"/>
        <v>-2.0052747204342913E-2</v>
      </c>
      <c r="E101">
        <v>62.17</v>
      </c>
      <c r="F101" s="32">
        <f t="shared" si="16"/>
        <v>-1.7230477394878263E-2</v>
      </c>
      <c r="G101">
        <v>55</v>
      </c>
      <c r="H101" s="32">
        <f t="shared" si="17"/>
        <v>-8.2942661377569671E-3</v>
      </c>
      <c r="I101">
        <v>176.15</v>
      </c>
      <c r="J101" s="32">
        <f t="shared" si="18"/>
        <v>-2.024584237165572E-2</v>
      </c>
      <c r="K101">
        <v>33.83</v>
      </c>
      <c r="L101" s="32">
        <f t="shared" si="19"/>
        <v>-5.8771672054070967E-3</v>
      </c>
      <c r="M101" s="16"/>
      <c r="N101" s="32"/>
      <c r="O101" s="16"/>
      <c r="Q101" s="16"/>
    </row>
    <row r="102" spans="2:17" hidden="1" outlineLevel="1" x14ac:dyDescent="0.3">
      <c r="B102" s="34">
        <v>45403</v>
      </c>
      <c r="C102" s="35">
        <v>17763.3</v>
      </c>
      <c r="D102" s="32">
        <f t="shared" si="15"/>
        <v>-1.9440495788830559E-3</v>
      </c>
      <c r="E102">
        <v>61.74</v>
      </c>
      <c r="F102" s="32">
        <f t="shared" si="16"/>
        <v>-6.9165192214895033E-3</v>
      </c>
      <c r="G102">
        <v>53.37</v>
      </c>
      <c r="H102" s="32">
        <f t="shared" si="17"/>
        <v>-2.9636363636363683E-2</v>
      </c>
      <c r="I102">
        <v>175.58</v>
      </c>
      <c r="J102" s="32">
        <f t="shared" si="18"/>
        <v>-3.2358785126312961E-3</v>
      </c>
      <c r="K102">
        <v>33.72</v>
      </c>
      <c r="L102" s="32">
        <f t="shared" si="19"/>
        <v>-3.2515518770321883E-3</v>
      </c>
      <c r="M102" s="16"/>
      <c r="N102" s="32"/>
      <c r="O102" s="16"/>
      <c r="Q102" s="16"/>
    </row>
    <row r="103" spans="2:17" hidden="1" outlineLevel="1" x14ac:dyDescent="0.3">
      <c r="B103" s="34">
        <v>45396</v>
      </c>
      <c r="C103" s="35">
        <v>17458.8</v>
      </c>
      <c r="D103" s="32">
        <f t="shared" si="15"/>
        <v>-1.7142085085541492E-2</v>
      </c>
      <c r="E103">
        <v>60.17</v>
      </c>
      <c r="F103" s="32">
        <f t="shared" si="16"/>
        <v>-2.5429219306770334E-2</v>
      </c>
      <c r="G103">
        <v>53.14</v>
      </c>
      <c r="H103" s="32">
        <f t="shared" si="17"/>
        <v>-4.3095371931796134E-3</v>
      </c>
      <c r="I103">
        <v>174.13</v>
      </c>
      <c r="J103" s="32">
        <f t="shared" si="18"/>
        <v>-8.2583437749175204E-3</v>
      </c>
      <c r="K103">
        <v>31.5</v>
      </c>
      <c r="L103" s="32">
        <f t="shared" si="19"/>
        <v>-6.5836298932384296E-2</v>
      </c>
      <c r="M103" s="16"/>
      <c r="N103" s="32"/>
      <c r="O103" s="16"/>
      <c r="Q103" s="16"/>
    </row>
    <row r="104" spans="2:17" hidden="1" outlineLevel="1" x14ac:dyDescent="0.3">
      <c r="B104" s="34">
        <v>45389</v>
      </c>
      <c r="C104" s="35">
        <v>17639</v>
      </c>
      <c r="D104" s="32">
        <f t="shared" si="15"/>
        <v>1.0321442481728393E-2</v>
      </c>
      <c r="E104">
        <v>58.28</v>
      </c>
      <c r="F104" s="32">
        <f t="shared" si="16"/>
        <v>-3.1411002160545154E-2</v>
      </c>
      <c r="G104">
        <v>55.01</v>
      </c>
      <c r="H104" s="32">
        <f t="shared" si="17"/>
        <v>3.5190063981934472E-2</v>
      </c>
      <c r="I104">
        <v>168.1</v>
      </c>
      <c r="J104" s="32">
        <f t="shared" si="18"/>
        <v>-3.462929994831454E-2</v>
      </c>
      <c r="K104">
        <v>30.22</v>
      </c>
      <c r="L104" s="32">
        <f t="shared" si="19"/>
        <v>-4.063492063492069E-2</v>
      </c>
      <c r="M104" s="16"/>
      <c r="N104" s="32"/>
      <c r="O104" s="16"/>
      <c r="Q104" s="16"/>
    </row>
    <row r="105" spans="2:17" hidden="1" outlineLevel="1" x14ac:dyDescent="0.3">
      <c r="B105" s="34">
        <v>45382</v>
      </c>
      <c r="C105" s="35">
        <v>18122.3</v>
      </c>
      <c r="D105" s="32">
        <f t="shared" si="15"/>
        <v>2.7399512444016061E-2</v>
      </c>
      <c r="E105">
        <v>59.51</v>
      </c>
      <c r="F105" s="32">
        <f t="shared" si="16"/>
        <v>2.1105010295126903E-2</v>
      </c>
      <c r="G105">
        <v>55.9</v>
      </c>
      <c r="H105" s="32">
        <f t="shared" si="17"/>
        <v>1.6178876567896738E-2</v>
      </c>
      <c r="I105">
        <v>169.14</v>
      </c>
      <c r="J105" s="32">
        <f t="shared" si="18"/>
        <v>6.1867935752528691E-3</v>
      </c>
      <c r="K105">
        <v>30.77</v>
      </c>
      <c r="L105" s="32">
        <f t="shared" si="19"/>
        <v>1.8199867637326284E-2</v>
      </c>
      <c r="M105" s="16"/>
      <c r="N105" s="32"/>
      <c r="O105" s="16"/>
      <c r="Q105" s="16"/>
    </row>
    <row r="106" spans="2:17" hidden="1" outlineLevel="1" x14ac:dyDescent="0.3">
      <c r="B106" s="34">
        <v>45375</v>
      </c>
      <c r="C106" s="35">
        <v>18312.7</v>
      </c>
      <c r="D106" s="32">
        <f t="shared" si="15"/>
        <v>1.050639267642639E-2</v>
      </c>
      <c r="E106">
        <v>61.18</v>
      </c>
      <c r="F106" s="32">
        <f t="shared" si="16"/>
        <v>2.8062510502436577E-2</v>
      </c>
      <c r="G106">
        <v>59.28</v>
      </c>
      <c r="H106" s="32">
        <f t="shared" si="17"/>
        <v>6.0465116279069919E-2</v>
      </c>
      <c r="I106">
        <v>175.01</v>
      </c>
      <c r="J106" s="32">
        <f t="shared" si="18"/>
        <v>3.470497812463047E-2</v>
      </c>
      <c r="K106">
        <v>30.67</v>
      </c>
      <c r="L106" s="32">
        <f t="shared" si="19"/>
        <v>-3.2499187520311779E-3</v>
      </c>
      <c r="M106" s="16"/>
      <c r="N106" s="32"/>
      <c r="O106" s="16"/>
      <c r="Q106" s="16"/>
    </row>
    <row r="107" spans="2:17" hidden="1" outlineLevel="1" x14ac:dyDescent="0.3">
      <c r="B107" s="34">
        <v>45368</v>
      </c>
      <c r="C107" s="35">
        <v>18112</v>
      </c>
      <c r="D107" s="32">
        <f t="shared" si="15"/>
        <v>-1.095960726708789E-2</v>
      </c>
      <c r="E107">
        <v>60.49</v>
      </c>
      <c r="F107" s="32">
        <f t="shared" si="16"/>
        <v>-1.1278195488721776E-2</v>
      </c>
      <c r="G107">
        <v>59.5</v>
      </c>
      <c r="H107" s="32">
        <f t="shared" si="17"/>
        <v>3.711201079622084E-3</v>
      </c>
      <c r="I107">
        <v>172.02</v>
      </c>
      <c r="J107" s="32">
        <f t="shared" si="18"/>
        <v>-1.7084738014970458E-2</v>
      </c>
      <c r="K107">
        <v>29.8</v>
      </c>
      <c r="L107" s="32">
        <f t="shared" si="19"/>
        <v>-2.8366481904140928E-2</v>
      </c>
      <c r="M107" s="16"/>
      <c r="N107" s="32"/>
      <c r="O107" s="16"/>
      <c r="Q107" s="16"/>
    </row>
    <row r="108" spans="2:17" hidden="1" outlineLevel="1" x14ac:dyDescent="0.3">
      <c r="B108" s="34">
        <v>45361</v>
      </c>
      <c r="C108" s="35">
        <v>17848.099999999999</v>
      </c>
      <c r="D108" s="32">
        <f t="shared" si="15"/>
        <v>-1.4570450530035362E-2</v>
      </c>
      <c r="E108">
        <v>59.88</v>
      </c>
      <c r="F108" s="32">
        <f t="shared" si="16"/>
        <v>-1.0084311456439066E-2</v>
      </c>
      <c r="G108">
        <v>60.45</v>
      </c>
      <c r="H108" s="32">
        <f t="shared" si="17"/>
        <v>1.5966386554621792E-2</v>
      </c>
      <c r="I108">
        <v>164.66</v>
      </c>
      <c r="J108" s="32">
        <f t="shared" si="18"/>
        <v>-4.2785722590396591E-2</v>
      </c>
      <c r="K108">
        <v>28.88</v>
      </c>
      <c r="L108" s="32">
        <f t="shared" si="19"/>
        <v>-3.0872483221476621E-2</v>
      </c>
      <c r="M108" s="16"/>
      <c r="N108" s="32"/>
      <c r="O108" s="16"/>
      <c r="Q108" s="16"/>
    </row>
    <row r="109" spans="2:17" hidden="1" outlineLevel="1" x14ac:dyDescent="0.3">
      <c r="B109" s="34">
        <v>45354</v>
      </c>
      <c r="C109" s="35">
        <v>17889.599999999999</v>
      </c>
      <c r="D109" s="32">
        <f t="shared" si="15"/>
        <v>2.3251774698707095E-3</v>
      </c>
      <c r="E109">
        <v>59.52</v>
      </c>
      <c r="F109" s="32">
        <f t="shared" si="16"/>
        <v>-6.0120240480961984E-3</v>
      </c>
      <c r="G109">
        <v>59.18</v>
      </c>
      <c r="H109" s="32">
        <f t="shared" si="17"/>
        <v>-2.1009098428453332E-2</v>
      </c>
      <c r="I109">
        <v>163.05000000000001</v>
      </c>
      <c r="J109" s="32">
        <f t="shared" si="18"/>
        <v>-9.7777237944854933E-3</v>
      </c>
      <c r="K109">
        <v>29.14</v>
      </c>
      <c r="L109" s="32">
        <f t="shared" si="19"/>
        <v>9.0027700831025737E-3</v>
      </c>
      <c r="M109" s="16"/>
      <c r="N109" s="32"/>
      <c r="O109" s="16"/>
      <c r="Q109" s="16"/>
    </row>
    <row r="110" spans="2:17" hidden="1" outlineLevel="1" x14ac:dyDescent="0.3">
      <c r="B110" s="34">
        <v>45347</v>
      </c>
      <c r="C110" s="35">
        <v>17728.3</v>
      </c>
      <c r="D110" s="32">
        <f t="shared" si="15"/>
        <v>-9.0164117699668145E-3</v>
      </c>
      <c r="E110">
        <v>59.53</v>
      </c>
      <c r="F110" s="32">
        <f t="shared" si="16"/>
        <v>1.6801075268824128E-4</v>
      </c>
      <c r="G110">
        <v>58.79</v>
      </c>
      <c r="H110" s="32">
        <f t="shared" si="17"/>
        <v>-6.5900642108820406E-3</v>
      </c>
      <c r="I110">
        <v>164.59</v>
      </c>
      <c r="J110" s="32">
        <f t="shared" si="18"/>
        <v>9.4449555351119319E-3</v>
      </c>
      <c r="K110">
        <v>29.28</v>
      </c>
      <c r="L110" s="32">
        <f t="shared" si="19"/>
        <v>4.8043925875085325E-3</v>
      </c>
      <c r="M110" s="16"/>
      <c r="N110" s="32"/>
      <c r="O110" s="16"/>
      <c r="Q110" s="16"/>
    </row>
    <row r="111" spans="2:17" hidden="1" outlineLevel="1" x14ac:dyDescent="0.3">
      <c r="B111" s="34">
        <v>45340</v>
      </c>
      <c r="C111" s="35">
        <v>17616</v>
      </c>
      <c r="D111" s="32">
        <f t="shared" si="15"/>
        <v>-6.3345047184444336E-3</v>
      </c>
      <c r="E111">
        <v>61.2</v>
      </c>
      <c r="F111" s="32">
        <f t="shared" si="16"/>
        <v>2.8053082479422065E-2</v>
      </c>
      <c r="G111">
        <v>55.29</v>
      </c>
      <c r="H111" s="32">
        <f t="shared" si="17"/>
        <v>-5.9533934342575257E-2</v>
      </c>
      <c r="I111">
        <v>169.6</v>
      </c>
      <c r="J111" s="32">
        <f t="shared" si="18"/>
        <v>3.0439273345889806E-2</v>
      </c>
      <c r="K111">
        <v>30.19</v>
      </c>
      <c r="L111" s="32">
        <f t="shared" si="19"/>
        <v>3.1079234972677616E-2</v>
      </c>
      <c r="M111" s="16"/>
      <c r="N111" s="32"/>
      <c r="O111" s="16"/>
      <c r="Q111" s="16"/>
    </row>
    <row r="112" spans="2:17" hidden="1" outlineLevel="1" x14ac:dyDescent="0.3">
      <c r="B112" s="34">
        <v>45333</v>
      </c>
      <c r="C112" s="35">
        <v>17409.3</v>
      </c>
      <c r="D112" s="32">
        <f t="shared" si="15"/>
        <v>-1.1733651226158104E-2</v>
      </c>
      <c r="E112">
        <v>59.39</v>
      </c>
      <c r="F112" s="32">
        <f t="shared" si="16"/>
        <v>-2.9575163398692816E-2</v>
      </c>
      <c r="G112">
        <v>55.02</v>
      </c>
      <c r="H112" s="32">
        <f t="shared" si="17"/>
        <v>-4.8833423765598516E-3</v>
      </c>
      <c r="I112">
        <v>166.32</v>
      </c>
      <c r="J112" s="32">
        <f t="shared" si="18"/>
        <v>-1.9339622641509457E-2</v>
      </c>
      <c r="K112">
        <v>30.97</v>
      </c>
      <c r="L112" s="32">
        <f t="shared" si="19"/>
        <v>2.5836369658827296E-2</v>
      </c>
      <c r="M112" s="16"/>
      <c r="N112" s="32"/>
      <c r="O112" s="16"/>
      <c r="Q112" s="16"/>
    </row>
    <row r="113" spans="2:17" hidden="1" outlineLevel="1" x14ac:dyDescent="0.3">
      <c r="B113" s="34">
        <v>45326</v>
      </c>
      <c r="C113" s="35">
        <v>17275.900000000001</v>
      </c>
      <c r="D113" s="32">
        <f t="shared" si="15"/>
        <v>-7.6625711544977548E-3</v>
      </c>
      <c r="E113">
        <v>59.56</v>
      </c>
      <c r="F113" s="32">
        <f t="shared" si="16"/>
        <v>2.8624347533254824E-3</v>
      </c>
      <c r="G113">
        <v>55.66</v>
      </c>
      <c r="H113" s="32">
        <f t="shared" si="17"/>
        <v>1.16321337695382E-2</v>
      </c>
      <c r="I113">
        <v>167.67</v>
      </c>
      <c r="J113" s="32">
        <f t="shared" si="18"/>
        <v>8.116883116883189E-3</v>
      </c>
      <c r="K113">
        <v>31.15</v>
      </c>
      <c r="L113" s="32">
        <f t="shared" si="19"/>
        <v>5.8120762027769057E-3</v>
      </c>
      <c r="M113" s="16"/>
      <c r="N113" s="32"/>
      <c r="O113" s="16"/>
      <c r="Q113" s="16"/>
    </row>
    <row r="114" spans="2:17" hidden="1" outlineLevel="1" x14ac:dyDescent="0.3">
      <c r="B114" s="34">
        <v>45319</v>
      </c>
      <c r="C114" s="35">
        <v>17102</v>
      </c>
      <c r="D114" s="32">
        <f t="shared" si="15"/>
        <v>-1.0066045763173048E-2</v>
      </c>
      <c r="E114">
        <v>60.54</v>
      </c>
      <c r="F114" s="32">
        <f t="shared" si="16"/>
        <v>1.6453995970449942E-2</v>
      </c>
      <c r="G114">
        <v>55.35</v>
      </c>
      <c r="H114" s="32">
        <f t="shared" si="17"/>
        <v>-5.5695292849442524E-3</v>
      </c>
      <c r="I114">
        <v>170.97</v>
      </c>
      <c r="J114" s="32">
        <f t="shared" si="18"/>
        <v>1.968151726605849E-2</v>
      </c>
      <c r="K114">
        <v>31.65</v>
      </c>
      <c r="L114" s="32">
        <f t="shared" si="19"/>
        <v>1.605136436597121E-2</v>
      </c>
      <c r="M114" s="16"/>
      <c r="N114" s="32"/>
      <c r="O114" s="16"/>
      <c r="Q114" s="16"/>
    </row>
    <row r="115" spans="2:17" hidden="1" outlineLevel="1" x14ac:dyDescent="0.3">
      <c r="B115" s="34">
        <v>45312</v>
      </c>
      <c r="C115" s="35">
        <v>16949.099999999999</v>
      </c>
      <c r="D115" s="32">
        <f t="shared" si="15"/>
        <v>-8.9404747982693156E-3</v>
      </c>
      <c r="E115">
        <v>59.37</v>
      </c>
      <c r="F115" s="32">
        <f t="shared" si="16"/>
        <v>-1.9326065411298332E-2</v>
      </c>
      <c r="G115">
        <v>55.44</v>
      </c>
      <c r="H115" s="32">
        <f t="shared" si="17"/>
        <v>1.626016260162455E-3</v>
      </c>
      <c r="I115">
        <v>167.86</v>
      </c>
      <c r="J115" s="32">
        <f t="shared" si="18"/>
        <v>-1.819032578814983E-2</v>
      </c>
      <c r="K115">
        <v>31.98</v>
      </c>
      <c r="L115" s="32">
        <f t="shared" si="19"/>
        <v>1.0426540284360186E-2</v>
      </c>
      <c r="M115" s="16"/>
      <c r="N115" s="32"/>
      <c r="O115" s="16"/>
      <c r="Q115" s="16"/>
    </row>
    <row r="116" spans="2:17" hidden="1" outlineLevel="1" x14ac:dyDescent="0.3">
      <c r="B116" s="34">
        <v>45305</v>
      </c>
      <c r="C116" s="35">
        <v>16729.5</v>
      </c>
      <c r="D116" s="32">
        <f t="shared" si="15"/>
        <v>-1.2956440164964445E-2</v>
      </c>
      <c r="E116">
        <v>59.83</v>
      </c>
      <c r="F116" s="32">
        <f t="shared" si="16"/>
        <v>7.7480208859692645E-3</v>
      </c>
      <c r="G116">
        <v>57.18</v>
      </c>
      <c r="H116" s="32">
        <f t="shared" si="17"/>
        <v>3.1385281385281516E-2</v>
      </c>
      <c r="I116">
        <v>165.78</v>
      </c>
      <c r="J116" s="32">
        <f t="shared" si="18"/>
        <v>-1.2391278446324372E-2</v>
      </c>
      <c r="K116">
        <v>31.89</v>
      </c>
      <c r="L116" s="32">
        <f t="shared" si="19"/>
        <v>-2.8142589118198558E-3</v>
      </c>
      <c r="M116" s="16"/>
      <c r="N116" s="32"/>
      <c r="O116" s="16"/>
      <c r="Q116" s="16"/>
    </row>
    <row r="117" spans="2:17" hidden="1" outlineLevel="1" x14ac:dyDescent="0.3">
      <c r="B117" s="34">
        <v>45298</v>
      </c>
      <c r="C117" s="35">
        <v>16799.599999999999</v>
      </c>
      <c r="D117" s="32">
        <f t="shared" si="15"/>
        <v>4.1902029349352166E-3</v>
      </c>
      <c r="E117">
        <v>60.39</v>
      </c>
      <c r="F117" s="32">
        <f t="shared" si="16"/>
        <v>9.3598529165970223E-3</v>
      </c>
      <c r="G117">
        <v>59.05</v>
      </c>
      <c r="H117" s="32">
        <f t="shared" si="17"/>
        <v>3.2703742567331107E-2</v>
      </c>
      <c r="I117">
        <v>167.27</v>
      </c>
      <c r="J117" s="32">
        <f t="shared" si="18"/>
        <v>8.9878151767404102E-3</v>
      </c>
      <c r="K117">
        <v>31.91</v>
      </c>
      <c r="L117" s="32">
        <f t="shared" si="19"/>
        <v>6.2715584822825576E-4</v>
      </c>
      <c r="M117" s="16"/>
      <c r="N117" s="32"/>
      <c r="O117" s="16"/>
      <c r="Q117" s="16"/>
    </row>
    <row r="118" spans="2:17" hidden="1" outlineLevel="1" x14ac:dyDescent="0.3">
      <c r="B118" s="34">
        <v>45291</v>
      </c>
      <c r="C118" s="35">
        <v>16758.2</v>
      </c>
      <c r="D118" s="32">
        <f t="shared" si="15"/>
        <v>-2.4643443891519956E-3</v>
      </c>
      <c r="E118">
        <v>59.67</v>
      </c>
      <c r="F118" s="32">
        <f t="shared" si="16"/>
        <v>-1.1922503725782407E-2</v>
      </c>
      <c r="G118">
        <v>57.54</v>
      </c>
      <c r="H118" s="32">
        <f t="shared" si="17"/>
        <v>-2.557154953429297E-2</v>
      </c>
      <c r="I118">
        <v>168.94</v>
      </c>
      <c r="J118" s="32">
        <f t="shared" si="18"/>
        <v>9.9838584324742907E-3</v>
      </c>
      <c r="K118">
        <v>31.97</v>
      </c>
      <c r="L118" s="32">
        <f t="shared" si="19"/>
        <v>1.8802883108743895E-3</v>
      </c>
      <c r="M118" s="16"/>
      <c r="N118" s="32"/>
      <c r="O118" s="16"/>
      <c r="Q118" s="16"/>
    </row>
    <row r="119" spans="2:17" hidden="1" outlineLevel="1" x14ac:dyDescent="0.3">
      <c r="B119" s="34">
        <v>45284</v>
      </c>
      <c r="C119" s="35">
        <v>16852.900000000001</v>
      </c>
      <c r="D119" s="32">
        <f t="shared" si="15"/>
        <v>5.6509649007649987E-3</v>
      </c>
      <c r="E119">
        <v>58.93</v>
      </c>
      <c r="F119" s="32">
        <f t="shared" si="16"/>
        <v>-1.2401541813306549E-2</v>
      </c>
      <c r="G119">
        <v>57.61</v>
      </c>
      <c r="H119" s="32">
        <f t="shared" si="17"/>
        <v>1.2165450121655041E-3</v>
      </c>
      <c r="I119">
        <v>169.84</v>
      </c>
      <c r="J119" s="32">
        <f t="shared" si="18"/>
        <v>5.3273351485734199E-3</v>
      </c>
      <c r="K119">
        <v>33.32</v>
      </c>
      <c r="L119" s="32">
        <f t="shared" si="19"/>
        <v>4.2227087894901594E-2</v>
      </c>
      <c r="M119" s="16"/>
      <c r="N119" s="32"/>
      <c r="O119" s="16"/>
      <c r="Q119" s="16"/>
    </row>
    <row r="120" spans="2:17" hidden="1" outlineLevel="1" x14ac:dyDescent="0.3">
      <c r="B120" s="34">
        <v>45277</v>
      </c>
      <c r="C120" s="35">
        <v>16770.5</v>
      </c>
      <c r="D120" s="32">
        <f t="shared" si="15"/>
        <v>-4.8893662218373324E-3</v>
      </c>
      <c r="E120">
        <v>58.32</v>
      </c>
      <c r="F120" s="32">
        <f t="shared" si="16"/>
        <v>-1.0351264211776678E-2</v>
      </c>
      <c r="G120">
        <v>56.01</v>
      </c>
      <c r="H120" s="32">
        <f t="shared" si="17"/>
        <v>-2.7772956084013201E-2</v>
      </c>
      <c r="I120">
        <v>167.68</v>
      </c>
      <c r="J120" s="32">
        <f t="shared" si="18"/>
        <v>-1.2717852096090443E-2</v>
      </c>
      <c r="K120">
        <v>32.83</v>
      </c>
      <c r="L120" s="32">
        <f t="shared" si="19"/>
        <v>-1.4705882352941235E-2</v>
      </c>
      <c r="M120" s="16"/>
      <c r="N120" s="32"/>
      <c r="O120" s="16"/>
      <c r="Q120" s="16"/>
    </row>
    <row r="121" spans="2:17" hidden="1" outlineLevel="1" x14ac:dyDescent="0.3">
      <c r="B121" s="34">
        <v>45270</v>
      </c>
      <c r="C121" s="35">
        <v>16609.8</v>
      </c>
      <c r="D121" s="32">
        <f t="shared" si="15"/>
        <v>-9.5823022569393457E-3</v>
      </c>
      <c r="E121">
        <v>58.6</v>
      </c>
      <c r="F121" s="32">
        <f t="shared" si="16"/>
        <v>4.8010973936900569E-3</v>
      </c>
      <c r="G121">
        <v>55.09</v>
      </c>
      <c r="H121" s="32">
        <f t="shared" si="17"/>
        <v>-1.6425638278878663E-2</v>
      </c>
      <c r="I121">
        <v>167</v>
      </c>
      <c r="J121" s="32">
        <f t="shared" si="18"/>
        <v>-4.0553435114504266E-3</v>
      </c>
      <c r="K121">
        <v>31.97</v>
      </c>
      <c r="L121" s="32">
        <f t="shared" si="19"/>
        <v>-2.6195552848004899E-2</v>
      </c>
      <c r="M121" s="16"/>
      <c r="N121" s="32"/>
      <c r="O121" s="16"/>
      <c r="Q121" s="16"/>
    </row>
    <row r="122" spans="2:17" hidden="1" outlineLevel="1" x14ac:dyDescent="0.3">
      <c r="B122" s="34">
        <v>45263</v>
      </c>
      <c r="C122" s="35">
        <v>16207.8</v>
      </c>
      <c r="D122" s="32">
        <f t="shared" si="15"/>
        <v>-2.4202579200231167E-2</v>
      </c>
      <c r="E122">
        <v>58.61</v>
      </c>
      <c r="F122" s="32">
        <f t="shared" si="16"/>
        <v>1.7064846416370294E-4</v>
      </c>
      <c r="G122">
        <v>53.92</v>
      </c>
      <c r="H122" s="32">
        <f t="shared" si="17"/>
        <v>-2.1237974223997091E-2</v>
      </c>
      <c r="I122">
        <v>165.68</v>
      </c>
      <c r="J122" s="32">
        <f t="shared" si="18"/>
        <v>-7.9041916167664761E-3</v>
      </c>
      <c r="K122">
        <v>32.11</v>
      </c>
      <c r="L122" s="32">
        <f t="shared" si="19"/>
        <v>4.3791054113231365E-3</v>
      </c>
      <c r="M122" s="16"/>
      <c r="N122" s="32"/>
      <c r="O122" s="16"/>
      <c r="Q122" s="16"/>
    </row>
    <row r="123" spans="2:17" hidden="1" outlineLevel="1" x14ac:dyDescent="0.3">
      <c r="B123" s="34">
        <v>45256</v>
      </c>
      <c r="C123" s="35">
        <v>16263.8</v>
      </c>
      <c r="D123" s="32">
        <f t="shared" si="15"/>
        <v>3.4551265440097012E-3</v>
      </c>
      <c r="E123">
        <v>58.64</v>
      </c>
      <c r="F123" s="32">
        <f t="shared" si="16"/>
        <v>5.118580447023291E-4</v>
      </c>
      <c r="G123">
        <v>55.22</v>
      </c>
      <c r="H123" s="32">
        <f t="shared" si="17"/>
        <v>2.4109792284866316E-2</v>
      </c>
      <c r="I123">
        <v>168.69</v>
      </c>
      <c r="J123" s="32">
        <f t="shared" si="18"/>
        <v>1.8167551907291024E-2</v>
      </c>
      <c r="K123">
        <v>32.17</v>
      </c>
      <c r="L123" s="32">
        <f t="shared" si="19"/>
        <v>1.8685767673622955E-3</v>
      </c>
      <c r="M123" s="16"/>
      <c r="N123" s="32"/>
      <c r="O123" s="16"/>
      <c r="Q123" s="16"/>
    </row>
    <row r="124" spans="2:17" hidden="1" outlineLevel="1" x14ac:dyDescent="0.3">
      <c r="B124" s="34">
        <v>45249</v>
      </c>
      <c r="C124" s="35">
        <v>15983.8</v>
      </c>
      <c r="D124" s="32">
        <f t="shared" si="15"/>
        <v>-1.7216148747525195E-2</v>
      </c>
      <c r="E124">
        <v>58.57</v>
      </c>
      <c r="F124" s="32">
        <f t="shared" si="16"/>
        <v>-1.1937244201910557E-3</v>
      </c>
      <c r="G124">
        <v>55.17</v>
      </c>
      <c r="H124" s="32">
        <f t="shared" si="17"/>
        <v>-9.05469032959072E-4</v>
      </c>
      <c r="I124">
        <v>169.37</v>
      </c>
      <c r="J124" s="32">
        <f t="shared" si="18"/>
        <v>4.0310628964372874E-3</v>
      </c>
      <c r="K124">
        <v>32.619999999999997</v>
      </c>
      <c r="L124" s="32">
        <f t="shared" si="19"/>
        <v>1.3988187752564274E-2</v>
      </c>
      <c r="M124" s="16"/>
      <c r="N124" s="32"/>
      <c r="O124" s="16"/>
      <c r="Q124" s="16"/>
    </row>
    <row r="125" spans="2:17" hidden="1" outlineLevel="1" x14ac:dyDescent="0.3">
      <c r="B125" s="34">
        <v>45242</v>
      </c>
      <c r="C125" s="35">
        <v>15813.5</v>
      </c>
      <c r="D125" s="32">
        <f t="shared" si="15"/>
        <v>-1.0654537719440915E-2</v>
      </c>
      <c r="E125">
        <v>57.26</v>
      </c>
      <c r="F125" s="32">
        <f t="shared" si="16"/>
        <v>-2.23663991804679E-2</v>
      </c>
      <c r="G125">
        <v>54.79</v>
      </c>
      <c r="H125" s="32">
        <f t="shared" si="17"/>
        <v>-6.8878013413087302E-3</v>
      </c>
      <c r="I125">
        <v>166.76</v>
      </c>
      <c r="J125" s="32">
        <f t="shared" si="18"/>
        <v>-1.5410049005136761E-2</v>
      </c>
      <c r="K125">
        <v>31.73</v>
      </c>
      <c r="L125" s="32">
        <f t="shared" si="19"/>
        <v>-2.7283874923359819E-2</v>
      </c>
      <c r="M125" s="16"/>
      <c r="N125" s="32"/>
      <c r="O125" s="16"/>
      <c r="Q125" s="16"/>
    </row>
    <row r="126" spans="2:17" hidden="1" outlineLevel="1" x14ac:dyDescent="0.3">
      <c r="B126" s="34">
        <v>45235</v>
      </c>
      <c r="C126" s="35">
        <v>15388.4</v>
      </c>
      <c r="D126" s="32">
        <f t="shared" si="15"/>
        <v>-2.68820944130016E-2</v>
      </c>
      <c r="E126">
        <v>56.72</v>
      </c>
      <c r="F126" s="32">
        <f t="shared" si="16"/>
        <v>-9.4306671323786118E-3</v>
      </c>
      <c r="G126">
        <v>55.28</v>
      </c>
      <c r="H126" s="32">
        <f t="shared" si="17"/>
        <v>8.9432378171199201E-3</v>
      </c>
      <c r="I126">
        <v>166.92</v>
      </c>
      <c r="J126" s="32">
        <f t="shared" si="18"/>
        <v>9.5946270088753671E-4</v>
      </c>
      <c r="K126">
        <v>30.97</v>
      </c>
      <c r="L126" s="32">
        <f t="shared" si="19"/>
        <v>-2.3952095808383311E-2</v>
      </c>
      <c r="M126" s="16"/>
      <c r="N126" s="32"/>
      <c r="O126" s="16"/>
      <c r="Q126" s="16"/>
    </row>
    <row r="127" spans="2:17" hidden="1" outlineLevel="1" x14ac:dyDescent="0.3">
      <c r="B127" s="34">
        <v>45228</v>
      </c>
      <c r="C127" s="35">
        <v>15475.2</v>
      </c>
      <c r="D127" s="32">
        <f t="shared" si="15"/>
        <v>5.6406124093473231E-3</v>
      </c>
      <c r="E127">
        <v>56.74</v>
      </c>
      <c r="F127" s="32">
        <f t="shared" si="16"/>
        <v>3.5260930888592057E-4</v>
      </c>
      <c r="G127">
        <v>55.56</v>
      </c>
      <c r="H127" s="32">
        <f t="shared" si="17"/>
        <v>5.0651230101301792E-3</v>
      </c>
      <c r="I127">
        <v>166.79</v>
      </c>
      <c r="J127" s="32">
        <f t="shared" si="18"/>
        <v>-7.7881619937691937E-4</v>
      </c>
      <c r="K127">
        <v>31.12</v>
      </c>
      <c r="L127" s="32">
        <f t="shared" si="19"/>
        <v>4.8433968356473844E-3</v>
      </c>
      <c r="M127" s="16"/>
      <c r="N127" s="32"/>
      <c r="O127" s="16"/>
      <c r="Q127" s="16"/>
    </row>
    <row r="128" spans="2:17" hidden="1" outlineLevel="1" x14ac:dyDescent="0.3">
      <c r="B128" s="34">
        <v>45221</v>
      </c>
      <c r="C128" s="35">
        <v>14675.8</v>
      </c>
      <c r="D128" s="32">
        <f t="shared" si="15"/>
        <v>-5.1656844499586518E-2</v>
      </c>
      <c r="E128">
        <v>55.24</v>
      </c>
      <c r="F128" s="32">
        <f t="shared" si="16"/>
        <v>-2.6436376454000654E-2</v>
      </c>
      <c r="G128">
        <v>49.9</v>
      </c>
      <c r="H128" s="32">
        <f t="shared" si="17"/>
        <v>-0.10187185025197987</v>
      </c>
      <c r="I128">
        <v>159.62</v>
      </c>
      <c r="J128" s="32">
        <f t="shared" si="18"/>
        <v>-4.2988188740332056E-2</v>
      </c>
      <c r="K128">
        <v>29.87</v>
      </c>
      <c r="L128" s="32">
        <f t="shared" si="19"/>
        <v>-4.0167095115681284E-2</v>
      </c>
      <c r="M128" s="16"/>
      <c r="N128" s="32"/>
      <c r="O128" s="16"/>
      <c r="Q128" s="16"/>
    </row>
    <row r="129" spans="2:17" hidden="1" outlineLevel="1" x14ac:dyDescent="0.3">
      <c r="B129" s="34">
        <v>45214</v>
      </c>
      <c r="C129" s="35">
        <v>15033.3</v>
      </c>
      <c r="D129" s="32">
        <f t="shared" si="15"/>
        <v>2.4359830469207866E-2</v>
      </c>
      <c r="E129">
        <v>54.57</v>
      </c>
      <c r="F129" s="32">
        <f t="shared" si="16"/>
        <v>-1.2128892107168721E-2</v>
      </c>
      <c r="G129">
        <v>49.98</v>
      </c>
      <c r="H129" s="32">
        <f t="shared" si="17"/>
        <v>1.6032064128255197E-3</v>
      </c>
      <c r="I129">
        <v>160</v>
      </c>
      <c r="J129" s="32">
        <f t="shared" si="18"/>
        <v>2.3806540533768406E-3</v>
      </c>
      <c r="K129">
        <v>28.65</v>
      </c>
      <c r="L129" s="32">
        <f t="shared" si="19"/>
        <v>-4.0843655841982018E-2</v>
      </c>
      <c r="M129" s="16"/>
      <c r="N129" s="32"/>
      <c r="O129" s="16"/>
      <c r="Q129" s="16"/>
    </row>
    <row r="130" spans="2:17" hidden="1" outlineLevel="1" x14ac:dyDescent="0.3">
      <c r="B130" s="34">
        <v>45207</v>
      </c>
      <c r="C130" s="35">
        <v>15323.7</v>
      </c>
      <c r="D130" s="32">
        <f t="shared" si="15"/>
        <v>1.9317116002474544E-2</v>
      </c>
      <c r="E130">
        <v>52.89</v>
      </c>
      <c r="F130" s="32">
        <f t="shared" si="16"/>
        <v>-3.0786146234194622E-2</v>
      </c>
      <c r="G130">
        <v>47.72</v>
      </c>
      <c r="H130" s="32">
        <f t="shared" si="17"/>
        <v>-4.5218087234893956E-2</v>
      </c>
      <c r="I130">
        <v>160</v>
      </c>
      <c r="J130" s="32">
        <f t="shared" si="18"/>
        <v>0</v>
      </c>
      <c r="K130">
        <v>28.11</v>
      </c>
      <c r="L130" s="32">
        <f t="shared" si="19"/>
        <v>-1.8848167539266991E-2</v>
      </c>
      <c r="M130" s="16"/>
      <c r="N130" s="32"/>
      <c r="O130" s="16"/>
      <c r="Q130" s="16"/>
    </row>
    <row r="131" spans="2:17" hidden="1" outlineLevel="1" x14ac:dyDescent="0.3">
      <c r="B131" s="34">
        <v>45200</v>
      </c>
      <c r="C131" s="35">
        <v>15214</v>
      </c>
      <c r="D131" s="32">
        <f t="shared" si="15"/>
        <v>-7.1588454485536079E-3</v>
      </c>
      <c r="E131">
        <v>53.14</v>
      </c>
      <c r="F131" s="32">
        <f t="shared" si="16"/>
        <v>4.7267914539610434E-3</v>
      </c>
      <c r="G131">
        <v>49.97</v>
      </c>
      <c r="H131" s="32">
        <f t="shared" si="17"/>
        <v>4.7150041911148355E-2</v>
      </c>
      <c r="I131">
        <v>160.29</v>
      </c>
      <c r="J131" s="32">
        <f t="shared" si="18"/>
        <v>1.8124999999999947E-3</v>
      </c>
      <c r="K131">
        <v>30.07</v>
      </c>
      <c r="L131" s="32">
        <f t="shared" si="19"/>
        <v>6.9726076129491332E-2</v>
      </c>
      <c r="M131" s="16"/>
      <c r="N131" s="32"/>
      <c r="O131" s="16"/>
      <c r="Q131" s="16"/>
    </row>
    <row r="132" spans="2:17" hidden="1" outlineLevel="1" x14ac:dyDescent="0.3">
      <c r="B132" s="34">
        <v>45193</v>
      </c>
      <c r="C132" s="35">
        <v>15398.2</v>
      </c>
      <c r="D132" s="32">
        <f t="shared" si="15"/>
        <v>1.2107269620086791E-2</v>
      </c>
      <c r="E132">
        <v>55.98</v>
      </c>
      <c r="F132" s="32">
        <f t="shared" si="16"/>
        <v>5.3443733534060955E-2</v>
      </c>
      <c r="G132">
        <v>52.95</v>
      </c>
      <c r="H132" s="32">
        <f t="shared" si="17"/>
        <v>5.9635781468881488E-2</v>
      </c>
      <c r="I132">
        <v>169.44</v>
      </c>
      <c r="J132" s="32">
        <f t="shared" si="18"/>
        <v>5.7084035186224957E-2</v>
      </c>
      <c r="K132">
        <v>31.57</v>
      </c>
      <c r="L132" s="32">
        <f t="shared" si="19"/>
        <v>4.9883604921848956E-2</v>
      </c>
      <c r="M132" s="16"/>
      <c r="N132" s="32"/>
      <c r="O132" s="16"/>
      <c r="Q132" s="16"/>
    </row>
    <row r="133" spans="2:17" hidden="1" outlineLevel="1" x14ac:dyDescent="0.3">
      <c r="B133" s="34">
        <v>45186</v>
      </c>
      <c r="C133" s="35">
        <v>15569.5</v>
      </c>
      <c r="D133" s="32">
        <f t="shared" si="15"/>
        <v>1.1124676910288178E-2</v>
      </c>
      <c r="E133">
        <v>57.6</v>
      </c>
      <c r="F133" s="32">
        <f t="shared" si="16"/>
        <v>2.893890675241173E-2</v>
      </c>
      <c r="G133">
        <v>54.52</v>
      </c>
      <c r="H133" s="32">
        <f t="shared" si="17"/>
        <v>2.9650613786591062E-2</v>
      </c>
      <c r="I133">
        <v>175.27</v>
      </c>
      <c r="J133" s="32">
        <f t="shared" si="18"/>
        <v>3.4407459867799917E-2</v>
      </c>
      <c r="K133">
        <v>33.119999999999997</v>
      </c>
      <c r="L133" s="32">
        <f t="shared" si="19"/>
        <v>4.9097244219195257E-2</v>
      </c>
      <c r="M133" s="16"/>
      <c r="N133" s="32"/>
      <c r="O133" s="16"/>
      <c r="Q133" s="16"/>
    </row>
    <row r="134" spans="2:17" hidden="1" outlineLevel="1" x14ac:dyDescent="0.3">
      <c r="B134" s="34">
        <v>45179</v>
      </c>
      <c r="C134" s="35">
        <v>15973.7</v>
      </c>
      <c r="D134" s="32">
        <f t="shared" si="15"/>
        <v>2.5961013520023224E-2</v>
      </c>
      <c r="E134">
        <v>57.94</v>
      </c>
      <c r="F134" s="32">
        <f t="shared" si="16"/>
        <v>5.9027777777778123E-3</v>
      </c>
      <c r="G134">
        <v>56.14</v>
      </c>
      <c r="H134" s="32">
        <f t="shared" si="17"/>
        <v>2.9713866471019701E-2</v>
      </c>
      <c r="I134">
        <v>179.84</v>
      </c>
      <c r="J134" s="32">
        <f t="shared" si="18"/>
        <v>2.6074057168939291E-2</v>
      </c>
      <c r="K134">
        <v>33.299999999999997</v>
      </c>
      <c r="L134" s="32">
        <f t="shared" si="19"/>
        <v>5.4347826086955653E-3</v>
      </c>
      <c r="M134" s="16"/>
      <c r="N134" s="32"/>
      <c r="O134" s="16"/>
      <c r="Q134" s="16"/>
    </row>
    <row r="135" spans="2:17" hidden="1" outlineLevel="1" x14ac:dyDescent="0.3">
      <c r="B135" s="34">
        <v>45172</v>
      </c>
      <c r="C135" s="35">
        <v>15879</v>
      </c>
      <c r="D135" s="32">
        <f t="shared" si="15"/>
        <v>-5.9284949635964868E-3</v>
      </c>
      <c r="E135">
        <v>58.33</v>
      </c>
      <c r="F135" s="32">
        <f t="shared" si="16"/>
        <v>6.7311011391093523E-3</v>
      </c>
      <c r="G135">
        <v>56.37</v>
      </c>
      <c r="H135" s="32">
        <f t="shared" si="17"/>
        <v>4.0969006056288393E-3</v>
      </c>
      <c r="I135">
        <v>176.27</v>
      </c>
      <c r="J135" s="32">
        <f t="shared" si="18"/>
        <v>-1.9850978647686812E-2</v>
      </c>
      <c r="K135">
        <v>33.36</v>
      </c>
      <c r="L135" s="32">
        <f t="shared" si="19"/>
        <v>1.8018018018017834E-3</v>
      </c>
      <c r="M135" s="16"/>
      <c r="N135" s="32"/>
      <c r="O135" s="16"/>
      <c r="Q135" s="16"/>
    </row>
    <row r="136" spans="2:17" hidden="1" outlineLevel="1" x14ac:dyDescent="0.3">
      <c r="B136" s="34">
        <v>45165</v>
      </c>
      <c r="C136" s="35">
        <v>16091.8</v>
      </c>
      <c r="D136" s="32">
        <f t="shared" si="15"/>
        <v>1.340134769192014E-2</v>
      </c>
      <c r="E136">
        <v>59.31</v>
      </c>
      <c r="F136" s="32">
        <f t="shared" si="16"/>
        <v>1.6800960054860425E-2</v>
      </c>
      <c r="G136">
        <v>56.55</v>
      </c>
      <c r="H136" s="32">
        <f t="shared" si="17"/>
        <v>3.1931878658861823E-3</v>
      </c>
      <c r="I136">
        <v>175.32</v>
      </c>
      <c r="J136" s="32">
        <f t="shared" si="18"/>
        <v>-5.3894593521303102E-3</v>
      </c>
      <c r="K136">
        <v>33.549999999999997</v>
      </c>
      <c r="L136" s="32">
        <f t="shared" si="19"/>
        <v>5.6954436450837864E-3</v>
      </c>
      <c r="M136" s="16"/>
      <c r="N136" s="32"/>
      <c r="O136" s="16"/>
      <c r="Q136" s="16"/>
    </row>
    <row r="137" spans="2:17" hidden="1" outlineLevel="1" x14ac:dyDescent="0.3">
      <c r="B137" s="34">
        <v>45158</v>
      </c>
      <c r="C137" s="35">
        <v>15766.9</v>
      </c>
      <c r="D137" s="32">
        <f t="shared" si="15"/>
        <v>-2.0190407536757826E-2</v>
      </c>
      <c r="E137">
        <v>60.39</v>
      </c>
      <c r="F137" s="32">
        <f t="shared" si="16"/>
        <v>1.8209408194233667E-2</v>
      </c>
      <c r="G137">
        <v>57.34</v>
      </c>
      <c r="H137" s="32">
        <f t="shared" si="17"/>
        <v>1.3969938107869284E-2</v>
      </c>
      <c r="I137">
        <v>179.42</v>
      </c>
      <c r="J137" s="32">
        <f t="shared" si="18"/>
        <v>2.3385808806753339E-2</v>
      </c>
      <c r="K137">
        <v>33.28</v>
      </c>
      <c r="L137" s="32">
        <f t="shared" si="19"/>
        <v>-8.0476900149030195E-3</v>
      </c>
      <c r="M137" s="16"/>
      <c r="N137" s="32"/>
      <c r="O137" s="16"/>
      <c r="Q137" s="16"/>
    </row>
    <row r="138" spans="2:17" hidden="1" outlineLevel="1" x14ac:dyDescent="0.3">
      <c r="B138" s="34">
        <v>45151</v>
      </c>
      <c r="C138" s="35">
        <v>15750.2</v>
      </c>
      <c r="D138" s="32">
        <f t="shared" ref="D138:D201" si="20">C138/C137-1</f>
        <v>-1.059180942353799E-3</v>
      </c>
      <c r="E138">
        <v>60.95</v>
      </c>
      <c r="F138" s="32">
        <f t="shared" ref="F138:F201" si="21">E138/E137-1</f>
        <v>9.2730584533864402E-3</v>
      </c>
      <c r="G138">
        <v>57.36</v>
      </c>
      <c r="H138" s="32">
        <f t="shared" ref="H138:H201" si="22">G138/G137-1</f>
        <v>3.4879665155207462E-4</v>
      </c>
      <c r="I138">
        <v>178.18</v>
      </c>
      <c r="J138" s="32">
        <f t="shared" ref="J138:J201" si="23">I138/I137-1</f>
        <v>-6.9111581763459107E-3</v>
      </c>
      <c r="K138">
        <v>33.75</v>
      </c>
      <c r="L138" s="32">
        <f t="shared" ref="L138:L201" si="24">K138/K137-1</f>
        <v>1.4122596153846034E-2</v>
      </c>
      <c r="M138" s="16"/>
      <c r="N138" s="32"/>
      <c r="O138" s="16"/>
      <c r="Q138" s="16"/>
    </row>
    <row r="139" spans="2:17" hidden="1" outlineLevel="1" x14ac:dyDescent="0.3">
      <c r="B139" s="34">
        <v>45144</v>
      </c>
      <c r="C139" s="35">
        <v>16143.4</v>
      </c>
      <c r="D139" s="32">
        <f t="shared" si="20"/>
        <v>2.4964762352224001E-2</v>
      </c>
      <c r="E139">
        <v>61.17</v>
      </c>
      <c r="F139" s="32">
        <f t="shared" si="21"/>
        <v>3.6095159967186596E-3</v>
      </c>
      <c r="G139">
        <v>58.18</v>
      </c>
      <c r="H139" s="32">
        <f t="shared" si="22"/>
        <v>1.4295676429567639E-2</v>
      </c>
      <c r="I139">
        <v>184.04</v>
      </c>
      <c r="J139" s="32">
        <f t="shared" si="23"/>
        <v>3.2888090694803029E-2</v>
      </c>
      <c r="K139">
        <v>33.799999999999997</v>
      </c>
      <c r="L139" s="32">
        <f t="shared" si="24"/>
        <v>1.481481481481417E-3</v>
      </c>
      <c r="M139" s="16"/>
      <c r="N139" s="32"/>
      <c r="O139" s="16"/>
      <c r="Q139" s="16"/>
    </row>
    <row r="140" spans="2:17" hidden="1" outlineLevel="1" x14ac:dyDescent="0.3">
      <c r="B140" s="34">
        <v>45137</v>
      </c>
      <c r="C140" s="35">
        <v>16071.1</v>
      </c>
      <c r="D140" s="32">
        <f t="shared" si="20"/>
        <v>-4.4786104538077076E-3</v>
      </c>
      <c r="E140">
        <v>60.71</v>
      </c>
      <c r="F140" s="32">
        <f t="shared" si="21"/>
        <v>-7.5200261566127358E-3</v>
      </c>
      <c r="G140">
        <v>55.11</v>
      </c>
      <c r="H140" s="32">
        <f t="shared" si="22"/>
        <v>-5.2767273977311846E-2</v>
      </c>
      <c r="I140">
        <v>184.6</v>
      </c>
      <c r="J140" s="32">
        <f t="shared" si="23"/>
        <v>3.0428167789611216E-3</v>
      </c>
      <c r="K140">
        <v>33.6</v>
      </c>
      <c r="L140" s="32">
        <f t="shared" si="24"/>
        <v>-5.9171597633135287E-3</v>
      </c>
      <c r="M140" s="16"/>
      <c r="N140" s="32"/>
      <c r="O140" s="16"/>
      <c r="Q140" s="16"/>
    </row>
    <row r="141" spans="2:17" hidden="1" outlineLevel="1" x14ac:dyDescent="0.3">
      <c r="B141" s="34">
        <v>45130</v>
      </c>
      <c r="C141" s="35">
        <v>16363.3</v>
      </c>
      <c r="D141" s="32">
        <f t="shared" si="20"/>
        <v>1.8181705048192054E-2</v>
      </c>
      <c r="E141">
        <v>62.48</v>
      </c>
      <c r="F141" s="32">
        <f t="shared" si="21"/>
        <v>2.9154999176412399E-2</v>
      </c>
      <c r="G141">
        <v>58.15</v>
      </c>
      <c r="H141" s="32">
        <f t="shared" si="22"/>
        <v>5.5162402467791694E-2</v>
      </c>
      <c r="I141">
        <v>190.31</v>
      </c>
      <c r="J141" s="32">
        <f t="shared" si="23"/>
        <v>3.0931744312026055E-2</v>
      </c>
      <c r="K141">
        <v>33.92</v>
      </c>
      <c r="L141" s="32">
        <f t="shared" si="24"/>
        <v>9.52380952380949E-3</v>
      </c>
      <c r="M141" s="16"/>
      <c r="N141" s="32"/>
      <c r="O141" s="16"/>
      <c r="Q141" s="16"/>
    </row>
    <row r="142" spans="2:17" hidden="1" outlineLevel="1" x14ac:dyDescent="0.3">
      <c r="B142" s="34">
        <v>45123</v>
      </c>
      <c r="C142" s="35">
        <v>16289.1</v>
      </c>
      <c r="D142" s="32">
        <f t="shared" si="20"/>
        <v>-4.5345376543850513E-3</v>
      </c>
      <c r="E142">
        <v>62.44</v>
      </c>
      <c r="F142" s="32">
        <f t="shared" si="21"/>
        <v>-6.4020486555693701E-4</v>
      </c>
      <c r="G142">
        <v>58.1</v>
      </c>
      <c r="H142" s="32">
        <f t="shared" si="22"/>
        <v>-8.5984522785897965E-4</v>
      </c>
      <c r="I142">
        <v>190.16</v>
      </c>
      <c r="J142" s="32">
        <f t="shared" si="23"/>
        <v>-7.8818769376287623E-4</v>
      </c>
      <c r="K142">
        <v>32.58</v>
      </c>
      <c r="L142" s="32">
        <f t="shared" si="24"/>
        <v>-3.9504716981132226E-2</v>
      </c>
      <c r="M142" s="16"/>
      <c r="N142" s="32"/>
      <c r="O142" s="16"/>
      <c r="Q142" s="16"/>
    </row>
    <row r="143" spans="2:17" hidden="1" outlineLevel="1" x14ac:dyDescent="0.3">
      <c r="B143" s="34">
        <v>45116</v>
      </c>
      <c r="C143" s="35">
        <v>16040.2</v>
      </c>
      <c r="D143" s="32">
        <f t="shared" si="20"/>
        <v>-1.5280156669183698E-2</v>
      </c>
      <c r="E143">
        <v>60.9</v>
      </c>
      <c r="F143" s="32">
        <f t="shared" si="21"/>
        <v>-2.4663677130044803E-2</v>
      </c>
      <c r="G143">
        <v>57.31</v>
      </c>
      <c r="H143" s="32">
        <f t="shared" si="22"/>
        <v>-1.3597246127366569E-2</v>
      </c>
      <c r="I143">
        <v>188.21</v>
      </c>
      <c r="J143" s="32">
        <f t="shared" si="23"/>
        <v>-1.025452250736214E-2</v>
      </c>
      <c r="K143">
        <v>31.66</v>
      </c>
      <c r="L143" s="32">
        <f t="shared" si="24"/>
        <v>-2.8238182934315459E-2</v>
      </c>
      <c r="M143" s="16"/>
      <c r="N143" s="32"/>
      <c r="O143" s="16"/>
      <c r="Q143" s="16"/>
    </row>
    <row r="144" spans="2:17" hidden="1" outlineLevel="1" x14ac:dyDescent="0.3">
      <c r="B144" s="34">
        <v>45109</v>
      </c>
      <c r="C144" s="35">
        <v>15671.6</v>
      </c>
      <c r="D144" s="32">
        <f t="shared" si="20"/>
        <v>-2.2979763344596726E-2</v>
      </c>
      <c r="E144">
        <v>59.76</v>
      </c>
      <c r="F144" s="32">
        <f t="shared" si="21"/>
        <v>-1.871921182266012E-2</v>
      </c>
      <c r="G144">
        <v>55.87</v>
      </c>
      <c r="H144" s="32">
        <f t="shared" si="22"/>
        <v>-2.5126504972954211E-2</v>
      </c>
      <c r="I144">
        <v>183.08</v>
      </c>
      <c r="J144" s="32">
        <f t="shared" si="23"/>
        <v>-2.7256787630837831E-2</v>
      </c>
      <c r="K144">
        <v>31.76</v>
      </c>
      <c r="L144" s="32">
        <f t="shared" si="24"/>
        <v>3.1585596967782514E-3</v>
      </c>
      <c r="M144" s="16"/>
      <c r="N144" s="32"/>
      <c r="O144" s="16"/>
      <c r="Q144" s="16"/>
    </row>
    <row r="145" spans="2:17" hidden="1" outlineLevel="1" x14ac:dyDescent="0.3">
      <c r="B145" s="34">
        <v>45102</v>
      </c>
      <c r="C145" s="35">
        <v>15875.9</v>
      </c>
      <c r="D145" s="32">
        <f t="shared" si="20"/>
        <v>1.3036320477807006E-2</v>
      </c>
      <c r="E145">
        <v>60.22</v>
      </c>
      <c r="F145" s="32">
        <f t="shared" si="21"/>
        <v>7.6974564926373112E-3</v>
      </c>
      <c r="G145">
        <v>57.44</v>
      </c>
      <c r="H145" s="32">
        <f t="shared" si="22"/>
        <v>2.8100948630749967E-2</v>
      </c>
      <c r="I145">
        <v>185.22</v>
      </c>
      <c r="J145" s="32">
        <f t="shared" si="23"/>
        <v>1.1688879178501033E-2</v>
      </c>
      <c r="K145">
        <v>31.27</v>
      </c>
      <c r="L145" s="32">
        <f t="shared" si="24"/>
        <v>-1.5428211586901774E-2</v>
      </c>
      <c r="M145" s="16"/>
      <c r="N145" s="32"/>
      <c r="O145" s="16"/>
      <c r="Q145" s="16"/>
    </row>
    <row r="146" spans="2:17" hidden="1" outlineLevel="1" x14ac:dyDescent="0.3">
      <c r="B146" s="34">
        <v>45095</v>
      </c>
      <c r="C146" s="35">
        <v>15469.4</v>
      </c>
      <c r="D146" s="32">
        <f t="shared" si="20"/>
        <v>-2.5604847599191238E-2</v>
      </c>
      <c r="E146">
        <v>61.2</v>
      </c>
      <c r="F146" s="32">
        <f t="shared" si="21"/>
        <v>1.6273663234805724E-2</v>
      </c>
      <c r="G146">
        <v>59.11</v>
      </c>
      <c r="H146" s="32">
        <f t="shared" si="22"/>
        <v>2.9073816155988919E-2</v>
      </c>
      <c r="I146">
        <v>186.07</v>
      </c>
      <c r="J146" s="32">
        <f t="shared" si="23"/>
        <v>4.5891372421984489E-3</v>
      </c>
      <c r="K146">
        <v>31.18</v>
      </c>
      <c r="L146" s="32">
        <f t="shared" si="24"/>
        <v>-2.8781579788934586E-3</v>
      </c>
      <c r="M146" s="16"/>
      <c r="N146" s="32"/>
      <c r="O146" s="16"/>
      <c r="Q146" s="16"/>
    </row>
    <row r="147" spans="2:17" hidden="1" outlineLevel="1" x14ac:dyDescent="0.3">
      <c r="B147" s="34">
        <v>45088</v>
      </c>
      <c r="C147" s="35">
        <v>15795.1</v>
      </c>
      <c r="D147" s="32">
        <f t="shared" si="20"/>
        <v>2.1054468822320205E-2</v>
      </c>
      <c r="E147">
        <v>61.67</v>
      </c>
      <c r="F147" s="32">
        <f t="shared" si="21"/>
        <v>7.679738562091476E-3</v>
      </c>
      <c r="G147">
        <v>58.45</v>
      </c>
      <c r="H147" s="32">
        <f t="shared" si="22"/>
        <v>-1.1165623413973869E-2</v>
      </c>
      <c r="I147">
        <v>186.04</v>
      </c>
      <c r="J147" s="32">
        <f t="shared" si="23"/>
        <v>-1.6122964475739909E-4</v>
      </c>
      <c r="K147">
        <v>32.17</v>
      </c>
      <c r="L147" s="32">
        <f t="shared" si="24"/>
        <v>3.1751122514432462E-2</v>
      </c>
      <c r="M147" s="16"/>
      <c r="N147" s="32"/>
      <c r="O147" s="16"/>
      <c r="Q147" s="16"/>
    </row>
    <row r="148" spans="2:17" hidden="1" outlineLevel="1" x14ac:dyDescent="0.3">
      <c r="B148" s="34">
        <v>45081</v>
      </c>
      <c r="C148" s="35">
        <v>15499.9</v>
      </c>
      <c r="D148" s="32">
        <f t="shared" si="20"/>
        <v>-1.8689340365049989E-2</v>
      </c>
      <c r="E148">
        <v>60.47</v>
      </c>
      <c r="F148" s="32">
        <f t="shared" si="21"/>
        <v>-1.9458407653640375E-2</v>
      </c>
      <c r="G148">
        <v>57.25</v>
      </c>
      <c r="H148" s="32">
        <f t="shared" si="22"/>
        <v>-2.0530367835757124E-2</v>
      </c>
      <c r="I148">
        <v>182.35</v>
      </c>
      <c r="J148" s="32">
        <f t="shared" si="23"/>
        <v>-1.9834444205547141E-2</v>
      </c>
      <c r="K148">
        <v>31.31</v>
      </c>
      <c r="L148" s="32">
        <f t="shared" si="24"/>
        <v>-2.6732981038234516E-2</v>
      </c>
      <c r="M148" s="16"/>
      <c r="N148" s="32"/>
      <c r="O148" s="16"/>
      <c r="Q148" s="16"/>
    </row>
    <row r="149" spans="2:17" hidden="1" outlineLevel="1" x14ac:dyDescent="0.3">
      <c r="B149" s="34">
        <v>45074</v>
      </c>
      <c r="C149" s="35">
        <v>15345.2</v>
      </c>
      <c r="D149" s="32">
        <f t="shared" si="20"/>
        <v>-9.9807095529648171E-3</v>
      </c>
      <c r="E149">
        <v>61.16</v>
      </c>
      <c r="F149" s="32">
        <f t="shared" si="21"/>
        <v>1.1410616834794052E-2</v>
      </c>
      <c r="G149">
        <v>59.48</v>
      </c>
      <c r="H149" s="32">
        <f t="shared" si="22"/>
        <v>3.8951965065502137E-2</v>
      </c>
      <c r="I149">
        <v>184.06</v>
      </c>
      <c r="J149" s="32">
        <f t="shared" si="23"/>
        <v>9.3775706059775477E-3</v>
      </c>
      <c r="K149">
        <v>31.45</v>
      </c>
      <c r="L149" s="32">
        <f t="shared" si="24"/>
        <v>4.471414883423952E-3</v>
      </c>
      <c r="M149" s="16"/>
      <c r="N149" s="32"/>
      <c r="O149" s="16"/>
      <c r="Q149" s="16"/>
    </row>
    <row r="150" spans="2:17" hidden="1" outlineLevel="1" x14ac:dyDescent="0.3">
      <c r="B150" s="34">
        <v>45067</v>
      </c>
      <c r="C150" s="35">
        <v>15078.7</v>
      </c>
      <c r="D150" s="32">
        <f t="shared" si="20"/>
        <v>-1.7366994239240929E-2</v>
      </c>
      <c r="E150">
        <v>60.26</v>
      </c>
      <c r="F150" s="32">
        <f t="shared" si="21"/>
        <v>-1.4715500327011077E-2</v>
      </c>
      <c r="G150">
        <v>57.61</v>
      </c>
      <c r="H150" s="32">
        <f t="shared" si="22"/>
        <v>-3.1439139206455913E-2</v>
      </c>
      <c r="I150">
        <v>183.58</v>
      </c>
      <c r="J150" s="32">
        <f t="shared" si="23"/>
        <v>-2.6078452678474084E-3</v>
      </c>
      <c r="K150">
        <v>31.41</v>
      </c>
      <c r="L150" s="32">
        <f t="shared" si="24"/>
        <v>-1.2718600953894876E-3</v>
      </c>
      <c r="M150" s="16"/>
      <c r="N150" s="32"/>
      <c r="O150" s="16"/>
      <c r="Q150" s="16"/>
    </row>
    <row r="151" spans="2:17" hidden="1" outlineLevel="1" x14ac:dyDescent="0.3">
      <c r="B151" s="34">
        <v>45060</v>
      </c>
      <c r="C151" s="35">
        <v>15324.3</v>
      </c>
      <c r="D151" s="32">
        <f t="shared" si="20"/>
        <v>1.6287876275806079E-2</v>
      </c>
      <c r="E151">
        <v>62.83</v>
      </c>
      <c r="F151" s="32">
        <f t="shared" si="21"/>
        <v>4.2648523066710853E-2</v>
      </c>
      <c r="G151">
        <v>59.68</v>
      </c>
      <c r="H151" s="32">
        <f t="shared" si="22"/>
        <v>3.5931261933692005E-2</v>
      </c>
      <c r="I151">
        <v>191.84</v>
      </c>
      <c r="J151" s="32">
        <f t="shared" si="23"/>
        <v>4.4994008061880253E-2</v>
      </c>
      <c r="K151">
        <v>31.83</v>
      </c>
      <c r="L151" s="32">
        <f t="shared" si="24"/>
        <v>1.3371537726838634E-2</v>
      </c>
      <c r="M151" s="16"/>
      <c r="N151" s="32"/>
      <c r="O151" s="16"/>
      <c r="Q151" s="16"/>
    </row>
    <row r="152" spans="2:17" hidden="1" outlineLevel="1" x14ac:dyDescent="0.3">
      <c r="B152" s="34">
        <v>45053</v>
      </c>
      <c r="C152" s="35">
        <v>15246.4</v>
      </c>
      <c r="D152" s="32">
        <f t="shared" si="20"/>
        <v>-5.0834295856906353E-3</v>
      </c>
      <c r="E152">
        <v>64.11</v>
      </c>
      <c r="F152" s="32">
        <f t="shared" si="21"/>
        <v>2.0372433550851499E-2</v>
      </c>
      <c r="G152">
        <v>59.54</v>
      </c>
      <c r="H152" s="32">
        <f t="shared" si="22"/>
        <v>-2.3458445040214215E-3</v>
      </c>
      <c r="I152">
        <v>196.12</v>
      </c>
      <c r="J152" s="32">
        <f t="shared" si="23"/>
        <v>2.2310258548790651E-2</v>
      </c>
      <c r="K152">
        <v>32.67</v>
      </c>
      <c r="L152" s="32">
        <f t="shared" si="24"/>
        <v>2.6390197926484449E-2</v>
      </c>
      <c r="M152" s="16"/>
      <c r="N152" s="32"/>
      <c r="O152" s="16"/>
      <c r="Q152" s="16"/>
    </row>
    <row r="153" spans="2:17" hidden="1" outlineLevel="1" x14ac:dyDescent="0.3">
      <c r="B153" s="34">
        <v>45046</v>
      </c>
      <c r="C153" s="35">
        <v>15380.9</v>
      </c>
      <c r="D153" s="32">
        <f t="shared" si="20"/>
        <v>8.8217546437192595E-3</v>
      </c>
      <c r="E153">
        <v>64.02</v>
      </c>
      <c r="F153" s="32">
        <f t="shared" si="21"/>
        <v>-1.4038371548901196E-3</v>
      </c>
      <c r="G153">
        <v>59.71</v>
      </c>
      <c r="H153" s="32">
        <f t="shared" si="22"/>
        <v>2.8552233792409343E-3</v>
      </c>
      <c r="I153">
        <v>194.27</v>
      </c>
      <c r="J153" s="32">
        <f t="shared" si="23"/>
        <v>-9.4330002039567651E-3</v>
      </c>
      <c r="K153">
        <v>33.229999999999997</v>
      </c>
      <c r="L153" s="32">
        <f t="shared" si="24"/>
        <v>1.7141108050198861E-2</v>
      </c>
      <c r="M153" s="16"/>
      <c r="N153" s="32"/>
      <c r="O153" s="16"/>
      <c r="Q153" s="16"/>
    </row>
    <row r="154" spans="2:17" hidden="1" outlineLevel="1" x14ac:dyDescent="0.3">
      <c r="B154" s="34">
        <v>45039</v>
      </c>
      <c r="C154" s="35">
        <v>15545.9</v>
      </c>
      <c r="D154" s="32">
        <f t="shared" si="20"/>
        <v>1.0727590713157209E-2</v>
      </c>
      <c r="E154">
        <v>64.150000000000006</v>
      </c>
      <c r="F154" s="32">
        <f t="shared" si="21"/>
        <v>2.0306154326774628E-3</v>
      </c>
      <c r="G154">
        <v>56</v>
      </c>
      <c r="H154" s="32">
        <f t="shared" si="22"/>
        <v>-6.2133645955451344E-2</v>
      </c>
      <c r="I154">
        <v>190.89</v>
      </c>
      <c r="J154" s="32">
        <f t="shared" si="23"/>
        <v>-1.7398466052401473E-2</v>
      </c>
      <c r="K154">
        <v>32.700000000000003</v>
      </c>
      <c r="L154" s="32">
        <f t="shared" si="24"/>
        <v>-1.5949443274149711E-2</v>
      </c>
      <c r="M154" s="16"/>
      <c r="N154" s="32"/>
      <c r="O154" s="16"/>
      <c r="Q154" s="16"/>
    </row>
    <row r="155" spans="2:17" hidden="1" outlineLevel="1" x14ac:dyDescent="0.3">
      <c r="B155" s="34">
        <v>45032</v>
      </c>
      <c r="C155" s="35">
        <v>15578.9</v>
      </c>
      <c r="D155" s="32">
        <f t="shared" si="20"/>
        <v>2.12274619031394E-3</v>
      </c>
      <c r="E155">
        <v>64.05</v>
      </c>
      <c r="F155" s="32">
        <f t="shared" si="21"/>
        <v>-1.5588464536244739E-3</v>
      </c>
      <c r="G155">
        <v>53.07</v>
      </c>
      <c r="H155" s="32">
        <f t="shared" si="22"/>
        <v>-5.2321428571428519E-2</v>
      </c>
      <c r="I155">
        <v>185.41</v>
      </c>
      <c r="J155" s="32">
        <f t="shared" si="23"/>
        <v>-2.8707632668028671E-2</v>
      </c>
      <c r="K155">
        <v>35.31</v>
      </c>
      <c r="L155" s="32">
        <f t="shared" si="24"/>
        <v>7.9816513761467922E-2</v>
      </c>
      <c r="M155" s="16"/>
      <c r="N155" s="32"/>
      <c r="O155" s="16"/>
      <c r="Q155" s="16"/>
    </row>
    <row r="156" spans="2:17" hidden="1" outlineLevel="1" x14ac:dyDescent="0.3">
      <c r="B156" s="34">
        <v>45025</v>
      </c>
      <c r="C156" s="35">
        <v>15601.8</v>
      </c>
      <c r="D156" s="32">
        <f t="shared" si="20"/>
        <v>1.4699369018351671E-3</v>
      </c>
      <c r="E156">
        <v>63.05</v>
      </c>
      <c r="F156" s="32">
        <f t="shared" si="21"/>
        <v>-1.5612802498048417E-2</v>
      </c>
      <c r="G156">
        <v>52.56</v>
      </c>
      <c r="H156" s="32">
        <f t="shared" si="22"/>
        <v>-9.6099491237987555E-3</v>
      </c>
      <c r="I156">
        <v>183.51</v>
      </c>
      <c r="J156" s="32">
        <f t="shared" si="23"/>
        <v>-1.0247559462812195E-2</v>
      </c>
      <c r="K156">
        <v>35.1</v>
      </c>
      <c r="L156" s="32">
        <f t="shared" si="24"/>
        <v>-5.9473237043330407E-3</v>
      </c>
      <c r="M156" s="16"/>
      <c r="N156" s="32"/>
      <c r="O156" s="16"/>
      <c r="Q156" s="16"/>
    </row>
    <row r="157" spans="2:17" hidden="1" outlineLevel="1" x14ac:dyDescent="0.3">
      <c r="B157" s="34">
        <v>45018</v>
      </c>
      <c r="C157" s="35">
        <v>15379.1</v>
      </c>
      <c r="D157" s="32">
        <f t="shared" si="20"/>
        <v>-1.4273994026330228E-2</v>
      </c>
      <c r="E157">
        <v>62.84</v>
      </c>
      <c r="F157" s="32">
        <f t="shared" si="21"/>
        <v>-3.3306899286279501E-3</v>
      </c>
      <c r="G157">
        <v>52.56</v>
      </c>
      <c r="H157" s="32">
        <f t="shared" si="22"/>
        <v>0</v>
      </c>
      <c r="I157">
        <v>184.36</v>
      </c>
      <c r="J157" s="32">
        <f t="shared" si="23"/>
        <v>4.6319001689283379E-3</v>
      </c>
      <c r="K157">
        <v>35.64</v>
      </c>
      <c r="L157" s="32">
        <f t="shared" si="24"/>
        <v>1.538461538461533E-2</v>
      </c>
      <c r="M157" s="16"/>
      <c r="N157" s="32"/>
      <c r="O157" s="16"/>
      <c r="Q157" s="16"/>
    </row>
    <row r="158" spans="2:17" hidden="1" outlineLevel="1" x14ac:dyDescent="0.3">
      <c r="B158" s="34">
        <v>45011</v>
      </c>
      <c r="C158" s="35">
        <v>15374.9</v>
      </c>
      <c r="D158" s="32">
        <f t="shared" si="20"/>
        <v>-2.7309790559915115E-4</v>
      </c>
      <c r="E158">
        <v>62.03</v>
      </c>
      <c r="F158" s="32">
        <f t="shared" si="21"/>
        <v>-1.2889879057924936E-2</v>
      </c>
      <c r="G158">
        <v>54.01</v>
      </c>
      <c r="H158" s="32">
        <f t="shared" si="22"/>
        <v>2.7587519025875196E-2</v>
      </c>
      <c r="I158">
        <v>182.3</v>
      </c>
      <c r="J158" s="32">
        <f t="shared" si="23"/>
        <v>-1.1173790410067275E-2</v>
      </c>
      <c r="K158">
        <v>35.28</v>
      </c>
      <c r="L158" s="32">
        <f t="shared" si="24"/>
        <v>-1.0101010101010055E-2</v>
      </c>
      <c r="M158" s="16"/>
      <c r="N158" s="32"/>
      <c r="O158" s="16"/>
      <c r="Q158" s="16"/>
    </row>
    <row r="159" spans="2:17" hidden="1" outlineLevel="1" x14ac:dyDescent="0.3">
      <c r="B159" s="34">
        <v>45004</v>
      </c>
      <c r="C159" s="35">
        <v>14758.6</v>
      </c>
      <c r="D159" s="32">
        <f t="shared" si="20"/>
        <v>-4.00848135597629E-2</v>
      </c>
      <c r="E159">
        <v>60.9</v>
      </c>
      <c r="F159" s="32">
        <f t="shared" si="21"/>
        <v>-1.8216991778171931E-2</v>
      </c>
      <c r="G159">
        <v>52.04</v>
      </c>
      <c r="H159" s="32">
        <f t="shared" si="22"/>
        <v>-3.6474726902425481E-2</v>
      </c>
      <c r="I159">
        <v>179.09</v>
      </c>
      <c r="J159" s="32">
        <f t="shared" si="23"/>
        <v>-1.7608337904552962E-2</v>
      </c>
      <c r="K159">
        <v>34.869999999999997</v>
      </c>
      <c r="L159" s="32">
        <f t="shared" si="24"/>
        <v>-1.1621315192743897E-2</v>
      </c>
      <c r="M159" s="16"/>
      <c r="N159" s="32"/>
      <c r="O159" s="16"/>
      <c r="Q159" s="16"/>
    </row>
    <row r="160" spans="2:17" hidden="1" outlineLevel="1" x14ac:dyDescent="0.3">
      <c r="B160" s="34">
        <v>44997</v>
      </c>
      <c r="C160" s="35">
        <v>14599</v>
      </c>
      <c r="D160" s="32">
        <f t="shared" si="20"/>
        <v>-1.0814033851449301E-2</v>
      </c>
      <c r="E160">
        <v>60.02</v>
      </c>
      <c r="F160" s="32">
        <f t="shared" si="21"/>
        <v>-1.444991789819372E-2</v>
      </c>
      <c r="G160">
        <v>51.49</v>
      </c>
      <c r="H160" s="32">
        <f t="shared" si="22"/>
        <v>-1.0568793235972263E-2</v>
      </c>
      <c r="I160">
        <v>175.13</v>
      </c>
      <c r="J160" s="32">
        <f t="shared" si="23"/>
        <v>-2.2111787369479052E-2</v>
      </c>
      <c r="K160">
        <v>34.86</v>
      </c>
      <c r="L160" s="32">
        <f t="shared" si="24"/>
        <v>-2.8677946659017017E-4</v>
      </c>
      <c r="M160" s="16"/>
      <c r="N160" s="32"/>
      <c r="O160" s="16"/>
      <c r="Q160" s="16"/>
    </row>
    <row r="161" spans="2:17" hidden="1" outlineLevel="1" x14ac:dyDescent="0.3">
      <c r="B161" s="34">
        <v>44990</v>
      </c>
      <c r="C161" s="35">
        <v>14894.2</v>
      </c>
      <c r="D161" s="32">
        <f t="shared" si="20"/>
        <v>2.0220563052263829E-2</v>
      </c>
      <c r="E161">
        <v>59.21</v>
      </c>
      <c r="F161" s="32">
        <f t="shared" si="21"/>
        <v>-1.3495501499500184E-2</v>
      </c>
      <c r="G161">
        <v>50.08</v>
      </c>
      <c r="H161" s="32">
        <f t="shared" si="22"/>
        <v>-2.7383958050106849E-2</v>
      </c>
      <c r="I161">
        <v>172.03</v>
      </c>
      <c r="J161" s="32">
        <f t="shared" si="23"/>
        <v>-1.7701136298749476E-2</v>
      </c>
      <c r="K161">
        <v>34.32</v>
      </c>
      <c r="L161" s="32">
        <f t="shared" si="24"/>
        <v>-1.5490533562822706E-2</v>
      </c>
      <c r="M161" s="16"/>
      <c r="N161" s="32"/>
      <c r="O161" s="16"/>
      <c r="Q161" s="16"/>
    </row>
    <row r="162" spans="2:17" hidden="1" outlineLevel="1" x14ac:dyDescent="0.3">
      <c r="B162" s="34">
        <v>44983</v>
      </c>
      <c r="C162" s="35">
        <v>15721.1</v>
      </c>
      <c r="D162" s="32">
        <f t="shared" si="20"/>
        <v>5.5518255428287588E-2</v>
      </c>
      <c r="E162">
        <v>59.44</v>
      </c>
      <c r="F162" s="32">
        <f t="shared" si="21"/>
        <v>3.8844789731464768E-3</v>
      </c>
      <c r="G162">
        <v>51.01</v>
      </c>
      <c r="H162" s="32">
        <f t="shared" si="22"/>
        <v>1.8570287539936059E-2</v>
      </c>
      <c r="I162">
        <v>173.15</v>
      </c>
      <c r="J162" s="32">
        <f t="shared" si="23"/>
        <v>6.510492355984443E-3</v>
      </c>
      <c r="K162">
        <v>34.549999999999997</v>
      </c>
      <c r="L162" s="32">
        <f t="shared" si="24"/>
        <v>6.7016317016315163E-3</v>
      </c>
      <c r="M162" s="16"/>
      <c r="N162" s="32"/>
      <c r="O162" s="16"/>
      <c r="Q162" s="16"/>
    </row>
    <row r="163" spans="2:17" hidden="1" outlineLevel="1" x14ac:dyDescent="0.3">
      <c r="B163" s="34">
        <v>44976</v>
      </c>
      <c r="C163" s="35">
        <v>15464.5</v>
      </c>
      <c r="D163" s="32">
        <f t="shared" si="20"/>
        <v>-1.6322013090687038E-2</v>
      </c>
      <c r="E163">
        <v>59.84</v>
      </c>
      <c r="F163" s="32">
        <f t="shared" si="21"/>
        <v>6.7294751009421283E-3</v>
      </c>
      <c r="G163">
        <v>50.62</v>
      </c>
      <c r="H163" s="32">
        <f t="shared" si="22"/>
        <v>-7.6455596941775728E-3</v>
      </c>
      <c r="I163">
        <v>175.96</v>
      </c>
      <c r="J163" s="32">
        <f t="shared" si="23"/>
        <v>1.6228703436326875E-2</v>
      </c>
      <c r="K163">
        <v>35.79</v>
      </c>
      <c r="L163" s="32">
        <f t="shared" si="24"/>
        <v>3.5890014471780196E-2</v>
      </c>
      <c r="M163" s="16"/>
      <c r="N163" s="32"/>
      <c r="O163" s="16"/>
      <c r="Q163" s="16"/>
    </row>
    <row r="164" spans="2:17" hidden="1" outlineLevel="1" x14ac:dyDescent="0.3">
      <c r="B164" s="34">
        <v>44969</v>
      </c>
      <c r="C164" s="35">
        <v>15840.2</v>
      </c>
      <c r="D164" s="32">
        <f t="shared" si="20"/>
        <v>2.4294351579423834E-2</v>
      </c>
      <c r="E164">
        <v>60.12</v>
      </c>
      <c r="F164" s="32">
        <f t="shared" si="21"/>
        <v>4.6791443850267012E-3</v>
      </c>
      <c r="G164">
        <v>52.09</v>
      </c>
      <c r="H164" s="32">
        <f t="shared" si="22"/>
        <v>2.9039905175819891E-2</v>
      </c>
      <c r="I164">
        <v>176.28</v>
      </c>
      <c r="J164" s="32">
        <f t="shared" si="23"/>
        <v>1.8185951352580609E-3</v>
      </c>
      <c r="K164">
        <v>35.67</v>
      </c>
      <c r="L164" s="32">
        <f t="shared" si="24"/>
        <v>-3.3528918692371512E-3</v>
      </c>
      <c r="M164" s="16"/>
      <c r="N164" s="32"/>
      <c r="O164" s="16"/>
      <c r="Q164" s="16"/>
    </row>
    <row r="165" spans="2:17" hidden="1" outlineLevel="1" x14ac:dyDescent="0.3">
      <c r="B165" s="34">
        <v>44962</v>
      </c>
      <c r="C165" s="35">
        <v>15910.7</v>
      </c>
      <c r="D165" s="32">
        <f t="shared" si="20"/>
        <v>4.4507013800330064E-3</v>
      </c>
      <c r="E165">
        <v>59.62</v>
      </c>
      <c r="F165" s="32">
        <f t="shared" si="21"/>
        <v>-8.3166999334663982E-3</v>
      </c>
      <c r="G165">
        <v>51.4</v>
      </c>
      <c r="H165" s="32">
        <f t="shared" si="22"/>
        <v>-1.3246304473027548E-2</v>
      </c>
      <c r="I165">
        <v>176.2</v>
      </c>
      <c r="J165" s="32">
        <f t="shared" si="23"/>
        <v>-4.5382346267308638E-4</v>
      </c>
      <c r="K165">
        <v>35.28</v>
      </c>
      <c r="L165" s="32">
        <f t="shared" si="24"/>
        <v>-1.0933557611438216E-2</v>
      </c>
      <c r="M165" s="16"/>
      <c r="N165" s="32"/>
      <c r="O165" s="16"/>
      <c r="Q165" s="16"/>
    </row>
    <row r="166" spans="2:17" hidden="1" outlineLevel="1" x14ac:dyDescent="0.3">
      <c r="B166" s="34">
        <v>44955</v>
      </c>
      <c r="C166" s="35">
        <v>15999.4</v>
      </c>
      <c r="D166" s="32">
        <f t="shared" si="20"/>
        <v>5.5748647136830698E-3</v>
      </c>
      <c r="E166">
        <v>59.83</v>
      </c>
      <c r="F166" s="32">
        <f t="shared" si="21"/>
        <v>3.5223079503523547E-3</v>
      </c>
      <c r="G166">
        <v>50.9</v>
      </c>
      <c r="H166" s="32">
        <f t="shared" si="22"/>
        <v>-9.7276264591439343E-3</v>
      </c>
      <c r="I166">
        <v>169.12</v>
      </c>
      <c r="J166" s="32">
        <f t="shared" si="23"/>
        <v>-4.0181611804767203E-2</v>
      </c>
      <c r="K166">
        <v>35.15</v>
      </c>
      <c r="L166" s="32">
        <f t="shared" si="24"/>
        <v>-3.684807256235878E-3</v>
      </c>
      <c r="M166" s="16"/>
      <c r="N166" s="32"/>
      <c r="O166" s="16"/>
      <c r="Q166" s="16"/>
    </row>
    <row r="167" spans="2:17" hidden="1" outlineLevel="1" x14ac:dyDescent="0.3">
      <c r="B167" s="34">
        <v>44948</v>
      </c>
      <c r="C167" s="35">
        <v>15962.6</v>
      </c>
      <c r="D167" s="32">
        <f t="shared" si="20"/>
        <v>-2.3000862532344124E-3</v>
      </c>
      <c r="E167">
        <v>60.49</v>
      </c>
      <c r="F167" s="32">
        <f t="shared" si="21"/>
        <v>1.1031255223132197E-2</v>
      </c>
      <c r="G167">
        <v>51.4</v>
      </c>
      <c r="H167" s="32">
        <f t="shared" si="22"/>
        <v>9.8231827111985304E-3</v>
      </c>
      <c r="I167">
        <v>169.62</v>
      </c>
      <c r="J167" s="32">
        <f t="shared" si="23"/>
        <v>2.956480605487144E-3</v>
      </c>
      <c r="K167">
        <v>34.700000000000003</v>
      </c>
      <c r="L167" s="32">
        <f t="shared" si="24"/>
        <v>-1.2802275960170584E-2</v>
      </c>
      <c r="M167" s="16"/>
      <c r="N167" s="32"/>
      <c r="O167" s="16"/>
      <c r="Q167" s="16"/>
    </row>
    <row r="168" spans="2:17" hidden="1" outlineLevel="1" x14ac:dyDescent="0.3">
      <c r="B168" s="34">
        <v>44941</v>
      </c>
      <c r="C168" s="35">
        <v>15777.5</v>
      </c>
      <c r="D168" s="32">
        <f t="shared" si="20"/>
        <v>-1.1595855311791303E-2</v>
      </c>
      <c r="E168">
        <v>60.08</v>
      </c>
      <c r="F168" s="32">
        <f t="shared" si="21"/>
        <v>-6.7779798313771789E-3</v>
      </c>
      <c r="G168">
        <v>50</v>
      </c>
      <c r="H168" s="32">
        <f t="shared" si="22"/>
        <v>-2.7237354085603127E-2</v>
      </c>
      <c r="I168">
        <v>169.88</v>
      </c>
      <c r="J168" s="32">
        <f t="shared" si="23"/>
        <v>1.53283810871363E-3</v>
      </c>
      <c r="K168">
        <v>34.71</v>
      </c>
      <c r="L168" s="32">
        <f t="shared" si="24"/>
        <v>2.8818443804023985E-4</v>
      </c>
      <c r="M168" s="16"/>
      <c r="N168" s="32"/>
      <c r="O168" s="16"/>
      <c r="Q168" s="16"/>
    </row>
    <row r="169" spans="2:17" hidden="1" outlineLevel="1" x14ac:dyDescent="0.3">
      <c r="B169" s="34">
        <v>44934</v>
      </c>
      <c r="C169" s="35">
        <v>15918.4</v>
      </c>
      <c r="D169" s="32">
        <f t="shared" si="20"/>
        <v>8.9304389161781739E-3</v>
      </c>
      <c r="E169">
        <v>61.43</v>
      </c>
      <c r="F169" s="32">
        <f t="shared" si="21"/>
        <v>2.2470039946737685E-2</v>
      </c>
      <c r="G169">
        <v>51.04</v>
      </c>
      <c r="H169" s="32">
        <f t="shared" si="22"/>
        <v>2.079999999999993E-2</v>
      </c>
      <c r="I169">
        <v>175.24</v>
      </c>
      <c r="J169" s="32">
        <f t="shared" si="23"/>
        <v>3.1551683541323428E-2</v>
      </c>
      <c r="K169">
        <v>35.69</v>
      </c>
      <c r="L169" s="32">
        <f t="shared" si="24"/>
        <v>2.8233938346297727E-2</v>
      </c>
      <c r="M169" s="16"/>
      <c r="N169" s="32"/>
      <c r="O169" s="16"/>
      <c r="Q169" s="16"/>
    </row>
    <row r="170" spans="2:17" hidden="1" outlineLevel="1" x14ac:dyDescent="0.3">
      <c r="B170" s="34">
        <v>44927</v>
      </c>
      <c r="C170" s="35">
        <v>15539.7</v>
      </c>
      <c r="D170" s="32">
        <f t="shared" si="20"/>
        <v>-2.3790079404965248E-2</v>
      </c>
      <c r="E170">
        <v>63.4</v>
      </c>
      <c r="F170" s="32">
        <f t="shared" si="21"/>
        <v>3.2069021650659169E-2</v>
      </c>
      <c r="G170">
        <v>51.22</v>
      </c>
      <c r="H170" s="32">
        <f t="shared" si="22"/>
        <v>3.5266457680249719E-3</v>
      </c>
      <c r="I170">
        <v>181.1</v>
      </c>
      <c r="J170" s="32">
        <f t="shared" si="23"/>
        <v>3.3439853914631223E-2</v>
      </c>
      <c r="K170">
        <v>36.26</v>
      </c>
      <c r="L170" s="32">
        <f t="shared" si="24"/>
        <v>1.5970860184925773E-2</v>
      </c>
      <c r="M170" s="16"/>
      <c r="N170" s="32"/>
      <c r="O170" s="16"/>
      <c r="Q170" s="16"/>
    </row>
    <row r="171" spans="2:17" hidden="1" outlineLevel="1" x14ac:dyDescent="0.3">
      <c r="B171" s="34">
        <v>44920</v>
      </c>
      <c r="C171" s="35">
        <v>15184.3</v>
      </c>
      <c r="D171" s="32">
        <f t="shared" si="20"/>
        <v>-2.2870454384576355E-2</v>
      </c>
      <c r="E171">
        <v>63.61</v>
      </c>
      <c r="F171" s="32">
        <f t="shared" si="21"/>
        <v>3.3123028391166542E-3</v>
      </c>
      <c r="G171">
        <v>50.76</v>
      </c>
      <c r="H171" s="32">
        <f t="shared" si="22"/>
        <v>-8.9808668488872145E-3</v>
      </c>
      <c r="I171">
        <v>180.66</v>
      </c>
      <c r="J171" s="32">
        <f t="shared" si="23"/>
        <v>-2.4295969077857693E-3</v>
      </c>
      <c r="K171">
        <v>35.659999999999997</v>
      </c>
      <c r="L171" s="32">
        <f t="shared" si="24"/>
        <v>-1.6547159404302292E-2</v>
      </c>
      <c r="M171" s="16"/>
      <c r="N171" s="32"/>
      <c r="O171" s="16"/>
      <c r="Q171" s="16"/>
    </row>
    <row r="172" spans="2:17" hidden="1" outlineLevel="1" x14ac:dyDescent="0.3">
      <c r="B172" s="34">
        <v>44913</v>
      </c>
      <c r="C172" s="35">
        <v>15188.5</v>
      </c>
      <c r="D172" s="32">
        <f t="shared" si="20"/>
        <v>2.7660148969665954E-4</v>
      </c>
      <c r="E172">
        <v>63.82</v>
      </c>
      <c r="F172" s="32">
        <f t="shared" si="21"/>
        <v>3.3013677094797522E-3</v>
      </c>
      <c r="G172">
        <v>50.63</v>
      </c>
      <c r="H172" s="32">
        <f t="shared" si="22"/>
        <v>-2.5610717100077451E-3</v>
      </c>
      <c r="I172">
        <v>182.26</v>
      </c>
      <c r="J172" s="32">
        <f t="shared" si="23"/>
        <v>8.8564153658805544E-3</v>
      </c>
      <c r="K172">
        <v>36.369999999999997</v>
      </c>
      <c r="L172" s="32">
        <f t="shared" si="24"/>
        <v>1.9910263600672939E-2</v>
      </c>
      <c r="M172" s="16"/>
      <c r="N172" s="32"/>
      <c r="O172" s="16"/>
      <c r="Q172" s="16"/>
    </row>
    <row r="173" spans="2:17" hidden="1" outlineLevel="1" x14ac:dyDescent="0.3">
      <c r="B173" s="34">
        <v>44906</v>
      </c>
      <c r="C173" s="35">
        <v>15018.2</v>
      </c>
      <c r="D173" s="32">
        <f t="shared" si="20"/>
        <v>-1.1212430457253841E-2</v>
      </c>
      <c r="E173">
        <v>62.75</v>
      </c>
      <c r="F173" s="32">
        <f t="shared" si="21"/>
        <v>-1.6765904105296103E-2</v>
      </c>
      <c r="G173">
        <v>50.39</v>
      </c>
      <c r="H173" s="32">
        <f t="shared" si="22"/>
        <v>-4.7402725656725542E-3</v>
      </c>
      <c r="I173">
        <v>180.34</v>
      </c>
      <c r="J173" s="32">
        <f t="shared" si="23"/>
        <v>-1.0534401404586835E-2</v>
      </c>
      <c r="K173">
        <v>36.07</v>
      </c>
      <c r="L173" s="32">
        <f t="shared" si="24"/>
        <v>-8.2485565026119145E-3</v>
      </c>
      <c r="M173" s="16"/>
      <c r="N173" s="32"/>
      <c r="O173" s="16"/>
      <c r="Q173" s="16"/>
    </row>
    <row r="174" spans="2:17" hidden="1" outlineLevel="1" x14ac:dyDescent="0.3">
      <c r="B174" s="34">
        <v>44899</v>
      </c>
      <c r="C174" s="35">
        <v>15291</v>
      </c>
      <c r="D174" s="32">
        <f t="shared" si="20"/>
        <v>1.8164626919337845E-2</v>
      </c>
      <c r="E174">
        <v>63.14</v>
      </c>
      <c r="F174" s="32">
        <f t="shared" si="21"/>
        <v>6.2151394422311768E-3</v>
      </c>
      <c r="G174">
        <v>50.02</v>
      </c>
      <c r="H174" s="32">
        <f t="shared" si="22"/>
        <v>-7.3427267314942757E-3</v>
      </c>
      <c r="I174">
        <v>183.1</v>
      </c>
      <c r="J174" s="32">
        <f t="shared" si="23"/>
        <v>1.5304424975047137E-2</v>
      </c>
      <c r="K174">
        <v>37.93</v>
      </c>
      <c r="L174" s="32">
        <f t="shared" si="24"/>
        <v>5.1566398669254276E-2</v>
      </c>
      <c r="M174" s="16"/>
      <c r="N174" s="32"/>
      <c r="O174" s="16"/>
      <c r="Q174" s="16"/>
    </row>
    <row r="175" spans="2:17" hidden="1" outlineLevel="1" x14ac:dyDescent="0.3">
      <c r="B175" s="34">
        <v>44892</v>
      </c>
      <c r="C175" s="35">
        <v>15767</v>
      </c>
      <c r="D175" s="32">
        <f t="shared" si="20"/>
        <v>3.1129422536132267E-2</v>
      </c>
      <c r="E175">
        <v>64.349999999999994</v>
      </c>
      <c r="F175" s="32">
        <f t="shared" si="21"/>
        <v>1.9163763066202044E-2</v>
      </c>
      <c r="G175">
        <v>52.02</v>
      </c>
      <c r="H175" s="32">
        <f t="shared" si="22"/>
        <v>3.9984006397441041E-2</v>
      </c>
      <c r="I175">
        <v>185.69</v>
      </c>
      <c r="J175" s="32">
        <f t="shared" si="23"/>
        <v>1.4145275805570678E-2</v>
      </c>
      <c r="K175">
        <v>38.74</v>
      </c>
      <c r="L175" s="32">
        <f t="shared" si="24"/>
        <v>2.1355127867123791E-2</v>
      </c>
      <c r="M175" s="16"/>
      <c r="N175" s="32"/>
      <c r="O175" s="16"/>
      <c r="Q175" s="16"/>
    </row>
    <row r="176" spans="2:17" hidden="1" outlineLevel="1" x14ac:dyDescent="0.3">
      <c r="B176" s="34">
        <v>44885</v>
      </c>
      <c r="C176" s="35">
        <v>15605.7</v>
      </c>
      <c r="D176" s="32">
        <f t="shared" si="20"/>
        <v>-1.0230227690746441E-2</v>
      </c>
      <c r="E176">
        <v>62.69</v>
      </c>
      <c r="F176" s="32">
        <f t="shared" si="21"/>
        <v>-2.5796425796425715E-2</v>
      </c>
      <c r="G176">
        <v>51.69</v>
      </c>
      <c r="H176" s="32">
        <f t="shared" si="22"/>
        <v>-6.3437139561708378E-3</v>
      </c>
      <c r="I176">
        <v>184.11</v>
      </c>
      <c r="J176" s="32">
        <f t="shared" si="23"/>
        <v>-8.5088049975765578E-3</v>
      </c>
      <c r="K176">
        <v>38.25</v>
      </c>
      <c r="L176" s="32">
        <f t="shared" si="24"/>
        <v>-1.2648425400103358E-2</v>
      </c>
      <c r="M176" s="16"/>
      <c r="N176" s="32"/>
      <c r="O176" s="16"/>
      <c r="Q176" s="16"/>
    </row>
    <row r="177" spans="2:17" hidden="1" outlineLevel="1" x14ac:dyDescent="0.3">
      <c r="B177" s="34">
        <v>44878</v>
      </c>
      <c r="C177" s="35">
        <v>15309.8</v>
      </c>
      <c r="D177" s="32">
        <f t="shared" si="20"/>
        <v>-1.8961020652710325E-2</v>
      </c>
      <c r="E177">
        <v>61.14</v>
      </c>
      <c r="F177" s="32">
        <f t="shared" si="21"/>
        <v>-2.472483649704893E-2</v>
      </c>
      <c r="G177">
        <v>49.85</v>
      </c>
      <c r="H177" s="32">
        <f t="shared" si="22"/>
        <v>-3.5596827239311235E-2</v>
      </c>
      <c r="I177">
        <v>181.33</v>
      </c>
      <c r="J177" s="32">
        <f t="shared" si="23"/>
        <v>-1.5099668676334832E-2</v>
      </c>
      <c r="K177">
        <v>37.42</v>
      </c>
      <c r="L177" s="32">
        <f t="shared" si="24"/>
        <v>-2.1699346405228748E-2</v>
      </c>
      <c r="M177" s="16"/>
      <c r="N177" s="32"/>
      <c r="O177" s="16"/>
      <c r="Q177" s="16"/>
    </row>
    <row r="178" spans="2:17" hidden="1" outlineLevel="1" x14ac:dyDescent="0.3">
      <c r="B178" s="34">
        <v>44871</v>
      </c>
      <c r="C178" s="35">
        <v>15352.7</v>
      </c>
      <c r="D178" s="32">
        <f t="shared" si="20"/>
        <v>2.8021267423481433E-3</v>
      </c>
      <c r="E178">
        <v>61.32</v>
      </c>
      <c r="F178" s="32">
        <f t="shared" si="21"/>
        <v>2.9440628066732533E-3</v>
      </c>
      <c r="G178">
        <v>49.06</v>
      </c>
      <c r="H178" s="32">
        <f t="shared" si="22"/>
        <v>-1.5847542627883682E-2</v>
      </c>
      <c r="I178">
        <v>178.05</v>
      </c>
      <c r="J178" s="32">
        <f t="shared" si="23"/>
        <v>-1.8088567804555256E-2</v>
      </c>
      <c r="K178">
        <v>37.340000000000003</v>
      </c>
      <c r="L178" s="32">
        <f t="shared" si="24"/>
        <v>-2.137894174238375E-3</v>
      </c>
      <c r="M178" s="16"/>
      <c r="N178" s="32"/>
      <c r="O178" s="16"/>
      <c r="Q178" s="16"/>
    </row>
    <row r="179" spans="2:17" hidden="1" outlineLevel="1" x14ac:dyDescent="0.3">
      <c r="B179" s="34">
        <v>44864</v>
      </c>
      <c r="C179" s="35">
        <v>14702.8</v>
      </c>
      <c r="D179" s="32">
        <f t="shared" si="20"/>
        <v>-4.2331316315696976E-2</v>
      </c>
      <c r="E179">
        <v>59.26</v>
      </c>
      <c r="F179" s="32">
        <f t="shared" si="21"/>
        <v>-3.3594259621656963E-2</v>
      </c>
      <c r="G179">
        <v>48.97</v>
      </c>
      <c r="H179" s="32">
        <f t="shared" si="22"/>
        <v>-1.834488381573629E-3</v>
      </c>
      <c r="I179">
        <v>178.78</v>
      </c>
      <c r="J179" s="32">
        <f t="shared" si="23"/>
        <v>4.0999719180006E-3</v>
      </c>
      <c r="K179">
        <v>36.979999999999997</v>
      </c>
      <c r="L179" s="32">
        <f t="shared" si="24"/>
        <v>-9.6411355115160191E-3</v>
      </c>
      <c r="M179" s="16"/>
      <c r="N179" s="32"/>
      <c r="O179" s="16"/>
      <c r="Q179" s="16"/>
    </row>
    <row r="180" spans="2:17" hidden="1" outlineLevel="1" x14ac:dyDescent="0.3">
      <c r="B180" s="34">
        <v>44857</v>
      </c>
      <c r="C180" s="35">
        <v>14795.6</v>
      </c>
      <c r="D180" s="32">
        <f t="shared" si="20"/>
        <v>6.3117229371276729E-3</v>
      </c>
      <c r="E180">
        <v>60.76</v>
      </c>
      <c r="F180" s="32">
        <f t="shared" si="21"/>
        <v>2.531218359770504E-2</v>
      </c>
      <c r="G180">
        <v>46.77</v>
      </c>
      <c r="H180" s="32">
        <f t="shared" si="22"/>
        <v>-4.4925464570144902E-2</v>
      </c>
      <c r="I180">
        <v>182.23</v>
      </c>
      <c r="J180" s="32">
        <f t="shared" si="23"/>
        <v>1.9297460566058744E-2</v>
      </c>
      <c r="K180">
        <v>39.549999999999997</v>
      </c>
      <c r="L180" s="32">
        <f t="shared" si="24"/>
        <v>6.9497025419145597E-2</v>
      </c>
      <c r="M180" s="16"/>
      <c r="N180" s="32"/>
      <c r="O180" s="16"/>
      <c r="Q180" s="16"/>
    </row>
    <row r="181" spans="2:17" hidden="1" outlineLevel="1" x14ac:dyDescent="0.3">
      <c r="B181" s="34">
        <v>44850</v>
      </c>
      <c r="C181" s="35">
        <v>14144</v>
      </c>
      <c r="D181" s="32">
        <f t="shared" si="20"/>
        <v>-4.4040120035686359E-2</v>
      </c>
      <c r="E181">
        <v>55.96</v>
      </c>
      <c r="F181" s="32">
        <f t="shared" si="21"/>
        <v>-7.8999341672152723E-2</v>
      </c>
      <c r="G181">
        <v>43.79</v>
      </c>
      <c r="H181" s="32">
        <f t="shared" si="22"/>
        <v>-6.3716057301689166E-2</v>
      </c>
      <c r="I181">
        <v>173.06</v>
      </c>
      <c r="J181" s="32">
        <f t="shared" si="23"/>
        <v>-5.0321022883169531E-2</v>
      </c>
      <c r="K181">
        <v>37.619999999999997</v>
      </c>
      <c r="L181" s="32">
        <f t="shared" si="24"/>
        <v>-4.8798988621997497E-2</v>
      </c>
      <c r="M181" s="16"/>
      <c r="N181" s="32"/>
      <c r="O181" s="16"/>
      <c r="Q181" s="16"/>
    </row>
    <row r="182" spans="2:17" hidden="1" outlineLevel="1" x14ac:dyDescent="0.3">
      <c r="B182" s="34">
        <v>44843</v>
      </c>
      <c r="C182" s="35">
        <v>13607.3</v>
      </c>
      <c r="D182" s="32">
        <f t="shared" si="20"/>
        <v>-3.7945418552036259E-2</v>
      </c>
      <c r="E182">
        <v>54.98</v>
      </c>
      <c r="F182" s="32">
        <f t="shared" si="21"/>
        <v>-1.7512508934953597E-2</v>
      </c>
      <c r="G182">
        <v>43.7</v>
      </c>
      <c r="H182" s="32">
        <f t="shared" si="22"/>
        <v>-2.055263758849013E-3</v>
      </c>
      <c r="I182">
        <v>170.19</v>
      </c>
      <c r="J182" s="32">
        <f t="shared" si="23"/>
        <v>-1.6583843753611438E-2</v>
      </c>
      <c r="K182">
        <v>37.33</v>
      </c>
      <c r="L182" s="32">
        <f t="shared" si="24"/>
        <v>-7.7086656034024426E-3</v>
      </c>
      <c r="M182" s="16"/>
      <c r="N182" s="32"/>
      <c r="O182" s="16"/>
      <c r="Q182" s="16"/>
    </row>
    <row r="183" spans="2:17" hidden="1" outlineLevel="1" x14ac:dyDescent="0.3">
      <c r="B183" s="34">
        <v>44836</v>
      </c>
      <c r="C183" s="35">
        <v>13798.3</v>
      </c>
      <c r="D183" s="32">
        <f t="shared" si="20"/>
        <v>1.403658330454971E-2</v>
      </c>
      <c r="E183">
        <v>54.51</v>
      </c>
      <c r="F183" s="32">
        <f t="shared" si="21"/>
        <v>-8.5485631138595419E-3</v>
      </c>
      <c r="G183">
        <v>45.15</v>
      </c>
      <c r="H183" s="32">
        <f t="shared" si="22"/>
        <v>3.3180778032036562E-2</v>
      </c>
      <c r="I183">
        <v>161.61000000000001</v>
      </c>
      <c r="J183" s="32">
        <f t="shared" si="23"/>
        <v>-5.0414242904988416E-2</v>
      </c>
      <c r="K183">
        <v>36.5</v>
      </c>
      <c r="L183" s="32">
        <f t="shared" si="24"/>
        <v>-2.2234128047146973E-2</v>
      </c>
      <c r="M183" s="16"/>
      <c r="N183" s="32"/>
      <c r="O183" s="16"/>
      <c r="Q183" s="16"/>
    </row>
    <row r="184" spans="2:17" hidden="1" outlineLevel="1" x14ac:dyDescent="0.3">
      <c r="B184" s="34">
        <v>44829</v>
      </c>
      <c r="C184" s="35">
        <v>13472.2</v>
      </c>
      <c r="D184" s="32">
        <f t="shared" si="20"/>
        <v>-2.363334613684287E-2</v>
      </c>
      <c r="E184">
        <v>56.02</v>
      </c>
      <c r="F184" s="32">
        <f t="shared" si="21"/>
        <v>2.77013392038159E-2</v>
      </c>
      <c r="G184">
        <v>43.48</v>
      </c>
      <c r="H184" s="32">
        <f t="shared" si="22"/>
        <v>-3.6987818383167226E-2</v>
      </c>
      <c r="I184">
        <v>163.26</v>
      </c>
      <c r="J184" s="32">
        <f t="shared" si="23"/>
        <v>1.0209764247261832E-2</v>
      </c>
      <c r="K184">
        <v>35.82</v>
      </c>
      <c r="L184" s="32">
        <f t="shared" si="24"/>
        <v>-1.8630136986301338E-2</v>
      </c>
      <c r="M184" s="16"/>
      <c r="N184" s="32"/>
      <c r="O184" s="16"/>
      <c r="Q184" s="16"/>
    </row>
    <row r="185" spans="2:17" hidden="1" outlineLevel="1" x14ac:dyDescent="0.3">
      <c r="B185" s="34">
        <v>44822</v>
      </c>
      <c r="C185" s="35">
        <v>13797</v>
      </c>
      <c r="D185" s="32">
        <f t="shared" si="20"/>
        <v>2.410890574664859E-2</v>
      </c>
      <c r="E185">
        <v>58.6</v>
      </c>
      <c r="F185" s="32">
        <f t="shared" si="21"/>
        <v>4.6054980364155673E-2</v>
      </c>
      <c r="G185">
        <v>43.54</v>
      </c>
      <c r="H185" s="32">
        <f t="shared" si="22"/>
        <v>1.3799448022080441E-3</v>
      </c>
      <c r="I185">
        <v>168.52</v>
      </c>
      <c r="J185" s="32">
        <f t="shared" si="23"/>
        <v>3.2218547102780937E-2</v>
      </c>
      <c r="K185">
        <v>37.08</v>
      </c>
      <c r="L185" s="32">
        <f t="shared" si="24"/>
        <v>3.5175879396984966E-2</v>
      </c>
      <c r="M185" s="16"/>
      <c r="N185" s="32"/>
      <c r="O185" s="16"/>
      <c r="Q185" s="16"/>
    </row>
    <row r="186" spans="2:17" hidden="1" outlineLevel="1" x14ac:dyDescent="0.3">
      <c r="B186" s="34">
        <v>44815</v>
      </c>
      <c r="C186" s="35">
        <v>14573.9</v>
      </c>
      <c r="D186" s="32">
        <f t="shared" si="20"/>
        <v>5.630934261071241E-2</v>
      </c>
      <c r="E186">
        <v>59.54</v>
      </c>
      <c r="F186" s="32">
        <f t="shared" si="21"/>
        <v>1.6040955631399179E-2</v>
      </c>
      <c r="G186">
        <v>43.62</v>
      </c>
      <c r="H186" s="32">
        <f t="shared" si="22"/>
        <v>1.8373909049149706E-3</v>
      </c>
      <c r="I186">
        <v>166.97</v>
      </c>
      <c r="J186" s="32">
        <f t="shared" si="23"/>
        <v>-9.1977213387135492E-3</v>
      </c>
      <c r="K186">
        <v>37.17</v>
      </c>
      <c r="L186" s="32">
        <f t="shared" si="24"/>
        <v>2.4271844660195274E-3</v>
      </c>
      <c r="M186" s="16"/>
      <c r="N186" s="32"/>
      <c r="O186" s="16"/>
      <c r="Q186" s="16"/>
    </row>
    <row r="187" spans="2:17" hidden="1" outlineLevel="1" x14ac:dyDescent="0.3">
      <c r="B187" s="34">
        <v>44808</v>
      </c>
      <c r="C187" s="35">
        <v>15190.8</v>
      </c>
      <c r="D187" s="32">
        <f t="shared" si="20"/>
        <v>4.2329095163271324E-2</v>
      </c>
      <c r="E187">
        <v>62.32</v>
      </c>
      <c r="F187" s="32">
        <f t="shared" si="21"/>
        <v>4.6691299966409083E-2</v>
      </c>
      <c r="G187">
        <v>46.22</v>
      </c>
      <c r="H187" s="32">
        <f t="shared" si="22"/>
        <v>5.9605685465382807E-2</v>
      </c>
      <c r="I187">
        <v>173.22</v>
      </c>
      <c r="J187" s="32">
        <f t="shared" si="23"/>
        <v>3.7431873989339337E-2</v>
      </c>
      <c r="K187">
        <v>38.69</v>
      </c>
      <c r="L187" s="32">
        <f t="shared" si="24"/>
        <v>4.08931934355663E-2</v>
      </c>
      <c r="M187" s="16"/>
      <c r="N187" s="32"/>
      <c r="O187" s="16"/>
      <c r="Q187" s="16"/>
    </row>
    <row r="188" spans="2:17" hidden="1" outlineLevel="1" x14ac:dyDescent="0.3">
      <c r="B188" s="34">
        <v>44801</v>
      </c>
      <c r="C188" s="35">
        <v>14689.5</v>
      </c>
      <c r="D188" s="32">
        <f t="shared" si="20"/>
        <v>-3.3000236985543885E-2</v>
      </c>
      <c r="E188">
        <v>61.15</v>
      </c>
      <c r="F188" s="32">
        <f t="shared" si="21"/>
        <v>-1.8774069319640541E-2</v>
      </c>
      <c r="G188">
        <v>44.19</v>
      </c>
      <c r="H188" s="32">
        <f t="shared" si="22"/>
        <v>-4.3920380787537905E-2</v>
      </c>
      <c r="I188">
        <v>170.66</v>
      </c>
      <c r="J188" s="32">
        <f t="shared" si="23"/>
        <v>-1.477889389216025E-2</v>
      </c>
      <c r="K188">
        <v>37.83</v>
      </c>
      <c r="L188" s="32">
        <f t="shared" si="24"/>
        <v>-2.2227965882656964E-2</v>
      </c>
      <c r="M188" s="16"/>
      <c r="N188" s="32"/>
      <c r="O188" s="16"/>
      <c r="Q188" s="16"/>
    </row>
    <row r="189" spans="2:17" hidden="1" outlineLevel="1" x14ac:dyDescent="0.3">
      <c r="B189" s="34">
        <v>44794</v>
      </c>
      <c r="C189" s="35">
        <v>15178.2</v>
      </c>
      <c r="D189" s="32">
        <f t="shared" si="20"/>
        <v>3.3268661288675672E-2</v>
      </c>
      <c r="E189">
        <v>63.11</v>
      </c>
      <c r="F189" s="32">
        <f t="shared" si="21"/>
        <v>3.205233033524113E-2</v>
      </c>
      <c r="G189">
        <v>44.58</v>
      </c>
      <c r="H189" s="32">
        <f t="shared" si="22"/>
        <v>8.8255261371350535E-3</v>
      </c>
      <c r="I189">
        <v>175.04</v>
      </c>
      <c r="J189" s="32">
        <f t="shared" si="23"/>
        <v>2.5665065041603263E-2</v>
      </c>
      <c r="K189">
        <v>38.619999999999997</v>
      </c>
      <c r="L189" s="32">
        <f t="shared" si="24"/>
        <v>2.0882897171556891E-2</v>
      </c>
      <c r="M189" s="16"/>
      <c r="N189" s="32"/>
      <c r="O189" s="16"/>
      <c r="Q189" s="16"/>
    </row>
    <row r="190" spans="2:17" hidden="1" outlineLevel="1" x14ac:dyDescent="0.3">
      <c r="B190" s="34">
        <v>44787</v>
      </c>
      <c r="C190" s="35">
        <v>15588.3</v>
      </c>
      <c r="D190" s="32">
        <f t="shared" si="20"/>
        <v>2.7019014112345197E-2</v>
      </c>
      <c r="E190">
        <v>65.17</v>
      </c>
      <c r="F190" s="32">
        <f t="shared" si="21"/>
        <v>3.2641419743305367E-2</v>
      </c>
      <c r="G190">
        <v>45.29</v>
      </c>
      <c r="H190" s="32">
        <f t="shared" si="22"/>
        <v>1.5926424405563022E-2</v>
      </c>
      <c r="I190">
        <v>180.17</v>
      </c>
      <c r="J190" s="32">
        <f t="shared" si="23"/>
        <v>2.9307586837294286E-2</v>
      </c>
      <c r="K190">
        <v>39.96</v>
      </c>
      <c r="L190" s="32">
        <f t="shared" si="24"/>
        <v>3.4697048161574484E-2</v>
      </c>
      <c r="M190" s="16"/>
      <c r="N190" s="32"/>
      <c r="O190" s="16"/>
      <c r="Q190" s="16"/>
    </row>
    <row r="191" spans="2:17" hidden="1" outlineLevel="1" x14ac:dyDescent="0.3">
      <c r="B191" s="34">
        <v>44780</v>
      </c>
      <c r="C191" s="35">
        <v>15804.4</v>
      </c>
      <c r="D191" s="32">
        <f t="shared" si="20"/>
        <v>1.3862961323556799E-2</v>
      </c>
      <c r="E191">
        <v>63.7</v>
      </c>
      <c r="F191" s="32">
        <f t="shared" si="21"/>
        <v>-2.2556390977443552E-2</v>
      </c>
      <c r="G191">
        <v>45.01</v>
      </c>
      <c r="H191" s="32">
        <f t="shared" si="22"/>
        <v>-6.1823802163832875E-3</v>
      </c>
      <c r="I191">
        <v>177.33</v>
      </c>
      <c r="J191" s="32">
        <f t="shared" si="23"/>
        <v>-1.5762890603318924E-2</v>
      </c>
      <c r="K191">
        <v>39.299999999999997</v>
      </c>
      <c r="L191" s="32">
        <f t="shared" si="24"/>
        <v>-1.6516516516516644E-2</v>
      </c>
      <c r="M191" s="16"/>
      <c r="N191" s="32"/>
      <c r="O191" s="16"/>
      <c r="Q191" s="16"/>
    </row>
    <row r="192" spans="2:17" hidden="1" outlineLevel="1" x14ac:dyDescent="0.3">
      <c r="B192" s="34">
        <v>44773</v>
      </c>
      <c r="C192" s="35">
        <v>15273.2</v>
      </c>
      <c r="D192" s="32">
        <f t="shared" si="20"/>
        <v>-3.3610893168990796E-2</v>
      </c>
      <c r="E192">
        <v>63.38</v>
      </c>
      <c r="F192" s="32">
        <f t="shared" si="21"/>
        <v>-5.0235478806907041E-3</v>
      </c>
      <c r="G192">
        <v>45.69</v>
      </c>
      <c r="H192" s="32">
        <f t="shared" si="22"/>
        <v>1.5107753832481752E-2</v>
      </c>
      <c r="I192">
        <v>174.55</v>
      </c>
      <c r="J192" s="32">
        <f t="shared" si="23"/>
        <v>-1.5676986409518978E-2</v>
      </c>
      <c r="K192">
        <v>38.72</v>
      </c>
      <c r="L192" s="32">
        <f t="shared" si="24"/>
        <v>-1.4758269720101747E-2</v>
      </c>
      <c r="M192" s="16"/>
      <c r="N192" s="32"/>
      <c r="O192" s="16"/>
      <c r="Q192" s="16"/>
    </row>
    <row r="193" spans="2:17" hidden="1" outlineLevel="1" x14ac:dyDescent="0.3">
      <c r="B193" s="34">
        <v>44766</v>
      </c>
      <c r="C193" s="35">
        <v>15327.7</v>
      </c>
      <c r="D193" s="32">
        <f t="shared" si="20"/>
        <v>3.5683419322736221E-3</v>
      </c>
      <c r="E193">
        <v>64.17</v>
      </c>
      <c r="F193" s="32">
        <f t="shared" si="21"/>
        <v>1.2464499842221421E-2</v>
      </c>
      <c r="G193">
        <v>49.81</v>
      </c>
      <c r="H193" s="32">
        <f t="shared" si="22"/>
        <v>9.0172904355438899E-2</v>
      </c>
      <c r="I193">
        <v>174.96</v>
      </c>
      <c r="J193" s="32">
        <f t="shared" si="23"/>
        <v>2.3488971641363321E-3</v>
      </c>
      <c r="K193">
        <v>38.74</v>
      </c>
      <c r="L193" s="32">
        <f t="shared" si="24"/>
        <v>5.1652892561993013E-4</v>
      </c>
      <c r="M193" s="16"/>
      <c r="N193" s="32"/>
      <c r="O193" s="16"/>
      <c r="Q193" s="16"/>
    </row>
    <row r="194" spans="2:17" hidden="1" outlineLevel="1" x14ac:dyDescent="0.3">
      <c r="B194" s="34">
        <v>44759</v>
      </c>
      <c r="C194" s="35">
        <v>14790.8</v>
      </c>
      <c r="D194" s="32">
        <f t="shared" si="20"/>
        <v>-3.5028086405657799E-2</v>
      </c>
      <c r="E194">
        <v>61.59</v>
      </c>
      <c r="F194" s="32">
        <f t="shared" si="21"/>
        <v>-4.0205703599813014E-2</v>
      </c>
      <c r="G194">
        <v>47.53</v>
      </c>
      <c r="H194" s="32">
        <f t="shared" si="22"/>
        <v>-4.577394097570775E-2</v>
      </c>
      <c r="I194">
        <v>169.61</v>
      </c>
      <c r="J194" s="32">
        <f t="shared" si="23"/>
        <v>-3.0578417924096879E-2</v>
      </c>
      <c r="K194">
        <v>36.43</v>
      </c>
      <c r="L194" s="32">
        <f t="shared" si="24"/>
        <v>-5.9628291171915371E-2</v>
      </c>
      <c r="M194" s="16"/>
      <c r="N194" s="32"/>
      <c r="O194" s="16"/>
      <c r="Q194" s="16"/>
    </row>
    <row r="195" spans="2:17" hidden="1" outlineLevel="1" x14ac:dyDescent="0.3">
      <c r="B195" s="34">
        <v>44752</v>
      </c>
      <c r="C195" s="35">
        <v>14449.7</v>
      </c>
      <c r="D195" s="32">
        <f t="shared" si="20"/>
        <v>-2.3061632906942076E-2</v>
      </c>
      <c r="E195">
        <v>62.5</v>
      </c>
      <c r="F195" s="32">
        <f t="shared" si="21"/>
        <v>1.4775125832115599E-2</v>
      </c>
      <c r="G195">
        <v>48.58</v>
      </c>
      <c r="H195" s="32">
        <f t="shared" si="22"/>
        <v>2.2091310751104487E-2</v>
      </c>
      <c r="I195">
        <v>171.12</v>
      </c>
      <c r="J195" s="32">
        <f t="shared" si="23"/>
        <v>8.9027769589056227E-3</v>
      </c>
      <c r="K195">
        <v>36.630000000000003</v>
      </c>
      <c r="L195" s="32">
        <f t="shared" si="24"/>
        <v>5.4899807850672389E-3</v>
      </c>
      <c r="M195" s="16"/>
      <c r="N195" s="32"/>
      <c r="O195" s="16"/>
      <c r="Q195" s="16"/>
    </row>
    <row r="196" spans="2:17" hidden="1" outlineLevel="1" x14ac:dyDescent="0.3">
      <c r="B196" s="34">
        <v>44745</v>
      </c>
      <c r="C196" s="35">
        <v>14642.3</v>
      </c>
      <c r="D196" s="32">
        <f t="shared" si="20"/>
        <v>1.3328996449753161E-2</v>
      </c>
      <c r="E196">
        <v>63.14</v>
      </c>
      <c r="F196" s="32">
        <f t="shared" si="21"/>
        <v>1.0240000000000027E-2</v>
      </c>
      <c r="G196">
        <v>48.74</v>
      </c>
      <c r="H196" s="32">
        <f t="shared" si="22"/>
        <v>3.2935364347468354E-3</v>
      </c>
      <c r="I196">
        <v>171.88</v>
      </c>
      <c r="J196" s="32">
        <f t="shared" si="23"/>
        <v>4.4413277232351334E-3</v>
      </c>
      <c r="K196">
        <v>36.200000000000003</v>
      </c>
      <c r="L196" s="32">
        <f t="shared" si="24"/>
        <v>-1.1739011739011707E-2</v>
      </c>
      <c r="M196" s="16"/>
      <c r="N196" s="32"/>
      <c r="O196" s="16"/>
      <c r="Q196" s="16"/>
    </row>
    <row r="197" spans="2:17" hidden="1" outlineLevel="1" x14ac:dyDescent="0.3">
      <c r="B197" s="34">
        <v>44738</v>
      </c>
      <c r="C197" s="35">
        <v>14636.8</v>
      </c>
      <c r="D197" s="32">
        <f t="shared" si="20"/>
        <v>-3.7562404813451522E-4</v>
      </c>
      <c r="E197">
        <v>64.38</v>
      </c>
      <c r="F197" s="32">
        <f t="shared" si="21"/>
        <v>1.9638897687678014E-2</v>
      </c>
      <c r="G197">
        <v>47.29</v>
      </c>
      <c r="H197" s="32">
        <f t="shared" si="22"/>
        <v>-2.9749692244563031E-2</v>
      </c>
      <c r="I197">
        <v>169.39</v>
      </c>
      <c r="J197" s="32">
        <f t="shared" si="23"/>
        <v>-1.4486851291598879E-2</v>
      </c>
      <c r="K197">
        <v>36.07</v>
      </c>
      <c r="L197" s="32">
        <f t="shared" si="24"/>
        <v>-3.5911602209945936E-3</v>
      </c>
      <c r="M197" s="16"/>
      <c r="N197" s="32"/>
      <c r="O197" s="16"/>
      <c r="Q197" s="16"/>
    </row>
    <row r="198" spans="2:17" hidden="1" outlineLevel="1" x14ac:dyDescent="0.3">
      <c r="B198" s="34">
        <v>44731</v>
      </c>
      <c r="C198" s="35">
        <v>14811.5</v>
      </c>
      <c r="D198" s="32">
        <f t="shared" si="20"/>
        <v>1.1935668998688254E-2</v>
      </c>
      <c r="E198">
        <v>63.04</v>
      </c>
      <c r="F198" s="32">
        <f t="shared" si="21"/>
        <v>-2.0813917365641421E-2</v>
      </c>
      <c r="G198">
        <v>47.29</v>
      </c>
      <c r="H198" s="32">
        <f t="shared" si="22"/>
        <v>0</v>
      </c>
      <c r="I198">
        <v>166.13</v>
      </c>
      <c r="J198" s="32">
        <f t="shared" si="23"/>
        <v>-1.9245528071314633E-2</v>
      </c>
      <c r="K198">
        <v>35.76</v>
      </c>
      <c r="L198" s="32">
        <f t="shared" si="24"/>
        <v>-8.5943997782090831E-3</v>
      </c>
      <c r="M198" s="16"/>
      <c r="N198" s="32"/>
      <c r="O198" s="16"/>
      <c r="Q198" s="16"/>
    </row>
    <row r="199" spans="2:17" hidden="1" outlineLevel="1" x14ac:dyDescent="0.3">
      <c r="B199" s="34">
        <v>44724</v>
      </c>
      <c r="C199" s="35">
        <v>14097</v>
      </c>
      <c r="D199" s="32">
        <f t="shared" si="20"/>
        <v>-4.8239543597880075E-2</v>
      </c>
      <c r="E199">
        <v>59.43</v>
      </c>
      <c r="F199" s="32">
        <f t="shared" si="21"/>
        <v>-5.726522842639592E-2</v>
      </c>
      <c r="G199">
        <v>44.06</v>
      </c>
      <c r="H199" s="32">
        <f t="shared" si="22"/>
        <v>-6.8301966589130791E-2</v>
      </c>
      <c r="I199">
        <v>157.06</v>
      </c>
      <c r="J199" s="32">
        <f t="shared" si="23"/>
        <v>-5.4595798471076873E-2</v>
      </c>
      <c r="K199">
        <v>34.35</v>
      </c>
      <c r="L199" s="32">
        <f t="shared" si="24"/>
        <v>-3.9429530201342211E-2</v>
      </c>
      <c r="M199" s="16"/>
      <c r="N199" s="32"/>
      <c r="O199" s="16"/>
      <c r="Q199" s="16"/>
    </row>
    <row r="200" spans="2:17" hidden="1" outlineLevel="1" x14ac:dyDescent="0.3">
      <c r="B200" s="34">
        <v>44717</v>
      </c>
      <c r="C200" s="35">
        <v>15096.7</v>
      </c>
      <c r="D200" s="32">
        <f t="shared" si="20"/>
        <v>7.0915797687451265E-2</v>
      </c>
      <c r="E200">
        <v>61.41</v>
      </c>
      <c r="F200" s="32">
        <f t="shared" si="21"/>
        <v>3.3316506814740077E-2</v>
      </c>
      <c r="G200">
        <v>43.52</v>
      </c>
      <c r="H200" s="32">
        <f t="shared" si="22"/>
        <v>-1.2256014525646841E-2</v>
      </c>
      <c r="I200">
        <v>162.52000000000001</v>
      </c>
      <c r="J200" s="32">
        <f t="shared" si="23"/>
        <v>3.4763784540939868E-2</v>
      </c>
      <c r="K200">
        <v>35.49</v>
      </c>
      <c r="L200" s="32">
        <f t="shared" si="24"/>
        <v>3.3187772925764136E-2</v>
      </c>
      <c r="M200" s="16"/>
      <c r="N200" s="32"/>
      <c r="O200" s="16"/>
      <c r="Q200" s="16"/>
    </row>
    <row r="201" spans="2:17" hidden="1" outlineLevel="1" x14ac:dyDescent="0.3">
      <c r="B201" s="34">
        <v>44710</v>
      </c>
      <c r="C201" s="35">
        <v>15797.2</v>
      </c>
      <c r="D201" s="32">
        <f t="shared" si="20"/>
        <v>4.6400869064100014E-2</v>
      </c>
      <c r="E201">
        <v>62.97</v>
      </c>
      <c r="F201" s="32">
        <f t="shared" si="21"/>
        <v>2.5403028822667428E-2</v>
      </c>
      <c r="G201">
        <v>44.42</v>
      </c>
      <c r="H201" s="32">
        <f t="shared" si="22"/>
        <v>2.0680147058823595E-2</v>
      </c>
      <c r="I201">
        <v>164.85</v>
      </c>
      <c r="J201" s="32">
        <f t="shared" si="23"/>
        <v>1.4336697021904987E-2</v>
      </c>
      <c r="K201">
        <v>34.93</v>
      </c>
      <c r="L201" s="32">
        <f t="shared" si="24"/>
        <v>-1.5779092702169706E-2</v>
      </c>
      <c r="M201" s="16"/>
      <c r="N201" s="32"/>
      <c r="O201" s="16"/>
      <c r="Q201" s="16"/>
    </row>
    <row r="202" spans="2:17" hidden="1" outlineLevel="1" x14ac:dyDescent="0.3">
      <c r="B202" s="34">
        <v>44703</v>
      </c>
      <c r="C202" s="35">
        <v>15942.6</v>
      </c>
      <c r="D202" s="32">
        <f t="shared" ref="D202:D265" si="25">C202/C201-1</f>
        <v>9.204162763021273E-3</v>
      </c>
      <c r="E202">
        <v>64.680000000000007</v>
      </c>
      <c r="F202" s="32">
        <f t="shared" ref="F202:F265" si="26">E202/E201-1</f>
        <v>2.7155788470700548E-2</v>
      </c>
      <c r="G202">
        <v>44.83</v>
      </c>
      <c r="H202" s="32">
        <f t="shared" ref="H202:H265" si="27">G202/G201-1</f>
        <v>9.2300765420980646E-3</v>
      </c>
      <c r="I202">
        <v>171.77</v>
      </c>
      <c r="J202" s="32">
        <f t="shared" ref="J202:J265" si="28">I202/I201-1</f>
        <v>4.1977555353351681E-2</v>
      </c>
      <c r="K202">
        <v>35.18</v>
      </c>
      <c r="L202" s="32">
        <f t="shared" ref="L202:L265" si="29">K202/K201-1</f>
        <v>7.1571714858287283E-3</v>
      </c>
      <c r="M202" s="16"/>
      <c r="N202" s="32"/>
      <c r="O202" s="16"/>
      <c r="Q202" s="16"/>
    </row>
    <row r="203" spans="2:17" hidden="1" outlineLevel="1" x14ac:dyDescent="0.3">
      <c r="B203" s="34">
        <v>44696</v>
      </c>
      <c r="C203" s="35">
        <v>15081</v>
      </c>
      <c r="D203" s="32">
        <f t="shared" si="25"/>
        <v>-5.4043882428211232E-2</v>
      </c>
      <c r="E203">
        <v>60.98</v>
      </c>
      <c r="F203" s="32">
        <f t="shared" si="26"/>
        <v>-5.7204700061843083E-2</v>
      </c>
      <c r="G203">
        <v>43.81</v>
      </c>
      <c r="H203" s="32">
        <f t="shared" si="27"/>
        <v>-2.275262101271458E-2</v>
      </c>
      <c r="I203">
        <v>162.21</v>
      </c>
      <c r="J203" s="32">
        <f t="shared" si="28"/>
        <v>-5.5655818827501924E-2</v>
      </c>
      <c r="K203">
        <v>34.58</v>
      </c>
      <c r="L203" s="32">
        <f t="shared" si="29"/>
        <v>-1.7055144968732283E-2</v>
      </c>
      <c r="M203" s="16"/>
      <c r="N203" s="32"/>
      <c r="O203" s="16"/>
      <c r="Q203" s="16"/>
    </row>
    <row r="204" spans="2:17" hidden="1" outlineLevel="1" x14ac:dyDescent="0.3">
      <c r="B204" s="34">
        <v>44689</v>
      </c>
      <c r="C204" s="35">
        <v>15257.4</v>
      </c>
      <c r="D204" s="32">
        <f t="shared" si="25"/>
        <v>1.1696837079769207E-2</v>
      </c>
      <c r="E204">
        <v>65.72</v>
      </c>
      <c r="F204" s="32">
        <f t="shared" si="26"/>
        <v>7.7730403410954496E-2</v>
      </c>
      <c r="G204">
        <v>44.44</v>
      </c>
      <c r="H204" s="32">
        <f t="shared" si="27"/>
        <v>1.4380278475233821E-2</v>
      </c>
      <c r="I204">
        <v>173.72</v>
      </c>
      <c r="J204" s="32">
        <f t="shared" si="28"/>
        <v>7.0957400900067746E-2</v>
      </c>
      <c r="K204">
        <v>37.21</v>
      </c>
      <c r="L204" s="32">
        <f t="shared" si="29"/>
        <v>7.6055523423944615E-2</v>
      </c>
      <c r="M204" s="16"/>
      <c r="N204" s="32"/>
      <c r="O204" s="16"/>
      <c r="Q204" s="16"/>
    </row>
    <row r="205" spans="2:17" hidden="1" outlineLevel="1" x14ac:dyDescent="0.3">
      <c r="B205" s="34">
        <v>44682</v>
      </c>
      <c r="C205" s="35">
        <v>15566.6</v>
      </c>
      <c r="D205" s="32">
        <f t="shared" si="25"/>
        <v>2.0265576048343892E-2</v>
      </c>
      <c r="E205">
        <v>64.739999999999995</v>
      </c>
      <c r="F205" s="32">
        <f t="shared" si="26"/>
        <v>-1.4911746804625703E-2</v>
      </c>
      <c r="G205">
        <v>43.33</v>
      </c>
      <c r="H205" s="32">
        <f t="shared" si="27"/>
        <v>-2.4977497749774979E-2</v>
      </c>
      <c r="I205">
        <v>170.41</v>
      </c>
      <c r="J205" s="32">
        <f t="shared" si="28"/>
        <v>-1.9053649551001639E-2</v>
      </c>
      <c r="K205">
        <v>36.96</v>
      </c>
      <c r="L205" s="32">
        <f t="shared" si="29"/>
        <v>-6.71862402579948E-3</v>
      </c>
      <c r="M205" s="16"/>
      <c r="N205" s="32"/>
      <c r="O205" s="16"/>
      <c r="Q205" s="16"/>
    </row>
    <row r="206" spans="2:17" hidden="1" outlineLevel="1" x14ac:dyDescent="0.3">
      <c r="B206" s="34">
        <v>44675</v>
      </c>
      <c r="C206" s="35">
        <v>15615.2</v>
      </c>
      <c r="D206" s="32">
        <f t="shared" si="25"/>
        <v>3.1220690452635758E-3</v>
      </c>
      <c r="E206">
        <v>64.61</v>
      </c>
      <c r="F206" s="32">
        <f t="shared" si="26"/>
        <v>-2.0080321285139702E-3</v>
      </c>
      <c r="G206">
        <v>42.84</v>
      </c>
      <c r="H206" s="32">
        <f t="shared" si="27"/>
        <v>-1.1308562197091976E-2</v>
      </c>
      <c r="I206">
        <v>171.71</v>
      </c>
      <c r="J206" s="32">
        <f t="shared" si="28"/>
        <v>7.6286602898891775E-3</v>
      </c>
      <c r="K206">
        <v>37.4</v>
      </c>
      <c r="L206" s="32">
        <f t="shared" si="29"/>
        <v>1.1904761904761862E-2</v>
      </c>
      <c r="M206" s="16"/>
      <c r="N206" s="32"/>
      <c r="O206" s="16"/>
      <c r="Q206" s="16"/>
    </row>
    <row r="207" spans="2:17" hidden="1" outlineLevel="1" x14ac:dyDescent="0.3">
      <c r="B207" s="34">
        <v>44668</v>
      </c>
      <c r="C207" s="35">
        <v>16056.9</v>
      </c>
      <c r="D207" s="32">
        <f t="shared" si="25"/>
        <v>2.8286541318714997E-2</v>
      </c>
      <c r="E207">
        <v>65.25</v>
      </c>
      <c r="F207" s="32">
        <f t="shared" si="26"/>
        <v>9.9055873703761677E-3</v>
      </c>
      <c r="G207">
        <v>42.83</v>
      </c>
      <c r="H207" s="32">
        <f t="shared" si="27"/>
        <v>-2.334267040150495E-4</v>
      </c>
      <c r="I207">
        <v>172.15</v>
      </c>
      <c r="J207" s="32">
        <f t="shared" si="28"/>
        <v>2.5624599615630128E-3</v>
      </c>
      <c r="K207">
        <v>37</v>
      </c>
      <c r="L207" s="32">
        <f t="shared" si="29"/>
        <v>-1.0695187165775333E-2</v>
      </c>
      <c r="M207" s="16"/>
      <c r="N207" s="32"/>
      <c r="O207" s="16"/>
      <c r="Q207" s="16"/>
    </row>
    <row r="208" spans="2:17" hidden="1" outlineLevel="1" x14ac:dyDescent="0.3">
      <c r="B208" s="34">
        <v>44661</v>
      </c>
      <c r="C208" s="35">
        <v>16511.5</v>
      </c>
      <c r="D208" s="32">
        <f t="shared" si="25"/>
        <v>2.8311816103980147E-2</v>
      </c>
      <c r="E208">
        <v>65.02</v>
      </c>
      <c r="F208" s="32">
        <f t="shared" si="26"/>
        <v>-3.5249042145594212E-3</v>
      </c>
      <c r="G208">
        <v>41.29</v>
      </c>
      <c r="H208" s="32">
        <f t="shared" si="27"/>
        <v>-3.595610553350459E-2</v>
      </c>
      <c r="I208">
        <v>171.9</v>
      </c>
      <c r="J208" s="32">
        <f t="shared" si="28"/>
        <v>-1.452221899506223E-3</v>
      </c>
      <c r="K208">
        <v>37.24</v>
      </c>
      <c r="L208" s="32">
        <f t="shared" si="29"/>
        <v>6.4864864864866423E-3</v>
      </c>
      <c r="M208" s="16"/>
      <c r="N208" s="32"/>
      <c r="O208" s="16"/>
      <c r="Q208" s="16"/>
    </row>
    <row r="209" spans="2:17" hidden="1" outlineLevel="1" x14ac:dyDescent="0.3">
      <c r="B209" s="34">
        <v>44654</v>
      </c>
      <c r="C209" s="35">
        <v>16690</v>
      </c>
      <c r="D209" s="32">
        <f t="shared" si="25"/>
        <v>1.0810647124731343E-2</v>
      </c>
      <c r="E209">
        <v>63.83</v>
      </c>
      <c r="F209" s="32">
        <f t="shared" si="26"/>
        <v>-1.8302060904337059E-2</v>
      </c>
      <c r="G209">
        <v>40.81</v>
      </c>
      <c r="H209" s="32">
        <f t="shared" si="27"/>
        <v>-1.1625090821021922E-2</v>
      </c>
      <c r="I209">
        <v>173.13</v>
      </c>
      <c r="J209" s="32">
        <f t="shared" si="28"/>
        <v>7.1553228621290543E-3</v>
      </c>
      <c r="K209">
        <v>37.65</v>
      </c>
      <c r="L209" s="32">
        <f t="shared" si="29"/>
        <v>1.1009667024704628E-2</v>
      </c>
      <c r="M209" s="16"/>
      <c r="N209" s="32"/>
      <c r="O209" s="16"/>
      <c r="Q209" s="16"/>
    </row>
    <row r="210" spans="2:17" hidden="1" outlineLevel="1" x14ac:dyDescent="0.3">
      <c r="B210" s="34">
        <v>44647</v>
      </c>
      <c r="C210" s="35">
        <v>16787.8</v>
      </c>
      <c r="D210" s="32">
        <f t="shared" si="25"/>
        <v>5.8597962852007246E-3</v>
      </c>
      <c r="E210">
        <v>62.87</v>
      </c>
      <c r="F210" s="32">
        <f t="shared" si="26"/>
        <v>-1.5039949866833768E-2</v>
      </c>
      <c r="G210">
        <v>41.08</v>
      </c>
      <c r="H210" s="32">
        <f t="shared" si="27"/>
        <v>6.6160254839500166E-3</v>
      </c>
      <c r="I210">
        <v>169.76</v>
      </c>
      <c r="J210" s="32">
        <f t="shared" si="28"/>
        <v>-1.9465141800958818E-2</v>
      </c>
      <c r="K210">
        <v>38.24</v>
      </c>
      <c r="L210" s="32">
        <f t="shared" si="29"/>
        <v>1.567065073041185E-2</v>
      </c>
      <c r="M210" s="16"/>
      <c r="N210" s="32"/>
      <c r="O210" s="16"/>
      <c r="Q210" s="16"/>
    </row>
    <row r="211" spans="2:17" hidden="1" outlineLevel="1" x14ac:dyDescent="0.3">
      <c r="B211" s="34">
        <v>44640</v>
      </c>
      <c r="C211" s="35">
        <v>16792.8</v>
      </c>
      <c r="D211" s="32">
        <f t="shared" si="25"/>
        <v>2.9783533280114405E-4</v>
      </c>
      <c r="E211">
        <v>61.53</v>
      </c>
      <c r="F211" s="32">
        <f t="shared" si="26"/>
        <v>-2.1313822172737362E-2</v>
      </c>
      <c r="G211">
        <v>39.35</v>
      </c>
      <c r="H211" s="32">
        <f t="shared" si="27"/>
        <v>-4.2112950340798316E-2</v>
      </c>
      <c r="I211">
        <v>165.24</v>
      </c>
      <c r="J211" s="32">
        <f t="shared" si="28"/>
        <v>-2.6625824693685129E-2</v>
      </c>
      <c r="K211">
        <v>37.58</v>
      </c>
      <c r="L211" s="32">
        <f t="shared" si="29"/>
        <v>-1.7259414225941572E-2</v>
      </c>
      <c r="M211" s="16"/>
      <c r="N211" s="32"/>
      <c r="O211" s="16"/>
      <c r="Q211" s="16"/>
    </row>
    <row r="212" spans="2:17" hidden="1" outlineLevel="1" x14ac:dyDescent="0.3">
      <c r="B212" s="34">
        <v>44633</v>
      </c>
      <c r="C212" s="35">
        <v>16612.599999999999</v>
      </c>
      <c r="D212" s="32">
        <f t="shared" si="25"/>
        <v>-1.0730789385927308E-2</v>
      </c>
      <c r="E212">
        <v>60.1</v>
      </c>
      <c r="F212" s="32">
        <f t="shared" si="26"/>
        <v>-2.3240695595644345E-2</v>
      </c>
      <c r="G212">
        <v>40.29</v>
      </c>
      <c r="H212" s="32">
        <f t="shared" si="27"/>
        <v>2.3888182973316407E-2</v>
      </c>
      <c r="I212">
        <v>162.79</v>
      </c>
      <c r="J212" s="32">
        <f t="shared" si="28"/>
        <v>-1.4826918421689816E-2</v>
      </c>
      <c r="K212">
        <v>37.81</v>
      </c>
      <c r="L212" s="32">
        <f t="shared" si="29"/>
        <v>6.1202767429484606E-3</v>
      </c>
      <c r="M212" s="16"/>
      <c r="N212" s="32"/>
      <c r="O212" s="16"/>
      <c r="Q212" s="16"/>
    </row>
    <row r="213" spans="2:17" hidden="1" outlineLevel="1" x14ac:dyDescent="0.3">
      <c r="B213" s="34">
        <v>44626</v>
      </c>
      <c r="C213" s="35">
        <v>15753.7</v>
      </c>
      <c r="D213" s="32">
        <f t="shared" si="25"/>
        <v>-5.1701720380915583E-2</v>
      </c>
      <c r="E213">
        <v>57.92</v>
      </c>
      <c r="F213" s="32">
        <f t="shared" si="26"/>
        <v>-3.6272878535773656E-2</v>
      </c>
      <c r="G213">
        <v>36.61</v>
      </c>
      <c r="H213" s="32">
        <f t="shared" si="27"/>
        <v>-9.1337800943162017E-2</v>
      </c>
      <c r="I213">
        <v>153.72999999999999</v>
      </c>
      <c r="J213" s="32">
        <f t="shared" si="28"/>
        <v>-5.565452423367534E-2</v>
      </c>
      <c r="K213">
        <v>36.81</v>
      </c>
      <c r="L213" s="32">
        <f t="shared" si="29"/>
        <v>-2.6448029621793157E-2</v>
      </c>
      <c r="M213" s="16"/>
      <c r="N213" s="32"/>
      <c r="O213" s="16"/>
      <c r="Q213" s="16"/>
    </row>
    <row r="214" spans="2:17" hidden="1" outlineLevel="1" x14ac:dyDescent="0.3">
      <c r="B214" s="34">
        <v>44619</v>
      </c>
      <c r="C214" s="35">
        <v>16129.7</v>
      </c>
      <c r="D214" s="32">
        <f t="shared" si="25"/>
        <v>2.3867408926157019E-2</v>
      </c>
      <c r="E214">
        <v>62.57</v>
      </c>
      <c r="F214" s="32">
        <f t="shared" si="26"/>
        <v>8.0283149171270773E-2</v>
      </c>
      <c r="G214">
        <v>40.659999999999997</v>
      </c>
      <c r="H214" s="32">
        <f t="shared" si="27"/>
        <v>0.11062551215514871</v>
      </c>
      <c r="I214">
        <v>165.75</v>
      </c>
      <c r="J214" s="32">
        <f t="shared" si="28"/>
        <v>7.8189032719703455E-2</v>
      </c>
      <c r="K214">
        <v>38.880000000000003</v>
      </c>
      <c r="L214" s="32">
        <f t="shared" si="29"/>
        <v>5.623471882640585E-2</v>
      </c>
      <c r="M214" s="16"/>
      <c r="N214" s="32"/>
      <c r="O214" s="16"/>
      <c r="Q214" s="16"/>
    </row>
    <row r="215" spans="2:17" hidden="1" outlineLevel="1" x14ac:dyDescent="0.3">
      <c r="B215" s="34">
        <v>44612</v>
      </c>
      <c r="C215" s="35">
        <v>16428</v>
      </c>
      <c r="D215" s="32">
        <f t="shared" si="25"/>
        <v>1.8493834355257643E-2</v>
      </c>
      <c r="E215">
        <v>62.85</v>
      </c>
      <c r="F215" s="32">
        <f t="shared" si="26"/>
        <v>4.4749880134249409E-3</v>
      </c>
      <c r="G215">
        <v>42.28</v>
      </c>
      <c r="H215" s="32">
        <f t="shared" si="27"/>
        <v>3.98425971470735E-2</v>
      </c>
      <c r="I215">
        <v>168.38</v>
      </c>
      <c r="J215" s="32">
        <f t="shared" si="28"/>
        <v>1.5867269984916943E-2</v>
      </c>
      <c r="K215">
        <v>38.299999999999997</v>
      </c>
      <c r="L215" s="32">
        <f t="shared" si="29"/>
        <v>-1.4917695473251169E-2</v>
      </c>
      <c r="M215" s="16"/>
      <c r="N215" s="32"/>
      <c r="O215" s="16"/>
      <c r="Q215" s="16"/>
    </row>
    <row r="216" spans="2:17" hidden="1" outlineLevel="1" x14ac:dyDescent="0.3">
      <c r="B216" s="34">
        <v>44605</v>
      </c>
      <c r="C216" s="35">
        <v>16392.3</v>
      </c>
      <c r="D216" s="32">
        <f t="shared" si="25"/>
        <v>-2.1731190650110532E-3</v>
      </c>
      <c r="E216">
        <v>62.54</v>
      </c>
      <c r="F216" s="32">
        <f t="shared" si="26"/>
        <v>-4.9323786793954438E-3</v>
      </c>
      <c r="G216">
        <v>40.630000000000003</v>
      </c>
      <c r="H216" s="32">
        <f t="shared" si="27"/>
        <v>-3.9025543992431411E-2</v>
      </c>
      <c r="I216">
        <v>167.71</v>
      </c>
      <c r="J216" s="32">
        <f t="shared" si="28"/>
        <v>-3.9790949043828627E-3</v>
      </c>
      <c r="K216">
        <v>38.479999999999997</v>
      </c>
      <c r="L216" s="32">
        <f t="shared" si="29"/>
        <v>4.6997389033942572E-3</v>
      </c>
      <c r="M216" s="16"/>
      <c r="N216" s="32"/>
      <c r="O216" s="16"/>
      <c r="Q216" s="16"/>
    </row>
    <row r="217" spans="2:17" hidden="1" outlineLevel="1" x14ac:dyDescent="0.3">
      <c r="B217" s="34">
        <v>44598</v>
      </c>
      <c r="C217" s="35">
        <v>16665</v>
      </c>
      <c r="D217" s="32">
        <f t="shared" si="25"/>
        <v>1.6635859519408491E-2</v>
      </c>
      <c r="E217">
        <v>60.29</v>
      </c>
      <c r="F217" s="32">
        <f t="shared" si="26"/>
        <v>-3.5976974736168899E-2</v>
      </c>
      <c r="G217">
        <v>41.4</v>
      </c>
      <c r="H217" s="32">
        <f t="shared" si="27"/>
        <v>1.8951513659857255E-2</v>
      </c>
      <c r="I217">
        <v>168.58</v>
      </c>
      <c r="J217" s="32">
        <f t="shared" si="28"/>
        <v>5.1875260866973694E-3</v>
      </c>
      <c r="K217">
        <v>38.03</v>
      </c>
      <c r="L217" s="32">
        <f t="shared" si="29"/>
        <v>-1.1694386694386605E-2</v>
      </c>
      <c r="M217" s="16"/>
      <c r="N217" s="32"/>
      <c r="O217" s="16"/>
      <c r="Q217" s="16"/>
    </row>
    <row r="218" spans="2:17" hidden="1" outlineLevel="1" x14ac:dyDescent="0.3">
      <c r="B218" s="34">
        <v>44591</v>
      </c>
      <c r="C218" s="35">
        <v>16701.599999999999</v>
      </c>
      <c r="D218" s="32">
        <f t="shared" si="25"/>
        <v>2.1962196219620367E-3</v>
      </c>
      <c r="E218">
        <v>60.96</v>
      </c>
      <c r="F218" s="32">
        <f t="shared" si="26"/>
        <v>1.1112954055398916E-2</v>
      </c>
      <c r="G218">
        <v>42.15</v>
      </c>
      <c r="H218" s="32">
        <f t="shared" si="27"/>
        <v>1.8115942028985588E-2</v>
      </c>
      <c r="I218">
        <v>172.49</v>
      </c>
      <c r="J218" s="32">
        <f t="shared" si="28"/>
        <v>2.3193735911733349E-2</v>
      </c>
      <c r="K218">
        <v>38.24</v>
      </c>
      <c r="L218" s="32">
        <f t="shared" si="29"/>
        <v>5.5219563502497682E-3</v>
      </c>
      <c r="M218" s="16"/>
      <c r="N218" s="32"/>
      <c r="O218" s="16"/>
      <c r="Q218" s="16"/>
    </row>
    <row r="219" spans="2:17" hidden="1" outlineLevel="1" x14ac:dyDescent="0.3">
      <c r="B219" s="34">
        <v>44584</v>
      </c>
      <c r="C219" s="35">
        <v>16397.900000000001</v>
      </c>
      <c r="D219" s="32">
        <f t="shared" si="25"/>
        <v>-1.8183886573741259E-2</v>
      </c>
      <c r="E219">
        <v>60.84</v>
      </c>
      <c r="F219" s="32">
        <f t="shared" si="26"/>
        <v>-1.9685039370078705E-3</v>
      </c>
      <c r="G219">
        <v>42.65</v>
      </c>
      <c r="H219" s="32">
        <f t="shared" si="27"/>
        <v>1.1862396204033177E-2</v>
      </c>
      <c r="I219">
        <v>172.67</v>
      </c>
      <c r="J219" s="32">
        <f t="shared" si="28"/>
        <v>1.0435387558698217E-3</v>
      </c>
      <c r="K219">
        <v>37.64</v>
      </c>
      <c r="L219" s="32">
        <f t="shared" si="29"/>
        <v>-1.5690376569037712E-2</v>
      </c>
      <c r="M219" s="16"/>
      <c r="N219" s="32"/>
      <c r="O219" s="16"/>
      <c r="Q219" s="16"/>
    </row>
    <row r="220" spans="2:17" hidden="1" outlineLevel="1" x14ac:dyDescent="0.3">
      <c r="B220" s="34">
        <v>44577</v>
      </c>
      <c r="C220" s="35">
        <v>16397.3</v>
      </c>
      <c r="D220" s="32">
        <f t="shared" si="25"/>
        <v>-3.659005116518621E-5</v>
      </c>
      <c r="E220">
        <v>60.45</v>
      </c>
      <c r="F220" s="32">
        <f t="shared" si="26"/>
        <v>-6.4102564102563875E-3</v>
      </c>
      <c r="G220">
        <v>42.81</v>
      </c>
      <c r="H220" s="32">
        <f t="shared" si="27"/>
        <v>3.7514654161783234E-3</v>
      </c>
      <c r="I220">
        <v>174.22</v>
      </c>
      <c r="J220" s="32">
        <f t="shared" si="28"/>
        <v>8.9766606822263562E-3</v>
      </c>
      <c r="K220">
        <v>37.83</v>
      </c>
      <c r="L220" s="32">
        <f t="shared" si="29"/>
        <v>5.0478214665248267E-3</v>
      </c>
      <c r="M220" s="16"/>
      <c r="N220" s="32"/>
      <c r="O220" s="16"/>
      <c r="Q220" s="16"/>
    </row>
    <row r="221" spans="2:17" hidden="1" outlineLevel="1" x14ac:dyDescent="0.3">
      <c r="B221" s="34">
        <v>44570</v>
      </c>
      <c r="C221" s="35">
        <v>17219.099999999999</v>
      </c>
      <c r="D221" s="32">
        <f t="shared" si="25"/>
        <v>5.0118007232898165E-2</v>
      </c>
      <c r="E221">
        <v>61.39</v>
      </c>
      <c r="F221" s="32">
        <f t="shared" si="26"/>
        <v>1.555004135649285E-2</v>
      </c>
      <c r="G221">
        <v>44.96</v>
      </c>
      <c r="H221" s="32">
        <f t="shared" si="27"/>
        <v>5.0221910768512013E-2</v>
      </c>
      <c r="I221">
        <v>175.64</v>
      </c>
      <c r="J221" s="32">
        <f t="shared" si="28"/>
        <v>8.1506141659970499E-3</v>
      </c>
      <c r="K221">
        <v>39.28</v>
      </c>
      <c r="L221" s="32">
        <f t="shared" si="29"/>
        <v>3.8329368226275529E-2</v>
      </c>
      <c r="M221" s="16"/>
      <c r="N221" s="32"/>
      <c r="O221" s="16"/>
      <c r="Q221" s="16"/>
    </row>
    <row r="222" spans="2:17" hidden="1" outlineLevel="1" x14ac:dyDescent="0.3">
      <c r="B222" s="34">
        <v>44563</v>
      </c>
      <c r="C222" s="35">
        <v>17166.3</v>
      </c>
      <c r="D222" s="32">
        <f t="shared" si="25"/>
        <v>-3.0663623534330497E-3</v>
      </c>
      <c r="E222">
        <v>60.33</v>
      </c>
      <c r="F222" s="32">
        <f t="shared" si="26"/>
        <v>-1.7266655807134712E-2</v>
      </c>
      <c r="G222">
        <v>47.03</v>
      </c>
      <c r="H222" s="32">
        <f t="shared" si="27"/>
        <v>4.6040925266903843E-2</v>
      </c>
      <c r="I222">
        <v>174.08</v>
      </c>
      <c r="J222" s="32">
        <f t="shared" si="28"/>
        <v>-8.8818036893644203E-3</v>
      </c>
      <c r="K222">
        <v>37.299999999999997</v>
      </c>
      <c r="L222" s="32">
        <f t="shared" si="29"/>
        <v>-5.0407331975560132E-2</v>
      </c>
      <c r="M222" s="16"/>
      <c r="N222" s="32"/>
      <c r="O222" s="16"/>
      <c r="Q222" s="16"/>
    </row>
    <row r="223" spans="2:17" hidden="1" outlineLevel="1" x14ac:dyDescent="0.3">
      <c r="B223" s="34">
        <v>44556</v>
      </c>
      <c r="C223" s="35">
        <v>17164.099999999999</v>
      </c>
      <c r="D223" s="32">
        <f t="shared" si="25"/>
        <v>-1.2815807716282102E-4</v>
      </c>
      <c r="E223">
        <v>59.21</v>
      </c>
      <c r="F223" s="32">
        <f t="shared" si="26"/>
        <v>-1.8564561577987693E-2</v>
      </c>
      <c r="G223">
        <v>48.02</v>
      </c>
      <c r="H223" s="32">
        <f t="shared" si="27"/>
        <v>2.1050393365936726E-2</v>
      </c>
      <c r="I223">
        <v>173.71</v>
      </c>
      <c r="J223" s="32">
        <f t="shared" si="28"/>
        <v>-2.1254595588235947E-3</v>
      </c>
      <c r="K223">
        <v>36.86</v>
      </c>
      <c r="L223" s="32">
        <f t="shared" si="29"/>
        <v>-1.1796246648793529E-2</v>
      </c>
      <c r="M223" s="16"/>
      <c r="N223" s="32"/>
      <c r="O223" s="16"/>
      <c r="Q223" s="16"/>
    </row>
    <row r="224" spans="2:17" hidden="1" outlineLevel="1" x14ac:dyDescent="0.3">
      <c r="B224" s="34">
        <v>44549</v>
      </c>
      <c r="C224" s="35">
        <v>16963.400000000001</v>
      </c>
      <c r="D224" s="32">
        <f t="shared" si="25"/>
        <v>-1.1693010411265248E-2</v>
      </c>
      <c r="E224">
        <v>58.22</v>
      </c>
      <c r="F224" s="32">
        <f t="shared" si="26"/>
        <v>-1.6720148623543318E-2</v>
      </c>
      <c r="G224">
        <v>46.92</v>
      </c>
      <c r="H224" s="32">
        <f t="shared" si="27"/>
        <v>-2.290712203248646E-2</v>
      </c>
      <c r="I224">
        <v>169.78</v>
      </c>
      <c r="J224" s="32">
        <f t="shared" si="28"/>
        <v>-2.2623913418916675E-2</v>
      </c>
      <c r="K224">
        <v>35.94</v>
      </c>
      <c r="L224" s="32">
        <f t="shared" si="29"/>
        <v>-2.4959305480195426E-2</v>
      </c>
      <c r="M224" s="16"/>
      <c r="N224" s="32"/>
      <c r="O224" s="16"/>
      <c r="Q224" s="16"/>
    </row>
    <row r="225" spans="2:17" hidden="1" outlineLevel="1" x14ac:dyDescent="0.3">
      <c r="B225" s="34">
        <v>44542</v>
      </c>
      <c r="C225" s="35">
        <v>16668.599999999999</v>
      </c>
      <c r="D225" s="32">
        <f t="shared" si="25"/>
        <v>-1.7378591555938239E-2</v>
      </c>
      <c r="E225">
        <v>57.73</v>
      </c>
      <c r="F225" s="32">
        <f t="shared" si="26"/>
        <v>-8.4163517691515644E-3</v>
      </c>
      <c r="G225">
        <v>45.81</v>
      </c>
      <c r="H225" s="32">
        <f t="shared" si="27"/>
        <v>-2.365728900255748E-2</v>
      </c>
      <c r="I225">
        <v>168.3</v>
      </c>
      <c r="J225" s="32">
        <f t="shared" si="28"/>
        <v>-8.7171633879137289E-3</v>
      </c>
      <c r="K225">
        <v>35.68</v>
      </c>
      <c r="L225" s="32">
        <f t="shared" si="29"/>
        <v>-7.2342793544796224E-3</v>
      </c>
      <c r="M225" s="16"/>
      <c r="N225" s="32"/>
      <c r="O225" s="16"/>
      <c r="Q225" s="16"/>
    </row>
    <row r="226" spans="2:17" hidden="1" outlineLevel="1" x14ac:dyDescent="0.3">
      <c r="B226" s="34">
        <v>44535</v>
      </c>
      <c r="C226" s="35">
        <v>16856.599999999999</v>
      </c>
      <c r="D226" s="32">
        <f t="shared" si="25"/>
        <v>1.1278691671765984E-2</v>
      </c>
      <c r="E226">
        <v>56.28</v>
      </c>
      <c r="F226" s="32">
        <f t="shared" si="26"/>
        <v>-2.5116923609908137E-2</v>
      </c>
      <c r="G226">
        <v>44.78</v>
      </c>
      <c r="H226" s="32">
        <f t="shared" si="27"/>
        <v>-2.2484173761187498E-2</v>
      </c>
      <c r="I226">
        <v>168.97</v>
      </c>
      <c r="J226" s="32">
        <f t="shared" si="28"/>
        <v>3.9809863339275164E-3</v>
      </c>
      <c r="K226">
        <v>35.32</v>
      </c>
      <c r="L226" s="32">
        <f t="shared" si="29"/>
        <v>-1.0089686098654682E-2</v>
      </c>
      <c r="M226" s="16"/>
      <c r="N226" s="32"/>
      <c r="O226" s="16"/>
      <c r="Q226" s="16"/>
    </row>
    <row r="227" spans="2:17" hidden="1" outlineLevel="1" x14ac:dyDescent="0.3">
      <c r="B227" s="34">
        <v>44528</v>
      </c>
      <c r="C227" s="35">
        <v>16347.9</v>
      </c>
      <c r="D227" s="32">
        <f t="shared" si="25"/>
        <v>-3.0178090480879827E-2</v>
      </c>
      <c r="E227">
        <v>53.54</v>
      </c>
      <c r="F227" s="32">
        <f t="shared" si="26"/>
        <v>-4.8685145700071097E-2</v>
      </c>
      <c r="G227">
        <v>41.85</v>
      </c>
      <c r="H227" s="32">
        <f t="shared" si="27"/>
        <v>-6.5430995980348405E-2</v>
      </c>
      <c r="I227">
        <v>164.71</v>
      </c>
      <c r="J227" s="32">
        <f t="shared" si="28"/>
        <v>-2.5211576019411708E-2</v>
      </c>
      <c r="K227">
        <v>34.47</v>
      </c>
      <c r="L227" s="32">
        <f t="shared" si="29"/>
        <v>-2.4065685164212924E-2</v>
      </c>
      <c r="M227" s="16"/>
      <c r="N227" s="32"/>
      <c r="O227" s="16"/>
      <c r="Q227" s="16"/>
    </row>
    <row r="228" spans="2:17" hidden="1" outlineLevel="1" x14ac:dyDescent="0.3">
      <c r="B228" s="34">
        <v>44521</v>
      </c>
      <c r="C228" s="35">
        <v>16624.900000000001</v>
      </c>
      <c r="D228" s="32">
        <f t="shared" si="25"/>
        <v>1.6944072327332638E-2</v>
      </c>
      <c r="E228">
        <v>53.73</v>
      </c>
      <c r="F228" s="32">
        <f t="shared" si="26"/>
        <v>3.5487485991780865E-3</v>
      </c>
      <c r="G228">
        <v>43.53</v>
      </c>
      <c r="H228" s="32">
        <f t="shared" si="27"/>
        <v>4.0143369175627219E-2</v>
      </c>
      <c r="I228">
        <v>161.13999999999999</v>
      </c>
      <c r="J228" s="32">
        <f t="shared" si="28"/>
        <v>-2.1674458138546626E-2</v>
      </c>
      <c r="K228">
        <v>34.979999999999997</v>
      </c>
      <c r="L228" s="32">
        <f t="shared" si="29"/>
        <v>1.4795474325500324E-2</v>
      </c>
      <c r="M228" s="16"/>
      <c r="N228" s="32"/>
      <c r="O228" s="16"/>
      <c r="Q228" s="16"/>
    </row>
    <row r="229" spans="2:17" hidden="1" outlineLevel="1" x14ac:dyDescent="0.3">
      <c r="B229" s="34">
        <v>44514</v>
      </c>
      <c r="C229" s="35">
        <v>16974</v>
      </c>
      <c r="D229" s="32">
        <f t="shared" si="25"/>
        <v>2.0998622548105361E-2</v>
      </c>
      <c r="E229">
        <v>55.13</v>
      </c>
      <c r="F229" s="32">
        <f t="shared" si="26"/>
        <v>2.6056206960729744E-2</v>
      </c>
      <c r="G229">
        <v>44.65</v>
      </c>
      <c r="H229" s="32">
        <f t="shared" si="27"/>
        <v>2.572938203537789E-2</v>
      </c>
      <c r="I229">
        <v>163.81</v>
      </c>
      <c r="J229" s="32">
        <f t="shared" si="28"/>
        <v>1.6569442720615779E-2</v>
      </c>
      <c r="K229">
        <v>35.159999999999997</v>
      </c>
      <c r="L229" s="32">
        <f t="shared" si="29"/>
        <v>5.145797598627766E-3</v>
      </c>
      <c r="M229" s="16"/>
      <c r="N229" s="32"/>
      <c r="O229" s="16"/>
      <c r="Q229" s="16"/>
    </row>
    <row r="230" spans="2:17" hidden="1" outlineLevel="1" x14ac:dyDescent="0.3">
      <c r="B230" s="34">
        <v>44507</v>
      </c>
      <c r="C230" s="35">
        <v>17297.7</v>
      </c>
      <c r="D230" s="32">
        <f t="shared" si="25"/>
        <v>1.9070342877341773E-2</v>
      </c>
      <c r="E230">
        <v>56.61</v>
      </c>
      <c r="F230" s="32">
        <f t="shared" si="26"/>
        <v>2.6845637583892579E-2</v>
      </c>
      <c r="G230">
        <v>46.03</v>
      </c>
      <c r="H230" s="32">
        <f t="shared" si="27"/>
        <v>3.0907054871220696E-2</v>
      </c>
      <c r="I230">
        <v>162.65</v>
      </c>
      <c r="J230" s="32">
        <f t="shared" si="28"/>
        <v>-7.0813747634453916E-3</v>
      </c>
      <c r="K230">
        <v>35.67</v>
      </c>
      <c r="L230" s="32">
        <f t="shared" si="29"/>
        <v>1.4505119453924964E-2</v>
      </c>
      <c r="M230" s="16"/>
      <c r="N230" s="32"/>
      <c r="O230" s="16"/>
      <c r="Q230" s="16"/>
    </row>
    <row r="231" spans="2:17" hidden="1" outlineLevel="1" x14ac:dyDescent="0.3">
      <c r="B231" s="34">
        <v>44500</v>
      </c>
      <c r="C231" s="35">
        <v>17242.400000000001</v>
      </c>
      <c r="D231" s="32">
        <f t="shared" si="25"/>
        <v>-3.1969568208489729E-3</v>
      </c>
      <c r="E231">
        <v>56.84</v>
      </c>
      <c r="F231" s="32">
        <f t="shared" si="26"/>
        <v>4.0628864158276379E-3</v>
      </c>
      <c r="G231">
        <v>45.81</v>
      </c>
      <c r="H231" s="32">
        <f t="shared" si="27"/>
        <v>-4.7794916358896433E-3</v>
      </c>
      <c r="I231">
        <v>166</v>
      </c>
      <c r="J231" s="32">
        <f t="shared" si="28"/>
        <v>2.0596372579157585E-2</v>
      </c>
      <c r="K231">
        <v>36.380000000000003</v>
      </c>
      <c r="L231" s="32">
        <f t="shared" si="29"/>
        <v>1.9904681805438695E-2</v>
      </c>
      <c r="M231" s="16"/>
      <c r="N231" s="32"/>
      <c r="O231" s="16"/>
      <c r="Q231" s="16"/>
    </row>
    <row r="232" spans="2:17" hidden="1" outlineLevel="1" x14ac:dyDescent="0.3">
      <c r="B232" s="34">
        <v>44493</v>
      </c>
      <c r="C232" s="35">
        <v>17016.400000000001</v>
      </c>
      <c r="D232" s="32">
        <f t="shared" si="25"/>
        <v>-1.3107224052336108E-2</v>
      </c>
      <c r="E232">
        <v>56.37</v>
      </c>
      <c r="F232" s="32">
        <f t="shared" si="26"/>
        <v>-8.2688247712878749E-3</v>
      </c>
      <c r="G232">
        <v>42.5</v>
      </c>
      <c r="H232" s="32">
        <f t="shared" si="27"/>
        <v>-7.2254966164592926E-2</v>
      </c>
      <c r="I232">
        <v>161.6</v>
      </c>
      <c r="J232" s="32">
        <f t="shared" si="28"/>
        <v>-2.6506024096385583E-2</v>
      </c>
      <c r="K232">
        <v>36.090000000000003</v>
      </c>
      <c r="L232" s="32">
        <f t="shared" si="29"/>
        <v>-7.9714128642111026E-3</v>
      </c>
      <c r="M232" s="16"/>
      <c r="N232" s="32"/>
      <c r="O232" s="16"/>
      <c r="Q232" s="16"/>
    </row>
    <row r="233" spans="2:17" hidden="1" outlineLevel="1" x14ac:dyDescent="0.3">
      <c r="B233" s="34">
        <v>44486</v>
      </c>
      <c r="C233" s="35">
        <v>17122.2</v>
      </c>
      <c r="D233" s="32">
        <f t="shared" si="25"/>
        <v>6.217531322723957E-3</v>
      </c>
      <c r="E233">
        <v>54.45</v>
      </c>
      <c r="F233" s="32">
        <f t="shared" si="26"/>
        <v>-3.4060670569451723E-2</v>
      </c>
      <c r="G233">
        <v>42.37</v>
      </c>
      <c r="H233" s="32">
        <f t="shared" si="27"/>
        <v>-3.0588235294117805E-3</v>
      </c>
      <c r="I233">
        <v>159.97</v>
      </c>
      <c r="J233" s="32">
        <f t="shared" si="28"/>
        <v>-1.0086633663366262E-2</v>
      </c>
      <c r="K233">
        <v>34.659999999999997</v>
      </c>
      <c r="L233" s="32">
        <f t="shared" si="29"/>
        <v>-3.9623164311443748E-2</v>
      </c>
      <c r="M233" s="16"/>
      <c r="N233" s="32"/>
      <c r="O233" s="16"/>
      <c r="Q233" s="16"/>
    </row>
    <row r="234" spans="2:17" hidden="1" outlineLevel="1" x14ac:dyDescent="0.3">
      <c r="B234" s="34">
        <v>44479</v>
      </c>
      <c r="C234" s="35">
        <v>16871.7</v>
      </c>
      <c r="D234" s="32">
        <f t="shared" si="25"/>
        <v>-1.4630129305813533E-2</v>
      </c>
      <c r="E234">
        <v>54.48</v>
      </c>
      <c r="F234" s="32">
        <f t="shared" si="26"/>
        <v>5.5096418732780705E-4</v>
      </c>
      <c r="G234">
        <v>42.79</v>
      </c>
      <c r="H234" s="32">
        <f t="shared" si="27"/>
        <v>9.9126740618362685E-3</v>
      </c>
      <c r="I234">
        <v>158.81</v>
      </c>
      <c r="J234" s="32">
        <f t="shared" si="28"/>
        <v>-7.2513596299306204E-3</v>
      </c>
      <c r="K234">
        <v>35.31</v>
      </c>
      <c r="L234" s="32">
        <f t="shared" si="29"/>
        <v>1.8753606462781569E-2</v>
      </c>
      <c r="M234" s="16"/>
      <c r="N234" s="32"/>
      <c r="O234" s="16"/>
      <c r="Q234" s="16"/>
    </row>
    <row r="235" spans="2:17" hidden="1" outlineLevel="1" x14ac:dyDescent="0.3">
      <c r="B235" s="34">
        <v>44472</v>
      </c>
      <c r="C235" s="35">
        <v>16517.2</v>
      </c>
      <c r="D235" s="32">
        <f t="shared" si="25"/>
        <v>-2.101151632615561E-2</v>
      </c>
      <c r="E235">
        <v>54.12</v>
      </c>
      <c r="F235" s="32">
        <f t="shared" si="26"/>
        <v>-6.6079295154184425E-3</v>
      </c>
      <c r="G235">
        <v>44.63</v>
      </c>
      <c r="H235" s="32">
        <f t="shared" si="27"/>
        <v>4.3000701098387495E-2</v>
      </c>
      <c r="I235">
        <v>156.03</v>
      </c>
      <c r="J235" s="32">
        <f t="shared" si="28"/>
        <v>-1.7505194886971887E-2</v>
      </c>
      <c r="K235">
        <v>35.04</v>
      </c>
      <c r="L235" s="32">
        <f t="shared" si="29"/>
        <v>-7.6465590484282586E-3</v>
      </c>
      <c r="M235" s="16"/>
      <c r="N235" s="32"/>
      <c r="O235" s="16"/>
      <c r="Q235" s="16"/>
    </row>
    <row r="236" spans="2:17" hidden="1" outlineLevel="1" x14ac:dyDescent="0.3">
      <c r="B236" s="34">
        <v>44465</v>
      </c>
      <c r="C236" s="35">
        <v>16323.7</v>
      </c>
      <c r="D236" s="32">
        <f t="shared" si="25"/>
        <v>-1.1715060664035049E-2</v>
      </c>
      <c r="E236">
        <v>53.02</v>
      </c>
      <c r="F236" s="32">
        <f t="shared" si="26"/>
        <v>-2.0325203252032464E-2</v>
      </c>
      <c r="G236">
        <v>44.94</v>
      </c>
      <c r="H236" s="32">
        <f t="shared" si="27"/>
        <v>6.9460004481289861E-3</v>
      </c>
      <c r="I236">
        <v>150.94999999999999</v>
      </c>
      <c r="J236" s="32">
        <f t="shared" si="28"/>
        <v>-3.2557841440748692E-2</v>
      </c>
      <c r="K236">
        <v>33.200000000000003</v>
      </c>
      <c r="L236" s="32">
        <f t="shared" si="29"/>
        <v>-5.2511415525114069E-2</v>
      </c>
      <c r="M236" s="16"/>
      <c r="N236" s="32"/>
      <c r="O236" s="16"/>
      <c r="Q236" s="16"/>
    </row>
    <row r="237" spans="2:17" hidden="1" outlineLevel="1" x14ac:dyDescent="0.3">
      <c r="B237" s="34">
        <v>44458</v>
      </c>
      <c r="C237" s="35">
        <v>16539.2</v>
      </c>
      <c r="D237" s="32">
        <f t="shared" si="25"/>
        <v>1.3201663838467992E-2</v>
      </c>
      <c r="E237">
        <v>53.89</v>
      </c>
      <c r="F237" s="32">
        <f t="shared" si="26"/>
        <v>1.6408902301018324E-2</v>
      </c>
      <c r="G237">
        <v>46.37</v>
      </c>
      <c r="H237" s="32">
        <f t="shared" si="27"/>
        <v>3.1820204717400991E-2</v>
      </c>
      <c r="I237">
        <v>154.19999999999999</v>
      </c>
      <c r="J237" s="32">
        <f t="shared" si="28"/>
        <v>2.1530308049022784E-2</v>
      </c>
      <c r="K237">
        <v>33.869999999999997</v>
      </c>
      <c r="L237" s="32">
        <f t="shared" si="29"/>
        <v>2.0180722891566027E-2</v>
      </c>
      <c r="M237" s="16"/>
      <c r="N237" s="32"/>
      <c r="O237" s="16"/>
      <c r="Q237" s="16"/>
    </row>
    <row r="238" spans="2:17" hidden="1" outlineLevel="1" x14ac:dyDescent="0.3">
      <c r="B238" s="34">
        <v>44451</v>
      </c>
      <c r="C238" s="35">
        <v>16460.3</v>
      </c>
      <c r="D238" s="32">
        <f t="shared" si="25"/>
        <v>-4.770484666731245E-3</v>
      </c>
      <c r="E238">
        <v>54.44</v>
      </c>
      <c r="F238" s="32">
        <f t="shared" si="26"/>
        <v>1.0205975134533363E-2</v>
      </c>
      <c r="G238">
        <v>47.32</v>
      </c>
      <c r="H238" s="32">
        <f t="shared" si="27"/>
        <v>2.048738408453743E-2</v>
      </c>
      <c r="I238">
        <v>154.13</v>
      </c>
      <c r="J238" s="32">
        <f t="shared" si="28"/>
        <v>-4.5395590142671693E-4</v>
      </c>
      <c r="K238">
        <v>34.909999999999997</v>
      </c>
      <c r="L238" s="32">
        <f t="shared" si="29"/>
        <v>3.0705639208739255E-2</v>
      </c>
      <c r="M238" s="16"/>
      <c r="N238" s="32"/>
      <c r="O238" s="16"/>
      <c r="Q238" s="16"/>
    </row>
    <row r="239" spans="2:17" hidden="1" outlineLevel="1" x14ac:dyDescent="0.3">
      <c r="B239" s="34">
        <v>44444</v>
      </c>
      <c r="C239" s="35">
        <v>16563.5</v>
      </c>
      <c r="D239" s="32">
        <f t="shared" si="25"/>
        <v>6.2696305656639861E-3</v>
      </c>
      <c r="E239">
        <v>55.61</v>
      </c>
      <c r="F239" s="32">
        <f t="shared" si="26"/>
        <v>2.1491550330639209E-2</v>
      </c>
      <c r="G239">
        <v>47.96</v>
      </c>
      <c r="H239" s="32">
        <f t="shared" si="27"/>
        <v>1.3524936601859716E-2</v>
      </c>
      <c r="I239">
        <v>155.46</v>
      </c>
      <c r="J239" s="32">
        <f t="shared" si="28"/>
        <v>8.6290793486019091E-3</v>
      </c>
      <c r="K239">
        <v>34.83</v>
      </c>
      <c r="L239" s="32">
        <f t="shared" si="29"/>
        <v>-2.2916069894012292E-3</v>
      </c>
      <c r="M239" s="16"/>
      <c r="N239" s="32"/>
      <c r="O239" s="16"/>
      <c r="Q239" s="16"/>
    </row>
    <row r="240" spans="2:17" hidden="1" outlineLevel="1" x14ac:dyDescent="0.3">
      <c r="B240" s="34">
        <v>44437</v>
      </c>
      <c r="C240" s="35">
        <v>16909.7</v>
      </c>
      <c r="D240" s="32">
        <f t="shared" si="25"/>
        <v>2.0901379539348675E-2</v>
      </c>
      <c r="E240">
        <v>56.73</v>
      </c>
      <c r="F240" s="32">
        <f t="shared" si="26"/>
        <v>2.0140262542708065E-2</v>
      </c>
      <c r="G240">
        <v>48.79</v>
      </c>
      <c r="H240" s="32">
        <f t="shared" si="27"/>
        <v>1.730608840700576E-2</v>
      </c>
      <c r="I240">
        <v>157.09</v>
      </c>
      <c r="J240" s="32">
        <f t="shared" si="28"/>
        <v>1.0485012221793433E-2</v>
      </c>
      <c r="K240">
        <v>35.24</v>
      </c>
      <c r="L240" s="32">
        <f t="shared" si="29"/>
        <v>1.1771461383864645E-2</v>
      </c>
      <c r="M240" s="16"/>
      <c r="N240" s="32"/>
      <c r="O240" s="16"/>
      <c r="Q240" s="16"/>
    </row>
    <row r="241" spans="2:17" hidden="1" outlineLevel="1" x14ac:dyDescent="0.3">
      <c r="B241" s="34">
        <v>44430</v>
      </c>
      <c r="C241" s="35">
        <v>16844.8</v>
      </c>
      <c r="D241" s="32">
        <f t="shared" si="25"/>
        <v>-3.8380337912560236E-3</v>
      </c>
      <c r="E241">
        <v>55.65</v>
      </c>
      <c r="F241" s="32">
        <f t="shared" si="26"/>
        <v>-1.9037546271813865E-2</v>
      </c>
      <c r="G241">
        <v>48.67</v>
      </c>
      <c r="H241" s="32">
        <f t="shared" si="27"/>
        <v>-2.4595203935232623E-3</v>
      </c>
      <c r="I241">
        <v>154.94</v>
      </c>
      <c r="J241" s="32">
        <f t="shared" si="28"/>
        <v>-1.3686421796422432E-2</v>
      </c>
      <c r="K241">
        <v>35.130000000000003</v>
      </c>
      <c r="L241" s="32">
        <f t="shared" si="29"/>
        <v>-3.1214528944381037E-3</v>
      </c>
      <c r="M241" s="16"/>
      <c r="N241" s="32"/>
      <c r="O241" s="16"/>
      <c r="Q241" s="16"/>
    </row>
    <row r="242" spans="2:17" hidden="1" outlineLevel="1" x14ac:dyDescent="0.3">
      <c r="B242" s="34">
        <v>44423</v>
      </c>
      <c r="C242" s="35">
        <v>16516.7</v>
      </c>
      <c r="D242" s="32">
        <f t="shared" si="25"/>
        <v>-1.947782104863216E-2</v>
      </c>
      <c r="E242">
        <v>56.64</v>
      </c>
      <c r="F242" s="32">
        <f t="shared" si="26"/>
        <v>1.7789757412398854E-2</v>
      </c>
      <c r="G242">
        <v>48.37</v>
      </c>
      <c r="H242" s="32">
        <f t="shared" si="27"/>
        <v>-6.1639613725088527E-3</v>
      </c>
      <c r="I242">
        <v>158.35</v>
      </c>
      <c r="J242" s="32">
        <f t="shared" si="28"/>
        <v>2.2008519426874873E-2</v>
      </c>
      <c r="K242">
        <v>34.82</v>
      </c>
      <c r="L242" s="32">
        <f t="shared" si="29"/>
        <v>-8.8243666382010755E-3</v>
      </c>
      <c r="M242" s="16"/>
      <c r="N242" s="32"/>
      <c r="O242" s="16"/>
      <c r="Q242" s="16"/>
    </row>
    <row r="243" spans="2:17" hidden="1" outlineLevel="1" x14ac:dyDescent="0.3">
      <c r="B243" s="34">
        <v>44416</v>
      </c>
      <c r="C243" s="35">
        <v>16868.099999999999</v>
      </c>
      <c r="D243" s="32">
        <f t="shared" si="25"/>
        <v>2.1275436376515744E-2</v>
      </c>
      <c r="E243">
        <v>57.23</v>
      </c>
      <c r="F243" s="32">
        <f t="shared" si="26"/>
        <v>1.0416666666666519E-2</v>
      </c>
      <c r="G243">
        <v>49.06</v>
      </c>
      <c r="H243" s="32">
        <f t="shared" si="27"/>
        <v>1.4265040314244359E-2</v>
      </c>
      <c r="I243">
        <v>156.52000000000001</v>
      </c>
      <c r="J243" s="32">
        <f t="shared" si="28"/>
        <v>-1.1556678244395213E-2</v>
      </c>
      <c r="K243">
        <v>34.450000000000003</v>
      </c>
      <c r="L243" s="32">
        <f t="shared" si="29"/>
        <v>-1.0626076967260145E-2</v>
      </c>
      <c r="M243" s="16"/>
      <c r="N243" s="32"/>
      <c r="O243" s="16"/>
      <c r="Q243" s="16"/>
    </row>
    <row r="244" spans="2:17" hidden="1" outlineLevel="1" x14ac:dyDescent="0.3">
      <c r="B244" s="34">
        <v>44409</v>
      </c>
      <c r="C244" s="35">
        <v>16748.099999999999</v>
      </c>
      <c r="D244" s="32">
        <f t="shared" si="25"/>
        <v>-7.1140199548259675E-3</v>
      </c>
      <c r="E244">
        <v>56.64</v>
      </c>
      <c r="F244" s="32">
        <f t="shared" si="26"/>
        <v>-1.0309278350515427E-2</v>
      </c>
      <c r="G244">
        <v>48.49</v>
      </c>
      <c r="H244" s="32">
        <f t="shared" si="27"/>
        <v>-1.1618426416632688E-2</v>
      </c>
      <c r="I244">
        <v>154.33000000000001</v>
      </c>
      <c r="J244" s="32">
        <f t="shared" si="28"/>
        <v>-1.3991822131356968E-2</v>
      </c>
      <c r="K244">
        <v>34.29</v>
      </c>
      <c r="L244" s="32">
        <f t="shared" si="29"/>
        <v>-4.6444121915820702E-3</v>
      </c>
      <c r="M244" s="16"/>
      <c r="N244" s="32"/>
      <c r="O244" s="16"/>
      <c r="Q244" s="16"/>
    </row>
    <row r="245" spans="2:17" hidden="1" outlineLevel="1" x14ac:dyDescent="0.3">
      <c r="B245" s="34">
        <v>44402</v>
      </c>
      <c r="C245" s="35">
        <v>16602.3</v>
      </c>
      <c r="D245" s="32">
        <f t="shared" si="25"/>
        <v>-8.7054650975334491E-3</v>
      </c>
      <c r="E245">
        <v>57.03</v>
      </c>
      <c r="F245" s="32">
        <f t="shared" si="26"/>
        <v>6.8855932203391035E-3</v>
      </c>
      <c r="G245">
        <v>47.16</v>
      </c>
      <c r="H245" s="32">
        <f t="shared" si="27"/>
        <v>-2.7428335739327792E-2</v>
      </c>
      <c r="I245">
        <v>156.94999999999999</v>
      </c>
      <c r="J245" s="32">
        <f t="shared" si="28"/>
        <v>1.6976608566059648E-2</v>
      </c>
      <c r="K245">
        <v>35.21</v>
      </c>
      <c r="L245" s="32">
        <f t="shared" si="29"/>
        <v>2.6829979585885066E-2</v>
      </c>
      <c r="M245" s="16"/>
      <c r="N245" s="32"/>
      <c r="O245" s="16"/>
      <c r="Q245" s="16"/>
    </row>
    <row r="246" spans="2:17" hidden="1" outlineLevel="1" x14ac:dyDescent="0.3">
      <c r="B246" s="34">
        <v>44395</v>
      </c>
      <c r="C246" s="35">
        <v>16552.400000000001</v>
      </c>
      <c r="D246" s="32">
        <f t="shared" si="25"/>
        <v>-3.0056076567702705E-3</v>
      </c>
      <c r="E246">
        <v>57.01</v>
      </c>
      <c r="F246" s="32">
        <f t="shared" si="26"/>
        <v>-3.5069261792042283E-4</v>
      </c>
      <c r="G246">
        <v>48.15</v>
      </c>
      <c r="H246" s="32">
        <f t="shared" si="27"/>
        <v>2.0992366412213803E-2</v>
      </c>
      <c r="I246">
        <v>157.18</v>
      </c>
      <c r="J246" s="32">
        <f t="shared" si="28"/>
        <v>1.4654348518636784E-3</v>
      </c>
      <c r="K246">
        <v>36.07</v>
      </c>
      <c r="L246" s="32">
        <f t="shared" si="29"/>
        <v>2.4424879295654733E-2</v>
      </c>
      <c r="M246" s="16"/>
      <c r="N246" s="32"/>
      <c r="O246" s="16"/>
      <c r="Q246" s="16"/>
    </row>
    <row r="247" spans="2:17" hidden="1" outlineLevel="1" x14ac:dyDescent="0.3">
      <c r="B247" s="34">
        <v>44388</v>
      </c>
      <c r="C247" s="35">
        <v>16364.7</v>
      </c>
      <c r="D247" s="32">
        <f t="shared" si="25"/>
        <v>-1.1339745293733827E-2</v>
      </c>
      <c r="E247">
        <v>56.4</v>
      </c>
      <c r="F247" s="32">
        <f t="shared" si="26"/>
        <v>-1.0699877214523812E-2</v>
      </c>
      <c r="G247">
        <v>46.53</v>
      </c>
      <c r="H247" s="32">
        <f t="shared" si="27"/>
        <v>-3.3644859813084071E-2</v>
      </c>
      <c r="I247">
        <v>155.82</v>
      </c>
      <c r="J247" s="32">
        <f t="shared" si="28"/>
        <v>-8.652500318106715E-3</v>
      </c>
      <c r="K247">
        <v>35.880000000000003</v>
      </c>
      <c r="L247" s="32">
        <f t="shared" si="29"/>
        <v>-5.2675353479345599E-3</v>
      </c>
      <c r="M247" s="16"/>
      <c r="N247" s="32"/>
      <c r="O247" s="16"/>
      <c r="Q247" s="16"/>
    </row>
    <row r="248" spans="2:17" hidden="1" outlineLevel="1" x14ac:dyDescent="0.3">
      <c r="B248" s="34">
        <v>44381</v>
      </c>
      <c r="C248" s="35">
        <v>16633.3</v>
      </c>
      <c r="D248" s="32">
        <f t="shared" si="25"/>
        <v>1.6413377574902022E-2</v>
      </c>
      <c r="E248">
        <v>54.46</v>
      </c>
      <c r="F248" s="32">
        <f t="shared" si="26"/>
        <v>-3.4397163120567287E-2</v>
      </c>
      <c r="G248">
        <v>45.12</v>
      </c>
      <c r="H248" s="32">
        <f t="shared" si="27"/>
        <v>-3.0303030303030387E-2</v>
      </c>
      <c r="I248">
        <v>149.47999999999999</v>
      </c>
      <c r="J248" s="32">
        <f t="shared" si="28"/>
        <v>-4.0687973302528602E-2</v>
      </c>
      <c r="K248">
        <v>35</v>
      </c>
      <c r="L248" s="32">
        <f t="shared" si="29"/>
        <v>-2.4526198439241975E-2</v>
      </c>
      <c r="M248" s="16"/>
      <c r="N248" s="32"/>
      <c r="O248" s="16"/>
      <c r="Q248" s="16"/>
    </row>
    <row r="249" spans="2:17" hidden="1" outlineLevel="1" x14ac:dyDescent="0.3">
      <c r="B249" s="34">
        <v>44374</v>
      </c>
      <c r="C249" s="35">
        <v>16674.8</v>
      </c>
      <c r="D249" s="32">
        <f t="shared" si="25"/>
        <v>2.4949949799497606E-3</v>
      </c>
      <c r="E249">
        <v>54.18</v>
      </c>
      <c r="F249" s="32">
        <f t="shared" si="26"/>
        <v>-5.1413881748072487E-3</v>
      </c>
      <c r="G249">
        <v>45.43</v>
      </c>
      <c r="H249" s="32">
        <f t="shared" si="27"/>
        <v>6.8705673758866492E-3</v>
      </c>
      <c r="I249">
        <v>148.91</v>
      </c>
      <c r="J249" s="32">
        <f t="shared" si="28"/>
        <v>-3.8132191597537446E-3</v>
      </c>
      <c r="K249">
        <v>35.18</v>
      </c>
      <c r="L249" s="32">
        <f t="shared" si="29"/>
        <v>5.1428571428571157E-3</v>
      </c>
      <c r="M249" s="16"/>
      <c r="N249" s="32"/>
      <c r="O249" s="16"/>
      <c r="Q249" s="16"/>
    </row>
    <row r="250" spans="2:17" hidden="1" outlineLevel="1" x14ac:dyDescent="0.3">
      <c r="B250" s="34">
        <v>44367</v>
      </c>
      <c r="C250" s="35">
        <v>16658.8</v>
      </c>
      <c r="D250" s="32">
        <f t="shared" si="25"/>
        <v>-9.5953174850671452E-4</v>
      </c>
      <c r="E250">
        <v>54.32</v>
      </c>
      <c r="F250" s="32">
        <f t="shared" si="26"/>
        <v>2.5839793281654533E-3</v>
      </c>
      <c r="G250">
        <v>46.06</v>
      </c>
      <c r="H250" s="32">
        <f t="shared" si="27"/>
        <v>1.3867488443759735E-2</v>
      </c>
      <c r="I250">
        <v>146.41</v>
      </c>
      <c r="J250" s="32">
        <f t="shared" si="28"/>
        <v>-1.6788664293868827E-2</v>
      </c>
      <c r="K250">
        <v>34.86</v>
      </c>
      <c r="L250" s="32">
        <f t="shared" si="29"/>
        <v>-9.0960773166571807E-3</v>
      </c>
      <c r="M250" s="16"/>
      <c r="N250" s="32"/>
      <c r="O250" s="16"/>
      <c r="Q250" s="16"/>
    </row>
    <row r="251" spans="2:17" hidden="1" outlineLevel="1" x14ac:dyDescent="0.3">
      <c r="B251" s="34">
        <v>44360</v>
      </c>
      <c r="C251" s="35">
        <v>16144</v>
      </c>
      <c r="D251" s="32">
        <f t="shared" si="25"/>
        <v>-3.0902586020601697E-2</v>
      </c>
      <c r="E251">
        <v>53.77</v>
      </c>
      <c r="F251" s="32">
        <f t="shared" si="26"/>
        <v>-1.0125184094256223E-2</v>
      </c>
      <c r="G251">
        <v>45.88</v>
      </c>
      <c r="H251" s="32">
        <f t="shared" si="27"/>
        <v>-3.9079461571862595E-3</v>
      </c>
      <c r="I251">
        <v>145.41999999999999</v>
      </c>
      <c r="J251" s="32">
        <f t="shared" si="28"/>
        <v>-6.7618332081142984E-3</v>
      </c>
      <c r="K251">
        <v>34.520000000000003</v>
      </c>
      <c r="L251" s="32">
        <f t="shared" si="29"/>
        <v>-9.7532989099252676E-3</v>
      </c>
      <c r="M251" s="16"/>
      <c r="N251" s="32"/>
      <c r="O251" s="16"/>
      <c r="Q251" s="16"/>
    </row>
    <row r="252" spans="2:17" hidden="1" outlineLevel="1" x14ac:dyDescent="0.3">
      <c r="B252" s="34">
        <v>44353</v>
      </c>
      <c r="C252" s="35">
        <v>16694.900000000001</v>
      </c>
      <c r="D252" s="32">
        <f t="shared" si="25"/>
        <v>3.4124132804757235E-2</v>
      </c>
      <c r="E252">
        <v>56.16</v>
      </c>
      <c r="F252" s="32">
        <f t="shared" si="26"/>
        <v>4.4448577273572543E-2</v>
      </c>
      <c r="G252">
        <v>46.75</v>
      </c>
      <c r="H252" s="32">
        <f t="shared" si="27"/>
        <v>1.8962510897994722E-2</v>
      </c>
      <c r="I252">
        <v>147.69</v>
      </c>
      <c r="J252" s="32">
        <f t="shared" si="28"/>
        <v>1.560995736487425E-2</v>
      </c>
      <c r="K252">
        <v>35.229999999999997</v>
      </c>
      <c r="L252" s="32">
        <f t="shared" si="29"/>
        <v>2.0567786790266274E-2</v>
      </c>
      <c r="M252" s="16"/>
      <c r="N252" s="32"/>
      <c r="O252" s="16"/>
      <c r="Q252" s="16"/>
    </row>
    <row r="253" spans="2:17" hidden="1" outlineLevel="1" x14ac:dyDescent="0.3">
      <c r="B253" s="34">
        <v>44346</v>
      </c>
      <c r="C253" s="35">
        <v>16708.7</v>
      </c>
      <c r="D253" s="32">
        <f t="shared" si="25"/>
        <v>8.2659974004029024E-4</v>
      </c>
      <c r="E253">
        <v>56.24</v>
      </c>
      <c r="F253" s="32">
        <f t="shared" si="26"/>
        <v>1.4245014245015675E-3</v>
      </c>
      <c r="G253">
        <v>47.69</v>
      </c>
      <c r="H253" s="32">
        <f t="shared" si="27"/>
        <v>2.0106951871657675E-2</v>
      </c>
      <c r="I253">
        <v>147.84</v>
      </c>
      <c r="J253" s="32">
        <f t="shared" si="28"/>
        <v>1.0156408693886565E-3</v>
      </c>
      <c r="K253">
        <v>36.909999999999997</v>
      </c>
      <c r="L253" s="32">
        <f t="shared" si="29"/>
        <v>4.7686630712461042E-2</v>
      </c>
      <c r="M253" s="16"/>
      <c r="N253" s="32"/>
      <c r="O253" s="16"/>
      <c r="Q253" s="16"/>
    </row>
    <row r="254" spans="2:17" hidden="1" outlineLevel="1" x14ac:dyDescent="0.3">
      <c r="B254" s="34">
        <v>44339</v>
      </c>
      <c r="C254" s="35">
        <v>16555.7</v>
      </c>
      <c r="D254" s="32">
        <f t="shared" si="25"/>
        <v>-9.1569062823558811E-3</v>
      </c>
      <c r="E254">
        <v>55.29</v>
      </c>
      <c r="F254" s="32">
        <f t="shared" si="26"/>
        <v>-1.6891891891891997E-2</v>
      </c>
      <c r="G254">
        <v>47.13</v>
      </c>
      <c r="H254" s="32">
        <f t="shared" si="27"/>
        <v>-1.1742503669532334E-2</v>
      </c>
      <c r="I254">
        <v>147.94</v>
      </c>
      <c r="J254" s="32">
        <f t="shared" si="28"/>
        <v>6.7640692640691391E-4</v>
      </c>
      <c r="K254">
        <v>36.96</v>
      </c>
      <c r="L254" s="32">
        <f t="shared" si="29"/>
        <v>1.3546464372800049E-3</v>
      </c>
      <c r="M254" s="16"/>
      <c r="N254" s="32"/>
      <c r="O254" s="16"/>
      <c r="Q254" s="16"/>
    </row>
    <row r="255" spans="2:17" hidden="1" outlineLevel="1" x14ac:dyDescent="0.3">
      <c r="B255" s="34">
        <v>44332</v>
      </c>
      <c r="C255" s="35">
        <v>16375</v>
      </c>
      <c r="D255" s="32">
        <f t="shared" si="25"/>
        <v>-1.0914669872007843E-2</v>
      </c>
      <c r="E255">
        <v>54.62</v>
      </c>
      <c r="F255" s="32">
        <f t="shared" si="26"/>
        <v>-1.2117923675167286E-2</v>
      </c>
      <c r="G255">
        <v>46.01</v>
      </c>
      <c r="H255" s="32">
        <f t="shared" si="27"/>
        <v>-2.3764056863993299E-2</v>
      </c>
      <c r="I255">
        <v>147.1</v>
      </c>
      <c r="J255" s="32">
        <f t="shared" si="28"/>
        <v>-5.6779775584696601E-3</v>
      </c>
      <c r="K255">
        <v>36.24</v>
      </c>
      <c r="L255" s="32">
        <f t="shared" si="29"/>
        <v>-1.9480519480519431E-2</v>
      </c>
      <c r="M255" s="16"/>
      <c r="N255" s="32"/>
      <c r="O255" s="16"/>
      <c r="Q255" s="16"/>
    </row>
    <row r="256" spans="2:17" hidden="1" outlineLevel="1" x14ac:dyDescent="0.3">
      <c r="B256" s="34">
        <v>44325</v>
      </c>
      <c r="C256" s="35">
        <v>16415.400000000001</v>
      </c>
      <c r="D256" s="32">
        <f t="shared" si="25"/>
        <v>2.4671755725191868E-3</v>
      </c>
      <c r="E256">
        <v>54.73</v>
      </c>
      <c r="F256" s="32">
        <f t="shared" si="26"/>
        <v>2.0139143170998519E-3</v>
      </c>
      <c r="G256">
        <v>46.07</v>
      </c>
      <c r="H256" s="32">
        <f t="shared" si="27"/>
        <v>1.304064333840449E-3</v>
      </c>
      <c r="I256">
        <v>146.59</v>
      </c>
      <c r="J256" s="32">
        <f t="shared" si="28"/>
        <v>-3.4670292318150775E-3</v>
      </c>
      <c r="K256">
        <v>36.049999999999997</v>
      </c>
      <c r="L256" s="32">
        <f t="shared" si="29"/>
        <v>-5.2428256070641277E-3</v>
      </c>
      <c r="M256" s="16"/>
      <c r="N256" s="32"/>
      <c r="O256" s="16"/>
      <c r="Q256" s="16"/>
    </row>
    <row r="257" spans="2:17" hidden="1" outlineLevel="1" x14ac:dyDescent="0.3">
      <c r="B257" s="34">
        <v>44318</v>
      </c>
      <c r="C257" s="35">
        <v>16590.400000000001</v>
      </c>
      <c r="D257" s="32">
        <f t="shared" si="25"/>
        <v>1.0660721030252063E-2</v>
      </c>
      <c r="E257">
        <v>54.51</v>
      </c>
      <c r="F257" s="32">
        <f t="shared" si="26"/>
        <v>-4.0197332358852256E-3</v>
      </c>
      <c r="G257">
        <v>45.63</v>
      </c>
      <c r="H257" s="32">
        <f t="shared" si="27"/>
        <v>-9.5506837421315272E-3</v>
      </c>
      <c r="I257">
        <v>145.56</v>
      </c>
      <c r="J257" s="32">
        <f t="shared" si="28"/>
        <v>-7.0264001637219131E-3</v>
      </c>
      <c r="K257">
        <v>36.6</v>
      </c>
      <c r="L257" s="32">
        <f t="shared" si="29"/>
        <v>1.5256588072122268E-2</v>
      </c>
      <c r="M257" s="16"/>
      <c r="N257" s="32"/>
      <c r="O257" s="16"/>
      <c r="Q257" s="16"/>
    </row>
    <row r="258" spans="2:17" hidden="1" outlineLevel="1" x14ac:dyDescent="0.3">
      <c r="B258" s="34">
        <v>44311</v>
      </c>
      <c r="C258" s="35">
        <v>16219.3</v>
      </c>
      <c r="D258" s="32">
        <f t="shared" si="25"/>
        <v>-2.2368357604397815E-2</v>
      </c>
      <c r="E258">
        <v>53.98</v>
      </c>
      <c r="F258" s="32">
        <f t="shared" si="26"/>
        <v>-9.7229866079618921E-3</v>
      </c>
      <c r="G258">
        <v>48.53</v>
      </c>
      <c r="H258" s="32">
        <f t="shared" si="27"/>
        <v>6.3554678939294229E-2</v>
      </c>
      <c r="I258">
        <v>144.16</v>
      </c>
      <c r="J258" s="32">
        <f t="shared" si="28"/>
        <v>-9.6180269304754207E-3</v>
      </c>
      <c r="K258">
        <v>35.85</v>
      </c>
      <c r="L258" s="32">
        <f t="shared" si="29"/>
        <v>-2.0491803278688492E-2</v>
      </c>
      <c r="M258" s="16"/>
      <c r="N258" s="32"/>
      <c r="O258" s="16"/>
      <c r="Q258" s="16"/>
    </row>
    <row r="259" spans="2:17" hidden="1" outlineLevel="1" x14ac:dyDescent="0.3">
      <c r="B259" s="34">
        <v>44304</v>
      </c>
      <c r="C259" s="35">
        <v>16206</v>
      </c>
      <c r="D259" s="32">
        <f t="shared" si="25"/>
        <v>-8.2001072795989671E-4</v>
      </c>
      <c r="E259">
        <v>54.47</v>
      </c>
      <c r="F259" s="32">
        <f t="shared" si="26"/>
        <v>9.0774360874399385E-3</v>
      </c>
      <c r="G259">
        <v>49.34</v>
      </c>
      <c r="H259" s="32">
        <f t="shared" si="27"/>
        <v>1.6690706779311837E-2</v>
      </c>
      <c r="I259">
        <v>145.83000000000001</v>
      </c>
      <c r="J259" s="32">
        <f t="shared" si="28"/>
        <v>1.1584350721420833E-2</v>
      </c>
      <c r="K259">
        <v>36.18</v>
      </c>
      <c r="L259" s="32">
        <f t="shared" si="29"/>
        <v>9.2050209205021272E-3</v>
      </c>
      <c r="M259" s="16"/>
      <c r="N259" s="32"/>
      <c r="O259" s="16"/>
      <c r="Q259" s="16"/>
    </row>
    <row r="260" spans="2:17" hidden="1" outlineLevel="1" x14ac:dyDescent="0.3">
      <c r="B260" s="34">
        <v>44297</v>
      </c>
      <c r="C260" s="35">
        <v>16186.3</v>
      </c>
      <c r="D260" s="32">
        <f t="shared" si="25"/>
        <v>-1.2155991608047145E-3</v>
      </c>
      <c r="E260">
        <v>53.68</v>
      </c>
      <c r="F260" s="32">
        <f t="shared" si="26"/>
        <v>-1.4503396364971555E-2</v>
      </c>
      <c r="G260">
        <v>49.08</v>
      </c>
      <c r="H260" s="32">
        <f t="shared" si="27"/>
        <v>-5.2695581678152692E-3</v>
      </c>
      <c r="I260">
        <v>144.16</v>
      </c>
      <c r="J260" s="32">
        <f t="shared" si="28"/>
        <v>-1.1451690324350339E-2</v>
      </c>
      <c r="K260">
        <v>36.01</v>
      </c>
      <c r="L260" s="32">
        <f t="shared" si="29"/>
        <v>-4.6987285793256284E-3</v>
      </c>
      <c r="M260" s="16"/>
      <c r="N260" s="32"/>
      <c r="O260" s="16"/>
      <c r="Q260" s="16"/>
    </row>
    <row r="261" spans="2:17" hidden="1" outlineLevel="1" x14ac:dyDescent="0.3">
      <c r="B261" s="34">
        <v>44290</v>
      </c>
      <c r="C261" s="35">
        <v>15956.4</v>
      </c>
      <c r="D261" s="32">
        <f t="shared" si="25"/>
        <v>-1.4203369516195719E-2</v>
      </c>
      <c r="E261">
        <v>53.18</v>
      </c>
      <c r="F261" s="32">
        <f t="shared" si="26"/>
        <v>-9.3144560357675266E-3</v>
      </c>
      <c r="G261">
        <v>47.65</v>
      </c>
      <c r="H261" s="32">
        <f t="shared" si="27"/>
        <v>-2.913610431947844E-2</v>
      </c>
      <c r="I261">
        <v>142.57</v>
      </c>
      <c r="J261" s="32">
        <f t="shared" si="28"/>
        <v>-1.1029411764705954E-2</v>
      </c>
      <c r="K261">
        <v>35.17</v>
      </c>
      <c r="L261" s="32">
        <f t="shared" si="29"/>
        <v>-2.3326853651763346E-2</v>
      </c>
      <c r="M261" s="16"/>
      <c r="N261" s="32"/>
      <c r="O261" s="16"/>
      <c r="Q261" s="16"/>
    </row>
    <row r="262" spans="2:17" hidden="1" outlineLevel="1" x14ac:dyDescent="0.3">
      <c r="B262" s="34">
        <v>44283</v>
      </c>
      <c r="C262" s="35">
        <v>15752.2</v>
      </c>
      <c r="D262" s="32">
        <f t="shared" si="25"/>
        <v>-1.2797372840991583E-2</v>
      </c>
      <c r="E262">
        <v>52.51</v>
      </c>
      <c r="F262" s="32">
        <f t="shared" si="26"/>
        <v>-1.2598721323806017E-2</v>
      </c>
      <c r="G262">
        <v>45.68</v>
      </c>
      <c r="H262" s="32">
        <f t="shared" si="27"/>
        <v>-4.1343126967471111E-2</v>
      </c>
      <c r="I262">
        <v>141.28</v>
      </c>
      <c r="J262" s="32">
        <f t="shared" si="28"/>
        <v>-9.0481868555796208E-3</v>
      </c>
      <c r="K262">
        <v>34.5</v>
      </c>
      <c r="L262" s="32">
        <f t="shared" si="29"/>
        <v>-1.9050326983224397E-2</v>
      </c>
      <c r="M262" s="16"/>
      <c r="N262" s="32"/>
      <c r="O262" s="16"/>
      <c r="Q262" s="16"/>
    </row>
    <row r="263" spans="2:17" hidden="1" outlineLevel="1" x14ac:dyDescent="0.3">
      <c r="B263" s="34">
        <v>44276</v>
      </c>
      <c r="C263" s="35">
        <v>15682.5</v>
      </c>
      <c r="D263" s="32">
        <f t="shared" si="25"/>
        <v>-4.4247787610619538E-3</v>
      </c>
      <c r="E263">
        <v>53.04</v>
      </c>
      <c r="F263" s="32">
        <f t="shared" si="26"/>
        <v>1.0093315558941107E-2</v>
      </c>
      <c r="G263">
        <v>45.83</v>
      </c>
      <c r="H263" s="32">
        <f t="shared" si="27"/>
        <v>3.2837127845883884E-3</v>
      </c>
      <c r="I263">
        <v>142.69999999999999</v>
      </c>
      <c r="J263" s="32">
        <f t="shared" si="28"/>
        <v>1.0050962627406568E-2</v>
      </c>
      <c r="K263">
        <v>35.24</v>
      </c>
      <c r="L263" s="32">
        <f t="shared" si="29"/>
        <v>2.1449275362318998E-2</v>
      </c>
      <c r="M263" s="16"/>
      <c r="N263" s="32"/>
      <c r="O263" s="16"/>
      <c r="Q263" s="16"/>
    </row>
    <row r="264" spans="2:17" hidden="1" outlineLevel="1" x14ac:dyDescent="0.3">
      <c r="B264" s="34">
        <v>44269</v>
      </c>
      <c r="C264" s="35">
        <v>15562.3</v>
      </c>
      <c r="D264" s="32">
        <f t="shared" si="25"/>
        <v>-7.6645942930018141E-3</v>
      </c>
      <c r="E264">
        <v>50.81</v>
      </c>
      <c r="F264" s="32">
        <f t="shared" si="26"/>
        <v>-4.20437405731523E-2</v>
      </c>
      <c r="G264">
        <v>43.96</v>
      </c>
      <c r="H264" s="32">
        <f t="shared" si="27"/>
        <v>-4.0802967488544617E-2</v>
      </c>
      <c r="I264">
        <v>134.5</v>
      </c>
      <c r="J264" s="32">
        <f t="shared" si="28"/>
        <v>-5.746320953048345E-2</v>
      </c>
      <c r="K264">
        <v>34.14</v>
      </c>
      <c r="L264" s="32">
        <f t="shared" si="29"/>
        <v>-3.121452894438137E-2</v>
      </c>
      <c r="M264" s="16"/>
      <c r="N264" s="32"/>
      <c r="O264" s="16"/>
      <c r="Q264" s="16"/>
    </row>
    <row r="265" spans="2:17" hidden="1" outlineLevel="1" x14ac:dyDescent="0.3">
      <c r="B265" s="34">
        <v>44262</v>
      </c>
      <c r="C265" s="35">
        <v>15715.2</v>
      </c>
      <c r="D265" s="32">
        <f t="shared" si="25"/>
        <v>9.8250258637861965E-3</v>
      </c>
      <c r="E265">
        <v>50.36</v>
      </c>
      <c r="F265" s="32">
        <f t="shared" si="26"/>
        <v>-8.8565243062389554E-3</v>
      </c>
      <c r="G265">
        <v>44.47</v>
      </c>
      <c r="H265" s="32">
        <f t="shared" si="27"/>
        <v>1.1601455868971655E-2</v>
      </c>
      <c r="I265">
        <v>133.04</v>
      </c>
      <c r="J265" s="32">
        <f t="shared" si="28"/>
        <v>-1.0855018587360599E-2</v>
      </c>
      <c r="K265">
        <v>33.369999999999997</v>
      </c>
      <c r="L265" s="32">
        <f t="shared" si="29"/>
        <v>-2.2554188635032335E-2</v>
      </c>
      <c r="M265" s="16"/>
      <c r="N265" s="32"/>
      <c r="O265" s="16"/>
      <c r="Q265" s="16"/>
    </row>
    <row r="266" spans="2:17" hidden="1" outlineLevel="1" x14ac:dyDescent="0.3">
      <c r="B266" s="34">
        <v>44255</v>
      </c>
      <c r="C266" s="35">
        <v>15251.8</v>
      </c>
      <c r="D266" s="32">
        <f t="shared" ref="D266:D269" si="30">C266/C265-1</f>
        <v>-2.9487375279983796E-2</v>
      </c>
      <c r="E266">
        <v>50.79</v>
      </c>
      <c r="F266" s="32">
        <f t="shared" ref="F266:F269" si="31">E266/E265-1</f>
        <v>8.5385226370136014E-3</v>
      </c>
      <c r="G266">
        <v>43.21</v>
      </c>
      <c r="H266" s="32">
        <f t="shared" ref="H266:H269" si="32">G266/G265-1</f>
        <v>-2.8333708117832201E-2</v>
      </c>
      <c r="I266">
        <v>133.03</v>
      </c>
      <c r="J266" s="32">
        <f t="shared" ref="J266:J269" si="33">I266/I265-1</f>
        <v>-7.5165363800255847E-5</v>
      </c>
      <c r="K266">
        <v>31.53</v>
      </c>
      <c r="L266" s="32">
        <f t="shared" ref="L266:L269" si="34">K266/K265-1</f>
        <v>-5.5139346718609428E-2</v>
      </c>
      <c r="M266" s="16"/>
      <c r="N266" s="32"/>
      <c r="O266" s="16"/>
      <c r="Q266" s="16"/>
    </row>
    <row r="267" spans="2:17" collapsed="1" x14ac:dyDescent="0.3">
      <c r="B267" s="34">
        <v>44248</v>
      </c>
      <c r="C267" s="35">
        <v>15010.5</v>
      </c>
      <c r="D267" s="32">
        <f t="shared" si="30"/>
        <v>-1.5821083413105286E-2</v>
      </c>
      <c r="E267">
        <v>48.99</v>
      </c>
      <c r="F267" s="32">
        <f t="shared" si="31"/>
        <v>-3.5440047253396334E-2</v>
      </c>
      <c r="G267">
        <v>43.87</v>
      </c>
      <c r="H267" s="32">
        <f t="shared" si="32"/>
        <v>1.5274242073594069E-2</v>
      </c>
      <c r="I267">
        <v>129.19</v>
      </c>
      <c r="J267" s="32">
        <f t="shared" si="33"/>
        <v>-2.8865669397880156E-2</v>
      </c>
      <c r="K267">
        <v>30.52</v>
      </c>
      <c r="L267" s="32">
        <f t="shared" si="34"/>
        <v>-3.2032984459245184E-2</v>
      </c>
      <c r="M267" s="16"/>
      <c r="N267" s="32"/>
      <c r="O267" s="16"/>
      <c r="Q267" s="16"/>
    </row>
    <row r="268" spans="2:17" x14ac:dyDescent="0.3">
      <c r="B268" s="34">
        <v>44241</v>
      </c>
      <c r="C268" s="35">
        <v>15362.7</v>
      </c>
      <c r="D268" s="32">
        <f t="shared" si="30"/>
        <v>2.3463575497151945E-2</v>
      </c>
      <c r="E268">
        <v>50.11</v>
      </c>
      <c r="F268" s="32">
        <f t="shared" si="31"/>
        <v>2.2861808532353534E-2</v>
      </c>
      <c r="G268">
        <v>44.83</v>
      </c>
      <c r="H268" s="32">
        <f t="shared" si="32"/>
        <v>2.1882835650786525E-2</v>
      </c>
      <c r="I268">
        <v>132.51</v>
      </c>
      <c r="J268" s="32">
        <f t="shared" si="33"/>
        <v>2.5698583481693626E-2</v>
      </c>
      <c r="K268">
        <v>31.24</v>
      </c>
      <c r="L268" s="32">
        <f t="shared" si="34"/>
        <v>2.3591087811271283E-2</v>
      </c>
      <c r="M268" s="16"/>
      <c r="N268" s="32"/>
      <c r="O268" s="16"/>
      <c r="Q268" s="16"/>
    </row>
    <row r="269" spans="2:17" x14ac:dyDescent="0.3">
      <c r="B269" s="34">
        <v>44234</v>
      </c>
      <c r="C269" s="35">
        <v>15369.6</v>
      </c>
      <c r="D269" s="32">
        <f t="shared" si="30"/>
        <v>4.491397996446711E-4</v>
      </c>
      <c r="E269">
        <v>50.69</v>
      </c>
      <c r="F269" s="32">
        <f t="shared" si="31"/>
        <v>1.15745360207542E-2</v>
      </c>
      <c r="G269">
        <v>45.87</v>
      </c>
      <c r="H269" s="32">
        <f t="shared" si="32"/>
        <v>2.3198750836493476E-2</v>
      </c>
      <c r="I269">
        <v>133.87</v>
      </c>
      <c r="J269" s="32">
        <f t="shared" si="33"/>
        <v>1.02633763489548E-2</v>
      </c>
      <c r="K269">
        <v>31.77</v>
      </c>
      <c r="L269" s="32">
        <f t="shared" si="34"/>
        <v>1.6965428937260052E-2</v>
      </c>
      <c r="M269" s="16"/>
      <c r="N269" s="32"/>
      <c r="O269" s="16"/>
      <c r="Q269" s="16"/>
    </row>
    <row r="270" spans="2:17" x14ac:dyDescent="0.3">
      <c r="C270" s="35"/>
      <c r="D270" s="35"/>
      <c r="E270" s="34"/>
      <c r="G270" s="33"/>
      <c r="I270" s="33"/>
      <c r="K270" s="33"/>
      <c r="M270" s="16"/>
      <c r="O270" s="16"/>
      <c r="Q270" s="16"/>
    </row>
    <row r="271" spans="2:17" x14ac:dyDescent="0.3">
      <c r="G271" s="33"/>
      <c r="I271" s="33"/>
      <c r="M271" s="16"/>
      <c r="O271" s="16"/>
    </row>
    <row r="272" spans="2:17" x14ac:dyDescent="0.3">
      <c r="I272" s="33"/>
      <c r="O272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097C-34BF-4F85-86B3-AC5F1807F2AA}">
  <dimension ref="A2:J41"/>
  <sheetViews>
    <sheetView showGridLines="0" topLeftCell="A22" workbookViewId="0">
      <selection activeCell="B41" sqref="B41"/>
    </sheetView>
  </sheetViews>
  <sheetFormatPr defaultRowHeight="13.8" x14ac:dyDescent="0.3"/>
  <cols>
    <col min="1" max="1" width="2.88671875" style="58" customWidth="1"/>
    <col min="2" max="2" width="12" style="58" customWidth="1"/>
    <col min="3" max="3" width="10" style="58" customWidth="1"/>
    <col min="4" max="4" width="11.44140625" style="58" customWidth="1"/>
    <col min="5" max="5" width="15.109375" style="58" bestFit="1" customWidth="1"/>
    <col min="6" max="6" width="14.88671875" style="58" customWidth="1"/>
    <col min="7" max="7" width="13.109375" style="58" customWidth="1"/>
    <col min="8" max="8" width="11.44140625" style="58" customWidth="1"/>
    <col min="9" max="9" width="20.21875" style="58" customWidth="1"/>
    <col min="10" max="10" width="7.33203125" style="58" customWidth="1"/>
    <col min="11" max="12" width="14.33203125" style="58" customWidth="1"/>
    <col min="13" max="13" width="15.109375" style="58" bestFit="1" customWidth="1"/>
    <col min="14" max="16384" width="8.88671875" style="58"/>
  </cols>
  <sheetData>
    <row r="2" spans="1:10" customFormat="1" ht="14.4" x14ac:dyDescent="0.3">
      <c r="B2" s="2" t="s">
        <v>0</v>
      </c>
      <c r="C2" s="3"/>
      <c r="D2" s="3"/>
      <c r="E2" s="3"/>
      <c r="F2" s="3"/>
      <c r="G2" s="4"/>
      <c r="H2" s="4"/>
      <c r="I2" s="5"/>
      <c r="J2" s="5"/>
    </row>
    <row r="3" spans="1:10" customFormat="1" ht="14.4" x14ac:dyDescent="0.3">
      <c r="B3" s="17" t="s">
        <v>426</v>
      </c>
      <c r="C3" s="4"/>
      <c r="D3" s="4"/>
      <c r="E3" s="4"/>
      <c r="F3" s="4"/>
      <c r="G3" s="4"/>
      <c r="H3" s="4"/>
      <c r="I3" s="5"/>
      <c r="J3" s="5"/>
    </row>
    <row r="4" spans="1:10" customFormat="1" ht="14.4" x14ac:dyDescent="0.3">
      <c r="B4" s="6" t="s">
        <v>1</v>
      </c>
      <c r="C4" s="4"/>
      <c r="D4" s="4"/>
      <c r="E4" s="4"/>
      <c r="F4" s="4"/>
      <c r="G4" s="4"/>
      <c r="H4" s="4"/>
      <c r="I4" s="5"/>
      <c r="J4" s="5"/>
    </row>
    <row r="6" spans="1:10" x14ac:dyDescent="0.3">
      <c r="A6" s="241" t="s">
        <v>483</v>
      </c>
      <c r="B6" s="57" t="s">
        <v>429</v>
      </c>
      <c r="C6" s="57"/>
      <c r="D6" s="57"/>
      <c r="E6" s="57"/>
      <c r="F6" s="57"/>
      <c r="G6" s="57"/>
      <c r="H6" s="57"/>
      <c r="I6" s="57"/>
      <c r="J6" s="57"/>
    </row>
    <row r="8" spans="1:10" x14ac:dyDescent="0.3">
      <c r="B8" s="242" t="s">
        <v>435</v>
      </c>
      <c r="C8" s="243"/>
      <c r="D8" s="243"/>
      <c r="F8" s="242" t="s">
        <v>449</v>
      </c>
      <c r="G8" s="249"/>
      <c r="I8" s="243"/>
      <c r="J8" s="243"/>
    </row>
    <row r="9" spans="1:10" x14ac:dyDescent="0.3">
      <c r="B9" s="246" t="s">
        <v>2</v>
      </c>
      <c r="C9" s="246" t="s">
        <v>431</v>
      </c>
      <c r="D9" s="246" t="s">
        <v>432</v>
      </c>
      <c r="F9" s="56" t="s">
        <v>460</v>
      </c>
      <c r="I9" s="56" t="s">
        <v>461</v>
      </c>
    </row>
    <row r="10" spans="1:10" x14ac:dyDescent="0.3">
      <c r="B10" s="59">
        <v>25600</v>
      </c>
      <c r="C10" s="58">
        <v>1970</v>
      </c>
      <c r="D10" s="60">
        <v>529.70000000000005</v>
      </c>
      <c r="F10" s="58" t="s">
        <v>450</v>
      </c>
      <c r="G10" s="61">
        <v>123.59699999999999</v>
      </c>
      <c r="I10" s="58" t="s">
        <v>455</v>
      </c>
      <c r="J10" s="62">
        <f>WACC!E28</f>
        <v>4.054E-2</v>
      </c>
    </row>
    <row r="11" spans="1:10" ht="15" x14ac:dyDescent="0.3">
      <c r="B11" s="250">
        <v>46070</v>
      </c>
      <c r="C11" s="243">
        <v>2026</v>
      </c>
      <c r="D11" s="251">
        <v>23326.1</v>
      </c>
      <c r="F11" s="58" t="s">
        <v>453</v>
      </c>
      <c r="G11" s="58">
        <v>100</v>
      </c>
      <c r="I11" s="58" t="s">
        <v>462</v>
      </c>
      <c r="J11" s="62">
        <v>7.0000000000000001E-3</v>
      </c>
    </row>
    <row r="12" spans="1:10" x14ac:dyDescent="0.3">
      <c r="F12" s="58" t="s">
        <v>451</v>
      </c>
      <c r="G12" s="63">
        <v>70704</v>
      </c>
      <c r="I12" s="64" t="s">
        <v>449</v>
      </c>
      <c r="J12" s="65">
        <f>J10+J11</f>
        <v>4.7539999999999999E-2</v>
      </c>
    </row>
    <row r="13" spans="1:10" x14ac:dyDescent="0.3">
      <c r="B13" s="58" t="s">
        <v>433</v>
      </c>
      <c r="C13" s="61"/>
      <c r="D13" s="61">
        <f>YEARFRAC(B10,B11,1)</f>
        <v>56.044478601277675</v>
      </c>
      <c r="F13" s="58" t="s">
        <v>433</v>
      </c>
      <c r="G13" s="61">
        <f>YEARFRAC(FCFF!E8,WACC!G12,1)</f>
        <v>67.576303467978732</v>
      </c>
    </row>
    <row r="14" spans="1:10" x14ac:dyDescent="0.3">
      <c r="B14" s="64" t="s">
        <v>434</v>
      </c>
      <c r="C14" s="66"/>
      <c r="D14" s="66">
        <f>(D11/D10)^(1/D13)-1</f>
        <v>6.9868725863433623E-2</v>
      </c>
      <c r="F14" s="58" t="s">
        <v>452</v>
      </c>
      <c r="G14" s="67">
        <v>7.3749999999999996E-2</v>
      </c>
      <c r="I14" s="58" t="s">
        <v>464</v>
      </c>
      <c r="J14" s="62">
        <v>0.25</v>
      </c>
    </row>
    <row r="15" spans="1:10" x14ac:dyDescent="0.3">
      <c r="F15" s="64" t="s">
        <v>454</v>
      </c>
      <c r="G15" s="65">
        <f>RATE(G13,(G11*G14),-G10,G11,0)</f>
        <v>5.9435680015074835E-2</v>
      </c>
      <c r="I15" s="64" t="s">
        <v>456</v>
      </c>
      <c r="J15" s="66">
        <f>G15*(1-J14)</f>
        <v>4.457676001130613E-2</v>
      </c>
    </row>
    <row r="17" spans="2:9" x14ac:dyDescent="0.3">
      <c r="B17" s="242" t="s">
        <v>446</v>
      </c>
      <c r="C17" s="243"/>
      <c r="D17" s="243"/>
      <c r="E17" s="243"/>
      <c r="F17" s="243"/>
      <c r="G17" s="243"/>
      <c r="H17" s="243"/>
      <c r="I17" s="243"/>
    </row>
    <row r="18" spans="2:9" x14ac:dyDescent="0.3">
      <c r="B18" s="244" t="s">
        <v>442</v>
      </c>
      <c r="C18" s="245"/>
      <c r="D18" s="246"/>
      <c r="E18" s="247" t="s">
        <v>448</v>
      </c>
      <c r="F18" s="247" t="s">
        <v>443</v>
      </c>
      <c r="G18" s="247" t="s">
        <v>444</v>
      </c>
      <c r="H18" s="247" t="s">
        <v>445</v>
      </c>
      <c r="I18" s="248" t="s">
        <v>446</v>
      </c>
    </row>
    <row r="19" spans="2:9" x14ac:dyDescent="0.3">
      <c r="B19" s="69" t="s">
        <v>0</v>
      </c>
      <c r="E19" s="61">
        <f>Beta!F6</f>
        <v>0.43464450159752116</v>
      </c>
      <c r="F19" s="70">
        <v>338451</v>
      </c>
      <c r="G19" s="70">
        <v>28534</v>
      </c>
      <c r="H19" s="70">
        <f>SUM(F19:G19)</f>
        <v>366985</v>
      </c>
      <c r="I19" s="71">
        <f>E19/(G19*(1-FCFF!$E$10)+F19)*F19</f>
        <v>0.40879603450362895</v>
      </c>
    </row>
    <row r="20" spans="2:9" x14ac:dyDescent="0.3">
      <c r="B20" s="69" t="s">
        <v>436</v>
      </c>
      <c r="E20" s="61">
        <f>Beta!H6</f>
        <v>0.32854974382151642</v>
      </c>
      <c r="F20" s="70">
        <v>79608</v>
      </c>
      <c r="G20" s="70">
        <v>-3116</v>
      </c>
      <c r="H20" s="70">
        <f>SUM(F20:G20)</f>
        <v>76492</v>
      </c>
      <c r="I20" s="72">
        <f>E20/(G20*(1-FCFF!$E$10)+F20)*F20</f>
        <v>0.33848646977706098</v>
      </c>
    </row>
    <row r="21" spans="2:9" x14ac:dyDescent="0.3">
      <c r="B21" s="69" t="s">
        <v>465</v>
      </c>
      <c r="C21" s="62"/>
      <c r="E21" s="61">
        <f>Beta!J6</f>
        <v>0.33852079778913552</v>
      </c>
      <c r="F21" s="70">
        <v>226782</v>
      </c>
      <c r="G21" s="70">
        <v>38827</v>
      </c>
      <c r="H21" s="70">
        <f>SUM(F21:G21)</f>
        <v>265609</v>
      </c>
      <c r="I21" s="72">
        <f>E21/(G21*(1-FCFF!$E$10)+F21)*F21</f>
        <v>0.2999990174537962</v>
      </c>
    </row>
    <row r="22" spans="2:9" x14ac:dyDescent="0.3">
      <c r="B22" s="69" t="s">
        <v>438</v>
      </c>
      <c r="C22" s="62"/>
      <c r="E22" s="61">
        <f>Beta!L6</f>
        <v>0.27251843342617105</v>
      </c>
      <c r="F22" s="70">
        <v>40336</v>
      </c>
      <c r="G22" s="70">
        <v>12981</v>
      </c>
      <c r="H22" s="70">
        <f>SUM(F22:G22)</f>
        <v>53317</v>
      </c>
      <c r="I22" s="72">
        <f>E22/(G22*(1-FCFF!$E$10)+F22)*F22</f>
        <v>0.21953104356604342</v>
      </c>
    </row>
    <row r="23" spans="2:9" x14ac:dyDescent="0.3">
      <c r="B23" s="69"/>
      <c r="H23" s="73"/>
      <c r="I23" s="74"/>
    </row>
    <row r="24" spans="2:9" x14ac:dyDescent="0.3">
      <c r="B24" s="81"/>
      <c r="C24" s="79"/>
      <c r="D24" s="79"/>
      <c r="E24" s="80" t="s">
        <v>446</v>
      </c>
      <c r="F24" s="80" t="s">
        <v>443</v>
      </c>
      <c r="G24" s="80" t="s">
        <v>444</v>
      </c>
      <c r="H24" s="80" t="s">
        <v>445</v>
      </c>
      <c r="I24" s="82" t="s">
        <v>448</v>
      </c>
    </row>
    <row r="25" spans="2:9" x14ac:dyDescent="0.3">
      <c r="B25" s="83" t="s">
        <v>448</v>
      </c>
      <c r="C25" s="68"/>
      <c r="D25" s="68"/>
      <c r="E25" s="75">
        <f>AVERAGE(I19:I22)</f>
        <v>0.31670314132513239</v>
      </c>
      <c r="F25" s="76">
        <f>F19</f>
        <v>338451</v>
      </c>
      <c r="G25" s="76">
        <f>G19</f>
        <v>28534</v>
      </c>
      <c r="H25" s="76">
        <f>H19</f>
        <v>366985</v>
      </c>
      <c r="I25" s="77">
        <f>(E25/F25)*(G25*(1-J14)+WACC!F25)</f>
        <v>0.33672850858931092</v>
      </c>
    </row>
    <row r="27" spans="2:9" x14ac:dyDescent="0.3">
      <c r="B27" s="242" t="s">
        <v>428</v>
      </c>
      <c r="C27" s="243"/>
      <c r="D27" s="243"/>
      <c r="E27" s="243"/>
    </row>
    <row r="28" spans="2:9" ht="15" x14ac:dyDescent="0.3">
      <c r="B28" s="58" t="s">
        <v>463</v>
      </c>
      <c r="E28" s="62">
        <v>4.054E-2</v>
      </c>
    </row>
    <row r="29" spans="2:9" x14ac:dyDescent="0.3">
      <c r="B29" s="58" t="s">
        <v>481</v>
      </c>
      <c r="E29" s="62">
        <v>4.4600000000000001E-2</v>
      </c>
    </row>
    <row r="30" spans="2:9" x14ac:dyDescent="0.3">
      <c r="B30" s="58" t="s">
        <v>482</v>
      </c>
      <c r="E30" s="62">
        <f>D14</f>
        <v>6.9868725863433623E-2</v>
      </c>
    </row>
    <row r="31" spans="2:9" x14ac:dyDescent="0.3">
      <c r="B31" s="58" t="s">
        <v>448</v>
      </c>
      <c r="E31" s="61">
        <f>I25</f>
        <v>0.33672850858931092</v>
      </c>
    </row>
    <row r="32" spans="2:9" x14ac:dyDescent="0.3">
      <c r="B32" s="64" t="s">
        <v>428</v>
      </c>
      <c r="C32" s="64"/>
      <c r="D32" s="64"/>
      <c r="E32" s="66">
        <f>E28+(E30+E29-E28)*E31</f>
        <v>6.5433909601902027E-2</v>
      </c>
    </row>
    <row r="34" spans="2:10" x14ac:dyDescent="0.3">
      <c r="B34" s="64" t="s">
        <v>426</v>
      </c>
      <c r="C34" s="78"/>
      <c r="D34" s="78"/>
      <c r="E34" s="66">
        <f>E32*(F25/H25)+J15*(G25/H25)</f>
        <v>6.3812214147270202E-2</v>
      </c>
    </row>
    <row r="37" spans="2:10" x14ac:dyDescent="0.3">
      <c r="B37" s="56" t="s">
        <v>457</v>
      </c>
      <c r="C37" s="56"/>
      <c r="D37" s="56"/>
      <c r="E37" s="56"/>
      <c r="F37" s="56"/>
    </row>
    <row r="38" spans="2:10" x14ac:dyDescent="0.3">
      <c r="B38" s="56" t="s">
        <v>458</v>
      </c>
      <c r="C38" s="56"/>
      <c r="D38" s="56"/>
      <c r="E38" s="56"/>
      <c r="F38" s="56"/>
    </row>
    <row r="39" spans="2:10" x14ac:dyDescent="0.3">
      <c r="B39" s="56" t="s">
        <v>459</v>
      </c>
      <c r="C39" s="56"/>
      <c r="D39" s="56"/>
      <c r="E39" s="56"/>
      <c r="F39" s="56"/>
    </row>
    <row r="40" spans="2:10" x14ac:dyDescent="0.3">
      <c r="B40" s="56"/>
      <c r="C40" s="56"/>
      <c r="D40" s="56"/>
      <c r="E40" s="56"/>
      <c r="F40" s="56"/>
    </row>
    <row r="41" spans="2:10" x14ac:dyDescent="0.3">
      <c r="B41" s="57"/>
      <c r="C41" s="57"/>
      <c r="D41" s="57"/>
      <c r="E41" s="57"/>
      <c r="F41" s="57"/>
      <c r="G41" s="57"/>
      <c r="H41" s="57"/>
      <c r="I41" s="57"/>
      <c r="J41" s="5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44BB-ADB2-4E8B-BEE4-BBFD8A0D9E43}">
  <dimension ref="A1:J45"/>
  <sheetViews>
    <sheetView showGridLines="0" workbookViewId="0">
      <selection activeCell="L9" sqref="L9"/>
    </sheetView>
  </sheetViews>
  <sheetFormatPr defaultRowHeight="14.4" x14ac:dyDescent="0.3"/>
  <cols>
    <col min="1" max="1" width="2.88671875" style="40" customWidth="1"/>
    <col min="5" max="6" width="12" customWidth="1"/>
    <col min="7" max="10" width="11" customWidth="1"/>
    <col min="11" max="11" width="7.6640625" customWidth="1"/>
  </cols>
  <sheetData>
    <row r="1" spans="1:10" x14ac:dyDescent="0.3">
      <c r="B1" s="2" t="s">
        <v>0</v>
      </c>
      <c r="C1" s="3"/>
      <c r="D1" s="3"/>
      <c r="E1" s="3"/>
      <c r="F1" s="4"/>
      <c r="G1" s="5"/>
      <c r="H1" s="5"/>
      <c r="I1" s="5"/>
      <c r="J1" s="5"/>
    </row>
    <row r="2" spans="1:10" x14ac:dyDescent="0.3">
      <c r="B2" s="17" t="s">
        <v>420</v>
      </c>
      <c r="C2" s="4"/>
      <c r="D2" s="4"/>
      <c r="E2" s="4"/>
      <c r="F2" s="4"/>
      <c r="G2" s="5"/>
      <c r="H2" s="5"/>
      <c r="I2" s="5"/>
      <c r="J2" s="5"/>
    </row>
    <row r="3" spans="1:10" x14ac:dyDescent="0.3">
      <c r="B3" s="6" t="s">
        <v>1</v>
      </c>
      <c r="C3" s="4"/>
      <c r="D3" s="4"/>
      <c r="E3" s="4"/>
      <c r="F3" s="4"/>
      <c r="G3" s="5"/>
      <c r="H3" s="5"/>
      <c r="I3" s="5"/>
      <c r="J3" s="5"/>
    </row>
    <row r="4" spans="1:10" x14ac:dyDescent="0.3">
      <c r="B4" s="231" t="s">
        <v>2</v>
      </c>
      <c r="C4" s="232"/>
      <c r="D4" s="232"/>
      <c r="E4" s="232"/>
      <c r="F4" s="237">
        <f>Schedule!L5</f>
        <v>46022</v>
      </c>
      <c r="G4" s="233">
        <f>Schedule!M5</f>
        <v>46387</v>
      </c>
      <c r="H4" s="233">
        <f>Schedule!N5</f>
        <v>46752</v>
      </c>
      <c r="I4" s="233">
        <f>Schedule!O5</f>
        <v>47118</v>
      </c>
      <c r="J4" s="234">
        <f>Schedule!P5</f>
        <v>47483</v>
      </c>
    </row>
    <row r="5" spans="1:10" x14ac:dyDescent="0.3">
      <c r="B5" s="225" t="s">
        <v>3</v>
      </c>
      <c r="C5" s="226"/>
      <c r="D5" s="226"/>
      <c r="E5" s="226"/>
      <c r="F5" s="238" t="s">
        <v>5</v>
      </c>
      <c r="G5" s="235" t="s">
        <v>5</v>
      </c>
      <c r="H5" s="235" t="s">
        <v>5</v>
      </c>
      <c r="I5" s="235" t="s">
        <v>5</v>
      </c>
      <c r="J5" s="236" t="s">
        <v>5</v>
      </c>
    </row>
    <row r="7" spans="1:10" x14ac:dyDescent="0.3">
      <c r="B7" s="1" t="s">
        <v>422</v>
      </c>
    </row>
    <row r="8" spans="1:10" x14ac:dyDescent="0.3">
      <c r="B8" s="43" t="s">
        <v>423</v>
      </c>
      <c r="C8" s="44"/>
      <c r="D8" s="45"/>
      <c r="E8" s="46">
        <v>46022</v>
      </c>
      <c r="G8" s="107" t="s">
        <v>478</v>
      </c>
      <c r="H8" s="108"/>
      <c r="I8" s="109">
        <f>F33</f>
        <v>83.889061444246067</v>
      </c>
    </row>
    <row r="9" spans="1:10" x14ac:dyDescent="0.3">
      <c r="B9" s="47" t="s">
        <v>424</v>
      </c>
      <c r="C9" s="41"/>
      <c r="D9" s="42"/>
      <c r="E9" s="48">
        <v>46022</v>
      </c>
      <c r="G9" s="110" t="s">
        <v>479</v>
      </c>
      <c r="H9" s="111"/>
      <c r="I9" s="112">
        <v>70.069999999999993</v>
      </c>
    </row>
    <row r="10" spans="1:10" x14ac:dyDescent="0.3">
      <c r="B10" s="47" t="s">
        <v>447</v>
      </c>
      <c r="C10" s="41"/>
      <c r="D10" s="42"/>
      <c r="E10" s="49">
        <v>0.25</v>
      </c>
      <c r="G10" s="113" t="s">
        <v>480</v>
      </c>
      <c r="H10" s="114"/>
      <c r="I10" s="115">
        <f>I9/I8-1</f>
        <v>-0.1647301949304848</v>
      </c>
    </row>
    <row r="11" spans="1:10" x14ac:dyDescent="0.3">
      <c r="B11" s="47" t="s">
        <v>426</v>
      </c>
      <c r="C11" s="41"/>
      <c r="D11" s="42"/>
      <c r="E11" s="49">
        <f>WACC!E34</f>
        <v>6.3812214147270202E-2</v>
      </c>
    </row>
    <row r="12" spans="1:10" x14ac:dyDescent="0.3">
      <c r="B12" s="50" t="s">
        <v>427</v>
      </c>
      <c r="C12" s="51"/>
      <c r="D12" s="52"/>
      <c r="E12" s="53">
        <v>0.02</v>
      </c>
    </row>
    <row r="14" spans="1:10" x14ac:dyDescent="0.3">
      <c r="A14" s="40" t="s">
        <v>483</v>
      </c>
      <c r="B14" s="7" t="s">
        <v>420</v>
      </c>
      <c r="C14" s="4"/>
      <c r="D14" s="4"/>
      <c r="E14" s="4"/>
      <c r="F14" s="4"/>
      <c r="G14" s="4"/>
      <c r="H14" s="4"/>
      <c r="I14" s="4"/>
      <c r="J14" s="4"/>
    </row>
    <row r="15" spans="1:10" x14ac:dyDescent="0.3">
      <c r="B15" t="s">
        <v>415</v>
      </c>
      <c r="F15" s="122">
        <f>Historicals!L27</f>
        <v>15067.342208511525</v>
      </c>
      <c r="G15" s="8">
        <f>Historicals!M27</f>
        <v>16386.105081765691</v>
      </c>
      <c r="H15" s="8">
        <f>Historicals!N27</f>
        <v>17650.417060543401</v>
      </c>
      <c r="I15" s="8">
        <f>Historicals!O27</f>
        <v>18822.421751451526</v>
      </c>
      <c r="J15" s="8">
        <f>Historicals!P27</f>
        <v>19684.619693371762</v>
      </c>
    </row>
    <row r="16" spans="1:10" x14ac:dyDescent="0.3">
      <c r="B16" s="12" t="s">
        <v>425</v>
      </c>
      <c r="C16" s="12"/>
      <c r="D16" s="12"/>
      <c r="E16" s="12"/>
      <c r="F16" s="123">
        <f>tax_rate</f>
        <v>0.25</v>
      </c>
      <c r="G16" s="31">
        <f>tax_rate</f>
        <v>0.25</v>
      </c>
      <c r="H16" s="31">
        <f>tax_rate</f>
        <v>0.25</v>
      </c>
      <c r="I16" s="31">
        <f>tax_rate</f>
        <v>0.25</v>
      </c>
      <c r="J16" s="31">
        <f>tax_rate</f>
        <v>0.25</v>
      </c>
    </row>
    <row r="17" spans="2:10" x14ac:dyDescent="0.3">
      <c r="B17" s="25" t="s">
        <v>416</v>
      </c>
      <c r="F17" s="122">
        <f>F15*F16</f>
        <v>3766.8355521278813</v>
      </c>
      <c r="G17" s="8">
        <f t="shared" ref="G17:J17" si="0">G15*G16</f>
        <v>4096.5262704414226</v>
      </c>
      <c r="H17" s="8">
        <f t="shared" si="0"/>
        <v>4412.6042651358503</v>
      </c>
      <c r="I17" s="8">
        <f t="shared" si="0"/>
        <v>4705.6054378628814</v>
      </c>
      <c r="J17" s="8">
        <f t="shared" si="0"/>
        <v>4921.1549233429405</v>
      </c>
    </row>
    <row r="18" spans="2:10" x14ac:dyDescent="0.3">
      <c r="B18" s="1" t="s">
        <v>417</v>
      </c>
      <c r="C18" s="1"/>
      <c r="D18" s="1"/>
      <c r="E18" s="1"/>
      <c r="F18" s="124">
        <f>F15-F17</f>
        <v>11300.506656383644</v>
      </c>
      <c r="G18" s="15">
        <f t="shared" ref="G18:I18" si="1">G15-G17</f>
        <v>12289.578811324267</v>
      </c>
      <c r="H18" s="15">
        <f t="shared" si="1"/>
        <v>13237.81279540755</v>
      </c>
      <c r="I18" s="15">
        <f t="shared" si="1"/>
        <v>14116.816313588644</v>
      </c>
      <c r="J18" s="15">
        <f>J15-J17</f>
        <v>14763.464770028822</v>
      </c>
    </row>
    <row r="19" spans="2:10" x14ac:dyDescent="0.3">
      <c r="B19" s="25" t="s">
        <v>418</v>
      </c>
      <c r="F19" s="122">
        <f>Schedule!L17</f>
        <v>1187.2784808038618</v>
      </c>
      <c r="G19" s="8">
        <f>Schedule!M17</f>
        <v>1274.468209480613</v>
      </c>
      <c r="H19" s="8">
        <f>Schedule!N17</f>
        <v>1369.5624562789583</v>
      </c>
      <c r="I19" s="8">
        <f>Schedule!O17</f>
        <v>1449.7138818739161</v>
      </c>
      <c r="J19" s="8">
        <f>Schedule!P17</f>
        <v>1506.5634326606237</v>
      </c>
    </row>
    <row r="20" spans="2:10" x14ac:dyDescent="0.3">
      <c r="B20" s="25" t="s">
        <v>421</v>
      </c>
      <c r="F20" s="122">
        <f>SUM(Historicals!L122:L126)</f>
        <v>-5402.2884819169431</v>
      </c>
      <c r="G20" s="8">
        <f>SUM(Historicals!M122:M126)</f>
        <v>559.54087342626417</v>
      </c>
      <c r="H20" s="8">
        <f>SUM(Historicals!N122:N126)</f>
        <v>536.63226014098086</v>
      </c>
      <c r="I20" s="8">
        <f>SUM(Historicals!O122:O126)</f>
        <v>499.40428415723545</v>
      </c>
      <c r="J20" s="8">
        <f>SUM(Historicals!P122:P126)</f>
        <v>370.40249687926803</v>
      </c>
    </row>
    <row r="21" spans="2:10" x14ac:dyDescent="0.3">
      <c r="B21" s="25" t="s">
        <v>419</v>
      </c>
      <c r="F21" s="122">
        <f>Schedule!L11</f>
        <v>2716.4114834655447</v>
      </c>
      <c r="G21" s="8">
        <f>Schedule!M11</f>
        <v>1977.1288645868335</v>
      </c>
      <c r="H21" s="8">
        <f>Schedule!N11</f>
        <v>1895.4944499734374</v>
      </c>
      <c r="I21" s="8">
        <f>Schedule!O11</f>
        <v>1757.1045946324957</v>
      </c>
      <c r="J21" s="8">
        <f>Schedule!P11</f>
        <v>1292.633021849786</v>
      </c>
    </row>
    <row r="22" spans="2:10" x14ac:dyDescent="0.3">
      <c r="B22" s="84" t="s">
        <v>420</v>
      </c>
      <c r="C22" s="84"/>
      <c r="D22" s="84"/>
      <c r="E22" s="84"/>
      <c r="F22" s="125">
        <f>SUM(F18:F21)</f>
        <v>9801.9081387361075</v>
      </c>
      <c r="G22" s="85">
        <f t="shared" ref="G22:I22" si="2">SUM(G18:G21)</f>
        <v>16100.716758817976</v>
      </c>
      <c r="H22" s="85">
        <f t="shared" si="2"/>
        <v>17039.501961800925</v>
      </c>
      <c r="I22" s="85">
        <f t="shared" si="2"/>
        <v>17823.039074252294</v>
      </c>
      <c r="J22" s="85">
        <f>SUM(J18:J21)</f>
        <v>17933.063721418501</v>
      </c>
    </row>
    <row r="23" spans="2:10" x14ac:dyDescent="0.3">
      <c r="F23" s="13"/>
      <c r="G23" s="23"/>
      <c r="H23" s="23"/>
      <c r="I23" s="23"/>
      <c r="J23" s="23"/>
    </row>
    <row r="24" spans="2:10" x14ac:dyDescent="0.3">
      <c r="B24" s="86" t="s">
        <v>466</v>
      </c>
      <c r="F24" s="126">
        <f>10%</f>
        <v>0.1</v>
      </c>
      <c r="G24" s="96">
        <f>F24+1</f>
        <v>1.1000000000000001</v>
      </c>
      <c r="H24" s="96">
        <f t="shared" ref="H24:J24" si="3">G24+1</f>
        <v>2.1</v>
      </c>
      <c r="I24" s="96">
        <f t="shared" si="3"/>
        <v>3.1</v>
      </c>
      <c r="J24" s="96">
        <f t="shared" si="3"/>
        <v>4.0999999999999996</v>
      </c>
    </row>
    <row r="25" spans="2:10" x14ac:dyDescent="0.3">
      <c r="B25" t="s">
        <v>467</v>
      </c>
      <c r="F25" s="13"/>
      <c r="J25" s="103">
        <f>J22*(1+terminal_growth)/(wacc-terminal_growth)</f>
        <v>417502.86653765413</v>
      </c>
    </row>
    <row r="26" spans="2:10" x14ac:dyDescent="0.3">
      <c r="B26" t="s">
        <v>468</v>
      </c>
      <c r="F26" s="127">
        <f>F22/(1+wacc)^F24</f>
        <v>9741.461777993014</v>
      </c>
      <c r="G26" s="104">
        <f>G22/(1+wacc)^G24</f>
        <v>15041.589786312808</v>
      </c>
      <c r="H26" s="104">
        <f>H22/(1+wacc)^H24</f>
        <v>14963.750382302409</v>
      </c>
      <c r="I26" s="104">
        <f>I22/(1+wacc)^I24</f>
        <v>14712.969846401475</v>
      </c>
      <c r="J26" s="104">
        <f>(J22+J25)/(1+wacc)^J24</f>
        <v>337891.97364613332</v>
      </c>
    </row>
    <row r="27" spans="2:10" x14ac:dyDescent="0.3">
      <c r="B27" t="s">
        <v>469</v>
      </c>
      <c r="F27" s="128">
        <f>+SUM(F26:J26)</f>
        <v>392351.74543914304</v>
      </c>
    </row>
    <row r="28" spans="2:10" x14ac:dyDescent="0.3">
      <c r="B28" t="s">
        <v>470</v>
      </c>
      <c r="F28" s="129">
        <f>Historicals!K72</f>
        <v>10828</v>
      </c>
    </row>
    <row r="29" spans="2:10" x14ac:dyDescent="0.3">
      <c r="B29" t="s">
        <v>471</v>
      </c>
      <c r="F29" s="129">
        <f>Historicals!K73+Historicals!K76</f>
        <v>3743</v>
      </c>
    </row>
    <row r="30" spans="2:10" x14ac:dyDescent="0.3">
      <c r="B30" t="s">
        <v>472</v>
      </c>
      <c r="F30" s="129">
        <f>Historicals!K99+Historicals!K94+Historicals!K95</f>
        <v>44522</v>
      </c>
    </row>
    <row r="31" spans="2:10" ht="14.4" customHeight="1" x14ac:dyDescent="0.3">
      <c r="B31" t="s">
        <v>473</v>
      </c>
      <c r="F31" s="128">
        <f>F27+F28+F29-F30</f>
        <v>362400.74543914304</v>
      </c>
    </row>
    <row r="32" spans="2:10" ht="14.4" customHeight="1" x14ac:dyDescent="0.3">
      <c r="B32" t="s">
        <v>474</v>
      </c>
      <c r="F32" s="129">
        <f>Historicals!K51</f>
        <v>4320</v>
      </c>
    </row>
    <row r="33" spans="1:10" ht="14.4" customHeight="1" x14ac:dyDescent="0.3">
      <c r="B33" s="105" t="s">
        <v>475</v>
      </c>
      <c r="C33" s="106"/>
      <c r="D33" s="106"/>
      <c r="E33" s="106"/>
      <c r="F33" s="130">
        <f>F31/F32</f>
        <v>83.889061444246067</v>
      </c>
    </row>
    <row r="35" spans="1:10" x14ac:dyDescent="0.3">
      <c r="A35" s="40" t="s">
        <v>483</v>
      </c>
      <c r="B35" s="239" t="s">
        <v>476</v>
      </c>
      <c r="C35" s="240"/>
      <c r="D35" s="240"/>
      <c r="E35" s="240"/>
      <c r="F35" s="240"/>
      <c r="G35" s="240"/>
      <c r="H35" s="240"/>
      <c r="I35" s="240"/>
      <c r="J35" s="240"/>
    </row>
    <row r="37" spans="1:10" x14ac:dyDescent="0.3">
      <c r="B37" s="344" t="s">
        <v>426</v>
      </c>
      <c r="C37" s="230"/>
      <c r="D37" s="342" t="s">
        <v>477</v>
      </c>
      <c r="E37" s="342"/>
      <c r="F37" s="342"/>
      <c r="G37" s="342"/>
      <c r="H37" s="343"/>
    </row>
    <row r="38" spans="1:10" ht="14.4" customHeight="1" x14ac:dyDescent="0.3">
      <c r="B38" s="345"/>
      <c r="C38" s="97">
        <f>F33</f>
        <v>83.889061444246067</v>
      </c>
      <c r="D38" s="119">
        <v>0</v>
      </c>
      <c r="E38" s="119">
        <f>D38+1%</f>
        <v>0.01</v>
      </c>
      <c r="F38" s="120">
        <f t="shared" ref="F38:H38" si="4">E38+1%</f>
        <v>0.02</v>
      </c>
      <c r="G38" s="119">
        <f t="shared" si="4"/>
        <v>0.03</v>
      </c>
      <c r="H38" s="121">
        <f t="shared" si="4"/>
        <v>0.04</v>
      </c>
    </row>
    <row r="39" spans="1:10" ht="14.4" customHeight="1" x14ac:dyDescent="0.3">
      <c r="B39" s="345"/>
      <c r="C39" s="116">
        <f t="shared" ref="C39" si="5">C40+1%</f>
        <v>0.08</v>
      </c>
      <c r="D39" s="87">
        <f t="dataTable" ref="D39:H43" dt2D="1" dtr="1" r1="E12" r2="E11"/>
        <v>46.224537371512213</v>
      </c>
      <c r="E39" s="92">
        <v>52.063948804507298</v>
      </c>
      <c r="F39" s="101">
        <v>59.8498307151674</v>
      </c>
      <c r="G39" s="92">
        <v>70.750065390091535</v>
      </c>
      <c r="H39" s="93">
        <v>87.100417402477774</v>
      </c>
    </row>
    <row r="40" spans="1:10" x14ac:dyDescent="0.3">
      <c r="B40" s="345"/>
      <c r="C40" s="116">
        <f>C42+2%</f>
        <v>7.0000000000000007E-2</v>
      </c>
      <c r="D40" s="94">
        <v>53.629310673428442</v>
      </c>
      <c r="E40" s="88">
        <v>61.642986010673376</v>
      </c>
      <c r="F40" s="99">
        <v>72.862131482816281</v>
      </c>
      <c r="G40" s="88">
        <v>89.69084969103065</v>
      </c>
      <c r="H40" s="89">
        <v>117.73871337138793</v>
      </c>
    </row>
    <row r="41" spans="1:10" x14ac:dyDescent="0.3">
      <c r="B41" s="345"/>
      <c r="C41" s="117">
        <v>6.3799999999999996E-2</v>
      </c>
      <c r="D41" s="98">
        <v>59.387159419322188</v>
      </c>
      <c r="E41" s="99">
        <v>69.371096465695501</v>
      </c>
      <c r="F41" s="99">
        <v>83.913908875709623</v>
      </c>
      <c r="G41" s="99">
        <v>107.06193572951906</v>
      </c>
      <c r="H41" s="100">
        <v>149.66208598989112</v>
      </c>
    </row>
    <row r="42" spans="1:10" x14ac:dyDescent="0.3">
      <c r="B42" s="345"/>
      <c r="C42" s="116">
        <f>C43+1%</f>
        <v>0.05</v>
      </c>
      <c r="D42" s="94">
        <v>77.333588293433323</v>
      </c>
      <c r="E42" s="88">
        <v>95.176015026118236</v>
      </c>
      <c r="F42" s="99">
        <v>124.9133929139264</v>
      </c>
      <c r="G42" s="88">
        <v>184.38814868954273</v>
      </c>
      <c r="H42" s="89">
        <v>362.81241601639175</v>
      </c>
    </row>
    <row r="43" spans="1:10" x14ac:dyDescent="0.3">
      <c r="B43" s="346"/>
      <c r="C43" s="118">
        <v>0.04</v>
      </c>
      <c r="D43" s="95">
        <v>98.080761402458066</v>
      </c>
      <c r="E43" s="90">
        <v>128.71352271694451</v>
      </c>
      <c r="F43" s="102">
        <v>189.97904534591746</v>
      </c>
      <c r="G43" s="90">
        <v>373.77561323283618</v>
      </c>
      <c r="H43" s="91" t="e">
        <v>#DIV/0!</v>
      </c>
    </row>
    <row r="45" spans="1:10" x14ac:dyDescent="0.3">
      <c r="B45" s="4"/>
      <c r="C45" s="4"/>
      <c r="D45" s="4"/>
      <c r="E45" s="4"/>
      <c r="F45" s="4"/>
      <c r="G45" s="4"/>
      <c r="H45" s="4"/>
      <c r="I45" s="4"/>
      <c r="J45" s="4"/>
    </row>
  </sheetData>
  <mergeCells count="2">
    <mergeCell ref="D37:H37"/>
    <mergeCell ref="B37:B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F6DB-C0A9-4BA2-B9F9-15B5EA3E064C}">
  <dimension ref="A1:N71"/>
  <sheetViews>
    <sheetView showGridLines="0" workbookViewId="0">
      <selection activeCell="T12" sqref="T12"/>
    </sheetView>
  </sheetViews>
  <sheetFormatPr defaultRowHeight="13.2" x14ac:dyDescent="0.25"/>
  <cols>
    <col min="1" max="1" width="2.88671875" style="144" customWidth="1"/>
    <col min="2" max="13" width="10.5546875" style="132" customWidth="1"/>
    <col min="14" max="16384" width="8.88671875" style="132"/>
  </cols>
  <sheetData>
    <row r="1" spans="1:13" s="275" customFormat="1" ht="13.8" x14ac:dyDescent="0.25">
      <c r="A1" s="276"/>
    </row>
    <row r="2" spans="1:13" s="275" customFormat="1" ht="13.8" x14ac:dyDescent="0.25">
      <c r="A2" s="276"/>
      <c r="B2" s="195" t="s">
        <v>0</v>
      </c>
      <c r="C2" s="3"/>
      <c r="D2" s="3"/>
      <c r="E2" s="133"/>
      <c r="F2" s="133"/>
      <c r="G2" s="133"/>
      <c r="H2" s="133"/>
      <c r="I2" s="133"/>
      <c r="J2" s="134"/>
      <c r="K2" s="134"/>
      <c r="L2" s="134"/>
      <c r="M2" s="134"/>
    </row>
    <row r="3" spans="1:13" s="275" customFormat="1" ht="13.8" x14ac:dyDescent="0.25">
      <c r="A3" s="276"/>
      <c r="B3" s="136" t="s">
        <v>502</v>
      </c>
      <c r="C3" s="133"/>
      <c r="D3" s="133"/>
      <c r="E3" s="133"/>
      <c r="F3" s="133"/>
      <c r="G3" s="133"/>
      <c r="H3" s="133"/>
      <c r="I3" s="133"/>
      <c r="J3" s="134"/>
      <c r="K3" s="134"/>
      <c r="L3" s="134"/>
      <c r="M3" s="134"/>
    </row>
    <row r="4" spans="1:13" s="275" customFormat="1" ht="13.8" x14ac:dyDescent="0.25">
      <c r="A4" s="276"/>
      <c r="B4" s="211" t="s">
        <v>1</v>
      </c>
      <c r="C4" s="212"/>
      <c r="D4" s="212"/>
      <c r="E4" s="212"/>
      <c r="F4" s="212"/>
      <c r="G4" s="212"/>
      <c r="H4" s="212"/>
      <c r="I4" s="212"/>
      <c r="J4" s="213"/>
      <c r="K4" s="213"/>
      <c r="L4" s="213"/>
      <c r="M4" s="213"/>
    </row>
    <row r="5" spans="1:13" s="275" customFormat="1" ht="13.8" x14ac:dyDescent="0.25">
      <c r="A5" s="276"/>
      <c r="B5" s="215" t="s">
        <v>2</v>
      </c>
      <c r="C5" s="216"/>
      <c r="D5" s="218"/>
      <c r="E5" s="217">
        <v>44561</v>
      </c>
      <c r="F5" s="137">
        <f>EDATE(E5,12)</f>
        <v>44926</v>
      </c>
      <c r="G5" s="137">
        <f t="shared" ref="G5:M5" si="0">EDATE(F5,12)</f>
        <v>45291</v>
      </c>
      <c r="H5" s="137">
        <f t="shared" si="0"/>
        <v>45657</v>
      </c>
      <c r="I5" s="138">
        <f t="shared" si="0"/>
        <v>46022</v>
      </c>
      <c r="J5" s="137">
        <f t="shared" si="0"/>
        <v>46387</v>
      </c>
      <c r="K5" s="137">
        <f t="shared" si="0"/>
        <v>46752</v>
      </c>
      <c r="L5" s="137">
        <f t="shared" si="0"/>
        <v>47118</v>
      </c>
      <c r="M5" s="137">
        <f t="shared" si="0"/>
        <v>47483</v>
      </c>
    </row>
    <row r="6" spans="1:13" s="275" customFormat="1" ht="13.8" x14ac:dyDescent="0.25">
      <c r="A6" s="276"/>
      <c r="B6" s="136" t="s">
        <v>3</v>
      </c>
      <c r="C6" s="133"/>
      <c r="D6" s="219"/>
      <c r="E6" s="214" t="s">
        <v>4</v>
      </c>
      <c r="F6" s="139" t="s">
        <v>4</v>
      </c>
      <c r="G6" s="139" t="s">
        <v>4</v>
      </c>
      <c r="H6" s="139" t="s">
        <v>4</v>
      </c>
      <c r="I6" s="140" t="s">
        <v>5</v>
      </c>
      <c r="J6" s="139" t="s">
        <v>5</v>
      </c>
      <c r="K6" s="139" t="s">
        <v>5</v>
      </c>
      <c r="L6" s="139" t="s">
        <v>5</v>
      </c>
      <c r="M6" s="139" t="s">
        <v>5</v>
      </c>
    </row>
    <row r="8" spans="1:13" x14ac:dyDescent="0.25">
      <c r="A8" s="277">
        <v>1</v>
      </c>
      <c r="B8" s="283" t="s">
        <v>503</v>
      </c>
      <c r="C8" s="284"/>
      <c r="D8" s="284"/>
      <c r="E8" s="320">
        <v>2021</v>
      </c>
      <c r="F8" s="285">
        <f>E8+1</f>
        <v>2022</v>
      </c>
      <c r="G8" s="285">
        <f t="shared" ref="G8:M8" si="1">F8+1</f>
        <v>2023</v>
      </c>
      <c r="H8" s="285">
        <f t="shared" si="1"/>
        <v>2024</v>
      </c>
      <c r="I8" s="285">
        <f t="shared" si="1"/>
        <v>2025</v>
      </c>
      <c r="J8" s="285">
        <f t="shared" si="1"/>
        <v>2026</v>
      </c>
      <c r="K8" s="285">
        <f t="shared" si="1"/>
        <v>2027</v>
      </c>
      <c r="L8" s="285">
        <f t="shared" si="1"/>
        <v>2028</v>
      </c>
      <c r="M8" s="286">
        <f t="shared" si="1"/>
        <v>2029</v>
      </c>
    </row>
    <row r="9" spans="1:13" x14ac:dyDescent="0.25">
      <c r="B9" s="287"/>
      <c r="E9" s="287"/>
      <c r="M9" s="288"/>
    </row>
    <row r="10" spans="1:13" x14ac:dyDescent="0.25">
      <c r="B10" s="287" t="s">
        <v>504</v>
      </c>
      <c r="E10" s="321">
        <f>Historicals!H17/Historicals!H$11</f>
        <v>0.6013761705209788</v>
      </c>
      <c r="F10" s="300">
        <f>Historicals!I17/Historicals!I$11</f>
        <v>0.58609394601124376</v>
      </c>
      <c r="G10" s="300">
        <f>Historicals!J17/Historicals!J$11</f>
        <v>0.59669316791892368</v>
      </c>
      <c r="H10" s="300">
        <f>Historicals!K17/Historicals!K$11</f>
        <v>0.61076401475574127</v>
      </c>
      <c r="I10" s="300">
        <f>Historicals!L17/Historicals!L$11</f>
        <v>0.59889602593291413</v>
      </c>
      <c r="J10" s="300">
        <f>Historicals!M17/Historicals!M$11</f>
        <v>0.59889602593291413</v>
      </c>
      <c r="K10" s="300">
        <f>Historicals!N17/Historicals!N$11</f>
        <v>0.59889602593291424</v>
      </c>
      <c r="L10" s="300">
        <f>Historicals!O17/Historicals!O$11</f>
        <v>0.59889602593291413</v>
      </c>
      <c r="M10" s="301">
        <f>Historicals!P17/Historicals!P$11</f>
        <v>0.59889602593291424</v>
      </c>
    </row>
    <row r="11" spans="1:13" x14ac:dyDescent="0.25">
      <c r="B11" s="287" t="s">
        <v>505</v>
      </c>
      <c r="E11" s="321">
        <f>Historicals!H62/Historicals!H$11</f>
        <v>0.32492627657923329</v>
      </c>
      <c r="F11" s="300">
        <f>Historicals!I62/Historicals!I$11</f>
        <v>0.31605724109092598</v>
      </c>
      <c r="G11" s="300">
        <f>Historicals!J62/Historicals!J$11</f>
        <v>0.31591822470732134</v>
      </c>
      <c r="H11" s="300">
        <f>Historicals!K62/Historicals!K$11</f>
        <v>0.3232616158816129</v>
      </c>
      <c r="I11" s="300">
        <f>Historicals!L62/Historicals!L$11</f>
        <v>0.31473769555812647</v>
      </c>
      <c r="J11" s="300">
        <f>Historicals!M62/Historicals!M$11</f>
        <v>0.31443988956322533</v>
      </c>
      <c r="K11" s="300">
        <f>Historicals!N62/Historicals!N$11</f>
        <v>0.31438632452625165</v>
      </c>
      <c r="L11" s="300">
        <f>Historicals!O62/Historicals!O$11</f>
        <v>0.31421909696995626</v>
      </c>
      <c r="M11" s="301">
        <f>Historicals!P62/Historicals!P$11</f>
        <v>0.31407744488408834</v>
      </c>
    </row>
    <row r="12" spans="1:13" x14ac:dyDescent="0.25">
      <c r="B12" s="287" t="s">
        <v>68</v>
      </c>
      <c r="E12" s="321">
        <f>Historicals!H27/Historicals!H$11</f>
        <v>0.28736613378860781</v>
      </c>
      <c r="F12" s="300">
        <f>Historicals!I27/Historicals!I$11</f>
        <v>0.28678622868559217</v>
      </c>
      <c r="G12" s="300">
        <f>Historicals!J27/Historicals!J$11</f>
        <v>0.29128079678490304</v>
      </c>
      <c r="H12" s="300">
        <f>Historicals!K27/Historicals!K$11</f>
        <v>0.30033904087681512</v>
      </c>
      <c r="I12" s="300">
        <f>Historicals!L27/Historicals!L$11</f>
        <v>0.29174846067062205</v>
      </c>
      <c r="J12" s="300">
        <f>Historicals!M27/Historicals!M$11</f>
        <v>0.29174846067062199</v>
      </c>
      <c r="K12" s="300">
        <f>Historicals!N27/Historicals!N$11</f>
        <v>0.2917484606706221</v>
      </c>
      <c r="L12" s="300">
        <f>Historicals!O27/Historicals!O$11</f>
        <v>0.29174846067062193</v>
      </c>
      <c r="M12" s="301">
        <f>Historicals!P27/Historicals!P$11</f>
        <v>0.2917484606706221</v>
      </c>
    </row>
    <row r="13" spans="1:13" x14ac:dyDescent="0.25">
      <c r="B13" s="287" t="s">
        <v>507</v>
      </c>
      <c r="E13" s="321">
        <f>Historicals!H41/Historicals!H$11</f>
        <v>0.32145998240985046</v>
      </c>
      <c r="F13" s="300">
        <f>Historicals!I41/Historicals!I$11</f>
        <v>0.31076058170329413</v>
      </c>
      <c r="G13" s="300">
        <f>Historicals!J41/Historicals!J$11</f>
        <v>0.31458588153066575</v>
      </c>
      <c r="H13" s="300">
        <f>Historicals!K41/Historicals!K$11</f>
        <v>0.3269505512079664</v>
      </c>
      <c r="I13" s="300">
        <f>Historicals!L41/Historicals!L$11</f>
        <v>0.30192056535404088</v>
      </c>
      <c r="J13" s="300">
        <f>Historicals!M41/Historicals!M$11</f>
        <v>0.3039529811472082</v>
      </c>
      <c r="K13" s="300">
        <f>Historicals!N41/Historicals!N$11</f>
        <v>0.30565148303259793</v>
      </c>
      <c r="L13" s="300">
        <f>Historicals!O41/Historicals!O$11</f>
        <v>0.30735301258682268</v>
      </c>
      <c r="M13" s="301">
        <f>Historicals!P41/Historicals!P$11</f>
        <v>0.30896338863579698</v>
      </c>
    </row>
    <row r="14" spans="1:13" x14ac:dyDescent="0.25">
      <c r="B14" s="287" t="s">
        <v>506</v>
      </c>
      <c r="E14" s="321">
        <f>Historicals!H45/Historicals!H$11</f>
        <v>0.26175694552227224</v>
      </c>
      <c r="F14" s="300">
        <f>Historicals!I45/Historicals!I$11</f>
        <v>0.25163778283696508</v>
      </c>
      <c r="G14" s="300">
        <f>Historicals!J45/Historicals!J$11</f>
        <v>0.2548051721125284</v>
      </c>
      <c r="H14" s="300">
        <f>Historicals!K45/Historicals!K$11</f>
        <v>0.2661364266370983</v>
      </c>
      <c r="I14" s="300">
        <f>Historicals!L45/Historicals!L$11</f>
        <v>0.2451587099034834</v>
      </c>
      <c r="J14" s="300">
        <f>Historicals!M45/Historicals!M$11</f>
        <v>0.24680902621517978</v>
      </c>
      <c r="K14" s="300">
        <f>Historicals!N45/Historicals!N$11</f>
        <v>0.24818820530654934</v>
      </c>
      <c r="L14" s="300">
        <f>Historicals!O45/Historicals!O$11</f>
        <v>0.24956984285709924</v>
      </c>
      <c r="M14" s="301">
        <f>Historicals!P45/Historicals!P$11</f>
        <v>0.250877463999644</v>
      </c>
    </row>
    <row r="15" spans="1:13" x14ac:dyDescent="0.25">
      <c r="B15" s="287"/>
      <c r="E15" s="287"/>
      <c r="M15" s="288"/>
    </row>
    <row r="16" spans="1:13" x14ac:dyDescent="0.25">
      <c r="B16" s="287" t="s">
        <v>508</v>
      </c>
      <c r="E16" s="321">
        <f>Historicals!H48/Historicals!H105</f>
        <v>0.40571198712791634</v>
      </c>
      <c r="F16" s="300">
        <f>Historicals!I48/Historicals!I105</f>
        <v>0.41829938821342832</v>
      </c>
      <c r="G16" s="300">
        <f>Historicals!J48/Historicals!J105</f>
        <v>0.42492721979621545</v>
      </c>
      <c r="H16" s="300">
        <f>Historicals!K48/Historicals!K105</f>
        <v>0.47258455938116184</v>
      </c>
      <c r="I16" s="300">
        <f>Historicals!L48/Historicals!L105</f>
        <v>0.41484513599294548</v>
      </c>
      <c r="J16" s="300">
        <f>Historicals!M48/Historicals!M105</f>
        <v>0.3969250193828085</v>
      </c>
      <c r="K16" s="300">
        <f>Historicals!N48/Historicals!N105</f>
        <v>0.3791511858335842</v>
      </c>
      <c r="L16" s="300">
        <f>Historicals!O48/Historicals!O105</f>
        <v>0.36140386676839686</v>
      </c>
      <c r="M16" s="301">
        <f>Historicals!P48/Historicals!P105</f>
        <v>0.3409996940360232</v>
      </c>
    </row>
    <row r="17" spans="1:13" x14ac:dyDescent="0.25">
      <c r="B17" s="287" t="s">
        <v>509</v>
      </c>
      <c r="E17" s="321">
        <f>Historicals!H48/Historicals!H86</f>
        <v>1.016733870967742</v>
      </c>
      <c r="F17" s="300">
        <f>Historicals!I48/Historicals!I86</f>
        <v>1.0977542932628799</v>
      </c>
      <c r="G17" s="300">
        <f>Historicals!J48/Historicals!J86</f>
        <v>1.264291901255955</v>
      </c>
      <c r="H17" s="300">
        <f>Historicals!K48/Historicals!K86</f>
        <v>1.2096476754343395</v>
      </c>
      <c r="I17" s="300">
        <f>Historicals!L48/Historicals!L86</f>
        <v>1.0637577126211046</v>
      </c>
      <c r="J17" s="300">
        <f>Historicals!M48/Historicals!M86</f>
        <v>1.0964284184814934</v>
      </c>
      <c r="K17" s="300">
        <f>Historicals!N48/Historicals!N86</f>
        <v>1.1369041111370817</v>
      </c>
      <c r="L17" s="300">
        <f>Historicals!O48/Historicals!O86</f>
        <v>1.1880799619529685</v>
      </c>
      <c r="M17" s="301">
        <f>Historicals!P48/Historicals!P86</f>
        <v>1.2667134862130145</v>
      </c>
    </row>
    <row r="18" spans="1:13" x14ac:dyDescent="0.25">
      <c r="B18" s="287" t="s">
        <v>510</v>
      </c>
      <c r="E18" s="321">
        <f>Historicals!H48/(Historicals!H90-Historicals!H97)</f>
        <v>0.13555722810601581</v>
      </c>
      <c r="F18" s="300">
        <f>Historicals!I48/(Historicals!I90-Historicals!I97)</f>
        <v>0.14790728241076684</v>
      </c>
      <c r="G18" s="300">
        <f>Historicals!J48/(Historicals!J90-Historicals!J97)</f>
        <v>0.15751632223601145</v>
      </c>
      <c r="H18" s="300">
        <f>Historicals!K48/(Historicals!K90-Historicals!K97)</f>
        <v>0.16551128818061089</v>
      </c>
      <c r="I18" s="300">
        <f>Historicals!L48/(Historicals!L90-Historicals!L97)</f>
        <v>0.1607947931144468</v>
      </c>
      <c r="J18" s="300">
        <f>Historicals!M48/(Historicals!M90-Historicals!M97)</f>
        <v>0.17186510992201731</v>
      </c>
      <c r="K18" s="300">
        <f>Historicals!N48/(Historicals!N90-Historicals!N97)</f>
        <v>0.17098749500049437</v>
      </c>
      <c r="L18" s="300">
        <f>Historicals!O48/(Historicals!O90-Historicals!O97)</f>
        <v>0.17424525568747656</v>
      </c>
      <c r="M18" s="301">
        <f>Historicals!P48/(Historicals!P90-Historicals!P97)</f>
        <v>0.17164892877751514</v>
      </c>
    </row>
    <row r="19" spans="1:13" x14ac:dyDescent="0.25">
      <c r="B19" s="291" t="s">
        <v>511</v>
      </c>
      <c r="C19" s="292"/>
      <c r="D19" s="292"/>
      <c r="E19" s="322"/>
      <c r="F19" s="302"/>
      <c r="G19" s="302"/>
      <c r="H19" s="302"/>
      <c r="I19" s="302">
        <f>Historicals!L48/(Historicals!L86+SUM(Historicals!L122:L126))</f>
        <v>1.9500723088543952</v>
      </c>
      <c r="J19" s="302">
        <f>Historicals!M48/(Historicals!M86+SUM(Historicals!M122:M126))</f>
        <v>1.0499173528617674</v>
      </c>
      <c r="K19" s="302">
        <f>Historicals!N48/(Historicals!N86+SUM(Historicals!N122:N126))</f>
        <v>1.0924859440496653</v>
      </c>
      <c r="L19" s="302">
        <f>Historicals!O48/(Historicals!O86+SUM(Historicals!O122:O126))</f>
        <v>1.1458183892268927</v>
      </c>
      <c r="M19" s="303">
        <f>Historicals!P48/(Historicals!P86+SUM(Historicals!P122:P126))</f>
        <v>1.2325221352282048</v>
      </c>
    </row>
    <row r="21" spans="1:13" x14ac:dyDescent="0.25">
      <c r="A21" s="277">
        <v>2</v>
      </c>
      <c r="B21" s="283" t="s">
        <v>512</v>
      </c>
      <c r="C21" s="284"/>
      <c r="D21" s="284"/>
      <c r="E21" s="320">
        <v>2021</v>
      </c>
      <c r="F21" s="285">
        <f>E21+1</f>
        <v>2022</v>
      </c>
      <c r="G21" s="285">
        <f t="shared" ref="G21:M21" si="2">F21+1</f>
        <v>2023</v>
      </c>
      <c r="H21" s="285">
        <f t="shared" si="2"/>
        <v>2024</v>
      </c>
      <c r="I21" s="285">
        <f t="shared" si="2"/>
        <v>2025</v>
      </c>
      <c r="J21" s="285">
        <f t="shared" si="2"/>
        <v>2026</v>
      </c>
      <c r="K21" s="285">
        <f t="shared" si="2"/>
        <v>2027</v>
      </c>
      <c r="L21" s="285">
        <f t="shared" si="2"/>
        <v>2028</v>
      </c>
      <c r="M21" s="286">
        <f t="shared" si="2"/>
        <v>2029</v>
      </c>
    </row>
    <row r="22" spans="1:13" x14ac:dyDescent="0.25">
      <c r="B22" s="287"/>
      <c r="E22" s="287"/>
      <c r="M22" s="288"/>
    </row>
    <row r="23" spans="1:13" x14ac:dyDescent="0.25">
      <c r="B23" s="287" t="s">
        <v>513</v>
      </c>
      <c r="E23" s="323">
        <f>Historicals!H80/Historicals!H97</f>
        <v>1.1300751879699249</v>
      </c>
      <c r="F23" s="295">
        <f>Historicals!I80/Historicals!I97</f>
        <v>1.1453559115798013</v>
      </c>
      <c r="G23" s="295">
        <f>Historicals!J80/Historicals!J97</f>
        <v>1.1341054685842773</v>
      </c>
      <c r="H23" s="295">
        <f>Historicals!K80/Historicals!K97</f>
        <v>1.0296249356410154</v>
      </c>
      <c r="I23" s="295">
        <f>Historicals!L80/Historicals!L97</f>
        <v>0.64427769878885444</v>
      </c>
      <c r="J23" s="295">
        <f>Historicals!M80/Historicals!M97</f>
        <v>0.5670559366774085</v>
      </c>
      <c r="K23" s="295">
        <f>Historicals!N80/Historicals!N97</f>
        <v>0.62158579937300829</v>
      </c>
      <c r="L23" s="295">
        <f>Historicals!O80/Historicals!O97</f>
        <v>0.62634124802495339</v>
      </c>
      <c r="M23" s="296">
        <f>Historicals!P80/Historicals!P97</f>
        <v>0.69348249189001721</v>
      </c>
    </row>
    <row r="24" spans="1:13" x14ac:dyDescent="0.25">
      <c r="B24" s="287" t="s">
        <v>514</v>
      </c>
      <c r="E24" s="323">
        <f>(Historicals!H80-Historicals!H78-Historicals!H79)/Historicals!H97</f>
        <v>0.80887218045112785</v>
      </c>
      <c r="F24" s="295">
        <f>(Historicals!I80-Historicals!I78-Historicals!I79)/Historicals!I97</f>
        <v>0.76647738795376197</v>
      </c>
      <c r="G24" s="295">
        <f>(Historicals!J80-Historicals!J78-Historicals!J79)/Historicals!J97</f>
        <v>0.72432226040473469</v>
      </c>
      <c r="H24" s="295">
        <f>(Historicals!K80-Historicals!K78-Historicals!K79)/Historicals!K97</f>
        <v>0.71844429482355732</v>
      </c>
      <c r="I24" s="295">
        <f>(Historicals!L80-Historicals!L78-Historicals!L79)/Historicals!L97</f>
        <v>0.25169912751582751</v>
      </c>
      <c r="J24" s="295">
        <f>(Historicals!M80-Historicals!M78-Historicals!M79)/Historicals!M97</f>
        <v>0.21813486281032193</v>
      </c>
      <c r="K24" s="295">
        <f>(Historicals!N80-Historicals!N78-Historicals!N79)/Historicals!N97</f>
        <v>0.23600979265985256</v>
      </c>
      <c r="L24" s="295">
        <f>(Historicals!O80-Historicals!O78-Historicals!O79)/Historicals!O97</f>
        <v>0.23525603782137944</v>
      </c>
      <c r="M24" s="296">
        <f>(Historicals!P80-Historicals!P78-Historicals!P79)/Historicals!P97</f>
        <v>0.25858478999261536</v>
      </c>
    </row>
    <row r="25" spans="1:13" x14ac:dyDescent="0.25">
      <c r="B25" s="287" t="s">
        <v>515</v>
      </c>
      <c r="E25" s="323">
        <f>Historicals!H74/Historicals!H97</f>
        <v>0.54766917293233086</v>
      </c>
      <c r="F25" s="295">
        <f>Historicals!I74/Historicals!I97</f>
        <v>0.53548975866964099</v>
      </c>
      <c r="G25" s="295">
        <f>Historicals!J74/Historicals!J97</f>
        <v>0.52450044546264474</v>
      </c>
      <c r="H25" s="295">
        <f>Historicals!K74/Historicals!K97</f>
        <v>0.50885183571626602</v>
      </c>
      <c r="I25" s="295">
        <f>Historicals!L74/Historicals!L97</f>
        <v>0.47117733988531008</v>
      </c>
      <c r="J25" s="295">
        <f>Historicals!M74/Historicals!M97</f>
        <v>0.5732190890358646</v>
      </c>
      <c r="K25" s="295">
        <f>Historicals!N74/Historicals!N97</f>
        <v>0.77460549484231789</v>
      </c>
      <c r="L25" s="295">
        <f>Historicals!O74/Historicals!O97</f>
        <v>0.90397468761467048</v>
      </c>
      <c r="M25" s="296">
        <f>Historicals!P74/Historicals!P97</f>
        <v>1.1168404711359563</v>
      </c>
    </row>
    <row r="26" spans="1:13" x14ac:dyDescent="0.25">
      <c r="B26" s="287" t="s">
        <v>516</v>
      </c>
      <c r="E26" s="324" t="s">
        <v>519</v>
      </c>
      <c r="F26" s="297" t="s">
        <v>519</v>
      </c>
      <c r="G26" s="297" t="s">
        <v>519</v>
      </c>
      <c r="H26" s="297" t="s">
        <v>519</v>
      </c>
      <c r="I26" s="295">
        <f>Historicals!L127/Historicals!L97</f>
        <v>0.35820194837454578</v>
      </c>
      <c r="J26" s="295">
        <f>Historicals!M127/Historicals!M97</f>
        <v>0.55477280606802482</v>
      </c>
      <c r="K26" s="295">
        <f>Historicals!N127/Historicals!N97</f>
        <v>0.60969203756392865</v>
      </c>
      <c r="L26" s="295">
        <f>Historicals!O127/Historicals!O97</f>
        <v>0.61464253885400977</v>
      </c>
      <c r="M26" s="296">
        <f>Historicals!P127/Historicals!P97</f>
        <v>0.67652591970582965</v>
      </c>
    </row>
    <row r="27" spans="1:13" x14ac:dyDescent="0.25">
      <c r="B27" s="287" t="s">
        <v>517</v>
      </c>
      <c r="E27" s="325">
        <f>Historicals!H80-Historicals!H97</f>
        <v>2595</v>
      </c>
      <c r="F27" s="298">
        <f>Historicals!I80-Historicals!I97</f>
        <v>2867</v>
      </c>
      <c r="G27" s="298">
        <f>Historicals!J80-Historicals!J97</f>
        <v>3161</v>
      </c>
      <c r="H27" s="298">
        <f>Historicals!K80-Historicals!K97</f>
        <v>748</v>
      </c>
      <c r="I27" s="298">
        <f>Historicals!L80-Historicals!L97</f>
        <v>-7866.0354760438113</v>
      </c>
      <c r="J27" s="298">
        <f>Historicals!M80-Historicals!M97</f>
        <v>-11714.265681959863</v>
      </c>
      <c r="K27" s="298">
        <f>Historicals!N80-Historicals!N97</f>
        <v>-9980.3814869742673</v>
      </c>
      <c r="L27" s="298">
        <f>Historicals!O80-Historicals!O97</f>
        <v>-10361.294373575911</v>
      </c>
      <c r="M27" s="299">
        <f>Historicals!P80-Historicals!P97</f>
        <v>-7993.3705813246306</v>
      </c>
    </row>
    <row r="28" spans="1:13" x14ac:dyDescent="0.25">
      <c r="B28" s="291" t="s">
        <v>518</v>
      </c>
      <c r="C28" s="292"/>
      <c r="D28" s="292"/>
      <c r="E28" s="326">
        <f>E27/Historicals!H11</f>
        <v>6.7127114698121992E-2</v>
      </c>
      <c r="F28" s="293">
        <f>F27/Historicals!I11</f>
        <v>6.6603168703247687E-2</v>
      </c>
      <c r="G28" s="293">
        <f>G27/Historicals!J11</f>
        <v>6.9041586580464789E-2</v>
      </c>
      <c r="H28" s="293">
        <f>H27/Historicals!K11</f>
        <v>1.594984753822206E-2</v>
      </c>
      <c r="I28" s="293">
        <f>I27/Historicals!L11</f>
        <v>-0.15230979093445537</v>
      </c>
      <c r="J28" s="293">
        <f>J27/Historicals!M11</f>
        <v>-0.20856811081979326</v>
      </c>
      <c r="K28" s="293">
        <f>K27/Historicals!N11</f>
        <v>-0.16496839285681292</v>
      </c>
      <c r="L28" s="293">
        <f>L27/Historicals!O11</f>
        <v>-0.16060057116788556</v>
      </c>
      <c r="M28" s="294">
        <f>M27/Historicals!P11</f>
        <v>-0.11847084673200721</v>
      </c>
    </row>
    <row r="30" spans="1:13" x14ac:dyDescent="0.25">
      <c r="A30" s="277">
        <v>3</v>
      </c>
      <c r="B30" s="283" t="s">
        <v>520</v>
      </c>
      <c r="C30" s="284"/>
      <c r="D30" s="284"/>
      <c r="E30" s="320">
        <v>2021</v>
      </c>
      <c r="F30" s="285">
        <f>E30+1</f>
        <v>2022</v>
      </c>
      <c r="G30" s="285">
        <f t="shared" ref="G30:M30" si="3">F30+1</f>
        <v>2023</v>
      </c>
      <c r="H30" s="285">
        <f t="shared" si="3"/>
        <v>2024</v>
      </c>
      <c r="I30" s="285">
        <f t="shared" si="3"/>
        <v>2025</v>
      </c>
      <c r="J30" s="285">
        <f t="shared" si="3"/>
        <v>2026</v>
      </c>
      <c r="K30" s="285">
        <f t="shared" si="3"/>
        <v>2027</v>
      </c>
      <c r="L30" s="285">
        <f t="shared" si="3"/>
        <v>2028</v>
      </c>
      <c r="M30" s="286">
        <f t="shared" si="3"/>
        <v>2029</v>
      </c>
    </row>
    <row r="31" spans="1:13" x14ac:dyDescent="0.25">
      <c r="B31" s="287"/>
      <c r="E31" s="287"/>
      <c r="M31" s="288"/>
    </row>
    <row r="32" spans="1:13" x14ac:dyDescent="0.25">
      <c r="B32" s="287" t="s">
        <v>521</v>
      </c>
      <c r="E32" s="323">
        <f>Historicals!H11/Historicals!H90</f>
        <v>0.40971235983636095</v>
      </c>
      <c r="F32" s="295">
        <f>Historicals!I11/Historicals!I90</f>
        <v>0.46404277567564656</v>
      </c>
      <c r="G32" s="295">
        <f>Historicals!J11/Historicals!J90</f>
        <v>0.46860382997451461</v>
      </c>
      <c r="H32" s="295">
        <f>Historicals!K11/Historicals!K90</f>
        <v>0.46640941232632843</v>
      </c>
      <c r="I32" s="295">
        <f>Historicals!L11/Historicals!L90</f>
        <v>0.51262034145725877</v>
      </c>
      <c r="J32" s="295">
        <f>Historicals!M11/Historicals!M90</f>
        <v>0.52180435756777743</v>
      </c>
      <c r="K32" s="295">
        <f>Historicals!N11/Historicals!N90</f>
        <v>0.53007148653668934</v>
      </c>
      <c r="L32" s="295">
        <f>Historicals!O11/Historicals!O90</f>
        <v>0.53740117241740959</v>
      </c>
      <c r="M32" s="296">
        <f>Historicals!P11/Historicals!P90</f>
        <v>0.54144668338248636</v>
      </c>
    </row>
    <row r="33" spans="1:14" x14ac:dyDescent="0.25">
      <c r="B33" s="287" t="s">
        <v>522</v>
      </c>
      <c r="E33" s="323">
        <f>Historicals!H11/Historicals!H86</f>
        <v>3.8969758064516129</v>
      </c>
      <c r="F33" s="295">
        <f>Historicals!I11/Historicals!I86</f>
        <v>4.3741489686007515</v>
      </c>
      <c r="G33" s="295">
        <f>Historicals!J11/Historicals!J86</f>
        <v>4.9571242962321351</v>
      </c>
      <c r="H33" s="295">
        <f>Historicals!K11/Historicals!K86</f>
        <v>4.5517810346501015</v>
      </c>
      <c r="I33" s="295">
        <f>Historicals!L11/Historicals!L86</f>
        <v>4.3449771131102057</v>
      </c>
      <c r="J33" s="295">
        <f>Historicals!M11/Historicals!M86</f>
        <v>4.4466866025344416</v>
      </c>
      <c r="K33" s="295">
        <f>Historicals!N11/Historicals!N86</f>
        <v>4.5836811197541003</v>
      </c>
      <c r="L33" s="295">
        <f>Historicals!O11/Historicals!O86</f>
        <v>4.764798401467023</v>
      </c>
      <c r="M33" s="296">
        <f>Historicals!P11/Historicals!P86</f>
        <v>5.0531952973533079</v>
      </c>
    </row>
    <row r="34" spans="1:14" x14ac:dyDescent="0.25">
      <c r="B34" s="287" t="s">
        <v>523</v>
      </c>
      <c r="E34" s="323">
        <f>Historicals!H11/Historicals!H77</f>
        <v>11.007403189066059</v>
      </c>
      <c r="F34" s="295">
        <f>Historicals!I11/Historicals!I77</f>
        <v>12.344708918841411</v>
      </c>
      <c r="G34" s="295">
        <f>Historicals!J11/Historicals!J77</f>
        <v>13.426392961876832</v>
      </c>
      <c r="H34" s="295">
        <f>Historicals!K11/Historicals!K77</f>
        <v>13.140095264780051</v>
      </c>
      <c r="I34" s="295">
        <f>Historicals!L11/Historicals!L77</f>
        <v>13.439461240865455</v>
      </c>
      <c r="J34" s="295">
        <f>Historicals!M11/Historicals!M77</f>
        <v>13.439461240865453</v>
      </c>
      <c r="K34" s="295">
        <f>Historicals!N11/Historicals!N77</f>
        <v>13.439461240865455</v>
      </c>
      <c r="L34" s="295">
        <f>Historicals!O11/Historicals!O77</f>
        <v>13.439461240865453</v>
      </c>
      <c r="M34" s="296">
        <f>Historicals!P11/Historicals!P77</f>
        <v>13.439461240865455</v>
      </c>
    </row>
    <row r="35" spans="1:14" x14ac:dyDescent="0.25">
      <c r="B35" s="287" t="s">
        <v>524</v>
      </c>
      <c r="E35" s="327">
        <f>(Historicals!H77/Historicals!H11)*365</f>
        <v>33.159501267525485</v>
      </c>
      <c r="F35" s="304">
        <f>(Historicals!I77/Historicals!I11)*365</f>
        <v>29.567323328532268</v>
      </c>
      <c r="G35" s="304">
        <f>(Historicals!J77/Historicals!J11)*365</f>
        <v>27.18526122662939</v>
      </c>
      <c r="H35" s="304">
        <f>(Historicals!K77/Historicals!K11)*365</f>
        <v>27.777576390813913</v>
      </c>
      <c r="I35" s="304">
        <f>(Historicals!L77/Historicals!L11)*365</f>
        <v>27.158826790626264</v>
      </c>
      <c r="J35" s="304">
        <f>(Historicals!M77/Historicals!M11)*365</f>
        <v>27.158826790626264</v>
      </c>
      <c r="K35" s="304">
        <f>(Historicals!N77/Historicals!N11)*365</f>
        <v>27.158826790626264</v>
      </c>
      <c r="L35" s="304">
        <f>(Historicals!O77/Historicals!O11)*365</f>
        <v>27.158826790626268</v>
      </c>
      <c r="M35" s="305">
        <f>(Historicals!P77/Historicals!P11)*365</f>
        <v>27.158826790626264</v>
      </c>
    </row>
    <row r="36" spans="1:14" x14ac:dyDescent="0.25">
      <c r="B36" s="287" t="s">
        <v>525</v>
      </c>
      <c r="E36" s="323">
        <f>Historicals!H11/Historicals!H78</f>
        <v>11.323374340949034</v>
      </c>
      <c r="F36" s="295">
        <f>Historicals!I11/Historicals!I78</f>
        <v>10.169147176943067</v>
      </c>
      <c r="G36" s="295">
        <f>Historicals!J11/Historicals!J78</f>
        <v>10.349005424954791</v>
      </c>
      <c r="H36" s="295">
        <f>Historicals!K11/Historicals!K78</f>
        <v>9.9189932318104912</v>
      </c>
      <c r="I36" s="295">
        <f>Historicals!L11/Historicals!L78</f>
        <v>9.9452353616078657</v>
      </c>
      <c r="J36" s="295">
        <f>Historicals!M11/Historicals!M78</f>
        <v>9.9452353616078657</v>
      </c>
      <c r="K36" s="295">
        <f>Historicals!N11/Historicals!N78</f>
        <v>9.9452353616078657</v>
      </c>
      <c r="L36" s="295">
        <f>Historicals!O11/Historicals!O78</f>
        <v>9.9452353616078657</v>
      </c>
      <c r="M36" s="296">
        <f>Historicals!P11/Historicals!P78</f>
        <v>9.9452353616078675</v>
      </c>
    </row>
    <row r="37" spans="1:14" x14ac:dyDescent="0.25">
      <c r="B37" s="287" t="s">
        <v>526</v>
      </c>
      <c r="E37" s="327">
        <f>(Historicals!H78/Historicals!H11)*365</f>
        <v>32.234207667235758</v>
      </c>
      <c r="F37" s="304">
        <f>(Historicals!I78/Historicals!I11)*365</f>
        <v>35.892882033173812</v>
      </c>
      <c r="G37" s="304">
        <f>(Historicals!J78/Historicals!J11)*365</f>
        <v>35.269089638301594</v>
      </c>
      <c r="H37" s="304">
        <f>(Historicals!K78/Historicals!K11)*365</f>
        <v>36.79808943002751</v>
      </c>
      <c r="I37" s="304">
        <f>(Historicals!L78/Historicals!L11)*365</f>
        <v>36.700991653654512</v>
      </c>
      <c r="J37" s="304">
        <f>(Historicals!M78/Historicals!M11)*365</f>
        <v>36.700991653654512</v>
      </c>
      <c r="K37" s="304">
        <f>(Historicals!N78/Historicals!N11)*365</f>
        <v>36.700991653654512</v>
      </c>
      <c r="L37" s="304">
        <f>(Historicals!O78/Historicals!O11)*365</f>
        <v>36.700991653654519</v>
      </c>
      <c r="M37" s="305">
        <f>(Historicals!P78/Historicals!P11)*365</f>
        <v>36.700991653654505</v>
      </c>
    </row>
    <row r="38" spans="1:14" x14ac:dyDescent="0.25">
      <c r="B38" s="287" t="s">
        <v>527</v>
      </c>
      <c r="E38" s="323">
        <f>Historicals!H11/Historicals!H93</f>
        <v>2.6443669197619535</v>
      </c>
      <c r="F38" s="295">
        <f>Historicals!I11/Historicals!I93</f>
        <v>2.7332529049463457</v>
      </c>
      <c r="G38" s="295">
        <f>Historicals!J11/Historicals!J93</f>
        <v>2.9566677429770745</v>
      </c>
      <c r="H38" s="295">
        <f>Historicals!K11/Historicals!K93</f>
        <v>2.1596592217361272</v>
      </c>
      <c r="I38" s="295">
        <f>Historicals!L11/Historicals!L93</f>
        <v>2.9729057252794764</v>
      </c>
      <c r="J38" s="295">
        <f>Historicals!M11/Historicals!M93</f>
        <v>2.9729057252794764</v>
      </c>
      <c r="K38" s="295">
        <f>Historicals!N11/Historicals!N93</f>
        <v>2.9729057252794759</v>
      </c>
      <c r="L38" s="295">
        <f>Historicals!O11/Historicals!O93</f>
        <v>2.9729057252794764</v>
      </c>
      <c r="M38" s="296">
        <f>Historicals!P11/Historicals!P93</f>
        <v>2.9729057252794764</v>
      </c>
    </row>
    <row r="39" spans="1:14" x14ac:dyDescent="0.25">
      <c r="B39" s="287" t="s">
        <v>528</v>
      </c>
      <c r="E39" s="327">
        <f>(Historicals!H93/Historicals!H11)*365</f>
        <v>138.02925655750425</v>
      </c>
      <c r="F39" s="304">
        <f>(Historicals!I93/Historicals!I11)*365</f>
        <v>133.54051479812296</v>
      </c>
      <c r="G39" s="304">
        <f>(Historicals!J93/Historicals!J11)*365</f>
        <v>123.44978595142408</v>
      </c>
      <c r="H39" s="304">
        <f>(Historicals!K93/Historicals!K11)*365</f>
        <v>169.00814551037379</v>
      </c>
      <c r="I39" s="304">
        <f>(Historicals!L93/Historicals!L11)*365</f>
        <v>122.77550441519202</v>
      </c>
      <c r="J39" s="304">
        <f>(Historicals!M93/Historicals!M11)*365</f>
        <v>122.77550441519203</v>
      </c>
      <c r="K39" s="304">
        <f>(Historicals!N93/Historicals!N11)*365</f>
        <v>122.77550441519203</v>
      </c>
      <c r="L39" s="304">
        <f>(Historicals!O93/Historicals!O11)*365</f>
        <v>122.77550441519203</v>
      </c>
      <c r="M39" s="305">
        <f>(Historicals!P93/Historicals!P11)*365</f>
        <v>122.77550441519202</v>
      </c>
    </row>
    <row r="40" spans="1:14" x14ac:dyDescent="0.25">
      <c r="B40" s="287" t="s">
        <v>529</v>
      </c>
      <c r="E40" s="327">
        <f>E34+E37-E39</f>
        <v>-94.787645701202436</v>
      </c>
      <c r="F40" s="304">
        <f t="shared" ref="F40:M40" si="4">F34+F37-F39</f>
        <v>-85.302923846107731</v>
      </c>
      <c r="G40" s="304">
        <f t="shared" si="4"/>
        <v>-74.754303351245653</v>
      </c>
      <c r="H40" s="304">
        <f t="shared" si="4"/>
        <v>-119.06996081556623</v>
      </c>
      <c r="I40" s="304">
        <f t="shared" si="4"/>
        <v>-72.63505152067205</v>
      </c>
      <c r="J40" s="304">
        <f t="shared" si="4"/>
        <v>-72.635051520672064</v>
      </c>
      <c r="K40" s="304">
        <f t="shared" si="4"/>
        <v>-72.635051520672064</v>
      </c>
      <c r="L40" s="304">
        <f t="shared" si="4"/>
        <v>-72.63505152067205</v>
      </c>
      <c r="M40" s="305">
        <f t="shared" si="4"/>
        <v>-72.63505152067205</v>
      </c>
    </row>
    <row r="41" spans="1:14" x14ac:dyDescent="0.25">
      <c r="B41" s="291" t="s">
        <v>530</v>
      </c>
      <c r="C41" s="292"/>
      <c r="D41" s="292"/>
      <c r="E41" s="328">
        <f>Historicals!H11/'Ratio Analysis'!E27</f>
        <v>14.897109826589595</v>
      </c>
      <c r="F41" s="306">
        <f>Historicals!I11/'Ratio Analysis'!F27</f>
        <v>15.014300662713637</v>
      </c>
      <c r="G41" s="306">
        <f>Historicals!J11/'Ratio Analysis'!G27</f>
        <v>14.484024043024359</v>
      </c>
      <c r="H41" s="306">
        <f>Historicals!K11/'Ratio Analysis'!H27</f>
        <v>62.696524064171122</v>
      </c>
      <c r="I41" s="306">
        <f>Historicals!L11/'Ratio Analysis'!I27</f>
        <v>-6.5655660996234815</v>
      </c>
      <c r="J41" s="306">
        <f>Historicals!M11/'Ratio Analysis'!J27</f>
        <v>-4.7945968157328647</v>
      </c>
      <c r="K41" s="306">
        <f>Historicals!N11/'Ratio Analysis'!K27</f>
        <v>-6.0617672433043985</v>
      </c>
      <c r="L41" s="306">
        <f>Historicals!O11/'Ratio Analysis'!L27</f>
        <v>-6.2266279174974981</v>
      </c>
      <c r="M41" s="307">
        <f>Historicals!P11/'Ratio Analysis'!M27</f>
        <v>-8.4408951871686977</v>
      </c>
      <c r="N41" s="278"/>
    </row>
    <row r="43" spans="1:14" x14ac:dyDescent="0.25">
      <c r="A43" s="277">
        <v>4</v>
      </c>
      <c r="B43" s="283" t="s">
        <v>531</v>
      </c>
      <c r="C43" s="284"/>
      <c r="D43" s="284"/>
      <c r="E43" s="320">
        <v>2021</v>
      </c>
      <c r="F43" s="285">
        <f>E43+1</f>
        <v>2022</v>
      </c>
      <c r="G43" s="285">
        <f t="shared" ref="G43:M43" si="5">F43+1</f>
        <v>2023</v>
      </c>
      <c r="H43" s="285">
        <f t="shared" si="5"/>
        <v>2024</v>
      </c>
      <c r="I43" s="285">
        <f t="shared" si="5"/>
        <v>2025</v>
      </c>
      <c r="J43" s="285">
        <f t="shared" si="5"/>
        <v>2026</v>
      </c>
      <c r="K43" s="285">
        <f t="shared" si="5"/>
        <v>2027</v>
      </c>
      <c r="L43" s="285">
        <f t="shared" si="5"/>
        <v>2028</v>
      </c>
      <c r="M43" s="286">
        <f t="shared" si="5"/>
        <v>2029</v>
      </c>
    </row>
    <row r="44" spans="1:14" x14ac:dyDescent="0.25">
      <c r="B44" s="287"/>
      <c r="E44" s="287"/>
      <c r="M44" s="288"/>
    </row>
    <row r="45" spans="1:14" x14ac:dyDescent="0.25">
      <c r="B45" s="287" t="s">
        <v>532</v>
      </c>
      <c r="E45" s="323">
        <f>(Historicals!H97+SUM(Historicals!H99:H101))/Historicals!H105</f>
        <v>2.7954143201930814</v>
      </c>
      <c r="F45" s="295">
        <f>(Historicals!I97+SUM(Historicals!I99:I101))/Historicals!I105</f>
        <v>2.5918454270889799</v>
      </c>
      <c r="G45" s="295">
        <f>(Historicals!J97+SUM(Historicals!J99:J101))/Historicals!J105</f>
        <v>2.5554221251819507</v>
      </c>
      <c r="H45" s="295">
        <f>(Historicals!K97+SUM(Historicals!K99:K101))/Historicals!K105</f>
        <v>2.8127180342787805</v>
      </c>
      <c r="I45" s="295">
        <f>(Historicals!L97+SUM(Historicals!L99:L101))/Historicals!L105</f>
        <v>2.3054830774487485</v>
      </c>
      <c r="J45" s="295">
        <f>(Historicals!M97+SUM(Historicals!M99:M101))/Historicals!M105</f>
        <v>2.0850130926318471</v>
      </c>
      <c r="K45" s="295">
        <f>(Historicals!N97+SUM(Historicals!N99:N101))/Historicals!N105</f>
        <v>1.8838225604964105</v>
      </c>
      <c r="L45" s="295">
        <f>(Historicals!O97+SUM(Historicals!O99:O101))/Historicals!O105</f>
        <v>1.6970751309281695</v>
      </c>
      <c r="M45" s="296">
        <f>(Historicals!P97+SUM(Historicals!P99:P101))/Historicals!P105</f>
        <v>1.5123837774244382</v>
      </c>
    </row>
    <row r="46" spans="1:14" x14ac:dyDescent="0.25">
      <c r="B46" s="287" t="s">
        <v>533</v>
      </c>
      <c r="E46" s="323">
        <f>(Historicals!H97+SUM(Historicals!H99:H101))/Historicals!H90</f>
        <v>0.73652415371897317</v>
      </c>
      <c r="F46" s="295">
        <f>(Historicals!I97+SUM(Historicals!I99:I101))/Historicals!I90</f>
        <v>0.72159158285092118</v>
      </c>
      <c r="G46" s="295">
        <f>(Historicals!J97+SUM(Historicals!J99:J101))/Historicals!J90</f>
        <v>0.71873944505286425</v>
      </c>
      <c r="H46" s="295">
        <f>(Historicals!K97+SUM(Historicals!K99:K101))/Historicals!K90</f>
        <v>0.73771991765209</v>
      </c>
      <c r="I46" s="295">
        <f>(Historicals!L97+SUM(Historicals!L99:L101))/Historicals!L90</f>
        <v>0.69747235833020083</v>
      </c>
      <c r="J46" s="295">
        <f>(Historicals!M97+SUM(Historicals!M99:M101))/Historicals!M90</f>
        <v>0.67585226708166335</v>
      </c>
      <c r="K46" s="295">
        <f>(Historicals!N97+SUM(Historicals!N99:N101))/Historicals!N90</f>
        <v>0.65323802729809299</v>
      </c>
      <c r="L46" s="295">
        <f>(Historicals!O97+SUM(Historicals!O99:O101))/Historicals!O90</f>
        <v>0.6292279779184865</v>
      </c>
      <c r="M46" s="296">
        <f>(Historicals!P97+SUM(Historicals!P99:P101))/Historicals!P90</f>
        <v>0.60197163785815133</v>
      </c>
    </row>
    <row r="47" spans="1:14" x14ac:dyDescent="0.25">
      <c r="B47" s="287" t="s">
        <v>534</v>
      </c>
      <c r="E47" s="323">
        <f>(Historicals!H98+SUM(Historicals!H100:H102))/Historicals!H62</f>
        <v>0.90980017514529099</v>
      </c>
      <c r="F47" s="295">
        <f>(Historicals!I98+SUM(Historicals!I100:I102))/Historicals!I62</f>
        <v>0.79647188533627344</v>
      </c>
      <c r="G47" s="295">
        <f>(Historicals!J98+SUM(Historicals!J100:J102))/Historicals!J62</f>
        <v>0.76776825221238942</v>
      </c>
      <c r="H47" s="295">
        <f>(Historicals!K98+SUM(Historicals!K100:K102))/Historicals!K62</f>
        <v>0.43225593667546175</v>
      </c>
      <c r="I47" s="295">
        <f>(Historicals!L98+SUM(Historicals!L100:L102))/Historicals!L62</f>
        <v>0.40314690359446337</v>
      </c>
      <c r="J47" s="295">
        <f>(Historicals!M98+SUM(Historicals!M100:M102))/Historicals!M62</f>
        <v>0.37105250729590311</v>
      </c>
      <c r="K47" s="295">
        <f>(Historicals!N98+SUM(Historicals!N100:N102))/Historicals!N62</f>
        <v>0.34453244254044285</v>
      </c>
      <c r="L47" s="295">
        <f>(Historicals!O98+SUM(Historicals!O100:O102))/Historicals!O62</f>
        <v>0.32325158624271921</v>
      </c>
      <c r="M47" s="296">
        <f>(Historicals!P98+SUM(Historicals!P100:P102))/Historicals!P62</f>
        <v>0.30923238032660588</v>
      </c>
    </row>
    <row r="48" spans="1:14" x14ac:dyDescent="0.25">
      <c r="B48" s="287" t="s">
        <v>535</v>
      </c>
      <c r="E48" s="323">
        <f>Historicals!H90/Historicals!H105</f>
        <v>3.7954143201930814</v>
      </c>
      <c r="F48" s="295">
        <f>Historicals!I90/Historicals!I105</f>
        <v>3.5918454270889799</v>
      </c>
      <c r="G48" s="295">
        <f>Historicals!J90/Historicals!J105</f>
        <v>3.5554221251819507</v>
      </c>
      <c r="H48" s="295">
        <f>Historicals!K90/Historicals!K105</f>
        <v>3.8127180342787805</v>
      </c>
      <c r="I48" s="295">
        <f>Historicals!L90/Historicals!L105</f>
        <v>3.3054830774487485</v>
      </c>
      <c r="J48" s="295">
        <f>Historicals!M90/Historicals!M105</f>
        <v>3.0850130926318466</v>
      </c>
      <c r="K48" s="295">
        <f>Historicals!N90/Historicals!N105</f>
        <v>2.8838225604964105</v>
      </c>
      <c r="L48" s="295">
        <f>Historicals!O90/Historicals!O105</f>
        <v>2.6970751309281695</v>
      </c>
      <c r="M48" s="296">
        <f>Historicals!P90/Historicals!P105</f>
        <v>2.5123837774244384</v>
      </c>
    </row>
    <row r="49" spans="1:13" x14ac:dyDescent="0.25">
      <c r="B49" s="287" t="s">
        <v>536</v>
      </c>
      <c r="E49" s="323">
        <f>Historicals!H27/Historicals!H32</f>
        <v>14.315721649484535</v>
      </c>
      <c r="F49" s="295">
        <f>Historicals!I27/Historicals!I32</f>
        <v>13.625827814569536</v>
      </c>
      <c r="G49" s="295">
        <f>Historicals!J27/Historicals!J32</f>
        <v>8.5927835051546388</v>
      </c>
      <c r="H49" s="295">
        <f>Historicals!K27/Historicals!K32</f>
        <v>8.3789411064842358</v>
      </c>
      <c r="I49" s="295">
        <f>Historicals!L27/Historicals!L32</f>
        <v>9.7550645860928569</v>
      </c>
      <c r="J49" s="295">
        <f>Historicals!M27/Historicals!M32</f>
        <v>10.466324499142843</v>
      </c>
      <c r="K49" s="295">
        <f>Historicals!N27/Historicals!N32</f>
        <v>11.145448709623288</v>
      </c>
      <c r="L49" s="295">
        <f>Historicals!O27/Historicals!O32</f>
        <v>11.920294859457101</v>
      </c>
      <c r="M49" s="296">
        <f>Historicals!P27/Historicals!P32</f>
        <v>12.759854286563002</v>
      </c>
    </row>
    <row r="50" spans="1:13" x14ac:dyDescent="0.25">
      <c r="B50" s="291" t="s">
        <v>537</v>
      </c>
      <c r="C50" s="292"/>
      <c r="D50" s="292"/>
      <c r="E50" s="328"/>
      <c r="F50" s="306"/>
      <c r="G50" s="306"/>
      <c r="H50" s="306"/>
      <c r="I50" s="306">
        <f>Historicals!L62/(Historicals!L32+Schedule!L60+Schedule!L70)</f>
        <v>7.4135145018997068</v>
      </c>
      <c r="J50" s="306">
        <f>Historicals!M62/(Historicals!M32+Schedule!M60+Schedule!M70)</f>
        <v>5.2427000959690444</v>
      </c>
      <c r="K50" s="306">
        <f>Historicals!N62/(Historicals!N32+Schedule!N60+Schedule!N70)</f>
        <v>2.8611611926667329</v>
      </c>
      <c r="L50" s="306">
        <f>Historicals!O62/(Historicals!O32+Schedule!O60+Schedule!O70)</f>
        <v>4.626741582257357</v>
      </c>
      <c r="M50" s="307">
        <f>Historicals!P62/(Historicals!P32+Schedule!P60+Schedule!P70)</f>
        <v>4.9500247393938084</v>
      </c>
    </row>
    <row r="52" spans="1:13" x14ac:dyDescent="0.25">
      <c r="A52" s="277">
        <v>5</v>
      </c>
      <c r="B52" s="283" t="s">
        <v>538</v>
      </c>
      <c r="C52" s="284"/>
      <c r="D52" s="284"/>
      <c r="E52" s="320">
        <v>2021</v>
      </c>
      <c r="F52" s="285">
        <f>E52+1</f>
        <v>2022</v>
      </c>
      <c r="G52" s="285">
        <f t="shared" ref="G52:M52" si="6">F52+1</f>
        <v>2023</v>
      </c>
      <c r="H52" s="285">
        <f t="shared" si="6"/>
        <v>2024</v>
      </c>
      <c r="I52" s="285">
        <f t="shared" si="6"/>
        <v>2025</v>
      </c>
      <c r="J52" s="285">
        <f t="shared" si="6"/>
        <v>2026</v>
      </c>
      <c r="K52" s="285">
        <f t="shared" si="6"/>
        <v>2027</v>
      </c>
      <c r="L52" s="285">
        <f t="shared" si="6"/>
        <v>2028</v>
      </c>
      <c r="M52" s="286">
        <f t="shared" si="6"/>
        <v>2029</v>
      </c>
    </row>
    <row r="53" spans="1:13" x14ac:dyDescent="0.25">
      <c r="B53" s="287"/>
      <c r="E53" s="287"/>
      <c r="M53" s="288"/>
    </row>
    <row r="54" spans="1:13" x14ac:dyDescent="0.25">
      <c r="B54" s="287" t="s">
        <v>539</v>
      </c>
      <c r="E54" s="329">
        <f>Historicals!H50</f>
        <v>2.3239631336405528</v>
      </c>
      <c r="F54" s="308">
        <f>Historicals!I50</f>
        <v>2.4834482758620688</v>
      </c>
      <c r="G54" s="308">
        <f>Historicals!J50</f>
        <v>2.6911730813551511</v>
      </c>
      <c r="H54" s="308">
        <f>Historicals!K50</f>
        <v>2.8849537037037036</v>
      </c>
      <c r="I54" s="308">
        <f>Historicals!L50</f>
        <v>2.9268439015790775</v>
      </c>
      <c r="J54" s="308">
        <f>Historicals!M50</f>
        <v>3.2057317394334581</v>
      </c>
      <c r="K54" s="308">
        <f>Historicals!N50</f>
        <v>3.4735382997495461</v>
      </c>
      <c r="L54" s="308">
        <f>Historicals!O50</f>
        <v>3.723782623806112</v>
      </c>
      <c r="M54" s="309">
        <f>Historicals!P50</f>
        <v>3.9151375040760605</v>
      </c>
    </row>
    <row r="55" spans="1:13" x14ac:dyDescent="0.25">
      <c r="B55" s="287" t="s">
        <v>540</v>
      </c>
      <c r="E55" s="287"/>
      <c r="F55" s="289">
        <f>F54/E54-1</f>
        <v>6.8626364985264754E-2</v>
      </c>
      <c r="G55" s="289">
        <f t="shared" ref="G55:M55" si="7">G54/F54-1</f>
        <v>8.3643701184384689E-2</v>
      </c>
      <c r="H55" s="289">
        <f t="shared" si="7"/>
        <v>7.2006004998746986E-2</v>
      </c>
      <c r="I55" s="289">
        <f t="shared" si="7"/>
        <v>1.4520232273258049E-2</v>
      </c>
      <c r="J55" s="289">
        <f t="shared" si="7"/>
        <v>9.5286201530568881E-2</v>
      </c>
      <c r="K55" s="289">
        <f t="shared" si="7"/>
        <v>8.3539916026603267E-2</v>
      </c>
      <c r="L55" s="289">
        <f t="shared" si="7"/>
        <v>7.2043058824084127E-2</v>
      </c>
      <c r="M55" s="290">
        <f t="shared" si="7"/>
        <v>5.138723164091763E-2</v>
      </c>
    </row>
    <row r="56" spans="1:13" x14ac:dyDescent="0.25">
      <c r="B56" s="287" t="s">
        <v>541</v>
      </c>
      <c r="E56" s="329">
        <f>Historicals!H53</f>
        <v>1.6799539170506912</v>
      </c>
      <c r="F56" s="308">
        <f>Historicals!I53</f>
        <v>1.76</v>
      </c>
      <c r="G56" s="308">
        <f>Historicals!J53</f>
        <v>1.8400553122839365</v>
      </c>
      <c r="H56" s="308">
        <f>Historicals!K53</f>
        <v>1.9349537037037037</v>
      </c>
      <c r="I56" s="308">
        <f>Historicals!L53</f>
        <v>1.9801978909566569</v>
      </c>
      <c r="J56" s="308">
        <f>Historicals!M53</f>
        <v>2.187665624099425</v>
      </c>
      <c r="K56" s="308">
        <f>Historicals!N53</f>
        <v>2.390774287695546</v>
      </c>
      <c r="L56" s="308">
        <f>Historicals!O53</f>
        <v>2.5848304085016909</v>
      </c>
      <c r="M56" s="309">
        <f>Historicals!P53</f>
        <v>2.7405962528532424</v>
      </c>
    </row>
    <row r="57" spans="1:13" x14ac:dyDescent="0.25">
      <c r="B57" s="287" t="s">
        <v>542</v>
      </c>
      <c r="E57" s="287"/>
      <c r="F57" s="289">
        <f>F56/E56-1</f>
        <v>4.764778494033739E-2</v>
      </c>
      <c r="G57" s="289">
        <f t="shared" ref="G57" si="8">G56/F56-1</f>
        <v>4.5485972888600346E-2</v>
      </c>
      <c r="H57" s="289">
        <f t="shared" ref="H57" si="9">H56/G56-1</f>
        <v>5.1573662371038331E-2</v>
      </c>
      <c r="I57" s="289">
        <f t="shared" ref="I57" si="10">I56/H56-1</f>
        <v>2.3382568361377976E-2</v>
      </c>
      <c r="J57" s="289">
        <f t="shared" ref="J57" si="11">J56/I56-1</f>
        <v>0.10477121205423456</v>
      </c>
      <c r="K57" s="289">
        <f t="shared" ref="K57" si="12">K56/J56-1</f>
        <v>9.2842645310447169E-2</v>
      </c>
      <c r="L57" s="289">
        <f t="shared" ref="L57" si="13">L56/K56-1</f>
        <v>8.1168733411966842E-2</v>
      </c>
      <c r="M57" s="290">
        <f t="shared" ref="M57" si="14">M56/L56-1</f>
        <v>6.0261533537839362E-2</v>
      </c>
    </row>
    <row r="58" spans="1:13" x14ac:dyDescent="0.25">
      <c r="B58" s="287" t="s">
        <v>66</v>
      </c>
      <c r="E58" s="323">
        <f>Historicals!H54</f>
        <v>0.72288320444180054</v>
      </c>
      <c r="F58" s="295">
        <f>Historicals!I54</f>
        <v>0.70869202999166903</v>
      </c>
      <c r="G58" s="295">
        <f>Historicals!J54</f>
        <v>0.68373726128286372</v>
      </c>
      <c r="H58" s="295">
        <f>Historicals!K54</f>
        <v>0.67070528765144832</v>
      </c>
      <c r="I58" s="295">
        <f>Historicals!L54</f>
        <v>0.67656423012115863</v>
      </c>
      <c r="J58" s="295">
        <f>Historicals!M54</f>
        <v>0.68242317259086893</v>
      </c>
      <c r="K58" s="295">
        <f>Historicals!N54</f>
        <v>0.68828211506057924</v>
      </c>
      <c r="L58" s="295">
        <f>Historicals!O54</f>
        <v>0.69414105753028954</v>
      </c>
      <c r="M58" s="296">
        <f>Historicals!P54</f>
        <v>0.7</v>
      </c>
    </row>
    <row r="59" spans="1:13" x14ac:dyDescent="0.25">
      <c r="B59" s="287" t="s">
        <v>546</v>
      </c>
      <c r="E59" s="323">
        <f>1-E58</f>
        <v>0.27711679555819946</v>
      </c>
      <c r="F59" s="295">
        <f t="shared" ref="F59:M59" si="15">1-F58</f>
        <v>0.29130797000833097</v>
      </c>
      <c r="G59" s="295">
        <f t="shared" si="15"/>
        <v>0.31626273871713628</v>
      </c>
      <c r="H59" s="295">
        <f t="shared" si="15"/>
        <v>0.32929471234855168</v>
      </c>
      <c r="I59" s="295">
        <f t="shared" si="15"/>
        <v>0.32343576987884137</v>
      </c>
      <c r="J59" s="295">
        <f t="shared" si="15"/>
        <v>0.31757682740913107</v>
      </c>
      <c r="K59" s="295">
        <f t="shared" si="15"/>
        <v>0.31171788493942076</v>
      </c>
      <c r="L59" s="295">
        <f t="shared" si="15"/>
        <v>0.30585894246971046</v>
      </c>
      <c r="M59" s="296">
        <f t="shared" si="15"/>
        <v>0.30000000000000004</v>
      </c>
    </row>
    <row r="60" spans="1:13" x14ac:dyDescent="0.25">
      <c r="B60" s="287" t="s">
        <v>543</v>
      </c>
      <c r="E60" s="329">
        <f>Historicals!H105/Historicals!H51</f>
        <v>5.7281105990783407</v>
      </c>
      <c r="F60" s="308">
        <f>Historicals!I105/Historicals!I51</f>
        <v>5.9370114942528733</v>
      </c>
      <c r="G60" s="308">
        <f>Historicals!J105/Historicals!J51</f>
        <v>6.3332565107167547</v>
      </c>
      <c r="H60" s="308">
        <f>Historicals!K105/Historicals!K51</f>
        <v>6.1046296296296294</v>
      </c>
      <c r="I60" s="308">
        <f>Historicals!L105/Historicals!L51</f>
        <v>7.0552686958076061</v>
      </c>
      <c r="J60" s="308">
        <f>Historicals!M105/Historicals!M51</f>
        <v>8.0764164083638619</v>
      </c>
      <c r="K60" s="308">
        <f>Historicals!N105/Historicals!N51</f>
        <v>9.1613541762048989</v>
      </c>
      <c r="L60" s="308">
        <f>Historicals!O105/Historicals!O51</f>
        <v>10.30366016031719</v>
      </c>
      <c r="M60" s="309">
        <f>Historicals!P105/Historicals!P51</f>
        <v>11.481351955883179</v>
      </c>
    </row>
    <row r="61" spans="1:13" x14ac:dyDescent="0.25">
      <c r="B61" s="287" t="s">
        <v>544</v>
      </c>
      <c r="E61" s="329">
        <f>Historicals!H11/Historicals!H51</f>
        <v>8.9073732718894014</v>
      </c>
      <c r="F61" s="308">
        <f>Historicals!I11/Historicals!I51</f>
        <v>9.8956321839080452</v>
      </c>
      <c r="G61" s="308">
        <f>Historicals!J11/Historicals!J51</f>
        <v>10.551740032265499</v>
      </c>
      <c r="H61" s="308">
        <f>Historicals!K11/Historicals!K51</f>
        <v>10.855787037037038</v>
      </c>
      <c r="I61" s="308">
        <f>Historicals!L11/Historicals!L51</f>
        <v>11.954855523136318</v>
      </c>
      <c r="J61" s="308">
        <f>Historicals!M11/Historicals!M51</f>
        <v>13.001199291058688</v>
      </c>
      <c r="K61" s="308">
        <f>Historicals!N11/Historicals!N51</f>
        <v>14.004340179032932</v>
      </c>
      <c r="L61" s="308">
        <f>Historicals!O11/Historicals!O51</f>
        <v>14.934241853684609</v>
      </c>
      <c r="M61" s="309">
        <f>Historicals!P11/Historicals!P51</f>
        <v>15.618334090083085</v>
      </c>
    </row>
    <row r="62" spans="1:13" x14ac:dyDescent="0.25">
      <c r="B62" s="291" t="s">
        <v>545</v>
      </c>
      <c r="C62" s="292"/>
      <c r="D62" s="292"/>
      <c r="E62" s="330">
        <f>Historicals!H62/Historicals!H51</f>
        <v>2.8942396313364056</v>
      </c>
      <c r="F62" s="310">
        <f>Historicals!I62/Historicals!I51</f>
        <v>3.1275862068965519</v>
      </c>
      <c r="G62" s="310">
        <f>Historicals!J62/Historicals!J51</f>
        <v>3.3334869785664898</v>
      </c>
      <c r="H62" s="310">
        <f>Historicals!K62/Historicals!K51</f>
        <v>3.5092592592592591</v>
      </c>
      <c r="I62" s="310">
        <f>Historicals!L62/Historicals!L51</f>
        <v>3.7626436780822656</v>
      </c>
      <c r="J62" s="310">
        <f>Historicals!M62/Historicals!M51</f>
        <v>4.0880956692699773</v>
      </c>
      <c r="K62" s="310">
        <f>Historicals!N62/Historicals!N51</f>
        <v>4.4027730363014728</v>
      </c>
      <c r="L62" s="310">
        <f>Historicals!O62/Historicals!O51</f>
        <v>4.6926239891957042</v>
      </c>
      <c r="M62" s="311">
        <f>Historicals!P62/Historicals!P51</f>
        <v>4.9053664643593482</v>
      </c>
    </row>
    <row r="64" spans="1:13" x14ac:dyDescent="0.25">
      <c r="A64" s="277">
        <v>6</v>
      </c>
      <c r="B64" s="283" t="s">
        <v>547</v>
      </c>
      <c r="C64" s="284"/>
      <c r="D64" s="284"/>
      <c r="E64" s="320">
        <v>2021</v>
      </c>
      <c r="F64" s="285">
        <f>E64+1</f>
        <v>2022</v>
      </c>
      <c r="G64" s="285">
        <f t="shared" ref="G64:M64" si="16">F64+1</f>
        <v>2023</v>
      </c>
      <c r="H64" s="285">
        <f t="shared" si="16"/>
        <v>2024</v>
      </c>
      <c r="I64" s="285">
        <f t="shared" si="16"/>
        <v>2025</v>
      </c>
      <c r="J64" s="285">
        <f t="shared" si="16"/>
        <v>2026</v>
      </c>
      <c r="K64" s="285">
        <f t="shared" si="16"/>
        <v>2027</v>
      </c>
      <c r="L64" s="285">
        <f t="shared" si="16"/>
        <v>2028</v>
      </c>
      <c r="M64" s="286">
        <f t="shared" si="16"/>
        <v>2029</v>
      </c>
    </row>
    <row r="65" spans="2:13" x14ac:dyDescent="0.25">
      <c r="B65" s="287"/>
      <c r="E65" s="287"/>
      <c r="M65" s="288"/>
    </row>
    <row r="66" spans="2:13" x14ac:dyDescent="0.25">
      <c r="B66" s="287" t="s">
        <v>70</v>
      </c>
      <c r="E66" s="331">
        <f>E14</f>
        <v>0.26175694552227224</v>
      </c>
      <c r="F66" s="312">
        <f t="shared" ref="F66:M66" si="17">F14</f>
        <v>0.25163778283696508</v>
      </c>
      <c r="G66" s="312">
        <f t="shared" si="17"/>
        <v>0.2548051721125284</v>
      </c>
      <c r="H66" s="312">
        <f t="shared" si="17"/>
        <v>0.2661364266370983</v>
      </c>
      <c r="I66" s="312">
        <f t="shared" si="17"/>
        <v>0.2451587099034834</v>
      </c>
      <c r="J66" s="312">
        <f t="shared" si="17"/>
        <v>0.24680902621517978</v>
      </c>
      <c r="K66" s="312">
        <f t="shared" si="17"/>
        <v>0.24818820530654934</v>
      </c>
      <c r="L66" s="312">
        <f t="shared" si="17"/>
        <v>0.24956984285709924</v>
      </c>
      <c r="M66" s="313">
        <f t="shared" si="17"/>
        <v>0.250877463999644</v>
      </c>
    </row>
    <row r="67" spans="2:13" x14ac:dyDescent="0.25">
      <c r="B67" s="287" t="s">
        <v>521</v>
      </c>
      <c r="E67" s="332">
        <f>E32</f>
        <v>0.40971235983636095</v>
      </c>
      <c r="F67" s="314">
        <f t="shared" ref="F67:M67" si="18">F32</f>
        <v>0.46404277567564656</v>
      </c>
      <c r="G67" s="314">
        <f t="shared" si="18"/>
        <v>0.46860382997451461</v>
      </c>
      <c r="H67" s="314">
        <f t="shared" si="18"/>
        <v>0.46640941232632843</v>
      </c>
      <c r="I67" s="314">
        <f t="shared" si="18"/>
        <v>0.51262034145725877</v>
      </c>
      <c r="J67" s="314">
        <f t="shared" si="18"/>
        <v>0.52180435756777743</v>
      </c>
      <c r="K67" s="314">
        <f t="shared" si="18"/>
        <v>0.53007148653668934</v>
      </c>
      <c r="L67" s="314">
        <f t="shared" si="18"/>
        <v>0.53740117241740959</v>
      </c>
      <c r="M67" s="315">
        <f t="shared" si="18"/>
        <v>0.54144668338248636</v>
      </c>
    </row>
    <row r="68" spans="2:13" x14ac:dyDescent="0.25">
      <c r="B68" s="287" t="s">
        <v>535</v>
      </c>
      <c r="E68" s="332">
        <f>E48</f>
        <v>3.7954143201930814</v>
      </c>
      <c r="F68" s="314">
        <f t="shared" ref="F68:M68" si="19">F48</f>
        <v>3.5918454270889799</v>
      </c>
      <c r="G68" s="314">
        <f t="shared" si="19"/>
        <v>3.5554221251819507</v>
      </c>
      <c r="H68" s="314">
        <f t="shared" si="19"/>
        <v>3.8127180342787805</v>
      </c>
      <c r="I68" s="314">
        <f t="shared" si="19"/>
        <v>3.3054830774487485</v>
      </c>
      <c r="J68" s="314">
        <f t="shared" si="19"/>
        <v>3.0850130926318466</v>
      </c>
      <c r="K68" s="314">
        <f t="shared" si="19"/>
        <v>2.8838225604964105</v>
      </c>
      <c r="L68" s="314">
        <f t="shared" si="19"/>
        <v>2.6970751309281695</v>
      </c>
      <c r="M68" s="315">
        <f t="shared" si="19"/>
        <v>2.5123837774244384</v>
      </c>
    </row>
    <row r="69" spans="2:13" x14ac:dyDescent="0.25">
      <c r="B69" s="316" t="s">
        <v>548</v>
      </c>
      <c r="C69" s="317"/>
      <c r="D69" s="317"/>
      <c r="E69" s="333">
        <f>E66*E67*E68</f>
        <v>0.40703942075623495</v>
      </c>
      <c r="F69" s="318">
        <f t="shared" ref="F69:M69" si="20">F66*F67*F68</f>
        <v>0.41942228761712996</v>
      </c>
      <c r="G69" s="318">
        <f t="shared" si="20"/>
        <v>0.42452692867540032</v>
      </c>
      <c r="H69" s="318">
        <f t="shared" si="20"/>
        <v>0.47326710147125733</v>
      </c>
      <c r="I69" s="318">
        <f t="shared" si="20"/>
        <v>0.41541110388555436</v>
      </c>
      <c r="J69" s="318">
        <f t="shared" si="20"/>
        <v>0.3973065744025609</v>
      </c>
      <c r="K69" s="318">
        <f t="shared" si="20"/>
        <v>0.37938846033964824</v>
      </c>
      <c r="L69" s="318">
        <f t="shared" si="20"/>
        <v>0.36172935972485004</v>
      </c>
      <c r="M69" s="319">
        <f t="shared" si="20"/>
        <v>0.34127409938090569</v>
      </c>
    </row>
    <row r="71" spans="2:13" x14ac:dyDescent="0.25"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</row>
  </sheetData>
  <pageMargins left="0.7" right="0.7" top="0.75" bottom="0.75" header="0.3" footer="0.3"/>
  <ignoredErrors>
    <ignoredError sqref="E47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F86B-0CB8-492A-AA2F-7394FC1A14D1}">
  <dimension ref="A2:M51"/>
  <sheetViews>
    <sheetView tabSelected="1" workbookViewId="0">
      <selection activeCell="C15" sqref="C15"/>
    </sheetView>
  </sheetViews>
  <sheetFormatPr defaultRowHeight="14.4" x14ac:dyDescent="0.3"/>
  <cols>
    <col min="1" max="1" width="2.88671875" style="40" customWidth="1"/>
    <col min="2" max="13" width="12.77734375" customWidth="1"/>
  </cols>
  <sheetData>
    <row r="2" spans="1:13" x14ac:dyDescent="0.3">
      <c r="B2" s="195" t="s">
        <v>0</v>
      </c>
      <c r="C2" s="3"/>
      <c r="D2" s="3"/>
      <c r="E2" s="133"/>
      <c r="F2" s="133"/>
      <c r="G2" s="133"/>
      <c r="H2" s="133"/>
      <c r="I2" s="133"/>
      <c r="J2" s="134"/>
      <c r="K2" s="134"/>
      <c r="L2" s="134"/>
      <c r="M2" s="134"/>
    </row>
    <row r="3" spans="1:13" x14ac:dyDescent="0.3">
      <c r="B3" s="136" t="s">
        <v>549</v>
      </c>
      <c r="C3" s="133"/>
      <c r="D3" s="133"/>
      <c r="E3" s="133"/>
      <c r="F3" s="133"/>
      <c r="G3" s="133"/>
      <c r="H3" s="133"/>
      <c r="I3" s="133"/>
      <c r="J3" s="134"/>
      <c r="K3" s="134"/>
      <c r="L3" s="134"/>
      <c r="M3" s="134"/>
    </row>
    <row r="4" spans="1:13" x14ac:dyDescent="0.3">
      <c r="B4" s="211" t="s">
        <v>1</v>
      </c>
      <c r="C4" s="212"/>
      <c r="D4" s="212"/>
      <c r="E4" s="212"/>
      <c r="F4" s="212"/>
      <c r="G4" s="212"/>
      <c r="H4" s="212"/>
      <c r="I4" s="212"/>
      <c r="J4" s="213"/>
      <c r="K4" s="213"/>
      <c r="L4" s="213"/>
      <c r="M4" s="213"/>
    </row>
    <row r="5" spans="1:13" x14ac:dyDescent="0.3">
      <c r="B5" s="215" t="s">
        <v>2</v>
      </c>
      <c r="C5" s="216"/>
      <c r="D5" s="218"/>
      <c r="E5" s="217">
        <v>44561</v>
      </c>
      <c r="F5" s="137">
        <f>EDATE(E5,12)</f>
        <v>44926</v>
      </c>
      <c r="G5" s="137">
        <f t="shared" ref="G5:M5" si="0">EDATE(F5,12)</f>
        <v>45291</v>
      </c>
      <c r="H5" s="137">
        <f t="shared" si="0"/>
        <v>45657</v>
      </c>
      <c r="I5" s="138">
        <f t="shared" si="0"/>
        <v>46022</v>
      </c>
      <c r="J5" s="137">
        <f t="shared" si="0"/>
        <v>46387</v>
      </c>
      <c r="K5" s="137">
        <f t="shared" si="0"/>
        <v>46752</v>
      </c>
      <c r="L5" s="137">
        <f t="shared" si="0"/>
        <v>47118</v>
      </c>
      <c r="M5" s="137">
        <f t="shared" si="0"/>
        <v>47483</v>
      </c>
    </row>
    <row r="6" spans="1:13" x14ac:dyDescent="0.3">
      <c r="B6" s="136" t="s">
        <v>3</v>
      </c>
      <c r="C6" s="133"/>
      <c r="D6" s="219"/>
      <c r="E6" s="214" t="s">
        <v>4</v>
      </c>
      <c r="F6" s="139" t="s">
        <v>4</v>
      </c>
      <c r="G6" s="139" t="s">
        <v>4</v>
      </c>
      <c r="H6" s="139" t="s">
        <v>4</v>
      </c>
      <c r="I6" s="140" t="s">
        <v>5</v>
      </c>
      <c r="J6" s="139" t="s">
        <v>5</v>
      </c>
      <c r="K6" s="139" t="s">
        <v>5</v>
      </c>
      <c r="L6" s="139" t="s">
        <v>5</v>
      </c>
      <c r="M6" s="139" t="s">
        <v>5</v>
      </c>
    </row>
    <row r="8" spans="1:13" x14ac:dyDescent="0.3">
      <c r="A8" s="40" t="s">
        <v>483</v>
      </c>
      <c r="B8" s="136" t="s">
        <v>551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</row>
    <row r="10" spans="1:13" x14ac:dyDescent="0.3">
      <c r="B10" t="s">
        <v>22</v>
      </c>
      <c r="E10" s="348">
        <f>Historicals!H11/Historicals!H11</f>
        <v>1</v>
      </c>
      <c r="F10" s="348">
        <f>Historicals!I11/Historicals!I11</f>
        <v>1</v>
      </c>
      <c r="G10" s="348">
        <f>Historicals!J11/Historicals!J11</f>
        <v>1</v>
      </c>
      <c r="H10" s="348">
        <f>Historicals!K11/Historicals!K11</f>
        <v>1</v>
      </c>
      <c r="I10" s="348">
        <f>Historicals!L11/Historicals!L11</f>
        <v>1</v>
      </c>
      <c r="J10" s="348">
        <f>Historicals!M11/Historicals!M11</f>
        <v>1</v>
      </c>
      <c r="K10" s="348">
        <f>Historicals!N11/Historicals!N11</f>
        <v>1</v>
      </c>
      <c r="L10" s="348">
        <f>Historicals!O11/Historicals!O11</f>
        <v>1</v>
      </c>
      <c r="M10" s="348">
        <f>Historicals!P11/Historicals!P11</f>
        <v>1</v>
      </c>
    </row>
    <row r="11" spans="1:13" x14ac:dyDescent="0.3">
      <c r="B11" t="s">
        <v>23</v>
      </c>
      <c r="E11" s="348">
        <f>Historicals!H15/Historicals!H11</f>
        <v>0.39862382947902114</v>
      </c>
      <c r="F11" s="348">
        <f>Historicals!I15/Historicals!I11</f>
        <v>0.41390605398875624</v>
      </c>
      <c r="G11" s="348">
        <f>Historicals!J15/Historicals!J11</f>
        <v>0.40330683208107637</v>
      </c>
      <c r="H11" s="348">
        <f>Historicals!K15/Historicals!K11</f>
        <v>0.38923598524425868</v>
      </c>
      <c r="I11" s="348">
        <f>Historicals!L15/Historicals!L11</f>
        <v>0.40110397406708581</v>
      </c>
      <c r="J11" s="348">
        <f>Historicals!M15/Historicals!M11</f>
        <v>0.40110397406708581</v>
      </c>
      <c r="K11" s="348">
        <f>Historicals!N15/Historicals!N11</f>
        <v>0.40110397406708581</v>
      </c>
      <c r="L11" s="348">
        <f>Historicals!O15/Historicals!O11</f>
        <v>0.40110397406708581</v>
      </c>
      <c r="M11" s="348">
        <f>Historicals!P15/Historicals!P11</f>
        <v>0.40110397406708581</v>
      </c>
    </row>
    <row r="12" spans="1:13" x14ac:dyDescent="0.3">
      <c r="B12" s="1" t="s">
        <v>77</v>
      </c>
      <c r="C12" s="1"/>
      <c r="D12" s="1"/>
      <c r="E12" s="349">
        <f>Historicals!H17/Historicals!H11</f>
        <v>0.6013761705209788</v>
      </c>
      <c r="F12" s="349">
        <f>Historicals!I17/Historicals!I11</f>
        <v>0.58609394601124376</v>
      </c>
      <c r="G12" s="349">
        <f>Historicals!J17/Historicals!J11</f>
        <v>0.59669316791892368</v>
      </c>
      <c r="H12" s="349">
        <f>Historicals!K17/Historicals!K11</f>
        <v>0.61076401475574127</v>
      </c>
      <c r="I12" s="349">
        <f>Historicals!L17/Historicals!L11</f>
        <v>0.59889602593291413</v>
      </c>
      <c r="J12" s="349">
        <f>Historicals!M17/Historicals!M11</f>
        <v>0.59889602593291413</v>
      </c>
      <c r="K12" s="349">
        <f>Historicals!N17/Historicals!N11</f>
        <v>0.59889602593291424</v>
      </c>
      <c r="L12" s="349">
        <f>Historicals!O17/Historicals!O11</f>
        <v>0.59889602593291413</v>
      </c>
      <c r="M12" s="349">
        <f>Historicals!P17/Historicals!P11</f>
        <v>0.59889602593291424</v>
      </c>
    </row>
    <row r="13" spans="1:13" x14ac:dyDescent="0.3">
      <c r="E13" s="348"/>
      <c r="F13" s="348"/>
      <c r="G13" s="348"/>
      <c r="H13" s="348"/>
      <c r="I13" s="348"/>
      <c r="J13" s="348"/>
      <c r="K13" s="348"/>
      <c r="L13" s="348"/>
      <c r="M13" s="348"/>
    </row>
    <row r="14" spans="1:13" x14ac:dyDescent="0.3">
      <c r="B14" t="s">
        <v>24</v>
      </c>
      <c r="E14" s="348">
        <f>Historicals!H21/Historicals!H11</f>
        <v>0.31401003673237105</v>
      </c>
      <c r="F14" s="348">
        <f>Historicals!I21/Historicals!I11</f>
        <v>0.29930771732565165</v>
      </c>
      <c r="G14" s="348">
        <f>Historicals!J21/Historicals!J11</f>
        <v>0.30541237113402064</v>
      </c>
      <c r="H14" s="348">
        <f>Historicals!K21/Historicals!K11</f>
        <v>0.31042497387892615</v>
      </c>
      <c r="I14" s="348">
        <f>Historicals!L21/Historicals!L11</f>
        <v>0.30714756526229214</v>
      </c>
      <c r="J14" s="348">
        <f>Historicals!M21/Historicals!M11</f>
        <v>0.30714756526229214</v>
      </c>
      <c r="K14" s="348">
        <f>Historicals!N21/Historicals!N11</f>
        <v>0.30714756526229214</v>
      </c>
      <c r="L14" s="348">
        <f>Historicals!O21/Historicals!O11</f>
        <v>0.30714756526229214</v>
      </c>
      <c r="M14" s="348">
        <f>Historicals!P21/Historicals!P11</f>
        <v>0.30714756526229214</v>
      </c>
    </row>
    <row r="15" spans="1:13" x14ac:dyDescent="0.3">
      <c r="B15" s="1" t="s">
        <v>82</v>
      </c>
      <c r="C15" s="1"/>
      <c r="D15" s="1"/>
      <c r="E15" s="349">
        <f>Historicals!H27/Historicals!H11</f>
        <v>0.28736613378860781</v>
      </c>
      <c r="F15" s="349">
        <f>Historicals!I27/Historicals!I11</f>
        <v>0.28678622868559217</v>
      </c>
      <c r="G15" s="349">
        <f>Historicals!J27/Historicals!J11</f>
        <v>0.29128079678490304</v>
      </c>
      <c r="H15" s="349">
        <f>Historicals!K27/Historicals!K11</f>
        <v>0.30033904087681512</v>
      </c>
      <c r="I15" s="349">
        <f>Historicals!L27/Historicals!L11</f>
        <v>0.29174846067062205</v>
      </c>
      <c r="J15" s="349">
        <f>Historicals!M27/Historicals!M11</f>
        <v>0.29174846067062199</v>
      </c>
      <c r="K15" s="349">
        <f>Historicals!N27/Historicals!N11</f>
        <v>0.2917484606706221</v>
      </c>
      <c r="L15" s="349">
        <f>Historicals!O27/Historicals!O11</f>
        <v>0.29174846067062193</v>
      </c>
      <c r="M15" s="349">
        <f>Historicals!P27/Historicals!P11</f>
        <v>0.2917484606706221</v>
      </c>
    </row>
    <row r="17" spans="1:13" x14ac:dyDescent="0.3">
      <c r="B17" t="s">
        <v>83</v>
      </c>
      <c r="E17" s="348">
        <f>Historicals!H32/Historicals!H11</f>
        <v>2.0073464742097365E-2</v>
      </c>
      <c r="F17" s="348">
        <f>Historicals!I32/Historicals!I11</f>
        <v>2.104725177716861E-2</v>
      </c>
      <c r="G17" s="348">
        <f>Historicals!J32/Historicals!J11</f>
        <v>3.3898305084745763E-2</v>
      </c>
      <c r="H17" s="348">
        <f>Historicals!K32/Historicals!K11</f>
        <v>3.5844510309827923E-2</v>
      </c>
      <c r="I17" s="348">
        <f>Historicals!L32/Historicals!L11</f>
        <v>2.9907383810307959E-2</v>
      </c>
      <c r="J17" s="348">
        <f>Historicals!M32/Historicals!M11</f>
        <v>2.7874968017140615E-2</v>
      </c>
      <c r="K17" s="348">
        <f>Historicals!N32/Historicals!N11</f>
        <v>2.6176466131751022E-2</v>
      </c>
      <c r="L17" s="348">
        <f>Historicals!O32/Historicals!O11</f>
        <v>2.4474936577526016E-2</v>
      </c>
      <c r="M17" s="348">
        <f>Historicals!P32/Historicals!P11</f>
        <v>2.2864560528551896E-2</v>
      </c>
    </row>
    <row r="18" spans="1:13" x14ac:dyDescent="0.3">
      <c r="B18" s="1" t="s">
        <v>29</v>
      </c>
      <c r="C18" s="1"/>
      <c r="D18" s="1"/>
      <c r="E18" s="349">
        <f>Historicals!H36/Historicals!H11</f>
        <v>3.7534274923689791E-2</v>
      </c>
      <c r="F18" s="349">
        <f>Historicals!I36/Historicals!I11</f>
        <v>3.4985829113041864E-2</v>
      </c>
      <c r="G18" s="349">
        <f>Historicals!J36/Historicals!J11</f>
        <v>4.0407129128079679E-2</v>
      </c>
      <c r="H18" s="349">
        <f>Historicals!K36/Historicals!K11</f>
        <v>3.9704032240868284E-2</v>
      </c>
      <c r="I18" s="349">
        <f>Historicals!L36/Historicals!L11</f>
        <v>3.8139119865467967E-2</v>
      </c>
      <c r="J18" s="349">
        <f>Historicals!M36/Historicals!M11</f>
        <v>3.8139119865467967E-2</v>
      </c>
      <c r="K18" s="349">
        <f>Historicals!N36/Historicals!N11</f>
        <v>3.8139119865467967E-2</v>
      </c>
      <c r="L18" s="349">
        <f>Historicals!O36/Historicals!O11</f>
        <v>3.8139119865467967E-2</v>
      </c>
      <c r="M18" s="349">
        <f>Historicals!P36/Historicals!P11</f>
        <v>3.8139119865467967E-2</v>
      </c>
    </row>
    <row r="19" spans="1:13" x14ac:dyDescent="0.3">
      <c r="E19" s="348"/>
      <c r="F19" s="348"/>
      <c r="G19" s="348"/>
      <c r="H19" s="348"/>
      <c r="I19" s="348"/>
      <c r="J19" s="348"/>
      <c r="K19" s="348"/>
      <c r="L19" s="348"/>
      <c r="M19" s="348"/>
    </row>
    <row r="20" spans="1:13" x14ac:dyDescent="0.3">
      <c r="B20" t="s">
        <v>85</v>
      </c>
      <c r="E20" s="348">
        <f>Historicals!H40/Historicals!H11</f>
        <v>9.4935071653991406E-3</v>
      </c>
      <c r="F20" s="348">
        <f>Historicals!I40/Historicals!I11</f>
        <v>-3.9492635784974211E-4</v>
      </c>
      <c r="G20" s="348">
        <f>Historicals!J40/Historicals!J11</f>
        <v>-3.0141534160405383E-3</v>
      </c>
      <c r="H20" s="348">
        <f>Historicals!K40/Historicals!K11</f>
        <v>1.6845427212828113E-3</v>
      </c>
      <c r="I20" s="348">
        <f>Historicals!L40/Historicals!L11</f>
        <v>1.9403686282588345E-3</v>
      </c>
      <c r="J20" s="348">
        <f>Historicals!M40/Historicals!M11</f>
        <v>1.9403686282588345E-3</v>
      </c>
      <c r="K20" s="348">
        <f>Historicals!N40/Historicals!N11</f>
        <v>1.9403686282588345E-3</v>
      </c>
      <c r="L20" s="348">
        <f>Historicals!O40/Historicals!O11</f>
        <v>1.9403686282588345E-3</v>
      </c>
      <c r="M20" s="348">
        <f>Historicals!P40/Historicals!P11</f>
        <v>1.9403686282588345E-3</v>
      </c>
    </row>
    <row r="21" spans="1:13" x14ac:dyDescent="0.3">
      <c r="B21" s="1" t="s">
        <v>31</v>
      </c>
      <c r="C21" s="1"/>
      <c r="D21" s="1"/>
      <c r="E21" s="349">
        <f>Historicals!H41/Historicals!H11</f>
        <v>0.32145998240985046</v>
      </c>
      <c r="F21" s="349">
        <f>Historicals!I41/Historicals!I11</f>
        <v>0.31076058170329413</v>
      </c>
      <c r="G21" s="349">
        <f>Historicals!J41/Historicals!J11</f>
        <v>0.31458588153066575</v>
      </c>
      <c r="H21" s="349">
        <f>Historicals!K41/Historicals!K11</f>
        <v>0.3269505512079664</v>
      </c>
      <c r="I21" s="349">
        <f>Historicals!L41/Historicals!L11</f>
        <v>0.30192056535404088</v>
      </c>
      <c r="J21" s="349">
        <f>Historicals!M41/Historicals!M11</f>
        <v>0.3039529811472082</v>
      </c>
      <c r="K21" s="349">
        <f>Historicals!N41/Historicals!N11</f>
        <v>0.30565148303259793</v>
      </c>
      <c r="L21" s="349">
        <f>Historicals!O41/Historicals!O11</f>
        <v>0.30735301258682268</v>
      </c>
      <c r="M21" s="349">
        <f>Historicals!P41/Historicals!P11</f>
        <v>0.30896338863579698</v>
      </c>
    </row>
    <row r="22" spans="1:13" x14ac:dyDescent="0.3">
      <c r="E22" s="348"/>
      <c r="F22" s="348"/>
      <c r="G22" s="348"/>
      <c r="H22" s="348"/>
      <c r="I22" s="348"/>
      <c r="J22" s="348"/>
      <c r="K22" s="348"/>
      <c r="L22" s="348"/>
      <c r="M22" s="348"/>
    </row>
    <row r="23" spans="1:13" x14ac:dyDescent="0.3">
      <c r="B23" t="s">
        <v>86</v>
      </c>
      <c r="E23" s="348">
        <f>Historicals!H44/Historicals!H11</f>
        <v>5.9703036887578248E-2</v>
      </c>
      <c r="F23" s="348">
        <f>Historicals!I44/Historicals!I11</f>
        <v>5.912279886632904E-2</v>
      </c>
      <c r="G23" s="348">
        <f>Historicals!J44/Historicals!J11</f>
        <v>5.9780709418137339E-2</v>
      </c>
      <c r="H23" s="348">
        <f>Historicals!K44/Historicals!K11</f>
        <v>6.0814124570868072E-2</v>
      </c>
      <c r="I23" s="348">
        <f>Historicals!L44/Historicals!L11</f>
        <v>5.6761855450557487E-2</v>
      </c>
      <c r="J23" s="348">
        <f>Historicals!M44/Historicals!M11</f>
        <v>5.7143954932028437E-2</v>
      </c>
      <c r="K23" s="348">
        <f>Historicals!N44/Historicals!N11</f>
        <v>5.7463277726048562E-2</v>
      </c>
      <c r="L23" s="348">
        <f>Historicals!O44/Historicals!O11</f>
        <v>5.7783169729723451E-2</v>
      </c>
      <c r="M23" s="348">
        <f>Historicals!P44/Historicals!P11</f>
        <v>5.8085924636153002E-2</v>
      </c>
    </row>
    <row r="24" spans="1:13" x14ac:dyDescent="0.3">
      <c r="B24" s="1" t="s">
        <v>373</v>
      </c>
      <c r="C24" s="1"/>
      <c r="D24" s="1"/>
      <c r="E24" s="349">
        <f>Historicals!H45/Historicals!H11</f>
        <v>0.26175694552227224</v>
      </c>
      <c r="F24" s="349">
        <f>Historicals!I45/Historicals!I11</f>
        <v>0.25163778283696508</v>
      </c>
      <c r="G24" s="349">
        <f>Historicals!J45/Historicals!J11</f>
        <v>0.2548051721125284</v>
      </c>
      <c r="H24" s="349">
        <f>Historicals!K45/Historicals!K11</f>
        <v>0.2661364266370983</v>
      </c>
      <c r="I24" s="349">
        <f>Historicals!L45/Historicals!L11</f>
        <v>0.2451587099034834</v>
      </c>
      <c r="J24" s="349">
        <f>Historicals!M45/Historicals!M11</f>
        <v>0.24680902621517978</v>
      </c>
      <c r="K24" s="349">
        <f>Historicals!N45/Historicals!N11</f>
        <v>0.24818820530654934</v>
      </c>
      <c r="L24" s="349">
        <f>Historicals!O45/Historicals!O11</f>
        <v>0.24956984285709924</v>
      </c>
      <c r="M24" s="349">
        <f>Historicals!P45/Historicals!P11</f>
        <v>0.250877463999644</v>
      </c>
    </row>
    <row r="25" spans="1:13" x14ac:dyDescent="0.3">
      <c r="E25" s="348"/>
      <c r="F25" s="348"/>
      <c r="G25" s="348"/>
      <c r="H25" s="348"/>
      <c r="I25" s="348"/>
      <c r="J25" s="348"/>
      <c r="K25" s="348"/>
      <c r="L25" s="348"/>
      <c r="M25" s="348"/>
    </row>
    <row r="26" spans="1:13" x14ac:dyDescent="0.3">
      <c r="B26" t="s">
        <v>34</v>
      </c>
      <c r="E26" s="348">
        <f>Historicals!H47/Historicals!H11</f>
        <v>8.536396088778519E-4</v>
      </c>
      <c r="F26" s="348">
        <f>Historicals!I47/Historicals!I11</f>
        <v>6.7369790456720717E-4</v>
      </c>
      <c r="G26" s="348">
        <f>Historicals!J47/Historicals!J11</f>
        <v>-2.402586056264197E-4</v>
      </c>
      <c r="H26" s="348">
        <f>Historicals!K47/Historicals!K11</f>
        <v>3.8381986054545069E-4</v>
      </c>
      <c r="I26" s="348">
        <f>Historicals!L47/Historicals!L11</f>
        <v>3.3401119301088716E-4</v>
      </c>
      <c r="J26" s="348">
        <f>Historicals!M47/Historicals!M11</f>
        <v>2.3702407395151065E-4</v>
      </c>
      <c r="K26" s="348">
        <f>Historicals!N47/Historicals!N11</f>
        <v>1.5522015027109585E-4</v>
      </c>
      <c r="L26" s="348">
        <f>Historicals!O47/Historicals!O11</f>
        <v>2.245690702432893E-4</v>
      </c>
      <c r="M26" s="348">
        <f>Historicals!P47/Historicals!P11</f>
        <v>2.0172089577541726E-4</v>
      </c>
    </row>
    <row r="27" spans="1:13" x14ac:dyDescent="0.3">
      <c r="B27" s="1" t="s">
        <v>36</v>
      </c>
      <c r="C27" s="1"/>
      <c r="D27" s="1"/>
      <c r="E27" s="349">
        <f>Historicals!H48/Historicals!H11</f>
        <v>0.26090330591339439</v>
      </c>
      <c r="F27" s="349">
        <f>Historicals!I48/Historicals!I11</f>
        <v>0.25096408493239791</v>
      </c>
      <c r="G27" s="349">
        <f>Historicals!J48/Historicals!J11</f>
        <v>0.25504543071815483</v>
      </c>
      <c r="H27" s="349">
        <f>Historicals!K48/Historicals!K11</f>
        <v>0.26575260677655288</v>
      </c>
      <c r="I27" s="349">
        <f>Historicals!L48/Historicals!L11</f>
        <v>0.24482469871047252</v>
      </c>
      <c r="J27" s="349">
        <f>Historicals!M48/Historicals!M11</f>
        <v>0.24657200214122826</v>
      </c>
      <c r="K27" s="349">
        <f>Historicals!N48/Historicals!N11</f>
        <v>0.24803298515627825</v>
      </c>
      <c r="L27" s="349">
        <f>Historicals!O48/Historicals!O11</f>
        <v>0.24934527378685595</v>
      </c>
      <c r="M27" s="349">
        <f>Historicals!P48/Historicals!P11</f>
        <v>0.25067574310386859</v>
      </c>
    </row>
    <row r="30" spans="1:13" x14ac:dyDescent="0.3">
      <c r="A30" s="40" t="s">
        <v>483</v>
      </c>
      <c r="B30" s="136" t="s">
        <v>552</v>
      </c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</row>
    <row r="32" spans="1:13" x14ac:dyDescent="0.3">
      <c r="B32" t="s">
        <v>22</v>
      </c>
      <c r="E32" s="40" t="s">
        <v>519</v>
      </c>
      <c r="F32" s="348">
        <f>Historicals!I11/Historicals!H11-1</f>
        <v>0.11350820011381857</v>
      </c>
      <c r="G32" s="348">
        <f>Historicals!J11/Historicals!I11-1</f>
        <v>6.3606374576034908E-2</v>
      </c>
      <c r="H32" s="348">
        <f>Historicals!K11/Historicals!J11-1</f>
        <v>2.4309802551109483E-2</v>
      </c>
      <c r="I32" s="348">
        <f>Historicals!L11/Historicals!K11-1</f>
        <v>0.10124263513548626</v>
      </c>
      <c r="J32" s="348">
        <f>Historicals!M11/Historicals!L11-1</f>
        <v>8.7524584960259055E-2</v>
      </c>
      <c r="K32" s="348">
        <f>Historicals!N11/Historicals!M11-1</f>
        <v>7.7157565661202687E-2</v>
      </c>
      <c r="L32" s="348">
        <f>Historicals!O11/Historicals!N11-1</f>
        <v>6.6400963041722827E-2</v>
      </c>
      <c r="M32" s="348">
        <f>Historicals!P11/Historicals!O11-1</f>
        <v>4.5806961150136605E-2</v>
      </c>
    </row>
    <row r="33" spans="2:13" x14ac:dyDescent="0.3">
      <c r="B33" t="s">
        <v>23</v>
      </c>
      <c r="E33" s="40" t="s">
        <v>519</v>
      </c>
      <c r="F33" s="348">
        <f>Historicals!I15/Historicals!H15-1</f>
        <v>0.15619727449707987</v>
      </c>
      <c r="G33" s="348">
        <f>Historicals!J15/Historicals!I15-1</f>
        <v>3.6369759218723763E-2</v>
      </c>
      <c r="H33" s="348">
        <f>Historicals!K15/Historicals!J15-1</f>
        <v>-1.142702409964802E-2</v>
      </c>
      <c r="I33" s="348">
        <f>Historicals!L15/Historicals!K15-1</f>
        <v>0.13482004262212199</v>
      </c>
      <c r="J33" s="348">
        <f>Historicals!M15/Historicals!L15-1</f>
        <v>8.7524584960259055E-2</v>
      </c>
      <c r="K33" s="348">
        <f>Historicals!N15/Historicals!M15-1</f>
        <v>7.7157565661202909E-2</v>
      </c>
      <c r="L33" s="348">
        <f>Historicals!O15/Historicals!N15-1</f>
        <v>6.6400963041722827E-2</v>
      </c>
      <c r="M33" s="348">
        <f>Historicals!P15/Historicals!O15-1</f>
        <v>4.5806961150136383E-2</v>
      </c>
    </row>
    <row r="34" spans="2:13" x14ac:dyDescent="0.3">
      <c r="B34" s="1" t="s">
        <v>77</v>
      </c>
      <c r="E34" s="40" t="s">
        <v>519</v>
      </c>
      <c r="F34" s="349">
        <f>Historicals!I17/Historicals!H17-1</f>
        <v>8.521163110805241E-2</v>
      </c>
      <c r="G34" s="349">
        <f>Historicals!J17/Historicals!I17-1</f>
        <v>8.2841174838479636E-2</v>
      </c>
      <c r="H34" s="349">
        <f>Historicals!K17/Historicals!J17-1</f>
        <v>4.8464438669058252E-2</v>
      </c>
      <c r="I34" s="349">
        <f>Historicals!L17/Historicals!K17-1</f>
        <v>7.9843968925206177E-2</v>
      </c>
      <c r="J34" s="349">
        <f>Historicals!M17/Historicals!L17-1</f>
        <v>8.7524584960259055E-2</v>
      </c>
      <c r="K34" s="349">
        <f>Historicals!N17/Historicals!M17-1</f>
        <v>7.7157565661202909E-2</v>
      </c>
      <c r="L34" s="349">
        <f>Historicals!O17/Historicals!N17-1</f>
        <v>6.6400963041722605E-2</v>
      </c>
      <c r="M34" s="349">
        <f>Historicals!P17/Historicals!O17-1</f>
        <v>4.5806961150136827E-2</v>
      </c>
    </row>
    <row r="35" spans="2:13" x14ac:dyDescent="0.3">
      <c r="E35" s="40"/>
      <c r="F35" s="348"/>
      <c r="G35" s="348"/>
      <c r="H35" s="348"/>
      <c r="I35" s="348"/>
      <c r="J35" s="348"/>
      <c r="K35" s="348"/>
      <c r="L35" s="348"/>
      <c r="M35" s="348"/>
    </row>
    <row r="36" spans="2:13" x14ac:dyDescent="0.3">
      <c r="B36" t="s">
        <v>24</v>
      </c>
      <c r="E36" s="40" t="s">
        <v>519</v>
      </c>
      <c r="F36" s="348">
        <f>Historicals!I21/Historicals!H21-1</f>
        <v>6.1372435950242998E-2</v>
      </c>
      <c r="G36" s="348">
        <f>Historicals!J21/Historicals!I21-1</f>
        <v>8.5299596398634048E-2</v>
      </c>
      <c r="H36" s="348">
        <f>Historicals!K21/Historicals!J21-1</f>
        <v>4.1121361653436272E-2</v>
      </c>
      <c r="I36" s="348">
        <f>Historicals!L21/Historicals!K21-1</f>
        <v>8.9615922064373965E-2</v>
      </c>
      <c r="J36" s="348">
        <f>Historicals!M21/Historicals!L21-1</f>
        <v>8.7524584960259055E-2</v>
      </c>
      <c r="K36" s="348">
        <f>Historicals!N21/Historicals!M21-1</f>
        <v>7.7157565661202687E-2</v>
      </c>
      <c r="L36" s="348">
        <f>Historicals!O21/Historicals!N21-1</f>
        <v>6.6400963041723049E-2</v>
      </c>
      <c r="M36" s="348">
        <f>Historicals!P21/Historicals!O21-1</f>
        <v>4.5806961150136605E-2</v>
      </c>
    </row>
    <row r="37" spans="2:13" x14ac:dyDescent="0.3">
      <c r="B37" s="1" t="s">
        <v>82</v>
      </c>
      <c r="E37" s="40" t="s">
        <v>519</v>
      </c>
      <c r="F37" s="349">
        <f>Historicals!I27/Historicals!H27-1</f>
        <v>0.11126113961652706</v>
      </c>
      <c r="G37" s="349">
        <f>Historicals!J27/Historicals!I27-1</f>
        <v>8.0275415147833096E-2</v>
      </c>
      <c r="H37" s="349">
        <f>Historicals!K27/Historicals!J27-1</f>
        <v>5.61637672465507E-2</v>
      </c>
      <c r="I37" s="349">
        <f>Historicals!L27/Historicals!K27-1</f>
        <v>6.974385576936637E-2</v>
      </c>
      <c r="J37" s="349">
        <f>Historicals!M27/Historicals!L27-1</f>
        <v>8.7524584960259055E-2</v>
      </c>
      <c r="K37" s="349">
        <f>Historicals!N27/Historicals!M27-1</f>
        <v>7.7157565661203131E-2</v>
      </c>
      <c r="L37" s="349">
        <f>Historicals!O27/Historicals!N27-1</f>
        <v>6.6400963041722161E-2</v>
      </c>
      <c r="M37" s="349">
        <f>Historicals!P27/Historicals!O27-1</f>
        <v>4.5806961150137049E-2</v>
      </c>
    </row>
    <row r="38" spans="2:13" x14ac:dyDescent="0.3">
      <c r="E38" s="40"/>
      <c r="F38" s="348"/>
      <c r="G38" s="348"/>
      <c r="H38" s="348"/>
      <c r="I38" s="348"/>
      <c r="J38" s="348"/>
      <c r="K38" s="348"/>
      <c r="L38" s="348"/>
      <c r="M38" s="348"/>
    </row>
    <row r="39" spans="2:13" x14ac:dyDescent="0.3">
      <c r="B39" t="s">
        <v>83</v>
      </c>
      <c r="E39" s="40" t="s">
        <v>519</v>
      </c>
      <c r="F39" s="348">
        <f>Historicals!I32/Historicals!H32-1</f>
        <v>0.16752577319587636</v>
      </c>
      <c r="G39" s="348">
        <f>Historicals!J32/Historicals!I32-1</f>
        <v>0.71302428256070649</v>
      </c>
      <c r="H39" s="348">
        <f>Historicals!K32/Historicals!J32-1</f>
        <v>8.3118556701030855E-2</v>
      </c>
      <c r="I39" s="348">
        <f>Historicals!L32/Historicals!K32-1</f>
        <v>-8.1162334968720384E-2</v>
      </c>
      <c r="J39" s="348">
        <f>Historicals!M32/Historicals!L32-1</f>
        <v>1.3619687228308974E-2</v>
      </c>
      <c r="K39" s="348">
        <f>Historicals!N32/Historicals!M32-1</f>
        <v>1.1523260537975144E-2</v>
      </c>
      <c r="L39" s="348">
        <f>Historicals!O32/Historicals!N32-1</f>
        <v>-2.9175135676376973E-3</v>
      </c>
      <c r="M39" s="348">
        <f>Historicals!P32/Historicals!O32-1</f>
        <v>-2.3003941658618521E-2</v>
      </c>
    </row>
    <row r="40" spans="2:13" x14ac:dyDescent="0.3">
      <c r="B40" s="1" t="s">
        <v>29</v>
      </c>
      <c r="E40" s="40" t="s">
        <v>519</v>
      </c>
      <c r="F40" s="349">
        <f>Historicals!I36/Historicals!H36-1</f>
        <v>3.7904893177119314E-2</v>
      </c>
      <c r="G40" s="349">
        <f>Historicals!J36/Historicals!I36-1</f>
        <v>0.22841965471447545</v>
      </c>
      <c r="H40" s="349">
        <f>Historicals!K36/Historicals!J36-1</f>
        <v>6.4864864864864202E-3</v>
      </c>
      <c r="I40" s="349">
        <f>Historicals!L36/Historicals!K36-1</f>
        <v>5.7837768405902601E-2</v>
      </c>
      <c r="J40" s="349">
        <f>Historicals!M36/Historicals!L36-1</f>
        <v>8.7524584960259055E-2</v>
      </c>
      <c r="K40" s="349">
        <f>Historicals!N36/Historicals!M36-1</f>
        <v>7.7157565661202687E-2</v>
      </c>
      <c r="L40" s="349">
        <f>Historicals!O36/Historicals!N36-1</f>
        <v>6.6400963041722827E-2</v>
      </c>
      <c r="M40" s="349">
        <f>Historicals!P36/Historicals!O36-1</f>
        <v>4.5806961150136605E-2</v>
      </c>
    </row>
    <row r="41" spans="2:13" x14ac:dyDescent="0.3">
      <c r="E41" s="40"/>
      <c r="F41" s="348"/>
      <c r="G41" s="348"/>
      <c r="H41" s="348"/>
      <c r="I41" s="348"/>
      <c r="J41" s="348"/>
      <c r="K41" s="348"/>
      <c r="L41" s="348"/>
      <c r="M41" s="348"/>
    </row>
    <row r="42" spans="2:13" x14ac:dyDescent="0.3">
      <c r="B42" t="s">
        <v>85</v>
      </c>
      <c r="E42" s="40" t="s">
        <v>519</v>
      </c>
      <c r="F42" s="348">
        <f>Historicals!I40/Historicals!H40-1</f>
        <v>-1.0463215258855585</v>
      </c>
      <c r="G42" s="348">
        <f>Historicals!J40/Historicals!I40-1</f>
        <v>7.117647058823529</v>
      </c>
      <c r="H42" s="348">
        <f>Historicals!K40/Historicals!J40-1</f>
        <v>-1.5724637681159419</v>
      </c>
      <c r="I42" s="348">
        <f>Historicals!L40/Historicals!K40-1</f>
        <v>0.26848469576999578</v>
      </c>
      <c r="J42" s="348">
        <f>Historicals!M40/Historicals!L40-1</f>
        <v>8.7524584960259055E-2</v>
      </c>
      <c r="K42" s="348">
        <f>Historicals!N40/Historicals!M40-1</f>
        <v>7.7157565661202687E-2</v>
      </c>
      <c r="L42" s="348">
        <f>Historicals!O40/Historicals!N40-1</f>
        <v>6.6400963041722827E-2</v>
      </c>
      <c r="M42" s="348">
        <f>Historicals!P40/Historicals!O40-1</f>
        <v>4.5806961150136605E-2</v>
      </c>
    </row>
    <row r="43" spans="2:13" x14ac:dyDescent="0.3">
      <c r="B43" s="1" t="s">
        <v>31</v>
      </c>
      <c r="E43" s="40" t="s">
        <v>519</v>
      </c>
      <c r="F43" s="349">
        <f>Historicals!I41/Historicals!H41-1</f>
        <v>7.6446447251951488E-2</v>
      </c>
      <c r="G43" s="349">
        <f>Historicals!J41/Historicals!I41-1</f>
        <v>7.669881139268897E-2</v>
      </c>
      <c r="H43" s="349">
        <f>Historicals!K41/Historicals!J41-1</f>
        <v>6.4569881274734398E-2</v>
      </c>
      <c r="I43" s="349">
        <f>Historicals!L41/Historicals!K41-1</f>
        <v>1.6936040522504747E-2</v>
      </c>
      <c r="J43" s="349">
        <f>Historicals!M41/Historicals!L41-1</f>
        <v>9.4845391806719359E-2</v>
      </c>
      <c r="K43" s="349">
        <f>Historicals!N41/Historicals!M41-1</f>
        <v>8.3176766885129094E-2</v>
      </c>
      <c r="L43" s="349">
        <f>Historicals!O41/Historicals!N41-1</f>
        <v>7.233750467818445E-2</v>
      </c>
      <c r="M43" s="349">
        <f>Historicals!P41/Historicals!O41-1</f>
        <v>5.1286466517311169E-2</v>
      </c>
    </row>
    <row r="44" spans="2:13" x14ac:dyDescent="0.3">
      <c r="E44" s="40"/>
      <c r="F44" s="348"/>
      <c r="G44" s="348"/>
      <c r="H44" s="348"/>
      <c r="I44" s="348"/>
      <c r="J44" s="348"/>
      <c r="K44" s="348"/>
      <c r="L44" s="348"/>
      <c r="M44" s="348"/>
    </row>
    <row r="45" spans="2:13" x14ac:dyDescent="0.3">
      <c r="B45" t="s">
        <v>86</v>
      </c>
      <c r="E45" s="40" t="s">
        <v>519</v>
      </c>
      <c r="F45" s="348">
        <f>Historicals!I44/Historicals!H44-1</f>
        <v>0.10268630849220095</v>
      </c>
      <c r="G45" s="348">
        <f>Historicals!J44/Historicals!I44-1</f>
        <v>7.5442043222003985E-2</v>
      </c>
      <c r="H45" s="348">
        <f>Historicals!K44/Historicals!J44-1</f>
        <v>4.2016806722689148E-2</v>
      </c>
      <c r="I45" s="348">
        <f>Historicals!L44/Historicals!K44-1</f>
        <v>2.7862782086237825E-2</v>
      </c>
      <c r="J45" s="348">
        <f>Historicals!M44/Historicals!L44-1</f>
        <v>9.4845391806719359E-2</v>
      </c>
      <c r="K45" s="348">
        <f>Historicals!N44/Historicals!M44-1</f>
        <v>8.3176766885128872E-2</v>
      </c>
      <c r="L45" s="348">
        <f>Historicals!O44/Historicals!N44-1</f>
        <v>7.233750467818445E-2</v>
      </c>
      <c r="M45" s="348">
        <f>Historicals!P44/Historicals!O44-1</f>
        <v>5.1286466517311169E-2</v>
      </c>
    </row>
    <row r="46" spans="2:13" x14ac:dyDescent="0.3">
      <c r="B46" s="1" t="s">
        <v>373</v>
      </c>
      <c r="E46" s="40" t="s">
        <v>519</v>
      </c>
      <c r="F46" s="349">
        <f>Historicals!I45/Historicals!H45-1</f>
        <v>7.0461508054155519E-2</v>
      </c>
      <c r="G46" s="349">
        <f>Historicals!J45/Historicals!I45-1</f>
        <v>7.69940915805023E-2</v>
      </c>
      <c r="H46" s="349">
        <f>Historicals!K45/Historicals!J45-1</f>
        <v>6.9861134921995527E-2</v>
      </c>
      <c r="I46" s="349">
        <f>Historicals!L45/Historicals!K45-1</f>
        <v>1.4439199969683125E-2</v>
      </c>
      <c r="J46" s="349">
        <f>Historicals!M45/Historicals!L45-1</f>
        <v>9.4845391806719359E-2</v>
      </c>
      <c r="K46" s="349">
        <f>Historicals!N45/Historicals!M45-1</f>
        <v>8.3176766885129094E-2</v>
      </c>
      <c r="L46" s="349">
        <f>Historicals!O45/Historicals!N45-1</f>
        <v>7.233750467818445E-2</v>
      </c>
      <c r="M46" s="349">
        <f>Historicals!P45/Historicals!O45-1</f>
        <v>5.1286466517311391E-2</v>
      </c>
    </row>
    <row r="47" spans="2:13" x14ac:dyDescent="0.3">
      <c r="E47" s="40"/>
      <c r="F47" s="348"/>
      <c r="G47" s="348"/>
      <c r="H47" s="348"/>
      <c r="I47" s="348"/>
      <c r="J47" s="348"/>
      <c r="K47" s="348"/>
      <c r="L47" s="348"/>
      <c r="M47" s="348"/>
    </row>
    <row r="48" spans="2:13" x14ac:dyDescent="0.3">
      <c r="B48" t="s">
        <v>34</v>
      </c>
      <c r="E48" s="40" t="s">
        <v>519</v>
      </c>
      <c r="F48" s="348">
        <f>Historicals!I47/Historicals!H47-1</f>
        <v>-0.12121212121212122</v>
      </c>
      <c r="G48" s="348">
        <f>Historicals!J47/Historicals!I47-1</f>
        <v>-1.3793103448275863</v>
      </c>
      <c r="H48" s="348">
        <f>Historicals!K47/Historicals!J47-1</f>
        <v>-2.6363636363636367</v>
      </c>
      <c r="I48" s="348">
        <f>Historicals!L47/Historicals!K47-1</f>
        <v>-4.166666666666663E-2</v>
      </c>
      <c r="J48" s="348">
        <f>Historicals!M47/Historicals!L47-1</f>
        <v>-0.22826086956521741</v>
      </c>
      <c r="K48" s="348">
        <f>Historicals!N47/Historicals!M47-1</f>
        <v>-0.29460093896713613</v>
      </c>
      <c r="L48" s="348">
        <f>Historicals!O47/Historicals!N47-1</f>
        <v>0.54284525790349414</v>
      </c>
      <c r="M48" s="348">
        <f>Historicals!P47/Historicals!O47-1</f>
        <v>-6.0595847937449432E-2</v>
      </c>
    </row>
    <row r="49" spans="1:13" x14ac:dyDescent="0.3">
      <c r="B49" s="1" t="s">
        <v>36</v>
      </c>
      <c r="E49" s="40" t="s">
        <v>519</v>
      </c>
      <c r="F49" s="349">
        <f>Historicals!I48/Historicals!H48-1</f>
        <v>7.1088637715645442E-2</v>
      </c>
      <c r="G49" s="349">
        <f>Historicals!J48/Historicals!I48-1</f>
        <v>8.0903452744607973E-2</v>
      </c>
      <c r="H49" s="349">
        <f>Historicals!K48/Historicals!J48-1</f>
        <v>6.7311809540121503E-2</v>
      </c>
      <c r="I49" s="349">
        <f>Historicals!L48/Historicals!K48-1</f>
        <v>1.4520232273258049E-2</v>
      </c>
      <c r="J49" s="349">
        <f>Historicals!M48/Historicals!L48-1</f>
        <v>9.5286201530568881E-2</v>
      </c>
      <c r="K49" s="349">
        <f>Historicals!N48/Historicals!M48-1</f>
        <v>8.3539916026603267E-2</v>
      </c>
      <c r="L49" s="349">
        <f>Historicals!O48/Historicals!N48-1</f>
        <v>7.2043058824084127E-2</v>
      </c>
      <c r="M49" s="349">
        <f>Historicals!P48/Historicals!O48-1</f>
        <v>5.138723164091763E-2</v>
      </c>
    </row>
    <row r="51" spans="1:13" x14ac:dyDescent="0.3">
      <c r="A51" s="40" t="s">
        <v>483</v>
      </c>
      <c r="B51" s="136" t="s">
        <v>550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73F9-EA4B-40BD-84C6-2F49879E9C51}">
  <dimension ref="A1:J192"/>
  <sheetViews>
    <sheetView workbookViewId="0">
      <selection activeCell="B1" sqref="B1:I1"/>
    </sheetView>
  </sheetViews>
  <sheetFormatPr defaultRowHeight="14.4" x14ac:dyDescent="0.3"/>
  <cols>
    <col min="1" max="1" width="79.6640625" bestFit="1" customWidth="1"/>
    <col min="2" max="5" width="8.5546875" bestFit="1" customWidth="1"/>
  </cols>
  <sheetData>
    <row r="1" spans="1:9" x14ac:dyDescent="0.3">
      <c r="A1" s="1"/>
      <c r="B1" s="347" t="s">
        <v>414</v>
      </c>
      <c r="C1" s="347"/>
      <c r="D1" s="347"/>
      <c r="E1" s="347"/>
      <c r="F1" s="347"/>
      <c r="G1" s="347"/>
      <c r="H1" s="347"/>
      <c r="I1" s="347"/>
    </row>
    <row r="2" spans="1:9" x14ac:dyDescent="0.3">
      <c r="A2" s="1" t="s">
        <v>6</v>
      </c>
      <c r="B2" s="1"/>
      <c r="C2" s="1"/>
      <c r="D2" s="1"/>
      <c r="E2" s="1"/>
    </row>
    <row r="3" spans="1:9" x14ac:dyDescent="0.3">
      <c r="A3" s="1" t="s">
        <v>42</v>
      </c>
      <c r="B3" s="1">
        <v>2021</v>
      </c>
      <c r="C3" s="1">
        <v>2022</v>
      </c>
      <c r="D3" s="1">
        <v>2023</v>
      </c>
      <c r="E3" s="1">
        <v>2024</v>
      </c>
    </row>
    <row r="4" spans="1:9" x14ac:dyDescent="0.3">
      <c r="A4" t="s">
        <v>43</v>
      </c>
      <c r="B4" s="14">
        <v>38655</v>
      </c>
      <c r="C4" s="14">
        <v>43004</v>
      </c>
      <c r="D4" s="14">
        <v>45754</v>
      </c>
      <c r="E4" s="14">
        <v>47061</v>
      </c>
    </row>
    <row r="5" spans="1:9" x14ac:dyDescent="0.3">
      <c r="A5" t="s">
        <v>45</v>
      </c>
      <c r="B5" s="14">
        <v>15357</v>
      </c>
      <c r="C5" s="14">
        <v>18000</v>
      </c>
      <c r="D5" s="14">
        <v>18520</v>
      </c>
      <c r="E5" s="14">
        <v>18324</v>
      </c>
    </row>
    <row r="6" spans="1:9" x14ac:dyDescent="0.3">
      <c r="A6" t="s">
        <v>46</v>
      </c>
      <c r="B6" s="14">
        <v>23298</v>
      </c>
      <c r="C6" s="14">
        <v>25004</v>
      </c>
      <c r="D6" s="14">
        <v>27234</v>
      </c>
      <c r="E6" s="14">
        <v>28737</v>
      </c>
    </row>
    <row r="7" spans="1:9" x14ac:dyDescent="0.3">
      <c r="A7" t="s">
        <v>47</v>
      </c>
      <c r="B7" s="14">
        <v>12144</v>
      </c>
      <c r="C7" s="14">
        <v>12880</v>
      </c>
      <c r="D7" s="14">
        <v>13972</v>
      </c>
      <c r="E7" s="14">
        <v>14582</v>
      </c>
    </row>
    <row r="8" spans="1:9" x14ac:dyDescent="0.3">
      <c r="A8" t="s">
        <v>48</v>
      </c>
      <c r="B8" s="14">
        <v>846</v>
      </c>
      <c r="C8" s="14">
        <v>1215</v>
      </c>
      <c r="D8" s="14">
        <v>1951</v>
      </c>
      <c r="E8" s="14">
        <v>4163</v>
      </c>
    </row>
    <row r="9" spans="1:9" x14ac:dyDescent="0.3">
      <c r="A9" t="s">
        <v>26</v>
      </c>
      <c r="B9" s="14">
        <v>10308</v>
      </c>
      <c r="C9" s="14">
        <v>10909</v>
      </c>
      <c r="D9" s="14">
        <v>11311</v>
      </c>
      <c r="E9" s="14">
        <v>9992</v>
      </c>
    </row>
    <row r="10" spans="1:9" x14ac:dyDescent="0.3">
      <c r="A10" t="s">
        <v>49</v>
      </c>
      <c r="B10" s="14">
        <v>276</v>
      </c>
      <c r="C10" s="14">
        <v>449</v>
      </c>
      <c r="D10" s="14">
        <v>907</v>
      </c>
      <c r="E10" s="14">
        <v>988</v>
      </c>
    </row>
    <row r="11" spans="1:9" x14ac:dyDescent="0.3">
      <c r="A11" t="s">
        <v>50</v>
      </c>
      <c r="B11" s="14">
        <v>1597</v>
      </c>
      <c r="C11" s="14">
        <v>882</v>
      </c>
      <c r="D11" s="14">
        <v>1527</v>
      </c>
      <c r="E11" s="14">
        <v>1656</v>
      </c>
    </row>
    <row r="12" spans="1:9" x14ac:dyDescent="0.3">
      <c r="A12" t="s">
        <v>51</v>
      </c>
      <c r="B12" s="14">
        <v>1438</v>
      </c>
      <c r="C12" s="14">
        <v>1472</v>
      </c>
      <c r="D12" s="14">
        <v>1691</v>
      </c>
      <c r="E12" s="14">
        <v>1770</v>
      </c>
    </row>
    <row r="13" spans="1:9" x14ac:dyDescent="0.3">
      <c r="A13" t="s">
        <v>52</v>
      </c>
      <c r="B13" s="14">
        <v>2000</v>
      </c>
      <c r="C13" s="14">
        <v>-262</v>
      </c>
      <c r="D13" s="14">
        <v>570</v>
      </c>
      <c r="E13" s="14">
        <v>1992</v>
      </c>
    </row>
    <row r="14" spans="1:9" x14ac:dyDescent="0.3">
      <c r="A14" t="s">
        <v>53</v>
      </c>
      <c r="B14" s="14">
        <v>12425</v>
      </c>
      <c r="C14" s="14">
        <v>11686</v>
      </c>
      <c r="D14" s="14">
        <v>12952</v>
      </c>
      <c r="E14" s="14">
        <v>13086</v>
      </c>
    </row>
    <row r="15" spans="1:9" x14ac:dyDescent="0.3">
      <c r="A15" t="s">
        <v>54</v>
      </c>
      <c r="B15" s="14">
        <v>2621</v>
      </c>
      <c r="C15" s="14">
        <v>2115</v>
      </c>
      <c r="D15" s="14">
        <v>2249</v>
      </c>
      <c r="E15" s="14">
        <v>2437</v>
      </c>
    </row>
    <row r="16" spans="1:9" x14ac:dyDescent="0.3">
      <c r="A16" t="s">
        <v>55</v>
      </c>
      <c r="B16" s="14">
        <v>9804</v>
      </c>
      <c r="C16" s="14">
        <v>9571</v>
      </c>
      <c r="D16" s="14">
        <v>10703</v>
      </c>
      <c r="E16" s="14">
        <v>10649</v>
      </c>
    </row>
    <row r="17" spans="1:9" x14ac:dyDescent="0.3">
      <c r="A17" t="s">
        <v>33</v>
      </c>
      <c r="B17" s="14">
        <v>33</v>
      </c>
      <c r="C17" s="14">
        <v>29</v>
      </c>
      <c r="D17" s="14">
        <v>-11</v>
      </c>
      <c r="E17" s="14">
        <v>18</v>
      </c>
    </row>
    <row r="18" spans="1:9" x14ac:dyDescent="0.3">
      <c r="A18" t="s">
        <v>35</v>
      </c>
      <c r="B18" s="14">
        <v>9771</v>
      </c>
      <c r="C18" s="14">
        <v>9542</v>
      </c>
      <c r="D18" s="14">
        <v>10714</v>
      </c>
      <c r="E18" s="14">
        <v>10631</v>
      </c>
    </row>
    <row r="19" spans="1:9" x14ac:dyDescent="0.3">
      <c r="A19" t="s">
        <v>37</v>
      </c>
      <c r="B19" s="14">
        <v>2.2599999999999998</v>
      </c>
      <c r="C19" s="14">
        <v>2.2000000000000002</v>
      </c>
      <c r="D19" s="14">
        <v>2.48</v>
      </c>
      <c r="E19" s="14">
        <v>2.4700000000000002</v>
      </c>
    </row>
    <row r="20" spans="1:9" x14ac:dyDescent="0.3">
      <c r="A20" t="s">
        <v>59</v>
      </c>
      <c r="B20" s="14">
        <v>2.25</v>
      </c>
      <c r="C20" s="14">
        <v>2.19</v>
      </c>
      <c r="D20" s="14">
        <v>2.4700000000000002</v>
      </c>
      <c r="E20" s="14">
        <v>2.46</v>
      </c>
    </row>
    <row r="21" spans="1:9" x14ac:dyDescent="0.3">
      <c r="A21" t="s">
        <v>60</v>
      </c>
      <c r="B21" s="14">
        <v>4315</v>
      </c>
      <c r="C21" s="14">
        <v>4328</v>
      </c>
      <c r="D21" s="14">
        <v>4323</v>
      </c>
      <c r="E21" s="14">
        <v>4309</v>
      </c>
    </row>
    <row r="22" spans="1:9" x14ac:dyDescent="0.3">
      <c r="A22" t="s">
        <v>61</v>
      </c>
      <c r="B22" s="14">
        <v>25</v>
      </c>
      <c r="C22" s="14">
        <v>22</v>
      </c>
      <c r="D22" s="14">
        <v>16</v>
      </c>
      <c r="E22" s="14">
        <v>11</v>
      </c>
    </row>
    <row r="23" spans="1:9" x14ac:dyDescent="0.3">
      <c r="A23" t="s">
        <v>39</v>
      </c>
      <c r="B23" s="14">
        <v>4340</v>
      </c>
      <c r="C23" s="14">
        <v>4350</v>
      </c>
      <c r="D23" s="14">
        <v>4339</v>
      </c>
      <c r="E23" s="14">
        <v>4320</v>
      </c>
    </row>
    <row r="28" spans="1:9" x14ac:dyDescent="0.3">
      <c r="A28" s="1" t="s">
        <v>42</v>
      </c>
      <c r="C28" s="1">
        <v>2022</v>
      </c>
      <c r="D28" s="1">
        <v>2023</v>
      </c>
      <c r="E28" s="1">
        <v>2024</v>
      </c>
      <c r="F28" s="1"/>
      <c r="H28" s="1"/>
      <c r="I28" s="1"/>
    </row>
    <row r="29" spans="1:9" x14ac:dyDescent="0.3">
      <c r="A29" s="1" t="s">
        <v>90</v>
      </c>
    </row>
    <row r="30" spans="1:9" x14ac:dyDescent="0.3">
      <c r="A30" t="s">
        <v>91</v>
      </c>
      <c r="C30" t="s">
        <v>58</v>
      </c>
      <c r="D30" t="s">
        <v>57</v>
      </c>
      <c r="E30" t="s">
        <v>56</v>
      </c>
    </row>
    <row r="31" spans="1:9" x14ac:dyDescent="0.3">
      <c r="A31" t="s">
        <v>92</v>
      </c>
      <c r="E31" s="1"/>
    </row>
    <row r="32" spans="1:9" x14ac:dyDescent="0.3">
      <c r="A32" t="s">
        <v>93</v>
      </c>
      <c r="C32" s="19">
        <v>1260</v>
      </c>
      <c r="D32" s="19">
        <v>1128</v>
      </c>
      <c r="E32" s="19">
        <v>1075</v>
      </c>
    </row>
    <row r="33" spans="1:5" x14ac:dyDescent="0.3">
      <c r="A33" t="s">
        <v>94</v>
      </c>
      <c r="C33" t="s">
        <v>97</v>
      </c>
      <c r="D33" t="s">
        <v>96</v>
      </c>
      <c r="E33" t="s">
        <v>95</v>
      </c>
    </row>
    <row r="34" spans="1:5" x14ac:dyDescent="0.3">
      <c r="A34" t="s">
        <v>98</v>
      </c>
      <c r="C34">
        <v>-122</v>
      </c>
      <c r="D34">
        <v>-2</v>
      </c>
      <c r="E34">
        <v>-11</v>
      </c>
    </row>
    <row r="35" spans="1:5" x14ac:dyDescent="0.3">
      <c r="A35" t="s">
        <v>99</v>
      </c>
      <c r="C35">
        <v>-838</v>
      </c>
      <c r="D35" s="19">
        <v>-1019</v>
      </c>
      <c r="E35">
        <v>-802</v>
      </c>
    </row>
    <row r="36" spans="1:5" x14ac:dyDescent="0.3">
      <c r="A36" t="s">
        <v>100</v>
      </c>
      <c r="C36" t="s">
        <v>102</v>
      </c>
      <c r="D36" t="s">
        <v>101</v>
      </c>
      <c r="E36">
        <v>-110</v>
      </c>
    </row>
    <row r="37" spans="1:5" x14ac:dyDescent="0.3">
      <c r="A37" t="s">
        <v>103</v>
      </c>
      <c r="C37">
        <v>-129</v>
      </c>
      <c r="D37">
        <v>-492</v>
      </c>
      <c r="E37" s="19">
        <v>-1737</v>
      </c>
    </row>
    <row r="38" spans="1:5" x14ac:dyDescent="0.3">
      <c r="A38" t="s">
        <v>48</v>
      </c>
      <c r="C38" t="s">
        <v>106</v>
      </c>
      <c r="D38" t="s">
        <v>105</v>
      </c>
      <c r="E38" t="s">
        <v>104</v>
      </c>
    </row>
    <row r="39" spans="1:5" x14ac:dyDescent="0.3">
      <c r="A39" t="s">
        <v>107</v>
      </c>
      <c r="C39" t="s">
        <v>108</v>
      </c>
      <c r="D39">
        <v>-43</v>
      </c>
      <c r="E39">
        <v>-311</v>
      </c>
    </row>
    <row r="40" spans="1:5" x14ac:dyDescent="0.3">
      <c r="A40" t="s">
        <v>109</v>
      </c>
      <c r="C40">
        <v>-605</v>
      </c>
      <c r="D40">
        <v>-846</v>
      </c>
      <c r="E40" s="19">
        <v>-6234</v>
      </c>
    </row>
    <row r="41" spans="1:5" x14ac:dyDescent="0.3">
      <c r="A41" t="s">
        <v>110</v>
      </c>
      <c r="C41" t="s">
        <v>113</v>
      </c>
      <c r="D41" t="s">
        <v>112</v>
      </c>
      <c r="E41" t="s">
        <v>111</v>
      </c>
    </row>
    <row r="42" spans="1:5" x14ac:dyDescent="0.3">
      <c r="A42" t="s">
        <v>114</v>
      </c>
    </row>
    <row r="43" spans="1:5" x14ac:dyDescent="0.3">
      <c r="A43" t="s">
        <v>115</v>
      </c>
      <c r="C43" s="19">
        <v>-3751</v>
      </c>
      <c r="D43" s="19">
        <v>-6698</v>
      </c>
      <c r="E43" s="19">
        <v>-5640</v>
      </c>
    </row>
    <row r="44" spans="1:5" x14ac:dyDescent="0.3">
      <c r="A44" t="s">
        <v>116</v>
      </c>
      <c r="C44" t="s">
        <v>119</v>
      </c>
      <c r="D44" t="s">
        <v>118</v>
      </c>
      <c r="E44" t="s">
        <v>117</v>
      </c>
    </row>
    <row r="45" spans="1:5" x14ac:dyDescent="0.3">
      <c r="A45" t="s">
        <v>120</v>
      </c>
      <c r="C45">
        <v>-73</v>
      </c>
      <c r="D45">
        <v>-62</v>
      </c>
      <c r="E45">
        <v>-315</v>
      </c>
    </row>
    <row r="46" spans="1:5" x14ac:dyDescent="0.3">
      <c r="A46" t="s">
        <v>121</v>
      </c>
      <c r="C46" t="s">
        <v>124</v>
      </c>
      <c r="D46" t="s">
        <v>123</v>
      </c>
      <c r="E46" t="s">
        <v>122</v>
      </c>
    </row>
    <row r="47" spans="1:5" x14ac:dyDescent="0.3">
      <c r="A47" t="s">
        <v>125</v>
      </c>
      <c r="C47" s="19">
        <v>-1484</v>
      </c>
      <c r="D47" s="19">
        <v>-1852</v>
      </c>
      <c r="E47" s="19">
        <v>-2064</v>
      </c>
    </row>
    <row r="48" spans="1:5" x14ac:dyDescent="0.3">
      <c r="A48" t="s">
        <v>126</v>
      </c>
      <c r="C48" t="s">
        <v>129</v>
      </c>
      <c r="D48" t="s">
        <v>128</v>
      </c>
      <c r="E48" t="s">
        <v>127</v>
      </c>
    </row>
    <row r="49" spans="1:5" x14ac:dyDescent="0.3">
      <c r="A49" t="s">
        <v>130</v>
      </c>
      <c r="C49" s="19">
        <v>-1465</v>
      </c>
      <c r="D49" t="s">
        <v>132</v>
      </c>
      <c r="E49" t="s">
        <v>131</v>
      </c>
    </row>
    <row r="50" spans="1:5" x14ac:dyDescent="0.3">
      <c r="A50" t="s">
        <v>133</v>
      </c>
      <c r="C50" t="s">
        <v>136</v>
      </c>
      <c r="D50" t="s">
        <v>135</v>
      </c>
      <c r="E50" t="s">
        <v>134</v>
      </c>
    </row>
    <row r="51" spans="1:5" x14ac:dyDescent="0.3">
      <c r="A51" s="1" t="s">
        <v>137</v>
      </c>
      <c r="C51">
        <v>-763</v>
      </c>
      <c r="D51" s="19">
        <v>-3349</v>
      </c>
      <c r="E51" t="s">
        <v>138</v>
      </c>
    </row>
    <row r="52" spans="1:5" x14ac:dyDescent="0.3">
      <c r="A52" t="s">
        <v>139</v>
      </c>
    </row>
    <row r="53" spans="1:5" x14ac:dyDescent="0.3">
      <c r="A53" t="s">
        <v>140</v>
      </c>
      <c r="C53" t="s">
        <v>143</v>
      </c>
      <c r="D53" t="s">
        <v>142</v>
      </c>
      <c r="E53" t="s">
        <v>141</v>
      </c>
    </row>
    <row r="54" spans="1:5" x14ac:dyDescent="0.3">
      <c r="A54" s="1" t="s">
        <v>144</v>
      </c>
      <c r="C54" s="19">
        <v>-4930</v>
      </c>
      <c r="D54" s="19">
        <v>-5034</v>
      </c>
      <c r="E54" s="20">
        <v>-9533</v>
      </c>
    </row>
    <row r="55" spans="1:5" x14ac:dyDescent="0.3">
      <c r="A55" t="s">
        <v>145</v>
      </c>
      <c r="C55" t="s">
        <v>148</v>
      </c>
      <c r="D55" t="s">
        <v>147</v>
      </c>
      <c r="E55" t="s">
        <v>146</v>
      </c>
    </row>
    <row r="56" spans="1:5" x14ac:dyDescent="0.3">
      <c r="A56" t="s">
        <v>149</v>
      </c>
      <c r="C56" s="19">
        <v>-1418</v>
      </c>
      <c r="D56" s="19">
        <v>-2289</v>
      </c>
      <c r="E56" s="19">
        <v>-1795</v>
      </c>
    </row>
    <row r="57" spans="1:5" x14ac:dyDescent="0.3">
      <c r="A57" t="s">
        <v>150</v>
      </c>
      <c r="C57" s="19">
        <v>-7616</v>
      </c>
      <c r="D57" s="19">
        <v>-7952</v>
      </c>
      <c r="E57" s="19">
        <v>-8359</v>
      </c>
    </row>
    <row r="58" spans="1:5" x14ac:dyDescent="0.3">
      <c r="A58" t="s">
        <v>151</v>
      </c>
      <c r="C58" s="19">
        <v>-1095</v>
      </c>
      <c r="D58">
        <v>-465</v>
      </c>
      <c r="E58">
        <v>-31</v>
      </c>
    </row>
    <row r="59" spans="1:5" x14ac:dyDescent="0.3">
      <c r="A59" t="s">
        <v>152</v>
      </c>
      <c r="C59" s="19">
        <v>-10250</v>
      </c>
      <c r="D59" s="19">
        <v>-8310</v>
      </c>
      <c r="E59" s="19">
        <v>-6910</v>
      </c>
    </row>
    <row r="60" spans="1:5" x14ac:dyDescent="0.3">
      <c r="A60" t="s">
        <v>153</v>
      </c>
      <c r="C60">
        <v>-205</v>
      </c>
      <c r="D60">
        <v>-73</v>
      </c>
      <c r="E60">
        <v>-623</v>
      </c>
    </row>
    <row r="61" spans="1:5" x14ac:dyDescent="0.3">
      <c r="A61" t="s">
        <v>154</v>
      </c>
    </row>
    <row r="62" spans="1:5" x14ac:dyDescent="0.3">
      <c r="A62" t="s">
        <v>155</v>
      </c>
    </row>
    <row r="63" spans="1:5" x14ac:dyDescent="0.3">
      <c r="A63" t="s">
        <v>156</v>
      </c>
      <c r="C63">
        <v>-200</v>
      </c>
      <c r="D63">
        <v>-133</v>
      </c>
      <c r="E63" t="s">
        <v>158</v>
      </c>
    </row>
    <row r="64" spans="1:5" x14ac:dyDescent="0.3">
      <c r="A64" t="s">
        <v>157</v>
      </c>
    </row>
    <row r="65" spans="1:5" x14ac:dyDescent="0.3">
      <c r="A65" s="1" t="s">
        <v>159</v>
      </c>
      <c r="C65" t="s">
        <v>162</v>
      </c>
      <c r="D65" t="s">
        <v>161</v>
      </c>
      <c r="E65" s="1" t="s">
        <v>160</v>
      </c>
    </row>
    <row r="66" spans="1:5" x14ac:dyDescent="0.3">
      <c r="A66" t="s">
        <v>163</v>
      </c>
      <c r="C66" t="s">
        <v>161</v>
      </c>
      <c r="D66" t="s">
        <v>160</v>
      </c>
      <c r="E66" t="s">
        <v>164</v>
      </c>
    </row>
    <row r="67" spans="1:5" x14ac:dyDescent="0.3">
      <c r="A67" t="s">
        <v>165</v>
      </c>
      <c r="C67" t="s">
        <v>168</v>
      </c>
      <c r="D67" t="s">
        <v>167</v>
      </c>
      <c r="E67" t="s">
        <v>166</v>
      </c>
    </row>
    <row r="68" spans="1:5" x14ac:dyDescent="0.3">
      <c r="A68" t="s">
        <v>169</v>
      </c>
      <c r="C68" t="s">
        <v>172</v>
      </c>
      <c r="D68" t="s">
        <v>171</v>
      </c>
      <c r="E68" t="s">
        <v>170</v>
      </c>
    </row>
    <row r="72" spans="1:5" x14ac:dyDescent="0.3">
      <c r="A72" t="s">
        <v>42</v>
      </c>
      <c r="D72">
        <v>2021</v>
      </c>
    </row>
    <row r="73" spans="1:5" x14ac:dyDescent="0.3">
      <c r="A73" t="s">
        <v>90</v>
      </c>
    </row>
    <row r="74" spans="1:5" x14ac:dyDescent="0.3">
      <c r="A74" s="1" t="s">
        <v>91</v>
      </c>
      <c r="D74" t="s">
        <v>62</v>
      </c>
    </row>
    <row r="75" spans="1:5" x14ac:dyDescent="0.3">
      <c r="A75" t="s">
        <v>93</v>
      </c>
      <c r="D75" s="19">
        <v>1452</v>
      </c>
    </row>
    <row r="76" spans="1:5" x14ac:dyDescent="0.3">
      <c r="A76" t="s">
        <v>94</v>
      </c>
      <c r="B76" s="1"/>
      <c r="C76" s="1"/>
      <c r="D76" t="s">
        <v>173</v>
      </c>
      <c r="E76" s="1"/>
    </row>
    <row r="77" spans="1:5" x14ac:dyDescent="0.3">
      <c r="A77" t="s">
        <v>98</v>
      </c>
      <c r="D77" t="s">
        <v>175</v>
      </c>
    </row>
    <row r="78" spans="1:5" x14ac:dyDescent="0.3">
      <c r="A78" t="s">
        <v>99</v>
      </c>
      <c r="D78">
        <v>-615</v>
      </c>
    </row>
    <row r="79" spans="1:5" x14ac:dyDescent="0.3">
      <c r="A79" t="s">
        <v>100</v>
      </c>
      <c r="D79" t="s">
        <v>176</v>
      </c>
    </row>
    <row r="80" spans="1:5" x14ac:dyDescent="0.3">
      <c r="A80" t="s">
        <v>103</v>
      </c>
      <c r="D80" s="19">
        <v>-1365</v>
      </c>
    </row>
    <row r="81" spans="1:10" x14ac:dyDescent="0.3">
      <c r="A81" t="s">
        <v>48</v>
      </c>
      <c r="D81" t="s">
        <v>177</v>
      </c>
    </row>
    <row r="82" spans="1:10" x14ac:dyDescent="0.3">
      <c r="A82" t="s">
        <v>107</v>
      </c>
      <c r="D82" t="s">
        <v>174</v>
      </c>
    </row>
    <row r="83" spans="1:10" x14ac:dyDescent="0.3">
      <c r="A83" t="s">
        <v>109</v>
      </c>
      <c r="D83" t="s">
        <v>178</v>
      </c>
    </row>
    <row r="84" spans="1:10" x14ac:dyDescent="0.3">
      <c r="A84" t="s">
        <v>110</v>
      </c>
      <c r="D84" t="s">
        <v>179</v>
      </c>
    </row>
    <row r="85" spans="1:10" x14ac:dyDescent="0.3">
      <c r="A85" s="1" t="s">
        <v>114</v>
      </c>
    </row>
    <row r="86" spans="1:10" x14ac:dyDescent="0.3">
      <c r="A86" t="s">
        <v>115</v>
      </c>
      <c r="D86" s="19">
        <v>-6030</v>
      </c>
      <c r="G86" s="19"/>
      <c r="J86" s="19"/>
    </row>
    <row r="87" spans="1:10" x14ac:dyDescent="0.3">
      <c r="A87" t="s">
        <v>116</v>
      </c>
      <c r="D87" t="s">
        <v>180</v>
      </c>
    </row>
    <row r="88" spans="1:10" x14ac:dyDescent="0.3">
      <c r="A88" t="s">
        <v>120</v>
      </c>
      <c r="D88" s="19">
        <v>-4766</v>
      </c>
      <c r="G88" s="19"/>
      <c r="J88" s="19"/>
    </row>
    <row r="89" spans="1:10" x14ac:dyDescent="0.3">
      <c r="A89" t="s">
        <v>121</v>
      </c>
      <c r="D89" t="s">
        <v>181</v>
      </c>
    </row>
    <row r="90" spans="1:10" x14ac:dyDescent="0.3">
      <c r="A90" t="s">
        <v>125</v>
      </c>
      <c r="D90" s="19">
        <v>-1367</v>
      </c>
      <c r="G90" s="19"/>
      <c r="J90" s="19"/>
    </row>
    <row r="91" spans="1:10" x14ac:dyDescent="0.3">
      <c r="A91" s="1" t="s">
        <v>126</v>
      </c>
      <c r="D91" t="s">
        <v>182</v>
      </c>
    </row>
    <row r="92" spans="1:10" x14ac:dyDescent="0.3">
      <c r="A92" s="1" t="s">
        <v>133</v>
      </c>
      <c r="D92" t="s">
        <v>183</v>
      </c>
    </row>
    <row r="93" spans="1:10" x14ac:dyDescent="0.3">
      <c r="A93" t="s">
        <v>137</v>
      </c>
      <c r="D93" s="19">
        <v>-2765</v>
      </c>
      <c r="G93" s="19"/>
      <c r="J93" s="19"/>
    </row>
    <row r="94" spans="1:10" x14ac:dyDescent="0.3">
      <c r="A94" s="1" t="s">
        <v>139</v>
      </c>
      <c r="B94" s="1"/>
      <c r="C94" s="1"/>
      <c r="E94" s="1"/>
    </row>
    <row r="95" spans="1:10" x14ac:dyDescent="0.3">
      <c r="A95" t="s">
        <v>184</v>
      </c>
      <c r="D95" t="s">
        <v>185</v>
      </c>
    </row>
    <row r="96" spans="1:10" x14ac:dyDescent="0.3">
      <c r="A96" t="s">
        <v>186</v>
      </c>
      <c r="D96" s="19">
        <v>-12866</v>
      </c>
      <c r="G96" s="19"/>
      <c r="J96" s="19"/>
    </row>
    <row r="97" spans="1:10" x14ac:dyDescent="0.3">
      <c r="A97" t="s">
        <v>145</v>
      </c>
      <c r="D97" t="s">
        <v>187</v>
      </c>
    </row>
    <row r="98" spans="1:10" x14ac:dyDescent="0.3">
      <c r="A98" t="s">
        <v>149</v>
      </c>
      <c r="D98">
        <v>-111</v>
      </c>
      <c r="J98" s="19"/>
    </row>
    <row r="99" spans="1:10" x14ac:dyDescent="0.3">
      <c r="A99" t="s">
        <v>150</v>
      </c>
      <c r="D99" s="19">
        <v>-7252</v>
      </c>
      <c r="G99" s="19"/>
      <c r="J99" s="19"/>
    </row>
    <row r="100" spans="1:10" x14ac:dyDescent="0.3">
      <c r="A100" t="s">
        <v>151</v>
      </c>
      <c r="D100">
        <v>-353</v>
      </c>
    </row>
    <row r="101" spans="1:10" x14ac:dyDescent="0.3">
      <c r="A101" t="s">
        <v>152</v>
      </c>
      <c r="D101" s="19">
        <v>-6786</v>
      </c>
      <c r="G101" s="19"/>
      <c r="J101" s="19"/>
    </row>
    <row r="102" spans="1:10" x14ac:dyDescent="0.3">
      <c r="A102" t="s">
        <v>153</v>
      </c>
      <c r="D102">
        <v>-159</v>
      </c>
    </row>
    <row r="103" spans="1:10" x14ac:dyDescent="0.3">
      <c r="A103" t="s">
        <v>188</v>
      </c>
    </row>
    <row r="104" spans="1:10" x14ac:dyDescent="0.3">
      <c r="A104" t="s">
        <v>155</v>
      </c>
    </row>
    <row r="105" spans="1:10" x14ac:dyDescent="0.3">
      <c r="A105" t="s">
        <v>156</v>
      </c>
      <c r="D105" t="s">
        <v>189</v>
      </c>
      <c r="J105" s="19"/>
    </row>
    <row r="106" spans="1:10" x14ac:dyDescent="0.3">
      <c r="A106" t="s">
        <v>157</v>
      </c>
    </row>
    <row r="107" spans="1:10" x14ac:dyDescent="0.3">
      <c r="A107" t="s">
        <v>159</v>
      </c>
      <c r="D107" t="s">
        <v>190</v>
      </c>
    </row>
    <row r="108" spans="1:10" x14ac:dyDescent="0.3">
      <c r="A108" t="s">
        <v>163</v>
      </c>
      <c r="D108" t="s">
        <v>162</v>
      </c>
    </row>
    <row r="109" spans="1:10" x14ac:dyDescent="0.3">
      <c r="A109" t="s">
        <v>165</v>
      </c>
      <c r="D109" t="s">
        <v>191</v>
      </c>
    </row>
    <row r="110" spans="1:10" x14ac:dyDescent="0.3">
      <c r="A110" t="s">
        <v>169</v>
      </c>
      <c r="D110" t="s">
        <v>192</v>
      </c>
    </row>
    <row r="111" spans="1:10" x14ac:dyDescent="0.3">
      <c r="A111" s="1"/>
    </row>
    <row r="112" spans="1:10" x14ac:dyDescent="0.3">
      <c r="A112" s="1" t="s">
        <v>293</v>
      </c>
    </row>
    <row r="113" spans="1:3" x14ac:dyDescent="0.3">
      <c r="A113" s="1"/>
      <c r="B113">
        <v>2023</v>
      </c>
      <c r="C113">
        <v>2024</v>
      </c>
    </row>
    <row r="114" spans="1:3" x14ac:dyDescent="0.3">
      <c r="A114" t="s">
        <v>201</v>
      </c>
    </row>
    <row r="115" spans="1:3" x14ac:dyDescent="0.3">
      <c r="A115" t="s">
        <v>202</v>
      </c>
    </row>
    <row r="116" spans="1:3" x14ac:dyDescent="0.3">
      <c r="A116" t="s">
        <v>203</v>
      </c>
      <c r="B116" t="s">
        <v>171</v>
      </c>
      <c r="C116" t="s">
        <v>170</v>
      </c>
    </row>
    <row r="117" spans="1:3" x14ac:dyDescent="0.3">
      <c r="A117" t="s">
        <v>204</v>
      </c>
      <c r="B117" t="s">
        <v>206</v>
      </c>
      <c r="C117" t="s">
        <v>205</v>
      </c>
    </row>
    <row r="118" spans="1:3" x14ac:dyDescent="0.3">
      <c r="A118" t="s">
        <v>207</v>
      </c>
      <c r="B118" t="s">
        <v>209</v>
      </c>
      <c r="C118" t="s">
        <v>208</v>
      </c>
    </row>
    <row r="119" spans="1:3" x14ac:dyDescent="0.3">
      <c r="A119" t="s">
        <v>210</v>
      </c>
      <c r="B119" t="s">
        <v>212</v>
      </c>
      <c r="C119" t="s">
        <v>211</v>
      </c>
    </row>
    <row r="120" spans="1:3" x14ac:dyDescent="0.3">
      <c r="A120" t="s">
        <v>213</v>
      </c>
      <c r="B120" t="s">
        <v>215</v>
      </c>
      <c r="C120" t="s">
        <v>214</v>
      </c>
    </row>
    <row r="121" spans="1:3" x14ac:dyDescent="0.3">
      <c r="A121" t="s">
        <v>216</v>
      </c>
      <c r="B121" t="s">
        <v>218</v>
      </c>
      <c r="C121" t="s">
        <v>217</v>
      </c>
    </row>
    <row r="122" spans="1:3" x14ac:dyDescent="0.3">
      <c r="A122" t="s">
        <v>219</v>
      </c>
      <c r="B122" t="s">
        <v>221</v>
      </c>
      <c r="C122" t="s">
        <v>220</v>
      </c>
    </row>
    <row r="123" spans="1:3" x14ac:dyDescent="0.3">
      <c r="A123" s="1" t="s">
        <v>222</v>
      </c>
      <c r="B123" t="s">
        <v>224</v>
      </c>
      <c r="C123" t="s">
        <v>223</v>
      </c>
    </row>
    <row r="124" spans="1:3" x14ac:dyDescent="0.3">
      <c r="A124" t="s">
        <v>225</v>
      </c>
      <c r="B124" t="s">
        <v>227</v>
      </c>
      <c r="C124" t="s">
        <v>226</v>
      </c>
    </row>
    <row r="125" spans="1:3" x14ac:dyDescent="0.3">
      <c r="A125" t="s">
        <v>228</v>
      </c>
      <c r="B125" t="s">
        <v>230</v>
      </c>
      <c r="C125" t="s">
        <v>229</v>
      </c>
    </row>
    <row r="126" spans="1:3" x14ac:dyDescent="0.3">
      <c r="A126" t="s">
        <v>231</v>
      </c>
      <c r="B126" t="s">
        <v>233</v>
      </c>
      <c r="C126" t="s">
        <v>232</v>
      </c>
    </row>
    <row r="127" spans="1:3" x14ac:dyDescent="0.3">
      <c r="A127" t="s">
        <v>234</v>
      </c>
      <c r="B127" t="s">
        <v>236</v>
      </c>
      <c r="C127" t="s">
        <v>235</v>
      </c>
    </row>
    <row r="128" spans="1:3" x14ac:dyDescent="0.3">
      <c r="A128" t="s">
        <v>237</v>
      </c>
      <c r="B128" t="s">
        <v>239</v>
      </c>
      <c r="C128" t="s">
        <v>238</v>
      </c>
    </row>
    <row r="129" spans="1:3" x14ac:dyDescent="0.3">
      <c r="A129" t="s">
        <v>240</v>
      </c>
      <c r="B129" t="s">
        <v>242</v>
      </c>
      <c r="C129" t="s">
        <v>241</v>
      </c>
    </row>
    <row r="130" spans="1:3" x14ac:dyDescent="0.3">
      <c r="A130" t="s">
        <v>243</v>
      </c>
      <c r="B130" t="s">
        <v>245</v>
      </c>
      <c r="C130" t="s">
        <v>244</v>
      </c>
    </row>
    <row r="131" spans="1:3" x14ac:dyDescent="0.3">
      <c r="A131" t="s">
        <v>246</v>
      </c>
    </row>
    <row r="132" spans="1:3" x14ac:dyDescent="0.3">
      <c r="A132" t="s">
        <v>247</v>
      </c>
    </row>
    <row r="133" spans="1:3" x14ac:dyDescent="0.3">
      <c r="A133" t="s">
        <v>248</v>
      </c>
      <c r="B133" t="s">
        <v>250</v>
      </c>
      <c r="C133" t="s">
        <v>249</v>
      </c>
    </row>
    <row r="134" spans="1:3" x14ac:dyDescent="0.3">
      <c r="A134" s="1" t="s">
        <v>251</v>
      </c>
      <c r="B134" t="s">
        <v>253</v>
      </c>
      <c r="C134" t="s">
        <v>252</v>
      </c>
    </row>
    <row r="135" spans="1:3" x14ac:dyDescent="0.3">
      <c r="A135" t="s">
        <v>254</v>
      </c>
      <c r="B135" t="s">
        <v>256</v>
      </c>
      <c r="C135" t="s">
        <v>255</v>
      </c>
    </row>
    <row r="136" spans="1:3" x14ac:dyDescent="0.3">
      <c r="A136" s="1" t="s">
        <v>257</v>
      </c>
      <c r="B136" t="s">
        <v>259</v>
      </c>
      <c r="C136" t="s">
        <v>258</v>
      </c>
    </row>
    <row r="137" spans="1:3" x14ac:dyDescent="0.3">
      <c r="A137" t="s">
        <v>260</v>
      </c>
      <c r="B137" t="s">
        <v>262</v>
      </c>
      <c r="C137" t="s">
        <v>261</v>
      </c>
    </row>
    <row r="138" spans="1:3" x14ac:dyDescent="0.3">
      <c r="A138" s="1" t="s">
        <v>263</v>
      </c>
      <c r="B138" t="s">
        <v>265</v>
      </c>
      <c r="C138" t="s">
        <v>264</v>
      </c>
    </row>
    <row r="139" spans="1:3" x14ac:dyDescent="0.3">
      <c r="A139" t="s">
        <v>266</v>
      </c>
      <c r="B139" t="s">
        <v>268</v>
      </c>
      <c r="C139" t="s">
        <v>267</v>
      </c>
    </row>
    <row r="140" spans="1:3" x14ac:dyDescent="0.3">
      <c r="A140" t="s">
        <v>269</v>
      </c>
      <c r="B140" t="s">
        <v>271</v>
      </c>
      <c r="C140" t="s">
        <v>270</v>
      </c>
    </row>
    <row r="141" spans="1:3" x14ac:dyDescent="0.3">
      <c r="A141" t="s">
        <v>272</v>
      </c>
    </row>
    <row r="142" spans="1:3" x14ac:dyDescent="0.3">
      <c r="A142" t="s">
        <v>273</v>
      </c>
      <c r="B142" t="s">
        <v>274</v>
      </c>
      <c r="C142" t="s">
        <v>274</v>
      </c>
    </row>
    <row r="143" spans="1:3" x14ac:dyDescent="0.3">
      <c r="A143" t="s">
        <v>275</v>
      </c>
      <c r="B143" t="s">
        <v>277</v>
      </c>
      <c r="C143" t="s">
        <v>276</v>
      </c>
    </row>
    <row r="144" spans="1:3" x14ac:dyDescent="0.3">
      <c r="A144" t="s">
        <v>278</v>
      </c>
      <c r="B144" t="s">
        <v>280</v>
      </c>
      <c r="C144" t="s">
        <v>279</v>
      </c>
    </row>
    <row r="145" spans="1:8" x14ac:dyDescent="0.3">
      <c r="A145" t="s">
        <v>281</v>
      </c>
      <c r="B145" s="19">
        <v>-14275</v>
      </c>
      <c r="C145" s="19">
        <v>-16843</v>
      </c>
    </row>
    <row r="146" spans="1:8" x14ac:dyDescent="0.3">
      <c r="A146" t="s">
        <v>282</v>
      </c>
      <c r="B146" s="19">
        <v>-54535</v>
      </c>
      <c r="C146" s="19">
        <v>-55916</v>
      </c>
    </row>
    <row r="147" spans="1:8" x14ac:dyDescent="0.3">
      <c r="A147" t="s">
        <v>283</v>
      </c>
      <c r="B147" t="s">
        <v>285</v>
      </c>
      <c r="C147" t="s">
        <v>284</v>
      </c>
    </row>
    <row r="148" spans="1:8" x14ac:dyDescent="0.3">
      <c r="A148" t="s">
        <v>286</v>
      </c>
      <c r="B148" t="s">
        <v>288</v>
      </c>
      <c r="C148" t="s">
        <v>287</v>
      </c>
    </row>
    <row r="149" spans="1:8" x14ac:dyDescent="0.3">
      <c r="A149" t="s">
        <v>289</v>
      </c>
      <c r="B149" t="s">
        <v>291</v>
      </c>
      <c r="C149" t="s">
        <v>290</v>
      </c>
    </row>
    <row r="150" spans="1:8" x14ac:dyDescent="0.3">
      <c r="A150" t="s">
        <v>292</v>
      </c>
      <c r="B150" t="s">
        <v>245</v>
      </c>
      <c r="C150" t="s">
        <v>244</v>
      </c>
    </row>
    <row r="151" spans="1:8" x14ac:dyDescent="0.3">
      <c r="B151" s="1"/>
      <c r="C151" s="1"/>
    </row>
    <row r="152" spans="1:8" x14ac:dyDescent="0.3">
      <c r="B152" s="1"/>
      <c r="C152" s="1"/>
    </row>
    <row r="153" spans="1:8" x14ac:dyDescent="0.3">
      <c r="A153" t="s">
        <v>200</v>
      </c>
      <c r="D153">
        <v>2022</v>
      </c>
      <c r="G153">
        <v>2021</v>
      </c>
    </row>
    <row r="154" spans="1:8" x14ac:dyDescent="0.3">
      <c r="A154" t="s">
        <v>201</v>
      </c>
    </row>
    <row r="155" spans="1:8" x14ac:dyDescent="0.3">
      <c r="A155" t="s">
        <v>202</v>
      </c>
    </row>
    <row r="156" spans="1:8" x14ac:dyDescent="0.3">
      <c r="A156" t="s">
        <v>203</v>
      </c>
      <c r="D156" t="s">
        <v>44</v>
      </c>
      <c r="E156" t="s">
        <v>172</v>
      </c>
      <c r="G156" t="s">
        <v>44</v>
      </c>
      <c r="H156" t="s">
        <v>192</v>
      </c>
    </row>
    <row r="157" spans="1:8" x14ac:dyDescent="0.3">
      <c r="A157" t="s">
        <v>204</v>
      </c>
      <c r="D157" t="s">
        <v>338</v>
      </c>
      <c r="G157" t="s">
        <v>294</v>
      </c>
    </row>
    <row r="158" spans="1:8" x14ac:dyDescent="0.3">
      <c r="A158" t="s">
        <v>207</v>
      </c>
      <c r="D158" t="s">
        <v>339</v>
      </c>
      <c r="G158" t="s">
        <v>295</v>
      </c>
    </row>
    <row r="159" spans="1:8" x14ac:dyDescent="0.3">
      <c r="A159" t="s">
        <v>210</v>
      </c>
      <c r="D159" t="s">
        <v>340</v>
      </c>
      <c r="G159" t="s">
        <v>296</v>
      </c>
    </row>
    <row r="160" spans="1:8" x14ac:dyDescent="0.3">
      <c r="A160" t="s">
        <v>341</v>
      </c>
      <c r="D160" t="s">
        <v>342</v>
      </c>
      <c r="G160" t="s">
        <v>297</v>
      </c>
    </row>
    <row r="161" spans="1:8" x14ac:dyDescent="0.3">
      <c r="A161" t="s">
        <v>216</v>
      </c>
      <c r="D161" t="s">
        <v>343</v>
      </c>
      <c r="G161" t="s">
        <v>298</v>
      </c>
    </row>
    <row r="162" spans="1:8" x14ac:dyDescent="0.3">
      <c r="A162" t="s">
        <v>219</v>
      </c>
      <c r="D162" t="s">
        <v>344</v>
      </c>
      <c r="G162" t="s">
        <v>299</v>
      </c>
    </row>
    <row r="163" spans="1:8" x14ac:dyDescent="0.3">
      <c r="A163" t="s">
        <v>222</v>
      </c>
      <c r="D163" t="s">
        <v>345</v>
      </c>
      <c r="G163" t="s">
        <v>300</v>
      </c>
    </row>
    <row r="164" spans="1:8" x14ac:dyDescent="0.3">
      <c r="A164" t="s">
        <v>225</v>
      </c>
      <c r="D164" t="s">
        <v>346</v>
      </c>
      <c r="G164" t="s">
        <v>301</v>
      </c>
    </row>
    <row r="165" spans="1:8" x14ac:dyDescent="0.3">
      <c r="A165" t="s">
        <v>302</v>
      </c>
      <c r="D165" t="s">
        <v>347</v>
      </c>
      <c r="G165" t="s">
        <v>303</v>
      </c>
    </row>
    <row r="166" spans="1:8" x14ac:dyDescent="0.3">
      <c r="A166" t="s">
        <v>240</v>
      </c>
      <c r="D166" t="s">
        <v>348</v>
      </c>
      <c r="G166" t="s">
        <v>304</v>
      </c>
    </row>
    <row r="167" spans="1:8" x14ac:dyDescent="0.3">
      <c r="A167" t="s">
        <v>228</v>
      </c>
      <c r="D167" t="s">
        <v>349</v>
      </c>
      <c r="G167" t="s">
        <v>305</v>
      </c>
    </row>
    <row r="168" spans="1:8" x14ac:dyDescent="0.3">
      <c r="A168" t="s">
        <v>231</v>
      </c>
      <c r="D168" t="s">
        <v>350</v>
      </c>
      <c r="G168" t="s">
        <v>306</v>
      </c>
    </row>
    <row r="169" spans="1:8" x14ac:dyDescent="0.3">
      <c r="A169" t="s">
        <v>234</v>
      </c>
      <c r="D169" t="s">
        <v>351</v>
      </c>
      <c r="G169" t="s">
        <v>307</v>
      </c>
    </row>
    <row r="170" spans="1:8" x14ac:dyDescent="0.3">
      <c r="A170" t="s">
        <v>237</v>
      </c>
      <c r="D170" t="s">
        <v>352</v>
      </c>
      <c r="G170" t="s">
        <v>308</v>
      </c>
    </row>
    <row r="171" spans="1:8" x14ac:dyDescent="0.3">
      <c r="A171" t="s">
        <v>309</v>
      </c>
      <c r="D171" t="s">
        <v>353</v>
      </c>
      <c r="G171" t="s">
        <v>310</v>
      </c>
    </row>
    <row r="172" spans="1:8" x14ac:dyDescent="0.3">
      <c r="A172" t="s">
        <v>243</v>
      </c>
      <c r="D172" t="s">
        <v>44</v>
      </c>
      <c r="E172" t="s">
        <v>354</v>
      </c>
      <c r="G172" t="s">
        <v>44</v>
      </c>
      <c r="H172" t="s">
        <v>311</v>
      </c>
    </row>
    <row r="173" spans="1:8" x14ac:dyDescent="0.3">
      <c r="A173" t="s">
        <v>246</v>
      </c>
    </row>
    <row r="174" spans="1:8" x14ac:dyDescent="0.3">
      <c r="A174" t="s">
        <v>247</v>
      </c>
    </row>
    <row r="175" spans="1:8" x14ac:dyDescent="0.3">
      <c r="A175" t="s">
        <v>248</v>
      </c>
      <c r="D175" t="s">
        <v>44</v>
      </c>
      <c r="E175" t="s">
        <v>355</v>
      </c>
      <c r="G175" t="s">
        <v>44</v>
      </c>
      <c r="H175" t="s">
        <v>312</v>
      </c>
    </row>
    <row r="176" spans="1:8" x14ac:dyDescent="0.3">
      <c r="A176" t="s">
        <v>251</v>
      </c>
      <c r="D176" t="s">
        <v>356</v>
      </c>
      <c r="G176" t="s">
        <v>313</v>
      </c>
    </row>
    <row r="177" spans="1:8" x14ac:dyDescent="0.3">
      <c r="A177" t="s">
        <v>254</v>
      </c>
      <c r="D177" t="s">
        <v>357</v>
      </c>
      <c r="G177" t="s">
        <v>314</v>
      </c>
    </row>
    <row r="178" spans="1:8" x14ac:dyDescent="0.3">
      <c r="A178" t="s">
        <v>257</v>
      </c>
      <c r="D178" t="s">
        <v>358</v>
      </c>
      <c r="G178" t="s">
        <v>315</v>
      </c>
    </row>
    <row r="179" spans="1:8" x14ac:dyDescent="0.3">
      <c r="A179" t="s">
        <v>260</v>
      </c>
      <c r="D179" t="s">
        <v>359</v>
      </c>
      <c r="G179" t="s">
        <v>316</v>
      </c>
    </row>
    <row r="180" spans="1:8" x14ac:dyDescent="0.3">
      <c r="A180" t="s">
        <v>263</v>
      </c>
      <c r="D180" t="s">
        <v>360</v>
      </c>
      <c r="G180" t="s">
        <v>317</v>
      </c>
    </row>
    <row r="181" spans="1:8" x14ac:dyDescent="0.3">
      <c r="A181" t="s">
        <v>266</v>
      </c>
      <c r="D181" t="s">
        <v>361</v>
      </c>
      <c r="G181" t="s">
        <v>318</v>
      </c>
    </row>
    <row r="182" spans="1:8" x14ac:dyDescent="0.3">
      <c r="A182" t="s">
        <v>269</v>
      </c>
      <c r="D182" t="s">
        <v>362</v>
      </c>
      <c r="G182" t="s">
        <v>319</v>
      </c>
    </row>
    <row r="183" spans="1:8" x14ac:dyDescent="0.3">
      <c r="A183" t="s">
        <v>272</v>
      </c>
    </row>
    <row r="184" spans="1:8" x14ac:dyDescent="0.3">
      <c r="A184" t="s">
        <v>273</v>
      </c>
      <c r="D184" t="s">
        <v>274</v>
      </c>
      <c r="G184" t="s">
        <v>274</v>
      </c>
    </row>
    <row r="185" spans="1:8" x14ac:dyDescent="0.3">
      <c r="A185" t="s">
        <v>275</v>
      </c>
      <c r="D185" t="s">
        <v>363</v>
      </c>
      <c r="G185" t="s">
        <v>320</v>
      </c>
    </row>
    <row r="186" spans="1:8" x14ac:dyDescent="0.3">
      <c r="A186" t="s">
        <v>278</v>
      </c>
      <c r="B186" s="19"/>
      <c r="C186" s="19"/>
      <c r="D186" t="s">
        <v>364</v>
      </c>
      <c r="G186" t="s">
        <v>321</v>
      </c>
    </row>
    <row r="187" spans="1:8" x14ac:dyDescent="0.3">
      <c r="A187" t="s">
        <v>281</v>
      </c>
      <c r="B187" s="19"/>
      <c r="C187" s="19"/>
      <c r="D187" s="19">
        <v>-14895</v>
      </c>
      <c r="G187" s="19">
        <v>-14330</v>
      </c>
    </row>
    <row r="188" spans="1:8" x14ac:dyDescent="0.3">
      <c r="A188" t="s">
        <v>365</v>
      </c>
      <c r="D188" s="19">
        <v>-52601</v>
      </c>
      <c r="G188" s="19">
        <v>-51641</v>
      </c>
    </row>
    <row r="189" spans="1:8" x14ac:dyDescent="0.3">
      <c r="A189" t="s">
        <v>283</v>
      </c>
      <c r="D189" t="s">
        <v>366</v>
      </c>
      <c r="G189" t="s">
        <v>322</v>
      </c>
    </row>
    <row r="190" spans="1:8" x14ac:dyDescent="0.3">
      <c r="A190" t="s">
        <v>286</v>
      </c>
      <c r="D190" t="s">
        <v>367</v>
      </c>
      <c r="G190" t="s">
        <v>323</v>
      </c>
    </row>
    <row r="191" spans="1:8" x14ac:dyDescent="0.3">
      <c r="A191" t="s">
        <v>289</v>
      </c>
      <c r="D191" t="s">
        <v>368</v>
      </c>
      <c r="G191" t="s">
        <v>324</v>
      </c>
    </row>
    <row r="192" spans="1:8" x14ac:dyDescent="0.3">
      <c r="A192" t="s">
        <v>292</v>
      </c>
      <c r="D192" t="s">
        <v>44</v>
      </c>
      <c r="E192" t="s">
        <v>354</v>
      </c>
      <c r="G192" t="s">
        <v>44</v>
      </c>
      <c r="H192" t="s">
        <v>369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Dashboard</vt:lpstr>
      <vt:lpstr>Financials-&gt;</vt:lpstr>
      <vt:lpstr>Historicals</vt:lpstr>
      <vt:lpstr>Assumptions</vt:lpstr>
      <vt:lpstr>Schedule</vt:lpstr>
      <vt:lpstr>Valuation-&gt;</vt:lpstr>
      <vt:lpstr>Beta</vt:lpstr>
      <vt:lpstr>WACC</vt:lpstr>
      <vt:lpstr>FCFF</vt:lpstr>
      <vt:lpstr>Ratio Analysis</vt:lpstr>
      <vt:lpstr>Analysis</vt:lpstr>
      <vt:lpstr>Data</vt:lpstr>
      <vt:lpstr>days</vt:lpstr>
      <vt:lpstr>tax_rate</vt:lpstr>
      <vt:lpstr>terminal_growth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2026-02-17T05:42:26Z</dcterms:created>
  <dcterms:modified xsi:type="dcterms:W3CDTF">2026-03-23T19:00:38Z</dcterms:modified>
</cp:coreProperties>
</file>