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8CA460E9-F456-4EC3-B893-2C5DFC249FD5}" xr6:coauthVersionLast="47" xr6:coauthVersionMax="47" xr10:uidLastSave="{00000000-0000-0000-0000-000000000000}"/>
  <bookViews>
    <workbookView xWindow="-108" yWindow="-108" windowWidth="23256" windowHeight="13176" tabRatio="925" activeTab="7" xr2:uid="{5131A0D3-1B5C-4070-AAE5-3D05D9CE90FC}"/>
  </bookViews>
  <sheets>
    <sheet name="Dashboard" sheetId="5" r:id="rId1"/>
    <sheet name="Summary" sheetId="14" r:id="rId2"/>
    <sheet name="Financials-&gt;" sheetId="4" r:id="rId3"/>
    <sheet name="Financials" sheetId="1" r:id="rId4"/>
    <sheet name="Assumptions" sheetId="7" r:id="rId5"/>
    <sheet name="Schedule" sheetId="8" r:id="rId6"/>
    <sheet name="Valuation-&gt;" sheetId="9" r:id="rId7"/>
    <sheet name="DCF" sheetId="10" r:id="rId8"/>
    <sheet name="WACC" sheetId="11" r:id="rId9"/>
    <sheet name="Beta" sheetId="12" r:id="rId10"/>
    <sheet name="Comps" sheetId="13" r:id="rId11"/>
    <sheet name="Ratio Analysis" sheetId="15" r:id="rId12"/>
    <sheet name="Analysis" sheetId="16" r:id="rId13"/>
    <sheet name="Data-&gt;" sheetId="2" r:id="rId14"/>
    <sheet name="Input" sheetId="3" r:id="rId15"/>
  </sheets>
  <definedNames>
    <definedName name="days">Dashboard!$E$12</definedName>
    <definedName name="tgr">DCF!$E$15</definedName>
    <definedName name="tgrth1">DCF!$E$91</definedName>
    <definedName name="wacc">DCF!$E$14</definedName>
    <definedName name="wacc1">DCF!$E$90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1" i="13" l="1"/>
  <c r="K33" i="13"/>
  <c r="R31" i="13"/>
  <c r="Q31" i="13"/>
  <c r="P31" i="13"/>
  <c r="O31" i="13"/>
  <c r="H33" i="16"/>
  <c r="I33" i="16"/>
  <c r="I34" i="16"/>
  <c r="H35" i="16"/>
  <c r="I35" i="16"/>
  <c r="H36" i="16"/>
  <c r="I36" i="16"/>
  <c r="H39" i="16"/>
  <c r="I39" i="16"/>
  <c r="I40" i="16"/>
  <c r="H41" i="16"/>
  <c r="I41" i="16"/>
  <c r="H42" i="16"/>
  <c r="I42" i="16"/>
  <c r="H43" i="16"/>
  <c r="I43" i="16"/>
  <c r="J43" i="16"/>
  <c r="K43" i="16"/>
  <c r="L43" i="16"/>
  <c r="M43" i="16"/>
  <c r="N43" i="16"/>
  <c r="H44" i="16"/>
  <c r="I44" i="16"/>
  <c r="I45" i="16"/>
  <c r="H46" i="16"/>
  <c r="I46" i="16"/>
  <c r="H47" i="16"/>
  <c r="I47" i="16"/>
  <c r="H49" i="16"/>
  <c r="I49" i="16"/>
  <c r="H50" i="16"/>
  <c r="H51" i="16"/>
  <c r="I51" i="16"/>
  <c r="I52" i="16"/>
  <c r="H53" i="16"/>
  <c r="I53" i="16"/>
  <c r="J53" i="16"/>
  <c r="H54" i="16"/>
  <c r="I54" i="16"/>
  <c r="G35" i="16"/>
  <c r="G36" i="16"/>
  <c r="G39" i="16"/>
  <c r="G41" i="16"/>
  <c r="G42" i="16"/>
  <c r="G43" i="16"/>
  <c r="G44" i="16"/>
  <c r="G46" i="16"/>
  <c r="G47" i="16"/>
  <c r="G49" i="16"/>
  <c r="G50" i="16"/>
  <c r="G51" i="16"/>
  <c r="G53" i="16"/>
  <c r="G54" i="16"/>
  <c r="G33" i="16"/>
  <c r="G31" i="16"/>
  <c r="H31" i="16" s="1"/>
  <c r="I31" i="16" s="1"/>
  <c r="J31" i="16" s="1"/>
  <c r="K31" i="16" s="1"/>
  <c r="L31" i="16" s="1"/>
  <c r="M31" i="16" s="1"/>
  <c r="N31" i="16" s="1"/>
  <c r="G8" i="16"/>
  <c r="H8" i="16"/>
  <c r="I8" i="16"/>
  <c r="G9" i="16"/>
  <c r="H9" i="16"/>
  <c r="I9" i="16"/>
  <c r="G10" i="16"/>
  <c r="H10" i="16"/>
  <c r="I10" i="16"/>
  <c r="G11" i="16"/>
  <c r="H11" i="16"/>
  <c r="I11" i="16"/>
  <c r="G14" i="16"/>
  <c r="H14" i="16"/>
  <c r="I14" i="16"/>
  <c r="G15" i="16"/>
  <c r="H15" i="16"/>
  <c r="I15" i="16"/>
  <c r="G16" i="16"/>
  <c r="H16" i="16"/>
  <c r="I16" i="16"/>
  <c r="G17" i="16"/>
  <c r="H17" i="16"/>
  <c r="I17" i="16"/>
  <c r="G18" i="16"/>
  <c r="H18" i="16"/>
  <c r="I18" i="16"/>
  <c r="G19" i="16"/>
  <c r="H19" i="16"/>
  <c r="I19" i="16"/>
  <c r="G20" i="16"/>
  <c r="H20" i="16"/>
  <c r="I20" i="16"/>
  <c r="G21" i="16"/>
  <c r="H21" i="16"/>
  <c r="I21" i="16"/>
  <c r="G22" i="16"/>
  <c r="H22" i="16"/>
  <c r="I22" i="16"/>
  <c r="G24" i="16"/>
  <c r="H24" i="16"/>
  <c r="I24" i="16"/>
  <c r="G25" i="16"/>
  <c r="H25" i="16"/>
  <c r="I25" i="16"/>
  <c r="G26" i="16"/>
  <c r="H26" i="16"/>
  <c r="I26" i="16"/>
  <c r="G27" i="16"/>
  <c r="H27" i="16"/>
  <c r="I27" i="16"/>
  <c r="G28" i="16"/>
  <c r="H28" i="16"/>
  <c r="I28" i="16"/>
  <c r="G29" i="16"/>
  <c r="H29" i="16"/>
  <c r="I29" i="16"/>
  <c r="F15" i="16"/>
  <c r="F9" i="16"/>
  <c r="F10" i="16"/>
  <c r="F11" i="16"/>
  <c r="F14" i="16"/>
  <c r="F16" i="16"/>
  <c r="F17" i="16"/>
  <c r="F18" i="16"/>
  <c r="F19" i="16"/>
  <c r="F20" i="16"/>
  <c r="F21" i="16"/>
  <c r="F22" i="16"/>
  <c r="F24" i="16"/>
  <c r="F25" i="16"/>
  <c r="F26" i="16"/>
  <c r="F27" i="16"/>
  <c r="F28" i="16"/>
  <c r="F29" i="16"/>
  <c r="F8" i="16"/>
  <c r="C30" i="16"/>
  <c r="G6" i="16"/>
  <c r="H6" i="16" s="1"/>
  <c r="I6" i="16" s="1"/>
  <c r="J6" i="16" s="1"/>
  <c r="K6" i="16" s="1"/>
  <c r="L6" i="16" s="1"/>
  <c r="M6" i="16" s="1"/>
  <c r="N6" i="16" s="1"/>
  <c r="C4" i="16"/>
  <c r="C2" i="16"/>
  <c r="G48" i="15"/>
  <c r="H48" i="15" s="1"/>
  <c r="I48" i="15" s="1"/>
  <c r="J48" i="15" s="1"/>
  <c r="K48" i="15" s="1"/>
  <c r="L48" i="15" s="1"/>
  <c r="M48" i="15" s="1"/>
  <c r="N48" i="15" s="1"/>
  <c r="G41" i="15"/>
  <c r="H41" i="15"/>
  <c r="I41" i="15"/>
  <c r="G42" i="15"/>
  <c r="H42" i="15"/>
  <c r="I42" i="15"/>
  <c r="G44" i="15"/>
  <c r="G51" i="15" s="1"/>
  <c r="H44" i="15"/>
  <c r="H51" i="15" s="1"/>
  <c r="I44" i="15"/>
  <c r="I51" i="15" s="1"/>
  <c r="G45" i="15"/>
  <c r="H45" i="15"/>
  <c r="I45" i="15"/>
  <c r="F45" i="15"/>
  <c r="F44" i="15"/>
  <c r="F51" i="15" s="1"/>
  <c r="F42" i="15"/>
  <c r="F41" i="15"/>
  <c r="G40" i="15"/>
  <c r="H40" i="15" s="1"/>
  <c r="I40" i="15" s="1"/>
  <c r="J40" i="15" s="1"/>
  <c r="K40" i="15" s="1"/>
  <c r="L40" i="15" s="1"/>
  <c r="M40" i="15" s="1"/>
  <c r="N40" i="15" s="1"/>
  <c r="G29" i="15"/>
  <c r="G50" i="15" s="1"/>
  <c r="H29" i="15"/>
  <c r="H50" i="15" s="1"/>
  <c r="I29" i="15"/>
  <c r="I50" i="15" s="1"/>
  <c r="G30" i="15"/>
  <c r="H30" i="15"/>
  <c r="I30" i="15"/>
  <c r="G31" i="15"/>
  <c r="H31" i="15"/>
  <c r="I31" i="15"/>
  <c r="G32" i="15"/>
  <c r="H32" i="15"/>
  <c r="I32" i="15"/>
  <c r="G33" i="15"/>
  <c r="H33" i="15"/>
  <c r="I33" i="15"/>
  <c r="I38" i="15"/>
  <c r="F33" i="15"/>
  <c r="F32" i="15"/>
  <c r="F31" i="15"/>
  <c r="F30" i="15"/>
  <c r="F29" i="15"/>
  <c r="F50" i="15" s="1"/>
  <c r="G28" i="15"/>
  <c r="H28" i="15" s="1"/>
  <c r="I28" i="15" s="1"/>
  <c r="J28" i="15" s="1"/>
  <c r="K28" i="15" s="1"/>
  <c r="L28" i="15" s="1"/>
  <c r="M28" i="15" s="1"/>
  <c r="N28" i="15" s="1"/>
  <c r="G21" i="15"/>
  <c r="H21" i="15"/>
  <c r="I21" i="15"/>
  <c r="G22" i="15"/>
  <c r="H22" i="15"/>
  <c r="I22" i="15"/>
  <c r="G23" i="15"/>
  <c r="H23" i="15"/>
  <c r="I23" i="15"/>
  <c r="G25" i="15"/>
  <c r="G26" i="15" s="1"/>
  <c r="H25" i="15"/>
  <c r="H26" i="15" s="1"/>
  <c r="I25" i="15"/>
  <c r="I26" i="15" s="1"/>
  <c r="F25" i="15"/>
  <c r="F26" i="15" s="1"/>
  <c r="F23" i="15"/>
  <c r="F21" i="15"/>
  <c r="F22" i="15"/>
  <c r="G20" i="15"/>
  <c r="H20" i="15" s="1"/>
  <c r="I20" i="15" s="1"/>
  <c r="J20" i="15" s="1"/>
  <c r="K20" i="15" s="1"/>
  <c r="L20" i="15" s="1"/>
  <c r="M20" i="15" s="1"/>
  <c r="N20" i="15" s="1"/>
  <c r="G13" i="15"/>
  <c r="H13" i="15"/>
  <c r="I13" i="15"/>
  <c r="G14" i="15"/>
  <c r="G49" i="15" s="1"/>
  <c r="H14" i="15"/>
  <c r="H49" i="15" s="1"/>
  <c r="I14" i="15"/>
  <c r="I49" i="15" s="1"/>
  <c r="G15" i="15"/>
  <c r="H15" i="15"/>
  <c r="I15" i="15"/>
  <c r="G16" i="15"/>
  <c r="H16" i="15"/>
  <c r="I16" i="15"/>
  <c r="G17" i="15"/>
  <c r="H17" i="15"/>
  <c r="I17" i="15"/>
  <c r="G18" i="15"/>
  <c r="H18" i="15"/>
  <c r="I18" i="15"/>
  <c r="F18" i="15"/>
  <c r="K24" i="5"/>
  <c r="F17" i="15"/>
  <c r="F16" i="15"/>
  <c r="F15" i="15"/>
  <c r="F14" i="15"/>
  <c r="F49" i="15" s="1"/>
  <c r="F13" i="15"/>
  <c r="G12" i="15"/>
  <c r="H12" i="15"/>
  <c r="I12" i="15"/>
  <c r="F12" i="15"/>
  <c r="G10" i="15"/>
  <c r="G11" i="15" s="1"/>
  <c r="H10" i="15"/>
  <c r="H11" i="15" s="1"/>
  <c r="I10" i="15"/>
  <c r="I11" i="15" s="1"/>
  <c r="F10" i="15"/>
  <c r="F11" i="15" s="1"/>
  <c r="G9" i="15"/>
  <c r="H9" i="15"/>
  <c r="I9" i="15"/>
  <c r="F9" i="15"/>
  <c r="G8" i="15"/>
  <c r="H8" i="15" s="1"/>
  <c r="I8" i="15" s="1"/>
  <c r="J8" i="15" s="1"/>
  <c r="K8" i="15" s="1"/>
  <c r="L8" i="15" s="1"/>
  <c r="M8" i="15" s="1"/>
  <c r="N8" i="15" s="1"/>
  <c r="C4" i="15"/>
  <c r="C2" i="15"/>
  <c r="L18" i="5"/>
  <c r="O79" i="7"/>
  <c r="N79" i="7"/>
  <c r="M79" i="7"/>
  <c r="L79" i="7"/>
  <c r="O78" i="7"/>
  <c r="N78" i="7"/>
  <c r="M78" i="7"/>
  <c r="L78" i="7"/>
  <c r="O73" i="7"/>
  <c r="N73" i="7"/>
  <c r="M73" i="7"/>
  <c r="L73" i="7"/>
  <c r="O72" i="7"/>
  <c r="N72" i="7"/>
  <c r="M72" i="7"/>
  <c r="L72" i="7"/>
  <c r="O67" i="7"/>
  <c r="N67" i="7"/>
  <c r="M67" i="7"/>
  <c r="L67" i="7"/>
  <c r="O66" i="7"/>
  <c r="N66" i="7"/>
  <c r="M66" i="7"/>
  <c r="L66" i="7"/>
  <c r="O61" i="7"/>
  <c r="N61" i="7"/>
  <c r="M61" i="7"/>
  <c r="L61" i="7"/>
  <c r="O60" i="7"/>
  <c r="N60" i="7"/>
  <c r="M60" i="7"/>
  <c r="L60" i="7"/>
  <c r="O55" i="7"/>
  <c r="N55" i="7"/>
  <c r="M55" i="7"/>
  <c r="L55" i="7"/>
  <c r="O54" i="7"/>
  <c r="N54" i="7"/>
  <c r="M54" i="7"/>
  <c r="L54" i="7"/>
  <c r="O49" i="7"/>
  <c r="N49" i="7"/>
  <c r="M49" i="7"/>
  <c r="L49" i="7"/>
  <c r="O48" i="7"/>
  <c r="N48" i="7"/>
  <c r="M48" i="7"/>
  <c r="L48" i="7"/>
  <c r="M42" i="7"/>
  <c r="N42" i="7"/>
  <c r="O42" i="7"/>
  <c r="L42" i="7"/>
  <c r="O34" i="7"/>
  <c r="N34" i="7"/>
  <c r="M34" i="7"/>
  <c r="L34" i="7"/>
  <c r="O33" i="7"/>
  <c r="N33" i="7"/>
  <c r="M33" i="7"/>
  <c r="L33" i="7"/>
  <c r="O28" i="7"/>
  <c r="N28" i="7"/>
  <c r="M28" i="7"/>
  <c r="L28" i="7"/>
  <c r="O27" i="7"/>
  <c r="N27" i="7"/>
  <c r="M27" i="7"/>
  <c r="L27" i="7"/>
  <c r="M21" i="7"/>
  <c r="N21" i="7"/>
  <c r="O21" i="7"/>
  <c r="L21" i="7"/>
  <c r="G114" i="10"/>
  <c r="H106" i="10"/>
  <c r="I106" i="10" s="1"/>
  <c r="J106" i="10" s="1"/>
  <c r="H105" i="10"/>
  <c r="I105" i="10" s="1"/>
  <c r="J105" i="10" s="1"/>
  <c r="H96" i="10"/>
  <c r="I96" i="10"/>
  <c r="J96" i="10"/>
  <c r="G96" i="10"/>
  <c r="H93" i="10"/>
  <c r="I93" i="10" s="1"/>
  <c r="J93" i="10" s="1"/>
  <c r="E88" i="10"/>
  <c r="E91" i="10" s="1"/>
  <c r="K26" i="5"/>
  <c r="K27" i="5" s="1"/>
  <c r="K25" i="5"/>
  <c r="K23" i="5"/>
  <c r="K21" i="5"/>
  <c r="K22" i="5"/>
  <c r="C19" i="14" a="1"/>
  <c r="C19" i="14" s="1"/>
  <c r="I12" i="14"/>
  <c r="I13" i="14"/>
  <c r="I14" i="14"/>
  <c r="I11" i="14"/>
  <c r="C4" i="14"/>
  <c r="C2" i="14"/>
  <c r="L30" i="12"/>
  <c r="L29" i="12"/>
  <c r="L28" i="12"/>
  <c r="L27" i="12"/>
  <c r="H32" i="13"/>
  <c r="H33" i="13" s="1"/>
  <c r="H34" i="13" s="1"/>
  <c r="G31" i="13"/>
  <c r="G32" i="13" s="1"/>
  <c r="G33" i="13" s="1"/>
  <c r="G34" i="13" s="1"/>
  <c r="F31" i="13"/>
  <c r="F32" i="13" s="1"/>
  <c r="F33" i="13" s="1"/>
  <c r="F34" i="13" s="1"/>
  <c r="E31" i="13"/>
  <c r="E32" i="13" s="1"/>
  <c r="E33" i="13" s="1"/>
  <c r="E34" i="13" s="1"/>
  <c r="M12" i="13"/>
  <c r="O12" i="13"/>
  <c r="P12" i="13"/>
  <c r="M13" i="13"/>
  <c r="O13" i="13"/>
  <c r="P13" i="13"/>
  <c r="M14" i="13"/>
  <c r="O14" i="13"/>
  <c r="P14" i="13"/>
  <c r="M15" i="13"/>
  <c r="O15" i="13"/>
  <c r="P15" i="13"/>
  <c r="M16" i="13"/>
  <c r="O16" i="13"/>
  <c r="P16" i="13"/>
  <c r="M17" i="13"/>
  <c r="O17" i="13"/>
  <c r="P17" i="13"/>
  <c r="M18" i="13"/>
  <c r="O18" i="13"/>
  <c r="P18" i="13"/>
  <c r="M19" i="13"/>
  <c r="O19" i="13"/>
  <c r="P19" i="13"/>
  <c r="M20" i="13"/>
  <c r="O20" i="13"/>
  <c r="P20" i="13"/>
  <c r="P11" i="13"/>
  <c r="O11" i="13"/>
  <c r="M11" i="13"/>
  <c r="I11" i="13"/>
  <c r="I20" i="13"/>
  <c r="I19" i="13"/>
  <c r="I18" i="13"/>
  <c r="I17" i="13"/>
  <c r="I16" i="13"/>
  <c r="I15" i="13"/>
  <c r="I14" i="13"/>
  <c r="I13" i="13"/>
  <c r="I12" i="13"/>
  <c r="G12" i="13"/>
  <c r="G11" i="13"/>
  <c r="F20" i="13"/>
  <c r="G20" i="13" s="1"/>
  <c r="F19" i="13"/>
  <c r="G19" i="13" s="1"/>
  <c r="F18" i="13"/>
  <c r="G18" i="13" s="1"/>
  <c r="F17" i="13"/>
  <c r="N17" i="13" s="1"/>
  <c r="F16" i="13"/>
  <c r="N16" i="13" s="1"/>
  <c r="F15" i="13"/>
  <c r="G15" i="13" s="1"/>
  <c r="F14" i="13"/>
  <c r="N14" i="13" s="1"/>
  <c r="F13" i="13"/>
  <c r="N13" i="13" s="1"/>
  <c r="F12" i="13"/>
  <c r="N12" i="13" s="1"/>
  <c r="F11" i="13"/>
  <c r="N11" i="13" s="1"/>
  <c r="C4" i="13"/>
  <c r="C2" i="13"/>
  <c r="G36" i="10"/>
  <c r="G35" i="10"/>
  <c r="M48" i="10"/>
  <c r="D14" i="14" s="1"/>
  <c r="M47" i="10"/>
  <c r="D13" i="14" s="1"/>
  <c r="M46" i="10"/>
  <c r="D12" i="14" s="1"/>
  <c r="M45" i="10"/>
  <c r="D11" i="14" s="1"/>
  <c r="F75" i="10"/>
  <c r="G75" i="10" s="1"/>
  <c r="H75" i="10" s="1"/>
  <c r="I75" i="10" s="1"/>
  <c r="D75" i="10"/>
  <c r="E12" i="10"/>
  <c r="E15" i="10" s="1"/>
  <c r="F65" i="10"/>
  <c r="G65" i="10" s="1"/>
  <c r="H65" i="10" s="1"/>
  <c r="I65" i="10" s="1"/>
  <c r="D65" i="10"/>
  <c r="M43" i="7"/>
  <c r="N43" i="7"/>
  <c r="O43" i="7"/>
  <c r="L43" i="7"/>
  <c r="M22" i="7"/>
  <c r="N22" i="7"/>
  <c r="O22" i="7"/>
  <c r="L22" i="7"/>
  <c r="F55" i="10"/>
  <c r="G55" i="10" s="1"/>
  <c r="H55" i="10" s="1"/>
  <c r="I55" i="10" s="1"/>
  <c r="D55" i="10"/>
  <c r="F45" i="10"/>
  <c r="G45" i="10" s="1"/>
  <c r="H45" i="10" s="1"/>
  <c r="I45" i="10" s="1"/>
  <c r="J11" i="11"/>
  <c r="E18" i="11"/>
  <c r="E17" i="11"/>
  <c r="E19" i="11" s="1"/>
  <c r="E22" i="11" s="1"/>
  <c r="L25" i="12"/>
  <c r="E12" i="11" s="1"/>
  <c r="E13" i="11" s="1"/>
  <c r="J13" i="11" l="1"/>
  <c r="M12" i="10" s="1"/>
  <c r="I12" i="10" s="1"/>
  <c r="G16" i="13"/>
  <c r="F38" i="15"/>
  <c r="H52" i="15"/>
  <c r="G52" i="15"/>
  <c r="H38" i="15"/>
  <c r="G38" i="15"/>
  <c r="I52" i="15"/>
  <c r="F52" i="15"/>
  <c r="F43" i="15"/>
  <c r="I43" i="15"/>
  <c r="H43" i="15"/>
  <c r="G43" i="15"/>
  <c r="Q88" i="10"/>
  <c r="I88" i="10"/>
  <c r="E90" i="10"/>
  <c r="C24" i="14"/>
  <c r="C22" i="14"/>
  <c r="C21" i="14"/>
  <c r="C20" i="14"/>
  <c r="C23" i="14"/>
  <c r="O22" i="13"/>
  <c r="M31" i="13" s="1"/>
  <c r="N20" i="13"/>
  <c r="M24" i="13"/>
  <c r="P22" i="13"/>
  <c r="N31" i="13" s="1"/>
  <c r="P23" i="13"/>
  <c r="N32" i="13" s="1"/>
  <c r="R32" i="13" s="1"/>
  <c r="O23" i="13"/>
  <c r="M32" i="13" s="1"/>
  <c r="Q32" i="13" s="1"/>
  <c r="M25" i="13"/>
  <c r="K34" i="13" s="1"/>
  <c r="N19" i="13"/>
  <c r="M22" i="13"/>
  <c r="K31" i="13" s="1"/>
  <c r="P25" i="13"/>
  <c r="N34" i="13" s="1"/>
  <c r="R34" i="13" s="1"/>
  <c r="G17" i="13"/>
  <c r="O25" i="13"/>
  <c r="M34" i="13" s="1"/>
  <c r="Q34" i="13" s="1"/>
  <c r="G14" i="13"/>
  <c r="P24" i="13"/>
  <c r="N33" i="13" s="1"/>
  <c r="R33" i="13" s="1"/>
  <c r="G13" i="13"/>
  <c r="N18" i="13"/>
  <c r="N15" i="13"/>
  <c r="O24" i="13"/>
  <c r="M33" i="13" s="1"/>
  <c r="Q33" i="13" s="1"/>
  <c r="M23" i="13"/>
  <c r="K32" i="13" s="1"/>
  <c r="O34" i="13" l="1"/>
  <c r="S34" i="13" s="1"/>
  <c r="E14" i="14" s="1"/>
  <c r="V34" i="13"/>
  <c r="H14" i="14" s="1"/>
  <c r="V32" i="13"/>
  <c r="H12" i="14" s="1"/>
  <c r="O32" i="13"/>
  <c r="S32" i="13" s="1"/>
  <c r="E12" i="14" s="1"/>
  <c r="O33" i="13"/>
  <c r="S33" i="13" s="1"/>
  <c r="E13" i="14" s="1"/>
  <c r="V33" i="13"/>
  <c r="H13" i="14" s="1"/>
  <c r="E11" i="14"/>
  <c r="V31" i="13"/>
  <c r="H11" i="14" s="1"/>
  <c r="Q12" i="10"/>
  <c r="E14" i="10"/>
  <c r="N22" i="13"/>
  <c r="L31" i="13" s="1"/>
  <c r="N25" i="13"/>
  <c r="L34" i="13" s="1"/>
  <c r="P34" i="13" s="1"/>
  <c r="N24" i="13"/>
  <c r="L33" i="13" s="1"/>
  <c r="P33" i="13" s="1"/>
  <c r="N23" i="13"/>
  <c r="L32" i="13" s="1"/>
  <c r="P32" i="13" s="1"/>
  <c r="I147" i="12" l="1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0" i="12"/>
  <c r="C4" i="11"/>
  <c r="C2" i="11"/>
  <c r="H30" i="10"/>
  <c r="I30" i="10" s="1"/>
  <c r="J30" i="10" s="1"/>
  <c r="K30" i="10" s="1"/>
  <c r="H29" i="10"/>
  <c r="I29" i="10" s="1"/>
  <c r="J29" i="10" s="1"/>
  <c r="K29" i="10" s="1"/>
  <c r="H17" i="10"/>
  <c r="I17" i="10" s="1"/>
  <c r="J17" i="10" s="1"/>
  <c r="K17" i="10" s="1"/>
  <c r="C4" i="10" l="1"/>
  <c r="C2" i="10"/>
  <c r="L124" i="1"/>
  <c r="M124" i="1"/>
  <c r="N124" i="1"/>
  <c r="O124" i="1"/>
  <c r="K124" i="1"/>
  <c r="J99" i="1"/>
  <c r="H82" i="7"/>
  <c r="H85" i="7" l="1"/>
  <c r="I85" i="7"/>
  <c r="J85" i="7"/>
  <c r="G85" i="7"/>
  <c r="K132" i="1"/>
  <c r="K69" i="8"/>
  <c r="H67" i="8"/>
  <c r="I67" i="8" s="1"/>
  <c r="J67" i="8" s="1"/>
  <c r="K67" i="8" s="1"/>
  <c r="L67" i="8" s="1"/>
  <c r="M67" i="8" s="1"/>
  <c r="N67" i="8" s="1"/>
  <c r="O67" i="8" s="1"/>
  <c r="I82" i="7"/>
  <c r="J82" i="7"/>
  <c r="G82" i="7"/>
  <c r="K95" i="1"/>
  <c r="L95" i="1" s="1"/>
  <c r="M95" i="1" s="1"/>
  <c r="N95" i="1" s="1"/>
  <c r="O95" i="1" s="1"/>
  <c r="K94" i="1"/>
  <c r="L94" i="1" s="1"/>
  <c r="M94" i="1" s="1"/>
  <c r="N94" i="1" s="1"/>
  <c r="O94" i="1" s="1"/>
  <c r="K92" i="1"/>
  <c r="L92" i="1" s="1"/>
  <c r="M92" i="1" s="1"/>
  <c r="N92" i="1" s="1"/>
  <c r="O92" i="1" s="1"/>
  <c r="K90" i="1"/>
  <c r="L90" i="1" s="1"/>
  <c r="M90" i="1" s="1"/>
  <c r="N90" i="1" s="1"/>
  <c r="O90" i="1" s="1"/>
  <c r="K57" i="8"/>
  <c r="K59" i="8" s="1"/>
  <c r="K125" i="1" s="1"/>
  <c r="H51" i="8"/>
  <c r="H52" i="8" s="1"/>
  <c r="I51" i="8"/>
  <c r="I52" i="8" s="1"/>
  <c r="J51" i="8"/>
  <c r="J52" i="8" s="1"/>
  <c r="G51" i="8"/>
  <c r="G52" i="8" s="1"/>
  <c r="K83" i="1"/>
  <c r="L83" i="1" s="1"/>
  <c r="M83" i="1" s="1"/>
  <c r="N83" i="1" s="1"/>
  <c r="O83" i="1" s="1"/>
  <c r="K82" i="1"/>
  <c r="L82" i="1" s="1"/>
  <c r="M82" i="1" s="1"/>
  <c r="N82" i="1" s="1"/>
  <c r="O82" i="1" s="1"/>
  <c r="K75" i="1"/>
  <c r="L75" i="1" s="1"/>
  <c r="M75" i="1" s="1"/>
  <c r="N75" i="1" s="1"/>
  <c r="O75" i="1" s="1"/>
  <c r="K69" i="1"/>
  <c r="L69" i="1" s="1"/>
  <c r="M69" i="1" s="1"/>
  <c r="N69" i="1" s="1"/>
  <c r="O69" i="1" s="1"/>
  <c r="K68" i="1"/>
  <c r="L68" i="1" s="1"/>
  <c r="M68" i="1" s="1"/>
  <c r="N68" i="1" s="1"/>
  <c r="O68" i="1" s="1"/>
  <c r="K65" i="1"/>
  <c r="L65" i="1" s="1"/>
  <c r="M65" i="1" s="1"/>
  <c r="N65" i="1" s="1"/>
  <c r="O65" i="1" s="1"/>
  <c r="H55" i="8"/>
  <c r="I55" i="8" s="1"/>
  <c r="J55" i="8" s="1"/>
  <c r="K55" i="8" s="1"/>
  <c r="L55" i="8" s="1"/>
  <c r="M55" i="8" s="1"/>
  <c r="N55" i="8" s="1"/>
  <c r="O55" i="8" s="1"/>
  <c r="H39" i="8"/>
  <c r="H43" i="8" s="1"/>
  <c r="G36" i="15" s="1"/>
  <c r="I39" i="8"/>
  <c r="I43" i="8" s="1"/>
  <c r="H36" i="15" s="1"/>
  <c r="J39" i="8"/>
  <c r="J43" i="8" s="1"/>
  <c r="H48" i="8"/>
  <c r="H49" i="8" s="1"/>
  <c r="I48" i="8"/>
  <c r="I49" i="8" s="1"/>
  <c r="J48" i="8"/>
  <c r="J49" i="8" s="1"/>
  <c r="G48" i="8"/>
  <c r="G49" i="8" s="1"/>
  <c r="G39" i="8"/>
  <c r="G43" i="8" s="1"/>
  <c r="F36" i="15" s="1"/>
  <c r="H36" i="8"/>
  <c r="H41" i="8" s="1"/>
  <c r="G35" i="15" s="1"/>
  <c r="I36" i="8"/>
  <c r="I41" i="8" s="1"/>
  <c r="H35" i="15" s="1"/>
  <c r="J36" i="8"/>
  <c r="J41" i="8" s="1"/>
  <c r="H37" i="8"/>
  <c r="H42" i="8" s="1"/>
  <c r="G34" i="15" s="1"/>
  <c r="I37" i="8"/>
  <c r="I42" i="8" s="1"/>
  <c r="H34" i="15" s="1"/>
  <c r="J37" i="8"/>
  <c r="J42" i="8" s="1"/>
  <c r="H45" i="8"/>
  <c r="H46" i="8" s="1"/>
  <c r="I45" i="8"/>
  <c r="I46" i="8" s="1"/>
  <c r="J45" i="8"/>
  <c r="J46" i="8" s="1"/>
  <c r="G45" i="8"/>
  <c r="G46" i="8" s="1"/>
  <c r="G37" i="8"/>
  <c r="G42" i="8" s="1"/>
  <c r="F34" i="15" s="1"/>
  <c r="G36" i="8"/>
  <c r="G41" i="8" s="1"/>
  <c r="F35" i="15" s="1"/>
  <c r="K58" i="1"/>
  <c r="L58" i="1" s="1"/>
  <c r="M58" i="1" s="1"/>
  <c r="N58" i="1" s="1"/>
  <c r="O58" i="1" s="1"/>
  <c r="K57" i="1"/>
  <c r="L57" i="1" s="1"/>
  <c r="M57" i="1" s="1"/>
  <c r="N57" i="1" s="1"/>
  <c r="O57" i="1" s="1"/>
  <c r="K56" i="1"/>
  <c r="L56" i="1" s="1"/>
  <c r="M56" i="1" s="1"/>
  <c r="N56" i="1" s="1"/>
  <c r="O56" i="1" s="1"/>
  <c r="K54" i="1"/>
  <c r="L54" i="1" s="1"/>
  <c r="M54" i="1" s="1"/>
  <c r="N54" i="1" s="1"/>
  <c r="O54" i="1" s="1"/>
  <c r="K53" i="1"/>
  <c r="L53" i="1" s="1"/>
  <c r="M53" i="1" s="1"/>
  <c r="N53" i="1" s="1"/>
  <c r="O53" i="1" s="1"/>
  <c r="H34" i="8"/>
  <c r="I34" i="8" s="1"/>
  <c r="J34" i="8" s="1"/>
  <c r="K34" i="8" s="1"/>
  <c r="L34" i="8" s="1"/>
  <c r="M34" i="8" s="1"/>
  <c r="N34" i="8" s="1"/>
  <c r="O34" i="8" s="1"/>
  <c r="H28" i="8"/>
  <c r="I28" i="8"/>
  <c r="J28" i="8"/>
  <c r="K25" i="8" s="1"/>
  <c r="G28" i="8"/>
  <c r="H22" i="8"/>
  <c r="I22" i="8"/>
  <c r="J22" i="8"/>
  <c r="G22" i="8"/>
  <c r="K13" i="8"/>
  <c r="H19" i="8"/>
  <c r="I19" i="8"/>
  <c r="J19" i="8"/>
  <c r="G19" i="8"/>
  <c r="H37" i="15" l="1"/>
  <c r="G37" i="15"/>
  <c r="K43" i="8"/>
  <c r="J36" i="15" s="1"/>
  <c r="I36" i="15"/>
  <c r="K41" i="8"/>
  <c r="J35" i="15" s="1"/>
  <c r="I35" i="15"/>
  <c r="K42" i="8"/>
  <c r="I34" i="15"/>
  <c r="F37" i="15"/>
  <c r="K120" i="1"/>
  <c r="K46" i="8"/>
  <c r="L46" i="8" s="1"/>
  <c r="M46" i="8" s="1"/>
  <c r="N46" i="8" s="1"/>
  <c r="K49" i="8"/>
  <c r="K60" i="8"/>
  <c r="K81" i="1" s="1"/>
  <c r="G112" i="10" s="1"/>
  <c r="L43" i="8" l="1"/>
  <c r="M43" i="8" s="1"/>
  <c r="L41" i="8"/>
  <c r="M41" i="8" s="1"/>
  <c r="L42" i="8"/>
  <c r="J34" i="15"/>
  <c r="J37" i="15" s="1"/>
  <c r="I37" i="15"/>
  <c r="O46" i="8"/>
  <c r="L49" i="8"/>
  <c r="L57" i="8"/>
  <c r="K63" i="8"/>
  <c r="K26" i="1" s="1"/>
  <c r="K35" i="15" l="1"/>
  <c r="K36" i="15"/>
  <c r="K109" i="1"/>
  <c r="K126" i="1"/>
  <c r="L59" i="8"/>
  <c r="L125" i="1" s="1"/>
  <c r="N41" i="8"/>
  <c r="L35" i="15"/>
  <c r="N43" i="8"/>
  <c r="L36" i="15"/>
  <c r="M42" i="8"/>
  <c r="K34" i="15"/>
  <c r="M49" i="8"/>
  <c r="N49" i="8" s="1"/>
  <c r="K37" i="15" l="1"/>
  <c r="N42" i="8"/>
  <c r="L34" i="15"/>
  <c r="L37" i="15" s="1"/>
  <c r="O43" i="8"/>
  <c r="N36" i="15" s="1"/>
  <c r="M36" i="15"/>
  <c r="O41" i="8"/>
  <c r="N35" i="15" s="1"/>
  <c r="M35" i="15"/>
  <c r="O49" i="8"/>
  <c r="L60" i="8"/>
  <c r="L81" i="1" l="1"/>
  <c r="L63" i="8"/>
  <c r="L26" i="1" s="1"/>
  <c r="O42" i="8"/>
  <c r="N34" i="15" s="1"/>
  <c r="N37" i="15" s="1"/>
  <c r="M34" i="15"/>
  <c r="M37" i="15" s="1"/>
  <c r="M57" i="8"/>
  <c r="L109" i="1" l="1"/>
  <c r="L126" i="1"/>
  <c r="M59" i="8"/>
  <c r="M125" i="1" s="1"/>
  <c r="M60" i="8" l="1"/>
  <c r="M63" i="8" s="1"/>
  <c r="M26" i="1" s="1"/>
  <c r="N57" i="8" l="1"/>
  <c r="N59" i="8" s="1"/>
  <c r="M81" i="1"/>
  <c r="M126" i="1"/>
  <c r="M109" i="1"/>
  <c r="N125" i="1" l="1"/>
  <c r="N60" i="8"/>
  <c r="H8" i="8"/>
  <c r="I8" i="8" s="1"/>
  <c r="J8" i="8" s="1"/>
  <c r="K8" i="8" s="1"/>
  <c r="L8" i="8" s="1"/>
  <c r="M8" i="8" s="1"/>
  <c r="N8" i="8" s="1"/>
  <c r="O8" i="8" s="1"/>
  <c r="C4" i="8"/>
  <c r="C2" i="8"/>
  <c r="E8" i="5"/>
  <c r="E10" i="5"/>
  <c r="H103" i="1"/>
  <c r="I103" i="1" s="1"/>
  <c r="J103" i="1" s="1"/>
  <c r="K103" i="1" s="1"/>
  <c r="L103" i="1" s="1"/>
  <c r="M103" i="1" s="1"/>
  <c r="N103" i="1" s="1"/>
  <c r="O103" i="1" s="1"/>
  <c r="K45" i="1"/>
  <c r="K44" i="1"/>
  <c r="K35" i="1"/>
  <c r="H75" i="7"/>
  <c r="H76" i="7" s="1"/>
  <c r="I75" i="7"/>
  <c r="J75" i="7"/>
  <c r="G75" i="7"/>
  <c r="K75" i="7"/>
  <c r="K33" i="1"/>
  <c r="K57" i="7"/>
  <c r="K63" i="7"/>
  <c r="K64" i="7" s="1"/>
  <c r="K69" i="7"/>
  <c r="K29" i="1" s="1"/>
  <c r="K51" i="7"/>
  <c r="K24" i="1" s="1"/>
  <c r="K45" i="7"/>
  <c r="K23" i="1" s="1"/>
  <c r="K39" i="7"/>
  <c r="K22" i="1" s="1"/>
  <c r="G45" i="7"/>
  <c r="H45" i="7"/>
  <c r="I45" i="7"/>
  <c r="J45" i="7"/>
  <c r="G51" i="7"/>
  <c r="H51" i="7"/>
  <c r="H52" i="7" s="1"/>
  <c r="I51" i="7"/>
  <c r="J51" i="7"/>
  <c r="J52" i="7" s="1"/>
  <c r="G57" i="7"/>
  <c r="H57" i="7"/>
  <c r="I57" i="7"/>
  <c r="J57" i="7"/>
  <c r="G63" i="7"/>
  <c r="H63" i="7"/>
  <c r="I63" i="7"/>
  <c r="J63" i="7"/>
  <c r="G69" i="7"/>
  <c r="H69" i="7"/>
  <c r="I69" i="7"/>
  <c r="J69" i="7"/>
  <c r="J70" i="7" s="1"/>
  <c r="H39" i="7"/>
  <c r="I39" i="7"/>
  <c r="J39" i="7"/>
  <c r="G39" i="7"/>
  <c r="K30" i="7"/>
  <c r="K18" i="1" s="1"/>
  <c r="H30" i="7"/>
  <c r="I30" i="7"/>
  <c r="J30" i="7"/>
  <c r="G30" i="7"/>
  <c r="K24" i="7"/>
  <c r="K17" i="1" s="1"/>
  <c r="H24" i="7"/>
  <c r="I24" i="7"/>
  <c r="J24" i="7"/>
  <c r="G24" i="7"/>
  <c r="E12" i="7"/>
  <c r="N25" i="7" s="1"/>
  <c r="K18" i="7"/>
  <c r="K16" i="1" s="1"/>
  <c r="H18" i="7"/>
  <c r="I18" i="7"/>
  <c r="J18" i="7"/>
  <c r="G18" i="7"/>
  <c r="Q19" i="1"/>
  <c r="Q30" i="1"/>
  <c r="Q32" i="1"/>
  <c r="Q34" i="1"/>
  <c r="Q37" i="1" s="1"/>
  <c r="H15" i="7"/>
  <c r="I15" i="7" s="1"/>
  <c r="J15" i="7" s="1"/>
  <c r="K15" i="7" s="1"/>
  <c r="L15" i="7" s="1"/>
  <c r="M15" i="7" s="1"/>
  <c r="N15" i="7" s="1"/>
  <c r="O15" i="7" s="1"/>
  <c r="H6" i="7"/>
  <c r="I6" i="7" s="1"/>
  <c r="J6" i="7" s="1"/>
  <c r="K6" i="7" s="1"/>
  <c r="L6" i="7" s="1"/>
  <c r="M6" i="7" s="1"/>
  <c r="N6" i="7" s="1"/>
  <c r="O6" i="7" s="1"/>
  <c r="C4" i="7"/>
  <c r="C2" i="7"/>
  <c r="I99" i="1"/>
  <c r="H48" i="1"/>
  <c r="I48" i="1" s="1"/>
  <c r="J48" i="1" s="1"/>
  <c r="K48" i="1" s="1"/>
  <c r="L48" i="1" s="1"/>
  <c r="M48" i="1" s="1"/>
  <c r="N48" i="1" s="1"/>
  <c r="O48" i="1" s="1"/>
  <c r="H14" i="1"/>
  <c r="I14" i="1" s="1"/>
  <c r="J14" i="1" s="1"/>
  <c r="K14" i="1" s="1"/>
  <c r="L14" i="1" s="1"/>
  <c r="M14" i="1" s="1"/>
  <c r="N14" i="1" s="1"/>
  <c r="O14" i="1" s="1"/>
  <c r="H6" i="1"/>
  <c r="I6" i="1" s="1"/>
  <c r="J6" i="1" s="1"/>
  <c r="K6" i="1" s="1"/>
  <c r="L6" i="1" s="1"/>
  <c r="M6" i="1" s="1"/>
  <c r="N6" i="1" s="1"/>
  <c r="O6" i="1" s="1"/>
  <c r="J52" i="16" l="1"/>
  <c r="J35" i="16"/>
  <c r="J41" i="16"/>
  <c r="J9" i="16"/>
  <c r="J34" i="16"/>
  <c r="J33" i="16"/>
  <c r="J8" i="16"/>
  <c r="J15" i="16"/>
  <c r="J40" i="16"/>
  <c r="L33" i="1"/>
  <c r="M33" i="1" s="1"/>
  <c r="N33" i="1" s="1"/>
  <c r="O33" i="1" s="1"/>
  <c r="J39" i="16"/>
  <c r="J46" i="16"/>
  <c r="H70" i="7"/>
  <c r="K76" i="7"/>
  <c r="I70" i="7"/>
  <c r="H64" i="7"/>
  <c r="I76" i="7"/>
  <c r="O57" i="8"/>
  <c r="N81" i="1"/>
  <c r="N63" i="8"/>
  <c r="N26" i="1" s="1"/>
  <c r="K28" i="1"/>
  <c r="J64" i="7"/>
  <c r="J58" i="7"/>
  <c r="K70" i="7"/>
  <c r="O76" i="7"/>
  <c r="L70" i="7"/>
  <c r="L69" i="7" s="1"/>
  <c r="L29" i="1" s="1"/>
  <c r="K46" i="16" s="1"/>
  <c r="N70" i="7"/>
  <c r="M70" i="7"/>
  <c r="I64" i="7"/>
  <c r="I52" i="7"/>
  <c r="L64" i="7"/>
  <c r="L63" i="7" s="1"/>
  <c r="L28" i="1" s="1"/>
  <c r="M64" i="7"/>
  <c r="L76" i="7"/>
  <c r="L75" i="7" s="1"/>
  <c r="L35" i="1" s="1"/>
  <c r="K52" i="16" s="1"/>
  <c r="N64" i="7"/>
  <c r="M76" i="7"/>
  <c r="O64" i="7"/>
  <c r="N76" i="7"/>
  <c r="J76" i="7"/>
  <c r="O70" i="7"/>
  <c r="L45" i="1"/>
  <c r="M45" i="1" s="1"/>
  <c r="N45" i="1" s="1"/>
  <c r="O45" i="1" s="1"/>
  <c r="L44" i="1"/>
  <c r="M44" i="1" s="1"/>
  <c r="N44" i="1" s="1"/>
  <c r="O44" i="1" s="1"/>
  <c r="K52" i="7"/>
  <c r="K31" i="7"/>
  <c r="H40" i="7"/>
  <c r="I58" i="7"/>
  <c r="I31" i="7"/>
  <c r="J40" i="7"/>
  <c r="H46" i="7"/>
  <c r="L52" i="7"/>
  <c r="L51" i="7" s="1"/>
  <c r="L24" i="1" s="1"/>
  <c r="K41" i="16" s="1"/>
  <c r="K58" i="7"/>
  <c r="K40" i="7"/>
  <c r="L58" i="7"/>
  <c r="L57" i="7" s="1"/>
  <c r="I19" i="7"/>
  <c r="H58" i="7"/>
  <c r="J46" i="7"/>
  <c r="I46" i="7"/>
  <c r="N52" i="7"/>
  <c r="N58" i="7"/>
  <c r="H25" i="7"/>
  <c r="K46" i="7"/>
  <c r="M52" i="7"/>
  <c r="M58" i="7"/>
  <c r="O52" i="7"/>
  <c r="O58" i="7"/>
  <c r="I40" i="7"/>
  <c r="L40" i="7"/>
  <c r="L39" i="7" s="1"/>
  <c r="L22" i="1" s="1"/>
  <c r="K39" i="16" s="1"/>
  <c r="J19" i="7"/>
  <c r="N40" i="7"/>
  <c r="I25" i="7"/>
  <c r="O40" i="7"/>
  <c r="M40" i="7"/>
  <c r="L46" i="7"/>
  <c r="L45" i="7" s="1"/>
  <c r="L23" i="1" s="1"/>
  <c r="K40" i="16" s="1"/>
  <c r="M46" i="7"/>
  <c r="N46" i="7"/>
  <c r="O46" i="7"/>
  <c r="H31" i="7"/>
  <c r="J25" i="7"/>
  <c r="L31" i="7"/>
  <c r="L30" i="7" s="1"/>
  <c r="L18" i="1" s="1"/>
  <c r="K35" i="16" s="1"/>
  <c r="M31" i="7"/>
  <c r="N31" i="7"/>
  <c r="G36" i="7"/>
  <c r="H36" i="7"/>
  <c r="J31" i="7"/>
  <c r="K19" i="1"/>
  <c r="J21" i="16" s="1"/>
  <c r="K25" i="7"/>
  <c r="K36" i="7"/>
  <c r="O31" i="7"/>
  <c r="J36" i="7"/>
  <c r="I36" i="7"/>
  <c r="O25" i="7"/>
  <c r="L19" i="7"/>
  <c r="L18" i="7" s="1"/>
  <c r="L16" i="1" s="1"/>
  <c r="K33" i="16" s="1"/>
  <c r="O19" i="7"/>
  <c r="N19" i="7"/>
  <c r="M19" i="7"/>
  <c r="L25" i="7"/>
  <c r="L24" i="7" s="1"/>
  <c r="L17" i="1" s="1"/>
  <c r="K34" i="16" s="1"/>
  <c r="M25" i="7"/>
  <c r="H19" i="7"/>
  <c r="K19" i="7"/>
  <c r="C4" i="1"/>
  <c r="C2" i="1"/>
  <c r="D67" i="3"/>
  <c r="C67" i="3"/>
  <c r="B67" i="3"/>
  <c r="D56" i="3"/>
  <c r="C56" i="3"/>
  <c r="B56" i="3"/>
  <c r="E67" i="3"/>
  <c r="E56" i="3"/>
  <c r="E69" i="3" s="1"/>
  <c r="E71" i="3" s="1"/>
  <c r="E74" i="3" s="1"/>
  <c r="D44" i="3"/>
  <c r="E49" i="3"/>
  <c r="E50" i="3" s="1"/>
  <c r="D49" i="3"/>
  <c r="D50" i="3" s="1"/>
  <c r="C49" i="3"/>
  <c r="B49" i="3"/>
  <c r="E38" i="3"/>
  <c r="D38" i="3"/>
  <c r="E30" i="3"/>
  <c r="D30" i="3"/>
  <c r="E24" i="3"/>
  <c r="D24" i="3"/>
  <c r="E13" i="3"/>
  <c r="E25" i="3" s="1"/>
  <c r="C13" i="3"/>
  <c r="D13" i="3"/>
  <c r="C38" i="3"/>
  <c r="B38" i="3"/>
  <c r="C30" i="3"/>
  <c r="B30" i="3"/>
  <c r="C24" i="3"/>
  <c r="B24" i="3"/>
  <c r="B13" i="3"/>
  <c r="B25" i="3" s="1"/>
  <c r="J16" i="16" l="1"/>
  <c r="J36" i="16"/>
  <c r="J18" i="16"/>
  <c r="J28" i="16"/>
  <c r="J11" i="16"/>
  <c r="J10" i="16"/>
  <c r="J20" i="16"/>
  <c r="J45" i="16"/>
  <c r="J14" i="16"/>
  <c r="J25" i="16"/>
  <c r="K45" i="16"/>
  <c r="J27" i="16"/>
  <c r="N126" i="1"/>
  <c r="N109" i="1"/>
  <c r="O59" i="8"/>
  <c r="O125" i="1" s="1"/>
  <c r="K84" i="7"/>
  <c r="K51" i="8"/>
  <c r="K84" i="1" s="1"/>
  <c r="K116" i="1" s="1"/>
  <c r="K45" i="8"/>
  <c r="K70" i="1" s="1"/>
  <c r="K114" i="1" s="1"/>
  <c r="K48" i="8"/>
  <c r="K93" i="1" s="1"/>
  <c r="K115" i="1" s="1"/>
  <c r="K18" i="8"/>
  <c r="G25" i="10" s="1"/>
  <c r="K36" i="8"/>
  <c r="K63" i="1" s="1"/>
  <c r="M69" i="7"/>
  <c r="M29" i="1" s="1"/>
  <c r="L46" i="16" s="1"/>
  <c r="M75" i="7"/>
  <c r="N75" i="7" s="1"/>
  <c r="O75" i="7" s="1"/>
  <c r="O35" i="1" s="1"/>
  <c r="M63" i="7"/>
  <c r="N63" i="7" s="1"/>
  <c r="M51" i="7"/>
  <c r="M57" i="7"/>
  <c r="M39" i="7"/>
  <c r="M45" i="7"/>
  <c r="M30" i="7"/>
  <c r="N30" i="7" s="1"/>
  <c r="L19" i="1"/>
  <c r="L36" i="7"/>
  <c r="M18" i="7"/>
  <c r="M16" i="1" s="1"/>
  <c r="L33" i="16" s="1"/>
  <c r="M24" i="7"/>
  <c r="B69" i="3"/>
  <c r="B71" i="3" s="1"/>
  <c r="B74" i="3" s="1"/>
  <c r="C69" i="3"/>
  <c r="C71" i="3" s="1"/>
  <c r="C74" i="3" s="1"/>
  <c r="D69" i="3"/>
  <c r="D71" i="3" s="1"/>
  <c r="D74" i="3" s="1"/>
  <c r="D25" i="3"/>
  <c r="B50" i="3"/>
  <c r="G99" i="1" s="1"/>
  <c r="C50" i="3"/>
  <c r="H99" i="1" s="1"/>
  <c r="C25" i="3"/>
  <c r="K20" i="16" l="1"/>
  <c r="K36" i="16"/>
  <c r="K16" i="16"/>
  <c r="K14" i="16"/>
  <c r="K8" i="16"/>
  <c r="K21" i="16"/>
  <c r="K10" i="16"/>
  <c r="K18" i="16"/>
  <c r="K28" i="16"/>
  <c r="K11" i="16"/>
  <c r="K25" i="16"/>
  <c r="K27" i="16"/>
  <c r="K9" i="16"/>
  <c r="K15" i="16"/>
  <c r="O60" i="8"/>
  <c r="O81" i="1" s="1"/>
  <c r="G24" i="10"/>
  <c r="K108" i="1"/>
  <c r="K72" i="8"/>
  <c r="K25" i="1"/>
  <c r="K111" i="1"/>
  <c r="L48" i="8"/>
  <c r="L93" i="1" s="1"/>
  <c r="L115" i="1" s="1"/>
  <c r="L51" i="8"/>
  <c r="L84" i="1" s="1"/>
  <c r="L116" i="1" s="1"/>
  <c r="L36" i="8"/>
  <c r="L63" i="1" s="1"/>
  <c r="L45" i="8"/>
  <c r="L70" i="1" s="1"/>
  <c r="K26" i="8"/>
  <c r="K121" i="1" s="1"/>
  <c r="K12" i="8"/>
  <c r="K30" i="8"/>
  <c r="K27" i="8" s="1"/>
  <c r="K21" i="8"/>
  <c r="L84" i="7"/>
  <c r="K85" i="1"/>
  <c r="N69" i="7"/>
  <c r="N29" i="1" s="1"/>
  <c r="M46" i="16" s="1"/>
  <c r="L18" i="8"/>
  <c r="N35" i="1"/>
  <c r="M28" i="1"/>
  <c r="L45" i="16" s="1"/>
  <c r="M35" i="1"/>
  <c r="L52" i="16" s="1"/>
  <c r="O63" i="7"/>
  <c r="O28" i="1" s="1"/>
  <c r="N28" i="1"/>
  <c r="N39" i="7"/>
  <c r="M22" i="1"/>
  <c r="L39" i="16" s="1"/>
  <c r="N57" i="7"/>
  <c r="N45" i="7"/>
  <c r="M23" i="1"/>
  <c r="L40" i="16" s="1"/>
  <c r="N51" i="7"/>
  <c r="M24" i="1"/>
  <c r="L41" i="16" s="1"/>
  <c r="M18" i="1"/>
  <c r="L35" i="16" s="1"/>
  <c r="N24" i="7"/>
  <c r="M17" i="1"/>
  <c r="L34" i="16" s="1"/>
  <c r="O30" i="7"/>
  <c r="O18" i="1" s="1"/>
  <c r="N18" i="1"/>
  <c r="N18" i="7"/>
  <c r="N16" i="1" s="1"/>
  <c r="M33" i="16" s="1"/>
  <c r="M36" i="7"/>
  <c r="J17" i="16" l="1"/>
  <c r="J42" i="16"/>
  <c r="M52" i="16"/>
  <c r="M35" i="16"/>
  <c r="M45" i="16"/>
  <c r="N35" i="16"/>
  <c r="N45" i="16"/>
  <c r="N52" i="16"/>
  <c r="O63" i="8"/>
  <c r="O26" i="1" s="1"/>
  <c r="O126" i="1" s="1"/>
  <c r="K119" i="1"/>
  <c r="K122" i="1" s="1"/>
  <c r="K14" i="8"/>
  <c r="L11" i="8" s="1"/>
  <c r="L13" i="8" s="1"/>
  <c r="L120" i="1" s="1"/>
  <c r="L26" i="8"/>
  <c r="L121" i="1" s="1"/>
  <c r="H25" i="10"/>
  <c r="G101" i="10" s="1"/>
  <c r="L108" i="1"/>
  <c r="H24" i="10"/>
  <c r="G100" i="10" s="1"/>
  <c r="L114" i="1"/>
  <c r="L111" i="1"/>
  <c r="L25" i="1"/>
  <c r="L72" i="8"/>
  <c r="K27" i="1"/>
  <c r="K15" i="8"/>
  <c r="K28" i="8"/>
  <c r="K59" i="1" s="1"/>
  <c r="O69" i="7"/>
  <c r="O29" i="1" s="1"/>
  <c r="N46" i="16" s="1"/>
  <c r="L85" i="1"/>
  <c r="L21" i="8"/>
  <c r="L30" i="8"/>
  <c r="L27" i="8" s="1"/>
  <c r="L12" i="8"/>
  <c r="O51" i="7"/>
  <c r="O24" i="1" s="1"/>
  <c r="N24" i="1"/>
  <c r="M41" i="16" s="1"/>
  <c r="O45" i="7"/>
  <c r="O23" i="1" s="1"/>
  <c r="N23" i="1"/>
  <c r="M40" i="16" s="1"/>
  <c r="O57" i="7"/>
  <c r="O39" i="7"/>
  <c r="O22" i="1" s="1"/>
  <c r="N22" i="1"/>
  <c r="M39" i="16" s="1"/>
  <c r="M19" i="1"/>
  <c r="O24" i="7"/>
  <c r="O17" i="1" s="1"/>
  <c r="N17" i="1"/>
  <c r="M34" i="16" s="1"/>
  <c r="O18" i="7"/>
  <c r="N36" i="7"/>
  <c r="J44" i="16" l="1"/>
  <c r="J19" i="16"/>
  <c r="N34" i="16"/>
  <c r="L20" i="16"/>
  <c r="L36" i="16"/>
  <c r="N39" i="16"/>
  <c r="N40" i="16"/>
  <c r="K17" i="16"/>
  <c r="K42" i="16"/>
  <c r="N41" i="16"/>
  <c r="L15" i="16"/>
  <c r="L10" i="16"/>
  <c r="N19" i="1"/>
  <c r="L11" i="16"/>
  <c r="L25" i="16"/>
  <c r="L18" i="16"/>
  <c r="L28" i="16"/>
  <c r="L21" i="16"/>
  <c r="L8" i="16"/>
  <c r="L27" i="16"/>
  <c r="L9" i="16"/>
  <c r="L16" i="16"/>
  <c r="L14" i="16"/>
  <c r="O109" i="1"/>
  <c r="G23" i="10"/>
  <c r="K107" i="1"/>
  <c r="K16" i="8"/>
  <c r="K52" i="1" s="1"/>
  <c r="J30" i="15" s="1"/>
  <c r="L14" i="8"/>
  <c r="M11" i="8" s="1"/>
  <c r="L119" i="1"/>
  <c r="M48" i="8"/>
  <c r="M93" i="1" s="1"/>
  <c r="M115" i="1" s="1"/>
  <c r="M51" i="8"/>
  <c r="M84" i="1" s="1"/>
  <c r="M116" i="1" s="1"/>
  <c r="M36" i="8"/>
  <c r="M63" i="1" s="1"/>
  <c r="M45" i="8"/>
  <c r="M70" i="1" s="1"/>
  <c r="L15" i="8"/>
  <c r="M84" i="7"/>
  <c r="L25" i="8"/>
  <c r="L27" i="1"/>
  <c r="M18" i="8"/>
  <c r="O36" i="7"/>
  <c r="O16" i="1"/>
  <c r="N33" i="16" s="1"/>
  <c r="N45" i="8" l="1"/>
  <c r="N70" i="1" s="1"/>
  <c r="N114" i="1" s="1"/>
  <c r="M36" i="16"/>
  <c r="N36" i="8"/>
  <c r="N63" i="1" s="1"/>
  <c r="N111" i="1" s="1"/>
  <c r="N51" i="8"/>
  <c r="N84" i="1" s="1"/>
  <c r="N116" i="1" s="1"/>
  <c r="K19" i="16"/>
  <c r="K44" i="16"/>
  <c r="M9" i="16"/>
  <c r="N18" i="8"/>
  <c r="N21" i="8" s="1"/>
  <c r="M14" i="16"/>
  <c r="O19" i="1"/>
  <c r="M18" i="16"/>
  <c r="M28" i="16"/>
  <c r="M11" i="16"/>
  <c r="M25" i="16"/>
  <c r="M10" i="16"/>
  <c r="M27" i="16"/>
  <c r="M20" i="16"/>
  <c r="M21" i="16"/>
  <c r="M8" i="16"/>
  <c r="N48" i="8"/>
  <c r="N93" i="1" s="1"/>
  <c r="N115" i="1" s="1"/>
  <c r="M15" i="16"/>
  <c r="M16" i="16"/>
  <c r="N84" i="7"/>
  <c r="N25" i="1" s="1"/>
  <c r="K60" i="1"/>
  <c r="M26" i="8"/>
  <c r="M121" i="1" s="1"/>
  <c r="I25" i="10"/>
  <c r="H101" i="10" s="1"/>
  <c r="L107" i="1"/>
  <c r="H23" i="10"/>
  <c r="G99" i="10" s="1"/>
  <c r="M108" i="1"/>
  <c r="I24" i="10"/>
  <c r="H100" i="10" s="1"/>
  <c r="L16" i="8"/>
  <c r="L52" i="1" s="1"/>
  <c r="M114" i="1"/>
  <c r="M111" i="1"/>
  <c r="M13" i="8"/>
  <c r="M120" i="1" s="1"/>
  <c r="M25" i="1"/>
  <c r="M72" i="8"/>
  <c r="L28" i="8"/>
  <c r="L122" i="1"/>
  <c r="M85" i="1"/>
  <c r="L30" i="1"/>
  <c r="M30" i="8"/>
  <c r="M27" i="8" s="1"/>
  <c r="M12" i="8"/>
  <c r="M119" i="1" s="1"/>
  <c r="M21" i="8"/>
  <c r="M15" i="8" s="1"/>
  <c r="N85" i="1" l="1"/>
  <c r="K22" i="16"/>
  <c r="M17" i="16"/>
  <c r="M42" i="16"/>
  <c r="N8" i="16"/>
  <c r="N36" i="16"/>
  <c r="L17" i="16"/>
  <c r="L42" i="16"/>
  <c r="N30" i="8"/>
  <c r="N27" i="8" s="1"/>
  <c r="J25" i="10"/>
  <c r="I101" i="10" s="1"/>
  <c r="N12" i="8"/>
  <c r="N119" i="1" s="1"/>
  <c r="N26" i="8"/>
  <c r="N121" i="1" s="1"/>
  <c r="J24" i="10"/>
  <c r="I100" i="10" s="1"/>
  <c r="N108" i="1"/>
  <c r="O45" i="8"/>
  <c r="O70" i="1" s="1"/>
  <c r="O114" i="1" s="1"/>
  <c r="O36" i="8"/>
  <c r="O63" i="1" s="1"/>
  <c r="O111" i="1" s="1"/>
  <c r="O51" i="8"/>
  <c r="O84" i="1" s="1"/>
  <c r="O116" i="1" s="1"/>
  <c r="O48" i="8"/>
  <c r="O93" i="1" s="1"/>
  <c r="O115" i="1" s="1"/>
  <c r="O84" i="7"/>
  <c r="O25" i="1" s="1"/>
  <c r="O18" i="8"/>
  <c r="O30" i="8" s="1"/>
  <c r="O27" i="8" s="1"/>
  <c r="N72" i="8"/>
  <c r="N18" i="16"/>
  <c r="N25" i="16"/>
  <c r="N11" i="16"/>
  <c r="N28" i="16"/>
  <c r="N27" i="16"/>
  <c r="N20" i="16"/>
  <c r="N10" i="16"/>
  <c r="N16" i="16"/>
  <c r="N14" i="16"/>
  <c r="N9" i="16"/>
  <c r="N15" i="16"/>
  <c r="N21" i="16"/>
  <c r="K32" i="15"/>
  <c r="I31" i="13"/>
  <c r="T31" i="13" s="1"/>
  <c r="F11" i="14" s="1"/>
  <c r="K30" i="15"/>
  <c r="L39" i="8"/>
  <c r="L91" i="1" s="1"/>
  <c r="K33" i="15" s="1"/>
  <c r="L37" i="8"/>
  <c r="L66" i="1" s="1"/>
  <c r="K31" i="15" s="1"/>
  <c r="M25" i="8"/>
  <c r="M28" i="8" s="1"/>
  <c r="M59" i="1" s="1"/>
  <c r="L59" i="1"/>
  <c r="L60" i="1" s="1"/>
  <c r="M14" i="8"/>
  <c r="L32" i="1"/>
  <c r="N15" i="8"/>
  <c r="M27" i="1"/>
  <c r="L19" i="16" l="1"/>
  <c r="L44" i="16"/>
  <c r="N17" i="16"/>
  <c r="N42" i="16"/>
  <c r="K24" i="16"/>
  <c r="N27" i="1"/>
  <c r="O85" i="1"/>
  <c r="K24" i="10"/>
  <c r="J100" i="10" s="1"/>
  <c r="O12" i="8"/>
  <c r="O119" i="1" s="1"/>
  <c r="K25" i="10"/>
  <c r="J101" i="10" s="1"/>
  <c r="O21" i="8"/>
  <c r="O15" i="8" s="1"/>
  <c r="O26" i="8"/>
  <c r="O121" i="1" s="1"/>
  <c r="O108" i="1"/>
  <c r="O72" i="8"/>
  <c r="K46" i="15"/>
  <c r="K45" i="15"/>
  <c r="I32" i="13"/>
  <c r="T32" i="13" s="1"/>
  <c r="F12" i="14" s="1"/>
  <c r="K12" i="15"/>
  <c r="K9" i="15"/>
  <c r="K10" i="15"/>
  <c r="M107" i="1"/>
  <c r="I23" i="10"/>
  <c r="H99" i="10" s="1"/>
  <c r="L34" i="1"/>
  <c r="H19" i="10"/>
  <c r="M16" i="8"/>
  <c r="M52" i="1" s="1"/>
  <c r="L30" i="15" s="1"/>
  <c r="N11" i="8"/>
  <c r="N13" i="8" s="1"/>
  <c r="M122" i="1"/>
  <c r="M30" i="1"/>
  <c r="L96" i="1"/>
  <c r="N25" i="8"/>
  <c r="N28" i="8" s="1"/>
  <c r="N59" i="1" s="1"/>
  <c r="M19" i="16" l="1"/>
  <c r="M44" i="16"/>
  <c r="L22" i="16"/>
  <c r="L47" i="16"/>
  <c r="K26" i="16"/>
  <c r="J23" i="10"/>
  <c r="I99" i="10" s="1"/>
  <c r="N107" i="1"/>
  <c r="N30" i="1"/>
  <c r="N32" i="1" s="1"/>
  <c r="O27" i="1"/>
  <c r="I33" i="13"/>
  <c r="T33" i="13" s="1"/>
  <c r="F13" i="14" s="1"/>
  <c r="K11" i="15"/>
  <c r="K43" i="15"/>
  <c r="L32" i="15"/>
  <c r="L37" i="1"/>
  <c r="K13" i="15"/>
  <c r="H21" i="10"/>
  <c r="G97" i="10" s="1"/>
  <c r="G95" i="10"/>
  <c r="N14" i="8"/>
  <c r="N16" i="8" s="1"/>
  <c r="N52" i="1" s="1"/>
  <c r="M30" i="15" s="1"/>
  <c r="N120" i="1"/>
  <c r="N122" i="1" s="1"/>
  <c r="M39" i="8"/>
  <c r="M91" i="1" s="1"/>
  <c r="L33" i="15" s="1"/>
  <c r="M37" i="8"/>
  <c r="M66" i="1" s="1"/>
  <c r="L31" i="15" s="1"/>
  <c r="M60" i="1"/>
  <c r="M32" i="1"/>
  <c r="O25" i="8"/>
  <c r="O28" i="8" s="1"/>
  <c r="O59" i="1" s="1"/>
  <c r="N39" i="8" l="1"/>
  <c r="N91" i="1" s="1"/>
  <c r="M33" i="15" s="1"/>
  <c r="N37" i="8"/>
  <c r="N66" i="1" s="1"/>
  <c r="M31" i="15" s="1"/>
  <c r="M24" i="16"/>
  <c r="M49" i="16"/>
  <c r="N19" i="16"/>
  <c r="N44" i="16"/>
  <c r="M22" i="16"/>
  <c r="M47" i="16"/>
  <c r="L24" i="16"/>
  <c r="L49" i="16"/>
  <c r="M32" i="15"/>
  <c r="K23" i="10"/>
  <c r="J99" i="10" s="1"/>
  <c r="O107" i="1"/>
  <c r="O30" i="1"/>
  <c r="L40" i="1"/>
  <c r="K29" i="16"/>
  <c r="I34" i="13"/>
  <c r="T34" i="13" s="1"/>
  <c r="F14" i="14" s="1"/>
  <c r="L46" i="15"/>
  <c r="L45" i="15"/>
  <c r="M46" i="15"/>
  <c r="M45" i="15"/>
  <c r="L41" i="1"/>
  <c r="L81" i="7"/>
  <c r="L71" i="8" s="1"/>
  <c r="L70" i="8"/>
  <c r="L12" i="15"/>
  <c r="M12" i="15"/>
  <c r="L105" i="1"/>
  <c r="K14" i="15"/>
  <c r="K49" i="15" s="1"/>
  <c r="L9" i="15"/>
  <c r="L10" i="15"/>
  <c r="M9" i="15"/>
  <c r="M10" i="15"/>
  <c r="M34" i="1"/>
  <c r="I19" i="10"/>
  <c r="N34" i="1"/>
  <c r="J19" i="10"/>
  <c r="O11" i="8"/>
  <c r="O13" i="8" s="1"/>
  <c r="O120" i="1" s="1"/>
  <c r="O122" i="1" s="1"/>
  <c r="M112" i="1"/>
  <c r="M96" i="1"/>
  <c r="M113" i="1"/>
  <c r="N60" i="1"/>
  <c r="N112" i="1" l="1"/>
  <c r="N96" i="1"/>
  <c r="N113" i="1"/>
  <c r="N22" i="16"/>
  <c r="N47" i="16"/>
  <c r="M26" i="16"/>
  <c r="M51" i="16"/>
  <c r="L26" i="16"/>
  <c r="L51" i="16"/>
  <c r="O37" i="8"/>
  <c r="O66" i="1" s="1"/>
  <c r="O112" i="1" s="1"/>
  <c r="N32" i="15"/>
  <c r="O39" i="8"/>
  <c r="O91" i="1" s="1"/>
  <c r="O113" i="1" s="1"/>
  <c r="O32" i="1"/>
  <c r="N46" i="15" s="1"/>
  <c r="M11" i="15"/>
  <c r="M43" i="15"/>
  <c r="L11" i="15"/>
  <c r="L43" i="15"/>
  <c r="L127" i="1"/>
  <c r="L128" i="1" s="1"/>
  <c r="N37" i="1"/>
  <c r="M13" i="15"/>
  <c r="M37" i="1"/>
  <c r="L54" i="16" s="1"/>
  <c r="L13" i="15"/>
  <c r="J21" i="10"/>
  <c r="I97" i="10" s="1"/>
  <c r="I95" i="10"/>
  <c r="I21" i="10"/>
  <c r="H97" i="10" s="1"/>
  <c r="H95" i="10"/>
  <c r="I26" i="10"/>
  <c r="O14" i="8"/>
  <c r="O16" i="8" s="1"/>
  <c r="O52" i="1" s="1"/>
  <c r="N30" i="15" s="1"/>
  <c r="J26" i="10" l="1"/>
  <c r="J27" i="10" s="1"/>
  <c r="J32" i="10" s="1"/>
  <c r="N10" i="15"/>
  <c r="N11" i="15" s="1"/>
  <c r="N9" i="15"/>
  <c r="N12" i="15"/>
  <c r="N45" i="15"/>
  <c r="N24" i="16"/>
  <c r="N49" i="16"/>
  <c r="M54" i="16"/>
  <c r="N33" i="15"/>
  <c r="O96" i="1"/>
  <c r="O34" i="1"/>
  <c r="K26" i="10"/>
  <c r="J102" i="10" s="1"/>
  <c r="K19" i="10"/>
  <c r="J95" i="10" s="1"/>
  <c r="N31" i="15"/>
  <c r="N81" i="7"/>
  <c r="N127" i="1" s="1"/>
  <c r="N128" i="1" s="1"/>
  <c r="M29" i="16"/>
  <c r="M70" i="8"/>
  <c r="L29" i="16"/>
  <c r="N105" i="1"/>
  <c r="N117" i="1" s="1"/>
  <c r="M24" i="15" s="1"/>
  <c r="N70" i="8"/>
  <c r="M41" i="1"/>
  <c r="N40" i="1"/>
  <c r="M105" i="1"/>
  <c r="M117" i="1" s="1"/>
  <c r="L24" i="15" s="1"/>
  <c r="L14" i="15"/>
  <c r="L49" i="15" s="1"/>
  <c r="M40" i="1"/>
  <c r="M81" i="7"/>
  <c r="M71" i="8" s="1"/>
  <c r="N41" i="1"/>
  <c r="M14" i="15"/>
  <c r="M49" i="15" s="1"/>
  <c r="I27" i="10"/>
  <c r="I32" i="10" s="1"/>
  <c r="H102" i="10"/>
  <c r="H103" i="10" s="1"/>
  <c r="H108" i="10" s="1"/>
  <c r="O60" i="1"/>
  <c r="I102" i="10" l="1"/>
  <c r="I103" i="10" s="1"/>
  <c r="I108" i="10" s="1"/>
  <c r="N43" i="15"/>
  <c r="N26" i="16"/>
  <c r="N51" i="16"/>
  <c r="K21" i="10"/>
  <c r="J97" i="10" s="1"/>
  <c r="J103" i="10" s="1"/>
  <c r="J107" i="10" s="1"/>
  <c r="J108" i="10" s="1"/>
  <c r="N13" i="15"/>
  <c r="O37" i="1"/>
  <c r="N71" i="8"/>
  <c r="N130" i="1"/>
  <c r="M127" i="1"/>
  <c r="M128" i="1" s="1"/>
  <c r="M130" i="1" s="1"/>
  <c r="K30" i="1"/>
  <c r="J32" i="15" l="1"/>
  <c r="J22" i="16"/>
  <c r="J47" i="16"/>
  <c r="K47" i="16"/>
  <c r="O105" i="1"/>
  <c r="O117" i="1" s="1"/>
  <c r="N24" i="15" s="1"/>
  <c r="N54" i="16"/>
  <c r="K27" i="10"/>
  <c r="K31" i="10" s="1"/>
  <c r="K32" i="10" s="1"/>
  <c r="O81" i="7"/>
  <c r="O71" i="8" s="1"/>
  <c r="O41" i="1"/>
  <c r="N14" i="15"/>
  <c r="N49" i="15" s="1"/>
  <c r="O70" i="8"/>
  <c r="O40" i="1"/>
  <c r="N29" i="16"/>
  <c r="K37" i="8"/>
  <c r="K66" i="1" s="1"/>
  <c r="J31" i="15" s="1"/>
  <c r="K32" i="1"/>
  <c r="K39" i="8"/>
  <c r="K91" i="1" s="1"/>
  <c r="J33" i="15" s="1"/>
  <c r="J49" i="16" l="1"/>
  <c r="J24" i="16"/>
  <c r="K49" i="16"/>
  <c r="O127" i="1"/>
  <c r="O128" i="1" s="1"/>
  <c r="O130" i="1" s="1"/>
  <c r="K34" i="1"/>
  <c r="J46" i="15"/>
  <c r="J10" i="15"/>
  <c r="J9" i="15"/>
  <c r="J12" i="15"/>
  <c r="J45" i="15"/>
  <c r="G19" i="10"/>
  <c r="G21" i="10" s="1"/>
  <c r="K112" i="1"/>
  <c r="L112" i="1"/>
  <c r="K113" i="1"/>
  <c r="L113" i="1"/>
  <c r="K96" i="1"/>
  <c r="J51" i="16" l="1"/>
  <c r="J26" i="16"/>
  <c r="K51" i="16"/>
  <c r="J11" i="15"/>
  <c r="J43" i="15"/>
  <c r="K37" i="1"/>
  <c r="J13" i="15"/>
  <c r="L117" i="1"/>
  <c r="H26" i="10"/>
  <c r="G26" i="10"/>
  <c r="G27" i="10" s="1"/>
  <c r="G32" i="10" s="1"/>
  <c r="J54" i="16" l="1"/>
  <c r="J29" i="16"/>
  <c r="K54" i="16"/>
  <c r="J14" i="15"/>
  <c r="J49" i="15" s="1"/>
  <c r="K105" i="1"/>
  <c r="K117" i="1" s="1"/>
  <c r="K70" i="8"/>
  <c r="K40" i="1"/>
  <c r="K81" i="7"/>
  <c r="K41" i="1"/>
  <c r="L130" i="1"/>
  <c r="K24" i="15"/>
  <c r="H27" i="10"/>
  <c r="H32" i="10" s="1"/>
  <c r="G34" i="10" s="1"/>
  <c r="G37" i="10" s="1"/>
  <c r="G39" i="10" s="1"/>
  <c r="D45" i="10" s="1"/>
  <c r="G102" i="10"/>
  <c r="G103" i="10" s="1"/>
  <c r="G108" i="10" s="1"/>
  <c r="G110" i="10" s="1" a="1"/>
  <c r="G110" i="10" s="1"/>
  <c r="L25" i="5" l="1"/>
  <c r="L21" i="5"/>
  <c r="L26" i="5"/>
  <c r="L27" i="5" s="1"/>
  <c r="K127" i="1"/>
  <c r="K128" i="1" s="1"/>
  <c r="K71" i="8"/>
  <c r="K73" i="8" s="1"/>
  <c r="J24" i="15"/>
  <c r="K19" i="5"/>
  <c r="K20" i="5" s="1"/>
  <c r="K130" i="1" l="1"/>
  <c r="K133" i="1" s="1"/>
  <c r="K67" i="1" s="1"/>
  <c r="K76" i="1"/>
  <c r="K77" i="1" s="1"/>
  <c r="L69" i="8"/>
  <c r="L73" i="8" s="1"/>
  <c r="L76" i="1" s="1"/>
  <c r="L77" i="1" s="1"/>
  <c r="K41" i="15" s="1"/>
  <c r="M69" i="8" l="1"/>
  <c r="M73" i="8" s="1"/>
  <c r="M76" i="1" s="1"/>
  <c r="K97" i="1"/>
  <c r="J41" i="15"/>
  <c r="J15" i="15"/>
  <c r="L22" i="5"/>
  <c r="J23" i="15"/>
  <c r="G111" i="10"/>
  <c r="G113" i="10" s="1"/>
  <c r="G115" i="10" s="1"/>
  <c r="L19" i="5" s="1"/>
  <c r="L20" i="5" s="1"/>
  <c r="K71" i="1"/>
  <c r="L132" i="1"/>
  <c r="L133" i="1" s="1"/>
  <c r="L97" i="1"/>
  <c r="K15" i="15"/>
  <c r="N69" i="8" l="1"/>
  <c r="N73" i="8" s="1"/>
  <c r="O69" i="8" s="1"/>
  <c r="O73" i="8" s="1"/>
  <c r="O76" i="1" s="1"/>
  <c r="L67" i="1"/>
  <c r="M132" i="1"/>
  <c r="M133" i="1" s="1"/>
  <c r="K72" i="1"/>
  <c r="J22" i="15"/>
  <c r="J25" i="15"/>
  <c r="J21" i="15"/>
  <c r="M77" i="1"/>
  <c r="L41" i="15" s="1"/>
  <c r="J31" i="13"/>
  <c r="U31" i="13" s="1"/>
  <c r="G11" i="14" s="1"/>
  <c r="F19" i="14" s="1" a="1"/>
  <c r="N76" i="1" l="1"/>
  <c r="N77" i="1" s="1"/>
  <c r="M41" i="15" s="1"/>
  <c r="J38" i="15"/>
  <c r="J26" i="15"/>
  <c r="L23" i="5"/>
  <c r="J18" i="15"/>
  <c r="J29" i="15"/>
  <c r="J50" i="15" s="1"/>
  <c r="J42" i="15"/>
  <c r="L24" i="5"/>
  <c r="J16" i="15"/>
  <c r="K99" i="1"/>
  <c r="J17" i="15"/>
  <c r="J44" i="15"/>
  <c r="J51" i="15" s="1"/>
  <c r="M67" i="1"/>
  <c r="N132" i="1"/>
  <c r="N133" i="1" s="1"/>
  <c r="L71" i="1"/>
  <c r="K23" i="15"/>
  <c r="M97" i="1"/>
  <c r="L15" i="15"/>
  <c r="F19" i="14"/>
  <c r="F20" i="14"/>
  <c r="F21" i="14"/>
  <c r="F22" i="14"/>
  <c r="F23" i="14"/>
  <c r="F24" i="14"/>
  <c r="J32" i="13"/>
  <c r="U32" i="13" s="1"/>
  <c r="G12" i="14" s="1"/>
  <c r="E19" i="14" s="1" a="1"/>
  <c r="E19" i="14" s="1"/>
  <c r="O77" i="1"/>
  <c r="N41" i="15" s="1"/>
  <c r="M15" i="15" l="1"/>
  <c r="N97" i="1"/>
  <c r="M71" i="1"/>
  <c r="L23" i="15"/>
  <c r="J52" i="15"/>
  <c r="K22" i="15"/>
  <c r="K25" i="15"/>
  <c r="L72" i="1"/>
  <c r="K21" i="15"/>
  <c r="N67" i="1"/>
  <c r="O132" i="1"/>
  <c r="O133" i="1" s="1"/>
  <c r="O67" i="1" s="1"/>
  <c r="O97" i="1"/>
  <c r="N15" i="15"/>
  <c r="J33" i="13"/>
  <c r="U33" i="13" s="1"/>
  <c r="G13" i="14" s="1"/>
  <c r="O71" i="1" l="1"/>
  <c r="N23" i="15"/>
  <c r="M23" i="15"/>
  <c r="N71" i="1"/>
  <c r="K18" i="15"/>
  <c r="K16" i="15"/>
  <c r="K17" i="15"/>
  <c r="K42" i="15"/>
  <c r="K44" i="15"/>
  <c r="K51" i="15" s="1"/>
  <c r="K29" i="15"/>
  <c r="K50" i="15" s="1"/>
  <c r="L99" i="1"/>
  <c r="K26" i="15"/>
  <c r="K38" i="15"/>
  <c r="M72" i="1"/>
  <c r="L22" i="15"/>
  <c r="L21" i="15"/>
  <c r="L25" i="15"/>
  <c r="J34" i="13"/>
  <c r="U34" i="13" s="1"/>
  <c r="G14" i="14" s="1"/>
  <c r="D19" i="14" s="1" a="1"/>
  <c r="K52" i="15" l="1"/>
  <c r="L26" i="15"/>
  <c r="L38" i="15"/>
  <c r="N72" i="1"/>
  <c r="M21" i="15"/>
  <c r="M25" i="15"/>
  <c r="M22" i="15"/>
  <c r="L17" i="15"/>
  <c r="L16" i="15"/>
  <c r="L18" i="15"/>
  <c r="L29" i="15"/>
  <c r="L50" i="15" s="1"/>
  <c r="L42" i="15"/>
  <c r="L44" i="15"/>
  <c r="L51" i="15" s="1"/>
  <c r="M99" i="1"/>
  <c r="O72" i="1"/>
  <c r="N21" i="15"/>
  <c r="N22" i="15"/>
  <c r="N25" i="15"/>
  <c r="D19" i="14"/>
  <c r="D20" i="14"/>
  <c r="D21" i="14"/>
  <c r="D22" i="14"/>
  <c r="D24" i="14"/>
  <c r="D23" i="14"/>
  <c r="L52" i="15" l="1"/>
  <c r="N26" i="15"/>
  <c r="N38" i="15"/>
  <c r="M38" i="15"/>
  <c r="M26" i="15"/>
  <c r="M18" i="15"/>
  <c r="M29" i="15"/>
  <c r="M50" i="15" s="1"/>
  <c r="M42" i="15"/>
  <c r="M44" i="15"/>
  <c r="M51" i="15" s="1"/>
  <c r="M16" i="15"/>
  <c r="M17" i="15"/>
  <c r="N99" i="1"/>
  <c r="N29" i="15"/>
  <c r="N50" i="15" s="1"/>
  <c r="N44" i="15"/>
  <c r="N51" i="15" s="1"/>
  <c r="N42" i="15"/>
  <c r="N16" i="15"/>
  <c r="N17" i="15"/>
  <c r="N18" i="15"/>
  <c r="O99" i="1"/>
  <c r="N52" i="15" l="1"/>
  <c r="M5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tc={CFA948A3-C308-4888-A4E5-2FF8E72C580B}</author>
  </authors>
  <commentList>
    <comment ref="E14" authorId="0" shapeId="0" xr:uid="{CFA948A3-C308-4888-A4E5-2FF8E72C580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Base Case
2. Conservative Case (Worst)
3. Optimistic Case (Best)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<sst xmlns="http://schemas.openxmlformats.org/spreadsheetml/2006/main" count="721" uniqueCount="386">
  <si>
    <t>Other Income</t>
  </si>
  <si>
    <t>Employee Benefit Expenses</t>
  </si>
  <si>
    <t>Finance Costs</t>
  </si>
  <si>
    <t>Other Expenses</t>
  </si>
  <si>
    <t>Total Expenses</t>
  </si>
  <si>
    <t>Exceptional Items</t>
  </si>
  <si>
    <t>Current Tax</t>
  </si>
  <si>
    <t>Equity Share Capital</t>
  </si>
  <si>
    <t>Total Non-Current Liabilities</t>
  </si>
  <si>
    <t>Trade Payables</t>
  </si>
  <si>
    <t>Other Current Liabilities</t>
  </si>
  <si>
    <t>Other Non-Current Assets</t>
  </si>
  <si>
    <t>Total Non-Current Assets</t>
  </si>
  <si>
    <t>Inventories</t>
  </si>
  <si>
    <t>Trade Receivables</t>
  </si>
  <si>
    <t>Cash And Cash Equivalents</t>
  </si>
  <si>
    <t>Total Current Assets</t>
  </si>
  <si>
    <t>Total Assets</t>
  </si>
  <si>
    <t>Assets</t>
  </si>
  <si>
    <t>Non-Current Assets</t>
  </si>
  <si>
    <t>Property, Plant &amp; Equipment</t>
  </si>
  <si>
    <t>Capital Work in Progress</t>
  </si>
  <si>
    <t>Right to use account</t>
  </si>
  <si>
    <t>Investment</t>
  </si>
  <si>
    <t>Deferred tax assets (net)</t>
  </si>
  <si>
    <t>Other Non-current assets</t>
  </si>
  <si>
    <t>Total Non-current assets</t>
  </si>
  <si>
    <t>Current Assets</t>
  </si>
  <si>
    <t>Financial Assets</t>
  </si>
  <si>
    <t>Trade receivables</t>
  </si>
  <si>
    <t>Cash and cash equivalents</t>
  </si>
  <si>
    <t>Bank balances Other than above</t>
  </si>
  <si>
    <t>Other current assets</t>
  </si>
  <si>
    <t>Total Current assets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</si>
  <si>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</si>
  <si>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</si>
  <si>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</si>
  <si>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</si>
  <si>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</si>
  <si>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</si>
  <si>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Borrowings</t>
  </si>
  <si>
    <t>Lease liability</t>
  </si>
  <si>
    <t>Provisions</t>
  </si>
  <si>
    <t>Other non-current liabilities</t>
  </si>
  <si>
    <t>Current Liabilities</t>
  </si>
  <si>
    <t>Other financial liabilities</t>
  </si>
  <si>
    <t>Other current liabilities</t>
  </si>
  <si>
    <t>Total Current liabilties</t>
  </si>
  <si>
    <t>Total Non-current liabilities</t>
  </si>
  <si>
    <t>Total Equity and Liabilities</t>
  </si>
  <si>
    <t>Financial Assest</t>
  </si>
  <si>
    <t>Investments</t>
  </si>
  <si>
    <t>Loans &amp; Advances</t>
  </si>
  <si>
    <t>Loans</t>
  </si>
  <si>
    <t>Current tax liabilities (net)</t>
  </si>
  <si>
    <t>Income Statement</t>
  </si>
  <si>
    <t>Revenue from operations</t>
  </si>
  <si>
    <t>Gross operating revenues</t>
  </si>
  <si>
    <t>Gross sales from operations</t>
  </si>
  <si>
    <t>Other income</t>
  </si>
  <si>
    <t>Total Income</t>
  </si>
  <si>
    <t>Expenses:</t>
  </si>
  <si>
    <t xml:space="preserve">Cost of materials consumed </t>
  </si>
  <si>
    <t>purchases of stock-in-trade</t>
  </si>
  <si>
    <t>Changes in inventories of finished goods</t>
  </si>
  <si>
    <t>Employee benefit expenses</t>
  </si>
  <si>
    <t>finance costs</t>
  </si>
  <si>
    <t>depreciation &amp; amotization expenses</t>
  </si>
  <si>
    <t>mining, royalty and freight expenses</t>
  </si>
  <si>
    <t>other expenses</t>
  </si>
  <si>
    <t>Total expenses</t>
  </si>
  <si>
    <t>profit / (loss) before execptional items and tax</t>
  </si>
  <si>
    <t>exceptional items</t>
  </si>
  <si>
    <t>profit / (loss) before tax</t>
  </si>
  <si>
    <t>current tax</t>
  </si>
  <si>
    <t>deferred tax income / (expenses)</t>
  </si>
  <si>
    <t xml:space="preserve">Profit for the period </t>
  </si>
  <si>
    <t>Do not make changes in this sheet</t>
  </si>
  <si>
    <t>Lloyds Metal &amp; Energy Ltd.</t>
  </si>
  <si>
    <t>Dashboard</t>
  </si>
  <si>
    <t>(₹ in 'Cr, except share price and shares outstanding)</t>
  </si>
  <si>
    <t>Actuals / Projections</t>
  </si>
  <si>
    <t>Date / Year</t>
  </si>
  <si>
    <t>Templete:</t>
  </si>
  <si>
    <t>Standard</t>
  </si>
  <si>
    <t>Currency:</t>
  </si>
  <si>
    <t>Period type:</t>
  </si>
  <si>
    <t>Annual</t>
  </si>
  <si>
    <t>Units:</t>
  </si>
  <si>
    <t>Source:</t>
  </si>
  <si>
    <t>Company Website</t>
  </si>
  <si>
    <t xml:space="preserve">Decimals: </t>
  </si>
  <si>
    <t>Default</t>
  </si>
  <si>
    <t>INR</t>
  </si>
  <si>
    <t>#</t>
  </si>
  <si>
    <t>Acutals</t>
  </si>
  <si>
    <t>Projections</t>
  </si>
  <si>
    <t>Gross Sales From Operations</t>
  </si>
  <si>
    <t>Gross Operating Revenues</t>
  </si>
  <si>
    <t/>
  </si>
  <si>
    <t xml:space="preserve">Cost Of Materials Consumed </t>
  </si>
  <si>
    <t>Purchases Of Stock-In-Trade</t>
  </si>
  <si>
    <t>Changes In Inventories Of Finished Goods</t>
  </si>
  <si>
    <t>Depreciation &amp; Amotization Expenses</t>
  </si>
  <si>
    <t>Mining, Royalty And Freight Expenses</t>
  </si>
  <si>
    <t>Profit / (Loss) Before Tax</t>
  </si>
  <si>
    <t>Deferred Tax Income / (Expenses)</t>
  </si>
  <si>
    <t xml:space="preserve">Profit For The Period </t>
  </si>
  <si>
    <t>Profit / (Loss) Before Execptional Items &amp; Tax</t>
  </si>
  <si>
    <t>Earnings Per Share:</t>
  </si>
  <si>
    <t xml:space="preserve">Basic </t>
  </si>
  <si>
    <t>Diluted</t>
  </si>
  <si>
    <t>Shares Outstanding:</t>
  </si>
  <si>
    <t>Basic</t>
  </si>
  <si>
    <t>Balance Sheet</t>
  </si>
  <si>
    <t>Capital Work In Progress</t>
  </si>
  <si>
    <t>Right To Use Account</t>
  </si>
  <si>
    <t>Deferred Tax Assets (Net)</t>
  </si>
  <si>
    <t>Bank Balances Other Than Above</t>
  </si>
  <si>
    <t>Other Current Assets</t>
  </si>
  <si>
    <t>Non-Current Liabilities</t>
  </si>
  <si>
    <t>Lease Liability</t>
  </si>
  <si>
    <t>Other Non-Current Liabilities</t>
  </si>
  <si>
    <t>Other Financial Liabilities</t>
  </si>
  <si>
    <t>Current Tax Liabilities (Net)</t>
  </si>
  <si>
    <t>Total Current Liabilties</t>
  </si>
  <si>
    <t>Total Equity And Liabilities</t>
  </si>
  <si>
    <t>B.S Check</t>
  </si>
  <si>
    <t>Assumptions</t>
  </si>
  <si>
    <t>Q3 2026</t>
  </si>
  <si>
    <t>Growth %</t>
  </si>
  <si>
    <t>Company Name:</t>
  </si>
  <si>
    <t>Ticker:</t>
  </si>
  <si>
    <t>Date:</t>
  </si>
  <si>
    <t xml:space="preserve">Scenario Selected: </t>
  </si>
  <si>
    <t>Trigger</t>
  </si>
  <si>
    <t>Scenario</t>
  </si>
  <si>
    <t>1. Base</t>
  </si>
  <si>
    <t>2. Conservative</t>
  </si>
  <si>
    <t>3. Optimistic</t>
  </si>
  <si>
    <t>Gross Opearting Revenues</t>
  </si>
  <si>
    <t>Revenue:</t>
  </si>
  <si>
    <t>Taxes</t>
  </si>
  <si>
    <t>Tax Rate</t>
  </si>
  <si>
    <t>Cash Flow Statement</t>
  </si>
  <si>
    <t>LLOYDME</t>
  </si>
  <si>
    <t>Valuation</t>
  </si>
  <si>
    <t>Premium / (Discount)</t>
  </si>
  <si>
    <t>ROE %</t>
  </si>
  <si>
    <t>ROCE %</t>
  </si>
  <si>
    <t>Dividend Yield %</t>
  </si>
  <si>
    <t>EPS (₹)</t>
  </si>
  <si>
    <t>Current Price (₹)</t>
  </si>
  <si>
    <t>Implied Price (₹)</t>
  </si>
  <si>
    <t>FY 26 E</t>
  </si>
  <si>
    <t>FY 25 A</t>
  </si>
  <si>
    <t> Industrial Minerals</t>
  </si>
  <si>
    <t>Additons to PP&amp;E</t>
  </si>
  <si>
    <t>Sale of PP&amp;E</t>
  </si>
  <si>
    <t>Closing balance of Gross PP&amp;E</t>
  </si>
  <si>
    <t>Opening balance of Gross PP&amp;E</t>
  </si>
  <si>
    <t>Accumulated Depreciation</t>
  </si>
  <si>
    <t>Closing balance of Net PP&amp;E</t>
  </si>
  <si>
    <t>CapEx</t>
  </si>
  <si>
    <t>% of Revenue</t>
  </si>
  <si>
    <t>Depreciation on PP&amp;E</t>
  </si>
  <si>
    <t>% of CapEx</t>
  </si>
  <si>
    <t>Additions to NCA</t>
  </si>
  <si>
    <t>Closing balance of Net NCA</t>
  </si>
  <si>
    <t>Opening balance of Net NCA</t>
  </si>
  <si>
    <t>Financial Assest:</t>
  </si>
  <si>
    <t>Financial Assets:</t>
  </si>
  <si>
    <t>x</t>
  </si>
  <si>
    <t>Financial Liabilities:</t>
  </si>
  <si>
    <t>Sector:</t>
  </si>
  <si>
    <t>Days:</t>
  </si>
  <si>
    <t>Debt Schedule</t>
  </si>
  <si>
    <t>Working Capital Schedule</t>
  </si>
  <si>
    <t>Schedules</t>
  </si>
  <si>
    <t>Opening balance of LT borrowings</t>
  </si>
  <si>
    <t>Issuance of New Debt</t>
  </si>
  <si>
    <t>Repayment of Debt</t>
  </si>
  <si>
    <t>Closing balance of LT borrowings</t>
  </si>
  <si>
    <t>Interest Rate (%)</t>
  </si>
  <si>
    <t>(80% of Capex issued)</t>
  </si>
  <si>
    <t>Net Income</t>
  </si>
  <si>
    <t>Annual Dividends Paid</t>
  </si>
  <si>
    <t>Dividends as a % of Net Income</t>
  </si>
  <si>
    <t>Share-Based Compensation (ESOPs)</t>
  </si>
  <si>
    <t>Retained Earnings Schedule</t>
  </si>
  <si>
    <t>Opening balance of RE</t>
  </si>
  <si>
    <t>Add: Net Income</t>
  </si>
  <si>
    <t>Closing balance of RE</t>
  </si>
  <si>
    <t>End</t>
  </si>
  <si>
    <t>Add / Less: Non-cash items</t>
  </si>
  <si>
    <t>Depreciation &amp; Amortisation Exp</t>
  </si>
  <si>
    <t>Share-based Compensation</t>
  </si>
  <si>
    <t>Change in Working Capital:</t>
  </si>
  <si>
    <t>Cash from Operating Activities</t>
  </si>
  <si>
    <t>Purchase of Property, Plant &amp; Equipment</t>
  </si>
  <si>
    <t>Disposal of Property, Plant &amp; Equipment</t>
  </si>
  <si>
    <t>Additions/ (Disposal) of NCA</t>
  </si>
  <si>
    <t>Cash from Investing Activities</t>
  </si>
  <si>
    <t>Payment of Annual Dividend</t>
  </si>
  <si>
    <t>Cash from Financing Activities</t>
  </si>
  <si>
    <t>Net Cash Flow for the Year</t>
  </si>
  <si>
    <t>Beginning Cash Flow of Year</t>
  </si>
  <si>
    <t>Ending Cash Flow of Year</t>
  </si>
  <si>
    <t>ESOPs as a % of Revenue</t>
  </si>
  <si>
    <t>Depreciation related to NCA</t>
  </si>
  <si>
    <t>Depreciation on NCA</t>
  </si>
  <si>
    <t>Add: Share-based Compensations</t>
  </si>
  <si>
    <t>Less: Dividends Paid</t>
  </si>
  <si>
    <t>DCF Model</t>
  </si>
  <si>
    <t>Overview</t>
  </si>
  <si>
    <t>Triggers</t>
  </si>
  <si>
    <t xml:space="preserve">Conservative </t>
  </si>
  <si>
    <t>Average</t>
  </si>
  <si>
    <t>Base/Street</t>
  </si>
  <si>
    <t>Optimistic</t>
  </si>
  <si>
    <t>Scenario:</t>
  </si>
  <si>
    <t>Revenue</t>
  </si>
  <si>
    <t>WACC</t>
  </si>
  <si>
    <t>TGR</t>
  </si>
  <si>
    <t>DCF</t>
  </si>
  <si>
    <t>EBIT</t>
  </si>
  <si>
    <t>Tax Rate (%)</t>
  </si>
  <si>
    <t>NOPAT</t>
  </si>
  <si>
    <t>Add: Depreciation &amp; Amortization</t>
  </si>
  <si>
    <t>Less: CapEx</t>
  </si>
  <si>
    <t>Add / Less: Change in Working Capital</t>
  </si>
  <si>
    <t>Add: Share-based Compensation</t>
  </si>
  <si>
    <t>FCF</t>
  </si>
  <si>
    <t>Discount Period</t>
  </si>
  <si>
    <t>Mid Year Discount</t>
  </si>
  <si>
    <t>Terminal Value</t>
  </si>
  <si>
    <t>Cost of Capital</t>
  </si>
  <si>
    <t>Risk Free Rate</t>
  </si>
  <si>
    <t>Equity Risk Premium</t>
  </si>
  <si>
    <t>Beta</t>
  </si>
  <si>
    <t>Country Risk Premium</t>
  </si>
  <si>
    <t>Cost of Equity</t>
  </si>
  <si>
    <t>Cost of Debt</t>
  </si>
  <si>
    <t>(Using Interest Expense)</t>
  </si>
  <si>
    <t>Finance Cost</t>
  </si>
  <si>
    <t>Total Borrowings</t>
  </si>
  <si>
    <t>Capital Structure</t>
  </si>
  <si>
    <t>Market Cap</t>
  </si>
  <si>
    <t>Total Debt</t>
  </si>
  <si>
    <t>Total Capital</t>
  </si>
  <si>
    <t>Investing.com</t>
  </si>
  <si>
    <t>Cost of Debt Post Tax</t>
  </si>
  <si>
    <t>Date</t>
  </si>
  <si>
    <t>Price</t>
  </si>
  <si>
    <t>LLOYDSME</t>
  </si>
  <si>
    <t>Nifty 500</t>
  </si>
  <si>
    <t xml:space="preserve">Beta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</si>
  <si>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</si>
  <si>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</si>
  <si>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</si>
  <si>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</si>
  <si>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</si>
  <si>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</si>
  <si>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</si>
  <si>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</si>
  <si>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</si>
  <si>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</si>
  <si>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</si>
  <si>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</si>
  <si>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</si>
  <si>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</si>
  <si>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</si>
  <si>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</si>
  <si>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</si>
  <si>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</si>
  <si>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</si>
  <si>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</si>
  <si>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</si>
  <si>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</si>
  <si>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</si>
  <si>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</si>
  <si>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</si>
  <si>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Discounted FCF</t>
  </si>
  <si>
    <t>Enterprise Value</t>
  </si>
  <si>
    <t>Add: Cash</t>
  </si>
  <si>
    <t>Less: Debt</t>
  </si>
  <si>
    <t>Equity Value</t>
  </si>
  <si>
    <t>Number of Shares</t>
  </si>
  <si>
    <t>Price Per Share</t>
  </si>
  <si>
    <t>Sensitivity Analysis - Terminal Growth Rate (%) to WACC (%)</t>
  </si>
  <si>
    <t>Terminal Growth Rate %</t>
  </si>
  <si>
    <t>Base Case</t>
  </si>
  <si>
    <t>Conservative Case</t>
  </si>
  <si>
    <t>Optimistic Case</t>
  </si>
  <si>
    <t>Mean</t>
  </si>
  <si>
    <t>Median</t>
  </si>
  <si>
    <t>75th Percentile</t>
  </si>
  <si>
    <t>25th Percentile</t>
  </si>
  <si>
    <t>Company</t>
  </si>
  <si>
    <t>EBITDA</t>
  </si>
  <si>
    <t>EBITDA %</t>
  </si>
  <si>
    <t>NI %</t>
  </si>
  <si>
    <t>Price / Share (₹)</t>
  </si>
  <si>
    <t>EV / Rev</t>
  </si>
  <si>
    <t>EV / EBITDA</t>
  </si>
  <si>
    <t>P / Sales</t>
  </si>
  <si>
    <t>P / E</t>
  </si>
  <si>
    <t xml:space="preserve">Lloyds Metal &amp; Energy </t>
  </si>
  <si>
    <t>NMDC</t>
  </si>
  <si>
    <t>GMDC</t>
  </si>
  <si>
    <t>Gravita</t>
  </si>
  <si>
    <t xml:space="preserve">MOIL </t>
  </si>
  <si>
    <t>Ashapura Minechem Ltd</t>
  </si>
  <si>
    <t>Petro Carbon &amp; Chemicals</t>
  </si>
  <si>
    <t>20 Microns Ltd</t>
  </si>
  <si>
    <t>NILE Ltd</t>
  </si>
  <si>
    <t>Asi Industries Ltd</t>
  </si>
  <si>
    <t># Shares</t>
  </si>
  <si>
    <t>Cash</t>
  </si>
  <si>
    <t>Debt</t>
  </si>
  <si>
    <t>EV / Revenue</t>
  </si>
  <si>
    <t>52-Week Share Price</t>
  </si>
  <si>
    <t>Comparable Companies</t>
  </si>
  <si>
    <t>Aswath Damodaran</t>
  </si>
  <si>
    <t>Metrics</t>
  </si>
  <si>
    <t>52 - wk range</t>
  </si>
  <si>
    <t>Football Chart</t>
  </si>
  <si>
    <t>Min</t>
  </si>
  <si>
    <t>Max</t>
  </si>
  <si>
    <t>Summary</t>
  </si>
  <si>
    <t>ROA %</t>
  </si>
  <si>
    <t>Share Price Forecast for 2026</t>
  </si>
  <si>
    <t>Annual Dividends (₹ in Cr.)</t>
  </si>
  <si>
    <t>P/E (x)</t>
  </si>
  <si>
    <t>Table of Content</t>
  </si>
  <si>
    <t>Sl No</t>
  </si>
  <si>
    <t>Particulars</t>
  </si>
  <si>
    <t>Profitablity Ratios</t>
  </si>
  <si>
    <t>Gross Profit Margin</t>
  </si>
  <si>
    <t>EBITDA Margin</t>
  </si>
  <si>
    <t>EBIT Margin</t>
  </si>
  <si>
    <t>PBT Margin</t>
  </si>
  <si>
    <t>Net Profit Margin</t>
  </si>
  <si>
    <t>ROCE</t>
  </si>
  <si>
    <t>ROA</t>
  </si>
  <si>
    <t>ROE</t>
  </si>
  <si>
    <t>ROIC</t>
  </si>
  <si>
    <t>Liquidity Ratios</t>
  </si>
  <si>
    <t>Current Ratio</t>
  </si>
  <si>
    <t>Quick Ratio</t>
  </si>
  <si>
    <t>Cash Ratio</t>
  </si>
  <si>
    <t>Operating Cash Flow Ratio</t>
  </si>
  <si>
    <t xml:space="preserve">Net Working Capital </t>
  </si>
  <si>
    <t>NWC as a % of Revenue</t>
  </si>
  <si>
    <t>Efficiency Ratios</t>
  </si>
  <si>
    <t>Asset Turnover</t>
  </si>
  <si>
    <t>Fixed Asset Turnover Ratio</t>
  </si>
  <si>
    <t>Receivables Turnover</t>
  </si>
  <si>
    <t>DSO</t>
  </si>
  <si>
    <t>Inventory Turnover</t>
  </si>
  <si>
    <t>Payable Turnover</t>
  </si>
  <si>
    <t>DIO</t>
  </si>
  <si>
    <t>DPO</t>
  </si>
  <si>
    <t>CCC</t>
  </si>
  <si>
    <t>Working Capital Turnover</t>
  </si>
  <si>
    <t>Leverage Ratios</t>
  </si>
  <si>
    <t>Debt to Equity</t>
  </si>
  <si>
    <t>Debt to Assets</t>
  </si>
  <si>
    <t>Debt to EBITDA</t>
  </si>
  <si>
    <t>Equity Multiplier</t>
  </si>
  <si>
    <t>Interest Coverage</t>
  </si>
  <si>
    <t>Debt Service Coverage Ratio</t>
  </si>
  <si>
    <t>Dupont Ratio</t>
  </si>
  <si>
    <t>Du-Pont Analysis</t>
  </si>
  <si>
    <t>Financials</t>
  </si>
  <si>
    <t>Assuptions</t>
  </si>
  <si>
    <t>Schedule</t>
  </si>
  <si>
    <t>Company Comparables</t>
  </si>
  <si>
    <t>Ratio Analysis</t>
  </si>
  <si>
    <t>&lt;-Back to Dashboard</t>
  </si>
  <si>
    <t>Key Financial Metrices</t>
  </si>
  <si>
    <t>Analysis</t>
  </si>
  <si>
    <t>z</t>
  </si>
  <si>
    <t>Horizontal Analysis</t>
  </si>
  <si>
    <t>Trend Analysis</t>
  </si>
  <si>
    <t>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</si>
</sst>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FY&quot;\ yyyy"/>
    <numFmt numFmtId="165" formatCode="&quot;FY&quot;\ yyyy\ &quot;A&quot;"/>
    <numFmt numFmtId="166" formatCode="&quot;FY&quot;\ yyyy\ &quot;E&quot;"/>
    <numFmt numFmtId="167" formatCode="#,##0.0;\(#,##0.0\);\ \-\-\-"/>
    <numFmt numFmtId="168" formatCode="#,##0.00;\(#,##0.00\);\ \-\-\-"/>
    <numFmt numFmtId="169" formatCode="0.0%"/>
    <numFmt numFmtId="170" formatCode="#,##0;\(#,##0\);\ \-\-\-"/>
    <numFmt numFmtId="171" formatCode="#,##0.0"/>
    <numFmt numFmtId="172" formatCode="_ [$₹-4009]\ * #,##0.00_ ;_ [$₹-4009]\ * \-#,##0.00_ ;_ [$₹-4009]\ * &quot;-&quot;??_ ;_ @_ "/>
    <numFmt numFmtId="173" formatCode="0.00\x"/>
    <numFmt numFmtId="174" formatCode="0%;\(0%\);\ \-\-\-"/>
    <numFmt numFmtId="175" formatCode="0.00%;\(0.00%\);\ \-\-\-"/>
  </numFmts>
  <fonts count="2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sz val="10"/>
      <color theme="0" tint="-0.14999847407452621"/>
      <name val="Arial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21" fillId="0" borderId="0" applyNumberFormat="0" applyFill="0" applyBorder="0" applyAlignment="0" applyProtection="0"/>
  </cellStyleXfs>
  <cellXfs count="345">
    <xf numFmtId="0" fontId="0" fillId="0" borderId="0" xfId="0"/>
    <xf numFmtId="0" fontId="4" fillId="0" borderId="0" xfId="0" applyFont="1"/>
    <xf numFmtId="0" fontId="5" fillId="3" borderId="0" xfId="0" applyFont="1" applyFill="1"/>
    <xf numFmtId="0" fontId="6" fillId="0" borderId="0" xfId="0" applyFont="1"/>
    <xf numFmtId="4" fontId="0" fillId="0" borderId="0" xfId="0" applyNumberFormat="1"/>
    <xf numFmtId="0" fontId="7" fillId="0" borderId="0" xfId="0" applyFont="1"/>
    <xf numFmtId="4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0" fillId="0" borderId="0" xfId="0" applyNumberFormat="1"/>
    <xf numFmtId="2" fontId="3" fillId="0" borderId="0" xfId="0" applyNumberFormat="1" applyFont="1"/>
    <xf numFmtId="0" fontId="0" fillId="0" borderId="0" xfId="0" applyAlignment="1">
      <alignment horizontal="left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4" fillId="0" borderId="0" xfId="0" quotePrefix="1" applyFont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64" fontId="9" fillId="3" borderId="6" xfId="0" applyNumberFormat="1" applyFont="1" applyFill="1" applyBorder="1"/>
    <xf numFmtId="164" fontId="9" fillId="3" borderId="7" xfId="0" applyNumberFormat="1" applyFont="1" applyFill="1" applyBorder="1"/>
    <xf numFmtId="164" fontId="9" fillId="3" borderId="2" xfId="0" applyNumberFormat="1" applyFont="1" applyFill="1" applyBorder="1"/>
    <xf numFmtId="0" fontId="4" fillId="0" borderId="8" xfId="0" applyFont="1" applyBorder="1"/>
    <xf numFmtId="0" fontId="4" fillId="0" borderId="9" xfId="0" applyFont="1" applyBorder="1"/>
    <xf numFmtId="165" fontId="9" fillId="3" borderId="0" xfId="0" applyNumberFormat="1" applyFont="1" applyFill="1"/>
    <xf numFmtId="166" fontId="9" fillId="3" borderId="0" xfId="0" applyNumberFormat="1" applyFont="1" applyFill="1"/>
    <xf numFmtId="167" fontId="4" fillId="0" borderId="0" xfId="0" applyNumberFormat="1" applyFont="1"/>
    <xf numFmtId="167" fontId="11" fillId="0" borderId="0" xfId="0" applyNumberFormat="1" applyFont="1"/>
    <xf numFmtId="4" fontId="11" fillId="0" borderId="0" xfId="0" applyNumberFormat="1" applyFont="1"/>
    <xf numFmtId="0" fontId="12" fillId="0" borderId="0" xfId="0" applyFont="1"/>
    <xf numFmtId="169" fontId="4" fillId="0" borderId="0" xfId="1" applyNumberFormat="1" applyFont="1"/>
    <xf numFmtId="0" fontId="4" fillId="0" borderId="10" xfId="0" applyFont="1" applyBorder="1"/>
    <xf numFmtId="0" fontId="11" fillId="0" borderId="11" xfId="0" applyFont="1" applyBorder="1"/>
    <xf numFmtId="0" fontId="4" fillId="0" borderId="11" xfId="0" applyFont="1" applyBorder="1"/>
    <xf numFmtId="169" fontId="12" fillId="2" borderId="1" xfId="1" applyNumberFormat="1" applyFont="1" applyFill="1" applyBorder="1"/>
    <xf numFmtId="169" fontId="4" fillId="0" borderId="0" xfId="0" applyNumberFormat="1" applyFont="1"/>
    <xf numFmtId="169" fontId="12" fillId="0" borderId="0" xfId="1" applyNumberFormat="1" applyFont="1"/>
    <xf numFmtId="0" fontId="13" fillId="0" borderId="0" xfId="0" applyFont="1"/>
    <xf numFmtId="0" fontId="4" fillId="5" borderId="0" xfId="0" applyFont="1" applyFill="1"/>
    <xf numFmtId="0" fontId="4" fillId="5" borderId="11" xfId="0" applyFont="1" applyFill="1" applyBorder="1"/>
    <xf numFmtId="167" fontId="11" fillId="0" borderId="11" xfId="0" applyNumberFormat="1" applyFont="1" applyBorder="1"/>
    <xf numFmtId="0" fontId="11" fillId="0" borderId="15" xfId="0" applyFont="1" applyBorder="1"/>
    <xf numFmtId="0" fontId="4" fillId="0" borderId="15" xfId="0" applyFont="1" applyBorder="1"/>
    <xf numFmtId="167" fontId="11" fillId="0" borderId="15" xfId="0" applyNumberFormat="1" applyFont="1" applyBorder="1"/>
    <xf numFmtId="167" fontId="4" fillId="5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0" fontId="4" fillId="0" borderId="0" xfId="0" applyNumberFormat="1" applyFont="1"/>
    <xf numFmtId="0" fontId="11" fillId="0" borderId="0" xfId="0" applyFont="1" applyAlignment="1">
      <alignment horizontal="center"/>
    </xf>
    <xf numFmtId="167" fontId="12" fillId="0" borderId="0" xfId="0" applyNumberFormat="1" applyFont="1"/>
    <xf numFmtId="0" fontId="4" fillId="5" borderId="15" xfId="0" applyFont="1" applyFill="1" applyBorder="1"/>
    <xf numFmtId="0" fontId="4" fillId="0" borderId="14" xfId="0" applyFont="1" applyBorder="1"/>
    <xf numFmtId="0" fontId="4" fillId="5" borderId="14" xfId="0" applyFont="1" applyFill="1" applyBorder="1"/>
    <xf numFmtId="167" fontId="11" fillId="0" borderId="14" xfId="0" applyNumberFormat="1" applyFont="1" applyBorder="1"/>
    <xf numFmtId="0" fontId="0" fillId="0" borderId="16" xfId="0" applyBorder="1"/>
    <xf numFmtId="0" fontId="3" fillId="0" borderId="16" xfId="0" applyFont="1" applyBorder="1"/>
    <xf numFmtId="0" fontId="15" fillId="0" borderId="0" xfId="0" applyFont="1"/>
    <xf numFmtId="169" fontId="15" fillId="0" borderId="0" xfId="0" applyNumberFormat="1" applyFont="1"/>
    <xf numFmtId="0" fontId="16" fillId="0" borderId="0" xfId="0" applyFont="1"/>
    <xf numFmtId="0" fontId="11" fillId="0" borderId="16" xfId="0" applyFont="1" applyBorder="1"/>
    <xf numFmtId="0" fontId="4" fillId="0" borderId="16" xfId="0" applyFont="1" applyBorder="1"/>
    <xf numFmtId="0" fontId="4" fillId="0" borderId="17" xfId="0" applyFont="1" applyBorder="1"/>
    <xf numFmtId="169" fontId="12" fillId="0" borderId="0" xfId="0" applyNumberFormat="1" applyFont="1"/>
    <xf numFmtId="0" fontId="3" fillId="0" borderId="18" xfId="0" applyFont="1" applyBorder="1"/>
    <xf numFmtId="0" fontId="0" fillId="0" borderId="18" xfId="0" applyBorder="1"/>
    <xf numFmtId="0" fontId="18" fillId="0" borderId="0" xfId="0" applyFont="1"/>
    <xf numFmtId="10" fontId="0" fillId="0" borderId="0" xfId="0" applyNumberFormat="1"/>
    <xf numFmtId="0" fontId="19" fillId="0" borderId="0" xfId="0" applyFont="1"/>
    <xf numFmtId="0" fontId="3" fillId="0" borderId="19" xfId="0" applyFont="1" applyBorder="1"/>
    <xf numFmtId="0" fontId="0" fillId="0" borderId="19" xfId="0" applyBorder="1"/>
    <xf numFmtId="14" fontId="0" fillId="0" borderId="0" xfId="0" applyNumberFormat="1"/>
    <xf numFmtId="169" fontId="0" fillId="0" borderId="0" xfId="1" applyNumberFormat="1" applyFont="1"/>
    <xf numFmtId="0" fontId="0" fillId="0" borderId="20" xfId="0" applyBorder="1"/>
    <xf numFmtId="0" fontId="15" fillId="0" borderId="21" xfId="0" applyFont="1" applyBorder="1" applyAlignment="1">
      <alignment horizontal="center"/>
    </xf>
    <xf numFmtId="0" fontId="15" fillId="0" borderId="21" xfId="0" applyFont="1" applyBorder="1" applyAlignment="1">
      <alignment horizontal="centerContinuous"/>
    </xf>
    <xf numFmtId="0" fontId="3" fillId="0" borderId="22" xfId="0" applyFont="1" applyBorder="1"/>
    <xf numFmtId="2" fontId="3" fillId="0" borderId="23" xfId="0" applyNumberFormat="1" applyFont="1" applyBorder="1"/>
    <xf numFmtId="169" fontId="0" fillId="0" borderId="19" xfId="1" applyNumberFormat="1" applyFont="1" applyBorder="1"/>
    <xf numFmtId="10" fontId="3" fillId="0" borderId="18" xfId="1" applyNumberFormat="1" applyFont="1" applyBorder="1"/>
    <xf numFmtId="10" fontId="3" fillId="0" borderId="19" xfId="1" applyNumberFormat="1" applyFont="1" applyBorder="1"/>
    <xf numFmtId="10" fontId="4" fillId="2" borderId="1" xfId="2" applyNumberFormat="1" applyFont="1"/>
    <xf numFmtId="10" fontId="3" fillId="0" borderId="17" xfId="1" applyNumberFormat="1" applyFont="1" applyBorder="1"/>
    <xf numFmtId="10" fontId="4" fillId="2" borderId="1" xfId="1" applyNumberFormat="1" applyFont="1" applyFill="1" applyBorder="1"/>
    <xf numFmtId="10" fontId="4" fillId="0" borderId="17" xfId="1" applyNumberFormat="1" applyFont="1" applyBorder="1"/>
    <xf numFmtId="0" fontId="11" fillId="0" borderId="19" xfId="0" applyFont="1" applyBorder="1"/>
    <xf numFmtId="0" fontId="4" fillId="0" borderId="19" xfId="0" applyFont="1" applyBorder="1"/>
    <xf numFmtId="167" fontId="11" fillId="0" borderId="19" xfId="0" applyNumberFormat="1" applyFont="1" applyBorder="1"/>
    <xf numFmtId="0" fontId="11" fillId="0" borderId="18" xfId="0" applyFont="1" applyBorder="1"/>
    <xf numFmtId="0" fontId="4" fillId="0" borderId="18" xfId="0" applyFont="1" applyBorder="1"/>
    <xf numFmtId="166" fontId="9" fillId="3" borderId="25" xfId="0" applyNumberFormat="1" applyFont="1" applyFill="1" applyBorder="1"/>
    <xf numFmtId="0" fontId="4" fillId="0" borderId="25" xfId="0" applyFont="1" applyBorder="1"/>
    <xf numFmtId="167" fontId="4" fillId="0" borderId="25" xfId="0" applyNumberFormat="1" applyFont="1" applyBorder="1"/>
    <xf numFmtId="169" fontId="12" fillId="0" borderId="25" xfId="0" applyNumberFormat="1" applyFont="1" applyBorder="1"/>
    <xf numFmtId="167" fontId="11" fillId="0" borderId="26" xfId="0" applyNumberFormat="1" applyFont="1" applyBorder="1"/>
    <xf numFmtId="167" fontId="11" fillId="0" borderId="25" xfId="0" applyNumberFormat="1" applyFont="1" applyBorder="1"/>
    <xf numFmtId="172" fontId="11" fillId="0" borderId="22" xfId="0" applyNumberFormat="1" applyFont="1" applyBorder="1"/>
    <xf numFmtId="3" fontId="4" fillId="0" borderId="25" xfId="0" applyNumberFormat="1" applyFont="1" applyBorder="1"/>
    <xf numFmtId="9" fontId="4" fillId="0" borderId="0" xfId="0" applyNumberFormat="1" applyFont="1"/>
    <xf numFmtId="172" fontId="4" fillId="0" borderId="0" xfId="0" applyNumberFormat="1" applyFont="1"/>
    <xf numFmtId="172" fontId="4" fillId="0" borderId="28" xfId="0" applyNumberFormat="1" applyFont="1" applyBorder="1"/>
    <xf numFmtId="9" fontId="4" fillId="0" borderId="16" xfId="0" applyNumberFormat="1" applyFont="1" applyBorder="1"/>
    <xf numFmtId="172" fontId="4" fillId="0" borderId="16" xfId="0" applyNumberFormat="1" applyFont="1" applyBorder="1"/>
    <xf numFmtId="172" fontId="4" fillId="0" borderId="29" xfId="0" applyNumberFormat="1" applyFont="1" applyBorder="1"/>
    <xf numFmtId="172" fontId="4" fillId="0" borderId="26" xfId="0" applyNumberFormat="1" applyFont="1" applyBorder="1"/>
    <xf numFmtId="172" fontId="4" fillId="0" borderId="19" xfId="0" applyNumberFormat="1" applyFont="1" applyBorder="1"/>
    <xf numFmtId="172" fontId="4" fillId="0" borderId="27" xfId="0" applyNumberFormat="1" applyFont="1" applyBorder="1"/>
    <xf numFmtId="172" fontId="4" fillId="0" borderId="25" xfId="0" applyNumberFormat="1" applyFont="1" applyBorder="1"/>
    <xf numFmtId="172" fontId="4" fillId="0" borderId="24" xfId="0" applyNumberFormat="1" applyFont="1" applyBorder="1"/>
    <xf numFmtId="0" fontId="5" fillId="3" borderId="26" xfId="0" applyFont="1" applyFill="1" applyBorder="1"/>
    <xf numFmtId="9" fontId="4" fillId="6" borderId="25" xfId="0" applyNumberFormat="1" applyFont="1" applyFill="1" applyBorder="1"/>
    <xf numFmtId="10" fontId="4" fillId="6" borderId="25" xfId="0" applyNumberFormat="1" applyFont="1" applyFill="1" applyBorder="1"/>
    <xf numFmtId="9" fontId="4" fillId="6" borderId="24" xfId="0" applyNumberFormat="1" applyFont="1" applyFill="1" applyBorder="1"/>
    <xf numFmtId="9" fontId="4" fillId="6" borderId="19" xfId="0" applyNumberFormat="1" applyFont="1" applyFill="1" applyBorder="1"/>
    <xf numFmtId="9" fontId="4" fillId="6" borderId="27" xfId="0" applyNumberFormat="1" applyFont="1" applyFill="1" applyBorder="1"/>
    <xf numFmtId="172" fontId="20" fillId="6" borderId="17" xfId="0" applyNumberFormat="1" applyFont="1" applyFill="1" applyBorder="1"/>
    <xf numFmtId="10" fontId="11" fillId="6" borderId="25" xfId="0" applyNumberFormat="1" applyFont="1" applyFill="1" applyBorder="1"/>
    <xf numFmtId="172" fontId="11" fillId="0" borderId="25" xfId="0" applyNumberFormat="1" applyFont="1" applyBorder="1"/>
    <xf numFmtId="172" fontId="11" fillId="0" borderId="0" xfId="0" applyNumberFormat="1" applyFont="1"/>
    <xf numFmtId="172" fontId="11" fillId="0" borderId="28" xfId="0" applyNumberFormat="1" applyFont="1" applyBorder="1"/>
    <xf numFmtId="9" fontId="11" fillId="6" borderId="19" xfId="0" applyNumberFormat="1" applyFont="1" applyFill="1" applyBorder="1"/>
    <xf numFmtId="172" fontId="11" fillId="0" borderId="19" xfId="0" applyNumberFormat="1" applyFont="1" applyBorder="1"/>
    <xf numFmtId="172" fontId="11" fillId="0" borderId="16" xfId="0" applyNumberFormat="1" applyFont="1" applyBorder="1"/>
    <xf numFmtId="9" fontId="11" fillId="6" borderId="25" xfId="0" applyNumberFormat="1" applyFont="1" applyFill="1" applyBorder="1"/>
    <xf numFmtId="172" fontId="4" fillId="7" borderId="26" xfId="0" applyNumberFormat="1" applyFont="1" applyFill="1" applyBorder="1"/>
    <xf numFmtId="172" fontId="11" fillId="7" borderId="19" xfId="0" applyNumberFormat="1" applyFont="1" applyFill="1" applyBorder="1"/>
    <xf numFmtId="172" fontId="4" fillId="7" borderId="27" xfId="0" applyNumberFormat="1" applyFont="1" applyFill="1" applyBorder="1"/>
    <xf numFmtId="172" fontId="11" fillId="7" borderId="25" xfId="0" applyNumberFormat="1" applyFont="1" applyFill="1" applyBorder="1"/>
    <xf numFmtId="172" fontId="11" fillId="7" borderId="0" xfId="0" applyNumberFormat="1" applyFont="1" applyFill="1"/>
    <xf numFmtId="172" fontId="11" fillId="7" borderId="28" xfId="0" applyNumberFormat="1" applyFont="1" applyFill="1" applyBorder="1"/>
    <xf numFmtId="172" fontId="4" fillId="7" borderId="24" xfId="0" applyNumberFormat="1" applyFont="1" applyFill="1" applyBorder="1"/>
    <xf numFmtId="172" fontId="11" fillId="7" borderId="16" xfId="0" applyNumberFormat="1" applyFont="1" applyFill="1" applyBorder="1"/>
    <xf numFmtId="172" fontId="4" fillId="7" borderId="29" xfId="0" applyNumberFormat="1" applyFont="1" applyFill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172" fontId="4" fillId="0" borderId="30" xfId="0" applyNumberFormat="1" applyFont="1" applyBorder="1"/>
    <xf numFmtId="172" fontId="4" fillId="0" borderId="31" xfId="0" applyNumberFormat="1" applyFont="1" applyBorder="1"/>
    <xf numFmtId="172" fontId="4" fillId="0" borderId="32" xfId="0" applyNumberFormat="1" applyFont="1" applyBorder="1"/>
    <xf numFmtId="0" fontId="3" fillId="0" borderId="0" xfId="0" applyFont="1" applyAlignment="1">
      <alignment horizontal="center"/>
    </xf>
    <xf numFmtId="167" fontId="0" fillId="0" borderId="19" xfId="0" applyNumberFormat="1" applyBorder="1"/>
    <xf numFmtId="173" fontId="0" fillId="0" borderId="19" xfId="0" applyNumberFormat="1" applyBorder="1"/>
    <xf numFmtId="0" fontId="0" fillId="0" borderId="26" xfId="0" applyBorder="1"/>
    <xf numFmtId="173" fontId="0" fillId="0" borderId="27" xfId="0" applyNumberFormat="1" applyBorder="1"/>
    <xf numFmtId="0" fontId="0" fillId="0" borderId="25" xfId="0" applyBorder="1"/>
    <xf numFmtId="167" fontId="0" fillId="0" borderId="0" xfId="0" applyNumberFormat="1"/>
    <xf numFmtId="169" fontId="0" fillId="0" borderId="0" xfId="1" applyNumberFormat="1" applyFont="1" applyBorder="1"/>
    <xf numFmtId="173" fontId="0" fillId="0" borderId="0" xfId="0" applyNumberFormat="1"/>
    <xf numFmtId="173" fontId="0" fillId="0" borderId="28" xfId="0" applyNumberFormat="1" applyBorder="1"/>
    <xf numFmtId="0" fontId="0" fillId="0" borderId="24" xfId="0" applyBorder="1"/>
    <xf numFmtId="167" fontId="0" fillId="0" borderId="16" xfId="0" applyNumberFormat="1" applyBorder="1"/>
    <xf numFmtId="169" fontId="0" fillId="0" borderId="16" xfId="1" applyNumberFormat="1" applyFont="1" applyBorder="1"/>
    <xf numFmtId="173" fontId="0" fillId="0" borderId="16" xfId="0" applyNumberFormat="1" applyBorder="1"/>
    <xf numFmtId="173" fontId="0" fillId="0" borderId="29" xfId="0" applyNumberFormat="1" applyBorder="1"/>
    <xf numFmtId="0" fontId="0" fillId="0" borderId="30" xfId="0" applyBorder="1"/>
    <xf numFmtId="173" fontId="0" fillId="0" borderId="30" xfId="0" applyNumberFormat="1" applyBorder="1"/>
    <xf numFmtId="173" fontId="0" fillId="0" borderId="34" xfId="0" applyNumberFormat="1" applyBorder="1"/>
    <xf numFmtId="0" fontId="0" fillId="0" borderId="31" xfId="0" applyBorder="1"/>
    <xf numFmtId="173" fontId="0" fillId="0" borderId="31" xfId="0" applyNumberFormat="1" applyBorder="1"/>
    <xf numFmtId="173" fontId="0" fillId="0" borderId="36" xfId="0" applyNumberFormat="1" applyBorder="1"/>
    <xf numFmtId="0" fontId="0" fillId="0" borderId="32" xfId="0" applyBorder="1"/>
    <xf numFmtId="173" fontId="0" fillId="0" borderId="32" xfId="0" applyNumberFormat="1" applyBorder="1"/>
    <xf numFmtId="173" fontId="0" fillId="0" borderId="38" xfId="0" applyNumberFormat="1" applyBorder="1"/>
    <xf numFmtId="0" fontId="3" fillId="0" borderId="33" xfId="0" applyFont="1" applyBorder="1"/>
    <xf numFmtId="0" fontId="3" fillId="0" borderId="35" xfId="0" applyFont="1" applyBorder="1"/>
    <xf numFmtId="0" fontId="3" fillId="0" borderId="37" xfId="0" applyFont="1" applyBorder="1"/>
    <xf numFmtId="0" fontId="3" fillId="5" borderId="26" xfId="0" applyFont="1" applyFill="1" applyBorder="1" applyAlignment="1">
      <alignment horizontal="left"/>
    </xf>
    <xf numFmtId="0" fontId="3" fillId="5" borderId="19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left"/>
    </xf>
    <xf numFmtId="167" fontId="4" fillId="0" borderId="19" xfId="0" applyNumberFormat="1" applyFont="1" applyBorder="1"/>
    <xf numFmtId="0" fontId="3" fillId="5" borderId="29" xfId="0" applyFont="1" applyFill="1" applyBorder="1" applyAlignment="1">
      <alignment horizontal="center"/>
    </xf>
    <xf numFmtId="167" fontId="0" fillId="0" borderId="26" xfId="0" applyNumberFormat="1" applyBorder="1"/>
    <xf numFmtId="167" fontId="0" fillId="0" borderId="27" xfId="0" applyNumberFormat="1" applyBorder="1"/>
    <xf numFmtId="167" fontId="0" fillId="0" borderId="25" xfId="0" applyNumberFormat="1" applyBorder="1"/>
    <xf numFmtId="167" fontId="0" fillId="0" borderId="28" xfId="0" applyNumberFormat="1" applyBorder="1"/>
    <xf numFmtId="167" fontId="0" fillId="0" borderId="24" xfId="0" applyNumberFormat="1" applyBorder="1"/>
    <xf numFmtId="167" fontId="0" fillId="0" borderId="29" xfId="0" applyNumberFormat="1" applyBorder="1"/>
    <xf numFmtId="172" fontId="0" fillId="0" borderId="26" xfId="0" applyNumberFormat="1" applyBorder="1"/>
    <xf numFmtId="172" fontId="0" fillId="0" borderId="19" xfId="0" applyNumberFormat="1" applyBorder="1"/>
    <xf numFmtId="172" fontId="0" fillId="0" borderId="27" xfId="0" applyNumberFormat="1" applyBorder="1"/>
    <xf numFmtId="172" fontId="0" fillId="0" borderId="25" xfId="0" applyNumberFormat="1" applyBorder="1"/>
    <xf numFmtId="172" fontId="0" fillId="0" borderId="0" xfId="0" applyNumberFormat="1"/>
    <xf numFmtId="172" fontId="0" fillId="0" borderId="28" xfId="0" applyNumberFormat="1" applyBorder="1"/>
    <xf numFmtId="172" fontId="0" fillId="0" borderId="24" xfId="0" applyNumberFormat="1" applyBorder="1"/>
    <xf numFmtId="172" fontId="0" fillId="0" borderId="16" xfId="0" applyNumberFormat="1" applyBorder="1"/>
    <xf numFmtId="172" fontId="0" fillId="0" borderId="29" xfId="0" applyNumberFormat="1" applyBorder="1"/>
    <xf numFmtId="0" fontId="3" fillId="5" borderId="26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left"/>
    </xf>
    <xf numFmtId="173" fontId="0" fillId="0" borderId="25" xfId="0" applyNumberFormat="1" applyBorder="1"/>
    <xf numFmtId="173" fontId="0" fillId="0" borderId="24" xfId="0" applyNumberFormat="1" applyBorder="1"/>
    <xf numFmtId="0" fontId="3" fillId="5" borderId="0" xfId="0" applyFont="1" applyFill="1" applyAlignment="1">
      <alignment horizontal="left"/>
    </xf>
    <xf numFmtId="10" fontId="0" fillId="0" borderId="33" xfId="0" applyNumberFormat="1" applyBorder="1"/>
    <xf numFmtId="10" fontId="0" fillId="0" borderId="35" xfId="0" applyNumberFormat="1" applyBorder="1"/>
    <xf numFmtId="10" fontId="0" fillId="0" borderId="37" xfId="0" applyNumberFormat="1" applyBorder="1"/>
    <xf numFmtId="171" fontId="0" fillId="0" borderId="0" xfId="0" applyNumberFormat="1"/>
    <xf numFmtId="171" fontId="3" fillId="0" borderId="18" xfId="0" applyNumberFormat="1" applyFont="1" applyBorder="1"/>
    <xf numFmtId="0" fontId="11" fillId="0" borderId="22" xfId="0" applyFont="1" applyBorder="1"/>
    <xf numFmtId="0" fontId="11" fillId="0" borderId="25" xfId="0" applyFont="1" applyBorder="1"/>
    <xf numFmtId="0" fontId="11" fillId="0" borderId="24" xfId="0" applyFont="1" applyBorder="1"/>
    <xf numFmtId="172" fontId="0" fillId="0" borderId="34" xfId="0" applyNumberFormat="1" applyBorder="1"/>
    <xf numFmtId="172" fontId="0" fillId="0" borderId="36" xfId="0" applyNumberFormat="1" applyBorder="1"/>
    <xf numFmtId="172" fontId="0" fillId="0" borderId="38" xfId="0" applyNumberFormat="1" applyBorder="1"/>
    <xf numFmtId="0" fontId="11" fillId="0" borderId="26" xfId="0" applyFont="1" applyBorder="1"/>
    <xf numFmtId="0" fontId="11" fillId="7" borderId="22" xfId="0" applyFont="1" applyFill="1" applyBorder="1"/>
    <xf numFmtId="0" fontId="11" fillId="7" borderId="17" xfId="0" applyFont="1" applyFill="1" applyBorder="1"/>
    <xf numFmtId="0" fontId="11" fillId="7" borderId="19" xfId="0" applyFont="1" applyFill="1" applyBorder="1" applyAlignment="1">
      <alignment horizontal="center"/>
    </xf>
    <xf numFmtId="0" fontId="11" fillId="7" borderId="27" xfId="0" applyFont="1" applyFill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169" fontId="4" fillId="0" borderId="25" xfId="1" applyNumberFormat="1" applyFont="1" applyBorder="1"/>
    <xf numFmtId="167" fontId="11" fillId="0" borderId="16" xfId="0" applyNumberFormat="1" applyFont="1" applyBorder="1"/>
    <xf numFmtId="167" fontId="11" fillId="0" borderId="24" xfId="0" applyNumberFormat="1" applyFont="1" applyBorder="1"/>
    <xf numFmtId="0" fontId="4" fillId="0" borderId="28" xfId="0" applyFont="1" applyBorder="1"/>
    <xf numFmtId="0" fontId="4" fillId="0" borderId="24" xfId="0" applyFont="1" applyBorder="1"/>
    <xf numFmtId="0" fontId="4" fillId="0" borderId="29" xfId="0" applyFont="1" applyBorder="1"/>
    <xf numFmtId="0" fontId="11" fillId="6" borderId="39" xfId="0" applyFont="1" applyFill="1" applyBorder="1"/>
    <xf numFmtId="0" fontId="4" fillId="6" borderId="40" xfId="0" applyFont="1" applyFill="1" applyBorder="1"/>
    <xf numFmtId="0" fontId="11" fillId="6" borderId="39" xfId="0" applyFont="1" applyFill="1" applyBorder="1" applyAlignment="1">
      <alignment horizontal="right"/>
    </xf>
    <xf numFmtId="0" fontId="11" fillId="6" borderId="23" xfId="0" applyFont="1" applyFill="1" applyBorder="1" applyAlignment="1">
      <alignment horizontal="right"/>
    </xf>
    <xf numFmtId="0" fontId="9" fillId="3" borderId="26" xfId="0" applyFont="1" applyFill="1" applyBorder="1"/>
    <xf numFmtId="0" fontId="10" fillId="3" borderId="19" xfId="0" applyFont="1" applyFill="1" applyBorder="1"/>
    <xf numFmtId="165" fontId="9" fillId="3" borderId="19" xfId="0" applyNumberFormat="1" applyFont="1" applyFill="1" applyBorder="1"/>
    <xf numFmtId="166" fontId="9" fillId="3" borderId="19" xfId="0" applyNumberFormat="1" applyFont="1" applyFill="1" applyBorder="1"/>
    <xf numFmtId="166" fontId="9" fillId="3" borderId="27" xfId="0" applyNumberFormat="1" applyFont="1" applyFill="1" applyBorder="1"/>
    <xf numFmtId="169" fontId="15" fillId="0" borderId="0" xfId="1" applyNumberFormat="1" applyFont="1" applyBorder="1"/>
    <xf numFmtId="169" fontId="15" fillId="0" borderId="28" xfId="1" applyNumberFormat="1" applyFont="1" applyBorder="1"/>
    <xf numFmtId="169" fontId="15" fillId="0" borderId="16" xfId="1" applyNumberFormat="1" applyFont="1" applyBorder="1"/>
    <xf numFmtId="169" fontId="15" fillId="0" borderId="29" xfId="1" applyNumberFormat="1" applyFont="1" applyBorder="1"/>
    <xf numFmtId="1" fontId="0" fillId="0" borderId="0" xfId="0" applyNumberFormat="1"/>
    <xf numFmtId="1" fontId="0" fillId="0" borderId="28" xfId="0" applyNumberFormat="1" applyBorder="1"/>
    <xf numFmtId="174" fontId="0" fillId="0" borderId="16" xfId="0" applyNumberFormat="1" applyBorder="1"/>
    <xf numFmtId="169" fontId="0" fillId="0" borderId="0" xfId="0" applyNumberFormat="1"/>
    <xf numFmtId="169" fontId="0" fillId="0" borderId="28" xfId="0" applyNumberFormat="1" applyBorder="1"/>
    <xf numFmtId="10" fontId="3" fillId="0" borderId="23" xfId="1" applyNumberFormat="1" applyFont="1" applyBorder="1"/>
    <xf numFmtId="0" fontId="4" fillId="0" borderId="24" xfId="3" applyFont="1" applyBorder="1"/>
    <xf numFmtId="0" fontId="11" fillId="7" borderId="10" xfId="0" applyFont="1" applyFill="1" applyBorder="1"/>
    <xf numFmtId="0" fontId="22" fillId="0" borderId="0" xfId="3" applyFont="1"/>
    <xf numFmtId="0" fontId="4" fillId="3" borderId="19" xfId="0" applyFont="1" applyFill="1" applyBorder="1"/>
    <xf numFmtId="0" fontId="4" fillId="0" borderId="25" xfId="0" applyFont="1" applyBorder="1" applyAlignment="1">
      <alignment horizontal="left" indent="1"/>
    </xf>
    <xf numFmtId="167" fontId="4" fillId="0" borderId="28" xfId="0" applyNumberFormat="1" applyFont="1" applyBorder="1"/>
    <xf numFmtId="168" fontId="4" fillId="0" borderId="0" xfId="0" applyNumberFormat="1" applyFont="1"/>
    <xf numFmtId="168" fontId="4" fillId="0" borderId="28" xfId="0" applyNumberFormat="1" applyFont="1" applyBorder="1"/>
    <xf numFmtId="168" fontId="4" fillId="0" borderId="16" xfId="0" applyNumberFormat="1" applyFont="1" applyBorder="1"/>
    <xf numFmtId="168" fontId="4" fillId="0" borderId="29" xfId="0" applyNumberFormat="1" applyFont="1" applyBorder="1"/>
    <xf numFmtId="167" fontId="11" fillId="0" borderId="27" xfId="0" applyNumberFormat="1" applyFont="1" applyBorder="1"/>
    <xf numFmtId="167" fontId="11" fillId="0" borderId="18" xfId="0" applyNumberFormat="1" applyFont="1" applyBorder="1"/>
    <xf numFmtId="167" fontId="11" fillId="0" borderId="23" xfId="0" applyNumberFormat="1" applyFont="1" applyBorder="1"/>
    <xf numFmtId="0" fontId="12" fillId="0" borderId="25" xfId="0" applyFont="1" applyBorder="1"/>
    <xf numFmtId="0" fontId="14" fillId="0" borderId="25" xfId="0" applyFont="1" applyBorder="1" applyAlignment="1">
      <alignment horizontal="center"/>
    </xf>
    <xf numFmtId="0" fontId="14" fillId="0" borderId="0" xfId="0" applyFont="1" applyAlignment="1">
      <alignment horizontal="center"/>
    </xf>
    <xf numFmtId="167" fontId="14" fillId="0" borderId="0" xfId="0" applyNumberFormat="1" applyFont="1" applyAlignment="1">
      <alignment horizontal="center"/>
    </xf>
    <xf numFmtId="167" fontId="14" fillId="0" borderId="28" xfId="0" applyNumberFormat="1" applyFont="1" applyBorder="1" applyAlignment="1">
      <alignment horizontal="center"/>
    </xf>
    <xf numFmtId="167" fontId="4" fillId="0" borderId="16" xfId="0" applyNumberFormat="1" applyFont="1" applyBorder="1"/>
    <xf numFmtId="167" fontId="4" fillId="0" borderId="29" xfId="0" applyNumberFormat="1" applyFont="1" applyBorder="1"/>
    <xf numFmtId="0" fontId="11" fillId="0" borderId="41" xfId="0" applyFont="1" applyBorder="1"/>
    <xf numFmtId="167" fontId="11" fillId="0" borderId="42" xfId="0" applyNumberFormat="1" applyFont="1" applyBorder="1"/>
    <xf numFmtId="0" fontId="11" fillId="0" borderId="43" xfId="0" applyFont="1" applyBorder="1"/>
    <xf numFmtId="167" fontId="11" fillId="0" borderId="44" xfId="0" applyNumberFormat="1" applyFont="1" applyBorder="1"/>
    <xf numFmtId="10" fontId="3" fillId="0" borderId="26" xfId="0" applyNumberFormat="1" applyFont="1" applyBorder="1"/>
    <xf numFmtId="4" fontId="3" fillId="0" borderId="27" xfId="0" applyNumberFormat="1" applyFont="1" applyBorder="1"/>
    <xf numFmtId="10" fontId="3" fillId="0" borderId="25" xfId="0" applyNumberFormat="1" applyFont="1" applyBorder="1"/>
    <xf numFmtId="4" fontId="3" fillId="0" borderId="28" xfId="0" applyNumberFormat="1" applyFont="1" applyBorder="1"/>
    <xf numFmtId="10" fontId="3" fillId="0" borderId="24" xfId="0" applyNumberFormat="1" applyFont="1" applyBorder="1"/>
    <xf numFmtId="4" fontId="3" fillId="0" borderId="29" xfId="0" applyNumberFormat="1" applyFont="1" applyBorder="1"/>
    <xf numFmtId="0" fontId="4" fillId="8" borderId="25" xfId="0" applyFont="1" applyFill="1" applyBorder="1"/>
    <xf numFmtId="0" fontId="4" fillId="8" borderId="0" xfId="0" applyFont="1" applyFill="1"/>
    <xf numFmtId="172" fontId="4" fillId="8" borderId="25" xfId="0" applyNumberFormat="1" applyFont="1" applyFill="1" applyBorder="1"/>
    <xf numFmtId="172" fontId="4" fillId="8" borderId="28" xfId="0" applyNumberFormat="1" applyFont="1" applyFill="1" applyBorder="1"/>
    <xf numFmtId="175" fontId="4" fillId="8" borderId="25" xfId="1" applyNumberFormat="1" applyFont="1" applyFill="1" applyBorder="1"/>
    <xf numFmtId="175" fontId="4" fillId="8" borderId="28" xfId="1" applyNumberFormat="1" applyFont="1" applyFill="1" applyBorder="1"/>
    <xf numFmtId="173" fontId="4" fillId="8" borderId="25" xfId="1" applyNumberFormat="1" applyFont="1" applyFill="1" applyBorder="1"/>
    <xf numFmtId="173" fontId="4" fillId="8" borderId="28" xfId="1" applyNumberFormat="1" applyFont="1" applyFill="1" applyBorder="1"/>
    <xf numFmtId="169" fontId="4" fillId="8" borderId="25" xfId="1" applyNumberFormat="1" applyFont="1" applyFill="1" applyBorder="1"/>
    <xf numFmtId="169" fontId="4" fillId="8" borderId="28" xfId="1" applyNumberFormat="1" applyFont="1" applyFill="1" applyBorder="1"/>
    <xf numFmtId="0" fontId="4" fillId="8" borderId="24" xfId="0" applyFont="1" applyFill="1" applyBorder="1"/>
    <xf numFmtId="0" fontId="4" fillId="8" borderId="16" xfId="0" applyFont="1" applyFill="1" applyBorder="1"/>
    <xf numFmtId="10" fontId="4" fillId="8" borderId="24" xfId="1" applyNumberFormat="1" applyFont="1" applyFill="1" applyBorder="1"/>
    <xf numFmtId="10" fontId="4" fillId="8" borderId="29" xfId="1" applyNumberFormat="1" applyFont="1" applyFill="1" applyBorder="1"/>
    <xf numFmtId="0" fontId="11" fillId="6" borderId="22" xfId="0" applyFont="1" applyFill="1" applyBorder="1" applyAlignment="1">
      <alignment horizontal="right"/>
    </xf>
    <xf numFmtId="0" fontId="4" fillId="6" borderId="18" xfId="0" applyFont="1" applyFill="1" applyBorder="1"/>
    <xf numFmtId="0" fontId="17" fillId="0" borderId="0" xfId="0" applyFont="1" applyAlignment="1">
      <alignment horizontal="center"/>
    </xf>
    <xf numFmtId="167" fontId="23" fillId="0" borderId="0" xfId="0" applyNumberFormat="1" applyFont="1"/>
    <xf numFmtId="167" fontId="24" fillId="0" borderId="19" xfId="0" applyNumberFormat="1" applyFont="1" applyBorder="1"/>
    <xf numFmtId="167" fontId="23" fillId="0" borderId="28" xfId="0" applyNumberFormat="1" applyFont="1" applyBorder="1"/>
    <xf numFmtId="167" fontId="24" fillId="0" borderId="18" xfId="0" applyNumberFormat="1" applyFont="1" applyBorder="1"/>
    <xf numFmtId="168" fontId="23" fillId="0" borderId="0" xfId="0" applyNumberFormat="1" applyFont="1"/>
    <xf numFmtId="168" fontId="23" fillId="0" borderId="16" xfId="0" applyNumberFormat="1" applyFont="1" applyBorder="1"/>
    <xf numFmtId="169" fontId="25" fillId="2" borderId="1" xfId="1" applyNumberFormat="1" applyFont="1" applyFill="1" applyBorder="1"/>
    <xf numFmtId="169" fontId="23" fillId="0" borderId="0" xfId="0" applyNumberFormat="1" applyFont="1"/>
    <xf numFmtId="167" fontId="26" fillId="0" borderId="0" xfId="0" applyNumberFormat="1" applyFont="1"/>
    <xf numFmtId="0" fontId="26" fillId="0" borderId="0" xfId="0" applyFont="1"/>
    <xf numFmtId="1" fontId="26" fillId="0" borderId="0" xfId="0" applyNumberFormat="1" applyFont="1"/>
    <xf numFmtId="169" fontId="26" fillId="0" borderId="0" xfId="0" applyNumberFormat="1" applyFont="1"/>
    <xf numFmtId="167" fontId="27" fillId="0" borderId="15" xfId="0" applyNumberFormat="1" applyFont="1" applyBorder="1"/>
    <xf numFmtId="10" fontId="23" fillId="0" borderId="0" xfId="0" applyNumberFormat="1" applyFont="1"/>
    <xf numFmtId="0" fontId="0" fillId="0" borderId="0" xfId="0" applyAlignment="1">
      <alignment horizontal="center"/>
    </xf>
    <xf numFmtId="0" fontId="4" fillId="0" borderId="26" xfId="0" applyFont="1" applyBorder="1"/>
    <xf numFmtId="0" fontId="0" fillId="0" borderId="28" xfId="0" applyBorder="1"/>
    <xf numFmtId="0" fontId="3" fillId="0" borderId="25" xfId="0" applyFont="1" applyBorder="1"/>
    <xf numFmtId="169" fontId="28" fillId="0" borderId="0" xfId="1" applyNumberFormat="1" applyFont="1" applyBorder="1"/>
    <xf numFmtId="169" fontId="28" fillId="0" borderId="28" xfId="1" applyNumberFormat="1" applyFont="1" applyBorder="1"/>
    <xf numFmtId="0" fontId="3" fillId="0" borderId="24" xfId="0" applyFont="1" applyBorder="1"/>
    <xf numFmtId="169" fontId="28" fillId="0" borderId="16" xfId="1" applyNumberFormat="1" applyFont="1" applyBorder="1"/>
    <xf numFmtId="169" fontId="28" fillId="0" borderId="29" xfId="1" applyNumberFormat="1" applyFont="1" applyBorder="1"/>
    <xf numFmtId="0" fontId="9" fillId="3" borderId="22" xfId="0" applyFont="1" applyFill="1" applyBorder="1"/>
    <xf numFmtId="0" fontId="10" fillId="3" borderId="18" xfId="0" applyFont="1" applyFill="1" applyBorder="1"/>
    <xf numFmtId="165" fontId="9" fillId="3" borderId="18" xfId="0" applyNumberFormat="1" applyFont="1" applyFill="1" applyBorder="1"/>
    <xf numFmtId="166" fontId="9" fillId="3" borderId="18" xfId="0" applyNumberFormat="1" applyFont="1" applyFill="1" applyBorder="1"/>
    <xf numFmtId="166" fontId="9" fillId="3" borderId="23" xfId="0" applyNumberFormat="1" applyFont="1" applyFill="1" applyBorder="1"/>
    <xf numFmtId="167" fontId="0" fillId="0" borderId="0" xfId="0" applyNumberFormat="1" applyAlignment="1">
      <alignment horizontal="center"/>
    </xf>
    <xf numFmtId="167" fontId="3" fillId="0" borderId="0" xfId="0" applyNumberFormat="1" applyFont="1" applyAlignment="1">
      <alignment horizontal="center"/>
    </xf>
    <xf numFmtId="167" fontId="0" fillId="0" borderId="28" xfId="0" applyNumberFormat="1" applyBorder="1" applyAlignment="1">
      <alignment horizontal="center"/>
    </xf>
    <xf numFmtId="167" fontId="3" fillId="0" borderId="16" xfId="0" applyNumberFormat="1" applyFont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 vertical="center" textRotation="90"/>
    </xf>
    <xf numFmtId="0" fontId="9" fillId="3" borderId="24" xfId="0" applyFont="1" applyFill="1" applyBorder="1" applyAlignment="1">
      <alignment horizontal="center" vertical="center" textRotation="90"/>
    </xf>
    <xf numFmtId="0" fontId="4" fillId="0" borderId="25" xfId="3" applyFont="1" applyBorder="1"/>
    <xf numFmtId="0" fontId="4" fillId="0" borderId="28" xfId="3" applyFont="1" applyBorder="1"/>
    <xf numFmtId="0" fontId="9" fillId="3" borderId="26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left"/>
    </xf>
    <xf numFmtId="0" fontId="11" fillId="6" borderId="23" xfId="0" applyFont="1" applyFill="1" applyBorder="1" applyAlignment="1">
      <alignment horizontal="left"/>
    </xf>
    <xf numFmtId="0" fontId="4" fillId="0" borderId="26" xfId="3" applyFont="1" applyBorder="1"/>
    <xf numFmtId="0" fontId="4" fillId="0" borderId="27" xfId="3" applyFont="1" applyBorder="1"/>
    <xf numFmtId="0" fontId="4" fillId="2" borderId="12" xfId="2" applyFont="1" applyBorder="1" applyAlignment="1">
      <alignment horizontal="right"/>
    </xf>
    <xf numFmtId="0" fontId="4" fillId="2" borderId="13" xfId="2" applyFont="1" applyBorder="1" applyAlignment="1">
      <alignment horizontal="right"/>
    </xf>
    <xf numFmtId="14" fontId="4" fillId="2" borderId="12" xfId="2" applyNumberFormat="1" applyFont="1" applyBorder="1" applyAlignment="1">
      <alignment horizontal="right"/>
    </xf>
    <xf numFmtId="14" fontId="4" fillId="2" borderId="13" xfId="2" applyNumberFormat="1" applyFont="1" applyBorder="1" applyAlignment="1">
      <alignment horizontal="right"/>
    </xf>
    <xf numFmtId="1" fontId="4" fillId="2" borderId="12" xfId="2" applyNumberFormat="1" applyFont="1" applyBorder="1" applyAlignment="1">
      <alignment horizontal="right"/>
    </xf>
    <xf numFmtId="1" fontId="4" fillId="2" borderId="13" xfId="2" applyNumberFormat="1" applyFont="1" applyBorder="1" applyAlignment="1">
      <alignment horizontal="right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Hyperlink" xfId="3" builtinId="8"/>
    <cellStyle name="Normal" xfId="0" builtinId="0"/>
    <cellStyle name="Note" xfId="2" builtinId="10"/>
    <cellStyle name="Percent" xfId="1" builtinId="5"/>
  </cellStyles>
  <dxfs count="0"/>
  <tableStyles count="0" defaultTableStyle="TableStyleMedium2" defaultPivotStyle="PivotStyleLight16"/>
  <colors>
    <mruColors>
      <color rgb="FF0000FF"/>
      <color rgb="FF001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cmpd="dbl"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 cmpd="dbl"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Football</a:t>
            </a:r>
            <a:r>
              <a:rPr lang="en-US" baseline="0">
                <a:ln cmpd="dbl"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cmpd="dbl"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Summary!$E$18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Summary!$C$19:$C$24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52 - wk range</c:v>
                </c:pt>
              </c:strCache>
            </c:strRef>
          </c:cat>
          <c:val>
            <c:numRef>
              <c:f>Summary!$E$19:$E$24</c:f>
              <c:numCache>
                <c:formatCode>_ [$₹-4009]\ * #,##0.00_ ;_ [$₹-4009]\ * \-#,##0.00_ ;_ [$₹-4009]\ * "-"??_ ;_ @_ </c:formatCode>
                <c:ptCount val="6"/>
                <c:pt idx="0">
                  <c:v>922.84985824897581</c:v>
                </c:pt>
                <c:pt idx="1">
                  <c:v>439.52696309223802</c:v>
                </c:pt>
                <c:pt idx="2">
                  <c:v>19.295346447833584</c:v>
                </c:pt>
                <c:pt idx="3">
                  <c:v>759.41962254517534</c:v>
                </c:pt>
                <c:pt idx="4">
                  <c:v>6.8709481682888124E-2</c:v>
                </c:pt>
                <c:pt idx="5">
                  <c:v>1293.4000000000001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E-4944-8B37-FD81A6BC2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176879"/>
        <c:axId val="1034173999"/>
      </c:barChart>
      <c:catAx>
        <c:axId val="103417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3999"/>
        <c:crosses val="autoZero"/>
        <c:auto val="1"/>
        <c:lblAlgn val="ctr"/>
        <c:lblOffset val="100"/>
        <c:noMultiLvlLbl val="0"/>
      </c:catAx>
      <c:valAx>
        <c:axId val="1034173999"/>
        <c:scaling>
          <c:orientation val="minMax"/>
          <c:max val="1500"/>
          <c:min val="100"/>
        </c:scaling>
        <c:delete val="0"/>
        <c:axPos val="b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7</xdr:row>
      <xdr:rowOff>7620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12621-D0DE-4340-9CEE-266E3022B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0.32822</cdr:x>
      <cdr:y>0.20873</cdr:y>
    </cdr:from>
    <cdr:to>
      <cdr:x>0.32959</cdr:x>
      <cdr:y>0.89154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5B85060A-FFAB-0960-8613-23700D30E91E}"/>
            </a:ext>
          </a:extLst>
        </cdr:cNvPr>
        <cdr:cNvCxnSpPr/>
      </cdr:nvCxnSpPr>
      <cdr:spPr>
        <a:xfrm xmlns:a="http://schemas.openxmlformats.org/drawingml/2006/main" flipV="1">
          <a:off x="1950941" y="602800"/>
          <a:ext cx="8176" cy="1971938"/>
        </a:xfrm>
        <a:prstGeom xmlns:a="http://schemas.openxmlformats.org/drawingml/2006/main" prst="line">
          <a:avLst/>
        </a:prstGeom>
        <a:ln xmlns:a="http://schemas.openxmlformats.org/drawingml/2006/main" w="25400" cap="rnd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0.50959</cdr:x>
      <cdr:y>0.2055</cdr:y>
    </cdr:from>
    <cdr:to>
      <cdr:x>0.51097</cdr:x>
      <cdr:y>0.88831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6D68C57-426D-9B47-8271-0EA01A375D3A}"/>
            </a:ext>
          </a:extLst>
        </cdr:cNvPr>
        <cdr:cNvCxnSpPr/>
      </cdr:nvCxnSpPr>
      <cdr:spPr>
        <a:xfrm xmlns:a="http://schemas.openxmlformats.org/drawingml/2006/main" flipV="1">
          <a:off x="3029042" y="593475"/>
          <a:ext cx="8176" cy="1971938"/>
        </a:xfrm>
        <a:prstGeom xmlns:a="http://schemas.openxmlformats.org/drawingml/2006/main" prst="line">
          <a:avLst/>
        </a:prstGeom>
        <a:ln xmlns:a="http://schemas.openxmlformats.org/drawingml/2006/main" w="25400" cap="rnd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ldric Sequeira" id="{E5E15F66-15AD-4AB4-9C65-07DF4EAB611C}" userId="0ddc4418f254580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6-03-22T20:07:45.09" personId="{E5E15F66-15AD-4AB4-9C65-07DF4EAB611C}" id="{CFA948A3-C308-4888-A4E5-2FF8E72C580B}">
    <text>1. Base Case
2. Conservative Case (Worst)
3. Optimistic Case (Best)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F742-B9F8-4B2E-B6D2-84470008F5B1}">
  <dimension ref="B2:L30"/>
  <sheetViews>
    <sheetView showGridLines="0" workbookViewId="0">
      <selection activeCell="E14" sqref="E14"/>
    </sheetView>
  </sheetViews>
  <sheetFormatPr defaultRowHeight="13.2" x14ac:dyDescent="0.25"/>
  <cols>
    <col min="1" max="2" width="2.88671875" style="1" customWidth="1"/>
    <col min="3" max="3" width="16" style="1" customWidth="1"/>
    <col min="4" max="4" width="3.6640625" style="1" customWidth="1"/>
    <col min="5" max="7" width="12.77734375" style="1" customWidth="1"/>
    <col min="8" max="8" width="2.88671875" style="1" customWidth="1"/>
    <col min="9" max="9" width="12.77734375" style="1" customWidth="1"/>
    <col min="10" max="10" width="11.6640625" style="1" customWidth="1"/>
    <col min="11" max="11" width="14.33203125" style="1" customWidth="1"/>
    <col min="12" max="12" width="12.77734375" style="1" customWidth="1"/>
    <col min="13" max="16384" width="8.88671875" style="1"/>
  </cols>
  <sheetData>
    <row r="2" spans="2:12" ht="13.8" x14ac:dyDescent="0.25">
      <c r="C2" s="15" t="s">
        <v>78</v>
      </c>
      <c r="D2" s="2"/>
      <c r="E2" s="2"/>
      <c r="F2" s="2"/>
      <c r="G2" s="2"/>
      <c r="H2" s="2"/>
      <c r="I2" s="2"/>
      <c r="J2" s="2"/>
      <c r="K2" s="2"/>
      <c r="L2" s="2"/>
    </row>
    <row r="3" spans="2:12" x14ac:dyDescent="0.25">
      <c r="C3" s="16" t="s">
        <v>79</v>
      </c>
      <c r="D3" s="2"/>
      <c r="E3" s="2"/>
      <c r="F3" s="2"/>
      <c r="G3" s="2"/>
      <c r="H3" s="2"/>
      <c r="I3" s="2"/>
      <c r="J3" s="2"/>
      <c r="K3" s="2"/>
      <c r="L3" s="2"/>
    </row>
    <row r="4" spans="2:12" x14ac:dyDescent="0.25">
      <c r="C4" s="17" t="s">
        <v>80</v>
      </c>
      <c r="D4" s="2"/>
      <c r="E4" s="2"/>
      <c r="F4" s="2"/>
      <c r="G4" s="2"/>
      <c r="H4" s="2"/>
      <c r="I4" s="2"/>
      <c r="J4" s="2"/>
      <c r="K4" s="2"/>
      <c r="L4" s="2"/>
    </row>
    <row r="6" spans="2:12" ht="13.8" x14ac:dyDescent="0.25">
      <c r="B6" s="18" t="s">
        <v>94</v>
      </c>
      <c r="C6" s="16" t="s">
        <v>79</v>
      </c>
      <c r="D6" s="15"/>
      <c r="E6" s="15"/>
      <c r="F6" s="15"/>
      <c r="G6" s="15"/>
      <c r="H6" s="15"/>
      <c r="I6" s="15"/>
      <c r="J6" s="15"/>
      <c r="K6" s="15"/>
      <c r="L6" s="15"/>
    </row>
    <row r="7" spans="2:12" x14ac:dyDescent="0.25">
      <c r="B7" s="18"/>
    </row>
    <row r="8" spans="2:12" x14ac:dyDescent="0.25">
      <c r="B8" s="18"/>
      <c r="C8" s="18" t="s">
        <v>131</v>
      </c>
      <c r="E8" s="331" t="str">
        <f>C2</f>
        <v>Lloyds Metal &amp; Energy Ltd.</v>
      </c>
      <c r="F8" s="332"/>
    </row>
    <row r="9" spans="2:12" x14ac:dyDescent="0.25">
      <c r="B9" s="18"/>
      <c r="C9" s="18" t="s">
        <v>132</v>
      </c>
      <c r="E9" s="331" t="s">
        <v>145</v>
      </c>
      <c r="F9" s="332"/>
    </row>
    <row r="10" spans="2:12" x14ac:dyDescent="0.25">
      <c r="B10" s="18"/>
      <c r="C10" s="18" t="s">
        <v>133</v>
      </c>
      <c r="E10" s="333">
        <f ca="1">TODAY()</f>
        <v>46106</v>
      </c>
      <c r="F10" s="334"/>
    </row>
    <row r="11" spans="2:12" x14ac:dyDescent="0.25">
      <c r="B11" s="18"/>
      <c r="C11" s="18" t="s">
        <v>174</v>
      </c>
      <c r="E11" s="333" t="s">
        <v>156</v>
      </c>
      <c r="F11" s="334"/>
    </row>
    <row r="12" spans="2:12" x14ac:dyDescent="0.25">
      <c r="B12" s="18"/>
      <c r="C12" s="18" t="s">
        <v>175</v>
      </c>
      <c r="E12" s="335">
        <v>365</v>
      </c>
      <c r="F12" s="336"/>
    </row>
    <row r="13" spans="2:12" x14ac:dyDescent="0.25">
      <c r="B13" s="18"/>
    </row>
    <row r="14" spans="2:12" x14ac:dyDescent="0.25">
      <c r="B14" s="18"/>
      <c r="C14" s="18" t="s">
        <v>134</v>
      </c>
      <c r="E14" s="242">
        <v>1</v>
      </c>
    </row>
    <row r="15" spans="2:12" x14ac:dyDescent="0.25">
      <c r="B15" s="18"/>
    </row>
    <row r="16" spans="2:12" x14ac:dyDescent="0.25">
      <c r="B16" s="18" t="s">
        <v>94</v>
      </c>
      <c r="C16" s="326" t="s">
        <v>334</v>
      </c>
      <c r="D16" s="320"/>
      <c r="E16" s="320"/>
      <c r="F16" s="321"/>
      <c r="H16" s="51" t="s">
        <v>94</v>
      </c>
      <c r="I16" s="226" t="s">
        <v>380</v>
      </c>
      <c r="J16" s="226"/>
      <c r="K16" s="226"/>
      <c r="L16" s="226"/>
    </row>
    <row r="17" spans="2:12" x14ac:dyDescent="0.25">
      <c r="C17" s="285" t="s">
        <v>335</v>
      </c>
      <c r="D17" s="286"/>
      <c r="E17" s="327" t="s">
        <v>336</v>
      </c>
      <c r="F17" s="328"/>
      <c r="I17" s="222" t="s">
        <v>146</v>
      </c>
      <c r="J17" s="223"/>
      <c r="K17" s="224" t="s">
        <v>155</v>
      </c>
      <c r="L17" s="225" t="s">
        <v>154</v>
      </c>
    </row>
    <row r="18" spans="2:12" x14ac:dyDescent="0.25">
      <c r="C18" s="303">
        <v>1</v>
      </c>
      <c r="D18" s="88"/>
      <c r="E18" s="329" t="s">
        <v>79</v>
      </c>
      <c r="F18" s="330"/>
      <c r="I18" s="271" t="s">
        <v>152</v>
      </c>
      <c r="J18" s="272"/>
      <c r="K18" s="273">
        <v>1246</v>
      </c>
      <c r="L18" s="274">
        <f>K18</f>
        <v>1246</v>
      </c>
    </row>
    <row r="19" spans="2:12" x14ac:dyDescent="0.25">
      <c r="C19" s="93">
        <v>2</v>
      </c>
      <c r="E19" s="324" t="s">
        <v>329</v>
      </c>
      <c r="F19" s="325"/>
      <c r="I19" s="271" t="s">
        <v>153</v>
      </c>
      <c r="J19" s="272"/>
      <c r="K19" s="273">
        <f ca="1">DCF!G39</f>
        <v>922.84985824897581</v>
      </c>
      <c r="L19" s="274">
        <f ca="1">DCF!G115</f>
        <v>1204.5544186768072</v>
      </c>
    </row>
    <row r="20" spans="2:12" x14ac:dyDescent="0.25">
      <c r="C20" s="93">
        <v>3</v>
      </c>
      <c r="E20" s="324" t="s">
        <v>374</v>
      </c>
      <c r="F20" s="325"/>
      <c r="I20" s="271" t="s">
        <v>147</v>
      </c>
      <c r="J20" s="272"/>
      <c r="K20" s="275">
        <f ca="1">K19/K18-1</f>
        <v>-0.25935003350804509</v>
      </c>
      <c r="L20" s="276">
        <f ca="1">L19/L18-1</f>
        <v>-3.3262906358902722E-2</v>
      </c>
    </row>
    <row r="21" spans="2:12" x14ac:dyDescent="0.25">
      <c r="C21" s="93">
        <v>4</v>
      </c>
      <c r="E21" s="324" t="s">
        <v>375</v>
      </c>
      <c r="F21" s="325"/>
      <c r="I21" s="271" t="s">
        <v>333</v>
      </c>
      <c r="J21" s="272"/>
      <c r="K21" s="277">
        <f>K18/Financials!J41</f>
        <v>47.702909647779478</v>
      </c>
      <c r="L21" s="278">
        <f>L18/Financials!K41</f>
        <v>21.920664707573341</v>
      </c>
    </row>
    <row r="22" spans="2:12" x14ac:dyDescent="0.25">
      <c r="C22" s="93">
        <v>5</v>
      </c>
      <c r="E22" s="324" t="s">
        <v>376</v>
      </c>
      <c r="F22" s="325"/>
      <c r="I22" s="271" t="s">
        <v>148</v>
      </c>
      <c r="J22" s="272"/>
      <c r="K22" s="279">
        <f>Financials!J37/Financials!J77</f>
        <v>0.2264749801628213</v>
      </c>
      <c r="L22" s="280">
        <f>Financials!K37/Financials!K77</f>
        <v>0.33492419784942123</v>
      </c>
    </row>
    <row r="23" spans="2:12" x14ac:dyDescent="0.25">
      <c r="C23" s="93">
        <v>6</v>
      </c>
      <c r="E23" s="324" t="s">
        <v>377</v>
      </c>
      <c r="F23" s="325"/>
      <c r="I23" s="271" t="s">
        <v>330</v>
      </c>
      <c r="J23" s="272"/>
      <c r="K23" s="279">
        <f>Financials!J37/Financials!J72</f>
        <v>0.15396999012413867</v>
      </c>
      <c r="L23" s="280">
        <f>Financials!K37/Financials!K72</f>
        <v>0.18320356804774646</v>
      </c>
    </row>
    <row r="24" spans="2:12" x14ac:dyDescent="0.25">
      <c r="C24" s="93">
        <v>7</v>
      </c>
      <c r="E24" s="324" t="s">
        <v>224</v>
      </c>
      <c r="F24" s="325"/>
      <c r="I24" s="271" t="s">
        <v>149</v>
      </c>
      <c r="J24" s="272"/>
      <c r="K24" s="279">
        <f>Financials!J32/(Financials!J72-Financials!J96)</f>
        <v>0.25964577388027432</v>
      </c>
      <c r="L24" s="280">
        <f>Financials!K32/(Financials!K72-Financials!K96)</f>
        <v>0.27443034308809433</v>
      </c>
    </row>
    <row r="25" spans="2:12" x14ac:dyDescent="0.25">
      <c r="C25" s="93">
        <v>8</v>
      </c>
      <c r="E25" s="324" t="s">
        <v>222</v>
      </c>
      <c r="F25" s="325"/>
      <c r="I25" s="271" t="s">
        <v>151</v>
      </c>
      <c r="J25" s="272"/>
      <c r="K25" s="273">
        <f>Financials!J41</f>
        <v>26.12</v>
      </c>
      <c r="L25" s="274">
        <f>Financials!K41</f>
        <v>56.841342022330245</v>
      </c>
    </row>
    <row r="26" spans="2:12" x14ac:dyDescent="0.25">
      <c r="C26" s="93">
        <v>9</v>
      </c>
      <c r="E26" s="324" t="s">
        <v>239</v>
      </c>
      <c r="F26" s="325"/>
      <c r="I26" s="271" t="s">
        <v>332</v>
      </c>
      <c r="J26" s="272"/>
      <c r="K26" s="273">
        <f>Assumptions!J81</f>
        <v>52.28</v>
      </c>
      <c r="L26" s="274">
        <f>Assumptions!K81</f>
        <v>315.63997224999986</v>
      </c>
    </row>
    <row r="27" spans="2:12" x14ac:dyDescent="0.25">
      <c r="C27" s="93">
        <v>10</v>
      </c>
      <c r="E27" s="324" t="s">
        <v>378</v>
      </c>
      <c r="F27" s="325"/>
      <c r="I27" s="281" t="s">
        <v>150</v>
      </c>
      <c r="J27" s="282"/>
      <c r="K27" s="283">
        <f>K26/Financials!J37</f>
        <v>3.6057161774442695E-2</v>
      </c>
      <c r="L27" s="284">
        <f>L26/Financials!K37</f>
        <v>0.1</v>
      </c>
    </row>
    <row r="28" spans="2:12" x14ac:dyDescent="0.25">
      <c r="C28" s="220">
        <v>11</v>
      </c>
      <c r="D28" s="63"/>
      <c r="E28" s="241" t="s">
        <v>381</v>
      </c>
      <c r="F28" s="221"/>
    </row>
    <row r="30" spans="2:12" x14ac:dyDescent="0.25">
      <c r="B30" s="18" t="s">
        <v>94</v>
      </c>
      <c r="C30" s="226" t="s">
        <v>193</v>
      </c>
    </row>
  </sheetData>
  <mergeCells count="17">
    <mergeCell ref="E8:F8"/>
    <mergeCell ref="E9:F9"/>
    <mergeCell ref="E10:F10"/>
    <mergeCell ref="E11:F11"/>
    <mergeCell ref="E12:F12"/>
    <mergeCell ref="C16:F16"/>
    <mergeCell ref="E17:F17"/>
    <mergeCell ref="E18:F18"/>
    <mergeCell ref="E19:F19"/>
    <mergeCell ref="E20:F20"/>
    <mergeCell ref="E26:F26"/>
    <mergeCell ref="E27:F27"/>
    <mergeCell ref="E21:F21"/>
    <mergeCell ref="E22:F22"/>
    <mergeCell ref="E23:F23"/>
    <mergeCell ref="E24:F24"/>
    <mergeCell ref="E25:F25"/>
  </mergeCells>
  <dataValidations count="1">
    <dataValidation type="list" allowBlank="1" showInputMessage="1" showErrorMessage="1" sqref="E14" xr:uid="{756B9AB5-0C78-4335-97CA-648A60C2E2D1}">
      <formula1>"1,2,3"</formula1>
    </dataValidation>
  </dataValidations>
  <hyperlinks>
    <hyperlink ref="E18:F18" location="Dashboard!A1" display="Dashboard" xr:uid="{1475F42B-CF40-4CFD-A39D-28951DE173E3}"/>
    <hyperlink ref="E19:F19" location="Summary!A1" display="Summary" xr:uid="{FDA4ACFE-37CE-4404-B54D-2A9E1FBD6117}"/>
    <hyperlink ref="E20:F20" location="Financials!A1" display="Financials" xr:uid="{49176D75-92D4-49F3-9263-43AA039225CD}"/>
    <hyperlink ref="E21:F21" location="Assumptions!A1" display="Assuptions" xr:uid="{94C9415F-5A23-411C-9594-8538AF95E564}"/>
    <hyperlink ref="E22:F22" location="Schedule!A1" display="Schedule" xr:uid="{8AFAA1AA-3DDE-4E20-857A-2D93F5C02A1A}"/>
    <hyperlink ref="E23:F23" location="Comps!A1" display="Company Comparables" xr:uid="{5AA8A317-F818-4B63-9A6B-97E75861A28C}"/>
    <hyperlink ref="E24:F24" location="DCF!A1" display="DCF" xr:uid="{6D98C216-59DA-4BA0-B877-6B9557686580}"/>
    <hyperlink ref="E25:F25" location="WACC!A1" display="WACC" xr:uid="{AB6DDB24-8FB9-416E-B974-B9A089533550}"/>
    <hyperlink ref="E26:F26" location="Beta!A1" display="Beta" xr:uid="{04C6D6D4-82DB-4E73-B4EC-337B948B3C17}"/>
    <hyperlink ref="E27:F27" location="'Ratio Analysis'!A1" display="Ratio Analysis" xr:uid="{451012D5-6FEC-4960-A89E-D00BB1F862FF}"/>
    <hyperlink ref="E28" location="Analysis!A1" display="Analysis" xr:uid="{0537C862-57E0-4E89-ADA2-DF76B7682F72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1C27-4CEF-4417-9FA0-5F9880818C68}">
  <dimension ref="B2:P26"/>
  <sheetViews>
    <sheetView showGridLines="0" zoomScaleNormal="100" workbookViewId="0">
      <selection activeCell="H25" sqref="H25"/>
    </sheetView>
  </sheetViews>
  <sheetFormatPr defaultRowHeight="13.2" x14ac:dyDescent="0.25"/>
  <cols>
    <col min="1" max="2" width="2.88671875" style="1" customWidth="1"/>
    <col min="3" max="3" width="16.109375" style="1" customWidth="1"/>
    <col min="4" max="16" width="12.77734375" style="1" customWidth="1"/>
    <col min="17" max="16384" width="8.88671875" style="1"/>
  </cols>
  <sheetData>
    <row r="2" spans="2:16" x14ac:dyDescent="0.25"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C3" s="16" t="s">
        <v>329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x14ac:dyDescent="0.25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2:16" ht="14.4" x14ac:dyDescent="0.3">
      <c r="C6" s="243" t="s">
        <v>379</v>
      </c>
    </row>
    <row r="8" spans="2:16" x14ac:dyDescent="0.25">
      <c r="B8" s="51" t="s">
        <v>94</v>
      </c>
      <c r="C8" s="16" t="s">
        <v>146</v>
      </c>
      <c r="D8" s="2"/>
      <c r="E8" s="2"/>
      <c r="F8" s="2"/>
      <c r="G8" s="2"/>
      <c r="H8" s="2"/>
      <c r="I8" s="2"/>
    </row>
    <row r="9" spans="2:16" x14ac:dyDescent="0.25">
      <c r="B9" s="18"/>
    </row>
    <row r="10" spans="2:16" x14ac:dyDescent="0.25">
      <c r="B10" s="18"/>
      <c r="C10" s="209" t="s">
        <v>324</v>
      </c>
      <c r="D10" s="213" t="s">
        <v>224</v>
      </c>
      <c r="E10" s="214" t="s">
        <v>320</v>
      </c>
      <c r="F10" s="214" t="s">
        <v>304</v>
      </c>
      <c r="G10" s="214" t="s">
        <v>305</v>
      </c>
      <c r="H10" s="214" t="s">
        <v>306</v>
      </c>
      <c r="I10" s="215" t="s">
        <v>325</v>
      </c>
    </row>
    <row r="11" spans="2:16" x14ac:dyDescent="0.25">
      <c r="B11" s="18"/>
      <c r="C11" s="203" t="s">
        <v>296</v>
      </c>
      <c r="D11" s="109">
        <f>DCF!M45</f>
        <v>962.1073642875607</v>
      </c>
      <c r="E11" s="101">
        <f>Comps!S31</f>
        <v>411.08172946054503</v>
      </c>
      <c r="F11" s="101">
        <f ca="1">Comps!T31</f>
        <v>13.582105935268991</v>
      </c>
      <c r="G11" s="101">
        <f ca="1">Comps!U31</f>
        <v>398.57591420894988</v>
      </c>
      <c r="H11" s="101">
        <f>Comps!V31</f>
        <v>8.8381484620524125E-3</v>
      </c>
      <c r="I11" s="102">
        <f>Comps!E40</f>
        <v>1302.2736363636361</v>
      </c>
    </row>
    <row r="12" spans="2:16" x14ac:dyDescent="0.25">
      <c r="B12" s="18"/>
      <c r="C12" s="203" t="s">
        <v>217</v>
      </c>
      <c r="D12" s="109">
        <f>DCF!M46</f>
        <v>922.84985824897581</v>
      </c>
      <c r="E12" s="101">
        <f>Comps!S32</f>
        <v>439.52696309223802</v>
      </c>
      <c r="F12" s="101">
        <f ca="1">Comps!T32</f>
        <v>19.295346447833584</v>
      </c>
      <c r="G12" s="101">
        <f ca="1">Comps!U32</f>
        <v>759.41962254517534</v>
      </c>
      <c r="H12" s="101">
        <f>Comps!V32</f>
        <v>6.8709481682888124E-2</v>
      </c>
      <c r="I12" s="102">
        <f>Comps!E41</f>
        <v>1293.4000000000001</v>
      </c>
    </row>
    <row r="13" spans="2:16" x14ac:dyDescent="0.25">
      <c r="B13" s="18"/>
      <c r="C13" s="203" t="s">
        <v>295</v>
      </c>
      <c r="D13" s="109">
        <f>DCF!M47</f>
        <v>1341.0952507657694</v>
      </c>
      <c r="E13" s="101">
        <f>Comps!S33</f>
        <v>383.25860139306337</v>
      </c>
      <c r="F13" s="101">
        <f ca="1">Comps!T33</f>
        <v>9.3316268349478051</v>
      </c>
      <c r="G13" s="101">
        <f ca="1">Comps!U33</f>
        <v>437.76768090771452</v>
      </c>
      <c r="H13" s="101">
        <f>Comps!V33</f>
        <v>2.8283967684287665E-2</v>
      </c>
      <c r="I13" s="102">
        <f>Comps!E42</f>
        <v>1351.25</v>
      </c>
    </row>
    <row r="14" spans="2:16" x14ac:dyDescent="0.25">
      <c r="B14" s="18"/>
      <c r="C14" s="204" t="s">
        <v>297</v>
      </c>
      <c r="D14" s="110">
        <f>DCF!M48</f>
        <v>392.24085393536745</v>
      </c>
      <c r="E14" s="104">
        <f>Comps!S34</f>
        <v>657.64480123889109</v>
      </c>
      <c r="F14" s="104">
        <f ca="1">Comps!T34</f>
        <v>30.366262144374701</v>
      </c>
      <c r="G14" s="104">
        <f ca="1">Comps!U34</f>
        <v>920.74462901374932</v>
      </c>
      <c r="H14" s="104">
        <f>Comps!V34</f>
        <v>6.5404874730782672E-2</v>
      </c>
      <c r="I14" s="105">
        <f>Comps!E43</f>
        <v>1226</v>
      </c>
    </row>
    <row r="15" spans="2:16" x14ac:dyDescent="0.25">
      <c r="B15" s="18"/>
    </row>
    <row r="16" spans="2:16" x14ac:dyDescent="0.25">
      <c r="B16" s="51" t="s">
        <v>94</v>
      </c>
      <c r="C16" s="16" t="s">
        <v>326</v>
      </c>
      <c r="D16" s="2"/>
      <c r="E16" s="2"/>
      <c r="F16" s="2"/>
      <c r="G16" s="2"/>
      <c r="H16" s="2"/>
      <c r="I16" s="2"/>
    </row>
    <row r="18" spans="2:6" x14ac:dyDescent="0.25">
      <c r="C18" s="210" t="s">
        <v>324</v>
      </c>
      <c r="D18" s="211" t="s">
        <v>327</v>
      </c>
      <c r="E18" s="211" t="s">
        <v>295</v>
      </c>
      <c r="F18" s="212" t="s">
        <v>328</v>
      </c>
    </row>
    <row r="19" spans="2:6" x14ac:dyDescent="0.25">
      <c r="C19" s="203" t="str">
        <f t="array" ref="C19:C24">TRANSPOSE(D10:I10)</f>
        <v>DCF</v>
      </c>
      <c r="D19" s="106">
        <f t="array" ref="D19:D24">TRANSPOSE(D14:I14)</f>
        <v>392.24085393536745</v>
      </c>
      <c r="E19" s="107" cm="1">
        <f t="array" aca="1" ref="E19:E24" ca="1">TRANSPOSE(D12:I12)</f>
        <v>922.84985824897581</v>
      </c>
      <c r="F19" s="108">
        <f t="array" ref="F19:F24">TRANSPOSE(D11:I11)</f>
        <v>962.1073642875607</v>
      </c>
    </row>
    <row r="20" spans="2:6" x14ac:dyDescent="0.25">
      <c r="C20" s="203" t="str">
        <v>EV / Revenue</v>
      </c>
      <c r="D20" s="109">
        <v>657.64480123889109</v>
      </c>
      <c r="E20" s="101">
        <f ca="1"/>
        <v>439.52696309223802</v>
      </c>
      <c r="F20" s="102">
        <v>411.08172946054503</v>
      </c>
    </row>
    <row r="21" spans="2:6" x14ac:dyDescent="0.25">
      <c r="C21" s="203" t="str">
        <v>EV / EBITDA</v>
      </c>
      <c r="D21" s="109">
        <f ca="1"/>
        <v>30.366262144374701</v>
      </c>
      <c r="E21" s="101">
        <f ca="1"/>
        <v>19.295346447833584</v>
      </c>
      <c r="F21" s="102">
        <f ca="1"/>
        <v>13.582105935268991</v>
      </c>
    </row>
    <row r="22" spans="2:6" x14ac:dyDescent="0.25">
      <c r="C22" s="203" t="str">
        <v>P / Sales</v>
      </c>
      <c r="D22" s="109">
        <f ca="1"/>
        <v>920.74462901374932</v>
      </c>
      <c r="E22" s="101">
        <f ca="1"/>
        <v>759.41962254517534</v>
      </c>
      <c r="F22" s="102">
        <f ca="1"/>
        <v>398.57591420894988</v>
      </c>
    </row>
    <row r="23" spans="2:6" x14ac:dyDescent="0.25">
      <c r="C23" s="203" t="str">
        <v>P / E</v>
      </c>
      <c r="D23" s="109">
        <v>6.5404874730782672E-2</v>
      </c>
      <c r="E23" s="101">
        <f ca="1"/>
        <v>6.8709481682888124E-2</v>
      </c>
      <c r="F23" s="102">
        <v>8.8381484620524125E-3</v>
      </c>
    </row>
    <row r="24" spans="2:6" x14ac:dyDescent="0.25">
      <c r="C24" s="204" t="str">
        <v>52 - wk range</v>
      </c>
      <c r="D24" s="110">
        <v>1226</v>
      </c>
      <c r="E24" s="104">
        <f ca="1"/>
        <v>1293.4000000000001</v>
      </c>
      <c r="F24" s="105">
        <v>1302.2736363636361</v>
      </c>
    </row>
    <row r="26" spans="2:6" x14ac:dyDescent="0.25">
      <c r="B26" s="51" t="s">
        <v>94</v>
      </c>
      <c r="C26" s="16" t="s">
        <v>193</v>
      </c>
    </row>
  </sheetData>
  <hyperlinks>
    <hyperlink ref="C6" location="Dashboard!A1" display="&lt;-Back to Dashboard" xr:uid="{64178DC4-FFAA-458A-A7CD-DB7FA80C9CC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695B-FD82-4500-A712-089AA931CB1C}">
  <sheetPr>
    <tabColor rgb="FF001440"/>
  </sheetPr>
  <dimension ref="A1"/>
  <sheetViews>
    <sheetView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3778-38B2-40A6-9B49-DCE57E904080}">
  <dimension ref="A2:Q137"/>
  <sheetViews>
    <sheetView showGridLines="0" zoomScaleNormal="100" workbookViewId="0">
      <selection activeCell="G11" sqref="G11"/>
    </sheetView>
  </sheetViews>
  <sheetFormatPr defaultRowHeight="13.2" outlineLevelRow="1" x14ac:dyDescent="0.25"/>
  <cols>
    <col min="1" max="1" width="2.88671875" style="1" customWidth="1"/>
    <col min="2" max="2" width="2.88671875" style="51" customWidth="1"/>
    <col min="3" max="3" width="12.6640625" style="1" customWidth="1"/>
    <col min="4" max="5" width="8.88671875" style="1"/>
    <col min="6" max="6" width="10.44140625" style="1" customWidth="1"/>
    <col min="7" max="15" width="10.33203125" style="1" customWidth="1"/>
    <col min="16" max="16" width="8.88671875" style="48"/>
    <col min="17" max="16384" width="8.88671875" style="1"/>
  </cols>
  <sheetData>
    <row r="2" spans="1:17" s="2" customFormat="1" ht="13.8" x14ac:dyDescent="0.25">
      <c r="A2" s="1"/>
      <c r="B2" s="51"/>
      <c r="C2" s="15" t="str">
        <f>Dashboard!C2</f>
        <v>Lloyds Metal &amp; Energy Ltd.</v>
      </c>
      <c r="P2" s="21"/>
    </row>
    <row r="3" spans="1:17" s="2" customFormat="1" x14ac:dyDescent="0.25">
      <c r="A3" s="1"/>
      <c r="B3" s="51"/>
      <c r="C3" s="16" t="s">
        <v>374</v>
      </c>
      <c r="P3" s="21"/>
    </row>
    <row r="4" spans="1:17" s="2" customFormat="1" x14ac:dyDescent="0.25">
      <c r="A4" s="1"/>
      <c r="B4" s="51"/>
      <c r="C4" s="17" t="str">
        <f>Dashboard!C4</f>
        <v>(₹ in 'Cr, except share price and shares outstanding)</v>
      </c>
      <c r="P4" s="21"/>
    </row>
    <row r="5" spans="1:17" s="2" customFormat="1" x14ac:dyDescent="0.25">
      <c r="A5" s="1"/>
      <c r="B5" s="51"/>
      <c r="C5" s="16" t="s">
        <v>81</v>
      </c>
      <c r="G5" s="337" t="s">
        <v>95</v>
      </c>
      <c r="H5" s="338"/>
      <c r="I5" s="338"/>
      <c r="J5" s="339"/>
      <c r="K5" s="337" t="s">
        <v>96</v>
      </c>
      <c r="L5" s="338"/>
      <c r="M5" s="338"/>
      <c r="N5" s="338"/>
      <c r="O5" s="339"/>
      <c r="P5" s="21"/>
    </row>
    <row r="6" spans="1:17" s="2" customFormat="1" x14ac:dyDescent="0.25">
      <c r="A6" s="1"/>
      <c r="B6" s="51"/>
      <c r="C6" s="16" t="s">
        <v>82</v>
      </c>
      <c r="G6" s="22">
        <v>44651</v>
      </c>
      <c r="H6" s="24">
        <f>EOMONTH(G6,12)</f>
        <v>45016</v>
      </c>
      <c r="I6" s="24">
        <f t="shared" ref="I6:O6" si="0">EOMONTH(H6,12)</f>
        <v>45382</v>
      </c>
      <c r="J6" s="23">
        <f t="shared" si="0"/>
        <v>45747</v>
      </c>
      <c r="K6" s="24">
        <f t="shared" si="0"/>
        <v>46112</v>
      </c>
      <c r="L6" s="24">
        <f t="shared" si="0"/>
        <v>46477</v>
      </c>
      <c r="M6" s="24">
        <f t="shared" si="0"/>
        <v>46843</v>
      </c>
      <c r="N6" s="24">
        <f t="shared" si="0"/>
        <v>47208</v>
      </c>
      <c r="O6" s="23">
        <f t="shared" si="0"/>
        <v>47573</v>
      </c>
      <c r="P6" s="21"/>
    </row>
    <row r="7" spans="1:17" x14ac:dyDescent="0.25">
      <c r="H7" s="25"/>
      <c r="I7" s="25"/>
      <c r="K7" s="26"/>
      <c r="L7" s="25"/>
      <c r="M7" s="25"/>
      <c r="N7" s="25"/>
    </row>
    <row r="8" spans="1:17" ht="14.4" x14ac:dyDescent="0.3">
      <c r="C8" s="243" t="s">
        <v>379</v>
      </c>
    </row>
    <row r="10" spans="1:17" x14ac:dyDescent="0.25">
      <c r="C10" s="18" t="s">
        <v>83</v>
      </c>
      <c r="D10" s="1" t="s">
        <v>84</v>
      </c>
      <c r="F10" s="18" t="s">
        <v>85</v>
      </c>
      <c r="G10" s="1" t="s">
        <v>93</v>
      </c>
    </row>
    <row r="11" spans="1:17" x14ac:dyDescent="0.25">
      <c r="C11" s="18" t="s">
        <v>86</v>
      </c>
      <c r="D11" s="1" t="s">
        <v>87</v>
      </c>
      <c r="F11" s="18" t="s">
        <v>88</v>
      </c>
      <c r="G11" s="19" t="s">
        <v>385</v>
      </c>
    </row>
    <row r="12" spans="1:17" x14ac:dyDescent="0.25">
      <c r="C12" s="18" t="s">
        <v>89</v>
      </c>
      <c r="D12" s="1" t="s">
        <v>90</v>
      </c>
      <c r="F12" s="18" t="s">
        <v>91</v>
      </c>
      <c r="G12" s="1" t="s">
        <v>92</v>
      </c>
    </row>
    <row r="14" spans="1:17" x14ac:dyDescent="0.25">
      <c r="B14" s="51" t="s">
        <v>94</v>
      </c>
      <c r="C14" s="226" t="s">
        <v>55</v>
      </c>
      <c r="D14" s="244"/>
      <c r="E14" s="244"/>
      <c r="F14" s="244"/>
      <c r="G14" s="228">
        <v>44651</v>
      </c>
      <c r="H14" s="228">
        <f>EOMONTH(G14,12)</f>
        <v>45016</v>
      </c>
      <c r="I14" s="228">
        <f t="shared" ref="I14:O14" si="1">EOMONTH(H14,12)</f>
        <v>45382</v>
      </c>
      <c r="J14" s="228">
        <f t="shared" si="1"/>
        <v>45747</v>
      </c>
      <c r="K14" s="229">
        <f t="shared" si="1"/>
        <v>46112</v>
      </c>
      <c r="L14" s="229">
        <f t="shared" si="1"/>
        <v>46477</v>
      </c>
      <c r="M14" s="229">
        <f t="shared" si="1"/>
        <v>46843</v>
      </c>
      <c r="N14" s="229">
        <f t="shared" si="1"/>
        <v>47208</v>
      </c>
      <c r="O14" s="230">
        <f t="shared" si="1"/>
        <v>47573</v>
      </c>
      <c r="Q14" s="40" t="s">
        <v>129</v>
      </c>
    </row>
    <row r="15" spans="1:17" x14ac:dyDescent="0.25">
      <c r="C15" s="93"/>
      <c r="O15" s="219"/>
    </row>
    <row r="16" spans="1:17" hidden="1" outlineLevel="1" x14ac:dyDescent="0.25">
      <c r="C16" s="245" t="s">
        <v>97</v>
      </c>
      <c r="G16" s="288">
        <v>697.5</v>
      </c>
      <c r="H16" s="288">
        <v>3392.31</v>
      </c>
      <c r="I16" s="288">
        <v>6481.01</v>
      </c>
      <c r="J16" s="288">
        <v>6626.31</v>
      </c>
      <c r="K16" s="29">
        <f>Assumptions!K18</f>
        <v>14436.079999999998</v>
      </c>
      <c r="L16" s="29">
        <f ca="1">Assumptions!L18</f>
        <v>18766.903999999999</v>
      </c>
      <c r="M16" s="29">
        <f ca="1">Assumptions!M18</f>
        <v>23458.629999999997</v>
      </c>
      <c r="N16" s="29">
        <f ca="1">Assumptions!N18</f>
        <v>28150.355999999996</v>
      </c>
      <c r="O16" s="246">
        <f ca="1">Assumptions!O18</f>
        <v>33217.420079999996</v>
      </c>
      <c r="Q16" s="1">
        <v>10827.06</v>
      </c>
    </row>
    <row r="17" spans="3:17" hidden="1" outlineLevel="1" x14ac:dyDescent="0.25">
      <c r="C17" s="245" t="s">
        <v>98</v>
      </c>
      <c r="G17" s="288">
        <v>0</v>
      </c>
      <c r="H17" s="288">
        <v>0</v>
      </c>
      <c r="I17" s="288">
        <v>43.64</v>
      </c>
      <c r="J17" s="288">
        <v>95.09</v>
      </c>
      <c r="K17" s="29">
        <f>Assumptions!K24</f>
        <v>354.52</v>
      </c>
      <c r="L17" s="29">
        <f ca="1">Assumptions!L24</f>
        <v>638.13599999999997</v>
      </c>
      <c r="M17" s="29">
        <f ca="1">Assumptions!M24</f>
        <v>1116.7379999999998</v>
      </c>
      <c r="N17" s="29">
        <f ca="1">Assumptions!N24</f>
        <v>1898.4545999999996</v>
      </c>
      <c r="O17" s="246">
        <f ca="1">Assumptions!O24</f>
        <v>3189.4037279999998</v>
      </c>
      <c r="Q17" s="1">
        <v>265.89</v>
      </c>
    </row>
    <row r="18" spans="3:17" hidden="1" outlineLevel="1" x14ac:dyDescent="0.25">
      <c r="C18" s="245" t="s">
        <v>0</v>
      </c>
      <c r="G18" s="288">
        <v>29.75</v>
      </c>
      <c r="H18" s="288">
        <v>74.459999999999994</v>
      </c>
      <c r="I18" s="288">
        <v>49.95</v>
      </c>
      <c r="J18" s="288">
        <v>51.22</v>
      </c>
      <c r="K18" s="29">
        <f>Assumptions!K30</f>
        <v>241.18666666666664</v>
      </c>
      <c r="L18" s="29">
        <f ca="1">Assumptions!L30</f>
        <v>265.30533333333335</v>
      </c>
      <c r="M18" s="29">
        <f ca="1">Assumptions!M30</f>
        <v>305.10113333333334</v>
      </c>
      <c r="N18" s="29">
        <f ca="1">Assumptions!N30</f>
        <v>366.12135999999998</v>
      </c>
      <c r="O18" s="246">
        <f ca="1">Assumptions!O30</f>
        <v>410.0559232</v>
      </c>
      <c r="Q18" s="1">
        <v>180.89</v>
      </c>
    </row>
    <row r="19" spans="3:17" hidden="1" outlineLevel="1" x14ac:dyDescent="0.25">
      <c r="C19" s="208" t="s">
        <v>60</v>
      </c>
      <c r="D19" s="88"/>
      <c r="E19" s="88"/>
      <c r="F19" s="88"/>
      <c r="G19" s="289">
        <v>727.25</v>
      </c>
      <c r="H19" s="289">
        <v>3466.77</v>
      </c>
      <c r="I19" s="289">
        <v>6574.6</v>
      </c>
      <c r="J19" s="289">
        <v>6772.6200000000008</v>
      </c>
      <c r="K19" s="89">
        <f>SUM(K16:K18)</f>
        <v>15031.786666666665</v>
      </c>
      <c r="L19" s="89">
        <f t="shared" ref="L19:O19" ca="1" si="2">SUM(L16:L18)</f>
        <v>19670.345333333331</v>
      </c>
      <c r="M19" s="89">
        <f t="shared" ca="1" si="2"/>
        <v>24880.469133333332</v>
      </c>
      <c r="N19" s="89">
        <f t="shared" ca="1" si="2"/>
        <v>30414.931959999998</v>
      </c>
      <c r="O19" s="251">
        <f t="shared" ca="1" si="2"/>
        <v>36816.879731199995</v>
      </c>
      <c r="Q19" s="30">
        <f>SUM(Q16:Q18)</f>
        <v>11273.839999999998</v>
      </c>
    </row>
    <row r="20" spans="3:17" hidden="1" outlineLevel="1" x14ac:dyDescent="0.25">
      <c r="C20" s="93" t="s">
        <v>99</v>
      </c>
      <c r="G20" s="29"/>
      <c r="H20" s="29"/>
      <c r="I20" s="29"/>
      <c r="J20" s="29"/>
      <c r="K20" s="29"/>
      <c r="L20" s="29"/>
      <c r="M20" s="29"/>
      <c r="N20" s="29"/>
      <c r="O20" s="246"/>
    </row>
    <row r="21" spans="3:17" hidden="1" outlineLevel="1" x14ac:dyDescent="0.25">
      <c r="C21" s="203" t="s">
        <v>61</v>
      </c>
      <c r="G21" s="29"/>
      <c r="H21" s="29"/>
      <c r="I21" s="29"/>
      <c r="J21" s="29"/>
      <c r="K21" s="29"/>
      <c r="L21" s="29"/>
      <c r="M21" s="29"/>
      <c r="N21" s="29"/>
      <c r="O21" s="246"/>
    </row>
    <row r="22" spans="3:17" hidden="1" outlineLevel="1" x14ac:dyDescent="0.25">
      <c r="C22" s="245" t="s">
        <v>100</v>
      </c>
      <c r="G22" s="288">
        <v>373.27</v>
      </c>
      <c r="H22" s="288">
        <v>504.35</v>
      </c>
      <c r="I22" s="288">
        <v>536.62</v>
      </c>
      <c r="J22" s="288">
        <v>533.41</v>
      </c>
      <c r="K22" s="29">
        <f>Assumptions!K39</f>
        <v>1645.32</v>
      </c>
      <c r="L22" s="29">
        <f ca="1">Assumptions!L39</f>
        <v>2303.4479999999999</v>
      </c>
      <c r="M22" s="29">
        <f ca="1">Assumptions!M39</f>
        <v>3339.9995999999996</v>
      </c>
      <c r="N22" s="29">
        <f ca="1">Assumptions!N39</f>
        <v>4943.1994079999995</v>
      </c>
      <c r="O22" s="246">
        <f ca="1">Assumptions!O39</f>
        <v>7167.6391415999988</v>
      </c>
      <c r="Q22" s="1">
        <v>1233.99</v>
      </c>
    </row>
    <row r="23" spans="3:17" hidden="1" outlineLevel="1" x14ac:dyDescent="0.25">
      <c r="C23" s="245" t="s">
        <v>101</v>
      </c>
      <c r="G23" s="288">
        <v>0</v>
      </c>
      <c r="H23" s="288">
        <v>0</v>
      </c>
      <c r="I23" s="288">
        <v>370.23</v>
      </c>
      <c r="J23" s="288">
        <v>182.24</v>
      </c>
      <c r="K23" s="29">
        <f>Assumptions!K45</f>
        <v>624.34666666666658</v>
      </c>
      <c r="L23" s="29">
        <f ca="1">Assumptions!L45</f>
        <v>780.43333333333317</v>
      </c>
      <c r="M23" s="29">
        <f ca="1">Assumptions!M45</f>
        <v>959.93299999999977</v>
      </c>
      <c r="N23" s="29">
        <f ca="1">Assumptions!N45</f>
        <v>1161.5189299999997</v>
      </c>
      <c r="O23" s="246">
        <f ca="1">Assumptions!O45</f>
        <v>1393.8227159999997</v>
      </c>
      <c r="Q23" s="1">
        <v>468.26</v>
      </c>
    </row>
    <row r="24" spans="3:17" hidden="1" outlineLevel="1" x14ac:dyDescent="0.25">
      <c r="C24" s="245" t="s">
        <v>102</v>
      </c>
      <c r="G24" s="288">
        <v>-60.4</v>
      </c>
      <c r="H24" s="288">
        <v>35.78</v>
      </c>
      <c r="I24" s="288">
        <v>-14.89</v>
      </c>
      <c r="J24" s="288">
        <v>90.41</v>
      </c>
      <c r="K24" s="29">
        <f>Assumptions!K51</f>
        <v>-302.57333333333332</v>
      </c>
      <c r="L24" s="29">
        <f ca="1">Assumptions!L51</f>
        <v>121.0293333333333</v>
      </c>
      <c r="M24" s="29">
        <f ca="1">Assumptions!M51</f>
        <v>-181.54399999999995</v>
      </c>
      <c r="N24" s="29">
        <f ca="1">Assumptions!N51</f>
        <v>72.617599999999968</v>
      </c>
      <c r="O24" s="246">
        <f ca="1">Assumptions!O51</f>
        <v>-94.402879999999939</v>
      </c>
      <c r="Q24" s="1">
        <v>-226.93</v>
      </c>
    </row>
    <row r="25" spans="3:17" hidden="1" outlineLevel="1" x14ac:dyDescent="0.25">
      <c r="C25" s="245" t="s">
        <v>1</v>
      </c>
      <c r="G25" s="288">
        <v>18.350000000000001</v>
      </c>
      <c r="H25" s="288">
        <v>54.26</v>
      </c>
      <c r="I25" s="288">
        <v>117.76</v>
      </c>
      <c r="J25" s="288">
        <v>163.27000000000001</v>
      </c>
      <c r="K25" s="29">
        <f>Assumptions!K57+Assumptions!K84</f>
        <v>1304.5814399999999</v>
      </c>
      <c r="L25" s="29">
        <f ca="1">Assumptions!L57+Assumptions!L84</f>
        <v>1978.5541439999997</v>
      </c>
      <c r="M25" s="29">
        <f ca="1">Assumptions!M57+Assumptions!M84</f>
        <v>2738.0796295999999</v>
      </c>
      <c r="N25" s="29">
        <f ca="1">Assumptions!N57+Assumptions!N84</f>
        <v>3658.3230835199997</v>
      </c>
      <c r="O25" s="246">
        <f ca="1">Assumptions!O57+Assumptions!O84</f>
        <v>4821.9499437743998</v>
      </c>
      <c r="Q25" s="1">
        <v>843.15</v>
      </c>
    </row>
    <row r="26" spans="3:17" hidden="1" outlineLevel="1" x14ac:dyDescent="0.25">
      <c r="C26" s="245" t="s">
        <v>2</v>
      </c>
      <c r="G26" s="288">
        <v>18.14</v>
      </c>
      <c r="H26" s="288">
        <v>65.040000000000006</v>
      </c>
      <c r="I26" s="288">
        <v>5.68</v>
      </c>
      <c r="J26" s="288">
        <v>27.22</v>
      </c>
      <c r="K26" s="29">
        <f>Schedule!K63</f>
        <v>258.89499749999999</v>
      </c>
      <c r="L26" s="29">
        <f>Schedule!L63</f>
        <v>471.65880712500007</v>
      </c>
      <c r="M26" s="29">
        <f>Schedule!M63</f>
        <v>543.96796147250006</v>
      </c>
      <c r="N26" s="29">
        <f>Schedule!N63</f>
        <v>643.16420557025003</v>
      </c>
      <c r="O26" s="246">
        <f>Schedule!O63</f>
        <v>746.14924723212505</v>
      </c>
      <c r="Q26" s="1">
        <v>342.8</v>
      </c>
    </row>
    <row r="27" spans="3:17" hidden="1" outlineLevel="1" x14ac:dyDescent="0.25">
      <c r="C27" s="245" t="s">
        <v>103</v>
      </c>
      <c r="G27" s="288">
        <v>17.98</v>
      </c>
      <c r="H27" s="288">
        <v>23</v>
      </c>
      <c r="I27" s="288">
        <v>48.99</v>
      </c>
      <c r="J27" s="288">
        <v>80.8</v>
      </c>
      <c r="K27" s="29">
        <f>Schedule!K21+Schedule!K30</f>
        <v>481.01717333333335</v>
      </c>
      <c r="L27" s="29">
        <f ca="1">Schedule!L21+Schedule!L30</f>
        <v>334.39587066666661</v>
      </c>
      <c r="M27" s="29">
        <f ca="1">Schedule!M21+Schedule!M30</f>
        <v>380.67117773999996</v>
      </c>
      <c r="N27" s="29">
        <f ca="1">Schedule!N21+Schedule!N30</f>
        <v>413.64307465600001</v>
      </c>
      <c r="O27" s="246">
        <f ca="1">Schedule!O21+Schedule!O30</f>
        <v>438.12086880127993</v>
      </c>
      <c r="Q27" s="1">
        <v>382.81</v>
      </c>
    </row>
    <row r="28" spans="3:17" hidden="1" outlineLevel="1" x14ac:dyDescent="0.25">
      <c r="C28" s="245" t="s">
        <v>104</v>
      </c>
      <c r="G28" s="288">
        <v>0</v>
      </c>
      <c r="H28" s="288">
        <v>0</v>
      </c>
      <c r="I28" s="288">
        <v>3239.77</v>
      </c>
      <c r="J28" s="288">
        <v>3323.96</v>
      </c>
      <c r="K28" s="29">
        <f>Assumptions!K63</f>
        <v>5380.7199999999993</v>
      </c>
      <c r="L28" s="29">
        <f ca="1">Assumptions!L63</f>
        <v>6994.9359999999997</v>
      </c>
      <c r="M28" s="29">
        <f ca="1">Assumptions!M63</f>
        <v>8813.6193599999988</v>
      </c>
      <c r="N28" s="29">
        <f ca="1">Assumptions!N63</f>
        <v>10928.888006399999</v>
      </c>
      <c r="O28" s="246">
        <f ca="1">Assumptions!O63</f>
        <v>13333.243367807998</v>
      </c>
      <c r="Q28" s="1">
        <v>4035.54</v>
      </c>
    </row>
    <row r="29" spans="3:17" hidden="1" outlineLevel="1" x14ac:dyDescent="0.25">
      <c r="C29" s="245" t="s">
        <v>3</v>
      </c>
      <c r="G29" s="288">
        <v>220.74</v>
      </c>
      <c r="H29" s="288">
        <v>1987.62</v>
      </c>
      <c r="I29" s="288">
        <v>543.9</v>
      </c>
      <c r="J29" s="288">
        <v>475.2</v>
      </c>
      <c r="K29" s="29">
        <f>Assumptions!K69</f>
        <v>1523.2666666666667</v>
      </c>
      <c r="L29" s="29">
        <f ca="1">Assumptions!L69</f>
        <v>1340.4746666666667</v>
      </c>
      <c r="M29" s="29">
        <f ca="1">Assumptions!M69</f>
        <v>1742.6170666666669</v>
      </c>
      <c r="N29" s="29">
        <f ca="1">Assumptions!N69</f>
        <v>2056.2881386666668</v>
      </c>
      <c r="O29" s="246">
        <f ca="1">Assumptions!O69</f>
        <v>1439.4016970666667</v>
      </c>
      <c r="Q29" s="1">
        <v>1142.45</v>
      </c>
    </row>
    <row r="30" spans="3:17" hidden="1" outlineLevel="1" x14ac:dyDescent="0.25">
      <c r="C30" s="208" t="s">
        <v>4</v>
      </c>
      <c r="D30" s="88"/>
      <c r="E30" s="88"/>
      <c r="F30" s="88"/>
      <c r="G30" s="289">
        <v>588.08000000000004</v>
      </c>
      <c r="H30" s="289">
        <v>2670.0499999999997</v>
      </c>
      <c r="I30" s="289">
        <v>4848.0599999999995</v>
      </c>
      <c r="J30" s="289">
        <v>4876.5099999999993</v>
      </c>
      <c r="K30" s="89">
        <f>SUM(K22:K29)</f>
        <v>10915.573610833333</v>
      </c>
      <c r="L30" s="89">
        <f t="shared" ref="L30:O30" ca="1" si="3">SUM(L22:L29)</f>
        <v>14324.930155124999</v>
      </c>
      <c r="M30" s="89">
        <f t="shared" ca="1" si="3"/>
        <v>18337.343795479163</v>
      </c>
      <c r="N30" s="89">
        <f t="shared" ca="1" si="3"/>
        <v>23877.642446812915</v>
      </c>
      <c r="O30" s="251">
        <f t="shared" ca="1" si="3"/>
        <v>29245.924102282468</v>
      </c>
      <c r="Q30" s="18">
        <f>SUM(Q22:Q29)</f>
        <v>8222.07</v>
      </c>
    </row>
    <row r="31" spans="3:17" hidden="1" outlineLevel="1" x14ac:dyDescent="0.25">
      <c r="C31" s="93" t="s">
        <v>99</v>
      </c>
      <c r="G31" s="29"/>
      <c r="H31" s="29"/>
      <c r="I31" s="29"/>
      <c r="J31" s="29"/>
      <c r="K31" s="29"/>
      <c r="L31" s="29"/>
      <c r="M31" s="29"/>
      <c r="N31" s="29"/>
      <c r="O31" s="246"/>
    </row>
    <row r="32" spans="3:17" hidden="1" outlineLevel="1" x14ac:dyDescent="0.25">
      <c r="C32" s="208" t="s">
        <v>108</v>
      </c>
      <c r="D32" s="88"/>
      <c r="E32" s="88"/>
      <c r="F32" s="88"/>
      <c r="G32" s="289">
        <v>139.16999999999996</v>
      </c>
      <c r="H32" s="289">
        <v>796.72000000000025</v>
      </c>
      <c r="I32" s="289">
        <v>1726.5400000000009</v>
      </c>
      <c r="J32" s="289">
        <v>1896.1100000000015</v>
      </c>
      <c r="K32" s="89">
        <f>K19-K30</f>
        <v>4116.213055833332</v>
      </c>
      <c r="L32" s="89">
        <f t="shared" ref="L32:O32" ca="1" si="4">L19-L30</f>
        <v>5345.4151782083318</v>
      </c>
      <c r="M32" s="89">
        <f t="shared" ca="1" si="4"/>
        <v>6543.1253378541696</v>
      </c>
      <c r="N32" s="89">
        <f t="shared" ca="1" si="4"/>
        <v>6537.2895131870828</v>
      </c>
      <c r="O32" s="251">
        <f t="shared" ca="1" si="4"/>
        <v>7570.9556289175271</v>
      </c>
      <c r="Q32" s="31">
        <f>Q19-Q30</f>
        <v>3051.7699999999986</v>
      </c>
    </row>
    <row r="33" spans="2:17" hidden="1" outlineLevel="1" x14ac:dyDescent="0.25">
      <c r="C33" s="245" t="s">
        <v>5</v>
      </c>
      <c r="G33" s="288">
        <v>51.36</v>
      </c>
      <c r="H33" s="288">
        <v>1194.4000000000001</v>
      </c>
      <c r="I33" s="288">
        <v>0</v>
      </c>
      <c r="J33" s="288">
        <v>0</v>
      </c>
      <c r="K33" s="29">
        <f>J33</f>
        <v>0</v>
      </c>
      <c r="L33" s="29">
        <f t="shared" ref="L33:O33" si="5">K33</f>
        <v>0</v>
      </c>
      <c r="M33" s="29">
        <f t="shared" si="5"/>
        <v>0</v>
      </c>
      <c r="N33" s="29">
        <f t="shared" si="5"/>
        <v>0</v>
      </c>
      <c r="O33" s="246">
        <f t="shared" si="5"/>
        <v>0</v>
      </c>
      <c r="Q33" s="1">
        <v>-1.95</v>
      </c>
    </row>
    <row r="34" spans="2:17" hidden="1" outlineLevel="1" x14ac:dyDescent="0.25">
      <c r="C34" s="208" t="s">
        <v>105</v>
      </c>
      <c r="D34" s="88"/>
      <c r="E34" s="88"/>
      <c r="F34" s="88"/>
      <c r="G34" s="289">
        <v>87.80999999999996</v>
      </c>
      <c r="H34" s="289">
        <v>-397.67999999999984</v>
      </c>
      <c r="I34" s="289">
        <v>1726.5400000000009</v>
      </c>
      <c r="J34" s="289">
        <v>1896.1100000000015</v>
      </c>
      <c r="K34" s="89">
        <f>K32+K33</f>
        <v>4116.213055833332</v>
      </c>
      <c r="L34" s="89">
        <f t="shared" ref="L34:O34" ca="1" si="6">L32+L33</f>
        <v>5345.4151782083318</v>
      </c>
      <c r="M34" s="89">
        <f t="shared" ca="1" si="6"/>
        <v>6543.1253378541696</v>
      </c>
      <c r="N34" s="89">
        <f t="shared" ca="1" si="6"/>
        <v>6537.2895131870828</v>
      </c>
      <c r="O34" s="251">
        <f t="shared" ca="1" si="6"/>
        <v>7570.9556289175271</v>
      </c>
      <c r="Q34" s="31">
        <f>SUM(Q32:Q33)</f>
        <v>3049.8199999999988</v>
      </c>
    </row>
    <row r="35" spans="2:17" hidden="1" outlineLevel="1" x14ac:dyDescent="0.25">
      <c r="C35" s="245" t="s">
        <v>6</v>
      </c>
      <c r="G35" s="288">
        <v>0</v>
      </c>
      <c r="H35" s="288">
        <v>0</v>
      </c>
      <c r="I35" s="288">
        <v>-259.77999999999997</v>
      </c>
      <c r="J35" s="288">
        <v>-456.72</v>
      </c>
      <c r="K35" s="29">
        <f>-Assumptions!K75</f>
        <v>-959.81333333333328</v>
      </c>
      <c r="L35" s="29">
        <f ca="1">-Assumptions!L75</f>
        <v>-1247.7573333333332</v>
      </c>
      <c r="M35" s="29">
        <f ca="1">-Assumptions!M75</f>
        <v>-1622.0845333333332</v>
      </c>
      <c r="N35" s="29">
        <f ca="1">-Assumptions!N75</f>
        <v>-2108.7098933333332</v>
      </c>
      <c r="O35" s="246">
        <f ca="1">-Assumptions!O75</f>
        <v>-2741.3228613333331</v>
      </c>
      <c r="Q35" s="1">
        <v>-719.86</v>
      </c>
    </row>
    <row r="36" spans="2:17" hidden="1" outlineLevel="1" x14ac:dyDescent="0.25">
      <c r="C36" s="245" t="s">
        <v>106</v>
      </c>
      <c r="G36" s="288">
        <v>9.51</v>
      </c>
      <c r="H36" s="288">
        <v>109.14</v>
      </c>
      <c r="I36" s="288">
        <v>-223.82</v>
      </c>
      <c r="J36" s="288">
        <v>10.53</v>
      </c>
      <c r="K36" s="288">
        <v>0</v>
      </c>
      <c r="L36" s="288">
        <v>0</v>
      </c>
      <c r="M36" s="288">
        <v>0</v>
      </c>
      <c r="N36" s="288">
        <v>0</v>
      </c>
      <c r="O36" s="290">
        <v>0</v>
      </c>
      <c r="Q36" s="1">
        <v>-31.42</v>
      </c>
    </row>
    <row r="37" spans="2:17" hidden="1" outlineLevel="1" x14ac:dyDescent="0.25">
      <c r="C37" s="202" t="s">
        <v>107</v>
      </c>
      <c r="D37" s="91"/>
      <c r="E37" s="91"/>
      <c r="F37" s="91"/>
      <c r="G37" s="291">
        <v>97.319999999999965</v>
      </c>
      <c r="H37" s="291">
        <v>-288.53999999999985</v>
      </c>
      <c r="I37" s="291">
        <v>1242.940000000001</v>
      </c>
      <c r="J37" s="291">
        <v>1449.9200000000014</v>
      </c>
      <c r="K37" s="252">
        <f>K34+K35+K36</f>
        <v>3156.3997224999985</v>
      </c>
      <c r="L37" s="252">
        <f t="shared" ref="L37:O37" ca="1" si="7">L34+L35+L36</f>
        <v>4097.6578448749988</v>
      </c>
      <c r="M37" s="252">
        <f t="shared" ca="1" si="7"/>
        <v>4921.0408045208369</v>
      </c>
      <c r="N37" s="252">
        <f t="shared" ca="1" si="7"/>
        <v>4428.57961985375</v>
      </c>
      <c r="O37" s="253">
        <f t="shared" ca="1" si="7"/>
        <v>4829.632767584194</v>
      </c>
      <c r="Q37" s="31">
        <f>SUM(Q34:Q36)</f>
        <v>2298.5399999999986</v>
      </c>
    </row>
    <row r="38" spans="2:17" hidden="1" outlineLevel="1" x14ac:dyDescent="0.25">
      <c r="C38" s="93" t="s">
        <v>99</v>
      </c>
      <c r="O38" s="219"/>
    </row>
    <row r="39" spans="2:17" hidden="1" outlineLevel="1" x14ac:dyDescent="0.25">
      <c r="C39" s="204" t="s">
        <v>109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221"/>
    </row>
    <row r="40" spans="2:17" hidden="1" outlineLevel="1" x14ac:dyDescent="0.25">
      <c r="C40" s="93" t="s">
        <v>110</v>
      </c>
      <c r="G40" s="292">
        <v>2.85</v>
      </c>
      <c r="H40" s="292">
        <v>-6.53</v>
      </c>
      <c r="I40" s="292">
        <v>24.62</v>
      </c>
      <c r="J40" s="292">
        <v>28.01</v>
      </c>
      <c r="K40" s="247">
        <f>K$37/K44</f>
        <v>60.969668195866298</v>
      </c>
      <c r="L40" s="247">
        <f t="shared" ref="L40:O41" ca="1" si="8">L$37/L44</f>
        <v>79.151204266467033</v>
      </c>
      <c r="M40" s="247">
        <f t="shared" ca="1" si="8"/>
        <v>95.055839376489018</v>
      </c>
      <c r="N40" s="247">
        <f t="shared" ca="1" si="8"/>
        <v>85.543357540153565</v>
      </c>
      <c r="O40" s="248">
        <f t="shared" ca="1" si="8"/>
        <v>93.290182877809414</v>
      </c>
    </row>
    <row r="41" spans="2:17" hidden="1" outlineLevel="1" x14ac:dyDescent="0.25">
      <c r="C41" s="93" t="s">
        <v>111</v>
      </c>
      <c r="G41" s="292">
        <v>2.78</v>
      </c>
      <c r="H41" s="292">
        <v>-4.74</v>
      </c>
      <c r="I41" s="292">
        <v>24.43</v>
      </c>
      <c r="J41" s="292">
        <v>26.12</v>
      </c>
      <c r="K41" s="247">
        <f>K$37/K45</f>
        <v>56.841342022330245</v>
      </c>
      <c r="L41" s="247">
        <f t="shared" ca="1" si="8"/>
        <v>73.791785429047337</v>
      </c>
      <c r="M41" s="247">
        <f t="shared" ca="1" si="8"/>
        <v>88.619499451122579</v>
      </c>
      <c r="N41" s="247">
        <f t="shared" ca="1" si="8"/>
        <v>79.751118671956604</v>
      </c>
      <c r="O41" s="248">
        <f t="shared" ca="1" si="8"/>
        <v>86.973397579402018</v>
      </c>
    </row>
    <row r="42" spans="2:17" hidden="1" outlineLevel="1" x14ac:dyDescent="0.25">
      <c r="C42" s="93"/>
      <c r="G42" s="247"/>
      <c r="H42" s="247"/>
      <c r="I42" s="247"/>
      <c r="J42" s="247"/>
      <c r="K42" s="247"/>
      <c r="L42" s="247"/>
      <c r="M42" s="247"/>
      <c r="N42" s="247"/>
      <c r="O42" s="248"/>
    </row>
    <row r="43" spans="2:17" hidden="1" outlineLevel="1" x14ac:dyDescent="0.25">
      <c r="C43" s="204" t="s">
        <v>112</v>
      </c>
      <c r="D43" s="63"/>
      <c r="E43" s="63"/>
      <c r="F43" s="63"/>
      <c r="G43" s="249"/>
      <c r="H43" s="249"/>
      <c r="I43" s="249"/>
      <c r="J43" s="249"/>
      <c r="K43" s="249"/>
      <c r="L43" s="249"/>
      <c r="M43" s="249"/>
      <c r="N43" s="249"/>
      <c r="O43" s="250"/>
    </row>
    <row r="44" spans="2:17" hidden="1" outlineLevel="1" x14ac:dyDescent="0.25">
      <c r="C44" s="93" t="s">
        <v>113</v>
      </c>
      <c r="G44" s="292">
        <v>34.08</v>
      </c>
      <c r="H44" s="292">
        <v>44.16</v>
      </c>
      <c r="I44" s="292">
        <v>50.49</v>
      </c>
      <c r="J44" s="292">
        <v>51.77</v>
      </c>
      <c r="K44" s="247">
        <f>J44</f>
        <v>51.77</v>
      </c>
      <c r="L44" s="247">
        <f t="shared" ref="L44:O44" si="9">K44</f>
        <v>51.77</v>
      </c>
      <c r="M44" s="247">
        <f t="shared" si="9"/>
        <v>51.77</v>
      </c>
      <c r="N44" s="247">
        <f t="shared" si="9"/>
        <v>51.77</v>
      </c>
      <c r="O44" s="248">
        <f t="shared" si="9"/>
        <v>51.77</v>
      </c>
    </row>
    <row r="45" spans="2:17" hidden="1" outlineLevel="1" x14ac:dyDescent="0.25">
      <c r="C45" s="220" t="s">
        <v>111</v>
      </c>
      <c r="D45" s="63"/>
      <c r="E45" s="63"/>
      <c r="F45" s="63"/>
      <c r="G45" s="293">
        <v>35.56</v>
      </c>
      <c r="H45" s="293">
        <v>48.95</v>
      </c>
      <c r="I45" s="293">
        <v>50.88</v>
      </c>
      <c r="J45" s="293">
        <v>55.53</v>
      </c>
      <c r="K45" s="249">
        <f>J45</f>
        <v>55.53</v>
      </c>
      <c r="L45" s="249">
        <f t="shared" ref="L45:O45" si="10">K45</f>
        <v>55.53</v>
      </c>
      <c r="M45" s="249">
        <f t="shared" si="10"/>
        <v>55.53</v>
      </c>
      <c r="N45" s="249">
        <f t="shared" si="10"/>
        <v>55.53</v>
      </c>
      <c r="O45" s="250">
        <f t="shared" si="10"/>
        <v>55.53</v>
      </c>
    </row>
    <row r="46" spans="2:17" hidden="1" outlineLevel="1" x14ac:dyDescent="0.25">
      <c r="G46" s="247"/>
      <c r="H46" s="247"/>
      <c r="I46" s="247"/>
      <c r="J46" s="247"/>
      <c r="K46" s="247"/>
      <c r="L46" s="247"/>
      <c r="M46" s="247"/>
      <c r="N46" s="247"/>
      <c r="O46" s="247"/>
    </row>
    <row r="47" spans="2:17" collapsed="1" x14ac:dyDescent="0.25"/>
    <row r="48" spans="2:17" x14ac:dyDescent="0.25">
      <c r="B48" s="51" t="s">
        <v>94</v>
      </c>
      <c r="C48" s="226" t="s">
        <v>114</v>
      </c>
      <c r="D48" s="244"/>
      <c r="E48" s="244"/>
      <c r="F48" s="244"/>
      <c r="G48" s="228">
        <v>44651</v>
      </c>
      <c r="H48" s="228">
        <f>EOMONTH(G48,12)</f>
        <v>45016</v>
      </c>
      <c r="I48" s="228">
        <f t="shared" ref="I48:O48" si="11">EOMONTH(H48,12)</f>
        <v>45382</v>
      </c>
      <c r="J48" s="228">
        <f t="shared" si="11"/>
        <v>45747</v>
      </c>
      <c r="K48" s="229">
        <f t="shared" si="11"/>
        <v>46112</v>
      </c>
      <c r="L48" s="229">
        <f t="shared" si="11"/>
        <v>46477</v>
      </c>
      <c r="M48" s="229">
        <f t="shared" si="11"/>
        <v>46843</v>
      </c>
      <c r="N48" s="229">
        <f t="shared" si="11"/>
        <v>47208</v>
      </c>
      <c r="O48" s="230">
        <f t="shared" si="11"/>
        <v>47573</v>
      </c>
    </row>
    <row r="49" spans="3:16" x14ac:dyDescent="0.25">
      <c r="C49" s="93"/>
      <c r="O49" s="219"/>
    </row>
    <row r="50" spans="3:16" hidden="1" outlineLevel="1" x14ac:dyDescent="0.25">
      <c r="C50" s="203" t="s">
        <v>18</v>
      </c>
      <c r="O50" s="219"/>
    </row>
    <row r="51" spans="3:16" hidden="1" outlineLevel="1" x14ac:dyDescent="0.25">
      <c r="C51" s="204" t="s">
        <v>19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221"/>
    </row>
    <row r="52" spans="3:16" hidden="1" outlineLevel="1" x14ac:dyDescent="0.25">
      <c r="C52" s="93" t="s">
        <v>20</v>
      </c>
      <c r="G52" s="288">
        <v>399.06</v>
      </c>
      <c r="H52" s="288">
        <v>474.6</v>
      </c>
      <c r="I52" s="288">
        <v>1156.75</v>
      </c>
      <c r="J52" s="288">
        <v>1531.51</v>
      </c>
      <c r="K52" s="29">
        <f>Schedule!K16</f>
        <v>5717.6577066666669</v>
      </c>
      <c r="L52" s="29">
        <f ca="1">Schedule!L16</f>
        <v>6000.4734933333348</v>
      </c>
      <c r="M52" s="29">
        <f ca="1">Schedule!M16</f>
        <v>6012.7311976333331</v>
      </c>
      <c r="N52" s="29">
        <f ca="1">Schedule!N16</f>
        <v>5703.2094751533341</v>
      </c>
      <c r="O52" s="246">
        <f ca="1">Schedule!O16</f>
        <v>5092.4224433309337</v>
      </c>
      <c r="P52" s="48" t="s">
        <v>172</v>
      </c>
    </row>
    <row r="53" spans="3:16" hidden="1" outlineLevel="1" x14ac:dyDescent="0.25">
      <c r="C53" s="93" t="s">
        <v>115</v>
      </c>
      <c r="G53" s="288">
        <v>85.88</v>
      </c>
      <c r="H53" s="288">
        <v>373.1</v>
      </c>
      <c r="I53" s="288">
        <v>1268.1500000000001</v>
      </c>
      <c r="J53" s="288">
        <v>4181.07</v>
      </c>
      <c r="K53" s="29">
        <f>J53</f>
        <v>4181.07</v>
      </c>
      <c r="L53" s="29">
        <f t="shared" ref="L53:O53" si="12">K53</f>
        <v>4181.07</v>
      </c>
      <c r="M53" s="29">
        <f t="shared" si="12"/>
        <v>4181.07</v>
      </c>
      <c r="N53" s="29">
        <f t="shared" si="12"/>
        <v>4181.07</v>
      </c>
      <c r="O53" s="246">
        <f t="shared" si="12"/>
        <v>4181.07</v>
      </c>
    </row>
    <row r="54" spans="3:16" hidden="1" outlineLevel="1" x14ac:dyDescent="0.25">
      <c r="C54" s="93" t="s">
        <v>116</v>
      </c>
      <c r="G54" s="288">
        <v>0.6</v>
      </c>
      <c r="H54" s="288">
        <v>57.77</v>
      </c>
      <c r="I54" s="288">
        <v>77.95</v>
      </c>
      <c r="J54" s="288">
        <v>81</v>
      </c>
      <c r="K54" s="29">
        <f>J54</f>
        <v>81</v>
      </c>
      <c r="L54" s="29">
        <f t="shared" ref="L54:O54" si="13">K54</f>
        <v>81</v>
      </c>
      <c r="M54" s="29">
        <f t="shared" si="13"/>
        <v>81</v>
      </c>
      <c r="N54" s="29">
        <f t="shared" si="13"/>
        <v>81</v>
      </c>
      <c r="O54" s="246">
        <f t="shared" si="13"/>
        <v>81</v>
      </c>
    </row>
    <row r="55" spans="3:16" hidden="1" outlineLevel="1" x14ac:dyDescent="0.25">
      <c r="C55" s="254" t="s">
        <v>170</v>
      </c>
      <c r="G55" s="288"/>
      <c r="H55" s="288"/>
      <c r="I55" s="288"/>
      <c r="J55" s="288"/>
      <c r="K55" s="29"/>
      <c r="L55" s="29"/>
      <c r="M55" s="29"/>
      <c r="N55" s="29"/>
      <c r="O55" s="246"/>
    </row>
    <row r="56" spans="3:16" hidden="1" outlineLevel="1" x14ac:dyDescent="0.25">
      <c r="C56" s="245" t="s">
        <v>23</v>
      </c>
      <c r="G56" s="288">
        <v>0.14000000000000001</v>
      </c>
      <c r="H56" s="288">
        <v>0.04</v>
      </c>
      <c r="I56" s="288">
        <v>0.04</v>
      </c>
      <c r="J56" s="288">
        <v>0.04</v>
      </c>
      <c r="K56" s="29">
        <f>J56</f>
        <v>0.04</v>
      </c>
      <c r="L56" s="29">
        <f t="shared" ref="L56:O56" si="14">K56</f>
        <v>0.04</v>
      </c>
      <c r="M56" s="29">
        <f t="shared" si="14"/>
        <v>0.04</v>
      </c>
      <c r="N56" s="29">
        <f t="shared" si="14"/>
        <v>0.04</v>
      </c>
      <c r="O56" s="246">
        <f t="shared" si="14"/>
        <v>0.04</v>
      </c>
    </row>
    <row r="57" spans="3:16" hidden="1" outlineLevel="1" x14ac:dyDescent="0.25">
      <c r="C57" s="245" t="s">
        <v>53</v>
      </c>
      <c r="G57" s="288">
        <v>0</v>
      </c>
      <c r="H57" s="288">
        <v>0</v>
      </c>
      <c r="I57" s="288">
        <v>0</v>
      </c>
      <c r="J57" s="288">
        <v>32.340000000000003</v>
      </c>
      <c r="K57" s="29">
        <f>J57</f>
        <v>32.340000000000003</v>
      </c>
      <c r="L57" s="29">
        <f t="shared" ref="L57:O57" si="15">K57</f>
        <v>32.340000000000003</v>
      </c>
      <c r="M57" s="29">
        <f t="shared" si="15"/>
        <v>32.340000000000003</v>
      </c>
      <c r="N57" s="29">
        <f t="shared" si="15"/>
        <v>32.340000000000003</v>
      </c>
      <c r="O57" s="246">
        <f t="shared" si="15"/>
        <v>32.340000000000003</v>
      </c>
    </row>
    <row r="58" spans="3:16" hidden="1" outlineLevel="1" x14ac:dyDescent="0.25">
      <c r="C58" s="93" t="s">
        <v>117</v>
      </c>
      <c r="G58" s="288">
        <v>28.24</v>
      </c>
      <c r="H58" s="288">
        <v>137.38</v>
      </c>
      <c r="I58" s="288">
        <v>0.04</v>
      </c>
      <c r="J58" s="288">
        <v>0.2</v>
      </c>
      <c r="K58" s="29">
        <f>J58</f>
        <v>0.2</v>
      </c>
      <c r="L58" s="29">
        <f t="shared" ref="L58:O58" si="16">K58</f>
        <v>0.2</v>
      </c>
      <c r="M58" s="29">
        <f t="shared" si="16"/>
        <v>0.2</v>
      </c>
      <c r="N58" s="29">
        <f t="shared" si="16"/>
        <v>0.2</v>
      </c>
      <c r="O58" s="246">
        <f t="shared" si="16"/>
        <v>0.2</v>
      </c>
    </row>
    <row r="59" spans="3:16" hidden="1" outlineLevel="1" x14ac:dyDescent="0.25">
      <c r="C59" s="93" t="s">
        <v>11</v>
      </c>
      <c r="G59" s="288">
        <v>0.87</v>
      </c>
      <c r="H59" s="288">
        <v>36.32</v>
      </c>
      <c r="I59" s="288">
        <v>307.19</v>
      </c>
      <c r="J59" s="288">
        <v>570.54999999999995</v>
      </c>
      <c r="K59" s="29">
        <f>Schedule!K28</f>
        <v>1712.9657866666666</v>
      </c>
      <c r="L59" s="29">
        <f ca="1">Schedule!L28</f>
        <v>2067.0320026666664</v>
      </c>
      <c r="M59" s="29">
        <f ca="1">Schedule!M28</f>
        <v>2470.0956026266663</v>
      </c>
      <c r="N59" s="29">
        <f ca="1">Schedule!N28</f>
        <v>2908.0706228506665</v>
      </c>
      <c r="O59" s="246">
        <f ca="1">Schedule!O28</f>
        <v>3371.9633074637864</v>
      </c>
      <c r="P59" s="48" t="s">
        <v>172</v>
      </c>
    </row>
    <row r="60" spans="3:16" hidden="1" outlineLevel="1" x14ac:dyDescent="0.25">
      <c r="C60" s="208" t="s">
        <v>12</v>
      </c>
      <c r="D60" s="87"/>
      <c r="E60" s="87"/>
      <c r="F60" s="87"/>
      <c r="G60" s="289">
        <v>514.79</v>
      </c>
      <c r="H60" s="289">
        <v>1079.2099999999998</v>
      </c>
      <c r="I60" s="289">
        <v>2810.12</v>
      </c>
      <c r="J60" s="289">
        <v>6396.71</v>
      </c>
      <c r="K60" s="89">
        <f>SUM(K52:K59)</f>
        <v>11725.273493333334</v>
      </c>
      <c r="L60" s="89">
        <f t="shared" ref="L60:O60" ca="1" si="17">SUM(L52:L59)</f>
        <v>12362.155496000003</v>
      </c>
      <c r="M60" s="89">
        <f t="shared" ca="1" si="17"/>
        <v>12777.476800260001</v>
      </c>
      <c r="N60" s="89">
        <f t="shared" ca="1" si="17"/>
        <v>12905.930098004001</v>
      </c>
      <c r="O60" s="251">
        <f t="shared" ca="1" si="17"/>
        <v>12759.035750794721</v>
      </c>
    </row>
    <row r="61" spans="3:16" hidden="1" outlineLevel="1" x14ac:dyDescent="0.25">
      <c r="C61" s="93" t="s">
        <v>99</v>
      </c>
      <c r="G61" s="29"/>
      <c r="H61" s="29"/>
      <c r="I61" s="29"/>
      <c r="J61" s="29"/>
      <c r="O61" s="219"/>
    </row>
    <row r="62" spans="3:16" hidden="1" outlineLevel="1" x14ac:dyDescent="0.25">
      <c r="C62" s="204" t="s">
        <v>27</v>
      </c>
      <c r="D62" s="63"/>
      <c r="E62" s="63"/>
      <c r="F62" s="63"/>
      <c r="G62" s="259"/>
      <c r="H62" s="259"/>
      <c r="I62" s="259"/>
      <c r="J62" s="259"/>
      <c r="K62" s="63"/>
      <c r="L62" s="63"/>
      <c r="M62" s="63"/>
      <c r="N62" s="63"/>
      <c r="O62" s="221"/>
    </row>
    <row r="63" spans="3:16" hidden="1" outlineLevel="1" x14ac:dyDescent="0.25">
      <c r="C63" s="93" t="s">
        <v>13</v>
      </c>
      <c r="G63" s="288">
        <v>166.84</v>
      </c>
      <c r="H63" s="288">
        <v>269.75</v>
      </c>
      <c r="I63" s="288">
        <v>231.09</v>
      </c>
      <c r="J63" s="288">
        <v>431.76</v>
      </c>
      <c r="K63" s="29">
        <f>Schedule!K36</f>
        <v>958.28855172739623</v>
      </c>
      <c r="L63" s="29">
        <f ca="1">Schedule!L36</f>
        <v>1254.0004165478053</v>
      </c>
      <c r="M63" s="29">
        <f ca="1">Schedule!M36</f>
        <v>1586.1500206726491</v>
      </c>
      <c r="N63" s="29">
        <f ca="1">Schedule!N36</f>
        <v>1938.9764999438323</v>
      </c>
      <c r="O63" s="246">
        <f ca="1">Schedule!O36</f>
        <v>2347.1058457056365</v>
      </c>
      <c r="P63" s="48" t="s">
        <v>172</v>
      </c>
    </row>
    <row r="64" spans="3:16" hidden="1" outlineLevel="1" x14ac:dyDescent="0.25">
      <c r="C64" s="254" t="s">
        <v>171</v>
      </c>
      <c r="G64" s="29"/>
      <c r="H64" s="29"/>
      <c r="I64" s="29"/>
      <c r="J64" s="29"/>
      <c r="K64" s="29"/>
      <c r="L64" s="29"/>
      <c r="M64" s="29"/>
      <c r="N64" s="29"/>
      <c r="O64" s="246"/>
    </row>
    <row r="65" spans="3:16" hidden="1" outlineLevel="1" x14ac:dyDescent="0.25">
      <c r="C65" s="245" t="s">
        <v>51</v>
      </c>
      <c r="G65" s="288">
        <v>0</v>
      </c>
      <c r="H65" s="288">
        <v>36.79</v>
      </c>
      <c r="I65" s="288">
        <v>29.03</v>
      </c>
      <c r="J65" s="288">
        <v>75.06</v>
      </c>
      <c r="K65" s="29">
        <f>J65</f>
        <v>75.06</v>
      </c>
      <c r="L65" s="29">
        <f t="shared" ref="L65:O65" si="18">K65</f>
        <v>75.06</v>
      </c>
      <c r="M65" s="29">
        <f t="shared" si="18"/>
        <v>75.06</v>
      </c>
      <c r="N65" s="29">
        <f t="shared" si="18"/>
        <v>75.06</v>
      </c>
      <c r="O65" s="246">
        <f t="shared" si="18"/>
        <v>75.06</v>
      </c>
    </row>
    <row r="66" spans="3:16" hidden="1" outlineLevel="1" x14ac:dyDescent="0.25">
      <c r="C66" s="245" t="s">
        <v>14</v>
      </c>
      <c r="G66" s="288">
        <v>23.736699999999999</v>
      </c>
      <c r="H66" s="288">
        <v>24.51</v>
      </c>
      <c r="I66" s="288">
        <v>79.91</v>
      </c>
      <c r="J66" s="288">
        <v>171.42</v>
      </c>
      <c r="K66" s="29">
        <f>Schedule!K37</f>
        <v>383.70630396924236</v>
      </c>
      <c r="L66" s="29">
        <f ca="1">Schedule!L37</f>
        <v>503.55264875731359</v>
      </c>
      <c r="M66" s="29">
        <f ca="1">Schedule!M37</f>
        <v>644.59777041799123</v>
      </c>
      <c r="N66" s="29">
        <f ca="1">Schedule!N37</f>
        <v>839.35139438505621</v>
      </c>
      <c r="O66" s="246">
        <f ca="1">Schedule!O37</f>
        <v>1028.0582444439283</v>
      </c>
      <c r="P66" s="48" t="s">
        <v>172</v>
      </c>
    </row>
    <row r="67" spans="3:16" hidden="1" outlineLevel="1" x14ac:dyDescent="0.25">
      <c r="C67" s="245" t="s">
        <v>15</v>
      </c>
      <c r="G67" s="288">
        <v>13.73</v>
      </c>
      <c r="H67" s="288">
        <v>27.58</v>
      </c>
      <c r="I67" s="288">
        <v>2.59</v>
      </c>
      <c r="J67" s="288">
        <v>39.950000000000003</v>
      </c>
      <c r="K67" s="29">
        <f>K133</f>
        <v>1249.1233832116975</v>
      </c>
      <c r="L67" s="29">
        <f t="shared" ref="L67:O67" ca="1" si="19">L133</f>
        <v>5205.2344456942619</v>
      </c>
      <c r="M67" s="29">
        <f t="shared" ca="1" si="19"/>
        <v>10050.417264104355</v>
      </c>
      <c r="N67" s="29">
        <f t="shared" ca="1" si="19"/>
        <v>15274.53361442124</v>
      </c>
      <c r="O67" s="246">
        <f t="shared" ca="1" si="19"/>
        <v>21295.193721026288</v>
      </c>
      <c r="P67" s="48" t="s">
        <v>172</v>
      </c>
    </row>
    <row r="68" spans="3:16" hidden="1" outlineLevel="1" x14ac:dyDescent="0.25">
      <c r="C68" s="245" t="s">
        <v>118</v>
      </c>
      <c r="G68" s="288">
        <v>8.14</v>
      </c>
      <c r="H68" s="288">
        <v>236.98</v>
      </c>
      <c r="I68" s="288">
        <v>284.54000000000002</v>
      </c>
      <c r="J68" s="288">
        <v>699.32</v>
      </c>
      <c r="K68" s="29">
        <f>J68</f>
        <v>699.32</v>
      </c>
      <c r="L68" s="29">
        <f t="shared" ref="L68:O68" si="20">K68</f>
        <v>699.32</v>
      </c>
      <c r="M68" s="29">
        <f t="shared" si="20"/>
        <v>699.32</v>
      </c>
      <c r="N68" s="29">
        <f t="shared" si="20"/>
        <v>699.32</v>
      </c>
      <c r="O68" s="246">
        <f t="shared" si="20"/>
        <v>699.32</v>
      </c>
    </row>
    <row r="69" spans="3:16" hidden="1" outlineLevel="1" x14ac:dyDescent="0.25">
      <c r="C69" s="245" t="s">
        <v>52</v>
      </c>
      <c r="G69" s="288">
        <v>0</v>
      </c>
      <c r="H69" s="288">
        <v>25.07</v>
      </c>
      <c r="I69" s="288">
        <v>1.5</v>
      </c>
      <c r="J69" s="288">
        <v>250.83</v>
      </c>
      <c r="K69" s="29">
        <f>J69</f>
        <v>250.83</v>
      </c>
      <c r="L69" s="29">
        <f t="shared" ref="L69:O69" si="21">K69</f>
        <v>250.83</v>
      </c>
      <c r="M69" s="29">
        <f t="shared" si="21"/>
        <v>250.83</v>
      </c>
      <c r="N69" s="29">
        <f t="shared" si="21"/>
        <v>250.83</v>
      </c>
      <c r="O69" s="246">
        <f t="shared" si="21"/>
        <v>250.83</v>
      </c>
    </row>
    <row r="70" spans="3:16" hidden="1" outlineLevel="1" x14ac:dyDescent="0.25">
      <c r="C70" s="93" t="s">
        <v>119</v>
      </c>
      <c r="G70" s="288">
        <v>96.49</v>
      </c>
      <c r="H70" s="288">
        <v>326.14</v>
      </c>
      <c r="I70" s="288">
        <v>498.76</v>
      </c>
      <c r="J70" s="288">
        <v>1351.85</v>
      </c>
      <c r="K70" s="29">
        <f>Schedule!K45</f>
        <v>1887.318840295316</v>
      </c>
      <c r="L70" s="29">
        <f ca="1">Schedule!L45</f>
        <v>2434.6874383533464</v>
      </c>
      <c r="M70" s="29">
        <f ca="1">Schedule!M45</f>
        <v>3264.2959613965268</v>
      </c>
      <c r="N70" s="29">
        <f ca="1">Schedule!N45</f>
        <v>4411.1841264200038</v>
      </c>
      <c r="O70" s="246">
        <f ca="1">Schedule!O45</f>
        <v>4837.3913673179859</v>
      </c>
      <c r="P70" s="48" t="s">
        <v>172</v>
      </c>
    </row>
    <row r="71" spans="3:16" hidden="1" outlineLevel="1" x14ac:dyDescent="0.25">
      <c r="C71" s="208" t="s">
        <v>16</v>
      </c>
      <c r="D71" s="87"/>
      <c r="E71" s="87"/>
      <c r="F71" s="87"/>
      <c r="G71" s="289">
        <v>308.93670000000003</v>
      </c>
      <c r="H71" s="289">
        <v>946.82</v>
      </c>
      <c r="I71" s="289">
        <v>1127.42</v>
      </c>
      <c r="J71" s="289">
        <v>3020.19</v>
      </c>
      <c r="K71" s="89">
        <f>SUM(K63:K70)</f>
        <v>5503.6470792036525</v>
      </c>
      <c r="L71" s="89">
        <f t="shared" ref="L71:O71" ca="1" si="22">SUM(L63:L70)</f>
        <v>10422.684949352726</v>
      </c>
      <c r="M71" s="89">
        <f t="shared" ca="1" si="22"/>
        <v>16570.671016591521</v>
      </c>
      <c r="N71" s="89">
        <f t="shared" ca="1" si="22"/>
        <v>23489.255635170135</v>
      </c>
      <c r="O71" s="251">
        <f t="shared" ca="1" si="22"/>
        <v>30532.959178493838</v>
      </c>
    </row>
    <row r="72" spans="3:16" hidden="1" outlineLevel="1" x14ac:dyDescent="0.25">
      <c r="C72" s="202" t="s">
        <v>17</v>
      </c>
      <c r="D72" s="90"/>
      <c r="E72" s="90"/>
      <c r="F72" s="90"/>
      <c r="G72" s="291">
        <v>823.72669999999994</v>
      </c>
      <c r="H72" s="291">
        <v>2026.0299999999997</v>
      </c>
      <c r="I72" s="291">
        <v>3937.54</v>
      </c>
      <c r="J72" s="291">
        <v>9416.9</v>
      </c>
      <c r="K72" s="252">
        <f>K60+K71</f>
        <v>17228.920572536987</v>
      </c>
      <c r="L72" s="252">
        <f t="shared" ref="L72:O72" ca="1" si="23">L60+L71</f>
        <v>22784.840445352729</v>
      </c>
      <c r="M72" s="252">
        <f t="shared" ca="1" si="23"/>
        <v>29348.147816851524</v>
      </c>
      <c r="N72" s="252">
        <f t="shared" ca="1" si="23"/>
        <v>36395.185733174134</v>
      </c>
      <c r="O72" s="253">
        <f t="shared" ca="1" si="23"/>
        <v>43291.994929288558</v>
      </c>
    </row>
    <row r="73" spans="3:16" hidden="1" outlineLevel="1" x14ac:dyDescent="0.25">
      <c r="C73" s="93" t="s">
        <v>99</v>
      </c>
      <c r="G73" s="29"/>
      <c r="H73" s="29"/>
      <c r="I73" s="29"/>
      <c r="J73" s="29"/>
      <c r="K73" s="29"/>
      <c r="L73" s="29"/>
      <c r="M73" s="29"/>
      <c r="N73" s="29"/>
      <c r="O73" s="246"/>
    </row>
    <row r="74" spans="3:16" hidden="1" outlineLevel="1" x14ac:dyDescent="0.25">
      <c r="C74" s="204" t="s">
        <v>34</v>
      </c>
      <c r="D74" s="63"/>
      <c r="E74" s="63"/>
      <c r="F74" s="63"/>
      <c r="G74" s="259"/>
      <c r="H74" s="259"/>
      <c r="I74" s="259"/>
      <c r="J74" s="259"/>
      <c r="K74" s="259"/>
      <c r="L74" s="259"/>
      <c r="M74" s="259"/>
      <c r="N74" s="259"/>
      <c r="O74" s="260"/>
    </row>
    <row r="75" spans="3:16" hidden="1" outlineLevel="1" x14ac:dyDescent="0.25">
      <c r="C75" s="93" t="s">
        <v>7</v>
      </c>
      <c r="G75" s="288">
        <v>37.04</v>
      </c>
      <c r="H75" s="288">
        <v>50.48</v>
      </c>
      <c r="I75" s="288">
        <v>50.53</v>
      </c>
      <c r="J75" s="288">
        <v>52.32</v>
      </c>
      <c r="K75" s="29">
        <f>J75</f>
        <v>52.32</v>
      </c>
      <c r="L75" s="29">
        <f t="shared" ref="L75:O75" si="24">K75</f>
        <v>52.32</v>
      </c>
      <c r="M75" s="29">
        <f t="shared" si="24"/>
        <v>52.32</v>
      </c>
      <c r="N75" s="29">
        <f t="shared" si="24"/>
        <v>52.32</v>
      </c>
      <c r="O75" s="246">
        <f t="shared" si="24"/>
        <v>52.32</v>
      </c>
    </row>
    <row r="76" spans="3:16" hidden="1" outlineLevel="1" x14ac:dyDescent="0.25">
      <c r="C76" s="93" t="s">
        <v>36</v>
      </c>
      <c r="G76" s="288">
        <v>444.54</v>
      </c>
      <c r="H76" s="288">
        <v>1478.47</v>
      </c>
      <c r="I76" s="288">
        <v>2760.34</v>
      </c>
      <c r="J76" s="288">
        <v>6350.76</v>
      </c>
      <c r="K76" s="29">
        <f>Schedule!K73</f>
        <v>9371.9011902499988</v>
      </c>
      <c r="L76" s="29">
        <f ca="1">Schedule!L73</f>
        <v>13295.837394637498</v>
      </c>
      <c r="M76" s="29">
        <f ca="1">Schedule!M73</f>
        <v>18023.339748306251</v>
      </c>
      <c r="N76" s="29">
        <f ca="1">Schedule!N73</f>
        <v>22374.040589694629</v>
      </c>
      <c r="O76" s="246">
        <f ca="1">Schedule!O73</f>
        <v>27162.512637294803</v>
      </c>
      <c r="P76" s="48" t="s">
        <v>172</v>
      </c>
    </row>
    <row r="77" spans="3:16" hidden="1" outlineLevel="1" x14ac:dyDescent="0.25">
      <c r="C77" s="202" t="s">
        <v>37</v>
      </c>
      <c r="D77" s="90"/>
      <c r="E77" s="90"/>
      <c r="F77" s="90"/>
      <c r="G77" s="291">
        <v>481.58000000000004</v>
      </c>
      <c r="H77" s="291">
        <v>1528.95</v>
      </c>
      <c r="I77" s="291">
        <v>2810.8700000000003</v>
      </c>
      <c r="J77" s="291">
        <v>6402.12</v>
      </c>
      <c r="K77" s="252">
        <f>SUM(K75:K76)</f>
        <v>9424.2211902499985</v>
      </c>
      <c r="L77" s="252">
        <f t="shared" ref="L77:O77" ca="1" si="25">SUM(L75:L76)</f>
        <v>13348.157394637497</v>
      </c>
      <c r="M77" s="252">
        <f t="shared" ca="1" si="25"/>
        <v>18075.659748306251</v>
      </c>
      <c r="N77" s="252">
        <f t="shared" ca="1" si="25"/>
        <v>22426.360589694628</v>
      </c>
      <c r="O77" s="253">
        <f t="shared" ca="1" si="25"/>
        <v>27214.832637294803</v>
      </c>
    </row>
    <row r="78" spans="3:16" hidden="1" outlineLevel="1" x14ac:dyDescent="0.25">
      <c r="C78" s="93" t="s">
        <v>99</v>
      </c>
      <c r="G78" s="29"/>
      <c r="H78" s="29"/>
      <c r="I78" s="29"/>
      <c r="J78" s="29"/>
      <c r="K78" s="29"/>
      <c r="L78" s="29"/>
      <c r="M78" s="29"/>
      <c r="N78" s="29"/>
      <c r="O78" s="246"/>
    </row>
    <row r="79" spans="3:16" hidden="1" outlineLevel="1" x14ac:dyDescent="0.25">
      <c r="C79" s="204" t="s">
        <v>120</v>
      </c>
      <c r="D79" s="63"/>
      <c r="E79" s="63"/>
      <c r="F79" s="63"/>
      <c r="G79" s="259"/>
      <c r="H79" s="259"/>
      <c r="I79" s="259"/>
      <c r="J79" s="259"/>
      <c r="K79" s="259"/>
      <c r="L79" s="259"/>
      <c r="M79" s="259"/>
      <c r="N79" s="259"/>
      <c r="O79" s="260"/>
    </row>
    <row r="80" spans="3:16" hidden="1" outlineLevel="1" x14ac:dyDescent="0.25">
      <c r="C80" s="254" t="s">
        <v>173</v>
      </c>
      <c r="G80" s="29"/>
      <c r="H80" s="29"/>
      <c r="I80" s="29"/>
      <c r="J80" s="29"/>
      <c r="K80" s="29"/>
      <c r="L80" s="29"/>
      <c r="M80" s="29"/>
      <c r="N80" s="29"/>
      <c r="O80" s="246"/>
    </row>
    <row r="81" spans="3:16" hidden="1" outlineLevel="1" x14ac:dyDescent="0.25">
      <c r="C81" s="245" t="s">
        <v>40</v>
      </c>
      <c r="G81" s="288">
        <v>56.72</v>
      </c>
      <c r="H81" s="288">
        <v>0</v>
      </c>
      <c r="I81" s="288">
        <v>0</v>
      </c>
      <c r="J81" s="288">
        <v>753.91</v>
      </c>
      <c r="K81" s="29">
        <f>Schedule!K60</f>
        <v>5337.7370000000001</v>
      </c>
      <c r="L81" s="29">
        <f>Schedule!L60</f>
        <v>6096.4159</v>
      </c>
      <c r="M81" s="29">
        <f>Schedule!M60</f>
        <v>7252.4911300000003</v>
      </c>
      <c r="N81" s="29">
        <f>Schedule!N60</f>
        <v>8726.7437910000008</v>
      </c>
      <c r="O81" s="246">
        <f>Schedule!O60</f>
        <v>10528.7206537</v>
      </c>
      <c r="P81" s="48" t="s">
        <v>172</v>
      </c>
    </row>
    <row r="82" spans="3:16" hidden="1" outlineLevel="1" x14ac:dyDescent="0.25">
      <c r="C82" s="245" t="s">
        <v>121</v>
      </c>
      <c r="G82" s="288">
        <v>0.43</v>
      </c>
      <c r="H82" s="288">
        <v>2.19</v>
      </c>
      <c r="I82" s="288">
        <v>29.44</v>
      </c>
      <c r="J82" s="288">
        <v>35.92</v>
      </c>
      <c r="K82" s="29">
        <f>J82</f>
        <v>35.92</v>
      </c>
      <c r="L82" s="29">
        <f t="shared" ref="L82:O82" si="26">K82</f>
        <v>35.92</v>
      </c>
      <c r="M82" s="29">
        <f t="shared" si="26"/>
        <v>35.92</v>
      </c>
      <c r="N82" s="29">
        <f t="shared" si="26"/>
        <v>35.92</v>
      </c>
      <c r="O82" s="246">
        <f t="shared" si="26"/>
        <v>35.92</v>
      </c>
    </row>
    <row r="83" spans="3:16" hidden="1" outlineLevel="1" x14ac:dyDescent="0.25">
      <c r="C83" s="93" t="s">
        <v>42</v>
      </c>
      <c r="G83" s="288">
        <v>5.36</v>
      </c>
      <c r="H83" s="288">
        <v>22.56</v>
      </c>
      <c r="I83" s="288">
        <v>24.89</v>
      </c>
      <c r="J83" s="288">
        <v>35.01</v>
      </c>
      <c r="K83" s="29">
        <f>J83</f>
        <v>35.01</v>
      </c>
      <c r="L83" s="29">
        <f t="shared" ref="L83:O83" si="27">K83</f>
        <v>35.01</v>
      </c>
      <c r="M83" s="29">
        <f t="shared" si="27"/>
        <v>35.01</v>
      </c>
      <c r="N83" s="29">
        <f t="shared" si="27"/>
        <v>35.01</v>
      </c>
      <c r="O83" s="246">
        <f t="shared" si="27"/>
        <v>35.01</v>
      </c>
    </row>
    <row r="84" spans="3:16" hidden="1" outlineLevel="1" x14ac:dyDescent="0.25">
      <c r="C84" s="93" t="s">
        <v>122</v>
      </c>
      <c r="G84" s="288">
        <v>161.43</v>
      </c>
      <c r="H84" s="288">
        <v>0</v>
      </c>
      <c r="I84" s="288">
        <v>86.4</v>
      </c>
      <c r="J84" s="288">
        <v>75.72</v>
      </c>
      <c r="K84" s="29">
        <f>Schedule!K51</f>
        <v>165.34965333333329</v>
      </c>
      <c r="L84" s="29">
        <f ca="1">Schedule!L51</f>
        <v>216.37379866666663</v>
      </c>
      <c r="M84" s="29">
        <f ca="1">Schedule!M51</f>
        <v>273.68516046666662</v>
      </c>
      <c r="N84" s="29">
        <f ca="1">Schedule!N51</f>
        <v>334.56425155999995</v>
      </c>
      <c r="O84" s="246">
        <f ca="1">Schedule!O51</f>
        <v>404.98567704319993</v>
      </c>
      <c r="P84" s="48" t="s">
        <v>172</v>
      </c>
    </row>
    <row r="85" spans="3:16" hidden="1" outlineLevel="1" x14ac:dyDescent="0.25">
      <c r="C85" s="202" t="s">
        <v>8</v>
      </c>
      <c r="D85" s="90"/>
      <c r="E85" s="90"/>
      <c r="F85" s="90"/>
      <c r="G85" s="291">
        <v>223.94</v>
      </c>
      <c r="H85" s="291">
        <v>24.75</v>
      </c>
      <c r="I85" s="291">
        <v>140.73000000000002</v>
      </c>
      <c r="J85" s="291">
        <v>900.56</v>
      </c>
      <c r="K85" s="252">
        <f>SUM(K81:K84)</f>
        <v>5574.016653333334</v>
      </c>
      <c r="L85" s="252">
        <f t="shared" ref="L85:O85" ca="1" si="28">SUM(L81:L84)</f>
        <v>6383.7196986666668</v>
      </c>
      <c r="M85" s="252">
        <f t="shared" ca="1" si="28"/>
        <v>7597.1062904666669</v>
      </c>
      <c r="N85" s="252">
        <f t="shared" ca="1" si="28"/>
        <v>9132.2380425600004</v>
      </c>
      <c r="O85" s="253">
        <f t="shared" ca="1" si="28"/>
        <v>11004.6363307432</v>
      </c>
    </row>
    <row r="86" spans="3:16" hidden="1" outlineLevel="1" x14ac:dyDescent="0.25">
      <c r="C86" s="93" t="s">
        <v>99</v>
      </c>
      <c r="G86" s="29"/>
      <c r="H86" s="29"/>
      <c r="I86" s="29"/>
      <c r="J86" s="29"/>
      <c r="K86" s="29"/>
      <c r="L86" s="29"/>
      <c r="M86" s="29"/>
      <c r="N86" s="29"/>
      <c r="O86" s="246"/>
    </row>
    <row r="87" spans="3:16" hidden="1" outlineLevel="1" x14ac:dyDescent="0.25">
      <c r="C87" s="204" t="s">
        <v>44</v>
      </c>
      <c r="D87" s="63"/>
      <c r="E87" s="63"/>
      <c r="F87" s="63"/>
      <c r="G87" s="259"/>
      <c r="H87" s="259"/>
      <c r="I87" s="259"/>
      <c r="J87" s="259"/>
      <c r="K87" s="259"/>
      <c r="L87" s="259"/>
      <c r="M87" s="259"/>
      <c r="N87" s="259"/>
      <c r="O87" s="260"/>
    </row>
    <row r="88" spans="3:16" hidden="1" outlineLevel="1" x14ac:dyDescent="0.25">
      <c r="C88" s="254" t="s">
        <v>173</v>
      </c>
      <c r="G88" s="29"/>
      <c r="H88" s="29"/>
      <c r="I88" s="29"/>
      <c r="J88" s="29"/>
      <c r="K88" s="29"/>
      <c r="L88" s="29"/>
      <c r="M88" s="29"/>
      <c r="N88" s="29"/>
      <c r="O88" s="246"/>
    </row>
    <row r="89" spans="3:16" hidden="1" outlineLevel="1" x14ac:dyDescent="0.25">
      <c r="C89" s="245" t="s">
        <v>40</v>
      </c>
      <c r="G89" s="288">
        <v>0</v>
      </c>
      <c r="H89" s="288">
        <v>0</v>
      </c>
      <c r="I89" s="288">
        <v>0</v>
      </c>
      <c r="J89" s="288">
        <v>1.84</v>
      </c>
      <c r="K89" s="288">
        <v>0</v>
      </c>
      <c r="L89" s="288">
        <v>0</v>
      </c>
      <c r="M89" s="288">
        <v>0</v>
      </c>
      <c r="N89" s="288">
        <v>0</v>
      </c>
      <c r="O89" s="290">
        <v>0</v>
      </c>
    </row>
    <row r="90" spans="3:16" hidden="1" outlineLevel="1" x14ac:dyDescent="0.25">
      <c r="C90" s="245" t="s">
        <v>121</v>
      </c>
      <c r="G90" s="288">
        <v>0.21</v>
      </c>
      <c r="H90" s="288">
        <v>0.61</v>
      </c>
      <c r="I90" s="288">
        <v>3.69</v>
      </c>
      <c r="J90" s="288">
        <v>3.5</v>
      </c>
      <c r="K90" s="29">
        <f>J90</f>
        <v>3.5</v>
      </c>
      <c r="L90" s="29">
        <f t="shared" ref="L90:O90" si="29">K90</f>
        <v>3.5</v>
      </c>
      <c r="M90" s="29">
        <f t="shared" si="29"/>
        <v>3.5</v>
      </c>
      <c r="N90" s="29">
        <f t="shared" si="29"/>
        <v>3.5</v>
      </c>
      <c r="O90" s="246">
        <f t="shared" si="29"/>
        <v>3.5</v>
      </c>
    </row>
    <row r="91" spans="3:16" hidden="1" outlineLevel="1" x14ac:dyDescent="0.25">
      <c r="C91" s="245" t="s">
        <v>9</v>
      </c>
      <c r="G91" s="288">
        <v>15.18</v>
      </c>
      <c r="H91" s="288">
        <v>74.53</v>
      </c>
      <c r="I91" s="288">
        <v>395.08000000000004</v>
      </c>
      <c r="J91" s="288">
        <v>36.28</v>
      </c>
      <c r="K91" s="29">
        <f>Schedule!K39</f>
        <v>81.209104585253257</v>
      </c>
      <c r="L91" s="29">
        <f ca="1">Schedule!L39</f>
        <v>106.57385425805238</v>
      </c>
      <c r="M91" s="29">
        <f ca="1">Schedule!M39</f>
        <v>136.42519607259786</v>
      </c>
      <c r="N91" s="29">
        <f ca="1">Schedule!N39</f>
        <v>177.64361561247136</v>
      </c>
      <c r="O91" s="246">
        <f ca="1">Schedule!O39</f>
        <v>217.5822722460957</v>
      </c>
      <c r="P91" s="48" t="s">
        <v>172</v>
      </c>
    </row>
    <row r="92" spans="3:16" hidden="1" outlineLevel="1" x14ac:dyDescent="0.25">
      <c r="C92" s="245" t="s">
        <v>123</v>
      </c>
      <c r="G92" s="288">
        <v>74.47</v>
      </c>
      <c r="H92" s="288">
        <v>1.57</v>
      </c>
      <c r="I92" s="288">
        <v>0</v>
      </c>
      <c r="J92" s="288">
        <v>0</v>
      </c>
      <c r="K92" s="29">
        <f>J92</f>
        <v>0</v>
      </c>
      <c r="L92" s="29">
        <f t="shared" ref="L92:O92" si="30">K92</f>
        <v>0</v>
      </c>
      <c r="M92" s="29">
        <f t="shared" si="30"/>
        <v>0</v>
      </c>
      <c r="N92" s="29">
        <f t="shared" si="30"/>
        <v>0</v>
      </c>
      <c r="O92" s="246">
        <f t="shared" si="30"/>
        <v>0</v>
      </c>
    </row>
    <row r="93" spans="3:16" hidden="1" outlineLevel="1" x14ac:dyDescent="0.25">
      <c r="C93" s="93" t="s">
        <v>10</v>
      </c>
      <c r="G93" s="288">
        <v>14.42</v>
      </c>
      <c r="H93" s="288">
        <v>383.49</v>
      </c>
      <c r="I93" s="288">
        <v>308.39</v>
      </c>
      <c r="J93" s="288">
        <v>1334.43</v>
      </c>
      <c r="K93" s="29">
        <f>Schedule!K48</f>
        <v>1406.9236243683997</v>
      </c>
      <c r="L93" s="29">
        <f ca="1">Schedule!L48</f>
        <v>2203.8394977905109</v>
      </c>
      <c r="M93" s="29">
        <f ca="1">Schedule!M48</f>
        <v>2796.4065820060077</v>
      </c>
      <c r="N93" s="29">
        <f ca="1">Schedule!N48</f>
        <v>3916.3934853070377</v>
      </c>
      <c r="O93" s="246">
        <f ca="1">Schedule!O48</f>
        <v>4112.3936890044633</v>
      </c>
      <c r="P93" s="48" t="s">
        <v>172</v>
      </c>
    </row>
    <row r="94" spans="3:16" hidden="1" outlineLevel="1" x14ac:dyDescent="0.25">
      <c r="C94" s="93" t="s">
        <v>42</v>
      </c>
      <c r="G94" s="288">
        <v>13.93</v>
      </c>
      <c r="H94" s="288">
        <v>12.13</v>
      </c>
      <c r="I94" s="288">
        <v>18.989999999999998</v>
      </c>
      <c r="J94" s="288">
        <v>21.67</v>
      </c>
      <c r="K94" s="29">
        <f>J94</f>
        <v>21.67</v>
      </c>
      <c r="L94" s="29">
        <f t="shared" ref="L94:O94" si="31">K94</f>
        <v>21.67</v>
      </c>
      <c r="M94" s="29">
        <f t="shared" si="31"/>
        <v>21.67</v>
      </c>
      <c r="N94" s="29">
        <f t="shared" si="31"/>
        <v>21.67</v>
      </c>
      <c r="O94" s="246">
        <f t="shared" si="31"/>
        <v>21.67</v>
      </c>
    </row>
    <row r="95" spans="3:16" hidden="1" outlineLevel="1" x14ac:dyDescent="0.25">
      <c r="C95" s="93" t="s">
        <v>124</v>
      </c>
      <c r="G95" s="288">
        <v>0</v>
      </c>
      <c r="H95" s="288">
        <v>0</v>
      </c>
      <c r="I95" s="288">
        <v>259.79000000000002</v>
      </c>
      <c r="J95" s="288">
        <v>716.5</v>
      </c>
      <c r="K95" s="29">
        <f>J95</f>
        <v>716.5</v>
      </c>
      <c r="L95" s="29">
        <f t="shared" ref="L95:O95" si="32">K95</f>
        <v>716.5</v>
      </c>
      <c r="M95" s="29">
        <f t="shared" si="32"/>
        <v>716.5</v>
      </c>
      <c r="N95" s="29">
        <f t="shared" si="32"/>
        <v>716.5</v>
      </c>
      <c r="O95" s="246">
        <f t="shared" si="32"/>
        <v>716.5</v>
      </c>
    </row>
    <row r="96" spans="3:16" hidden="1" outlineLevel="1" x14ac:dyDescent="0.25">
      <c r="C96" s="202" t="s">
        <v>125</v>
      </c>
      <c r="D96" s="90"/>
      <c r="E96" s="90"/>
      <c r="F96" s="90"/>
      <c r="G96" s="291">
        <v>118.21000000000001</v>
      </c>
      <c r="H96" s="291">
        <v>472.33</v>
      </c>
      <c r="I96" s="291">
        <v>985.94</v>
      </c>
      <c r="J96" s="291">
        <v>2114.2200000000003</v>
      </c>
      <c r="K96" s="252">
        <f>SUM(K89:K95)</f>
        <v>2229.8027289536531</v>
      </c>
      <c r="L96" s="252">
        <f t="shared" ref="L96:O96" ca="1" si="33">SUM(L89:L95)</f>
        <v>3052.0833520485635</v>
      </c>
      <c r="M96" s="252">
        <f t="shared" ca="1" si="33"/>
        <v>3674.5017780786056</v>
      </c>
      <c r="N96" s="252">
        <f t="shared" ca="1" si="33"/>
        <v>4835.7071009195088</v>
      </c>
      <c r="O96" s="253">
        <f t="shared" ca="1" si="33"/>
        <v>5071.6459612505587</v>
      </c>
    </row>
    <row r="97" spans="2:15" hidden="1" outlineLevel="1" x14ac:dyDescent="0.25">
      <c r="C97" s="202" t="s">
        <v>126</v>
      </c>
      <c r="D97" s="90"/>
      <c r="E97" s="90"/>
      <c r="F97" s="90"/>
      <c r="G97" s="291">
        <v>823.73</v>
      </c>
      <c r="H97" s="291">
        <v>2026.03</v>
      </c>
      <c r="I97" s="291">
        <v>3937.5400000000004</v>
      </c>
      <c r="J97" s="291">
        <v>9416.9000000000015</v>
      </c>
      <c r="K97" s="252">
        <f>K77+K85+K96</f>
        <v>17228.040572536986</v>
      </c>
      <c r="L97" s="252">
        <f t="shared" ref="L97:O97" ca="1" si="34">L77+L85+L96</f>
        <v>22783.960445352728</v>
      </c>
      <c r="M97" s="252">
        <f t="shared" ca="1" si="34"/>
        <v>29347.267816851527</v>
      </c>
      <c r="N97" s="252">
        <f t="shared" ca="1" si="34"/>
        <v>36394.305733174137</v>
      </c>
      <c r="O97" s="253">
        <f t="shared" ca="1" si="34"/>
        <v>43291.11492928856</v>
      </c>
    </row>
    <row r="98" spans="2:15" hidden="1" outlineLevel="1" x14ac:dyDescent="0.25">
      <c r="C98" s="93"/>
      <c r="K98" s="29"/>
      <c r="L98" s="29"/>
      <c r="M98" s="29"/>
      <c r="N98" s="29"/>
      <c r="O98" s="246"/>
    </row>
    <row r="99" spans="2:15" hidden="1" outlineLevel="1" x14ac:dyDescent="0.25">
      <c r="C99" s="255" t="s">
        <v>127</v>
      </c>
      <c r="D99" s="256"/>
      <c r="E99" s="256"/>
      <c r="F99" s="256"/>
      <c r="G99" s="256" t="b">
        <f>G97=G72</f>
        <v>0</v>
      </c>
      <c r="H99" s="256" t="b">
        <f t="shared" ref="H99:I99" si="35">H97=H72</f>
        <v>1</v>
      </c>
      <c r="I99" s="256" t="b">
        <f t="shared" si="35"/>
        <v>1</v>
      </c>
      <c r="J99" s="256" t="b">
        <f>J97=J72</f>
        <v>1</v>
      </c>
      <c r="K99" s="257">
        <f>ROUNDDOWN(IF(K97=K72,TRUE,K72-K97),0)</f>
        <v>0</v>
      </c>
      <c r="L99" s="257">
        <f t="shared" ref="L99:O99" ca="1" si="36">ROUNDDOWN(IF(L97=L72,TRUE,L72-L97),0)</f>
        <v>0</v>
      </c>
      <c r="M99" s="257">
        <f t="shared" ca="1" si="36"/>
        <v>0</v>
      </c>
      <c r="N99" s="257">
        <f t="shared" ca="1" si="36"/>
        <v>0</v>
      </c>
      <c r="O99" s="258">
        <f t="shared" ca="1" si="36"/>
        <v>0</v>
      </c>
    </row>
    <row r="100" spans="2:15" hidden="1" outlineLevel="1" x14ac:dyDescent="0.25">
      <c r="C100" s="220"/>
      <c r="D100" s="63"/>
      <c r="E100" s="63"/>
      <c r="F100" s="63"/>
      <c r="G100" s="63"/>
      <c r="H100" s="63"/>
      <c r="I100" s="63"/>
      <c r="J100" s="63"/>
      <c r="K100" s="259"/>
      <c r="L100" s="259"/>
      <c r="M100" s="259"/>
      <c r="N100" s="259"/>
      <c r="O100" s="260"/>
    </row>
    <row r="101" spans="2:15" hidden="1" outlineLevel="1" x14ac:dyDescent="0.25">
      <c r="K101" s="29"/>
      <c r="L101" s="29"/>
      <c r="M101" s="29"/>
      <c r="N101" s="29"/>
      <c r="O101" s="29"/>
    </row>
    <row r="102" spans="2:15" collapsed="1" x14ac:dyDescent="0.25">
      <c r="K102" s="29"/>
      <c r="L102" s="29"/>
      <c r="M102" s="29"/>
      <c r="N102" s="29"/>
      <c r="O102" s="29"/>
    </row>
    <row r="103" spans="2:15" x14ac:dyDescent="0.25">
      <c r="B103" s="51" t="s">
        <v>94</v>
      </c>
      <c r="C103" s="226" t="s">
        <v>144</v>
      </c>
      <c r="D103" s="244"/>
      <c r="E103" s="244"/>
      <c r="F103" s="244"/>
      <c r="G103" s="228">
        <v>44651</v>
      </c>
      <c r="H103" s="228">
        <f>EOMONTH(G103,12)</f>
        <v>45016</v>
      </c>
      <c r="I103" s="228">
        <f t="shared" ref="I103:O103" si="37">EOMONTH(H103,12)</f>
        <v>45382</v>
      </c>
      <c r="J103" s="228">
        <f t="shared" si="37"/>
        <v>45747</v>
      </c>
      <c r="K103" s="229">
        <f t="shared" si="37"/>
        <v>46112</v>
      </c>
      <c r="L103" s="229">
        <f t="shared" si="37"/>
        <v>46477</v>
      </c>
      <c r="M103" s="229">
        <f t="shared" si="37"/>
        <v>46843</v>
      </c>
      <c r="N103" s="229">
        <f t="shared" si="37"/>
        <v>47208</v>
      </c>
      <c r="O103" s="230">
        <f t="shared" si="37"/>
        <v>47573</v>
      </c>
    </row>
    <row r="104" spans="2:15" x14ac:dyDescent="0.25">
      <c r="C104" s="93"/>
      <c r="O104" s="219"/>
    </row>
    <row r="105" spans="2:15" hidden="1" outlineLevel="1" x14ac:dyDescent="0.25">
      <c r="C105" s="93" t="s">
        <v>185</v>
      </c>
      <c r="G105" s="41"/>
      <c r="H105" s="41"/>
      <c r="I105" s="41"/>
      <c r="J105" s="41"/>
      <c r="K105" s="29">
        <f>K37</f>
        <v>3156.3997224999985</v>
      </c>
      <c r="L105" s="29">
        <f ca="1">L37</f>
        <v>4097.6578448749988</v>
      </c>
      <c r="M105" s="29">
        <f ca="1">M37</f>
        <v>4921.0408045208369</v>
      </c>
      <c r="N105" s="29">
        <f ca="1">N37</f>
        <v>4428.57961985375</v>
      </c>
      <c r="O105" s="246">
        <f ca="1">O37</f>
        <v>4829.632767584194</v>
      </c>
    </row>
    <row r="106" spans="2:15" hidden="1" outlineLevel="1" x14ac:dyDescent="0.25">
      <c r="C106" s="203" t="s">
        <v>194</v>
      </c>
      <c r="G106" s="41"/>
      <c r="H106" s="41"/>
      <c r="I106" s="41"/>
      <c r="J106" s="41"/>
      <c r="O106" s="219"/>
    </row>
    <row r="107" spans="2:15" hidden="1" outlineLevel="1" x14ac:dyDescent="0.25">
      <c r="C107" s="245" t="s">
        <v>195</v>
      </c>
      <c r="G107" s="41"/>
      <c r="H107" s="41"/>
      <c r="I107" s="41"/>
      <c r="J107" s="41"/>
      <c r="K107" s="29">
        <f>K27</f>
        <v>481.01717333333335</v>
      </c>
      <c r="L107" s="29">
        <f ca="1">L27</f>
        <v>334.39587066666661</v>
      </c>
      <c r="M107" s="29">
        <f ca="1">M27</f>
        <v>380.67117773999996</v>
      </c>
      <c r="N107" s="29">
        <f ca="1">N27</f>
        <v>413.64307465600001</v>
      </c>
      <c r="O107" s="246">
        <f ca="1">O27</f>
        <v>438.12086880127993</v>
      </c>
    </row>
    <row r="108" spans="2:15" hidden="1" outlineLevel="1" x14ac:dyDescent="0.25">
      <c r="C108" s="245" t="s">
        <v>196</v>
      </c>
      <c r="G108" s="41"/>
      <c r="H108" s="41"/>
      <c r="I108" s="41"/>
      <c r="J108" s="41"/>
      <c r="K108" s="29">
        <f>Assumptions!K84</f>
        <v>180.38144</v>
      </c>
      <c r="L108" s="29">
        <f ca="1">Assumptions!L84</f>
        <v>236.04414399999999</v>
      </c>
      <c r="M108" s="29">
        <f ca="1">Assumptions!M84</f>
        <v>298.56562959999997</v>
      </c>
      <c r="N108" s="29">
        <f ca="1">Assumptions!N84</f>
        <v>364.97918351999999</v>
      </c>
      <c r="O108" s="246">
        <f ca="1">Assumptions!O84</f>
        <v>441.80255677439993</v>
      </c>
    </row>
    <row r="109" spans="2:15" hidden="1" outlineLevel="1" x14ac:dyDescent="0.25">
      <c r="C109" s="245" t="s">
        <v>2</v>
      </c>
      <c r="G109" s="41"/>
      <c r="H109" s="41"/>
      <c r="I109" s="41"/>
      <c r="J109" s="41"/>
      <c r="K109" s="29">
        <f>K26</f>
        <v>258.89499749999999</v>
      </c>
      <c r="L109" s="29">
        <f>L26</f>
        <v>471.65880712500007</v>
      </c>
      <c r="M109" s="29">
        <f>M26</f>
        <v>543.96796147250006</v>
      </c>
      <c r="N109" s="29">
        <f>N26</f>
        <v>643.16420557025003</v>
      </c>
      <c r="O109" s="246">
        <f>O26</f>
        <v>746.14924723212505</v>
      </c>
    </row>
    <row r="110" spans="2:15" hidden="1" outlineLevel="1" x14ac:dyDescent="0.25">
      <c r="C110" s="203" t="s">
        <v>197</v>
      </c>
      <c r="G110" s="41"/>
      <c r="H110" s="41"/>
      <c r="I110" s="41"/>
      <c r="J110" s="41"/>
      <c r="K110" s="29"/>
      <c r="L110" s="29"/>
      <c r="M110" s="29"/>
      <c r="N110" s="29"/>
      <c r="O110" s="246"/>
    </row>
    <row r="111" spans="2:15" hidden="1" outlineLevel="1" x14ac:dyDescent="0.25">
      <c r="C111" s="245" t="s">
        <v>13</v>
      </c>
      <c r="G111" s="41"/>
      <c r="H111" s="41"/>
      <c r="I111" s="41"/>
      <c r="J111" s="41"/>
      <c r="K111" s="29">
        <f>J63-K63</f>
        <v>-526.52855172739623</v>
      </c>
      <c r="L111" s="29">
        <f t="shared" ref="L111:O111" ca="1" si="38">K63-L63</f>
        <v>-295.71186482040912</v>
      </c>
      <c r="M111" s="29">
        <f t="shared" ca="1" si="38"/>
        <v>-332.14960412484379</v>
      </c>
      <c r="N111" s="29">
        <f t="shared" ca="1" si="38"/>
        <v>-352.82647927118319</v>
      </c>
      <c r="O111" s="246">
        <f t="shared" ca="1" si="38"/>
        <v>-408.12934576180419</v>
      </c>
    </row>
    <row r="112" spans="2:15" hidden="1" outlineLevel="1" x14ac:dyDescent="0.25">
      <c r="C112" s="245" t="s">
        <v>14</v>
      </c>
      <c r="G112" s="41"/>
      <c r="H112" s="41"/>
      <c r="I112" s="41"/>
      <c r="J112" s="41"/>
      <c r="K112" s="29">
        <f>J66-K66</f>
        <v>-212.28630396924237</v>
      </c>
      <c r="L112" s="29">
        <f t="shared" ref="L112:O112" ca="1" si="39">K66-L66</f>
        <v>-119.84634478807124</v>
      </c>
      <c r="M112" s="29">
        <f t="shared" ca="1" si="39"/>
        <v>-141.04512166067764</v>
      </c>
      <c r="N112" s="29">
        <f t="shared" ca="1" si="39"/>
        <v>-194.75362396706498</v>
      </c>
      <c r="O112" s="246">
        <f t="shared" ca="1" si="39"/>
        <v>-188.70685005887208</v>
      </c>
    </row>
    <row r="113" spans="3:15" hidden="1" outlineLevel="1" x14ac:dyDescent="0.25">
      <c r="C113" s="245" t="s">
        <v>9</v>
      </c>
      <c r="G113" s="41"/>
      <c r="H113" s="41"/>
      <c r="I113" s="41"/>
      <c r="J113" s="41"/>
      <c r="K113" s="29">
        <f>K91-J91</f>
        <v>44.929104585253256</v>
      </c>
      <c r="L113" s="29">
        <f t="shared" ref="L113:O113" ca="1" si="40">L91-K91</f>
        <v>25.364749672799121</v>
      </c>
      <c r="M113" s="29">
        <f t="shared" ca="1" si="40"/>
        <v>29.851341814545478</v>
      </c>
      <c r="N113" s="29">
        <f t="shared" ca="1" si="40"/>
        <v>41.218419539873508</v>
      </c>
      <c r="O113" s="246">
        <f t="shared" ca="1" si="40"/>
        <v>39.938656633624333</v>
      </c>
    </row>
    <row r="114" spans="3:15" hidden="1" outlineLevel="1" x14ac:dyDescent="0.25">
      <c r="C114" s="245" t="s">
        <v>119</v>
      </c>
      <c r="G114" s="41"/>
      <c r="H114" s="41"/>
      <c r="I114" s="41"/>
      <c r="J114" s="41"/>
      <c r="K114" s="29">
        <f>J70-K70</f>
        <v>-535.46884029531611</v>
      </c>
      <c r="L114" s="29">
        <f t="shared" ref="L114:O114" ca="1" si="41">K70-L70</f>
        <v>-547.36859805803033</v>
      </c>
      <c r="M114" s="29">
        <f t="shared" ca="1" si="41"/>
        <v>-829.60852304318041</v>
      </c>
      <c r="N114" s="29">
        <f t="shared" ca="1" si="41"/>
        <v>-1146.8881650234771</v>
      </c>
      <c r="O114" s="246">
        <f t="shared" ca="1" si="41"/>
        <v>-426.20724089798205</v>
      </c>
    </row>
    <row r="115" spans="3:15" hidden="1" outlineLevel="1" x14ac:dyDescent="0.25">
      <c r="C115" s="245" t="s">
        <v>10</v>
      </c>
      <c r="G115" s="41"/>
      <c r="H115" s="41"/>
      <c r="I115" s="41"/>
      <c r="J115" s="41"/>
      <c r="K115" s="29">
        <f>K93-J93</f>
        <v>72.493624368399651</v>
      </c>
      <c r="L115" s="29">
        <f t="shared" ref="L115:O115" ca="1" si="42">L93-K93</f>
        <v>796.91587342211119</v>
      </c>
      <c r="M115" s="29">
        <f t="shared" ca="1" si="42"/>
        <v>592.56708421549683</v>
      </c>
      <c r="N115" s="29">
        <f t="shared" ca="1" si="42"/>
        <v>1119.98690330103</v>
      </c>
      <c r="O115" s="246">
        <f t="shared" ca="1" si="42"/>
        <v>196.0002036974256</v>
      </c>
    </row>
    <row r="116" spans="3:15" hidden="1" outlineLevel="1" x14ac:dyDescent="0.25">
      <c r="C116" s="245" t="s">
        <v>122</v>
      </c>
      <c r="G116" s="41"/>
      <c r="H116" s="41"/>
      <c r="I116" s="41"/>
      <c r="J116" s="41"/>
      <c r="K116" s="29">
        <f>K84-J84</f>
        <v>89.629653333333295</v>
      </c>
      <c r="L116" s="29">
        <f t="shared" ref="L116:O116" ca="1" si="43">L84-K84</f>
        <v>51.024145333333337</v>
      </c>
      <c r="M116" s="29">
        <f t="shared" ca="1" si="43"/>
        <v>57.311361799999986</v>
      </c>
      <c r="N116" s="29">
        <f t="shared" ca="1" si="43"/>
        <v>60.879091093333329</v>
      </c>
      <c r="O116" s="246">
        <f t="shared" ca="1" si="43"/>
        <v>70.421425483199982</v>
      </c>
    </row>
    <row r="117" spans="3:15" hidden="1" outlineLevel="1" x14ac:dyDescent="0.25">
      <c r="C117" s="261" t="s">
        <v>198</v>
      </c>
      <c r="D117" s="54"/>
      <c r="E117" s="54"/>
      <c r="F117" s="54"/>
      <c r="G117" s="55"/>
      <c r="H117" s="55"/>
      <c r="I117" s="55"/>
      <c r="J117" s="55"/>
      <c r="K117" s="56">
        <f>SUM(K105:K116)</f>
        <v>3009.4620196283636</v>
      </c>
      <c r="L117" s="56">
        <f t="shared" ref="L117:O117" ca="1" si="44">SUM(L105:L116)</f>
        <v>5050.1346274283978</v>
      </c>
      <c r="M117" s="56">
        <f t="shared" ca="1" si="44"/>
        <v>5521.1721123346761</v>
      </c>
      <c r="N117" s="56">
        <f t="shared" ca="1" si="44"/>
        <v>5377.9822292725103</v>
      </c>
      <c r="O117" s="262">
        <f t="shared" ca="1" si="44"/>
        <v>5739.0222894875915</v>
      </c>
    </row>
    <row r="118" spans="3:15" hidden="1" outlineLevel="1" x14ac:dyDescent="0.25">
      <c r="C118" s="93"/>
      <c r="G118" s="41"/>
      <c r="H118" s="41"/>
      <c r="I118" s="41"/>
      <c r="J118" s="41"/>
      <c r="K118" s="29"/>
      <c r="L118" s="29"/>
      <c r="M118" s="29"/>
      <c r="N118" s="29"/>
      <c r="O118" s="246"/>
    </row>
    <row r="119" spans="3:15" hidden="1" outlineLevel="1" x14ac:dyDescent="0.25">
      <c r="C119" s="93" t="s">
        <v>199</v>
      </c>
      <c r="G119" s="41"/>
      <c r="H119" s="41"/>
      <c r="I119" s="41"/>
      <c r="J119" s="41"/>
      <c r="K119" s="29">
        <f>-Schedule!K12</f>
        <v>-4810.1717333333336</v>
      </c>
      <c r="L119" s="29">
        <f ca="1">-Schedule!L12</f>
        <v>-1573.6276266666666</v>
      </c>
      <c r="M119" s="29">
        <f ca="1">-Schedule!M12</f>
        <v>-1791.3937776</v>
      </c>
      <c r="N119" s="29">
        <f ca="1">-Schedule!N12</f>
        <v>-1946.5556454400003</v>
      </c>
      <c r="O119" s="246">
        <f ca="1">-Schedule!O12</f>
        <v>-2061.7452649471998</v>
      </c>
    </row>
    <row r="120" spans="3:15" hidden="1" outlineLevel="1" x14ac:dyDescent="0.25">
      <c r="C120" s="93" t="s">
        <v>200</v>
      </c>
      <c r="G120" s="41"/>
      <c r="H120" s="41"/>
      <c r="I120" s="41"/>
      <c r="J120" s="41"/>
      <c r="K120" s="29">
        <f>-Schedule!K13</f>
        <v>203.13400000000001</v>
      </c>
      <c r="L120" s="29">
        <f>-Schedule!L13</f>
        <v>995.75666000000001</v>
      </c>
      <c r="M120" s="29">
        <f ca="1">-Schedule!M13</f>
        <v>1443.2497400000002</v>
      </c>
      <c r="N120" s="29">
        <f ca="1">-Schedule!N13</f>
        <v>1891.0981844</v>
      </c>
      <c r="O120" s="246">
        <f ca="1">-Schedule!O13</f>
        <v>2285.955059592</v>
      </c>
    </row>
    <row r="121" spans="3:15" hidden="1" outlineLevel="1" x14ac:dyDescent="0.25">
      <c r="C121" s="93" t="s">
        <v>201</v>
      </c>
      <c r="G121" s="41"/>
      <c r="H121" s="41"/>
      <c r="I121" s="41"/>
      <c r="J121" s="41"/>
      <c r="K121" s="29">
        <f>-Schedule!K26</f>
        <v>-1202.5429333333334</v>
      </c>
      <c r="L121" s="29">
        <f ca="1">-Schedule!L26</f>
        <v>-393.40690666666666</v>
      </c>
      <c r="M121" s="29">
        <f ca="1">-Schedule!M26</f>
        <v>-447.84844440000001</v>
      </c>
      <c r="N121" s="29">
        <f ca="1">-Schedule!N26</f>
        <v>-486.63891136000007</v>
      </c>
      <c r="O121" s="246">
        <f ca="1">-Schedule!O26</f>
        <v>-515.43631623679994</v>
      </c>
    </row>
    <row r="122" spans="3:15" hidden="1" outlineLevel="1" x14ac:dyDescent="0.25">
      <c r="C122" s="261" t="s">
        <v>202</v>
      </c>
      <c r="D122" s="54"/>
      <c r="E122" s="54"/>
      <c r="F122" s="54"/>
      <c r="G122" s="55"/>
      <c r="H122" s="55"/>
      <c r="I122" s="55"/>
      <c r="J122" s="55"/>
      <c r="K122" s="56">
        <f>SUM(K119:K121)</f>
        <v>-5809.5806666666667</v>
      </c>
      <c r="L122" s="56">
        <f t="shared" ref="L122:O122" ca="1" si="45">SUM(L119:L121)</f>
        <v>-971.27787333333322</v>
      </c>
      <c r="M122" s="56">
        <f t="shared" ca="1" si="45"/>
        <v>-795.99248199999988</v>
      </c>
      <c r="N122" s="56">
        <f t="shared" ca="1" si="45"/>
        <v>-542.09637240000029</v>
      </c>
      <c r="O122" s="262">
        <f t="shared" ca="1" si="45"/>
        <v>-291.2265215919997</v>
      </c>
    </row>
    <row r="123" spans="3:15" hidden="1" outlineLevel="1" x14ac:dyDescent="0.25">
      <c r="C123" s="93"/>
      <c r="G123" s="41"/>
      <c r="H123" s="41"/>
      <c r="I123" s="41"/>
      <c r="J123" s="41"/>
      <c r="K123" s="29"/>
      <c r="L123" s="29"/>
      <c r="M123" s="29"/>
      <c r="N123" s="29"/>
      <c r="O123" s="246"/>
    </row>
    <row r="124" spans="3:15" hidden="1" outlineLevel="1" x14ac:dyDescent="0.25">
      <c r="C124" s="93" t="s">
        <v>180</v>
      </c>
      <c r="G124" s="41"/>
      <c r="H124" s="41"/>
      <c r="I124" s="41"/>
      <c r="J124" s="41"/>
      <c r="K124" s="29">
        <f>Schedule!K58</f>
        <v>4810</v>
      </c>
      <c r="L124" s="29">
        <f>Schedule!L58</f>
        <v>2360</v>
      </c>
      <c r="M124" s="29">
        <f>Schedule!M58</f>
        <v>2985</v>
      </c>
      <c r="N124" s="29">
        <f>Schedule!N58</f>
        <v>3650</v>
      </c>
      <c r="O124" s="246">
        <f>Schedule!O58</f>
        <v>4420</v>
      </c>
    </row>
    <row r="125" spans="3:15" hidden="1" outlineLevel="1" x14ac:dyDescent="0.25">
      <c r="C125" s="93" t="s">
        <v>181</v>
      </c>
      <c r="G125" s="41"/>
      <c r="H125" s="41"/>
      <c r="I125" s="41"/>
      <c r="J125" s="41"/>
      <c r="K125" s="29">
        <f>Schedule!K59</f>
        <v>-226.17299999999997</v>
      </c>
      <c r="L125" s="29">
        <f>Schedule!L59</f>
        <v>-1601.3210999999999</v>
      </c>
      <c r="M125" s="29">
        <f>Schedule!M59</f>
        <v>-1828.9247699999999</v>
      </c>
      <c r="N125" s="29">
        <f>Schedule!N59</f>
        <v>-2175.747339</v>
      </c>
      <c r="O125" s="246">
        <f>Schedule!O59</f>
        <v>-2618.0231373000001</v>
      </c>
    </row>
    <row r="126" spans="3:15" hidden="1" outlineLevel="1" x14ac:dyDescent="0.25">
      <c r="C126" s="93" t="s">
        <v>2</v>
      </c>
      <c r="G126" s="41"/>
      <c r="H126" s="41"/>
      <c r="I126" s="41"/>
      <c r="J126" s="41"/>
      <c r="K126" s="29">
        <f>-K26</f>
        <v>-258.89499749999999</v>
      </c>
      <c r="L126" s="29">
        <f>-L26</f>
        <v>-471.65880712500007</v>
      </c>
      <c r="M126" s="29">
        <f>-M26</f>
        <v>-543.96796147250006</v>
      </c>
      <c r="N126" s="29">
        <f>-N26</f>
        <v>-643.16420557025003</v>
      </c>
      <c r="O126" s="246">
        <f>-O26</f>
        <v>-746.14924723212505</v>
      </c>
    </row>
    <row r="127" spans="3:15" hidden="1" outlineLevel="1" x14ac:dyDescent="0.25">
      <c r="C127" s="93" t="s">
        <v>203</v>
      </c>
      <c r="G127" s="41"/>
      <c r="H127" s="41"/>
      <c r="I127" s="41"/>
      <c r="J127" s="41"/>
      <c r="K127" s="29">
        <f>-Assumptions!K81</f>
        <v>-315.63997224999986</v>
      </c>
      <c r="L127" s="29">
        <f ca="1">-Assumptions!L81</f>
        <v>-409.7657844874999</v>
      </c>
      <c r="M127" s="29">
        <f ca="1">-Assumptions!M81</f>
        <v>-492.10408045208374</v>
      </c>
      <c r="N127" s="29">
        <f ca="1">-Assumptions!N81</f>
        <v>-442.85796198537503</v>
      </c>
      <c r="O127" s="246">
        <f ca="1">-Assumptions!O81</f>
        <v>-482.9632767584194</v>
      </c>
    </row>
    <row r="128" spans="3:15" hidden="1" outlineLevel="1" x14ac:dyDescent="0.25">
      <c r="C128" s="261" t="s">
        <v>204</v>
      </c>
      <c r="D128" s="54"/>
      <c r="E128" s="54"/>
      <c r="F128" s="54"/>
      <c r="G128" s="55"/>
      <c r="H128" s="55"/>
      <c r="I128" s="55"/>
      <c r="J128" s="55"/>
      <c r="K128" s="56">
        <f>SUM(K124:K127)</f>
        <v>4009.2920302500006</v>
      </c>
      <c r="L128" s="56">
        <f t="shared" ref="L128:O128" ca="1" si="46">SUM(L124:L127)</f>
        <v>-122.74569161249985</v>
      </c>
      <c r="M128" s="56">
        <f t="shared" ca="1" si="46"/>
        <v>120.00318807541635</v>
      </c>
      <c r="N128" s="56">
        <f t="shared" ca="1" si="46"/>
        <v>388.23049344437493</v>
      </c>
      <c r="O128" s="262">
        <f t="shared" ca="1" si="46"/>
        <v>572.8643387094553</v>
      </c>
    </row>
    <row r="129" spans="2:15" hidden="1" outlineLevel="1" x14ac:dyDescent="0.25">
      <c r="C129" s="93"/>
      <c r="G129" s="41"/>
      <c r="H129" s="41"/>
      <c r="I129" s="41"/>
      <c r="J129" s="41"/>
      <c r="K129" s="29"/>
      <c r="L129" s="29"/>
      <c r="M129" s="29"/>
      <c r="N129" s="29"/>
      <c r="O129" s="246"/>
    </row>
    <row r="130" spans="2:15" hidden="1" outlineLevel="1" x14ac:dyDescent="0.25">
      <c r="C130" s="263" t="s">
        <v>205</v>
      </c>
      <c r="D130" s="45"/>
      <c r="E130" s="45"/>
      <c r="F130" s="45"/>
      <c r="G130" s="53"/>
      <c r="H130" s="53"/>
      <c r="I130" s="53"/>
      <c r="J130" s="53"/>
      <c r="K130" s="46">
        <f>K117+K122+K128</f>
        <v>1209.1733832116975</v>
      </c>
      <c r="L130" s="46">
        <f t="shared" ref="L130:O130" ca="1" si="47">L117+L122+L128</f>
        <v>3956.1110624825646</v>
      </c>
      <c r="M130" s="46">
        <f t="shared" ca="1" si="47"/>
        <v>4845.1828184100923</v>
      </c>
      <c r="N130" s="46">
        <f t="shared" ca="1" si="47"/>
        <v>5224.1163503168846</v>
      </c>
      <c r="O130" s="264">
        <f t="shared" ca="1" si="47"/>
        <v>6020.6601066050471</v>
      </c>
    </row>
    <row r="131" spans="2:15" hidden="1" outlineLevel="1" x14ac:dyDescent="0.25">
      <c r="C131" s="93"/>
      <c r="G131" s="41"/>
      <c r="H131" s="41"/>
      <c r="I131" s="41"/>
      <c r="J131" s="41"/>
      <c r="K131" s="29"/>
      <c r="L131" s="29"/>
      <c r="M131" s="29"/>
      <c r="N131" s="29"/>
      <c r="O131" s="246"/>
    </row>
    <row r="132" spans="2:15" hidden="1" outlineLevel="1" x14ac:dyDescent="0.25">
      <c r="C132" s="93" t="s">
        <v>206</v>
      </c>
      <c r="G132" s="41"/>
      <c r="H132" s="41"/>
      <c r="I132" s="41"/>
      <c r="J132" s="41"/>
      <c r="K132" s="29">
        <f>J67</f>
        <v>39.950000000000003</v>
      </c>
      <c r="L132" s="29">
        <f>K133</f>
        <v>1249.1233832116975</v>
      </c>
      <c r="M132" s="29">
        <f t="shared" ref="M132:O132" ca="1" si="48">L133</f>
        <v>5205.2344456942619</v>
      </c>
      <c r="N132" s="29">
        <f t="shared" ca="1" si="48"/>
        <v>10050.417264104355</v>
      </c>
      <c r="O132" s="246">
        <f t="shared" ca="1" si="48"/>
        <v>15274.53361442124</v>
      </c>
    </row>
    <row r="133" spans="2:15" hidden="1" outlineLevel="1" x14ac:dyDescent="0.25">
      <c r="C133" s="263" t="s">
        <v>207</v>
      </c>
      <c r="D133" s="45"/>
      <c r="E133" s="45"/>
      <c r="F133" s="45"/>
      <c r="G133" s="53"/>
      <c r="H133" s="53"/>
      <c r="I133" s="53"/>
      <c r="J133" s="53"/>
      <c r="K133" s="46">
        <f>K130+K132</f>
        <v>1249.1233832116975</v>
      </c>
      <c r="L133" s="46">
        <f t="shared" ref="L133:O133" ca="1" si="49">L130+L132</f>
        <v>5205.2344456942619</v>
      </c>
      <c r="M133" s="46">
        <f t="shared" ca="1" si="49"/>
        <v>10050.417264104355</v>
      </c>
      <c r="N133" s="46">
        <f t="shared" ca="1" si="49"/>
        <v>15274.53361442124</v>
      </c>
      <c r="O133" s="264">
        <f t="shared" ca="1" si="49"/>
        <v>21295.193721026288</v>
      </c>
    </row>
    <row r="134" spans="2:15" hidden="1" outlineLevel="1" x14ac:dyDescent="0.25">
      <c r="C134" s="220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221"/>
    </row>
    <row r="135" spans="2:15" hidden="1" outlineLevel="1" x14ac:dyDescent="0.25"/>
    <row r="136" spans="2:15" collapsed="1" x14ac:dyDescent="0.25"/>
    <row r="137" spans="2:15" x14ac:dyDescent="0.25">
      <c r="B137" s="51" t="s">
        <v>94</v>
      </c>
      <c r="C137" s="16" t="s">
        <v>193</v>
      </c>
    </row>
  </sheetData>
  <mergeCells count="2">
    <mergeCell ref="G5:J5"/>
    <mergeCell ref="K5:O5"/>
  </mergeCells>
  <hyperlinks>
    <hyperlink ref="C8" location="Dashboard!A1" display="&lt;-Back to Dashboard" xr:uid="{ABC07471-4F6F-4892-9B0C-CC033C4D12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4942-04F2-4981-991F-FD40C4EFDAA8}">
  <dimension ref="B2:Q88"/>
  <sheetViews>
    <sheetView showGridLines="0" workbookViewId="0">
      <selection activeCell="Q44" sqref="Q44"/>
    </sheetView>
  </sheetViews>
  <sheetFormatPr defaultRowHeight="13.2" outlineLevelRow="1" x14ac:dyDescent="0.25"/>
  <cols>
    <col min="1" max="2" width="2.88671875" style="1" customWidth="1"/>
    <col min="3" max="6" width="8.88671875" style="1"/>
    <col min="7" max="15" width="12.77734375" style="1" customWidth="1"/>
    <col min="16" max="16" width="10.33203125" style="1" customWidth="1"/>
    <col min="17" max="17" width="8.88671875" style="1" customWidth="1"/>
    <col min="18" max="16384" width="8.88671875" style="1"/>
  </cols>
  <sheetData>
    <row r="2" spans="2:17" ht="13.8" x14ac:dyDescent="0.25">
      <c r="C2" s="15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C3" s="16" t="s">
        <v>128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x14ac:dyDescent="0.25">
      <c r="C5" s="16" t="s">
        <v>81</v>
      </c>
      <c r="D5" s="2"/>
      <c r="E5" s="2"/>
      <c r="F5" s="2"/>
      <c r="G5" s="337" t="s">
        <v>95</v>
      </c>
      <c r="H5" s="338"/>
      <c r="I5" s="338"/>
      <c r="J5" s="339"/>
      <c r="K5" s="337" t="s">
        <v>96</v>
      </c>
      <c r="L5" s="338"/>
      <c r="M5" s="338"/>
      <c r="N5" s="338"/>
      <c r="O5" s="339"/>
      <c r="P5" s="2"/>
      <c r="Q5" s="2"/>
    </row>
    <row r="6" spans="2:17" x14ac:dyDescent="0.25">
      <c r="C6" s="16" t="s">
        <v>82</v>
      </c>
      <c r="D6" s="2"/>
      <c r="E6" s="2"/>
      <c r="F6" s="2"/>
      <c r="G6" s="22">
        <v>44651</v>
      </c>
      <c r="H6" s="24">
        <f>EOMONTH(G6,12)</f>
        <v>45016</v>
      </c>
      <c r="I6" s="24">
        <f t="shared" ref="I6:O6" si="0">EOMONTH(H6,12)</f>
        <v>45382</v>
      </c>
      <c r="J6" s="23">
        <f t="shared" si="0"/>
        <v>45747</v>
      </c>
      <c r="K6" s="24">
        <f t="shared" si="0"/>
        <v>46112</v>
      </c>
      <c r="L6" s="24">
        <f t="shared" si="0"/>
        <v>46477</v>
      </c>
      <c r="M6" s="24">
        <f t="shared" si="0"/>
        <v>46843</v>
      </c>
      <c r="N6" s="24">
        <f t="shared" si="0"/>
        <v>47208</v>
      </c>
      <c r="O6" s="23">
        <f t="shared" si="0"/>
        <v>47573</v>
      </c>
      <c r="P6" s="2"/>
      <c r="Q6" s="2"/>
    </row>
    <row r="8" spans="2:17" ht="14.4" x14ac:dyDescent="0.3">
      <c r="C8" s="243" t="s">
        <v>379</v>
      </c>
    </row>
    <row r="10" spans="2:17" x14ac:dyDescent="0.25">
      <c r="C10" s="35" t="s">
        <v>135</v>
      </c>
      <c r="D10" s="36"/>
      <c r="E10" s="36"/>
      <c r="H10" s="18"/>
      <c r="I10" s="18"/>
      <c r="K10" s="18"/>
      <c r="L10" s="18"/>
      <c r="M10" s="18"/>
      <c r="O10" s="18"/>
      <c r="P10" s="18"/>
      <c r="Q10" s="18"/>
    </row>
    <row r="12" spans="2:17" x14ac:dyDescent="0.25">
      <c r="C12" s="1" t="s">
        <v>136</v>
      </c>
      <c r="E12" s="34">
        <f>Dashboard!E14</f>
        <v>1</v>
      </c>
    </row>
    <row r="15" spans="2:17" x14ac:dyDescent="0.25">
      <c r="B15" s="1" t="s">
        <v>94</v>
      </c>
      <c r="C15" s="16" t="s">
        <v>128</v>
      </c>
      <c r="D15" s="20"/>
      <c r="E15" s="20"/>
      <c r="F15" s="20"/>
      <c r="G15" s="27">
        <v>44651</v>
      </c>
      <c r="H15" s="27">
        <f>EOMONTH(G15,12)</f>
        <v>45016</v>
      </c>
      <c r="I15" s="27">
        <f t="shared" ref="I15:O15" si="1">EOMONTH(H15,12)</f>
        <v>45382</v>
      </c>
      <c r="J15" s="27">
        <f t="shared" si="1"/>
        <v>45747</v>
      </c>
      <c r="K15" s="28">
        <f t="shared" si="1"/>
        <v>46112</v>
      </c>
      <c r="L15" s="28">
        <f t="shared" si="1"/>
        <v>46477</v>
      </c>
      <c r="M15" s="28">
        <f t="shared" si="1"/>
        <v>46843</v>
      </c>
      <c r="N15" s="28">
        <f t="shared" si="1"/>
        <v>47208</v>
      </c>
      <c r="O15" s="28">
        <f t="shared" si="1"/>
        <v>47573</v>
      </c>
      <c r="P15" s="2"/>
      <c r="Q15" s="2"/>
    </row>
    <row r="17" spans="3:15" x14ac:dyDescent="0.25">
      <c r="C17" s="35" t="s">
        <v>141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3:15" hidden="1" outlineLevel="1" x14ac:dyDescent="0.25">
      <c r="C18" s="1" t="s">
        <v>56</v>
      </c>
      <c r="G18" s="29">
        <f>Financials!G16</f>
        <v>697.5</v>
      </c>
      <c r="H18" s="29">
        <f>Financials!H16</f>
        <v>3392.31</v>
      </c>
      <c r="I18" s="29">
        <f>Financials!I16</f>
        <v>6481.01</v>
      </c>
      <c r="J18" s="29">
        <f>Financials!J16</f>
        <v>6626.31</v>
      </c>
      <c r="K18" s="29">
        <f>Financials!Q16*(4/3)</f>
        <v>14436.079999999998</v>
      </c>
      <c r="L18" s="29">
        <f ca="1">K18*(1+L19)</f>
        <v>18766.903999999999</v>
      </c>
      <c r="M18" s="29">
        <f ca="1">L18*(1+M19)</f>
        <v>23458.629999999997</v>
      </c>
      <c r="N18" s="29">
        <f ca="1">M18*(1+N19)</f>
        <v>28150.355999999996</v>
      </c>
      <c r="O18" s="29">
        <f ca="1">N18*(1+O19)</f>
        <v>33217.420079999996</v>
      </c>
    </row>
    <row r="19" spans="3:15" hidden="1" outlineLevel="1" x14ac:dyDescent="0.25">
      <c r="C19" s="32" t="s">
        <v>130</v>
      </c>
      <c r="H19" s="33">
        <f>H18/G18-1</f>
        <v>3.8635268817204302</v>
      </c>
      <c r="I19" s="33">
        <f t="shared" ref="I19:K19" si="2">I18/H18-1</f>
        <v>0.91050051439874324</v>
      </c>
      <c r="J19" s="33">
        <f t="shared" si="2"/>
        <v>2.2419345132934643E-2</v>
      </c>
      <c r="K19" s="33">
        <f t="shared" si="2"/>
        <v>1.1786001560446158</v>
      </c>
      <c r="L19" s="39">
        <f ca="1">OFFSET(L19,$E$12,0)</f>
        <v>0.3</v>
      </c>
      <c r="M19" s="39">
        <f ca="1">OFFSET(M19,$E$12,0)</f>
        <v>0.25</v>
      </c>
      <c r="N19" s="39">
        <f ca="1">OFFSET(N19,$E$12,0)</f>
        <v>0.2</v>
      </c>
      <c r="O19" s="39">
        <f ca="1">OFFSET(O19,$E$12,0)</f>
        <v>0.18</v>
      </c>
    </row>
    <row r="20" spans="3:15" hidden="1" outlineLevel="1" x14ac:dyDescent="0.25">
      <c r="C20" s="32" t="s">
        <v>137</v>
      </c>
      <c r="K20" s="38"/>
      <c r="L20" s="294">
        <v>0.3</v>
      </c>
      <c r="M20" s="294">
        <v>0.25</v>
      </c>
      <c r="N20" s="294">
        <v>0.2</v>
      </c>
      <c r="O20" s="294">
        <v>0.18</v>
      </c>
    </row>
    <row r="21" spans="3:15" hidden="1" outlineLevel="1" x14ac:dyDescent="0.25">
      <c r="C21" s="1" t="s">
        <v>138</v>
      </c>
      <c r="L21" s="37">
        <f>L20-1%</f>
        <v>0.28999999999999998</v>
      </c>
      <c r="M21" s="37">
        <f t="shared" ref="M21:O21" si="3">M20-1%</f>
        <v>0.24</v>
      </c>
      <c r="N21" s="37">
        <f t="shared" si="3"/>
        <v>0.19</v>
      </c>
      <c r="O21" s="37">
        <f t="shared" si="3"/>
        <v>0.16999999999999998</v>
      </c>
    </row>
    <row r="22" spans="3:15" hidden="1" outlineLevel="1" x14ac:dyDescent="0.25">
      <c r="C22" s="32" t="s">
        <v>139</v>
      </c>
      <c r="L22" s="37">
        <f>L20+1.5%</f>
        <v>0.315</v>
      </c>
      <c r="M22" s="37">
        <f t="shared" ref="M22:O22" si="4">M20+1.5%</f>
        <v>0.26500000000000001</v>
      </c>
      <c r="N22" s="37">
        <f t="shared" si="4"/>
        <v>0.21500000000000002</v>
      </c>
      <c r="O22" s="37">
        <f t="shared" si="4"/>
        <v>0.19500000000000001</v>
      </c>
    </row>
    <row r="23" spans="3:15" hidden="1" outlineLevel="1" x14ac:dyDescent="0.25"/>
    <row r="24" spans="3:15" hidden="1" outlineLevel="1" x14ac:dyDescent="0.25">
      <c r="C24" s="1" t="s">
        <v>140</v>
      </c>
      <c r="G24" s="29">
        <f>Financials!G17</f>
        <v>0</v>
      </c>
      <c r="H24" s="29">
        <f>Financials!H17</f>
        <v>0</v>
      </c>
      <c r="I24" s="29">
        <f>Financials!I17</f>
        <v>43.64</v>
      </c>
      <c r="J24" s="29">
        <f>Financials!J17</f>
        <v>95.09</v>
      </c>
      <c r="K24" s="29">
        <f>Financials!Q17*(4/3)</f>
        <v>354.52</v>
      </c>
      <c r="L24" s="29">
        <f ca="1">K24*(1+L25)</f>
        <v>638.13599999999997</v>
      </c>
      <c r="M24" s="29">
        <f ca="1">L24*(1+M25)</f>
        <v>1116.7379999999998</v>
      </c>
      <c r="N24" s="29">
        <f ca="1">M24*(1+N25)</f>
        <v>1898.4545999999996</v>
      </c>
      <c r="O24" s="29">
        <f ca="1">N24*(1+O25)</f>
        <v>3189.4037279999998</v>
      </c>
    </row>
    <row r="25" spans="3:15" hidden="1" outlineLevel="1" x14ac:dyDescent="0.25">
      <c r="C25" s="32" t="s">
        <v>130</v>
      </c>
      <c r="H25" s="33" t="e">
        <f>H24/G24-1</f>
        <v>#DIV/0!</v>
      </c>
      <c r="I25" s="33" t="e">
        <f t="shared" ref="I25" si="5">I24/H24-1</f>
        <v>#DIV/0!</v>
      </c>
      <c r="J25" s="33">
        <f t="shared" ref="J25" si="6">J24/I24-1</f>
        <v>1.1789642529789184</v>
      </c>
      <c r="K25" s="33">
        <f t="shared" ref="K25" si="7">K24/J24-1</f>
        <v>2.7282574403196969</v>
      </c>
      <c r="L25" s="39">
        <f ca="1">OFFSET(L25,$E$12,0)</f>
        <v>0.8</v>
      </c>
      <c r="M25" s="39">
        <f ca="1">OFFSET(M25,$E$12,0)</f>
        <v>0.75</v>
      </c>
      <c r="N25" s="39">
        <f ca="1">OFFSET(N25,$E$12,0)</f>
        <v>0.7</v>
      </c>
      <c r="O25" s="39">
        <f ca="1">OFFSET(O25,$E$12,0)</f>
        <v>0.68</v>
      </c>
    </row>
    <row r="26" spans="3:15" hidden="1" outlineLevel="1" x14ac:dyDescent="0.25">
      <c r="C26" s="32" t="s">
        <v>137</v>
      </c>
      <c r="K26" s="38"/>
      <c r="L26" s="294">
        <v>0.8</v>
      </c>
      <c r="M26" s="294">
        <v>0.75</v>
      </c>
      <c r="N26" s="294">
        <v>0.7</v>
      </c>
      <c r="O26" s="294">
        <v>0.68</v>
      </c>
    </row>
    <row r="27" spans="3:15" hidden="1" outlineLevel="1" x14ac:dyDescent="0.25">
      <c r="C27" s="1" t="s">
        <v>138</v>
      </c>
      <c r="L27" s="37">
        <f>L26-1%</f>
        <v>0.79</v>
      </c>
      <c r="M27" s="37">
        <f t="shared" ref="M27" si="8">M26-1%</f>
        <v>0.74</v>
      </c>
      <c r="N27" s="37">
        <f t="shared" ref="N27" si="9">N26-1%</f>
        <v>0.69</v>
      </c>
      <c r="O27" s="37">
        <f t="shared" ref="O27" si="10">O26-1%</f>
        <v>0.67</v>
      </c>
    </row>
    <row r="28" spans="3:15" hidden="1" outlineLevel="1" x14ac:dyDescent="0.25">
      <c r="C28" s="32" t="s">
        <v>139</v>
      </c>
      <c r="L28" s="37">
        <f>L26+1.5%</f>
        <v>0.81500000000000006</v>
      </c>
      <c r="M28" s="37">
        <f t="shared" ref="M28:O28" si="11">M26+1.5%</f>
        <v>0.76500000000000001</v>
      </c>
      <c r="N28" s="37">
        <f t="shared" si="11"/>
        <v>0.71499999999999997</v>
      </c>
      <c r="O28" s="37">
        <f t="shared" si="11"/>
        <v>0.69500000000000006</v>
      </c>
    </row>
    <row r="29" spans="3:15" hidden="1" outlineLevel="1" x14ac:dyDescent="0.25"/>
    <row r="30" spans="3:15" hidden="1" outlineLevel="1" x14ac:dyDescent="0.25">
      <c r="C30" s="1" t="s">
        <v>0</v>
      </c>
      <c r="G30" s="29">
        <f>Financials!G18</f>
        <v>29.75</v>
      </c>
      <c r="H30" s="29">
        <f>Financials!H18</f>
        <v>74.459999999999994</v>
      </c>
      <c r="I30" s="29">
        <f>Financials!I18</f>
        <v>49.95</v>
      </c>
      <c r="J30" s="29">
        <f>Financials!J18</f>
        <v>51.22</v>
      </c>
      <c r="K30" s="29">
        <f>Financials!Q18*(4/3)</f>
        <v>241.18666666666664</v>
      </c>
      <c r="L30" s="29">
        <f ca="1">K30*(1+L31)</f>
        <v>265.30533333333335</v>
      </c>
      <c r="M30" s="29">
        <f ca="1">L30*(1+M31)</f>
        <v>305.10113333333334</v>
      </c>
      <c r="N30" s="29">
        <f ca="1">M30*(1+N31)</f>
        <v>366.12135999999998</v>
      </c>
      <c r="O30" s="29">
        <f ca="1">N30*(1+O31)</f>
        <v>410.0559232</v>
      </c>
    </row>
    <row r="31" spans="3:15" hidden="1" outlineLevel="1" x14ac:dyDescent="0.25">
      <c r="C31" s="32" t="s">
        <v>130</v>
      </c>
      <c r="H31" s="33">
        <f>H30/G30-1</f>
        <v>1.5028571428571427</v>
      </c>
      <c r="I31" s="33">
        <f t="shared" ref="I31" si="12">I30/H30-1</f>
        <v>-0.32917002417405306</v>
      </c>
      <c r="J31" s="33">
        <f t="shared" ref="J31" si="13">J30/I30-1</f>
        <v>2.5425425425425363E-2</v>
      </c>
      <c r="K31" s="33">
        <f t="shared" ref="K31" si="14">K30/J30-1</f>
        <v>3.7088376936092669</v>
      </c>
      <c r="L31" s="39">
        <f ca="1">OFFSET(L31,$E$12,0)</f>
        <v>0.1</v>
      </c>
      <c r="M31" s="39">
        <f ca="1">OFFSET(M31,$E$12,0)</f>
        <v>0.15</v>
      </c>
      <c r="N31" s="39">
        <f ca="1">OFFSET(N31,$E$12,0)</f>
        <v>0.2</v>
      </c>
      <c r="O31" s="39">
        <f ca="1">OFFSET(O31,$E$12,0)</f>
        <v>0.12</v>
      </c>
    </row>
    <row r="32" spans="3:15" hidden="1" outlineLevel="1" x14ac:dyDescent="0.25">
      <c r="C32" s="32" t="s">
        <v>137</v>
      </c>
      <c r="K32" s="38"/>
      <c r="L32" s="294">
        <v>0.1</v>
      </c>
      <c r="M32" s="294">
        <v>0.15</v>
      </c>
      <c r="N32" s="294">
        <v>0.2</v>
      </c>
      <c r="O32" s="294">
        <v>0.12</v>
      </c>
    </row>
    <row r="33" spans="3:17" hidden="1" outlineLevel="1" x14ac:dyDescent="0.25">
      <c r="C33" s="1" t="s">
        <v>138</v>
      </c>
      <c r="L33" s="37">
        <f>L32-1%</f>
        <v>9.0000000000000011E-2</v>
      </c>
      <c r="M33" s="37">
        <f t="shared" ref="M33" si="15">M32-1%</f>
        <v>0.13999999999999999</v>
      </c>
      <c r="N33" s="37">
        <f t="shared" ref="N33" si="16">N32-1%</f>
        <v>0.19</v>
      </c>
      <c r="O33" s="37">
        <f t="shared" ref="O33" si="17">O32-1%</f>
        <v>0.11</v>
      </c>
    </row>
    <row r="34" spans="3:17" hidden="1" outlineLevel="1" x14ac:dyDescent="0.25">
      <c r="C34" s="32" t="s">
        <v>139</v>
      </c>
      <c r="L34" s="37">
        <f>L32+1.5%</f>
        <v>0.115</v>
      </c>
      <c r="M34" s="37">
        <f t="shared" ref="M34:O34" si="18">M32+1.5%</f>
        <v>0.16499999999999998</v>
      </c>
      <c r="N34" s="37">
        <f t="shared" si="18"/>
        <v>0.21500000000000002</v>
      </c>
      <c r="O34" s="37">
        <f t="shared" si="18"/>
        <v>0.13500000000000001</v>
      </c>
    </row>
    <row r="35" spans="3:17" hidden="1" outlineLevel="1" x14ac:dyDescent="0.25"/>
    <row r="36" spans="3:17" hidden="1" outlineLevel="1" x14ac:dyDescent="0.25">
      <c r="C36" s="18" t="s">
        <v>60</v>
      </c>
      <c r="G36" s="30">
        <f>G18+G24+G30</f>
        <v>727.25</v>
      </c>
      <c r="H36" s="30">
        <f t="shared" ref="H36:K36" si="19">H18+H24+H30</f>
        <v>3466.77</v>
      </c>
      <c r="I36" s="30">
        <f t="shared" si="19"/>
        <v>6574.6</v>
      </c>
      <c r="J36" s="30">
        <f t="shared" si="19"/>
        <v>6772.6200000000008</v>
      </c>
      <c r="K36" s="30">
        <f t="shared" si="19"/>
        <v>15031.786666666665</v>
      </c>
      <c r="L36" s="30">
        <f ca="1">L18+L24+L30</f>
        <v>19670.345333333331</v>
      </c>
      <c r="M36" s="30">
        <f ca="1">M18+M24+M30</f>
        <v>24880.469133333332</v>
      </c>
      <c r="N36" s="30">
        <f ca="1">N18+N24+N30</f>
        <v>30414.931959999998</v>
      </c>
      <c r="O36" s="30">
        <f ca="1">O18+O24+O30</f>
        <v>36816.879731199995</v>
      </c>
    </row>
    <row r="37" spans="3:17" collapsed="1" x14ac:dyDescent="0.25"/>
    <row r="38" spans="3:17" x14ac:dyDescent="0.25">
      <c r="C38" s="35" t="s">
        <v>61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3:17" hidden="1" outlineLevel="1" x14ac:dyDescent="0.25">
      <c r="C39" s="1" t="s">
        <v>100</v>
      </c>
      <c r="G39" s="29">
        <f>Financials!G22</f>
        <v>373.27</v>
      </c>
      <c r="H39" s="29">
        <f>Financials!H22</f>
        <v>504.35</v>
      </c>
      <c r="I39" s="29">
        <f>Financials!I22</f>
        <v>536.62</v>
      </c>
      <c r="J39" s="29">
        <f>Financials!J22</f>
        <v>533.41</v>
      </c>
      <c r="K39" s="29">
        <f>Financials!Q22*(4/3)</f>
        <v>1645.32</v>
      </c>
      <c r="L39" s="29">
        <f ca="1">K39*(1+L40)</f>
        <v>2303.4479999999999</v>
      </c>
      <c r="M39" s="29">
        <f ca="1">L39*(1+M40)</f>
        <v>3339.9995999999996</v>
      </c>
      <c r="N39" s="29">
        <f ca="1">M39*(1+N40)</f>
        <v>4943.1994079999995</v>
      </c>
      <c r="O39" s="29">
        <f ca="1">N39*(1+O40)</f>
        <v>7167.6391415999988</v>
      </c>
    </row>
    <row r="40" spans="3:17" hidden="1" outlineLevel="1" x14ac:dyDescent="0.25">
      <c r="C40" s="32" t="s">
        <v>130</v>
      </c>
      <c r="H40" s="33">
        <f>H39/G39-1</f>
        <v>0.35116671578214165</v>
      </c>
      <c r="I40" s="33">
        <f t="shared" ref="I40" si="20">I39/H39-1</f>
        <v>6.3983344899375405E-2</v>
      </c>
      <c r="J40" s="33">
        <f t="shared" ref="J40" si="21">J39/I39-1</f>
        <v>-5.9818866236815982E-3</v>
      </c>
      <c r="K40" s="33">
        <f t="shared" ref="K40" si="22">K39/J39-1</f>
        <v>2.084531598582704</v>
      </c>
      <c r="L40" s="39">
        <f ca="1">OFFSET(L40,$E$12,0)</f>
        <v>0.4</v>
      </c>
      <c r="M40" s="39">
        <f ca="1">OFFSET(M40,$E$12,0)</f>
        <v>0.45</v>
      </c>
      <c r="N40" s="39">
        <f ca="1">OFFSET(N40,$E$12,0)</f>
        <v>0.48</v>
      </c>
      <c r="O40" s="39">
        <f ca="1">OFFSET(O40,$E$12,0)</f>
        <v>0.45</v>
      </c>
    </row>
    <row r="41" spans="3:17" hidden="1" outlineLevel="1" x14ac:dyDescent="0.25">
      <c r="C41" s="32" t="s">
        <v>137</v>
      </c>
      <c r="K41" s="38"/>
      <c r="L41" s="294">
        <v>0.4</v>
      </c>
      <c r="M41" s="294">
        <v>0.45</v>
      </c>
      <c r="N41" s="294">
        <v>0.48</v>
      </c>
      <c r="O41" s="294">
        <v>0.45</v>
      </c>
    </row>
    <row r="42" spans="3:17" hidden="1" outlineLevel="1" x14ac:dyDescent="0.25">
      <c r="C42" s="1" t="s">
        <v>138</v>
      </c>
      <c r="L42" s="37">
        <f>L41+1%</f>
        <v>0.41000000000000003</v>
      </c>
      <c r="M42" s="37">
        <f t="shared" ref="M42:O42" si="23">M41+1%</f>
        <v>0.46</v>
      </c>
      <c r="N42" s="37">
        <f t="shared" si="23"/>
        <v>0.49</v>
      </c>
      <c r="O42" s="37">
        <f t="shared" si="23"/>
        <v>0.46</v>
      </c>
    </row>
    <row r="43" spans="3:17" hidden="1" outlineLevel="1" x14ac:dyDescent="0.25">
      <c r="C43" s="32" t="s">
        <v>139</v>
      </c>
      <c r="L43" s="37">
        <f>L41-1.5%</f>
        <v>0.38500000000000001</v>
      </c>
      <c r="M43" s="37">
        <f t="shared" ref="M43:O43" si="24">M41-1.5%</f>
        <v>0.435</v>
      </c>
      <c r="N43" s="37">
        <f t="shared" si="24"/>
        <v>0.46499999999999997</v>
      </c>
      <c r="O43" s="37">
        <f t="shared" si="24"/>
        <v>0.435</v>
      </c>
    </row>
    <row r="44" spans="3:17" hidden="1" outlineLevel="1" x14ac:dyDescent="0.25">
      <c r="Q44" s="1" t="s">
        <v>382</v>
      </c>
    </row>
    <row r="45" spans="3:17" hidden="1" outlineLevel="1" x14ac:dyDescent="0.25">
      <c r="C45" s="1" t="s">
        <v>101</v>
      </c>
      <c r="G45" s="29">
        <f>Financials!G23</f>
        <v>0</v>
      </c>
      <c r="H45" s="29">
        <f>Financials!H23</f>
        <v>0</v>
      </c>
      <c r="I45" s="29">
        <f>Financials!I23</f>
        <v>370.23</v>
      </c>
      <c r="J45" s="29">
        <f>Financials!J23</f>
        <v>182.24</v>
      </c>
      <c r="K45" s="29">
        <f>Financials!Q23*(4/3)</f>
        <v>624.34666666666658</v>
      </c>
      <c r="L45" s="29">
        <f ca="1">K45*(1+L46)</f>
        <v>780.43333333333317</v>
      </c>
      <c r="M45" s="29">
        <f ca="1">L45*(1+M46)</f>
        <v>959.93299999999977</v>
      </c>
      <c r="N45" s="29">
        <f ca="1">M45*(1+N46)</f>
        <v>1161.5189299999997</v>
      </c>
      <c r="O45" s="29">
        <f ca="1">N45*(1+O46)</f>
        <v>1393.8227159999997</v>
      </c>
    </row>
    <row r="46" spans="3:17" hidden="1" outlineLevel="1" x14ac:dyDescent="0.25">
      <c r="C46" s="32" t="s">
        <v>130</v>
      </c>
      <c r="H46" s="33" t="e">
        <f>H45/G45-1</f>
        <v>#DIV/0!</v>
      </c>
      <c r="I46" s="33" t="e">
        <f t="shared" ref="I46" si="25">I45/H45-1</f>
        <v>#DIV/0!</v>
      </c>
      <c r="J46" s="33">
        <f t="shared" ref="J46" si="26">J45/I45-1</f>
        <v>-0.50776544310293603</v>
      </c>
      <c r="K46" s="33">
        <f t="shared" ref="K46" si="27">K45/J45-1</f>
        <v>2.4259584430787235</v>
      </c>
      <c r="L46" s="39">
        <f ca="1">OFFSET(L46,$E$12,0)</f>
        <v>0.25</v>
      </c>
      <c r="M46" s="39">
        <f ca="1">OFFSET(M46,$E$12,0)</f>
        <v>0.23</v>
      </c>
      <c r="N46" s="39">
        <f ca="1">OFFSET(N46,$E$12,0)</f>
        <v>0.21</v>
      </c>
      <c r="O46" s="39">
        <f ca="1">OFFSET(O46,$E$12,0)</f>
        <v>0.2</v>
      </c>
    </row>
    <row r="47" spans="3:17" hidden="1" outlineLevel="1" x14ac:dyDescent="0.25">
      <c r="C47" s="32" t="s">
        <v>137</v>
      </c>
      <c r="K47" s="38"/>
      <c r="L47" s="294">
        <v>0.25</v>
      </c>
      <c r="M47" s="294">
        <v>0.23</v>
      </c>
      <c r="N47" s="294">
        <v>0.21</v>
      </c>
      <c r="O47" s="294">
        <v>0.2</v>
      </c>
    </row>
    <row r="48" spans="3:17" hidden="1" outlineLevel="1" x14ac:dyDescent="0.25">
      <c r="C48" s="1" t="s">
        <v>138</v>
      </c>
      <c r="L48" s="37">
        <f>L47+1%</f>
        <v>0.26</v>
      </c>
      <c r="M48" s="37">
        <f t="shared" ref="M48" si="28">M47+1%</f>
        <v>0.24000000000000002</v>
      </c>
      <c r="N48" s="37">
        <f t="shared" ref="N48" si="29">N47+1%</f>
        <v>0.22</v>
      </c>
      <c r="O48" s="37">
        <f t="shared" ref="O48" si="30">O47+1%</f>
        <v>0.21000000000000002</v>
      </c>
    </row>
    <row r="49" spans="3:15" hidden="1" outlineLevel="1" x14ac:dyDescent="0.25">
      <c r="C49" s="32" t="s">
        <v>139</v>
      </c>
      <c r="L49" s="37">
        <f>L47-1.5%</f>
        <v>0.23499999999999999</v>
      </c>
      <c r="M49" s="37">
        <f t="shared" ref="M49:O49" si="31">M47-1.5%</f>
        <v>0.21500000000000002</v>
      </c>
      <c r="N49" s="37">
        <f t="shared" si="31"/>
        <v>0.19500000000000001</v>
      </c>
      <c r="O49" s="37">
        <f t="shared" si="31"/>
        <v>0.185</v>
      </c>
    </row>
    <row r="50" spans="3:15" hidden="1" outlineLevel="1" x14ac:dyDescent="0.25"/>
    <row r="51" spans="3:15" hidden="1" outlineLevel="1" x14ac:dyDescent="0.25">
      <c r="C51" s="1" t="s">
        <v>102</v>
      </c>
      <c r="G51" s="29">
        <f>Financials!G24</f>
        <v>-60.4</v>
      </c>
      <c r="H51" s="29">
        <f>Financials!H24</f>
        <v>35.78</v>
      </c>
      <c r="I51" s="29">
        <f>Financials!I24</f>
        <v>-14.89</v>
      </c>
      <c r="J51" s="29">
        <f>Financials!J24</f>
        <v>90.41</v>
      </c>
      <c r="K51" s="29">
        <f>Financials!Q24*(4/3)</f>
        <v>-302.57333333333332</v>
      </c>
      <c r="L51" s="29">
        <f ca="1">K51*(1+L52)</f>
        <v>121.0293333333333</v>
      </c>
      <c r="M51" s="29">
        <f ca="1">L51*(1+M52)</f>
        <v>-181.54399999999995</v>
      </c>
      <c r="N51" s="29">
        <f ca="1">M51*(1+N52)</f>
        <v>72.617599999999968</v>
      </c>
      <c r="O51" s="29">
        <f ca="1">N51*(1+O52)</f>
        <v>-94.402879999999939</v>
      </c>
    </row>
    <row r="52" spans="3:15" hidden="1" outlineLevel="1" x14ac:dyDescent="0.25">
      <c r="C52" s="32" t="s">
        <v>130</v>
      </c>
      <c r="H52" s="33">
        <f>H51/G51-1</f>
        <v>-1.592384105960265</v>
      </c>
      <c r="I52" s="33">
        <f t="shared" ref="I52" si="32">I51/H51-1</f>
        <v>-1.4161542761319172</v>
      </c>
      <c r="J52" s="33">
        <f t="shared" ref="J52" si="33">J51/I51-1</f>
        <v>-7.0718603089321688</v>
      </c>
      <c r="K52" s="33">
        <f t="shared" ref="K52" si="34">K51/J51-1</f>
        <v>-4.3466799395347122</v>
      </c>
      <c r="L52" s="39">
        <f ca="1">OFFSET(L52,$E$12,0)</f>
        <v>-1.4</v>
      </c>
      <c r="M52" s="39">
        <f ca="1">OFFSET(M52,$E$12,0)</f>
        <v>-2.5</v>
      </c>
      <c r="N52" s="39">
        <f ca="1">OFFSET(N52,$E$12,0)</f>
        <v>-1.4</v>
      </c>
      <c r="O52" s="39">
        <f ca="1">OFFSET(O52,$E$12,0)</f>
        <v>-2.2999999999999998</v>
      </c>
    </row>
    <row r="53" spans="3:15" hidden="1" outlineLevel="1" x14ac:dyDescent="0.25">
      <c r="C53" s="32" t="s">
        <v>137</v>
      </c>
      <c r="K53" s="38"/>
      <c r="L53" s="294">
        <v>-1.4</v>
      </c>
      <c r="M53" s="294">
        <v>-2.5</v>
      </c>
      <c r="N53" s="294">
        <v>-1.4</v>
      </c>
      <c r="O53" s="294">
        <v>-2.2999999999999998</v>
      </c>
    </row>
    <row r="54" spans="3:15" hidden="1" outlineLevel="1" x14ac:dyDescent="0.25">
      <c r="C54" s="1" t="s">
        <v>138</v>
      </c>
      <c r="L54" s="37">
        <f>L53+1%</f>
        <v>-1.39</v>
      </c>
      <c r="M54" s="37">
        <f t="shared" ref="M54" si="35">M53+1%</f>
        <v>-2.4900000000000002</v>
      </c>
      <c r="N54" s="37">
        <f t="shared" ref="N54" si="36">N53+1%</f>
        <v>-1.39</v>
      </c>
      <c r="O54" s="37">
        <f t="shared" ref="O54" si="37">O53+1%</f>
        <v>-2.29</v>
      </c>
    </row>
    <row r="55" spans="3:15" hidden="1" outlineLevel="1" x14ac:dyDescent="0.25">
      <c r="C55" s="32" t="s">
        <v>139</v>
      </c>
      <c r="L55" s="37">
        <f>L53-1.5%</f>
        <v>-1.4149999999999998</v>
      </c>
      <c r="M55" s="37">
        <f t="shared" ref="M55:O55" si="38">M53-1.5%</f>
        <v>-2.5150000000000001</v>
      </c>
      <c r="N55" s="37">
        <f t="shared" si="38"/>
        <v>-1.4149999999999998</v>
      </c>
      <c r="O55" s="37">
        <f t="shared" si="38"/>
        <v>-2.3149999999999999</v>
      </c>
    </row>
    <row r="56" spans="3:15" hidden="1" outlineLevel="1" x14ac:dyDescent="0.25">
      <c r="G56" s="29"/>
      <c r="H56" s="29"/>
      <c r="I56" s="29"/>
      <c r="J56" s="29"/>
      <c r="K56" s="29"/>
    </row>
    <row r="57" spans="3:15" hidden="1" outlineLevel="1" x14ac:dyDescent="0.25">
      <c r="C57" s="1" t="s">
        <v>1</v>
      </c>
      <c r="G57" s="29">
        <f>Financials!G25</f>
        <v>18.350000000000001</v>
      </c>
      <c r="H57" s="29">
        <f>Financials!H25</f>
        <v>54.26</v>
      </c>
      <c r="I57" s="29">
        <f>Financials!I25</f>
        <v>117.76</v>
      </c>
      <c r="J57" s="29">
        <f>Financials!J25</f>
        <v>163.27000000000001</v>
      </c>
      <c r="K57" s="29">
        <f>Financials!Q25*(4/3)</f>
        <v>1124.1999999999998</v>
      </c>
      <c r="L57" s="29">
        <f ca="1">K57*(1+L58)</f>
        <v>1742.5099999999998</v>
      </c>
      <c r="M57" s="29">
        <f ca="1">L57*(1+M58)</f>
        <v>2439.5139999999997</v>
      </c>
      <c r="N57" s="29">
        <f ca="1">M57*(1+N58)</f>
        <v>3293.3438999999998</v>
      </c>
      <c r="O57" s="29">
        <f ca="1">N57*(1+O58)</f>
        <v>4380.147387</v>
      </c>
    </row>
    <row r="58" spans="3:15" hidden="1" outlineLevel="1" x14ac:dyDescent="0.25">
      <c r="C58" s="32" t="s">
        <v>130</v>
      </c>
      <c r="G58" s="29"/>
      <c r="H58" s="33">
        <f>H57/G57-1</f>
        <v>1.9569482288828333</v>
      </c>
      <c r="I58" s="33">
        <f t="shared" ref="I58" si="39">I57/H57-1</f>
        <v>1.1702911905639515</v>
      </c>
      <c r="J58" s="33">
        <f t="shared" ref="J58" si="40">J57/I57-1</f>
        <v>0.38646399456521752</v>
      </c>
      <c r="K58" s="33">
        <f t="shared" ref="K58" si="41">K57/J57-1</f>
        <v>5.8855270410975669</v>
      </c>
      <c r="L58" s="39">
        <f ca="1">OFFSET(L58,$E$12,0)</f>
        <v>0.55000000000000004</v>
      </c>
      <c r="M58" s="39">
        <f ca="1">OFFSET(M58,$E$12,0)</f>
        <v>0.4</v>
      </c>
      <c r="N58" s="39">
        <f ca="1">OFFSET(N58,$E$12,0)</f>
        <v>0.35</v>
      </c>
      <c r="O58" s="39">
        <f ca="1">OFFSET(O58,$E$12,0)</f>
        <v>0.33</v>
      </c>
    </row>
    <row r="59" spans="3:15" hidden="1" outlineLevel="1" x14ac:dyDescent="0.25">
      <c r="C59" s="32" t="s">
        <v>137</v>
      </c>
      <c r="G59" s="29"/>
      <c r="H59" s="29"/>
      <c r="I59" s="29"/>
      <c r="J59" s="29"/>
      <c r="K59" s="29"/>
      <c r="L59" s="294">
        <v>0.55000000000000004</v>
      </c>
      <c r="M59" s="294">
        <v>0.4</v>
      </c>
      <c r="N59" s="294">
        <v>0.35</v>
      </c>
      <c r="O59" s="294">
        <v>0.33</v>
      </c>
    </row>
    <row r="60" spans="3:15" hidden="1" outlineLevel="1" x14ac:dyDescent="0.25">
      <c r="C60" s="1" t="s">
        <v>138</v>
      </c>
      <c r="G60" s="29"/>
      <c r="H60" s="29"/>
      <c r="I60" s="29"/>
      <c r="J60" s="29"/>
      <c r="K60" s="29"/>
      <c r="L60" s="37">
        <f>L59+1%</f>
        <v>0.56000000000000005</v>
      </c>
      <c r="M60" s="37">
        <f t="shared" ref="M60" si="42">M59+1%</f>
        <v>0.41000000000000003</v>
      </c>
      <c r="N60" s="37">
        <f t="shared" ref="N60" si="43">N59+1%</f>
        <v>0.36</v>
      </c>
      <c r="O60" s="37">
        <f t="shared" ref="O60" si="44">O59+1%</f>
        <v>0.34</v>
      </c>
    </row>
    <row r="61" spans="3:15" hidden="1" outlineLevel="1" x14ac:dyDescent="0.25">
      <c r="C61" s="32" t="s">
        <v>139</v>
      </c>
      <c r="G61" s="29"/>
      <c r="H61" s="29"/>
      <c r="I61" s="29"/>
      <c r="J61" s="29"/>
      <c r="K61" s="29"/>
      <c r="L61" s="37">
        <f>L59-1.5%</f>
        <v>0.53500000000000003</v>
      </c>
      <c r="M61" s="37">
        <f t="shared" ref="M61:O61" si="45">M59-1.5%</f>
        <v>0.38500000000000001</v>
      </c>
      <c r="N61" s="37">
        <f t="shared" si="45"/>
        <v>0.33499999999999996</v>
      </c>
      <c r="O61" s="37">
        <f t="shared" si="45"/>
        <v>0.315</v>
      </c>
    </row>
    <row r="62" spans="3:15" hidden="1" outlineLevel="1" x14ac:dyDescent="0.25">
      <c r="G62" s="29"/>
      <c r="H62" s="29"/>
      <c r="I62" s="29"/>
      <c r="J62" s="29"/>
      <c r="K62" s="29"/>
    </row>
    <row r="63" spans="3:15" hidden="1" outlineLevel="1" x14ac:dyDescent="0.25">
      <c r="C63" s="1" t="s">
        <v>104</v>
      </c>
      <c r="G63" s="29">
        <f>Financials!G28</f>
        <v>0</v>
      </c>
      <c r="H63" s="29">
        <f>Financials!H28</f>
        <v>0</v>
      </c>
      <c r="I63" s="29">
        <f>Financials!I28</f>
        <v>3239.77</v>
      </c>
      <c r="J63" s="29">
        <f>Financials!J28</f>
        <v>3323.96</v>
      </c>
      <c r="K63" s="29">
        <f>Financials!Q28*(4/3)</f>
        <v>5380.7199999999993</v>
      </c>
      <c r="L63" s="29">
        <f ca="1">K63*(1+L64)</f>
        <v>6994.9359999999997</v>
      </c>
      <c r="M63" s="29">
        <f ca="1">L63*(1+M64)</f>
        <v>8813.6193599999988</v>
      </c>
      <c r="N63" s="29">
        <f ca="1">M63*(1+N64)</f>
        <v>10928.888006399999</v>
      </c>
      <c r="O63" s="29">
        <f ca="1">N63*(1+O64)</f>
        <v>13333.243367807998</v>
      </c>
    </row>
    <row r="64" spans="3:15" hidden="1" outlineLevel="1" x14ac:dyDescent="0.25">
      <c r="C64" s="32" t="s">
        <v>130</v>
      </c>
      <c r="G64" s="29"/>
      <c r="H64" s="33" t="e">
        <f>H63/G63-1</f>
        <v>#DIV/0!</v>
      </c>
      <c r="I64" s="33" t="e">
        <f t="shared" ref="I64" si="46">I63/H63-1</f>
        <v>#DIV/0!</v>
      </c>
      <c r="J64" s="33">
        <f t="shared" ref="J64" si="47">J63/I63-1</f>
        <v>2.598641261571033E-2</v>
      </c>
      <c r="K64" s="33">
        <f t="shared" ref="K64" si="48">K63/J63-1</f>
        <v>0.61876797554723861</v>
      </c>
      <c r="L64" s="39">
        <f ca="1">OFFSET(L64,$E$12,0)</f>
        <v>0.3</v>
      </c>
      <c r="M64" s="39">
        <f ca="1">OFFSET(M64,$E$12,0)</f>
        <v>0.26</v>
      </c>
      <c r="N64" s="39">
        <f ca="1">OFFSET(N64,$E$12,0)</f>
        <v>0.24</v>
      </c>
      <c r="O64" s="39">
        <f ca="1">OFFSET(O64,$E$12,0)</f>
        <v>0.22</v>
      </c>
    </row>
    <row r="65" spans="3:15" hidden="1" outlineLevel="1" x14ac:dyDescent="0.25">
      <c r="C65" s="32" t="s">
        <v>137</v>
      </c>
      <c r="G65" s="29"/>
      <c r="H65" s="29"/>
      <c r="I65" s="29"/>
      <c r="J65" s="29"/>
      <c r="K65" s="29"/>
      <c r="L65" s="294">
        <v>0.3</v>
      </c>
      <c r="M65" s="294">
        <v>0.26</v>
      </c>
      <c r="N65" s="294">
        <v>0.24</v>
      </c>
      <c r="O65" s="294">
        <v>0.22</v>
      </c>
    </row>
    <row r="66" spans="3:15" hidden="1" outlineLevel="1" x14ac:dyDescent="0.25">
      <c r="C66" s="1" t="s">
        <v>138</v>
      </c>
      <c r="G66" s="29"/>
      <c r="H66" s="29"/>
      <c r="I66" s="29"/>
      <c r="J66" s="29"/>
      <c r="K66" s="29"/>
      <c r="L66" s="37">
        <f>L65+1%</f>
        <v>0.31</v>
      </c>
      <c r="M66" s="37">
        <f t="shared" ref="M66" si="49">M65+1%</f>
        <v>0.27</v>
      </c>
      <c r="N66" s="37">
        <f t="shared" ref="N66" si="50">N65+1%</f>
        <v>0.25</v>
      </c>
      <c r="O66" s="37">
        <f t="shared" ref="O66" si="51">O65+1%</f>
        <v>0.23</v>
      </c>
    </row>
    <row r="67" spans="3:15" hidden="1" outlineLevel="1" x14ac:dyDescent="0.25">
      <c r="C67" s="32" t="s">
        <v>139</v>
      </c>
      <c r="G67" s="29"/>
      <c r="H67" s="29"/>
      <c r="I67" s="29"/>
      <c r="J67" s="29"/>
      <c r="K67" s="29"/>
      <c r="L67" s="37">
        <f>L65-1.5%</f>
        <v>0.28499999999999998</v>
      </c>
      <c r="M67" s="37">
        <f t="shared" ref="M67:O67" si="52">M65-1.5%</f>
        <v>0.245</v>
      </c>
      <c r="N67" s="37">
        <f t="shared" si="52"/>
        <v>0.22499999999999998</v>
      </c>
      <c r="O67" s="37">
        <f t="shared" si="52"/>
        <v>0.20500000000000002</v>
      </c>
    </row>
    <row r="68" spans="3:15" hidden="1" outlineLevel="1" x14ac:dyDescent="0.25">
      <c r="G68" s="29"/>
      <c r="H68" s="29"/>
      <c r="I68" s="29"/>
      <c r="J68" s="29"/>
      <c r="K68" s="29"/>
    </row>
    <row r="69" spans="3:15" hidden="1" outlineLevel="1" x14ac:dyDescent="0.25">
      <c r="C69" s="1" t="s">
        <v>3</v>
      </c>
      <c r="G69" s="29">
        <f>Financials!G29</f>
        <v>220.74</v>
      </c>
      <c r="H69" s="29">
        <f>Financials!H29</f>
        <v>1987.62</v>
      </c>
      <c r="I69" s="29">
        <f>Financials!I29</f>
        <v>543.9</v>
      </c>
      <c r="J69" s="29">
        <f>Financials!J29</f>
        <v>475.2</v>
      </c>
      <c r="K69" s="29">
        <f>Financials!Q29*(4/3)</f>
        <v>1523.2666666666667</v>
      </c>
      <c r="L69" s="29">
        <f ca="1">K69*(1+L70)</f>
        <v>1340.4746666666667</v>
      </c>
      <c r="M69" s="29">
        <f ca="1">L69*(1+M70)</f>
        <v>1742.6170666666669</v>
      </c>
      <c r="N69" s="29">
        <f ca="1">M69*(1+N70)</f>
        <v>2056.2881386666668</v>
      </c>
      <c r="O69" s="29">
        <f ca="1">N69*(1+O70)</f>
        <v>1439.4016970666667</v>
      </c>
    </row>
    <row r="70" spans="3:15" hidden="1" outlineLevel="1" x14ac:dyDescent="0.25">
      <c r="C70" s="32" t="s">
        <v>130</v>
      </c>
      <c r="G70" s="29"/>
      <c r="H70" s="33">
        <f>H69/G69-1</f>
        <v>8.0043490078825759</v>
      </c>
      <c r="I70" s="33">
        <f t="shared" ref="I70" si="53">I69/H69-1</f>
        <v>-0.72635614453466957</v>
      </c>
      <c r="J70" s="33">
        <f t="shared" ref="J70" si="54">J69/I69-1</f>
        <v>-0.12630998345284061</v>
      </c>
      <c r="K70" s="33">
        <f t="shared" ref="K70" si="55">K69/J69-1</f>
        <v>2.2055274971941641</v>
      </c>
      <c r="L70" s="39">
        <f ca="1">OFFSET(L70,$E$12,0)</f>
        <v>-0.12</v>
      </c>
      <c r="M70" s="39">
        <f ca="1">OFFSET(M70,$E$12,0)</f>
        <v>0.3</v>
      </c>
      <c r="N70" s="39">
        <f ca="1">OFFSET(N70,$E$12,0)</f>
        <v>0.18</v>
      </c>
      <c r="O70" s="39">
        <f ca="1">OFFSET(O70,$E$12,0)</f>
        <v>-0.3</v>
      </c>
    </row>
    <row r="71" spans="3:15" hidden="1" outlineLevel="1" x14ac:dyDescent="0.25">
      <c r="C71" s="32" t="s">
        <v>137</v>
      </c>
      <c r="G71" s="29"/>
      <c r="H71" s="29"/>
      <c r="I71" s="29"/>
      <c r="J71" s="29"/>
      <c r="K71" s="29"/>
      <c r="L71" s="294">
        <v>-0.12</v>
      </c>
      <c r="M71" s="294">
        <v>0.3</v>
      </c>
      <c r="N71" s="294">
        <v>0.18</v>
      </c>
      <c r="O71" s="294">
        <v>-0.3</v>
      </c>
    </row>
    <row r="72" spans="3:15" hidden="1" outlineLevel="1" x14ac:dyDescent="0.25">
      <c r="C72" s="1" t="s">
        <v>138</v>
      </c>
      <c r="G72" s="29"/>
      <c r="H72" s="29"/>
      <c r="I72" s="29"/>
      <c r="J72" s="29"/>
      <c r="K72" s="29"/>
      <c r="L72" s="37">
        <f>L71+1%</f>
        <v>-0.11</v>
      </c>
      <c r="M72" s="37">
        <f t="shared" ref="M72" si="56">M71+1%</f>
        <v>0.31</v>
      </c>
      <c r="N72" s="37">
        <f t="shared" ref="N72" si="57">N71+1%</f>
        <v>0.19</v>
      </c>
      <c r="O72" s="37">
        <f t="shared" ref="O72" si="58">O71+1%</f>
        <v>-0.28999999999999998</v>
      </c>
    </row>
    <row r="73" spans="3:15" hidden="1" outlineLevel="1" x14ac:dyDescent="0.25">
      <c r="C73" s="32" t="s">
        <v>139</v>
      </c>
      <c r="G73" s="29"/>
      <c r="H73" s="29"/>
      <c r="I73" s="29"/>
      <c r="J73" s="29"/>
      <c r="K73" s="29"/>
      <c r="L73" s="37">
        <f>L71-1.5%</f>
        <v>-0.13500000000000001</v>
      </c>
      <c r="M73" s="37">
        <f t="shared" ref="M73:O73" si="59">M71-1.5%</f>
        <v>0.28499999999999998</v>
      </c>
      <c r="N73" s="37">
        <f t="shared" si="59"/>
        <v>0.16499999999999998</v>
      </c>
      <c r="O73" s="37">
        <f t="shared" si="59"/>
        <v>-0.315</v>
      </c>
    </row>
    <row r="74" spans="3:15" hidden="1" outlineLevel="1" x14ac:dyDescent="0.25"/>
    <row r="75" spans="3:15" hidden="1" outlineLevel="1" x14ac:dyDescent="0.25">
      <c r="C75" s="1" t="s">
        <v>142</v>
      </c>
      <c r="G75" s="29">
        <f>-Financials!G35</f>
        <v>0</v>
      </c>
      <c r="H75" s="29">
        <f>-Financials!H35</f>
        <v>0</v>
      </c>
      <c r="I75" s="29">
        <f>-Financials!I35</f>
        <v>259.77999999999997</v>
      </c>
      <c r="J75" s="29">
        <f>-Financials!J35</f>
        <v>456.72</v>
      </c>
      <c r="K75" s="29">
        <f>-Financials!Q35*(4/3)</f>
        <v>959.81333333333328</v>
      </c>
      <c r="L75" s="29">
        <f ca="1">K75*(1+L76)</f>
        <v>1247.7573333333332</v>
      </c>
      <c r="M75" s="29">
        <f ca="1">L75*(1+M76)</f>
        <v>1622.0845333333332</v>
      </c>
      <c r="N75" s="29">
        <f ca="1">M75*(1+N76)</f>
        <v>2108.7098933333332</v>
      </c>
      <c r="O75" s="29">
        <f ca="1">N75*(1+O76)</f>
        <v>2741.3228613333331</v>
      </c>
    </row>
    <row r="76" spans="3:15" hidden="1" outlineLevel="1" x14ac:dyDescent="0.25">
      <c r="C76" s="1" t="s">
        <v>143</v>
      </c>
      <c r="H76" s="33" t="e">
        <f>H75/G75-1</f>
        <v>#DIV/0!</v>
      </c>
      <c r="I76" s="33" t="e">
        <f t="shared" ref="I76" si="60">I75/H75-1</f>
        <v>#DIV/0!</v>
      </c>
      <c r="J76" s="33">
        <f t="shared" ref="J76" si="61">J75/I75-1</f>
        <v>0.75810301023943372</v>
      </c>
      <c r="K76" s="33">
        <f t="shared" ref="K76" si="62">K75/J75-1</f>
        <v>1.1015355870847197</v>
      </c>
      <c r="L76" s="39">
        <f ca="1">OFFSET(L76,$E$12,0)</f>
        <v>0.3</v>
      </c>
      <c r="M76" s="39">
        <f ca="1">OFFSET(M76,$E$12,0)</f>
        <v>0.3</v>
      </c>
      <c r="N76" s="39">
        <f ca="1">OFFSET(N76,$E$12,0)</f>
        <v>0.3</v>
      </c>
      <c r="O76" s="39">
        <f ca="1">OFFSET(O76,$E$12,0)</f>
        <v>0.3</v>
      </c>
    </row>
    <row r="77" spans="3:15" hidden="1" outlineLevel="1" x14ac:dyDescent="0.25">
      <c r="C77" s="32" t="s">
        <v>137</v>
      </c>
      <c r="G77" s="29"/>
      <c r="H77" s="29"/>
      <c r="I77" s="29"/>
      <c r="J77" s="29"/>
      <c r="K77" s="29"/>
      <c r="L77" s="294">
        <v>0.3</v>
      </c>
      <c r="M77" s="294">
        <v>0.3</v>
      </c>
      <c r="N77" s="294">
        <v>0.3</v>
      </c>
      <c r="O77" s="294">
        <v>0.3</v>
      </c>
    </row>
    <row r="78" spans="3:15" hidden="1" outlineLevel="1" x14ac:dyDescent="0.25">
      <c r="C78" s="1" t="s">
        <v>138</v>
      </c>
      <c r="G78" s="29"/>
      <c r="H78" s="29"/>
      <c r="I78" s="29"/>
      <c r="J78" s="29"/>
      <c r="K78" s="29"/>
      <c r="L78" s="37">
        <f>L77+1%</f>
        <v>0.31</v>
      </c>
      <c r="M78" s="37">
        <f t="shared" ref="M78" si="63">M77+1%</f>
        <v>0.31</v>
      </c>
      <c r="N78" s="37">
        <f t="shared" ref="N78" si="64">N77+1%</f>
        <v>0.31</v>
      </c>
      <c r="O78" s="37">
        <f t="shared" ref="O78" si="65">O77+1%</f>
        <v>0.31</v>
      </c>
    </row>
    <row r="79" spans="3:15" hidden="1" outlineLevel="1" x14ac:dyDescent="0.25">
      <c r="C79" s="32" t="s">
        <v>139</v>
      </c>
      <c r="G79" s="29"/>
      <c r="H79" s="29"/>
      <c r="I79" s="29"/>
      <c r="J79" s="29"/>
      <c r="K79" s="29"/>
      <c r="L79" s="37">
        <f>L77-1.5%</f>
        <v>0.28499999999999998</v>
      </c>
      <c r="M79" s="37">
        <f t="shared" ref="M79:O79" si="66">M77-1.5%</f>
        <v>0.28499999999999998</v>
      </c>
      <c r="N79" s="37">
        <f t="shared" si="66"/>
        <v>0.28499999999999998</v>
      </c>
      <c r="O79" s="37">
        <f t="shared" si="66"/>
        <v>0.28499999999999998</v>
      </c>
    </row>
    <row r="80" spans="3:15" collapsed="1" x14ac:dyDescent="0.25"/>
    <row r="81" spans="2:15" x14ac:dyDescent="0.25">
      <c r="C81" s="1" t="s">
        <v>186</v>
      </c>
      <c r="G81" s="288">
        <v>0</v>
      </c>
      <c r="H81" s="288">
        <v>22.24</v>
      </c>
      <c r="I81" s="288">
        <v>0</v>
      </c>
      <c r="J81" s="288">
        <v>52.28</v>
      </c>
      <c r="K81" s="29">
        <f>K82*Financials!K37</f>
        <v>315.63997224999986</v>
      </c>
      <c r="L81" s="29">
        <f ca="1">L82*Financials!L37</f>
        <v>409.7657844874999</v>
      </c>
      <c r="M81" s="29">
        <f ca="1">M82*Financials!M37</f>
        <v>492.10408045208374</v>
      </c>
      <c r="N81" s="29">
        <f ca="1">N82*Financials!N37</f>
        <v>442.85796198537503</v>
      </c>
      <c r="O81" s="29">
        <f ca="1">O82*Financials!O37</f>
        <v>482.9632767584194</v>
      </c>
    </row>
    <row r="82" spans="2:15" x14ac:dyDescent="0.25">
      <c r="C82" s="1" t="s">
        <v>187</v>
      </c>
      <c r="G82" s="33">
        <f>G81/Financials!G37</f>
        <v>0</v>
      </c>
      <c r="H82" s="33">
        <f>-H81/Financials!H37</f>
        <v>7.7077701531850035E-2</v>
      </c>
      <c r="I82" s="33">
        <f>I81/Financials!I37</f>
        <v>0</v>
      </c>
      <c r="J82" s="33">
        <f>J81/Financials!J37</f>
        <v>3.6057161774442695E-2</v>
      </c>
      <c r="K82" s="295">
        <v>0.1</v>
      </c>
      <c r="L82" s="295">
        <v>0.1</v>
      </c>
      <c r="M82" s="295">
        <v>0.1</v>
      </c>
      <c r="N82" s="295">
        <v>0.1</v>
      </c>
      <c r="O82" s="295">
        <v>0.1</v>
      </c>
    </row>
    <row r="84" spans="2:15" x14ac:dyDescent="0.25">
      <c r="C84" s="1" t="s">
        <v>188</v>
      </c>
      <c r="G84" s="288">
        <v>0</v>
      </c>
      <c r="H84" s="288">
        <v>0</v>
      </c>
      <c r="I84" s="288">
        <v>48.99</v>
      </c>
      <c r="J84" s="288">
        <v>80.8</v>
      </c>
      <c r="K84" s="29">
        <f>K85*Financials!K19</f>
        <v>180.38144</v>
      </c>
      <c r="L84" s="29">
        <f ca="1">L85*Financials!L19</f>
        <v>236.04414399999999</v>
      </c>
      <c r="M84" s="29">
        <f ca="1">M85*Financials!M19</f>
        <v>298.56562959999997</v>
      </c>
      <c r="N84" s="29">
        <f ca="1">N85*Financials!N19</f>
        <v>364.97918351999999</v>
      </c>
      <c r="O84" s="29">
        <f ca="1">O85*Financials!O19</f>
        <v>441.80255677439993</v>
      </c>
    </row>
    <row r="85" spans="2:15" x14ac:dyDescent="0.25">
      <c r="C85" s="1" t="s">
        <v>208</v>
      </c>
      <c r="G85" s="33">
        <f>G84/Financials!G19</f>
        <v>0</v>
      </c>
      <c r="H85" s="33">
        <f>H84/Financials!H19</f>
        <v>0</v>
      </c>
      <c r="I85" s="33">
        <f>I84/Financials!I19</f>
        <v>7.4514038876889845E-3</v>
      </c>
      <c r="J85" s="33">
        <f>J84/Financials!J19</f>
        <v>1.1930390306853181E-2</v>
      </c>
      <c r="K85" s="295">
        <v>1.2E-2</v>
      </c>
      <c r="L85" s="295">
        <v>1.2E-2</v>
      </c>
      <c r="M85" s="295">
        <v>1.2E-2</v>
      </c>
      <c r="N85" s="295">
        <v>1.2E-2</v>
      </c>
      <c r="O85" s="295">
        <v>1.2E-2</v>
      </c>
    </row>
    <row r="88" spans="2:15" x14ac:dyDescent="0.25">
      <c r="B88" s="51" t="s">
        <v>94</v>
      </c>
      <c r="C88" s="16" t="s">
        <v>193</v>
      </c>
    </row>
  </sheetData>
  <mergeCells count="2">
    <mergeCell ref="G5:J5"/>
    <mergeCell ref="K5:O5"/>
  </mergeCells>
  <hyperlinks>
    <hyperlink ref="C8" location="Dashboard!A1" display="&lt;-Back to Dashboard" xr:uid="{6DC6E192-91D5-4BB7-A3EE-A001FF792AA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1B43-3E69-4181-97F6-1A3C41FC95A6}">
  <dimension ref="A2:Q77"/>
  <sheetViews>
    <sheetView showGridLines="0" topLeftCell="A32" workbookViewId="0">
      <selection activeCell="H77" sqref="H77"/>
    </sheetView>
  </sheetViews>
  <sheetFormatPr defaultRowHeight="13.2" outlineLevelRow="1" x14ac:dyDescent="0.25"/>
  <cols>
    <col min="1" max="1" width="2.88671875" style="48" customWidth="1"/>
    <col min="2" max="2" width="2.88671875" style="51" customWidth="1"/>
    <col min="3" max="6" width="8.88671875" style="1"/>
    <col min="7" max="15" width="12.77734375" style="1" customWidth="1"/>
    <col min="16" max="16384" width="8.88671875" style="1"/>
  </cols>
  <sheetData>
    <row r="2" spans="2:17" x14ac:dyDescent="0.25"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C3" s="16" t="s">
        <v>178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6" spans="2:17" ht="14.4" x14ac:dyDescent="0.3">
      <c r="C6" s="243" t="s">
        <v>379</v>
      </c>
    </row>
    <row r="8" spans="2:17" x14ac:dyDescent="0.25">
      <c r="B8" s="51" t="s">
        <v>94</v>
      </c>
      <c r="C8" s="16" t="s">
        <v>20</v>
      </c>
      <c r="D8" s="20"/>
      <c r="E8" s="20"/>
      <c r="F8" s="20"/>
      <c r="G8" s="27">
        <v>44651</v>
      </c>
      <c r="H8" s="27">
        <f>EOMONTH(G8,12)</f>
        <v>45016</v>
      </c>
      <c r="I8" s="27">
        <f t="shared" ref="I8:O8" si="0">EOMONTH(H8,12)</f>
        <v>45382</v>
      </c>
      <c r="J8" s="27">
        <f t="shared" si="0"/>
        <v>45747</v>
      </c>
      <c r="K8" s="28">
        <f t="shared" si="0"/>
        <v>46112</v>
      </c>
      <c r="L8" s="28">
        <f t="shared" si="0"/>
        <v>46477</v>
      </c>
      <c r="M8" s="28">
        <f t="shared" si="0"/>
        <v>46843</v>
      </c>
      <c r="N8" s="28">
        <f t="shared" si="0"/>
        <v>47208</v>
      </c>
      <c r="O8" s="28">
        <f t="shared" si="0"/>
        <v>47573</v>
      </c>
    </row>
    <row r="10" spans="2:17" hidden="1" outlineLevel="1" x14ac:dyDescent="0.25">
      <c r="C10" s="35" t="s">
        <v>20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2:17" hidden="1" outlineLevel="1" x14ac:dyDescent="0.25">
      <c r="C11" s="1" t="s">
        <v>160</v>
      </c>
      <c r="G11" s="41"/>
      <c r="H11" s="41"/>
      <c r="I11" s="41"/>
      <c r="J11" s="41"/>
      <c r="K11" s="288">
        <v>2031.34</v>
      </c>
      <c r="L11" s="29">
        <f>K14</f>
        <v>6638.3777333333337</v>
      </c>
      <c r="M11" s="29">
        <f t="shared" ref="M11:O11" ca="1" si="1">L14</f>
        <v>7216.248700000001</v>
      </c>
      <c r="N11" s="29">
        <f t="shared" ca="1" si="1"/>
        <v>7564.3927376000001</v>
      </c>
      <c r="O11" s="29">
        <f t="shared" ca="1" si="1"/>
        <v>7619.8501986400006</v>
      </c>
    </row>
    <row r="12" spans="2:17" hidden="1" outlineLevel="1" x14ac:dyDescent="0.25">
      <c r="C12" s="1" t="s">
        <v>157</v>
      </c>
      <c r="G12" s="41"/>
      <c r="H12" s="41"/>
      <c r="I12" s="41"/>
      <c r="J12" s="41"/>
      <c r="K12" s="29">
        <f>K18*80%</f>
        <v>4810.1717333333336</v>
      </c>
      <c r="L12" s="29">
        <f t="shared" ref="L12:O12" ca="1" si="2">L18*80%</f>
        <v>1573.6276266666666</v>
      </c>
      <c r="M12" s="29">
        <f t="shared" ca="1" si="2"/>
        <v>1791.3937776</v>
      </c>
      <c r="N12" s="29">
        <f t="shared" ca="1" si="2"/>
        <v>1946.5556454400003</v>
      </c>
      <c r="O12" s="29">
        <f t="shared" ca="1" si="2"/>
        <v>2061.7452649471998</v>
      </c>
    </row>
    <row r="13" spans="2:17" hidden="1" outlineLevel="1" x14ac:dyDescent="0.25">
      <c r="C13" s="1" t="s">
        <v>158</v>
      </c>
      <c r="G13" s="41"/>
      <c r="H13" s="41"/>
      <c r="I13" s="41"/>
      <c r="J13" s="41"/>
      <c r="K13" s="29">
        <f>-K11*10%</f>
        <v>-203.13400000000001</v>
      </c>
      <c r="L13" s="29">
        <f>-L11*15%</f>
        <v>-995.75666000000001</v>
      </c>
      <c r="M13" s="29">
        <f ca="1">-M11*20%</f>
        <v>-1443.2497400000002</v>
      </c>
      <c r="N13" s="29">
        <f ca="1">-N11*25%</f>
        <v>-1891.0981844</v>
      </c>
      <c r="O13" s="29">
        <f ca="1">-O11*30%</f>
        <v>-2285.955059592</v>
      </c>
    </row>
    <row r="14" spans="2:17" hidden="1" outlineLevel="1" x14ac:dyDescent="0.25">
      <c r="C14" s="35" t="s">
        <v>159</v>
      </c>
      <c r="D14" s="36"/>
      <c r="E14" s="36"/>
      <c r="F14" s="36"/>
      <c r="G14" s="42"/>
      <c r="H14" s="42"/>
      <c r="I14" s="42"/>
      <c r="J14" s="42"/>
      <c r="K14" s="43">
        <f>SUM(K11:K13)</f>
        <v>6638.3777333333337</v>
      </c>
      <c r="L14" s="43">
        <f t="shared" ref="L14:O14" ca="1" si="3">SUM(L11:L13)</f>
        <v>7216.248700000001</v>
      </c>
      <c r="M14" s="43">
        <f t="shared" ca="1" si="3"/>
        <v>7564.3927376000001</v>
      </c>
      <c r="N14" s="43">
        <f t="shared" ca="1" si="3"/>
        <v>7619.8501986400006</v>
      </c>
      <c r="O14" s="43">
        <f t="shared" ca="1" si="3"/>
        <v>7395.6404039952004</v>
      </c>
    </row>
    <row r="15" spans="2:17" hidden="1" outlineLevel="1" x14ac:dyDescent="0.25">
      <c r="C15" s="1" t="s">
        <v>161</v>
      </c>
      <c r="J15" s="288">
        <v>-499.83</v>
      </c>
      <c r="K15" s="29">
        <f>J15-K21</f>
        <v>-920.72002666666663</v>
      </c>
      <c r="L15" s="29">
        <f t="shared" ref="L15:O15" ca="1" si="4">K15-L21</f>
        <v>-1215.7752066666667</v>
      </c>
      <c r="M15" s="29">
        <f t="shared" ca="1" si="4"/>
        <v>-1551.6615399666666</v>
      </c>
      <c r="N15" s="29">
        <f t="shared" ca="1" si="4"/>
        <v>-1916.6407234866665</v>
      </c>
      <c r="O15" s="29">
        <f t="shared" ca="1" si="4"/>
        <v>-2303.2179606642667</v>
      </c>
    </row>
    <row r="16" spans="2:17" hidden="1" outlineLevel="1" x14ac:dyDescent="0.25">
      <c r="C16" s="44" t="s">
        <v>162</v>
      </c>
      <c r="D16" s="45"/>
      <c r="E16" s="45"/>
      <c r="F16" s="45"/>
      <c r="G16" s="45"/>
      <c r="H16" s="45"/>
      <c r="I16" s="45"/>
      <c r="J16" s="45"/>
      <c r="K16" s="46">
        <f>SUM(K14:K15)</f>
        <v>5717.6577066666669</v>
      </c>
      <c r="L16" s="46">
        <f t="shared" ref="L16:O16" ca="1" si="5">SUM(L14:L15)</f>
        <v>6000.4734933333348</v>
      </c>
      <c r="M16" s="46">
        <f t="shared" ca="1" si="5"/>
        <v>6012.7311976333331</v>
      </c>
      <c r="N16" s="46">
        <f t="shared" ca="1" si="5"/>
        <v>5703.2094751533341</v>
      </c>
      <c r="O16" s="46">
        <f t="shared" ca="1" si="5"/>
        <v>5092.4224433309337</v>
      </c>
    </row>
    <row r="17" spans="3:15" hidden="1" outlineLevel="1" x14ac:dyDescent="0.25"/>
    <row r="18" spans="3:15" hidden="1" outlineLevel="1" x14ac:dyDescent="0.25">
      <c r="C18" s="1" t="s">
        <v>163</v>
      </c>
      <c r="G18" s="288">
        <v>56.24</v>
      </c>
      <c r="H18" s="288">
        <v>99.63</v>
      </c>
      <c r="I18" s="288">
        <v>724.01</v>
      </c>
      <c r="J18" s="288">
        <v>782.66</v>
      </c>
      <c r="K18" s="29">
        <f>K19*Financials!K19</f>
        <v>6012.7146666666667</v>
      </c>
      <c r="L18" s="29">
        <f ca="1">L19*Financials!L19</f>
        <v>1967.0345333333332</v>
      </c>
      <c r="M18" s="29">
        <f ca="1">M19*Financials!M19</f>
        <v>2239.2422219999999</v>
      </c>
      <c r="N18" s="29">
        <f ca="1">N19*Financials!N19</f>
        <v>2433.1945568000001</v>
      </c>
      <c r="O18" s="29">
        <f ca="1">O19*Financials!O19</f>
        <v>2577.1815811839997</v>
      </c>
    </row>
    <row r="19" spans="3:15" hidden="1" outlineLevel="1" x14ac:dyDescent="0.25">
      <c r="C19" s="1" t="s">
        <v>164</v>
      </c>
      <c r="G19" s="33">
        <f>G18/Financials!G19</f>
        <v>7.7332416638019943E-2</v>
      </c>
      <c r="H19" s="33">
        <f>H18/Financials!H19</f>
        <v>2.8738566446577071E-2</v>
      </c>
      <c r="I19" s="33">
        <f>I18/Financials!I19</f>
        <v>0.11012228880844462</v>
      </c>
      <c r="J19" s="33">
        <f>J18/Financials!J19</f>
        <v>0.11556236729655582</v>
      </c>
      <c r="K19" s="295">
        <v>0.4</v>
      </c>
      <c r="L19" s="295">
        <v>0.1</v>
      </c>
      <c r="M19" s="295">
        <v>0.09</v>
      </c>
      <c r="N19" s="295">
        <v>0.08</v>
      </c>
      <c r="O19" s="295">
        <v>7.0000000000000007E-2</v>
      </c>
    </row>
    <row r="20" spans="3:15" hidden="1" outlineLevel="1" x14ac:dyDescent="0.25">
      <c r="G20" s="33"/>
    </row>
    <row r="21" spans="3:15" hidden="1" outlineLevel="1" x14ac:dyDescent="0.25">
      <c r="C21" s="1" t="s">
        <v>165</v>
      </c>
      <c r="G21" s="288">
        <v>17.8</v>
      </c>
      <c r="H21" s="288">
        <v>21.95</v>
      </c>
      <c r="I21" s="288">
        <v>44.25</v>
      </c>
      <c r="J21" s="288">
        <v>75.48</v>
      </c>
      <c r="K21" s="29">
        <f>K22*K18</f>
        <v>420.8900266666667</v>
      </c>
      <c r="L21" s="29">
        <f t="shared" ref="L21:O21" ca="1" si="6">L22*L18</f>
        <v>295.05517999999995</v>
      </c>
      <c r="M21" s="29">
        <f t="shared" ca="1" si="6"/>
        <v>335.88633329999999</v>
      </c>
      <c r="N21" s="29">
        <f t="shared" ca="1" si="6"/>
        <v>364.97918351999999</v>
      </c>
      <c r="O21" s="29">
        <f t="shared" ca="1" si="6"/>
        <v>386.57723717759995</v>
      </c>
    </row>
    <row r="22" spans="3:15" hidden="1" outlineLevel="1" x14ac:dyDescent="0.25">
      <c r="C22" s="1" t="s">
        <v>166</v>
      </c>
      <c r="G22" s="33">
        <f>G21/G18</f>
        <v>0.31650071123755336</v>
      </c>
      <c r="H22" s="33">
        <f t="shared" ref="H22:J22" si="7">H21/H18</f>
        <v>0.22031516611462412</v>
      </c>
      <c r="I22" s="33">
        <f t="shared" si="7"/>
        <v>6.1117940359939782E-2</v>
      </c>
      <c r="J22" s="33">
        <f t="shared" si="7"/>
        <v>9.6440344466307212E-2</v>
      </c>
      <c r="K22" s="295">
        <v>7.0000000000000007E-2</v>
      </c>
      <c r="L22" s="295">
        <v>0.15</v>
      </c>
      <c r="M22" s="295">
        <v>0.15</v>
      </c>
      <c r="N22" s="295">
        <v>0.15</v>
      </c>
      <c r="O22" s="295">
        <v>0.15</v>
      </c>
    </row>
    <row r="23" spans="3:15" hidden="1" outlineLevel="1" x14ac:dyDescent="0.25"/>
    <row r="24" spans="3:15" hidden="1" outlineLevel="1" x14ac:dyDescent="0.25">
      <c r="C24" s="35" t="s">
        <v>19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3:15" hidden="1" outlineLevel="1" x14ac:dyDescent="0.25">
      <c r="C25" s="1" t="s">
        <v>169</v>
      </c>
      <c r="G25" s="47"/>
      <c r="H25" s="47"/>
      <c r="I25" s="47"/>
      <c r="J25" s="47"/>
      <c r="K25" s="296">
        <f>J28</f>
        <v>570.54999999999995</v>
      </c>
      <c r="L25" s="29">
        <f t="shared" ref="L25:O25" si="8">K28</f>
        <v>1712.9657866666666</v>
      </c>
      <c r="M25" s="29">
        <f t="shared" ca="1" si="8"/>
        <v>2067.0320026666664</v>
      </c>
      <c r="N25" s="29">
        <f t="shared" ca="1" si="8"/>
        <v>2470.0956026266663</v>
      </c>
      <c r="O25" s="29">
        <f t="shared" ca="1" si="8"/>
        <v>2908.0706228506665</v>
      </c>
    </row>
    <row r="26" spans="3:15" hidden="1" outlineLevel="1" x14ac:dyDescent="0.25">
      <c r="C26" s="1" t="s">
        <v>167</v>
      </c>
      <c r="G26" s="47"/>
      <c r="H26" s="47"/>
      <c r="I26" s="47"/>
      <c r="J26" s="47"/>
      <c r="K26" s="29">
        <f>K18*20%</f>
        <v>1202.5429333333334</v>
      </c>
      <c r="L26" s="29">
        <f t="shared" ref="L26:O26" ca="1" si="9">L18*20%</f>
        <v>393.40690666666666</v>
      </c>
      <c r="M26" s="29">
        <f t="shared" ca="1" si="9"/>
        <v>447.84844440000001</v>
      </c>
      <c r="N26" s="29">
        <f t="shared" ca="1" si="9"/>
        <v>486.63891136000007</v>
      </c>
      <c r="O26" s="29">
        <f t="shared" ca="1" si="9"/>
        <v>515.43631623679994</v>
      </c>
    </row>
    <row r="27" spans="3:15" hidden="1" outlineLevel="1" x14ac:dyDescent="0.25">
      <c r="C27" s="1" t="s">
        <v>210</v>
      </c>
      <c r="G27" s="47"/>
      <c r="H27" s="47"/>
      <c r="I27" s="47"/>
      <c r="J27" s="47"/>
      <c r="K27" s="29">
        <f>-K30</f>
        <v>-60.127146666666668</v>
      </c>
      <c r="L27" s="29">
        <f t="shared" ref="L27:O27" ca="1" si="10">-L30</f>
        <v>-39.340690666666667</v>
      </c>
      <c r="M27" s="29">
        <f t="shared" ca="1" si="10"/>
        <v>-44.784844440000001</v>
      </c>
      <c r="N27" s="29">
        <f t="shared" ca="1" si="10"/>
        <v>-48.663891136000004</v>
      </c>
      <c r="O27" s="29">
        <f t="shared" ca="1" si="10"/>
        <v>-51.543631623679993</v>
      </c>
    </row>
    <row r="28" spans="3:15" hidden="1" outlineLevel="1" x14ac:dyDescent="0.25">
      <c r="C28" s="44" t="s">
        <v>168</v>
      </c>
      <c r="D28" s="44"/>
      <c r="E28" s="44"/>
      <c r="F28" s="44"/>
      <c r="G28" s="300">
        <f>Financials!G59</f>
        <v>0.87</v>
      </c>
      <c r="H28" s="300">
        <f>Financials!H59</f>
        <v>36.32</v>
      </c>
      <c r="I28" s="300">
        <f>Financials!I59</f>
        <v>307.19</v>
      </c>
      <c r="J28" s="300">
        <f>Financials!J59</f>
        <v>570.54999999999995</v>
      </c>
      <c r="K28" s="46">
        <f>K25+K26+K27</f>
        <v>1712.9657866666666</v>
      </c>
      <c r="L28" s="46">
        <f t="shared" ref="L28:O28" ca="1" si="11">L25+L26+L27</f>
        <v>2067.0320026666664</v>
      </c>
      <c r="M28" s="46">
        <f t="shared" ca="1" si="11"/>
        <v>2470.0956026266663</v>
      </c>
      <c r="N28" s="46">
        <f t="shared" ca="1" si="11"/>
        <v>2908.0706228506665</v>
      </c>
      <c r="O28" s="46">
        <f t="shared" ca="1" si="11"/>
        <v>3371.9633074637864</v>
      </c>
    </row>
    <row r="29" spans="3:15" hidden="1" outlineLevel="1" x14ac:dyDescent="0.25">
      <c r="G29" s="29"/>
      <c r="H29" s="29"/>
      <c r="I29" s="29"/>
      <c r="J29" s="29"/>
      <c r="K29" s="29"/>
      <c r="L29" s="29"/>
      <c r="M29" s="29"/>
      <c r="N29" s="29"/>
      <c r="O29" s="29"/>
    </row>
    <row r="30" spans="3:15" hidden="1" outlineLevel="1" x14ac:dyDescent="0.25">
      <c r="C30" s="1" t="s">
        <v>209</v>
      </c>
      <c r="G30" s="47"/>
      <c r="H30" s="47"/>
      <c r="I30" s="47"/>
      <c r="J30" s="47"/>
      <c r="K30" s="29">
        <f>K31*K18</f>
        <v>60.127146666666668</v>
      </c>
      <c r="L30" s="29">
        <f t="shared" ref="L30:O30" ca="1" si="12">L31*L18</f>
        <v>39.340690666666667</v>
      </c>
      <c r="M30" s="29">
        <f t="shared" ca="1" si="12"/>
        <v>44.784844440000001</v>
      </c>
      <c r="N30" s="29">
        <f t="shared" ca="1" si="12"/>
        <v>48.663891136000004</v>
      </c>
      <c r="O30" s="29">
        <f t="shared" ca="1" si="12"/>
        <v>51.543631623679993</v>
      </c>
    </row>
    <row r="31" spans="3:15" hidden="1" outlineLevel="1" x14ac:dyDescent="0.25">
      <c r="C31" s="1" t="s">
        <v>166</v>
      </c>
      <c r="G31" s="41"/>
      <c r="H31" s="41"/>
      <c r="I31" s="41"/>
      <c r="J31" s="41"/>
      <c r="K31" s="295">
        <v>0.01</v>
      </c>
      <c r="L31" s="295">
        <v>0.02</v>
      </c>
      <c r="M31" s="295">
        <v>0.02</v>
      </c>
      <c r="N31" s="295">
        <v>0.02</v>
      </c>
      <c r="O31" s="295">
        <v>0.02</v>
      </c>
    </row>
    <row r="32" spans="3:15" collapsed="1" x14ac:dyDescent="0.25"/>
    <row r="34" spans="2:17" x14ac:dyDescent="0.25">
      <c r="B34" s="51" t="s">
        <v>94</v>
      </c>
      <c r="C34" s="16" t="s">
        <v>177</v>
      </c>
      <c r="D34" s="20"/>
      <c r="E34" s="20"/>
      <c r="F34" s="20"/>
      <c r="G34" s="27">
        <v>44651</v>
      </c>
      <c r="H34" s="27">
        <f>EOMONTH(G34,12)</f>
        <v>45016</v>
      </c>
      <c r="I34" s="27">
        <f t="shared" ref="I34:O34" si="13">EOMONTH(H34,12)</f>
        <v>45382</v>
      </c>
      <c r="J34" s="27">
        <f t="shared" si="13"/>
        <v>45747</v>
      </c>
      <c r="K34" s="28">
        <f t="shared" si="13"/>
        <v>46112</v>
      </c>
      <c r="L34" s="28">
        <f t="shared" si="13"/>
        <v>46477</v>
      </c>
      <c r="M34" s="28">
        <f t="shared" si="13"/>
        <v>46843</v>
      </c>
      <c r="N34" s="28">
        <f t="shared" si="13"/>
        <v>47208</v>
      </c>
      <c r="O34" s="28">
        <f t="shared" si="13"/>
        <v>47573</v>
      </c>
    </row>
    <row r="36" spans="2:17" hidden="1" outlineLevel="1" x14ac:dyDescent="0.25">
      <c r="C36" s="1" t="s">
        <v>13</v>
      </c>
      <c r="G36" s="296">
        <f>Financials!G63</f>
        <v>166.84</v>
      </c>
      <c r="H36" s="296">
        <f>Financials!H63</f>
        <v>269.75</v>
      </c>
      <c r="I36" s="296">
        <f>Financials!I63</f>
        <v>231.09</v>
      </c>
      <c r="J36" s="296">
        <f>Financials!J63</f>
        <v>431.76</v>
      </c>
      <c r="K36" s="29">
        <f>K41*Financials!K19/days</f>
        <v>958.28855172739623</v>
      </c>
      <c r="L36" s="29">
        <f ca="1">L41*Financials!L19/days</f>
        <v>1254.0004165478053</v>
      </c>
      <c r="M36" s="29">
        <f ca="1">M41*Financials!M19/days</f>
        <v>1586.1500206726491</v>
      </c>
      <c r="N36" s="29">
        <f ca="1">N41*Financials!N19/days</f>
        <v>1938.9764999438323</v>
      </c>
      <c r="O36" s="29">
        <f ca="1">O41*Financials!O19/days</f>
        <v>2347.1058457056365</v>
      </c>
      <c r="P36" s="29"/>
      <c r="Q36" s="29"/>
    </row>
    <row r="37" spans="2:17" hidden="1" outlineLevel="1" x14ac:dyDescent="0.25">
      <c r="C37" s="49" t="s">
        <v>14</v>
      </c>
      <c r="G37" s="296">
        <f>Financials!G66</f>
        <v>23.736699999999999</v>
      </c>
      <c r="H37" s="296">
        <f>Financials!H66</f>
        <v>24.51</v>
      </c>
      <c r="I37" s="296">
        <f>Financials!I66</f>
        <v>79.91</v>
      </c>
      <c r="J37" s="296">
        <f>Financials!J66</f>
        <v>171.42</v>
      </c>
      <c r="K37" s="29">
        <f>K42*Financials!K30/days</f>
        <v>383.70630396924236</v>
      </c>
      <c r="L37" s="29">
        <f ca="1">L42*Financials!L30/days</f>
        <v>503.55264875731359</v>
      </c>
      <c r="M37" s="29">
        <f ca="1">M42*Financials!M30/days</f>
        <v>644.59777041799123</v>
      </c>
      <c r="N37" s="29">
        <f ca="1">N42*Financials!N30/days</f>
        <v>839.35139438505621</v>
      </c>
      <c r="O37" s="29">
        <f ca="1">O42*Financials!O30/days</f>
        <v>1028.0582444439283</v>
      </c>
      <c r="P37" s="29"/>
      <c r="Q37" s="29"/>
    </row>
    <row r="38" spans="2:17" hidden="1" outlineLevel="1" x14ac:dyDescent="0.25">
      <c r="G38" s="296"/>
      <c r="H38" s="296"/>
      <c r="I38" s="296"/>
      <c r="J38" s="296"/>
      <c r="K38" s="29"/>
      <c r="L38" s="29"/>
      <c r="M38" s="29"/>
      <c r="N38" s="29"/>
      <c r="O38" s="29"/>
      <c r="P38" s="29"/>
      <c r="Q38" s="29"/>
    </row>
    <row r="39" spans="2:17" hidden="1" outlineLevel="1" x14ac:dyDescent="0.25">
      <c r="C39" s="1" t="s">
        <v>9</v>
      </c>
      <c r="G39" s="296">
        <f>Financials!G91</f>
        <v>15.18</v>
      </c>
      <c r="H39" s="296">
        <f>Financials!H91</f>
        <v>74.53</v>
      </c>
      <c r="I39" s="296">
        <f>Financials!I91</f>
        <v>395.08000000000004</v>
      </c>
      <c r="J39" s="296">
        <f>Financials!J91</f>
        <v>36.28</v>
      </c>
      <c r="K39" s="29">
        <f>K43*Financials!K30/days</f>
        <v>81.209104585253257</v>
      </c>
      <c r="L39" s="29">
        <f ca="1">L43*Financials!L30/days</f>
        <v>106.57385425805238</v>
      </c>
      <c r="M39" s="29">
        <f ca="1">M43*Financials!M30/days</f>
        <v>136.42519607259786</v>
      </c>
      <c r="N39" s="29">
        <f ca="1">N43*Financials!N30/days</f>
        <v>177.64361561247136</v>
      </c>
      <c r="O39" s="29">
        <f ca="1">O43*Financials!O30/days</f>
        <v>217.5822722460957</v>
      </c>
      <c r="P39" s="29"/>
      <c r="Q39" s="29"/>
    </row>
    <row r="40" spans="2:17" hidden="1" outlineLevel="1" x14ac:dyDescent="0.25">
      <c r="G40" s="297"/>
      <c r="H40" s="297"/>
      <c r="I40" s="297"/>
      <c r="J40" s="297"/>
      <c r="L40" s="29"/>
      <c r="M40" s="29"/>
      <c r="N40" s="29"/>
      <c r="O40" s="29"/>
      <c r="P40" s="29"/>
      <c r="Q40" s="29"/>
    </row>
    <row r="41" spans="2:17" hidden="1" outlineLevel="1" x14ac:dyDescent="0.25">
      <c r="C41" s="1" t="s">
        <v>13</v>
      </c>
      <c r="G41" s="298">
        <f>G36*days/Financials!G19</f>
        <v>83.735441732554136</v>
      </c>
      <c r="H41" s="298">
        <f>H36*days/Financials!H19</f>
        <v>28.400715940197937</v>
      </c>
      <c r="I41" s="298">
        <f>I36*days/Financials!I19</f>
        <v>12.829350835031789</v>
      </c>
      <c r="J41" s="298">
        <f>J36*days/Financials!J19</f>
        <v>23.269045066754074</v>
      </c>
      <c r="K41" s="50">
        <f>J41</f>
        <v>23.269045066754074</v>
      </c>
      <c r="L41" s="50">
        <f t="shared" ref="L41:O41" si="14">K41</f>
        <v>23.269045066754074</v>
      </c>
      <c r="M41" s="50">
        <f t="shared" si="14"/>
        <v>23.269045066754074</v>
      </c>
      <c r="N41" s="50">
        <f t="shared" si="14"/>
        <v>23.269045066754074</v>
      </c>
      <c r="O41" s="50">
        <f t="shared" si="14"/>
        <v>23.269045066754074</v>
      </c>
      <c r="P41" s="50"/>
      <c r="Q41" s="50"/>
    </row>
    <row r="42" spans="2:17" hidden="1" outlineLevel="1" x14ac:dyDescent="0.25">
      <c r="C42" s="1" t="s">
        <v>14</v>
      </c>
      <c r="G42" s="298">
        <f>G37*days/Financials!G$30</f>
        <v>14.732511733097537</v>
      </c>
      <c r="H42" s="298">
        <f>H37*days/Financials!H$30</f>
        <v>3.350555233048071</v>
      </c>
      <c r="I42" s="298">
        <f>I37*days/Financials!I$30</f>
        <v>6.0162518615693701</v>
      </c>
      <c r="J42" s="298">
        <f>J37*days/Financials!J$30</f>
        <v>12.830548896649448</v>
      </c>
      <c r="K42" s="50">
        <f t="shared" ref="K42:O43" si="15">J42</f>
        <v>12.830548896649448</v>
      </c>
      <c r="L42" s="50">
        <f t="shared" si="15"/>
        <v>12.830548896649448</v>
      </c>
      <c r="M42" s="50">
        <f t="shared" si="15"/>
        <v>12.830548896649448</v>
      </c>
      <c r="N42" s="50">
        <f t="shared" si="15"/>
        <v>12.830548896649448</v>
      </c>
      <c r="O42" s="50">
        <f t="shared" si="15"/>
        <v>12.830548896649448</v>
      </c>
      <c r="P42" s="50"/>
      <c r="Q42" s="50"/>
    </row>
    <row r="43" spans="2:17" hidden="1" outlineLevel="1" x14ac:dyDescent="0.25">
      <c r="C43" s="1" t="s">
        <v>9</v>
      </c>
      <c r="G43" s="298">
        <f>G39*days/Financials!G$30</f>
        <v>9.4216773228132222</v>
      </c>
      <c r="H43" s="298">
        <f>H39*days/Financials!H$30</f>
        <v>10.188367259040094</v>
      </c>
      <c r="I43" s="298">
        <f>I39*days/Financials!I$30</f>
        <v>29.744722631320574</v>
      </c>
      <c r="J43" s="298">
        <f>J39*days/Financials!J$30</f>
        <v>2.7155076068745889</v>
      </c>
      <c r="K43" s="50">
        <f t="shared" si="15"/>
        <v>2.7155076068745889</v>
      </c>
      <c r="L43" s="50">
        <f t="shared" si="15"/>
        <v>2.7155076068745889</v>
      </c>
      <c r="M43" s="50">
        <f t="shared" si="15"/>
        <v>2.7155076068745889</v>
      </c>
      <c r="N43" s="50">
        <f t="shared" si="15"/>
        <v>2.7155076068745889</v>
      </c>
      <c r="O43" s="50">
        <f t="shared" si="15"/>
        <v>2.7155076068745889</v>
      </c>
      <c r="P43" s="50"/>
      <c r="Q43" s="50"/>
    </row>
    <row r="44" spans="2:17" hidden="1" outlineLevel="1" x14ac:dyDescent="0.25">
      <c r="G44" s="297"/>
      <c r="H44" s="297"/>
      <c r="I44" s="297"/>
      <c r="J44" s="297"/>
    </row>
    <row r="45" spans="2:17" hidden="1" outlineLevel="1" x14ac:dyDescent="0.25">
      <c r="C45" s="1" t="s">
        <v>119</v>
      </c>
      <c r="G45" s="296">
        <f>Financials!G70</f>
        <v>96.49</v>
      </c>
      <c r="H45" s="296">
        <f>Financials!H70</f>
        <v>326.14</v>
      </c>
      <c r="I45" s="296">
        <f>Financials!I70</f>
        <v>498.76</v>
      </c>
      <c r="J45" s="296">
        <f>Financials!J70</f>
        <v>1351.85</v>
      </c>
      <c r="K45" s="29">
        <f>K46*Financials!K$19</f>
        <v>1887.318840295316</v>
      </c>
      <c r="L45" s="29">
        <f ca="1">L46*Financials!L$19</f>
        <v>2434.6874383533464</v>
      </c>
      <c r="M45" s="29">
        <f ca="1">M46*Financials!M$19</f>
        <v>3264.2959613965268</v>
      </c>
      <c r="N45" s="29">
        <f ca="1">N46*Financials!N$19</f>
        <v>4411.1841264200038</v>
      </c>
      <c r="O45" s="29">
        <f ca="1">O46*Financials!O$19</f>
        <v>4837.3913673179859</v>
      </c>
    </row>
    <row r="46" spans="2:17" hidden="1" outlineLevel="1" x14ac:dyDescent="0.25">
      <c r="C46" s="1" t="s">
        <v>164</v>
      </c>
      <c r="G46" s="299">
        <f>G45/Financials!G$19</f>
        <v>0.13267789618425574</v>
      </c>
      <c r="H46" s="299">
        <f>H45/Financials!H$19</f>
        <v>9.4076041964133758E-2</v>
      </c>
      <c r="I46" s="299">
        <f>I45/Financials!I$19</f>
        <v>7.5861649377908916E-2</v>
      </c>
      <c r="J46" s="299">
        <f>J45/Financials!J$19</f>
        <v>0.19960517495444891</v>
      </c>
      <c r="K46" s="38">
        <f>AVERAGE(G46:J46)</f>
        <v>0.12555519062018683</v>
      </c>
      <c r="L46" s="38">
        <f t="shared" ref="L46:O46" si="16">AVERAGE(H46:K46)</f>
        <v>0.1237745142291696</v>
      </c>
      <c r="M46" s="38">
        <f t="shared" si="16"/>
        <v>0.13119913229542857</v>
      </c>
      <c r="N46" s="38">
        <f t="shared" si="16"/>
        <v>0.14503350302480847</v>
      </c>
      <c r="O46" s="38">
        <f t="shared" si="16"/>
        <v>0.13139058504239837</v>
      </c>
    </row>
    <row r="47" spans="2:17" hidden="1" outlineLevel="1" x14ac:dyDescent="0.25">
      <c r="G47" s="297"/>
      <c r="H47" s="297"/>
      <c r="I47" s="297"/>
      <c r="J47" s="297"/>
    </row>
    <row r="48" spans="2:17" hidden="1" outlineLevel="1" x14ac:dyDescent="0.25">
      <c r="C48" s="1" t="s">
        <v>10</v>
      </c>
      <c r="G48" s="296">
        <f>Financials!G93</f>
        <v>14.42</v>
      </c>
      <c r="H48" s="296">
        <f>Financials!H93</f>
        <v>383.49</v>
      </c>
      <c r="I48" s="296">
        <f>Financials!I93</f>
        <v>308.39</v>
      </c>
      <c r="J48" s="296">
        <f>Financials!J93</f>
        <v>1334.43</v>
      </c>
      <c r="K48" s="29">
        <f>K49*Financials!K$19</f>
        <v>1406.9236243683997</v>
      </c>
      <c r="L48" s="29">
        <f ca="1">L49*Financials!L$19</f>
        <v>2203.8394977905109</v>
      </c>
      <c r="M48" s="29">
        <f ca="1">M49*Financials!M$19</f>
        <v>2796.4065820060077</v>
      </c>
      <c r="N48" s="29">
        <f ca="1">N49*Financials!N$19</f>
        <v>3916.3934853070377</v>
      </c>
      <c r="O48" s="29">
        <f ca="1">O49*Financials!O$19</f>
        <v>4112.3936890044633</v>
      </c>
      <c r="P48" s="29"/>
    </row>
    <row r="49" spans="2:16" hidden="1" outlineLevel="1" x14ac:dyDescent="0.25">
      <c r="C49" s="1" t="s">
        <v>164</v>
      </c>
      <c r="G49" s="299">
        <f>G48/Financials!G$19</f>
        <v>1.9828119628738396E-2</v>
      </c>
      <c r="H49" s="299">
        <f>H48/Financials!H$19</f>
        <v>0.11061881809292223</v>
      </c>
      <c r="I49" s="299">
        <f>I48/Financials!I$19</f>
        <v>4.690627566696072E-2</v>
      </c>
      <c r="J49" s="299">
        <f>J48/Financials!J$19</f>
        <v>0.19703305367789717</v>
      </c>
      <c r="K49" s="38">
        <f>AVERAGE(G49:J49)</f>
        <v>9.3596566766629641E-2</v>
      </c>
      <c r="L49" s="38">
        <f t="shared" ref="L49" si="17">AVERAGE(H49:K49)</f>
        <v>0.11203867855110244</v>
      </c>
      <c r="M49" s="38">
        <f t="shared" ref="M49" si="18">AVERAGE(I49:L49)</f>
        <v>0.1123936436656475</v>
      </c>
      <c r="N49" s="38">
        <f t="shared" ref="N49" si="19">AVERAGE(J49:M49)</f>
        <v>0.12876548566531917</v>
      </c>
      <c r="O49" s="38">
        <f t="shared" ref="O49" si="20">AVERAGE(K49:N49)</f>
        <v>0.11169859366217469</v>
      </c>
    </row>
    <row r="50" spans="2:16" hidden="1" outlineLevel="1" x14ac:dyDescent="0.25">
      <c r="G50" s="297"/>
      <c r="H50" s="297"/>
      <c r="I50" s="297"/>
      <c r="J50" s="297"/>
    </row>
    <row r="51" spans="2:16" hidden="1" outlineLevel="1" x14ac:dyDescent="0.25">
      <c r="C51" s="1" t="s">
        <v>122</v>
      </c>
      <c r="G51" s="296">
        <f>Financials!G84</f>
        <v>161.43</v>
      </c>
      <c r="H51" s="296">
        <f>Financials!H84</f>
        <v>0</v>
      </c>
      <c r="I51" s="296">
        <f>Financials!I84</f>
        <v>86.4</v>
      </c>
      <c r="J51" s="296">
        <f>Financials!J84</f>
        <v>75.72</v>
      </c>
      <c r="K51" s="29">
        <f>K52*Financials!K$19</f>
        <v>165.34965333333329</v>
      </c>
      <c r="L51" s="29">
        <f ca="1">L52*Financials!L$19</f>
        <v>216.37379866666663</v>
      </c>
      <c r="M51" s="29">
        <f ca="1">M52*Financials!M$19</f>
        <v>273.68516046666662</v>
      </c>
      <c r="N51" s="29">
        <f ca="1">N52*Financials!N$19</f>
        <v>334.56425155999995</v>
      </c>
      <c r="O51" s="29">
        <f ca="1">O52*Financials!O$19</f>
        <v>404.98567704319993</v>
      </c>
    </row>
    <row r="52" spans="2:16" hidden="1" outlineLevel="1" x14ac:dyDescent="0.25">
      <c r="C52" s="1" t="s">
        <v>164</v>
      </c>
      <c r="G52" s="299">
        <f>G51/Financials!G$19</f>
        <v>0.22197318666208321</v>
      </c>
      <c r="H52" s="299">
        <f>H51/Financials!H$19</f>
        <v>0</v>
      </c>
      <c r="I52" s="299">
        <f>I51/Financials!I$19</f>
        <v>1.3141483892556202E-2</v>
      </c>
      <c r="J52" s="299">
        <f>J51/Financials!J$19</f>
        <v>1.1180311312313401E-2</v>
      </c>
      <c r="K52" s="295">
        <v>1.0999999999999999E-2</v>
      </c>
      <c r="L52" s="295">
        <v>1.0999999999999999E-2</v>
      </c>
      <c r="M52" s="295">
        <v>1.0999999999999999E-2</v>
      </c>
      <c r="N52" s="295">
        <v>1.0999999999999999E-2</v>
      </c>
      <c r="O52" s="295">
        <v>1.0999999999999999E-2</v>
      </c>
      <c r="P52" s="38"/>
    </row>
    <row r="53" spans="2:16" collapsed="1" x14ac:dyDescent="0.25"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5" spans="2:16" x14ac:dyDescent="0.25">
      <c r="B55" s="51" t="s">
        <v>94</v>
      </c>
      <c r="C55" s="16" t="s">
        <v>176</v>
      </c>
      <c r="D55" s="20"/>
      <c r="E55" s="20"/>
      <c r="F55" s="20"/>
      <c r="G55" s="27">
        <v>44651</v>
      </c>
      <c r="H55" s="27">
        <f>EOMONTH(G55,12)</f>
        <v>45016</v>
      </c>
      <c r="I55" s="27">
        <f t="shared" ref="I55:O55" si="21">EOMONTH(H55,12)</f>
        <v>45382</v>
      </c>
      <c r="J55" s="27">
        <f t="shared" si="21"/>
        <v>45747</v>
      </c>
      <c r="K55" s="28">
        <f t="shared" si="21"/>
        <v>46112</v>
      </c>
      <c r="L55" s="28">
        <f t="shared" si="21"/>
        <v>46477</v>
      </c>
      <c r="M55" s="28">
        <f t="shared" si="21"/>
        <v>46843</v>
      </c>
      <c r="N55" s="28">
        <f t="shared" si="21"/>
        <v>47208</v>
      </c>
      <c r="O55" s="28">
        <f t="shared" si="21"/>
        <v>47573</v>
      </c>
    </row>
    <row r="56" spans="2:16" hidden="1" outlineLevel="1" x14ac:dyDescent="0.25"/>
    <row r="57" spans="2:16" hidden="1" outlineLevel="1" x14ac:dyDescent="0.25">
      <c r="C57" s="1" t="s">
        <v>179</v>
      </c>
      <c r="G57" s="41"/>
      <c r="H57" s="41"/>
      <c r="I57" s="41"/>
      <c r="J57" s="41"/>
      <c r="K57" s="296">
        <f>Financials!J81</f>
        <v>753.91</v>
      </c>
      <c r="L57" s="29">
        <f>K60</f>
        <v>5337.7370000000001</v>
      </c>
      <c r="M57" s="29">
        <f t="shared" ref="M57:O57" si="22">L60</f>
        <v>6096.4159</v>
      </c>
      <c r="N57" s="29">
        <f t="shared" si="22"/>
        <v>7252.4911300000003</v>
      </c>
      <c r="O57" s="29">
        <f t="shared" si="22"/>
        <v>8726.7437910000008</v>
      </c>
    </row>
    <row r="58" spans="2:16" hidden="1" outlineLevel="1" x14ac:dyDescent="0.25">
      <c r="C58" s="1" t="s">
        <v>180</v>
      </c>
      <c r="G58" s="41"/>
      <c r="H58" s="41"/>
      <c r="I58" s="41"/>
      <c r="J58" s="41"/>
      <c r="K58" s="288">
        <v>4810</v>
      </c>
      <c r="L58" s="288">
        <v>2360</v>
      </c>
      <c r="M58" s="288">
        <v>2985</v>
      </c>
      <c r="N58" s="288">
        <v>3650</v>
      </c>
      <c r="O58" s="288">
        <v>4420</v>
      </c>
      <c r="P58" s="52" t="s">
        <v>184</v>
      </c>
    </row>
    <row r="59" spans="2:16" hidden="1" outlineLevel="1" x14ac:dyDescent="0.25">
      <c r="C59" s="1" t="s">
        <v>181</v>
      </c>
      <c r="G59" s="41"/>
      <c r="H59" s="41"/>
      <c r="I59" s="41"/>
      <c r="J59" s="41"/>
      <c r="K59" s="29">
        <f>-K57*30%</f>
        <v>-226.17299999999997</v>
      </c>
      <c r="L59" s="29">
        <f>-L57*30%</f>
        <v>-1601.3210999999999</v>
      </c>
      <c r="M59" s="29">
        <f>-M57*30%</f>
        <v>-1828.9247699999999</v>
      </c>
      <c r="N59" s="29">
        <f t="shared" ref="N59:O59" si="23">-N57*30%</f>
        <v>-2175.747339</v>
      </c>
      <c r="O59" s="29">
        <f t="shared" si="23"/>
        <v>-2618.0231373000001</v>
      </c>
    </row>
    <row r="60" spans="2:16" hidden="1" outlineLevel="1" x14ac:dyDescent="0.25">
      <c r="C60" s="44" t="s">
        <v>182</v>
      </c>
      <c r="D60" s="44"/>
      <c r="E60" s="44"/>
      <c r="F60" s="44"/>
      <c r="G60" s="44"/>
      <c r="H60" s="44"/>
      <c r="I60" s="44"/>
      <c r="J60" s="44"/>
      <c r="K60" s="46">
        <f>SUM(K57:K59)</f>
        <v>5337.7370000000001</v>
      </c>
      <c r="L60" s="46">
        <f t="shared" ref="L60:O60" si="24">SUM(L57:L59)</f>
        <v>6096.4159</v>
      </c>
      <c r="M60" s="46">
        <f t="shared" si="24"/>
        <v>7252.4911300000003</v>
      </c>
      <c r="N60" s="46">
        <f t="shared" si="24"/>
        <v>8726.7437910000008</v>
      </c>
      <c r="O60" s="46">
        <f t="shared" si="24"/>
        <v>10528.7206537</v>
      </c>
    </row>
    <row r="61" spans="2:16" hidden="1" outlineLevel="1" x14ac:dyDescent="0.25">
      <c r="C61" s="18"/>
      <c r="D61" s="18"/>
      <c r="E61" s="18"/>
      <c r="F61" s="18"/>
      <c r="G61" s="18"/>
      <c r="H61" s="18"/>
      <c r="I61" s="18"/>
      <c r="J61" s="18"/>
      <c r="K61" s="30"/>
      <c r="L61" s="30"/>
      <c r="M61" s="30"/>
      <c r="N61" s="30"/>
      <c r="O61" s="30"/>
    </row>
    <row r="62" spans="2:16" hidden="1" outlineLevel="1" x14ac:dyDescent="0.25">
      <c r="C62" s="1" t="s">
        <v>183</v>
      </c>
      <c r="K62" s="301">
        <v>8.5000000000000006E-2</v>
      </c>
      <c r="L62" s="301">
        <v>8.2500000000000004E-2</v>
      </c>
      <c r="M62" s="301">
        <v>8.1500000000000003E-2</v>
      </c>
      <c r="N62" s="301">
        <v>8.0500000000000002E-2</v>
      </c>
      <c r="O62" s="301">
        <v>7.7499999999999999E-2</v>
      </c>
    </row>
    <row r="63" spans="2:16" hidden="1" outlineLevel="1" x14ac:dyDescent="0.25">
      <c r="C63" s="1" t="s">
        <v>2</v>
      </c>
      <c r="K63" s="29">
        <f>AVERAGE(K57,K60)*K62</f>
        <v>258.89499749999999</v>
      </c>
      <c r="L63" s="29">
        <f t="shared" ref="L63:O63" si="25">AVERAGE(L57,L60)*L62</f>
        <v>471.65880712500007</v>
      </c>
      <c r="M63" s="29">
        <f t="shared" si="25"/>
        <v>543.96796147250006</v>
      </c>
      <c r="N63" s="29">
        <f t="shared" si="25"/>
        <v>643.16420557025003</v>
      </c>
      <c r="O63" s="29">
        <f t="shared" si="25"/>
        <v>746.14924723212505</v>
      </c>
    </row>
    <row r="64" spans="2:16" collapsed="1" x14ac:dyDescent="0.25"/>
    <row r="67" spans="2:15" x14ac:dyDescent="0.25">
      <c r="B67" s="51" t="s">
        <v>94</v>
      </c>
      <c r="C67" s="16" t="s">
        <v>189</v>
      </c>
      <c r="D67" s="20"/>
      <c r="E67" s="20"/>
      <c r="F67" s="20"/>
      <c r="G67" s="27">
        <v>44651</v>
      </c>
      <c r="H67" s="27">
        <f>EOMONTH(G67,12)</f>
        <v>45016</v>
      </c>
      <c r="I67" s="27">
        <f t="shared" ref="I67:O67" si="26">EOMONTH(H67,12)</f>
        <v>45382</v>
      </c>
      <c r="J67" s="27">
        <f t="shared" si="26"/>
        <v>45747</v>
      </c>
      <c r="K67" s="28">
        <f t="shared" si="26"/>
        <v>46112</v>
      </c>
      <c r="L67" s="28">
        <f t="shared" si="26"/>
        <v>46477</v>
      </c>
      <c r="M67" s="28">
        <f t="shared" si="26"/>
        <v>46843</v>
      </c>
      <c r="N67" s="28">
        <f t="shared" si="26"/>
        <v>47208</v>
      </c>
      <c r="O67" s="28">
        <f t="shared" si="26"/>
        <v>47573</v>
      </c>
    </row>
    <row r="68" spans="2:15" hidden="1" outlineLevel="1" x14ac:dyDescent="0.25"/>
    <row r="69" spans="2:15" hidden="1" outlineLevel="1" x14ac:dyDescent="0.25">
      <c r="C69" s="1" t="s">
        <v>190</v>
      </c>
      <c r="G69" s="41"/>
      <c r="H69" s="41"/>
      <c r="I69" s="41"/>
      <c r="J69" s="41"/>
      <c r="K69" s="296">
        <f>Financials!J76</f>
        <v>6350.76</v>
      </c>
      <c r="L69" s="29">
        <f>K73</f>
        <v>9371.9011902499988</v>
      </c>
      <c r="M69" s="29">
        <f t="shared" ref="M69:O69" ca="1" si="27">L73</f>
        <v>13295.837394637498</v>
      </c>
      <c r="N69" s="29">
        <f t="shared" ca="1" si="27"/>
        <v>18023.339748306251</v>
      </c>
      <c r="O69" s="29">
        <f t="shared" ca="1" si="27"/>
        <v>22374.040589694629</v>
      </c>
    </row>
    <row r="70" spans="2:15" hidden="1" outlineLevel="1" x14ac:dyDescent="0.25">
      <c r="C70" s="1" t="s">
        <v>191</v>
      </c>
      <c r="G70" s="41"/>
      <c r="H70" s="41"/>
      <c r="I70" s="41"/>
      <c r="J70" s="41"/>
      <c r="K70" s="29">
        <f>Financials!K37</f>
        <v>3156.3997224999985</v>
      </c>
      <c r="L70" s="29">
        <f ca="1">Financials!L37</f>
        <v>4097.6578448749988</v>
      </c>
      <c r="M70" s="29">
        <f ca="1">Financials!M37</f>
        <v>4921.0408045208369</v>
      </c>
      <c r="N70" s="29">
        <f ca="1">Financials!N37</f>
        <v>4428.57961985375</v>
      </c>
      <c r="O70" s="29">
        <f ca="1">Financials!O37</f>
        <v>4829.632767584194</v>
      </c>
    </row>
    <row r="71" spans="2:15" hidden="1" outlineLevel="1" x14ac:dyDescent="0.25">
      <c r="C71" s="1" t="s">
        <v>212</v>
      </c>
      <c r="G71" s="41"/>
      <c r="H71" s="41"/>
      <c r="I71" s="41"/>
      <c r="J71" s="41"/>
      <c r="K71" s="29">
        <f>-Assumptions!K81</f>
        <v>-315.63997224999986</v>
      </c>
      <c r="L71" s="29">
        <f ca="1">-Assumptions!L81</f>
        <v>-409.7657844874999</v>
      </c>
      <c r="M71" s="29">
        <f ca="1">-Assumptions!M81</f>
        <v>-492.10408045208374</v>
      </c>
      <c r="N71" s="29">
        <f ca="1">-Assumptions!N81</f>
        <v>-442.85796198537503</v>
      </c>
      <c r="O71" s="29">
        <f ca="1">-Assumptions!O81</f>
        <v>-482.9632767584194</v>
      </c>
    </row>
    <row r="72" spans="2:15" hidden="1" outlineLevel="1" x14ac:dyDescent="0.25">
      <c r="C72" s="1" t="s">
        <v>211</v>
      </c>
      <c r="G72" s="41"/>
      <c r="H72" s="41"/>
      <c r="I72" s="41"/>
      <c r="J72" s="41"/>
      <c r="K72" s="29">
        <f>Assumptions!K84</f>
        <v>180.38144</v>
      </c>
      <c r="L72" s="29">
        <f ca="1">Assumptions!L84</f>
        <v>236.04414399999999</v>
      </c>
      <c r="M72" s="29">
        <f ca="1">Assumptions!M84</f>
        <v>298.56562959999997</v>
      </c>
      <c r="N72" s="29">
        <f ca="1">Assumptions!N84</f>
        <v>364.97918351999999</v>
      </c>
      <c r="O72" s="29">
        <f ca="1">Assumptions!O84</f>
        <v>441.80255677439993</v>
      </c>
    </row>
    <row r="73" spans="2:15" hidden="1" outlineLevel="1" x14ac:dyDescent="0.25">
      <c r="C73" s="44" t="s">
        <v>192</v>
      </c>
      <c r="D73" s="45"/>
      <c r="E73" s="45"/>
      <c r="F73" s="45"/>
      <c r="G73" s="45"/>
      <c r="H73" s="45"/>
      <c r="I73" s="45"/>
      <c r="J73" s="45"/>
      <c r="K73" s="46">
        <f>SUM(K69:K72)</f>
        <v>9371.9011902499988</v>
      </c>
      <c r="L73" s="46">
        <f t="shared" ref="L73:O73" ca="1" si="28">SUM(L69:L72)</f>
        <v>13295.837394637498</v>
      </c>
      <c r="M73" s="46">
        <f t="shared" ca="1" si="28"/>
        <v>18023.339748306251</v>
      </c>
      <c r="N73" s="46">
        <f t="shared" ca="1" si="28"/>
        <v>22374.040589694629</v>
      </c>
      <c r="O73" s="46">
        <f t="shared" ca="1" si="28"/>
        <v>27162.512637294803</v>
      </c>
    </row>
    <row r="74" spans="2:15" collapsed="1" x14ac:dyDescent="0.25"/>
    <row r="77" spans="2:15" x14ac:dyDescent="0.25">
      <c r="B77" s="51" t="s">
        <v>94</v>
      </c>
      <c r="C77" s="16" t="s">
        <v>193</v>
      </c>
    </row>
  </sheetData>
  <hyperlinks>
    <hyperlink ref="C6" location="Dashboard!A1" display="&lt;-Back to Dashboard" xr:uid="{6AFF948F-F41C-4691-8D6B-BC2FA29C98D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CEFA-2503-431B-A009-E7521F7077DD}">
  <sheetPr>
    <tabColor rgb="FF00144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4001-E327-4541-B4EE-77DAE4817E1C}">
  <dimension ref="B1:Q115"/>
  <sheetViews>
    <sheetView showGridLines="0" tabSelected="1" workbookViewId="0">
      <selection activeCell="B83" sqref="B83"/>
    </sheetView>
  </sheetViews>
  <sheetFormatPr defaultRowHeight="13.2" outlineLevelRow="1" x14ac:dyDescent="0.25"/>
  <cols>
    <col min="1" max="1" width="2.88671875" style="1" customWidth="1"/>
    <col min="2" max="2" width="2.88671875" style="51" customWidth="1"/>
    <col min="3" max="17" width="12.77734375" style="1" customWidth="1"/>
    <col min="18" max="16384" width="8.88671875" style="1"/>
  </cols>
  <sheetData>
    <row r="1" spans="2:17" s="61" customFormat="1" ht="13.8" x14ac:dyDescent="0.25">
      <c r="B1" s="287"/>
    </row>
    <row r="2" spans="2:17" s="61" customFormat="1" ht="13.8" x14ac:dyDescent="0.25">
      <c r="B2" s="287"/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s="61" customFormat="1" ht="13.8" x14ac:dyDescent="0.25">
      <c r="B3" s="287"/>
      <c r="C3" s="16" t="s">
        <v>213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s="61" customFormat="1" ht="13.8" x14ac:dyDescent="0.25">
      <c r="B4" s="287"/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6" spans="2:17" ht="14.4" x14ac:dyDescent="0.3">
      <c r="C6" s="243" t="s">
        <v>379</v>
      </c>
    </row>
    <row r="8" spans="2:17" x14ac:dyDescent="0.25">
      <c r="B8" s="51" t="s">
        <v>94</v>
      </c>
      <c r="C8" s="16" t="s">
        <v>128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10" spans="2:17" x14ac:dyDescent="0.25">
      <c r="C10" s="62" t="s">
        <v>215</v>
      </c>
      <c r="D10" s="63"/>
      <c r="E10" s="63"/>
      <c r="G10" s="62" t="s">
        <v>216</v>
      </c>
      <c r="H10" s="62"/>
      <c r="I10" s="62" t="s">
        <v>217</v>
      </c>
      <c r="K10" s="62" t="s">
        <v>218</v>
      </c>
      <c r="L10" s="62"/>
      <c r="M10" s="62" t="s">
        <v>217</v>
      </c>
      <c r="O10" s="62" t="s">
        <v>219</v>
      </c>
      <c r="P10" s="62"/>
      <c r="Q10" s="62" t="s">
        <v>217</v>
      </c>
    </row>
    <row r="12" spans="2:17" x14ac:dyDescent="0.25">
      <c r="C12" s="18" t="s">
        <v>220</v>
      </c>
      <c r="E12" s="64">
        <f>Dashboard!E14</f>
        <v>1</v>
      </c>
      <c r="G12" s="18" t="s">
        <v>222</v>
      </c>
      <c r="I12" s="85">
        <f>M12+2%</f>
        <v>0.21887820812938247</v>
      </c>
      <c r="K12" s="18" t="s">
        <v>222</v>
      </c>
      <c r="M12" s="83">
        <f>WACC!J13</f>
        <v>0.19887820812938248</v>
      </c>
      <c r="O12" s="18" t="s">
        <v>222</v>
      </c>
      <c r="Q12" s="85">
        <f>M12-2%</f>
        <v>0.17887820812938249</v>
      </c>
    </row>
    <row r="13" spans="2:17" x14ac:dyDescent="0.25">
      <c r="C13" s="18"/>
      <c r="G13" s="18" t="s">
        <v>223</v>
      </c>
      <c r="I13" s="83">
        <v>0.02</v>
      </c>
      <c r="K13" s="18" t="s">
        <v>223</v>
      </c>
      <c r="M13" s="83">
        <v>0.03</v>
      </c>
      <c r="O13" s="18" t="s">
        <v>223</v>
      </c>
      <c r="Q13" s="83">
        <v>0.04</v>
      </c>
    </row>
    <row r="14" spans="2:17" x14ac:dyDescent="0.25">
      <c r="C14" s="18" t="s">
        <v>222</v>
      </c>
      <c r="E14" s="86">
        <f>CHOOSE(E12,M12,I12,Q12)</f>
        <v>0.19887820812938248</v>
      </c>
    </row>
    <row r="15" spans="2:17" x14ac:dyDescent="0.25">
      <c r="C15" s="18" t="s">
        <v>223</v>
      </c>
      <c r="E15" s="86">
        <f>CHOOSE(E12,M13,I13,Q13)</f>
        <v>0.03</v>
      </c>
    </row>
    <row r="17" spans="2:11" x14ac:dyDescent="0.25">
      <c r="B17" s="51" t="s">
        <v>94</v>
      </c>
      <c r="C17" s="16" t="s">
        <v>224</v>
      </c>
      <c r="D17" s="17"/>
      <c r="E17" s="17"/>
      <c r="F17" s="17"/>
      <c r="G17" s="92">
        <v>46112</v>
      </c>
      <c r="H17" s="28">
        <f>EOMONTH(G17,12)</f>
        <v>46477</v>
      </c>
      <c r="I17" s="28">
        <f>EOMONTH(H17,12)</f>
        <v>46843</v>
      </c>
      <c r="J17" s="28">
        <f>EOMONTH(I17,12)</f>
        <v>47208</v>
      </c>
      <c r="K17" s="28">
        <f>EOMONTH(J17,12)</f>
        <v>47573</v>
      </c>
    </row>
    <row r="18" spans="2:11" hidden="1" outlineLevel="1" x14ac:dyDescent="0.25">
      <c r="G18" s="93"/>
    </row>
    <row r="19" spans="2:11" hidden="1" outlineLevel="1" x14ac:dyDescent="0.25">
      <c r="C19" s="1" t="s">
        <v>225</v>
      </c>
      <c r="G19" s="94">
        <f>Financials!K32</f>
        <v>4116.213055833332</v>
      </c>
      <c r="H19" s="29">
        <f ca="1">Financials!L32</f>
        <v>5345.4151782083318</v>
      </c>
      <c r="I19" s="29">
        <f ca="1">Financials!M32</f>
        <v>6543.1253378541696</v>
      </c>
      <c r="J19" s="29">
        <f ca="1">Financials!N32</f>
        <v>6537.2895131870828</v>
      </c>
      <c r="K19" s="29">
        <f ca="1">Financials!O32</f>
        <v>7570.9556289175271</v>
      </c>
    </row>
    <row r="20" spans="2:11" hidden="1" outlineLevel="1" x14ac:dyDescent="0.25">
      <c r="C20" s="32" t="s">
        <v>226</v>
      </c>
      <c r="G20" s="95">
        <v>0.3</v>
      </c>
      <c r="H20" s="65">
        <v>0.3</v>
      </c>
      <c r="I20" s="65">
        <v>0.3</v>
      </c>
      <c r="J20" s="65">
        <v>0.3</v>
      </c>
      <c r="K20" s="65">
        <v>0.3</v>
      </c>
    </row>
    <row r="21" spans="2:11" hidden="1" outlineLevel="1" x14ac:dyDescent="0.25">
      <c r="C21" s="87" t="s">
        <v>227</v>
      </c>
      <c r="D21" s="88"/>
      <c r="E21" s="88"/>
      <c r="F21" s="88"/>
      <c r="G21" s="96">
        <f>G19*(1-G20)</f>
        <v>2881.3491390833324</v>
      </c>
      <c r="H21" s="89">
        <f t="shared" ref="H21:K21" ca="1" si="0">H19*(1-H20)</f>
        <v>3741.7906247458318</v>
      </c>
      <c r="I21" s="89">
        <f t="shared" ca="1" si="0"/>
        <v>4580.1877364979182</v>
      </c>
      <c r="J21" s="89">
        <f t="shared" ca="1" si="0"/>
        <v>4576.1026592309572</v>
      </c>
      <c r="K21" s="89">
        <f t="shared" ca="1" si="0"/>
        <v>5299.6689402422689</v>
      </c>
    </row>
    <row r="22" spans="2:11" hidden="1" outlineLevel="1" x14ac:dyDescent="0.25">
      <c r="G22" s="93"/>
    </row>
    <row r="23" spans="2:11" hidden="1" outlineLevel="1" x14ac:dyDescent="0.25">
      <c r="C23" s="1" t="s">
        <v>228</v>
      </c>
      <c r="G23" s="94">
        <f>Financials!K27</f>
        <v>481.01717333333335</v>
      </c>
      <c r="H23" s="29">
        <f ca="1">Financials!L27</f>
        <v>334.39587066666661</v>
      </c>
      <c r="I23" s="29">
        <f ca="1">Financials!M27</f>
        <v>380.67117773999996</v>
      </c>
      <c r="J23" s="29">
        <f ca="1">Financials!N27</f>
        <v>413.64307465600001</v>
      </c>
      <c r="K23" s="29">
        <f ca="1">Financials!O27</f>
        <v>438.12086880127993</v>
      </c>
    </row>
    <row r="24" spans="2:11" hidden="1" outlineLevel="1" x14ac:dyDescent="0.25">
      <c r="C24" s="1" t="s">
        <v>231</v>
      </c>
      <c r="G24" s="94">
        <f>Assumptions!K84</f>
        <v>180.38144</v>
      </c>
      <c r="H24" s="29">
        <f ca="1">Assumptions!L84</f>
        <v>236.04414399999999</v>
      </c>
      <c r="I24" s="29">
        <f ca="1">Assumptions!M84</f>
        <v>298.56562959999997</v>
      </c>
      <c r="J24" s="29">
        <f ca="1">Assumptions!N84</f>
        <v>364.97918351999999</v>
      </c>
      <c r="K24" s="29">
        <f ca="1">Assumptions!O84</f>
        <v>441.80255677439993</v>
      </c>
    </row>
    <row r="25" spans="2:11" hidden="1" outlineLevel="1" x14ac:dyDescent="0.25">
      <c r="C25" s="1" t="s">
        <v>229</v>
      </c>
      <c r="G25" s="94">
        <f>-Schedule!K18</f>
        <v>-6012.7146666666667</v>
      </c>
      <c r="H25" s="29">
        <f ca="1">-Schedule!L18</f>
        <v>-1967.0345333333332</v>
      </c>
      <c r="I25" s="29">
        <f ca="1">-Schedule!M18</f>
        <v>-2239.2422219999999</v>
      </c>
      <c r="J25" s="29">
        <f ca="1">-Schedule!N18</f>
        <v>-2433.1945568000001</v>
      </c>
      <c r="K25" s="29">
        <f ca="1">-Schedule!O18</f>
        <v>-2577.1815811839997</v>
      </c>
    </row>
    <row r="26" spans="2:11" hidden="1" outlineLevel="1" x14ac:dyDescent="0.25">
      <c r="C26" s="1" t="s">
        <v>230</v>
      </c>
      <c r="G26" s="94">
        <f>SUM(Financials!K111:K113)</f>
        <v>-693.88575111138528</v>
      </c>
      <c r="H26" s="29">
        <f ca="1">SUM(Financials!L111:L113)</f>
        <v>-390.19345993568123</v>
      </c>
      <c r="I26" s="29">
        <f ca="1">SUM(Financials!M111:M113)</f>
        <v>-443.34338397097594</v>
      </c>
      <c r="J26" s="29">
        <f ca="1">SUM(Financials!N111:N113)</f>
        <v>-506.36168369837469</v>
      </c>
      <c r="K26" s="29">
        <f ca="1">SUM(Financials!O111:O113)</f>
        <v>-556.89753918705196</v>
      </c>
    </row>
    <row r="27" spans="2:11" hidden="1" outlineLevel="1" x14ac:dyDescent="0.25">
      <c r="C27" s="87" t="s">
        <v>232</v>
      </c>
      <c r="D27" s="88"/>
      <c r="E27" s="88"/>
      <c r="F27" s="88"/>
      <c r="G27" s="96">
        <f>SUM(G21:G26)</f>
        <v>-3163.8526653613862</v>
      </c>
      <c r="H27" s="89">
        <f t="shared" ref="H27:K27" ca="1" si="1">SUM(H21:H26)</f>
        <v>1955.0026461434843</v>
      </c>
      <c r="I27" s="89">
        <f t="shared" ca="1" si="1"/>
        <v>2576.8389378669417</v>
      </c>
      <c r="J27" s="89">
        <f t="shared" ca="1" si="1"/>
        <v>2415.1686769085827</v>
      </c>
      <c r="K27" s="89">
        <f t="shared" ca="1" si="1"/>
        <v>3045.5132454468976</v>
      </c>
    </row>
    <row r="28" spans="2:11" hidden="1" outlineLevel="1" x14ac:dyDescent="0.25">
      <c r="G28" s="93"/>
    </row>
    <row r="29" spans="2:11" hidden="1" outlineLevel="1" x14ac:dyDescent="0.25">
      <c r="C29" s="1" t="s">
        <v>233</v>
      </c>
      <c r="G29" s="93">
        <v>1</v>
      </c>
      <c r="H29" s="1">
        <f>G29+1</f>
        <v>2</v>
      </c>
      <c r="I29" s="1">
        <f t="shared" ref="I29:K29" si="2">H29+1</f>
        <v>3</v>
      </c>
      <c r="J29" s="1">
        <f t="shared" si="2"/>
        <v>4</v>
      </c>
      <c r="K29" s="1">
        <f t="shared" si="2"/>
        <v>5</v>
      </c>
    </row>
    <row r="30" spans="2:11" hidden="1" outlineLevel="1" x14ac:dyDescent="0.25">
      <c r="C30" s="1" t="s">
        <v>234</v>
      </c>
      <c r="G30" s="93">
        <v>0.5</v>
      </c>
      <c r="H30" s="1">
        <f>G30+1</f>
        <v>1.5</v>
      </c>
      <c r="I30" s="1">
        <f t="shared" ref="I30:K30" si="3">H30+1</f>
        <v>2.5</v>
      </c>
      <c r="J30" s="1">
        <f t="shared" si="3"/>
        <v>3.5</v>
      </c>
      <c r="K30" s="1">
        <f t="shared" si="3"/>
        <v>4.5</v>
      </c>
    </row>
    <row r="31" spans="2:11" hidden="1" outlineLevel="1" x14ac:dyDescent="0.25">
      <c r="C31" s="1" t="s">
        <v>235</v>
      </c>
      <c r="G31" s="93"/>
      <c r="K31" s="29">
        <f ca="1">K27*(1+tgr)/(wacc-tgr)</f>
        <v>18574.798238071373</v>
      </c>
    </row>
    <row r="32" spans="2:11" hidden="1" outlineLevel="1" x14ac:dyDescent="0.25">
      <c r="C32" s="87" t="s">
        <v>282</v>
      </c>
      <c r="D32" s="88"/>
      <c r="E32" s="88"/>
      <c r="F32" s="88"/>
      <c r="G32" s="96">
        <f>G27/(1+wacc)^G30</f>
        <v>-2889.5400475857991</v>
      </c>
      <c r="H32" s="89">
        <f ca="1">H27/(1+wacc)^H30</f>
        <v>1489.3087817346143</v>
      </c>
      <c r="I32" s="89">
        <f ca="1">I27/(1+wacc)^I30</f>
        <v>1637.3804812744484</v>
      </c>
      <c r="J32" s="89">
        <f ca="1">J27/(1+wacc)^J30</f>
        <v>1280.072996259705</v>
      </c>
      <c r="K32" s="89">
        <f ca="1">(K27+K31)/(1+wacc)^K30</f>
        <v>9558.1567581192739</v>
      </c>
    </row>
    <row r="33" spans="2:13" hidden="1" outlineLevel="1" x14ac:dyDescent="0.25">
      <c r="G33" s="93"/>
    </row>
    <row r="34" spans="2:13" hidden="1" outlineLevel="1" x14ac:dyDescent="0.25">
      <c r="C34" s="18" t="s">
        <v>283</v>
      </c>
      <c r="G34" s="97">
        <f ca="1">SUM(G32:K32)</f>
        <v>11075.378969802243</v>
      </c>
    </row>
    <row r="35" spans="2:13" hidden="1" outlineLevel="1" x14ac:dyDescent="0.25">
      <c r="C35" s="1" t="s">
        <v>284</v>
      </c>
      <c r="G35" s="94">
        <f>Financials!J67+Financials!J68+Financials!J65+Financials!J56</f>
        <v>814.37000000000012</v>
      </c>
    </row>
    <row r="36" spans="2:13" hidden="1" outlineLevel="1" x14ac:dyDescent="0.25">
      <c r="C36" s="1" t="s">
        <v>285</v>
      </c>
      <c r="G36" s="94">
        <f>Financials!J81+Financials!J89</f>
        <v>755.75</v>
      </c>
    </row>
    <row r="37" spans="2:13" hidden="1" outlineLevel="1" x14ac:dyDescent="0.25">
      <c r="C37" s="87" t="s">
        <v>286</v>
      </c>
      <c r="D37" s="88"/>
      <c r="E37" s="88"/>
      <c r="F37" s="88"/>
      <c r="G37" s="96">
        <f ca="1">G34+G35-G36</f>
        <v>11133.998969802244</v>
      </c>
      <c r="H37" s="88"/>
      <c r="I37" s="88"/>
      <c r="J37" s="88"/>
      <c r="K37" s="88"/>
    </row>
    <row r="38" spans="2:13" hidden="1" outlineLevel="1" x14ac:dyDescent="0.25">
      <c r="C38" s="1" t="s">
        <v>287</v>
      </c>
      <c r="G38" s="99">
        <v>120648</v>
      </c>
    </row>
    <row r="39" spans="2:13" hidden="1" outlineLevel="1" x14ac:dyDescent="0.25">
      <c r="C39" s="90" t="s">
        <v>288</v>
      </c>
      <c r="D39" s="91"/>
      <c r="E39" s="91"/>
      <c r="F39" s="91"/>
      <c r="G39" s="98">
        <f ca="1">G37/G38*10^4</f>
        <v>922.84985824897581</v>
      </c>
      <c r="H39" s="91"/>
      <c r="I39" s="91"/>
      <c r="J39" s="91"/>
      <c r="K39" s="91"/>
    </row>
    <row r="40" spans="2:13" collapsed="1" x14ac:dyDescent="0.25"/>
    <row r="42" spans="2:13" x14ac:dyDescent="0.25">
      <c r="B42" s="51" t="s">
        <v>94</v>
      </c>
      <c r="C42" s="16" t="s">
        <v>289</v>
      </c>
      <c r="D42" s="17"/>
      <c r="E42" s="17"/>
      <c r="F42" s="17"/>
      <c r="G42" s="17"/>
      <c r="H42" s="17"/>
      <c r="I42" s="17"/>
      <c r="J42" s="17"/>
      <c r="K42" s="17"/>
    </row>
    <row r="44" spans="2:13" x14ac:dyDescent="0.25">
      <c r="C44" s="111"/>
      <c r="D44" s="320" t="s">
        <v>290</v>
      </c>
      <c r="E44" s="320"/>
      <c r="F44" s="320"/>
      <c r="G44" s="320"/>
      <c r="H44" s="320"/>
      <c r="I44" s="321"/>
    </row>
    <row r="45" spans="2:13" x14ac:dyDescent="0.25">
      <c r="C45" s="322" t="s">
        <v>222</v>
      </c>
      <c r="D45" s="117">
        <f ca="1">G39</f>
        <v>922.84985824897581</v>
      </c>
      <c r="E45" s="115">
        <v>0.01</v>
      </c>
      <c r="F45" s="115">
        <f>E45+1%</f>
        <v>0.02</v>
      </c>
      <c r="G45" s="122">
        <f>F45+1%</f>
        <v>0.03</v>
      </c>
      <c r="H45" s="115">
        <f>G45+1%</f>
        <v>0.04</v>
      </c>
      <c r="I45" s="116">
        <f>H45+1%</f>
        <v>0.05</v>
      </c>
      <c r="K45" s="135" t="s">
        <v>294</v>
      </c>
      <c r="L45" s="135"/>
      <c r="M45" s="138">
        <f>AVERAGE($E$56:$I$60,$E$66:$I$70,$E$76:$I$80)</f>
        <v>962.1073642875607</v>
      </c>
    </row>
    <row r="46" spans="2:13" x14ac:dyDescent="0.25">
      <c r="C46" s="322"/>
      <c r="D46" s="112">
        <v>0.24</v>
      </c>
      <c r="E46" s="106">
        <f t="dataTable" ref="E46:I50" dt2D="1" dtr="1" r1="E15" r2="E14" ca="1"/>
        <v>622.67976118224124</v>
      </c>
      <c r="F46" s="107">
        <v>646.17684417388341</v>
      </c>
      <c r="G46" s="123">
        <v>671.91174459330114</v>
      </c>
      <c r="H46" s="107">
        <v>700.22013505466043</v>
      </c>
      <c r="I46" s="108">
        <v>731.50835609089972</v>
      </c>
      <c r="K46" s="136" t="s">
        <v>295</v>
      </c>
      <c r="L46" s="136"/>
      <c r="M46" s="139">
        <f>MEDIAN($E$56:$I$60,$E$66:$I$70,$E$76:$I$80)</f>
        <v>922.84985824897581</v>
      </c>
    </row>
    <row r="47" spans="2:13" x14ac:dyDescent="0.25">
      <c r="C47" s="322"/>
      <c r="D47" s="112">
        <v>0.22</v>
      </c>
      <c r="E47" s="109">
        <v>716.74008160198593</v>
      </c>
      <c r="F47" s="126">
        <v>746.70628120230208</v>
      </c>
      <c r="G47" s="127">
        <v>779.82681760265132</v>
      </c>
      <c r="H47" s="128">
        <v>816.62741360303949</v>
      </c>
      <c r="I47" s="102">
        <v>857.75749148582634</v>
      </c>
      <c r="K47" s="136" t="s">
        <v>296</v>
      </c>
      <c r="L47" s="136"/>
      <c r="M47" s="139">
        <f>QUARTILE(($E$56:$I$60,$E$66:$I$70,$E$76:$I$80),3)</f>
        <v>1341.0952507657694</v>
      </c>
    </row>
    <row r="48" spans="2:13" x14ac:dyDescent="0.25">
      <c r="C48" s="322"/>
      <c r="D48" s="118">
        <v>0.19887820812938248</v>
      </c>
      <c r="E48" s="119">
        <v>838.96140949101232</v>
      </c>
      <c r="F48" s="129">
        <v>878.56078567313386</v>
      </c>
      <c r="G48" s="130">
        <v>922.84985824897581</v>
      </c>
      <c r="H48" s="131">
        <v>972.71415389628885</v>
      </c>
      <c r="I48" s="121">
        <v>1029.277119049884</v>
      </c>
      <c r="K48" s="137" t="s">
        <v>297</v>
      </c>
      <c r="L48" s="137"/>
      <c r="M48" s="140">
        <f>QUARTILE(($E$56:$I$60,$E$66:$I$70,$E$76:$I$80),1)</f>
        <v>392.24085393536745</v>
      </c>
    </row>
    <row r="49" spans="3:9" x14ac:dyDescent="0.25">
      <c r="C49" s="322"/>
      <c r="D49" s="112">
        <v>0.18</v>
      </c>
      <c r="E49" s="109">
        <v>975.19876457135376</v>
      </c>
      <c r="F49" s="132">
        <v>1027.1965007397002</v>
      </c>
      <c r="G49" s="133">
        <v>1086.1272683971597</v>
      </c>
      <c r="H49" s="134">
        <v>1153.4767171485421</v>
      </c>
      <c r="I49" s="102">
        <v>1231.1876195539833</v>
      </c>
    </row>
    <row r="50" spans="3:9" x14ac:dyDescent="0.25">
      <c r="C50" s="323"/>
      <c r="D50" s="114">
        <v>0.16</v>
      </c>
      <c r="E50" s="110">
        <v>1158.5549843745739</v>
      </c>
      <c r="F50" s="104">
        <v>1230.0569710329448</v>
      </c>
      <c r="G50" s="124">
        <v>1312.559263331065</v>
      </c>
      <c r="H50" s="104">
        <v>1408.811937678872</v>
      </c>
      <c r="I50" s="105">
        <v>1522.565098271735</v>
      </c>
    </row>
    <row r="51" spans="3:9" x14ac:dyDescent="0.25">
      <c r="D51" s="100"/>
    </row>
    <row r="52" spans="3:9" x14ac:dyDescent="0.25">
      <c r="C52" s="62" t="s">
        <v>291</v>
      </c>
      <c r="D52" s="103"/>
      <c r="E52" s="63"/>
      <c r="F52" s="63"/>
      <c r="G52" s="63"/>
      <c r="H52" s="63"/>
      <c r="I52" s="63"/>
    </row>
    <row r="54" spans="3:9" x14ac:dyDescent="0.25">
      <c r="C54" s="111"/>
      <c r="D54" s="320" t="s">
        <v>290</v>
      </c>
      <c r="E54" s="320"/>
      <c r="F54" s="320"/>
      <c r="G54" s="320"/>
      <c r="H54" s="320"/>
      <c r="I54" s="321"/>
    </row>
    <row r="55" spans="3:9" x14ac:dyDescent="0.25">
      <c r="C55" s="322" t="s">
        <v>222</v>
      </c>
      <c r="D55" s="117">
        <f>G49</f>
        <v>1086.1272683971597</v>
      </c>
      <c r="E55" s="115">
        <v>0.01</v>
      </c>
      <c r="F55" s="115">
        <f>E55+1%</f>
        <v>0.02</v>
      </c>
      <c r="G55" s="122">
        <f>F55+1%</f>
        <v>0.03</v>
      </c>
      <c r="H55" s="115">
        <f>G55+1%</f>
        <v>0.04</v>
      </c>
      <c r="I55" s="116">
        <f>H55+1%</f>
        <v>0.05</v>
      </c>
    </row>
    <row r="56" spans="3:9" x14ac:dyDescent="0.25">
      <c r="C56" s="322"/>
      <c r="D56" s="112">
        <v>0.24</v>
      </c>
      <c r="E56" s="106">
        <v>622.67976118224124</v>
      </c>
      <c r="F56" s="107">
        <v>646.17684417388341</v>
      </c>
      <c r="G56" s="123">
        <v>671.91174459330114</v>
      </c>
      <c r="H56" s="107">
        <v>700.22013505466043</v>
      </c>
      <c r="I56" s="108">
        <v>731.50835609089972</v>
      </c>
    </row>
    <row r="57" spans="3:9" x14ac:dyDescent="0.25">
      <c r="C57" s="322"/>
      <c r="D57" s="112">
        <v>0.22</v>
      </c>
      <c r="E57" s="109">
        <v>716.74008160198593</v>
      </c>
      <c r="F57" s="101">
        <v>746.70628120230208</v>
      </c>
      <c r="G57" s="120">
        <v>779.82681760265132</v>
      </c>
      <c r="H57" s="101">
        <v>816.62741360303949</v>
      </c>
      <c r="I57" s="102">
        <v>857.75749148582634</v>
      </c>
    </row>
    <row r="58" spans="3:9" x14ac:dyDescent="0.25">
      <c r="C58" s="322"/>
      <c r="D58" s="118">
        <v>0.19887820812938248</v>
      </c>
      <c r="E58" s="119">
        <v>838.96140949101232</v>
      </c>
      <c r="F58" s="120">
        <v>878.56078567313386</v>
      </c>
      <c r="G58" s="120">
        <v>922.84985824897581</v>
      </c>
      <c r="H58" s="120">
        <v>972.71415389628885</v>
      </c>
      <c r="I58" s="121">
        <v>1029.277119049884</v>
      </c>
    </row>
    <row r="59" spans="3:9" x14ac:dyDescent="0.25">
      <c r="C59" s="322"/>
      <c r="D59" s="112">
        <v>0.18</v>
      </c>
      <c r="E59" s="109">
        <v>975.19876457135376</v>
      </c>
      <c r="F59" s="101">
        <v>1027.1965007397002</v>
      </c>
      <c r="G59" s="120">
        <v>1086.1272683971597</v>
      </c>
      <c r="H59" s="101">
        <v>1153.4767171485421</v>
      </c>
      <c r="I59" s="102">
        <v>1231.1876195539833</v>
      </c>
    </row>
    <row r="60" spans="3:9" x14ac:dyDescent="0.25">
      <c r="C60" s="323"/>
      <c r="D60" s="114">
        <v>0.16</v>
      </c>
      <c r="E60" s="110">
        <v>1158.5549843745739</v>
      </c>
      <c r="F60" s="104">
        <v>1230.0569710329448</v>
      </c>
      <c r="G60" s="124">
        <v>1312.559263331065</v>
      </c>
      <c r="H60" s="104">
        <v>1408.811937678872</v>
      </c>
      <c r="I60" s="105">
        <v>1522.565098271735</v>
      </c>
    </row>
    <row r="62" spans="3:9" x14ac:dyDescent="0.25">
      <c r="C62" s="62" t="s">
        <v>292</v>
      </c>
      <c r="D62" s="103"/>
      <c r="E62" s="63"/>
      <c r="F62" s="63"/>
      <c r="G62" s="63"/>
      <c r="H62" s="63"/>
      <c r="I62" s="63"/>
    </row>
    <row r="64" spans="3:9" x14ac:dyDescent="0.25">
      <c r="C64" s="111"/>
      <c r="D64" s="320" t="s">
        <v>290</v>
      </c>
      <c r="E64" s="320"/>
      <c r="F64" s="320"/>
      <c r="G64" s="320"/>
      <c r="H64" s="320"/>
      <c r="I64" s="321"/>
    </row>
    <row r="65" spans="3:9" x14ac:dyDescent="0.25">
      <c r="C65" s="322" t="s">
        <v>222</v>
      </c>
      <c r="D65" s="117">
        <f>G59</f>
        <v>1086.1272683971597</v>
      </c>
      <c r="E65" s="115">
        <v>0.01</v>
      </c>
      <c r="F65" s="122">
        <f>E65+1%</f>
        <v>0.02</v>
      </c>
      <c r="G65" s="115">
        <f>F65+1%</f>
        <v>0.03</v>
      </c>
      <c r="H65" s="115">
        <f>G65+1%</f>
        <v>0.04</v>
      </c>
      <c r="I65" s="116">
        <f>H65+1%</f>
        <v>0.05</v>
      </c>
    </row>
    <row r="66" spans="3:9" x14ac:dyDescent="0.25">
      <c r="C66" s="322"/>
      <c r="D66" s="112">
        <v>0.24</v>
      </c>
      <c r="E66" s="106">
        <v>194.44969859442122</v>
      </c>
      <c r="F66" s="123">
        <v>202.60929468821917</v>
      </c>
      <c r="G66" s="107">
        <v>211.54599517190266</v>
      </c>
      <c r="H66" s="107">
        <v>221.37636570395446</v>
      </c>
      <c r="I66" s="108">
        <v>232.24151208148541</v>
      </c>
    </row>
    <row r="67" spans="3:9" x14ac:dyDescent="0.25">
      <c r="C67" s="322"/>
      <c r="D67" s="125">
        <v>0.22</v>
      </c>
      <c r="E67" s="119">
        <v>230.40454920936068</v>
      </c>
      <c r="F67" s="120">
        <v>240.81061047627111</v>
      </c>
      <c r="G67" s="120">
        <v>252.31204661338276</v>
      </c>
      <c r="H67" s="120">
        <v>265.09142009906225</v>
      </c>
      <c r="I67" s="121">
        <v>279.3742492889395</v>
      </c>
    </row>
    <row r="68" spans="3:9" x14ac:dyDescent="0.25">
      <c r="C68" s="322"/>
      <c r="D68" s="113">
        <v>0.19887820812938248</v>
      </c>
      <c r="E68" s="109">
        <v>276.56900651339083</v>
      </c>
      <c r="F68" s="120">
        <v>290.32028429231349</v>
      </c>
      <c r="G68" s="101">
        <v>305.7001058521351</v>
      </c>
      <c r="H68" s="101">
        <v>323.01597915132396</v>
      </c>
      <c r="I68" s="102">
        <v>342.65803215360819</v>
      </c>
    </row>
    <row r="69" spans="3:9" x14ac:dyDescent="0.25">
      <c r="C69" s="322"/>
      <c r="D69" s="112">
        <v>0.18</v>
      </c>
      <c r="E69" s="109">
        <v>327.4366254930369</v>
      </c>
      <c r="F69" s="120">
        <v>345.49335726167772</v>
      </c>
      <c r="G69" s="101">
        <v>365.95765326613753</v>
      </c>
      <c r="H69" s="101">
        <v>389.3454201283771</v>
      </c>
      <c r="I69" s="102">
        <v>416.33130496942283</v>
      </c>
    </row>
    <row r="70" spans="3:9" x14ac:dyDescent="0.25">
      <c r="C70" s="323"/>
      <c r="D70" s="114">
        <v>0.16</v>
      </c>
      <c r="E70" s="110">
        <v>395.13628774235775</v>
      </c>
      <c r="F70" s="124">
        <v>419.96606475101709</v>
      </c>
      <c r="G70" s="104">
        <v>448.61580745331634</v>
      </c>
      <c r="H70" s="104">
        <v>482.04050727266542</v>
      </c>
      <c r="I70" s="105">
        <v>521.54242524098709</v>
      </c>
    </row>
    <row r="72" spans="3:9" x14ac:dyDescent="0.25">
      <c r="C72" s="62" t="s">
        <v>293</v>
      </c>
      <c r="D72" s="103"/>
      <c r="E72" s="63"/>
      <c r="F72" s="63"/>
      <c r="G72" s="63"/>
      <c r="H72" s="63"/>
      <c r="I72" s="63"/>
    </row>
    <row r="74" spans="3:9" x14ac:dyDescent="0.25">
      <c r="C74" s="111"/>
      <c r="D74" s="320" t="s">
        <v>290</v>
      </c>
      <c r="E74" s="320"/>
      <c r="F74" s="320"/>
      <c r="G74" s="320"/>
      <c r="H74" s="320"/>
      <c r="I74" s="321"/>
    </row>
    <row r="75" spans="3:9" ht="13.2" customHeight="1" x14ac:dyDescent="0.25">
      <c r="C75" s="322" t="s">
        <v>222</v>
      </c>
      <c r="D75" s="117">
        <f>G69</f>
        <v>365.95765326613753</v>
      </c>
      <c r="E75" s="115">
        <v>0.01</v>
      </c>
      <c r="F75" s="115">
        <f>E75+1%</f>
        <v>0.02</v>
      </c>
      <c r="G75" s="115">
        <f>F75+1%</f>
        <v>0.03</v>
      </c>
      <c r="H75" s="122">
        <f>G75+1%</f>
        <v>0.04</v>
      </c>
      <c r="I75" s="116">
        <f>H75+1%</f>
        <v>0.05</v>
      </c>
    </row>
    <row r="76" spans="3:9" x14ac:dyDescent="0.25">
      <c r="C76" s="322"/>
      <c r="D76" s="112">
        <v>0.24</v>
      </c>
      <c r="E76" s="106">
        <v>1052.0146441456607</v>
      </c>
      <c r="F76" s="107">
        <v>1090.8953881354721</v>
      </c>
      <c r="G76" s="107">
        <v>1133.4790601243135</v>
      </c>
      <c r="H76" s="123">
        <v>1180.3210993120388</v>
      </c>
      <c r="I76" s="108">
        <v>1232.0938794668932</v>
      </c>
    </row>
    <row r="77" spans="3:9" x14ac:dyDescent="0.25">
      <c r="C77" s="322"/>
      <c r="D77" s="112">
        <v>0.22</v>
      </c>
      <c r="E77" s="109">
        <v>1204.3471565661835</v>
      </c>
      <c r="F77" s="101">
        <v>1253.9323810564706</v>
      </c>
      <c r="G77" s="101">
        <v>1308.7371028615244</v>
      </c>
      <c r="H77" s="120">
        <v>1369.6312382004735</v>
      </c>
      <c r="I77" s="102">
        <v>1437.6893894616517</v>
      </c>
    </row>
    <row r="78" spans="3:9" x14ac:dyDescent="0.25">
      <c r="C78" s="322"/>
      <c r="D78" s="113">
        <v>0.19887820812938248</v>
      </c>
      <c r="E78" s="109">
        <v>1402.8450703047988</v>
      </c>
      <c r="F78" s="101">
        <v>1468.3703615948264</v>
      </c>
      <c r="G78" s="101">
        <v>1541.6557176102947</v>
      </c>
      <c r="H78" s="120">
        <v>1624.1664238960518</v>
      </c>
      <c r="I78" s="102">
        <v>1717.7614530417466</v>
      </c>
    </row>
    <row r="79" spans="3:9" x14ac:dyDescent="0.25">
      <c r="C79" s="322"/>
      <c r="D79" s="125">
        <v>0.18</v>
      </c>
      <c r="E79" s="119">
        <v>1624.7003393022037</v>
      </c>
      <c r="F79" s="120">
        <v>1710.7412605829584</v>
      </c>
      <c r="G79" s="120">
        <v>1808.254304701147</v>
      </c>
      <c r="H79" s="120">
        <v>1919.6977836933631</v>
      </c>
      <c r="I79" s="121">
        <v>2048.2864132997656</v>
      </c>
    </row>
    <row r="80" spans="3:9" x14ac:dyDescent="0.25">
      <c r="C80" s="323"/>
      <c r="D80" s="114">
        <v>0.16</v>
      </c>
      <c r="E80" s="110">
        <v>1924.0513245708216</v>
      </c>
      <c r="F80" s="104">
        <v>2042.36602937975</v>
      </c>
      <c r="G80" s="104">
        <v>2178.8829964669753</v>
      </c>
      <c r="H80" s="124">
        <v>2338.1527914020721</v>
      </c>
      <c r="I80" s="105">
        <v>2526.3807308708224</v>
      </c>
    </row>
    <row r="81" spans="2:17" ht="12.6" customHeight="1" x14ac:dyDescent="0.25"/>
    <row r="83" spans="2:17" x14ac:dyDescent="0.25">
      <c r="C83" s="18" t="s">
        <v>331</v>
      </c>
    </row>
    <row r="84" spans="2:17" x14ac:dyDescent="0.25">
      <c r="B84" s="51" t="s">
        <v>94</v>
      </c>
      <c r="C84" s="16" t="s">
        <v>128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6" spans="2:17" x14ac:dyDescent="0.25">
      <c r="C86" s="62" t="s">
        <v>215</v>
      </c>
      <c r="D86" s="63"/>
      <c r="E86" s="63"/>
      <c r="G86" s="62" t="s">
        <v>216</v>
      </c>
      <c r="H86" s="62"/>
      <c r="I86" s="62" t="s">
        <v>217</v>
      </c>
      <c r="K86" s="62" t="s">
        <v>218</v>
      </c>
      <c r="L86" s="62"/>
      <c r="M86" s="62" t="s">
        <v>217</v>
      </c>
      <c r="O86" s="62" t="s">
        <v>219</v>
      </c>
      <c r="P86" s="62"/>
      <c r="Q86" s="62" t="s">
        <v>217</v>
      </c>
    </row>
    <row r="88" spans="2:17" x14ac:dyDescent="0.25">
      <c r="C88" s="18" t="s">
        <v>220</v>
      </c>
      <c r="E88" s="64">
        <f>Dashboard!E14</f>
        <v>1</v>
      </c>
      <c r="G88" s="18" t="s">
        <v>222</v>
      </c>
      <c r="I88" s="85">
        <f>M88+2%</f>
        <v>0.20833163564709187</v>
      </c>
      <c r="K88" s="18" t="s">
        <v>222</v>
      </c>
      <c r="M88" s="83">
        <v>0.18833163564709188</v>
      </c>
      <c r="O88" s="18" t="s">
        <v>222</v>
      </c>
      <c r="Q88" s="85">
        <f>M88-2%</f>
        <v>0.16833163564709189</v>
      </c>
    </row>
    <row r="89" spans="2:17" x14ac:dyDescent="0.25">
      <c r="C89" s="18"/>
      <c r="G89" s="18" t="s">
        <v>223</v>
      </c>
      <c r="I89" s="83">
        <v>0.02</v>
      </c>
      <c r="K89" s="18" t="s">
        <v>223</v>
      </c>
      <c r="M89" s="83">
        <v>0.03</v>
      </c>
      <c r="O89" s="18" t="s">
        <v>223</v>
      </c>
      <c r="Q89" s="83">
        <v>0.04</v>
      </c>
    </row>
    <row r="90" spans="2:17" x14ac:dyDescent="0.25">
      <c r="C90" s="18" t="s">
        <v>222</v>
      </c>
      <c r="E90" s="86">
        <f>CHOOSE(E88,M88,I88,Q88)</f>
        <v>0.18833163564709188</v>
      </c>
    </row>
    <row r="91" spans="2:17" x14ac:dyDescent="0.25">
      <c r="C91" s="18" t="s">
        <v>223</v>
      </c>
      <c r="E91" s="86">
        <f>CHOOSE(E88,M89,I89,Q89)</f>
        <v>0.03</v>
      </c>
    </row>
    <row r="93" spans="2:17" x14ac:dyDescent="0.25">
      <c r="B93" s="51" t="s">
        <v>94</v>
      </c>
      <c r="C93" s="16" t="s">
        <v>224</v>
      </c>
      <c r="D93" s="17"/>
      <c r="E93" s="17"/>
      <c r="F93" s="17"/>
      <c r="G93" s="92">
        <v>46477</v>
      </c>
      <c r="H93" s="28">
        <f>EOMONTH(G93,12)</f>
        <v>46843</v>
      </c>
      <c r="I93" s="28">
        <f>EOMONTH(H93,12)</f>
        <v>47208</v>
      </c>
      <c r="J93" s="28">
        <f>EOMONTH(I93,12)</f>
        <v>47573</v>
      </c>
    </row>
    <row r="94" spans="2:17" outlineLevel="1" x14ac:dyDescent="0.25">
      <c r="G94" s="93"/>
    </row>
    <row r="95" spans="2:17" outlineLevel="1" x14ac:dyDescent="0.25">
      <c r="C95" s="1" t="s">
        <v>225</v>
      </c>
      <c r="G95" s="94">
        <f ca="1">H19</f>
        <v>5345.4151782083318</v>
      </c>
      <c r="H95" s="29">
        <f t="shared" ref="H95:J95" ca="1" si="4">I19</f>
        <v>6543.1253378541696</v>
      </c>
      <c r="I95" s="29">
        <f t="shared" ca="1" si="4"/>
        <v>6537.2895131870828</v>
      </c>
      <c r="J95" s="29">
        <f t="shared" ca="1" si="4"/>
        <v>7570.9556289175271</v>
      </c>
    </row>
    <row r="96" spans="2:17" outlineLevel="1" x14ac:dyDescent="0.25">
      <c r="C96" s="1" t="s">
        <v>226</v>
      </c>
      <c r="G96" s="216">
        <f>H20</f>
        <v>0.3</v>
      </c>
      <c r="H96" s="33">
        <f t="shared" ref="H96:J96" si="5">I20</f>
        <v>0.3</v>
      </c>
      <c r="I96" s="33">
        <f t="shared" si="5"/>
        <v>0.3</v>
      </c>
      <c r="J96" s="33">
        <f t="shared" si="5"/>
        <v>0.3</v>
      </c>
    </row>
    <row r="97" spans="3:10" outlineLevel="1" x14ac:dyDescent="0.25">
      <c r="C97" s="87" t="s">
        <v>227</v>
      </c>
      <c r="D97" s="87"/>
      <c r="E97" s="87"/>
      <c r="F97" s="87"/>
      <c r="G97" s="96">
        <f ca="1">H21</f>
        <v>3741.7906247458318</v>
      </c>
      <c r="H97" s="89">
        <f t="shared" ref="H97:J97" ca="1" si="6">I21</f>
        <v>4580.1877364979182</v>
      </c>
      <c r="I97" s="89">
        <f t="shared" ca="1" si="6"/>
        <v>4576.1026592309572</v>
      </c>
      <c r="J97" s="89">
        <f t="shared" ca="1" si="6"/>
        <v>5299.6689402422689</v>
      </c>
    </row>
    <row r="98" spans="3:10" outlineLevel="1" x14ac:dyDescent="0.25">
      <c r="G98" s="93"/>
    </row>
    <row r="99" spans="3:10" outlineLevel="1" x14ac:dyDescent="0.25">
      <c r="C99" s="1" t="s">
        <v>228</v>
      </c>
      <c r="G99" s="94">
        <f ca="1">H23</f>
        <v>334.39587066666661</v>
      </c>
      <c r="H99" s="29">
        <f t="shared" ref="H99:J99" ca="1" si="7">I23</f>
        <v>380.67117773999996</v>
      </c>
      <c r="I99" s="29">
        <f t="shared" ca="1" si="7"/>
        <v>413.64307465600001</v>
      </c>
      <c r="J99" s="29">
        <f t="shared" ca="1" si="7"/>
        <v>438.12086880127993</v>
      </c>
    </row>
    <row r="100" spans="3:10" outlineLevel="1" x14ac:dyDescent="0.25">
      <c r="C100" s="1" t="s">
        <v>231</v>
      </c>
      <c r="G100" s="94">
        <f t="shared" ref="G100:J102" ca="1" si="8">H24</f>
        <v>236.04414399999999</v>
      </c>
      <c r="H100" s="29">
        <f t="shared" ca="1" si="8"/>
        <v>298.56562959999997</v>
      </c>
      <c r="I100" s="29">
        <f t="shared" ca="1" si="8"/>
        <v>364.97918351999999</v>
      </c>
      <c r="J100" s="29">
        <f t="shared" ca="1" si="8"/>
        <v>441.80255677439993</v>
      </c>
    </row>
    <row r="101" spans="3:10" outlineLevel="1" x14ac:dyDescent="0.25">
      <c r="C101" s="1" t="s">
        <v>229</v>
      </c>
      <c r="G101" s="94">
        <f t="shared" ca="1" si="8"/>
        <v>-1967.0345333333332</v>
      </c>
      <c r="H101" s="29">
        <f t="shared" ca="1" si="8"/>
        <v>-2239.2422219999999</v>
      </c>
      <c r="I101" s="29">
        <f t="shared" ca="1" si="8"/>
        <v>-2433.1945568000001</v>
      </c>
      <c r="J101" s="29">
        <f t="shared" ca="1" si="8"/>
        <v>-2577.1815811839997</v>
      </c>
    </row>
    <row r="102" spans="3:10" outlineLevel="1" x14ac:dyDescent="0.25">
      <c r="C102" s="1" t="s">
        <v>230</v>
      </c>
      <c r="G102" s="94">
        <f t="shared" ca="1" si="8"/>
        <v>-390.19345993568123</v>
      </c>
      <c r="H102" s="29">
        <f t="shared" ca="1" si="8"/>
        <v>-443.34338397097594</v>
      </c>
      <c r="I102" s="29">
        <f t="shared" ca="1" si="8"/>
        <v>-506.36168369837469</v>
      </c>
      <c r="J102" s="29">
        <f t="shared" ca="1" si="8"/>
        <v>-556.89753918705196</v>
      </c>
    </row>
    <row r="103" spans="3:10" outlineLevel="1" x14ac:dyDescent="0.25">
      <c r="C103" s="62" t="s">
        <v>232</v>
      </c>
      <c r="D103" s="63"/>
      <c r="E103" s="63"/>
      <c r="F103" s="63"/>
      <c r="G103" s="218">
        <f ca="1">SUM(G97:G102)</f>
        <v>1955.0026461434843</v>
      </c>
      <c r="H103" s="217">
        <f t="shared" ref="H103:J103" ca="1" si="9">SUM(H97:H102)</f>
        <v>2576.8389378669417</v>
      </c>
      <c r="I103" s="217">
        <f t="shared" ca="1" si="9"/>
        <v>2415.1686769085827</v>
      </c>
      <c r="J103" s="217">
        <f t="shared" ca="1" si="9"/>
        <v>3045.5132454468976</v>
      </c>
    </row>
    <row r="104" spans="3:10" outlineLevel="1" x14ac:dyDescent="0.25">
      <c r="G104" s="93"/>
    </row>
    <row r="105" spans="3:10" outlineLevel="1" x14ac:dyDescent="0.25">
      <c r="C105" s="1" t="s">
        <v>233</v>
      </c>
      <c r="G105" s="93">
        <v>1</v>
      </c>
      <c r="H105" s="1">
        <f>G105+1</f>
        <v>2</v>
      </c>
      <c r="I105" s="1">
        <f t="shared" ref="I105:J105" si="10">H105+1</f>
        <v>3</v>
      </c>
      <c r="J105" s="1">
        <f t="shared" si="10"/>
        <v>4</v>
      </c>
    </row>
    <row r="106" spans="3:10" outlineLevel="1" x14ac:dyDescent="0.25">
      <c r="C106" s="1" t="s">
        <v>234</v>
      </c>
      <c r="G106" s="93">
        <v>0.5</v>
      </c>
      <c r="H106" s="1">
        <f>G106+1</f>
        <v>1.5</v>
      </c>
      <c r="I106" s="1">
        <f t="shared" ref="I106:J106" si="11">H106+1</f>
        <v>2.5</v>
      </c>
      <c r="J106" s="1">
        <f t="shared" si="11"/>
        <v>3.5</v>
      </c>
    </row>
    <row r="107" spans="3:10" outlineLevel="1" x14ac:dyDescent="0.25">
      <c r="C107" s="1" t="s">
        <v>235</v>
      </c>
      <c r="G107" s="93"/>
      <c r="J107" s="29">
        <f ca="1">J103*(1+tgrth1)/(wacc1-tgrth1)</f>
        <v>19812.077542116393</v>
      </c>
    </row>
    <row r="108" spans="3:10" outlineLevel="1" x14ac:dyDescent="0.25">
      <c r="C108" s="62" t="s">
        <v>282</v>
      </c>
      <c r="D108" s="62"/>
      <c r="E108" s="62"/>
      <c r="F108" s="62"/>
      <c r="G108" s="218">
        <f ca="1">G103/(1+wacc1)^G106</f>
        <v>1793.4055938781732</v>
      </c>
      <c r="H108" s="217">
        <f ca="1">H103/(1+wacc1)^H106</f>
        <v>1989.2106962500498</v>
      </c>
      <c r="I108" s="217">
        <f ca="1">I103/(1+wacc1)^I106</f>
        <v>1568.9291063405476</v>
      </c>
      <c r="J108" s="217">
        <f ca="1">(J103+J107)/(1+wacc1)^J106</f>
        <v>12495.356370771478</v>
      </c>
    </row>
    <row r="109" spans="3:10" outlineLevel="1" x14ac:dyDescent="0.25">
      <c r="G109" s="93"/>
    </row>
    <row r="110" spans="3:10" outlineLevel="1" x14ac:dyDescent="0.25">
      <c r="C110" s="18" t="s">
        <v>283</v>
      </c>
      <c r="D110" s="18"/>
      <c r="E110" s="18"/>
      <c r="F110" s="18"/>
      <c r="G110" s="97">
        <f t="array" aca="1" ref="G110" ca="1">SUM(G108:J108)</f>
        <v>17846.901767240248</v>
      </c>
    </row>
    <row r="111" spans="3:10" outlineLevel="1" x14ac:dyDescent="0.25">
      <c r="C111" s="1" t="s">
        <v>284</v>
      </c>
      <c r="G111" s="94">
        <f>Financials!K67+Financials!K68+Financials!K65+Financials!K56</f>
        <v>2023.5433832116973</v>
      </c>
    </row>
    <row r="112" spans="3:10" outlineLevel="1" x14ac:dyDescent="0.25">
      <c r="C112" s="1" t="s">
        <v>285</v>
      </c>
      <c r="G112" s="94">
        <f>Financials!K81</f>
        <v>5337.7370000000001</v>
      </c>
    </row>
    <row r="113" spans="3:10" outlineLevel="1" x14ac:dyDescent="0.25">
      <c r="C113" s="87" t="s">
        <v>286</v>
      </c>
      <c r="D113" s="87"/>
      <c r="E113" s="87"/>
      <c r="F113" s="87"/>
      <c r="G113" s="96">
        <f ca="1">G110+G111-G112</f>
        <v>14532.708150451945</v>
      </c>
      <c r="H113" s="88"/>
      <c r="I113" s="88"/>
      <c r="J113" s="88"/>
    </row>
    <row r="114" spans="3:10" outlineLevel="1" x14ac:dyDescent="0.25">
      <c r="C114" s="1" t="s">
        <v>287</v>
      </c>
      <c r="G114" s="99">
        <f>G38</f>
        <v>120648</v>
      </c>
    </row>
    <row r="115" spans="3:10" outlineLevel="1" x14ac:dyDescent="0.25">
      <c r="C115" s="90" t="s">
        <v>288</v>
      </c>
      <c r="D115" s="90"/>
      <c r="E115" s="90"/>
      <c r="F115" s="90"/>
      <c r="G115" s="98">
        <f ca="1">G113/G114*10^4</f>
        <v>1204.5544186768072</v>
      </c>
      <c r="H115" s="91"/>
      <c r="I115" s="91"/>
      <c r="J115" s="91"/>
    </row>
  </sheetData>
  <mergeCells count="8">
    <mergeCell ref="D74:I74"/>
    <mergeCell ref="C75:C80"/>
    <mergeCell ref="D44:I44"/>
    <mergeCell ref="C45:C50"/>
    <mergeCell ref="D54:I54"/>
    <mergeCell ref="C55:C60"/>
    <mergeCell ref="D64:I64"/>
    <mergeCell ref="C65:C70"/>
  </mergeCells>
  <hyperlinks>
    <hyperlink ref="C6" location="Dashboard!A1" display="&lt;-Back to Dashboard" xr:uid="{18F31B42-DFF7-461C-A5D0-78FF08129A9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D3AC-C634-4CA6-ABD5-9FE36917186D}">
  <dimension ref="B2:K24"/>
  <sheetViews>
    <sheetView showGridLines="0" workbookViewId="0">
      <selection activeCell="H21" sqref="H21"/>
    </sheetView>
  </sheetViews>
  <sheetFormatPr defaultRowHeight="14.4" x14ac:dyDescent="0.3"/>
  <cols>
    <col min="1" max="2" width="2.88671875" customWidth="1"/>
    <col min="3" max="11" width="12.77734375" customWidth="1"/>
  </cols>
  <sheetData>
    <row r="2" spans="3:11" x14ac:dyDescent="0.3"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</row>
    <row r="3" spans="3:11" x14ac:dyDescent="0.3">
      <c r="C3" s="16" t="s">
        <v>222</v>
      </c>
      <c r="D3" s="2"/>
      <c r="E3" s="2"/>
      <c r="F3" s="2"/>
      <c r="G3" s="2"/>
      <c r="H3" s="2"/>
      <c r="I3" s="2"/>
      <c r="J3" s="2"/>
      <c r="K3" s="2"/>
    </row>
    <row r="4" spans="3:11" x14ac:dyDescent="0.3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</row>
    <row r="6" spans="3:11" x14ac:dyDescent="0.3">
      <c r="C6" s="243" t="s">
        <v>379</v>
      </c>
    </row>
    <row r="8" spans="3:11" x14ac:dyDescent="0.3">
      <c r="C8" s="58" t="s">
        <v>236</v>
      </c>
      <c r="D8" s="58"/>
      <c r="E8" s="58"/>
      <c r="H8" s="58" t="s">
        <v>246</v>
      </c>
      <c r="I8" s="58"/>
      <c r="J8" s="58"/>
    </row>
    <row r="9" spans="3:11" x14ac:dyDescent="0.3">
      <c r="C9" t="s">
        <v>237</v>
      </c>
      <c r="E9" s="69">
        <v>6.7369999999999999E-2</v>
      </c>
      <c r="F9" s="70" t="s">
        <v>250</v>
      </c>
      <c r="H9" t="s">
        <v>247</v>
      </c>
      <c r="J9" s="200">
        <v>70112</v>
      </c>
    </row>
    <row r="10" spans="3:11" x14ac:dyDescent="0.3">
      <c r="C10" t="s">
        <v>238</v>
      </c>
      <c r="E10" s="69">
        <v>7.0800000000000002E-2</v>
      </c>
      <c r="F10" s="70" t="s">
        <v>323</v>
      </c>
      <c r="H10" t="s">
        <v>248</v>
      </c>
      <c r="J10">
        <v>755.75</v>
      </c>
    </row>
    <row r="11" spans="3:11" x14ac:dyDescent="0.3">
      <c r="C11" t="s">
        <v>240</v>
      </c>
      <c r="E11" s="69">
        <v>2.8500000000000001E-2</v>
      </c>
      <c r="F11" s="70" t="s">
        <v>323</v>
      </c>
      <c r="H11" s="66" t="s">
        <v>249</v>
      </c>
      <c r="I11" s="67"/>
      <c r="J11" s="201">
        <f>SUM(J9:J10)</f>
        <v>70867.75</v>
      </c>
    </row>
    <row r="12" spans="3:11" x14ac:dyDescent="0.3">
      <c r="C12" t="s">
        <v>239</v>
      </c>
      <c r="E12" s="12">
        <f>Beta!L25</f>
        <v>1.4813585781234777</v>
      </c>
      <c r="F12" s="70" t="s">
        <v>265</v>
      </c>
    </row>
    <row r="13" spans="3:11" x14ac:dyDescent="0.3">
      <c r="C13" s="66" t="s">
        <v>241</v>
      </c>
      <c r="D13" s="67"/>
      <c r="E13" s="81">
        <f>E9+(E10*E12)+E11</f>
        <v>0.20075018733114222</v>
      </c>
      <c r="H13" s="7" t="s">
        <v>222</v>
      </c>
      <c r="J13" s="84">
        <f>E13*(J9/J11)+E22*(J10/J11)</f>
        <v>0.19887820812938248</v>
      </c>
    </row>
    <row r="15" spans="3:11" x14ac:dyDescent="0.3">
      <c r="C15" s="58" t="s">
        <v>242</v>
      </c>
      <c r="D15" s="58"/>
      <c r="E15" s="58"/>
    </row>
    <row r="16" spans="3:11" x14ac:dyDescent="0.3">
      <c r="C16" s="68" t="s">
        <v>243</v>
      </c>
    </row>
    <row r="17" spans="2:5" x14ac:dyDescent="0.3">
      <c r="C17" t="s">
        <v>244</v>
      </c>
      <c r="E17">
        <f>Financials!J26</f>
        <v>27.22</v>
      </c>
    </row>
    <row r="18" spans="2:5" x14ac:dyDescent="0.3">
      <c r="C18" t="s">
        <v>245</v>
      </c>
      <c r="E18">
        <f>Financials!J81+Financials!J89</f>
        <v>755.75</v>
      </c>
    </row>
    <row r="19" spans="2:5" x14ac:dyDescent="0.3">
      <c r="C19" s="71" t="s">
        <v>242</v>
      </c>
      <c r="D19" s="72"/>
      <c r="E19" s="82">
        <f>E17/E18</f>
        <v>3.6017201455507769E-2</v>
      </c>
    </row>
    <row r="21" spans="2:5" x14ac:dyDescent="0.3">
      <c r="C21" s="59" t="s">
        <v>226</v>
      </c>
      <c r="D21" s="59"/>
      <c r="E21" s="60">
        <v>0.3</v>
      </c>
    </row>
    <row r="22" spans="2:5" x14ac:dyDescent="0.3">
      <c r="C22" s="66" t="s">
        <v>251</v>
      </c>
      <c r="D22" s="67"/>
      <c r="E22" s="81">
        <f>E19*(1-E21)</f>
        <v>2.5212041018855436E-2</v>
      </c>
    </row>
    <row r="24" spans="2:5" x14ac:dyDescent="0.3">
      <c r="B24" s="51" t="s">
        <v>94</v>
      </c>
      <c r="C24" s="16" t="s">
        <v>193</v>
      </c>
    </row>
  </sheetData>
  <hyperlinks>
    <hyperlink ref="C6" location="Dashboard!A1" display="&lt;-Back to Dashboard" xr:uid="{D3502874-3C79-443A-B2EC-3DF04BA4DF8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F7DA-13B1-40A4-BE66-F879136EF7CE}">
  <dimension ref="C2:S148"/>
  <sheetViews>
    <sheetView zoomScaleNormal="100" workbookViewId="0">
      <selection activeCell="F158" sqref="F158"/>
    </sheetView>
  </sheetViews>
  <sheetFormatPr defaultRowHeight="14.4" outlineLevelRow="1" x14ac:dyDescent="0.3"/>
  <cols>
    <col min="1" max="2" width="2.88671875" customWidth="1"/>
    <col min="3" max="3" width="10.33203125" bestFit="1" customWidth="1"/>
    <col min="7" max="7" width="10.33203125" bestFit="1" customWidth="1"/>
    <col min="11" max="11" width="17.44140625" bestFit="1" customWidth="1"/>
  </cols>
  <sheetData>
    <row r="2" spans="3:16" x14ac:dyDescent="0.3">
      <c r="C2" s="243" t="s">
        <v>379</v>
      </c>
    </row>
    <row r="4" spans="3:16" x14ac:dyDescent="0.3">
      <c r="C4" s="58" t="s">
        <v>256</v>
      </c>
      <c r="D4" s="57"/>
      <c r="E4" s="57"/>
      <c r="F4" s="57"/>
      <c r="G4" s="57"/>
      <c r="H4" s="57"/>
    </row>
    <row r="6" spans="3:16" x14ac:dyDescent="0.3">
      <c r="C6" s="340" t="s">
        <v>254</v>
      </c>
      <c r="D6" s="340"/>
      <c r="E6" s="340"/>
      <c r="G6" s="340" t="s">
        <v>255</v>
      </c>
      <c r="H6" s="340"/>
      <c r="I6" s="340"/>
      <c r="K6" t="s">
        <v>257</v>
      </c>
    </row>
    <row r="7" spans="3:16" ht="15" thickBot="1" x14ac:dyDescent="0.35"/>
    <row r="8" spans="3:16" x14ac:dyDescent="0.3">
      <c r="C8" t="s">
        <v>252</v>
      </c>
      <c r="D8" t="s">
        <v>253</v>
      </c>
      <c r="G8" t="s">
        <v>252</v>
      </c>
      <c r="H8" t="s">
        <v>253</v>
      </c>
      <c r="K8" s="77" t="s">
        <v>258</v>
      </c>
      <c r="L8" s="77"/>
    </row>
    <row r="9" spans="3:16" x14ac:dyDescent="0.3">
      <c r="C9" s="73">
        <v>46096</v>
      </c>
      <c r="D9" s="4">
        <v>1245.8</v>
      </c>
      <c r="E9" s="4"/>
      <c r="F9" s="4"/>
      <c r="G9" s="73">
        <v>46096</v>
      </c>
      <c r="H9" s="4">
        <v>21327.9</v>
      </c>
      <c r="I9" s="4"/>
      <c r="J9" s="4"/>
      <c r="K9" t="s">
        <v>259</v>
      </c>
      <c r="L9">
        <v>0.50588927781872217</v>
      </c>
    </row>
    <row r="10" spans="3:16" x14ac:dyDescent="0.3">
      <c r="C10" s="73">
        <v>46089</v>
      </c>
      <c r="D10" s="4">
        <v>1140.8</v>
      </c>
      <c r="E10" s="74">
        <f>D9/D10-1</f>
        <v>9.204067321178111E-2</v>
      </c>
      <c r="F10" s="4"/>
      <c r="G10" s="73">
        <v>46089</v>
      </c>
      <c r="H10" s="4">
        <v>21391.200000000001</v>
      </c>
      <c r="I10" s="74">
        <f>H9/H10-1</f>
        <v>-2.9591607763940209E-3</v>
      </c>
      <c r="J10" s="4"/>
      <c r="K10" t="s">
        <v>260</v>
      </c>
      <c r="L10">
        <v>0.25592396141194829</v>
      </c>
    </row>
    <row r="11" spans="3:16" x14ac:dyDescent="0.3">
      <c r="C11" s="73">
        <v>46082</v>
      </c>
      <c r="D11" s="4">
        <v>1184</v>
      </c>
      <c r="E11" s="74">
        <f t="shared" ref="E11:E74" si="0">D10/D11-1</f>
        <v>-3.6486486486486558E-2</v>
      </c>
      <c r="F11" s="4"/>
      <c r="G11" s="73">
        <v>46082</v>
      </c>
      <c r="H11" s="4">
        <v>22481.3</v>
      </c>
      <c r="I11" s="74">
        <f t="shared" ref="I11:I74" si="1">H10/H11-1</f>
        <v>-4.8489188792463001E-2</v>
      </c>
      <c r="J11" s="4"/>
      <c r="K11" t="s">
        <v>261</v>
      </c>
      <c r="L11">
        <v>0.25045281406938907</v>
      </c>
    </row>
    <row r="12" spans="3:16" x14ac:dyDescent="0.3">
      <c r="C12" s="73">
        <v>46075</v>
      </c>
      <c r="D12" s="4">
        <v>1233</v>
      </c>
      <c r="E12" s="74">
        <f t="shared" si="0"/>
        <v>-3.9740470397404692E-2</v>
      </c>
      <c r="F12" s="4"/>
      <c r="G12" s="73">
        <v>46075</v>
      </c>
      <c r="H12" s="4">
        <v>23166.85</v>
      </c>
      <c r="I12" s="74">
        <f t="shared" si="1"/>
        <v>-2.9591852150810283E-2</v>
      </c>
      <c r="J12" s="4"/>
      <c r="K12" t="s">
        <v>262</v>
      </c>
      <c r="L12">
        <v>4.8267550222501732E-2</v>
      </c>
    </row>
    <row r="13" spans="3:16" ht="15" thickBot="1" x14ac:dyDescent="0.35">
      <c r="C13" s="73">
        <v>46068</v>
      </c>
      <c r="D13" s="4">
        <v>1143</v>
      </c>
      <c r="E13" s="74">
        <f t="shared" si="0"/>
        <v>7.8740157480315043E-2</v>
      </c>
      <c r="F13" s="4"/>
      <c r="G13" s="73">
        <v>46068</v>
      </c>
      <c r="H13" s="4">
        <v>23395</v>
      </c>
      <c r="I13" s="74">
        <f t="shared" si="1"/>
        <v>-9.7520837785852743E-3</v>
      </c>
      <c r="J13" s="4"/>
      <c r="K13" s="75" t="s">
        <v>263</v>
      </c>
      <c r="L13" s="75">
        <v>138</v>
      </c>
    </row>
    <row r="14" spans="3:16" x14ac:dyDescent="0.3">
      <c r="C14" s="73">
        <v>46061</v>
      </c>
      <c r="D14" s="4">
        <v>1190.4000000000001</v>
      </c>
      <c r="E14" s="74">
        <f t="shared" si="0"/>
        <v>-3.9818548387096864E-2</v>
      </c>
      <c r="F14" s="4"/>
      <c r="G14" s="73">
        <v>46061</v>
      </c>
      <c r="H14" s="4">
        <v>23313.15</v>
      </c>
      <c r="I14" s="74">
        <f t="shared" si="1"/>
        <v>3.5108940662242905E-3</v>
      </c>
      <c r="J14" s="4"/>
    </row>
    <row r="15" spans="3:16" ht="15" thickBot="1" x14ac:dyDescent="0.35">
      <c r="C15" s="73">
        <v>46054</v>
      </c>
      <c r="D15" s="4">
        <v>1261.3</v>
      </c>
      <c r="E15" s="74">
        <f t="shared" si="0"/>
        <v>-5.6211844921905896E-2</v>
      </c>
      <c r="F15" s="4"/>
      <c r="G15" s="73">
        <v>46054</v>
      </c>
      <c r="H15" s="4">
        <v>23434</v>
      </c>
      <c r="I15" s="74">
        <f t="shared" si="1"/>
        <v>-5.1570367841596854E-3</v>
      </c>
      <c r="J15" s="4"/>
      <c r="K15" t="s">
        <v>264</v>
      </c>
    </row>
    <row r="16" spans="3:16" x14ac:dyDescent="0.3">
      <c r="C16" s="73">
        <v>46047</v>
      </c>
      <c r="D16" s="4">
        <v>1103.8</v>
      </c>
      <c r="E16" s="74">
        <f t="shared" si="0"/>
        <v>0.14268889291538334</v>
      </c>
      <c r="F16" s="4"/>
      <c r="G16" s="73">
        <v>46047</v>
      </c>
      <c r="H16" s="4">
        <v>23079.5</v>
      </c>
      <c r="I16" s="74">
        <f t="shared" si="1"/>
        <v>1.5359951472085687E-2</v>
      </c>
      <c r="J16" s="4"/>
      <c r="K16" s="76"/>
      <c r="L16" s="76" t="s">
        <v>269</v>
      </c>
      <c r="M16" s="76" t="s">
        <v>270</v>
      </c>
      <c r="N16" s="76" t="s">
        <v>271</v>
      </c>
      <c r="O16" s="76" t="s">
        <v>272</v>
      </c>
      <c r="P16" s="76" t="s">
        <v>273</v>
      </c>
    </row>
    <row r="17" spans="3:19" x14ac:dyDescent="0.3">
      <c r="C17" s="73">
        <v>46040</v>
      </c>
      <c r="D17" s="4">
        <v>1115.5</v>
      </c>
      <c r="E17" s="74">
        <f t="shared" si="0"/>
        <v>-1.0488570147915821E-2</v>
      </c>
      <c r="F17" s="4"/>
      <c r="G17" s="73">
        <v>46040</v>
      </c>
      <c r="H17" s="4">
        <v>22706.2</v>
      </c>
      <c r="I17" s="74">
        <f t="shared" si="1"/>
        <v>1.6440443579286645E-2</v>
      </c>
      <c r="J17" s="4"/>
      <c r="K17" t="s">
        <v>265</v>
      </c>
      <c r="L17">
        <v>1</v>
      </c>
      <c r="M17">
        <v>0.1089790588386752</v>
      </c>
      <c r="N17">
        <v>0.1089790588386752</v>
      </c>
      <c r="O17">
        <v>46.777018674155528</v>
      </c>
      <c r="P17">
        <v>2.4636358062425795E-10</v>
      </c>
    </row>
    <row r="18" spans="3:19" x14ac:dyDescent="0.3">
      <c r="C18" s="73">
        <v>46033</v>
      </c>
      <c r="D18" s="4">
        <v>1229</v>
      </c>
      <c r="E18" s="74">
        <f t="shared" si="0"/>
        <v>-9.235150528885272E-2</v>
      </c>
      <c r="F18" s="4"/>
      <c r="G18" s="73">
        <v>46033</v>
      </c>
      <c r="H18" s="4">
        <v>23485.3</v>
      </c>
      <c r="I18" s="74">
        <f t="shared" si="1"/>
        <v>-3.3173942849356819E-2</v>
      </c>
      <c r="J18" s="4"/>
      <c r="K18" t="s">
        <v>266</v>
      </c>
      <c r="L18">
        <v>136</v>
      </c>
      <c r="M18">
        <v>0.31684687100951492</v>
      </c>
      <c r="N18">
        <v>2.3297564044817273E-3</v>
      </c>
    </row>
    <row r="19" spans="3:19" ht="15" thickBot="1" x14ac:dyDescent="0.35">
      <c r="C19" s="73">
        <v>46026</v>
      </c>
      <c r="D19" s="4">
        <v>1265.2</v>
      </c>
      <c r="E19" s="74">
        <f t="shared" si="0"/>
        <v>-2.8612077141953907E-2</v>
      </c>
      <c r="F19" s="4"/>
      <c r="G19" s="73">
        <v>46026</v>
      </c>
      <c r="H19" s="4">
        <v>23467.35</v>
      </c>
      <c r="I19" s="74">
        <f t="shared" si="1"/>
        <v>7.6489249957933936E-4</v>
      </c>
      <c r="J19" s="4"/>
      <c r="K19" s="75" t="s">
        <v>267</v>
      </c>
      <c r="L19" s="75">
        <v>137</v>
      </c>
      <c r="M19" s="75">
        <v>0.42582592984819012</v>
      </c>
      <c r="N19" s="75"/>
      <c r="O19" s="75"/>
      <c r="P19" s="75"/>
    </row>
    <row r="20" spans="3:19" ht="15" thickBot="1" x14ac:dyDescent="0.35">
      <c r="C20" s="73">
        <v>46019</v>
      </c>
      <c r="D20" s="4">
        <v>1348.8</v>
      </c>
      <c r="E20" s="74">
        <f t="shared" si="0"/>
        <v>-6.1981020166073431E-2</v>
      </c>
      <c r="F20" s="4"/>
      <c r="G20" s="73">
        <v>46019</v>
      </c>
      <c r="H20" s="4">
        <v>24099</v>
      </c>
      <c r="I20" s="74">
        <f t="shared" si="1"/>
        <v>-2.6210631146520669E-2</v>
      </c>
      <c r="J20" s="4"/>
    </row>
    <row r="21" spans="3:19" x14ac:dyDescent="0.3">
      <c r="C21" s="73">
        <v>46012</v>
      </c>
      <c r="D21" s="4">
        <v>1369.8</v>
      </c>
      <c r="E21" s="74">
        <f t="shared" si="0"/>
        <v>-1.5330705212439732E-2</v>
      </c>
      <c r="F21" s="4"/>
      <c r="G21" s="73">
        <v>46012</v>
      </c>
      <c r="H21" s="4">
        <v>23780.25</v>
      </c>
      <c r="I21" s="74">
        <f t="shared" si="1"/>
        <v>1.340398019364808E-2</v>
      </c>
      <c r="J21" s="4"/>
      <c r="K21" s="76"/>
      <c r="L21" s="76" t="s">
        <v>274</v>
      </c>
      <c r="M21" s="76" t="s">
        <v>262</v>
      </c>
      <c r="N21" s="76" t="s">
        <v>275</v>
      </c>
      <c r="O21" s="76" t="s">
        <v>276</v>
      </c>
      <c r="P21" s="76" t="s">
        <v>277</v>
      </c>
      <c r="Q21" s="76" t="s">
        <v>278</v>
      </c>
      <c r="R21" s="76" t="s">
        <v>279</v>
      </c>
      <c r="S21" s="76" t="s">
        <v>280</v>
      </c>
    </row>
    <row r="22" spans="3:19" x14ac:dyDescent="0.3">
      <c r="C22" s="73">
        <v>46005</v>
      </c>
      <c r="D22" s="4">
        <v>1300.9000000000001</v>
      </c>
      <c r="E22" s="74">
        <f t="shared" si="0"/>
        <v>5.2963333077100438E-2</v>
      </c>
      <c r="F22" s="4"/>
      <c r="G22" s="73">
        <v>46005</v>
      </c>
      <c r="H22" s="4">
        <v>23677.55</v>
      </c>
      <c r="I22" s="74">
        <f t="shared" si="1"/>
        <v>4.3374420073023501E-3</v>
      </c>
      <c r="J22" s="4"/>
      <c r="K22" t="s">
        <v>268</v>
      </c>
      <c r="L22">
        <v>4.1052294151738399E-3</v>
      </c>
      <c r="M22">
        <v>4.1282440458811466E-3</v>
      </c>
      <c r="N22">
        <v>0.9944250799004315</v>
      </c>
      <c r="O22">
        <v>0.32178196912541612</v>
      </c>
      <c r="P22">
        <v>-4.0586240860236746E-3</v>
      </c>
      <c r="Q22">
        <v>1.2269082916371354E-2</v>
      </c>
      <c r="R22">
        <v>-4.0586240860236746E-3</v>
      </c>
      <c r="S22">
        <v>1.2269082916371354E-2</v>
      </c>
    </row>
    <row r="23" spans="3:19" ht="15" thickBot="1" x14ac:dyDescent="0.35">
      <c r="C23" s="73">
        <v>45998</v>
      </c>
      <c r="D23" s="4">
        <v>1288.3</v>
      </c>
      <c r="E23" s="74">
        <f t="shared" si="0"/>
        <v>9.7803306683226232E-3</v>
      </c>
      <c r="F23" s="4"/>
      <c r="G23" s="73">
        <v>45998</v>
      </c>
      <c r="H23" s="4">
        <v>23726.2</v>
      </c>
      <c r="I23" s="74">
        <f t="shared" si="1"/>
        <v>-2.0504758452681848E-3</v>
      </c>
      <c r="J23" s="4"/>
      <c r="K23" s="75" t="s">
        <v>281</v>
      </c>
      <c r="L23" s="75">
        <v>1.4813585781234777</v>
      </c>
      <c r="M23" s="75">
        <v>0.21659275596528782</v>
      </c>
      <c r="N23" s="75">
        <v>6.8393726813323674</v>
      </c>
      <c r="O23" s="75">
        <v>2.463635806242597E-10</v>
      </c>
      <c r="P23" s="75">
        <v>1.0530332394397235</v>
      </c>
      <c r="Q23" s="75">
        <v>1.9096839168072319</v>
      </c>
      <c r="R23" s="75">
        <v>1.0530332394397235</v>
      </c>
      <c r="S23" s="75">
        <v>1.9096839168072319</v>
      </c>
    </row>
    <row r="24" spans="3:19" x14ac:dyDescent="0.3">
      <c r="C24" s="73">
        <v>45991</v>
      </c>
      <c r="D24" s="4">
        <v>1220.3</v>
      </c>
      <c r="E24" s="74">
        <f t="shared" si="0"/>
        <v>5.5724002294517794E-2</v>
      </c>
      <c r="F24" s="4"/>
      <c r="G24" s="73">
        <v>45991</v>
      </c>
      <c r="H24" s="4">
        <v>23835.25</v>
      </c>
      <c r="I24" s="74">
        <f t="shared" si="1"/>
        <v>-4.5751565433548302E-3</v>
      </c>
      <c r="J24" s="4"/>
    </row>
    <row r="25" spans="3:19" x14ac:dyDescent="0.3">
      <c r="C25" s="73">
        <v>45984</v>
      </c>
      <c r="D25" s="4">
        <v>1220.4000000000001</v>
      </c>
      <c r="E25" s="74">
        <f t="shared" si="0"/>
        <v>-8.1940347427145177E-5</v>
      </c>
      <c r="F25" s="4"/>
      <c r="G25" s="73">
        <v>45984</v>
      </c>
      <c r="H25" s="4">
        <v>23933.200000000001</v>
      </c>
      <c r="I25" s="74">
        <f t="shared" si="1"/>
        <v>-4.0926411846305966E-3</v>
      </c>
      <c r="J25" s="4"/>
      <c r="K25" s="78" t="s">
        <v>239</v>
      </c>
      <c r="L25" s="79">
        <f>L23</f>
        <v>1.4813585781234777</v>
      </c>
    </row>
    <row r="26" spans="3:19" x14ac:dyDescent="0.3">
      <c r="C26" s="73">
        <v>45977</v>
      </c>
      <c r="D26" s="4">
        <v>1223</v>
      </c>
      <c r="E26" s="74">
        <f t="shared" si="0"/>
        <v>-2.1259198691740977E-3</v>
      </c>
      <c r="F26" s="4"/>
      <c r="G26" s="73">
        <v>45977</v>
      </c>
      <c r="H26" s="4">
        <v>23790.25</v>
      </c>
      <c r="I26" s="74">
        <f t="shared" si="1"/>
        <v>6.0087640945345466E-3</v>
      </c>
      <c r="J26" s="4"/>
    </row>
    <row r="27" spans="3:19" x14ac:dyDescent="0.3">
      <c r="C27" s="73">
        <v>45970</v>
      </c>
      <c r="D27" s="4">
        <v>1287.3</v>
      </c>
      <c r="E27" s="74">
        <f t="shared" si="0"/>
        <v>-4.9949506719490389E-2</v>
      </c>
      <c r="F27" s="4"/>
      <c r="G27" s="73">
        <v>45970</v>
      </c>
      <c r="H27" s="4">
        <v>23836.35</v>
      </c>
      <c r="I27" s="74">
        <f t="shared" si="1"/>
        <v>-1.934020938608394E-3</v>
      </c>
      <c r="J27" s="4"/>
      <c r="K27" s="265" t="s">
        <v>294</v>
      </c>
      <c r="L27" s="266">
        <f>AVERAGE($D$9:$D$63)</f>
        <v>1302.2736363636361</v>
      </c>
      <c r="N27" s="69"/>
    </row>
    <row r="28" spans="3:19" x14ac:dyDescent="0.3">
      <c r="C28" s="73">
        <v>45963</v>
      </c>
      <c r="D28" s="4">
        <v>1315.6</v>
      </c>
      <c r="E28" s="74">
        <f t="shared" si="0"/>
        <v>-2.1511097598054141E-2</v>
      </c>
      <c r="F28" s="4"/>
      <c r="G28" s="73">
        <v>45963</v>
      </c>
      <c r="H28" s="4">
        <v>23521.5</v>
      </c>
      <c r="I28" s="74">
        <f t="shared" si="1"/>
        <v>1.3385625916714439E-2</v>
      </c>
      <c r="J28" s="4"/>
      <c r="K28" s="267" t="s">
        <v>295</v>
      </c>
      <c r="L28" s="268">
        <f>MEDIAN($D$9:$D$63)</f>
        <v>1293.4000000000001</v>
      </c>
      <c r="N28" s="69"/>
    </row>
    <row r="29" spans="3:19" x14ac:dyDescent="0.3">
      <c r="C29" s="73">
        <v>45956</v>
      </c>
      <c r="D29" s="4">
        <v>1304.8</v>
      </c>
      <c r="E29" s="74">
        <f t="shared" si="0"/>
        <v>8.2771305947271223E-3</v>
      </c>
      <c r="F29" s="4"/>
      <c r="G29" s="73">
        <v>45956</v>
      </c>
      <c r="H29" s="4">
        <v>23710.400000000001</v>
      </c>
      <c r="I29" s="74">
        <f t="shared" si="1"/>
        <v>-7.9669680815169786E-3</v>
      </c>
      <c r="J29" s="4"/>
      <c r="K29" s="267" t="s">
        <v>296</v>
      </c>
      <c r="L29" s="268">
        <f>QUARTILE($D$9:$D$63,3)</f>
        <v>1351.25</v>
      </c>
      <c r="N29" s="69"/>
    </row>
    <row r="30" spans="3:19" x14ac:dyDescent="0.3">
      <c r="C30" s="73">
        <v>45949</v>
      </c>
      <c r="D30" s="4">
        <v>1336.3</v>
      </c>
      <c r="E30" s="74">
        <f t="shared" si="0"/>
        <v>-2.3572551073860692E-2</v>
      </c>
      <c r="F30" s="4"/>
      <c r="G30" s="73">
        <v>45949</v>
      </c>
      <c r="H30" s="4">
        <v>23686.6</v>
      </c>
      <c r="I30" s="74">
        <f t="shared" si="1"/>
        <v>1.0047875169929554E-3</v>
      </c>
      <c r="J30" s="4"/>
      <c r="K30" s="269" t="s">
        <v>297</v>
      </c>
      <c r="L30" s="270">
        <f>QUARTILE($D$9:$D$63,1)</f>
        <v>1226</v>
      </c>
      <c r="N30" s="69"/>
    </row>
    <row r="31" spans="3:19" hidden="1" outlineLevel="1" x14ac:dyDescent="0.3">
      <c r="C31" s="73">
        <v>45942</v>
      </c>
      <c r="D31" s="4">
        <v>1323.4</v>
      </c>
      <c r="E31" s="74">
        <f t="shared" si="0"/>
        <v>9.7476197672661247E-3</v>
      </c>
      <c r="F31" s="4"/>
      <c r="G31" s="73">
        <v>45942</v>
      </c>
      <c r="H31" s="4">
        <v>23598.05</v>
      </c>
      <c r="I31" s="74">
        <f t="shared" si="1"/>
        <v>3.7524286964387699E-3</v>
      </c>
      <c r="J31" s="4"/>
      <c r="K31" s="69"/>
      <c r="L31" s="4"/>
      <c r="N31" s="69"/>
    </row>
    <row r="32" spans="3:19" hidden="1" outlineLevel="1" x14ac:dyDescent="0.3">
      <c r="C32" s="73">
        <v>45935</v>
      </c>
      <c r="D32" s="4">
        <v>1344.2</v>
      </c>
      <c r="E32" s="74">
        <f t="shared" si="0"/>
        <v>-1.5473887814313358E-2</v>
      </c>
      <c r="F32" s="4"/>
      <c r="G32" s="73">
        <v>45935</v>
      </c>
      <c r="H32" s="4">
        <v>23337.55</v>
      </c>
      <c r="I32" s="74">
        <f t="shared" si="1"/>
        <v>1.1162268532900921E-2</v>
      </c>
      <c r="J32" s="4"/>
      <c r="K32" s="69"/>
      <c r="L32" s="4"/>
      <c r="N32" s="69"/>
    </row>
    <row r="33" spans="3:14" hidden="1" outlineLevel="1" x14ac:dyDescent="0.3">
      <c r="C33" s="73">
        <v>45928</v>
      </c>
      <c r="D33" s="4">
        <v>1312.3</v>
      </c>
      <c r="E33" s="74">
        <f t="shared" si="0"/>
        <v>2.4308466051969901E-2</v>
      </c>
      <c r="F33" s="4"/>
      <c r="G33" s="73">
        <v>45928</v>
      </c>
      <c r="H33" s="4">
        <v>23027.7</v>
      </c>
      <c r="I33" s="74">
        <f t="shared" si="1"/>
        <v>1.345553398732835E-2</v>
      </c>
      <c r="J33" s="4"/>
      <c r="K33" s="69"/>
      <c r="L33" s="4"/>
      <c r="N33" s="69"/>
    </row>
    <row r="34" spans="3:14" hidden="1" outlineLevel="1" x14ac:dyDescent="0.3">
      <c r="C34" s="73">
        <v>45921</v>
      </c>
      <c r="D34" s="4">
        <v>1246</v>
      </c>
      <c r="E34" s="74">
        <f t="shared" si="0"/>
        <v>5.3210272873194242E-2</v>
      </c>
      <c r="F34" s="4"/>
      <c r="G34" s="73">
        <v>45921</v>
      </c>
      <c r="H34" s="4">
        <v>22713.15</v>
      </c>
      <c r="I34" s="74">
        <f t="shared" si="1"/>
        <v>1.3848805647829421E-2</v>
      </c>
      <c r="J34" s="4"/>
      <c r="K34" s="69"/>
      <c r="L34" s="4"/>
      <c r="N34" s="69"/>
    </row>
    <row r="35" spans="3:14" hidden="1" outlineLevel="1" x14ac:dyDescent="0.3">
      <c r="C35" s="73">
        <v>45914</v>
      </c>
      <c r="D35" s="4">
        <v>1328.5</v>
      </c>
      <c r="E35" s="74">
        <f t="shared" si="0"/>
        <v>-6.2100112909296179E-2</v>
      </c>
      <c r="F35" s="4"/>
      <c r="G35" s="73">
        <v>45914</v>
      </c>
      <c r="H35" s="4">
        <v>23486.65</v>
      </c>
      <c r="I35" s="74">
        <f t="shared" si="1"/>
        <v>-3.2933602706218257E-2</v>
      </c>
      <c r="J35" s="4"/>
      <c r="K35" s="69"/>
      <c r="L35" s="4"/>
      <c r="N35" s="69"/>
    </row>
    <row r="36" spans="3:14" hidden="1" outlineLevel="1" x14ac:dyDescent="0.3">
      <c r="C36" s="73">
        <v>45907</v>
      </c>
      <c r="D36" s="4">
        <v>1296.5</v>
      </c>
      <c r="E36" s="74">
        <f t="shared" si="0"/>
        <v>2.4681835711531042E-2</v>
      </c>
      <c r="F36" s="4"/>
      <c r="G36" s="73">
        <v>45907</v>
      </c>
      <c r="H36" s="4">
        <v>23190.25</v>
      </c>
      <c r="I36" s="74">
        <f t="shared" si="1"/>
        <v>1.2781233492523913E-2</v>
      </c>
      <c r="J36" s="4"/>
      <c r="K36" s="69"/>
      <c r="L36" s="4"/>
      <c r="N36" s="69"/>
    </row>
    <row r="37" spans="3:14" hidden="1" outlineLevel="1" x14ac:dyDescent="0.3">
      <c r="C37" s="73">
        <v>45900</v>
      </c>
      <c r="D37" s="4">
        <v>1293.4000000000001</v>
      </c>
      <c r="E37" s="74">
        <f t="shared" si="0"/>
        <v>2.3967836709446466E-3</v>
      </c>
      <c r="F37" s="4"/>
      <c r="G37" s="73">
        <v>45900</v>
      </c>
      <c r="H37" s="4">
        <v>22829.15</v>
      </c>
      <c r="I37" s="74">
        <f t="shared" si="1"/>
        <v>1.5817496490232896E-2</v>
      </c>
      <c r="J37" s="4"/>
      <c r="K37" s="69"/>
      <c r="L37" s="4"/>
      <c r="N37" s="69"/>
    </row>
    <row r="38" spans="3:14" hidden="1" outlineLevel="1" x14ac:dyDescent="0.3">
      <c r="C38" s="73">
        <v>45893</v>
      </c>
      <c r="D38" s="4">
        <v>1288.8</v>
      </c>
      <c r="E38" s="74">
        <f t="shared" si="0"/>
        <v>3.5692116697705334E-3</v>
      </c>
      <c r="F38" s="4"/>
      <c r="G38" s="73">
        <v>45893</v>
      </c>
      <c r="H38" s="4">
        <v>22462.95</v>
      </c>
      <c r="I38" s="74">
        <f t="shared" si="1"/>
        <v>1.6302400174509568E-2</v>
      </c>
      <c r="J38" s="4"/>
      <c r="K38" s="69"/>
      <c r="L38" s="4"/>
      <c r="N38" s="69"/>
    </row>
    <row r="39" spans="3:14" hidden="1" outlineLevel="1" x14ac:dyDescent="0.3">
      <c r="C39" s="73">
        <v>45886</v>
      </c>
      <c r="D39" s="4">
        <v>1353.7</v>
      </c>
      <c r="E39" s="74">
        <f t="shared" si="0"/>
        <v>-4.7942675629755516E-2</v>
      </c>
      <c r="F39" s="4"/>
      <c r="G39" s="73">
        <v>45886</v>
      </c>
      <c r="H39" s="4">
        <v>22991.3</v>
      </c>
      <c r="I39" s="74">
        <f t="shared" si="1"/>
        <v>-2.2980431728523376E-2</v>
      </c>
      <c r="J39" s="4"/>
      <c r="K39" s="69"/>
      <c r="L39" s="4"/>
      <c r="N39" s="69"/>
    </row>
    <row r="40" spans="3:14" hidden="1" outlineLevel="1" x14ac:dyDescent="0.3">
      <c r="C40" s="73">
        <v>45879</v>
      </c>
      <c r="D40" s="4">
        <v>1398.7</v>
      </c>
      <c r="E40" s="74">
        <f t="shared" si="0"/>
        <v>-3.2172731822406542E-2</v>
      </c>
      <c r="F40" s="4"/>
      <c r="G40" s="73">
        <v>45879</v>
      </c>
      <c r="H40" s="4">
        <v>22680.25</v>
      </c>
      <c r="I40" s="74">
        <f t="shared" si="1"/>
        <v>1.3714575456619693E-2</v>
      </c>
      <c r="J40" s="4"/>
      <c r="K40" s="69"/>
      <c r="L40" s="4"/>
      <c r="N40" s="69"/>
    </row>
    <row r="41" spans="3:14" hidden="1" outlineLevel="1" x14ac:dyDescent="0.3">
      <c r="C41" s="73">
        <v>45872</v>
      </c>
      <c r="D41" s="4">
        <v>1400.3</v>
      </c>
      <c r="E41" s="74">
        <f t="shared" si="0"/>
        <v>-1.1426122973647868E-3</v>
      </c>
      <c r="F41" s="4"/>
      <c r="G41" s="73">
        <v>45872</v>
      </c>
      <c r="H41" s="4">
        <v>22443.15</v>
      </c>
      <c r="I41" s="74">
        <f t="shared" si="1"/>
        <v>1.0564470673679827E-2</v>
      </c>
      <c r="J41" s="4"/>
      <c r="K41" s="69"/>
      <c r="L41" s="4"/>
      <c r="N41" s="69"/>
    </row>
    <row r="42" spans="3:14" hidden="1" outlineLevel="1" x14ac:dyDescent="0.3">
      <c r="C42" s="73">
        <v>45865</v>
      </c>
      <c r="D42" s="4">
        <v>1445.6</v>
      </c>
      <c r="E42" s="74">
        <f t="shared" si="0"/>
        <v>-3.1336469286109558E-2</v>
      </c>
      <c r="F42" s="4"/>
      <c r="G42" s="73">
        <v>45865</v>
      </c>
      <c r="H42" s="4">
        <v>22673.65</v>
      </c>
      <c r="I42" s="74">
        <f t="shared" si="1"/>
        <v>-1.0165985626487184E-2</v>
      </c>
      <c r="J42" s="4"/>
      <c r="K42" s="69"/>
      <c r="L42" s="4"/>
      <c r="N42" s="69"/>
    </row>
    <row r="43" spans="3:14" hidden="1" outlineLevel="1" x14ac:dyDescent="0.3">
      <c r="C43" s="73">
        <v>45858</v>
      </c>
      <c r="D43" s="4">
        <v>1504.3</v>
      </c>
      <c r="E43" s="74">
        <f t="shared" si="0"/>
        <v>-3.9021471780894768E-2</v>
      </c>
      <c r="F43" s="4"/>
      <c r="G43" s="73">
        <v>45858</v>
      </c>
      <c r="H43" s="4">
        <v>23014.799999999999</v>
      </c>
      <c r="I43" s="74">
        <f t="shared" si="1"/>
        <v>-1.4823070372108282E-2</v>
      </c>
      <c r="J43" s="4"/>
      <c r="K43" s="69"/>
      <c r="L43" s="4"/>
      <c r="N43" s="69"/>
    </row>
    <row r="44" spans="3:14" hidden="1" outlineLevel="1" x14ac:dyDescent="0.3">
      <c r="C44" s="73">
        <v>45851</v>
      </c>
      <c r="D44" s="4">
        <v>1472.6</v>
      </c>
      <c r="E44" s="74">
        <f t="shared" si="0"/>
        <v>2.152655167730555E-2</v>
      </c>
      <c r="F44" s="4"/>
      <c r="G44" s="73">
        <v>45851</v>
      </c>
      <c r="H44" s="4">
        <v>23275.15</v>
      </c>
      <c r="I44" s="74">
        <f t="shared" si="1"/>
        <v>-1.118574960848806E-2</v>
      </c>
      <c r="J44" s="4"/>
      <c r="K44" s="69"/>
      <c r="L44" s="4"/>
      <c r="N44" s="69"/>
    </row>
    <row r="45" spans="3:14" hidden="1" outlineLevel="1" x14ac:dyDescent="0.3">
      <c r="C45" s="73">
        <v>45844</v>
      </c>
      <c r="D45" s="4">
        <v>1488.9</v>
      </c>
      <c r="E45" s="74">
        <f t="shared" si="0"/>
        <v>-1.0947679494929252E-2</v>
      </c>
      <c r="F45" s="4"/>
      <c r="G45" s="73">
        <v>45844</v>
      </c>
      <c r="H45" s="4">
        <v>23282.7</v>
      </c>
      <c r="I45" s="74">
        <f t="shared" si="1"/>
        <v>-3.2427510555044226E-4</v>
      </c>
      <c r="J45" s="4"/>
      <c r="K45" s="69"/>
      <c r="L45" s="4"/>
      <c r="N45" s="69"/>
    </row>
    <row r="46" spans="3:14" hidden="1" outlineLevel="1" x14ac:dyDescent="0.3">
      <c r="C46" s="73">
        <v>45837</v>
      </c>
      <c r="D46" s="4">
        <v>1553.7</v>
      </c>
      <c r="E46" s="74">
        <f t="shared" si="0"/>
        <v>-4.1706893222629771E-2</v>
      </c>
      <c r="F46" s="4"/>
      <c r="G46" s="73">
        <v>45837</v>
      </c>
      <c r="H46" s="4">
        <v>23562.45</v>
      </c>
      <c r="I46" s="74">
        <f t="shared" si="1"/>
        <v>-1.1872704239160203E-2</v>
      </c>
      <c r="J46" s="4"/>
      <c r="K46" s="69"/>
      <c r="L46" s="4"/>
      <c r="N46" s="69"/>
    </row>
    <row r="47" spans="3:14" hidden="1" outlineLevel="1" x14ac:dyDescent="0.3">
      <c r="C47" s="73">
        <v>45830</v>
      </c>
      <c r="D47" s="4">
        <v>1548.4</v>
      </c>
      <c r="E47" s="74">
        <f t="shared" si="0"/>
        <v>3.4228881425988344E-3</v>
      </c>
      <c r="F47" s="4"/>
      <c r="G47" s="73">
        <v>45830</v>
      </c>
      <c r="H47" s="4">
        <v>23620.15</v>
      </c>
      <c r="I47" s="74">
        <f t="shared" si="1"/>
        <v>-2.4428295332586947E-3</v>
      </c>
      <c r="J47" s="4"/>
      <c r="K47" s="69"/>
      <c r="L47" s="4"/>
      <c r="N47" s="69"/>
    </row>
    <row r="48" spans="3:14" hidden="1" outlineLevel="1" x14ac:dyDescent="0.3">
      <c r="C48" s="73">
        <v>45823</v>
      </c>
      <c r="D48" s="4">
        <v>1467.9</v>
      </c>
      <c r="E48" s="74">
        <f t="shared" si="0"/>
        <v>5.4840247973295231E-2</v>
      </c>
      <c r="F48" s="4"/>
      <c r="G48" s="73">
        <v>45823</v>
      </c>
      <c r="H48" s="4">
        <v>23041.1</v>
      </c>
      <c r="I48" s="74">
        <f t="shared" si="1"/>
        <v>2.5131178632964657E-2</v>
      </c>
      <c r="J48" s="4"/>
      <c r="K48" s="69"/>
      <c r="L48" s="4"/>
      <c r="N48" s="69"/>
    </row>
    <row r="49" spans="3:14" hidden="1" outlineLevel="1" x14ac:dyDescent="0.3">
      <c r="C49" s="73">
        <v>45816</v>
      </c>
      <c r="D49" s="4">
        <v>1486.9</v>
      </c>
      <c r="E49" s="74">
        <f t="shared" si="0"/>
        <v>-1.2778263501244225E-2</v>
      </c>
      <c r="F49" s="4"/>
      <c r="G49" s="73">
        <v>45816</v>
      </c>
      <c r="H49" s="4">
        <v>22906.2</v>
      </c>
      <c r="I49" s="74">
        <f t="shared" si="1"/>
        <v>5.8892352288899552E-3</v>
      </c>
      <c r="J49" s="4"/>
      <c r="K49" s="69"/>
      <c r="L49" s="4"/>
      <c r="N49" s="69"/>
    </row>
    <row r="50" spans="3:14" hidden="1" outlineLevel="1" x14ac:dyDescent="0.3">
      <c r="C50" s="73">
        <v>45809</v>
      </c>
      <c r="D50" s="4">
        <v>1458.9</v>
      </c>
      <c r="E50" s="74">
        <f t="shared" si="0"/>
        <v>1.9192542326410322E-2</v>
      </c>
      <c r="F50" s="4"/>
      <c r="G50" s="73">
        <v>45809</v>
      </c>
      <c r="H50" s="4">
        <v>23165.1</v>
      </c>
      <c r="I50" s="74">
        <f t="shared" si="1"/>
        <v>-1.1176295375370571E-2</v>
      </c>
      <c r="J50" s="4"/>
      <c r="K50" s="69"/>
      <c r="L50" s="4"/>
      <c r="N50" s="69"/>
    </row>
    <row r="51" spans="3:14" hidden="1" outlineLevel="1" x14ac:dyDescent="0.3">
      <c r="C51" s="73">
        <v>45802</v>
      </c>
      <c r="D51" s="4">
        <v>1393.1</v>
      </c>
      <c r="E51" s="74">
        <f t="shared" si="0"/>
        <v>4.72327901801739E-2</v>
      </c>
      <c r="F51" s="4"/>
      <c r="G51" s="73">
        <v>45802</v>
      </c>
      <c r="H51" s="4">
        <v>22801.95</v>
      </c>
      <c r="I51" s="74">
        <f t="shared" si="1"/>
        <v>1.5926269463795828E-2</v>
      </c>
      <c r="J51" s="4"/>
      <c r="K51" s="69"/>
      <c r="L51" s="4"/>
      <c r="N51" s="69"/>
    </row>
    <row r="52" spans="3:14" hidden="1" outlineLevel="1" x14ac:dyDescent="0.3">
      <c r="C52" s="73">
        <v>45795</v>
      </c>
      <c r="D52" s="4">
        <v>1339.2</v>
      </c>
      <c r="E52" s="74">
        <f t="shared" si="0"/>
        <v>4.0247909199522036E-2</v>
      </c>
      <c r="F52" s="4"/>
      <c r="G52" s="73">
        <v>45795</v>
      </c>
      <c r="H52" s="4">
        <v>22781.05</v>
      </c>
      <c r="I52" s="74">
        <f t="shared" si="1"/>
        <v>9.1742917907655652E-4</v>
      </c>
      <c r="J52" s="4"/>
      <c r="K52" s="69"/>
      <c r="L52" s="4"/>
      <c r="N52" s="69"/>
    </row>
    <row r="53" spans="3:14" hidden="1" outlineLevel="1" x14ac:dyDescent="0.3">
      <c r="C53" s="73">
        <v>45788</v>
      </c>
      <c r="D53" s="4">
        <v>1306.5999999999999</v>
      </c>
      <c r="E53" s="74">
        <f t="shared" si="0"/>
        <v>2.4950252563906483E-2</v>
      </c>
      <c r="F53" s="4"/>
      <c r="G53" s="73">
        <v>45788</v>
      </c>
      <c r="H53" s="4">
        <v>22870.9</v>
      </c>
      <c r="I53" s="74">
        <f t="shared" si="1"/>
        <v>-3.9285729901316069E-3</v>
      </c>
      <c r="J53" s="4"/>
      <c r="K53" s="69"/>
      <c r="L53" s="4"/>
      <c r="N53" s="69"/>
    </row>
    <row r="54" spans="3:14" hidden="1" outlineLevel="1" x14ac:dyDescent="0.3">
      <c r="C54" s="73">
        <v>45781</v>
      </c>
      <c r="D54" s="4">
        <v>1175.5</v>
      </c>
      <c r="E54" s="74">
        <f t="shared" si="0"/>
        <v>0.11152700978307095</v>
      </c>
      <c r="F54" s="4"/>
      <c r="G54" s="73">
        <v>45781</v>
      </c>
      <c r="H54" s="4">
        <v>21675.55</v>
      </c>
      <c r="I54" s="74">
        <f t="shared" si="1"/>
        <v>5.5147389570276317E-2</v>
      </c>
      <c r="J54" s="4"/>
      <c r="K54" s="69"/>
      <c r="L54" s="4"/>
      <c r="N54" s="69"/>
    </row>
    <row r="55" spans="3:14" hidden="1" outlineLevel="1" x14ac:dyDescent="0.3">
      <c r="C55" s="73">
        <v>45774</v>
      </c>
      <c r="D55" s="4">
        <v>1193.5</v>
      </c>
      <c r="E55" s="74">
        <f t="shared" si="0"/>
        <v>-1.5081692501047295E-2</v>
      </c>
      <c r="F55" s="4"/>
      <c r="G55" s="73">
        <v>45774</v>
      </c>
      <c r="H55" s="4">
        <v>22006</v>
      </c>
      <c r="I55" s="74">
        <f t="shared" si="1"/>
        <v>-1.5016359174770511E-2</v>
      </c>
      <c r="J55" s="4"/>
      <c r="K55" s="69"/>
      <c r="L55" s="4"/>
      <c r="N55" s="69"/>
    </row>
    <row r="56" spans="3:14" hidden="1" outlineLevel="1" x14ac:dyDescent="0.3">
      <c r="C56" s="73">
        <v>45767</v>
      </c>
      <c r="D56" s="4">
        <v>1280.5999999999999</v>
      </c>
      <c r="E56" s="74">
        <f t="shared" si="0"/>
        <v>-6.8014992972044275E-2</v>
      </c>
      <c r="F56" s="4"/>
      <c r="G56" s="73">
        <v>45767</v>
      </c>
      <c r="H56" s="4">
        <v>21848.15</v>
      </c>
      <c r="I56" s="74">
        <f t="shared" si="1"/>
        <v>7.2248680094195716E-3</v>
      </c>
      <c r="J56" s="4"/>
      <c r="K56" s="69"/>
      <c r="L56" s="4"/>
      <c r="N56" s="69"/>
    </row>
    <row r="57" spans="3:14" hidden="1" outlineLevel="1" x14ac:dyDescent="0.3">
      <c r="C57" s="73">
        <v>45760</v>
      </c>
      <c r="D57" s="4">
        <v>1286.2</v>
      </c>
      <c r="E57" s="74">
        <f t="shared" si="0"/>
        <v>-4.3539107448298253E-3</v>
      </c>
      <c r="F57" s="4"/>
      <c r="G57" s="73">
        <v>45760</v>
      </c>
      <c r="H57" s="4">
        <v>21681.55</v>
      </c>
      <c r="I57" s="74">
        <f t="shared" si="1"/>
        <v>7.6839524849470209E-3</v>
      </c>
      <c r="J57" s="4"/>
      <c r="K57" s="69"/>
      <c r="L57" s="4"/>
      <c r="N57" s="69"/>
    </row>
    <row r="58" spans="3:14" hidden="1" outlineLevel="1" x14ac:dyDescent="0.3">
      <c r="C58" s="73">
        <v>45753</v>
      </c>
      <c r="D58" s="4">
        <v>1197.3499999999999</v>
      </c>
      <c r="E58" s="74">
        <f t="shared" si="0"/>
        <v>7.4205537228045459E-2</v>
      </c>
      <c r="F58" s="4"/>
      <c r="G58" s="73">
        <v>45753</v>
      </c>
      <c r="H58" s="4">
        <v>20752.849999999999</v>
      </c>
      <c r="I58" s="74">
        <f t="shared" si="1"/>
        <v>4.4750480054546848E-2</v>
      </c>
      <c r="J58" s="4"/>
      <c r="K58" s="69"/>
      <c r="L58" s="4"/>
      <c r="N58" s="69"/>
    </row>
    <row r="59" spans="3:14" hidden="1" outlineLevel="1" x14ac:dyDescent="0.3">
      <c r="C59" s="73">
        <v>45746</v>
      </c>
      <c r="D59" s="4">
        <v>1239.8</v>
      </c>
      <c r="E59" s="74">
        <f t="shared" si="0"/>
        <v>-3.4239393450556599E-2</v>
      </c>
      <c r="F59" s="4"/>
      <c r="G59" s="73">
        <v>45746</v>
      </c>
      <c r="H59" s="4">
        <v>20805.349999999999</v>
      </c>
      <c r="I59" s="74">
        <f t="shared" si="1"/>
        <v>-2.5233894166644122E-3</v>
      </c>
      <c r="J59" s="4"/>
      <c r="K59" s="69"/>
      <c r="L59" s="4"/>
      <c r="N59" s="69"/>
    </row>
    <row r="60" spans="3:14" hidden="1" outlineLevel="1" x14ac:dyDescent="0.3">
      <c r="C60" s="73">
        <v>45739</v>
      </c>
      <c r="D60" s="4">
        <v>1287.25</v>
      </c>
      <c r="E60" s="74">
        <f t="shared" si="0"/>
        <v>-3.6861526510001963E-2</v>
      </c>
      <c r="F60" s="4"/>
      <c r="G60" s="73">
        <v>45739</v>
      </c>
      <c r="H60" s="4">
        <v>21339.55</v>
      </c>
      <c r="I60" s="74">
        <f t="shared" si="1"/>
        <v>-2.5033330131141507E-2</v>
      </c>
      <c r="J60" s="4"/>
      <c r="K60" s="69"/>
      <c r="L60" s="4"/>
      <c r="N60" s="69"/>
    </row>
    <row r="61" spans="3:14" hidden="1" outlineLevel="1" x14ac:dyDescent="0.3">
      <c r="C61" s="73">
        <v>45732</v>
      </c>
      <c r="D61" s="4">
        <v>1312.15</v>
      </c>
      <c r="E61" s="74">
        <f t="shared" si="0"/>
        <v>-1.8976488968486915E-2</v>
      </c>
      <c r="F61" s="4"/>
      <c r="G61" s="73">
        <v>45732</v>
      </c>
      <c r="H61" s="4">
        <v>21273.9</v>
      </c>
      <c r="I61" s="74">
        <f t="shared" si="1"/>
        <v>3.0859409887231681E-3</v>
      </c>
      <c r="J61" s="4"/>
      <c r="K61" s="69"/>
      <c r="L61" s="4"/>
      <c r="N61" s="69"/>
    </row>
    <row r="62" spans="3:14" hidden="1" outlineLevel="1" x14ac:dyDescent="0.3">
      <c r="C62" s="73">
        <v>45725</v>
      </c>
      <c r="D62" s="4">
        <v>1121.8</v>
      </c>
      <c r="E62" s="74">
        <f t="shared" si="0"/>
        <v>0.16968265287930118</v>
      </c>
      <c r="F62" s="4"/>
      <c r="G62" s="73">
        <v>45725</v>
      </c>
      <c r="H62" s="4">
        <v>20176.05</v>
      </c>
      <c r="I62" s="74">
        <f t="shared" si="1"/>
        <v>5.4413524946657077E-2</v>
      </c>
      <c r="J62" s="4"/>
      <c r="K62" s="69"/>
      <c r="L62" s="4"/>
      <c r="N62" s="69"/>
    </row>
    <row r="63" spans="3:14" hidden="1" outlineLevel="1" x14ac:dyDescent="0.3">
      <c r="C63" s="73">
        <v>45718</v>
      </c>
      <c r="D63" s="4">
        <v>1151.7</v>
      </c>
      <c r="E63" s="74">
        <f t="shared" si="0"/>
        <v>-2.5961621950160718E-2</v>
      </c>
      <c r="F63" s="4"/>
      <c r="G63" s="73">
        <v>45718</v>
      </c>
      <c r="H63" s="4">
        <v>20443.400000000001</v>
      </c>
      <c r="I63" s="74">
        <f t="shared" si="1"/>
        <v>-1.3077570267176819E-2</v>
      </c>
      <c r="J63" s="4"/>
      <c r="K63" s="69"/>
      <c r="L63" s="4"/>
      <c r="N63" s="69"/>
    </row>
    <row r="64" spans="3:14" hidden="1" outlineLevel="1" x14ac:dyDescent="0.3">
      <c r="C64" s="73">
        <v>45711</v>
      </c>
      <c r="D64" s="4">
        <v>1021.1</v>
      </c>
      <c r="E64" s="74">
        <f t="shared" si="0"/>
        <v>0.12790128293017333</v>
      </c>
      <c r="F64" s="4"/>
      <c r="G64" s="73">
        <v>45711</v>
      </c>
      <c r="H64" s="4">
        <v>19880.900000000001</v>
      </c>
      <c r="I64" s="74">
        <f t="shared" si="1"/>
        <v>2.8293487719368793E-2</v>
      </c>
      <c r="J64" s="4"/>
      <c r="K64" s="69"/>
      <c r="L64" s="4"/>
      <c r="N64" s="69"/>
    </row>
    <row r="65" spans="3:14" hidden="1" outlineLevel="1" x14ac:dyDescent="0.3">
      <c r="C65" s="73">
        <v>45704</v>
      </c>
      <c r="D65" s="4">
        <v>1193.55</v>
      </c>
      <c r="E65" s="74">
        <f t="shared" si="0"/>
        <v>-0.14448493988521627</v>
      </c>
      <c r="F65" s="4"/>
      <c r="G65" s="73">
        <v>45704</v>
      </c>
      <c r="H65" s="4">
        <v>20690.25</v>
      </c>
      <c r="I65" s="74">
        <f t="shared" si="1"/>
        <v>-3.9117458706395491E-2</v>
      </c>
      <c r="J65" s="4"/>
      <c r="K65" s="69"/>
      <c r="L65" s="4"/>
      <c r="N65" s="69"/>
    </row>
    <row r="66" spans="3:14" hidden="1" outlineLevel="1" x14ac:dyDescent="0.3">
      <c r="C66" s="73">
        <v>45697</v>
      </c>
      <c r="D66" s="4">
        <v>1136.5</v>
      </c>
      <c r="E66" s="74">
        <f t="shared" si="0"/>
        <v>5.0197976242850828E-2</v>
      </c>
      <c r="F66" s="4"/>
      <c r="G66" s="73">
        <v>45697</v>
      </c>
      <c r="H66" s="4">
        <v>20633.099999999999</v>
      </c>
      <c r="I66" s="74">
        <f t="shared" si="1"/>
        <v>2.7698213065414645E-3</v>
      </c>
      <c r="J66" s="4"/>
      <c r="K66" s="69"/>
      <c r="L66" s="4"/>
      <c r="N66" s="69"/>
    </row>
    <row r="67" spans="3:14" hidden="1" outlineLevel="1" x14ac:dyDescent="0.3">
      <c r="C67" s="73">
        <v>45690</v>
      </c>
      <c r="D67" s="4">
        <v>1222.8499999999999</v>
      </c>
      <c r="E67" s="74">
        <f t="shared" si="0"/>
        <v>-7.061373022038675E-2</v>
      </c>
      <c r="F67" s="4"/>
      <c r="G67" s="73">
        <v>45690</v>
      </c>
      <c r="H67" s="4">
        <v>21646.15</v>
      </c>
      <c r="I67" s="74">
        <f t="shared" si="1"/>
        <v>-4.680047029148382E-2</v>
      </c>
      <c r="J67" s="4"/>
      <c r="K67" s="69"/>
      <c r="L67" s="4"/>
      <c r="N67" s="69"/>
    </row>
    <row r="68" spans="3:14" hidden="1" outlineLevel="1" x14ac:dyDescent="0.3">
      <c r="C68" s="73">
        <v>45683</v>
      </c>
      <c r="D68" s="4">
        <v>1239.0999999999999</v>
      </c>
      <c r="E68" s="74">
        <f t="shared" si="0"/>
        <v>-1.311435719473808E-2</v>
      </c>
      <c r="F68" s="4"/>
      <c r="G68" s="73">
        <v>45683</v>
      </c>
      <c r="H68" s="4">
        <v>21580.9</v>
      </c>
      <c r="I68" s="74">
        <f t="shared" si="1"/>
        <v>3.0235068973027968E-3</v>
      </c>
      <c r="J68" s="4"/>
      <c r="K68" s="69"/>
      <c r="L68" s="4"/>
      <c r="N68" s="69"/>
    </row>
    <row r="69" spans="3:14" hidden="1" outlineLevel="1" x14ac:dyDescent="0.3">
      <c r="C69" s="73">
        <v>45676</v>
      </c>
      <c r="D69" s="4">
        <v>1375.2</v>
      </c>
      <c r="E69" s="74">
        <f t="shared" si="0"/>
        <v>-9.8967422920302583E-2</v>
      </c>
      <c r="F69" s="4"/>
      <c r="G69" s="73">
        <v>45676</v>
      </c>
      <c r="H69" s="4">
        <v>21318.9</v>
      </c>
      <c r="I69" s="74">
        <f t="shared" si="1"/>
        <v>1.2289564658589436E-2</v>
      </c>
      <c r="J69" s="4"/>
      <c r="K69" s="69"/>
      <c r="L69" s="4"/>
      <c r="N69" s="69"/>
    </row>
    <row r="70" spans="3:14" hidden="1" outlineLevel="1" x14ac:dyDescent="0.3">
      <c r="C70" s="73">
        <v>45669</v>
      </c>
      <c r="D70" s="4">
        <v>1423.55</v>
      </c>
      <c r="E70" s="74">
        <f t="shared" si="0"/>
        <v>-3.3964384812616322E-2</v>
      </c>
      <c r="F70" s="4"/>
      <c r="G70" s="73">
        <v>45669</v>
      </c>
      <c r="H70" s="4">
        <v>21680.25</v>
      </c>
      <c r="I70" s="74">
        <f t="shared" si="1"/>
        <v>-1.6667243228283724E-2</v>
      </c>
      <c r="J70" s="4"/>
      <c r="K70" s="69"/>
      <c r="L70" s="4"/>
      <c r="N70" s="69"/>
    </row>
    <row r="71" spans="3:14" hidden="1" outlineLevel="1" x14ac:dyDescent="0.3">
      <c r="C71" s="73">
        <v>45662</v>
      </c>
      <c r="D71" s="4">
        <v>1449.65</v>
      </c>
      <c r="E71" s="74">
        <f t="shared" si="0"/>
        <v>-1.8004345876590944E-2</v>
      </c>
      <c r="F71" s="4"/>
      <c r="G71" s="73">
        <v>45662</v>
      </c>
      <c r="H71" s="4">
        <v>21799</v>
      </c>
      <c r="I71" s="74">
        <f t="shared" si="1"/>
        <v>-5.4474975916326551E-3</v>
      </c>
      <c r="J71" s="4"/>
      <c r="K71" s="69"/>
      <c r="L71" s="4"/>
      <c r="N71" s="69"/>
    </row>
    <row r="72" spans="3:14" hidden="1" outlineLevel="1" x14ac:dyDescent="0.3">
      <c r="C72" s="73">
        <v>45655</v>
      </c>
      <c r="D72" s="4">
        <v>1441.25</v>
      </c>
      <c r="E72" s="74">
        <f t="shared" si="0"/>
        <v>5.8282740676496303E-3</v>
      </c>
      <c r="F72" s="4"/>
      <c r="G72" s="73">
        <v>45655</v>
      </c>
      <c r="H72" s="4">
        <v>22708.15</v>
      </c>
      <c r="I72" s="74">
        <f t="shared" si="1"/>
        <v>-4.0036286531487608E-2</v>
      </c>
      <c r="J72" s="4"/>
      <c r="K72" s="69"/>
      <c r="L72" s="4"/>
      <c r="N72" s="69"/>
    </row>
    <row r="73" spans="3:14" hidden="1" outlineLevel="1" x14ac:dyDescent="0.3">
      <c r="C73" s="73">
        <v>45648</v>
      </c>
      <c r="D73" s="4">
        <v>1181.8</v>
      </c>
      <c r="E73" s="74">
        <f t="shared" si="0"/>
        <v>0.21953799289219833</v>
      </c>
      <c r="F73" s="4"/>
      <c r="G73" s="73">
        <v>45648</v>
      </c>
      <c r="H73" s="4">
        <v>22445.200000000001</v>
      </c>
      <c r="I73" s="74">
        <f t="shared" si="1"/>
        <v>1.1715199686347155E-2</v>
      </c>
      <c r="J73" s="4"/>
      <c r="K73" s="69"/>
      <c r="L73" s="4"/>
      <c r="N73" s="69"/>
    </row>
    <row r="74" spans="3:14" hidden="1" outlineLevel="1" x14ac:dyDescent="0.3">
      <c r="C74" s="73">
        <v>45641</v>
      </c>
      <c r="D74" s="4">
        <v>1135</v>
      </c>
      <c r="E74" s="74">
        <f t="shared" si="0"/>
        <v>4.1233480176211312E-2</v>
      </c>
      <c r="F74" s="4"/>
      <c r="G74" s="73">
        <v>45641</v>
      </c>
      <c r="H74" s="4">
        <v>22319.4</v>
      </c>
      <c r="I74" s="74">
        <f t="shared" si="1"/>
        <v>5.6363522316906778E-3</v>
      </c>
      <c r="J74" s="4"/>
      <c r="K74" s="69"/>
      <c r="L74" s="4"/>
      <c r="N74" s="69"/>
    </row>
    <row r="75" spans="3:14" hidden="1" outlineLevel="1" x14ac:dyDescent="0.3">
      <c r="C75" s="73">
        <v>45634</v>
      </c>
      <c r="D75" s="4">
        <v>1115.6500000000001</v>
      </c>
      <c r="E75" s="74">
        <f t="shared" ref="E75:E138" si="2">D74/D75-1</f>
        <v>1.7344149150719135E-2</v>
      </c>
      <c r="F75" s="4"/>
      <c r="G75" s="73">
        <v>45634</v>
      </c>
      <c r="H75" s="4">
        <v>23358.95</v>
      </c>
      <c r="I75" s="74">
        <f t="shared" ref="I75:I138" si="3">H74/H75-1</f>
        <v>-4.4503284608255034E-2</v>
      </c>
      <c r="J75" s="4"/>
      <c r="K75" s="69"/>
      <c r="L75" s="4"/>
      <c r="N75" s="69"/>
    </row>
    <row r="76" spans="3:14" hidden="1" outlineLevel="1" x14ac:dyDescent="0.3">
      <c r="C76" s="73">
        <v>45627</v>
      </c>
      <c r="D76" s="4">
        <v>1050.8</v>
      </c>
      <c r="E76" s="74">
        <f t="shared" si="2"/>
        <v>6.1714883897982631E-2</v>
      </c>
      <c r="F76" s="4"/>
      <c r="G76" s="73">
        <v>45627</v>
      </c>
      <c r="H76" s="4">
        <v>23312.1</v>
      </c>
      <c r="I76" s="74">
        <f t="shared" si="3"/>
        <v>2.0096859570781778E-3</v>
      </c>
      <c r="J76" s="4"/>
      <c r="K76" s="69"/>
      <c r="L76" s="4"/>
      <c r="N76" s="69"/>
    </row>
    <row r="77" spans="3:14" hidden="1" outlineLevel="1" x14ac:dyDescent="0.3">
      <c r="C77" s="73">
        <v>45620</v>
      </c>
      <c r="D77" s="4">
        <v>1039.5</v>
      </c>
      <c r="E77" s="74">
        <f t="shared" si="2"/>
        <v>1.0870610870610919E-2</v>
      </c>
      <c r="G77" s="73">
        <v>45620</v>
      </c>
      <c r="H77" s="4">
        <v>22687</v>
      </c>
      <c r="I77" s="74">
        <f t="shared" si="3"/>
        <v>2.7553224313483504E-2</v>
      </c>
      <c r="J77" s="4"/>
      <c r="K77" s="69"/>
      <c r="L77" s="4"/>
      <c r="N77" s="69"/>
    </row>
    <row r="78" spans="3:14" hidden="1" outlineLevel="1" x14ac:dyDescent="0.3">
      <c r="C78" s="73">
        <v>45613</v>
      </c>
      <c r="D78">
        <v>913.2</v>
      </c>
      <c r="E78" s="74">
        <f t="shared" si="2"/>
        <v>0.13830486202365311</v>
      </c>
      <c r="G78" s="73">
        <v>45613</v>
      </c>
      <c r="H78" s="4">
        <v>22225.55</v>
      </c>
      <c r="I78" s="74">
        <f t="shared" si="3"/>
        <v>2.0762140869404755E-2</v>
      </c>
      <c r="J78" s="4"/>
      <c r="K78" s="69"/>
      <c r="L78" s="4"/>
      <c r="N78" s="69"/>
    </row>
    <row r="79" spans="3:14" hidden="1" outlineLevel="1" x14ac:dyDescent="0.3">
      <c r="C79" s="73">
        <v>45606</v>
      </c>
      <c r="D79">
        <v>924.25</v>
      </c>
      <c r="E79" s="74">
        <f t="shared" si="2"/>
        <v>-1.1955639707871168E-2</v>
      </c>
      <c r="F79" s="4"/>
      <c r="G79" s="73">
        <v>45606</v>
      </c>
      <c r="H79" s="4">
        <v>21963.1</v>
      </c>
      <c r="I79" s="74">
        <f t="shared" si="3"/>
        <v>1.1949588172889936E-2</v>
      </c>
      <c r="J79" s="4"/>
      <c r="K79" s="69"/>
      <c r="L79" s="4"/>
      <c r="N79" s="69"/>
    </row>
    <row r="80" spans="3:14" hidden="1" outlineLevel="1" x14ac:dyDescent="0.3">
      <c r="C80" s="73">
        <v>45599</v>
      </c>
      <c r="D80" s="4">
        <v>1006.05</v>
      </c>
      <c r="E80" s="74">
        <f t="shared" si="2"/>
        <v>-8.1308086079220687E-2</v>
      </c>
      <c r="G80" s="73">
        <v>45599</v>
      </c>
      <c r="H80" s="4">
        <v>22645.65</v>
      </c>
      <c r="I80" s="74">
        <f t="shared" si="3"/>
        <v>-3.0140446399198217E-2</v>
      </c>
      <c r="J80" s="4"/>
      <c r="K80" s="69"/>
      <c r="L80" s="4"/>
      <c r="N80" s="69"/>
    </row>
    <row r="81" spans="3:14" hidden="1" outlineLevel="1" x14ac:dyDescent="0.3">
      <c r="C81" s="73">
        <v>45592</v>
      </c>
      <c r="D81">
        <v>978.1</v>
      </c>
      <c r="E81" s="74">
        <f t="shared" si="2"/>
        <v>2.8575810244351185E-2</v>
      </c>
      <c r="G81" s="73">
        <v>45592</v>
      </c>
      <c r="H81" s="4">
        <v>22823.55</v>
      </c>
      <c r="I81" s="74">
        <f t="shared" si="3"/>
        <v>-7.7945805976720184E-3</v>
      </c>
      <c r="J81" s="4"/>
      <c r="K81" s="69"/>
      <c r="L81" s="4"/>
      <c r="N81" s="69"/>
    </row>
    <row r="82" spans="3:14" hidden="1" outlineLevel="1" x14ac:dyDescent="0.3">
      <c r="C82" s="73">
        <v>45585</v>
      </c>
      <c r="D82">
        <v>963.05</v>
      </c>
      <c r="E82" s="74">
        <f t="shared" si="2"/>
        <v>1.5627433674264113E-2</v>
      </c>
      <c r="F82" s="4"/>
      <c r="G82" s="73">
        <v>45585</v>
      </c>
      <c r="H82" s="4">
        <v>22499.05</v>
      </c>
      <c r="I82" s="74">
        <f t="shared" si="3"/>
        <v>1.4422831186205576E-2</v>
      </c>
      <c r="J82" s="4"/>
      <c r="K82" s="69"/>
      <c r="L82" s="4"/>
      <c r="N82" s="69"/>
    </row>
    <row r="83" spans="3:14" hidden="1" outlineLevel="1" x14ac:dyDescent="0.3">
      <c r="C83" s="73">
        <v>45578</v>
      </c>
      <c r="D83">
        <v>997.7</v>
      </c>
      <c r="E83" s="74">
        <f t="shared" si="2"/>
        <v>-3.4729878721058483E-2</v>
      </c>
      <c r="G83" s="73">
        <v>45578</v>
      </c>
      <c r="H83" s="4">
        <v>23440.7</v>
      </c>
      <c r="I83" s="74">
        <f t="shared" si="3"/>
        <v>-4.0171581906683684E-2</v>
      </c>
      <c r="J83" s="4"/>
      <c r="K83" s="69"/>
      <c r="L83" s="4"/>
      <c r="N83" s="69"/>
    </row>
    <row r="84" spans="3:14" hidden="1" outlineLevel="1" x14ac:dyDescent="0.3">
      <c r="C84" s="73">
        <v>45571</v>
      </c>
      <c r="D84">
        <v>983.55</v>
      </c>
      <c r="E84" s="74">
        <f t="shared" si="2"/>
        <v>1.4386660566315879E-2</v>
      </c>
      <c r="G84" s="73">
        <v>45571</v>
      </c>
      <c r="H84" s="4">
        <v>23611.25</v>
      </c>
      <c r="I84" s="74">
        <f t="shared" si="3"/>
        <v>-7.2232516279315817E-3</v>
      </c>
      <c r="J84" s="4"/>
      <c r="K84" s="69"/>
      <c r="L84" s="4"/>
      <c r="N84" s="69"/>
    </row>
    <row r="85" spans="3:14" hidden="1" outlineLevel="1" x14ac:dyDescent="0.3">
      <c r="C85" s="73">
        <v>45564</v>
      </c>
      <c r="D85">
        <v>972.65</v>
      </c>
      <c r="E85" s="74">
        <f t="shared" si="2"/>
        <v>1.1206497712435093E-2</v>
      </c>
      <c r="G85" s="73">
        <v>45564</v>
      </c>
      <c r="H85" s="4">
        <v>23534.95</v>
      </c>
      <c r="I85" s="74">
        <f t="shared" si="3"/>
        <v>3.2419869173292426E-3</v>
      </c>
      <c r="J85" s="4"/>
      <c r="K85" s="69"/>
      <c r="L85" s="4"/>
      <c r="N85" s="69"/>
    </row>
    <row r="86" spans="3:14" hidden="1" outlineLevel="1" x14ac:dyDescent="0.3">
      <c r="C86" s="73">
        <v>45557</v>
      </c>
      <c r="D86">
        <v>942.85</v>
      </c>
      <c r="E86" s="74">
        <f t="shared" si="2"/>
        <v>3.1606300047727576E-2</v>
      </c>
      <c r="G86" s="73">
        <v>45557</v>
      </c>
      <c r="H86" s="4">
        <v>24489.55</v>
      </c>
      <c r="I86" s="74">
        <f t="shared" si="3"/>
        <v>-3.897989142307634E-2</v>
      </c>
      <c r="J86" s="4"/>
      <c r="K86" s="69"/>
      <c r="L86" s="4"/>
      <c r="N86" s="69"/>
    </row>
    <row r="87" spans="3:14" hidden="1" outlineLevel="1" x14ac:dyDescent="0.3">
      <c r="C87" s="73">
        <v>45550</v>
      </c>
      <c r="D87">
        <v>843.05</v>
      </c>
      <c r="E87" s="74">
        <f t="shared" si="2"/>
        <v>0.1183796927821601</v>
      </c>
      <c r="G87" s="73">
        <v>45550</v>
      </c>
      <c r="H87" s="4">
        <v>24193.8</v>
      </c>
      <c r="I87" s="74">
        <f t="shared" si="3"/>
        <v>1.2224206201588927E-2</v>
      </c>
      <c r="J87" s="4"/>
      <c r="K87" s="69"/>
      <c r="L87" s="4"/>
      <c r="N87" s="69"/>
    </row>
    <row r="88" spans="3:14" hidden="1" outlineLevel="1" x14ac:dyDescent="0.3">
      <c r="C88" s="73">
        <v>45543</v>
      </c>
      <c r="D88">
        <v>774.1</v>
      </c>
      <c r="E88" s="74">
        <f t="shared" si="2"/>
        <v>8.9071179434181635E-2</v>
      </c>
      <c r="G88" s="73">
        <v>45543</v>
      </c>
      <c r="H88" s="4">
        <v>23928.2</v>
      </c>
      <c r="I88" s="74">
        <f t="shared" si="3"/>
        <v>1.1099873789085724E-2</v>
      </c>
      <c r="J88" s="4"/>
      <c r="K88" s="69"/>
      <c r="L88" s="4"/>
      <c r="N88" s="69"/>
    </row>
    <row r="89" spans="3:14" hidden="1" outlineLevel="1" x14ac:dyDescent="0.3">
      <c r="C89" s="73">
        <v>45536</v>
      </c>
      <c r="D89">
        <v>769.8</v>
      </c>
      <c r="E89" s="74">
        <f t="shared" si="2"/>
        <v>5.585866458820643E-3</v>
      </c>
      <c r="G89" s="73">
        <v>45536</v>
      </c>
      <c r="H89" s="4">
        <v>23477.7</v>
      </c>
      <c r="I89" s="74">
        <f t="shared" si="3"/>
        <v>1.9188421353028673E-2</v>
      </c>
      <c r="J89" s="4"/>
      <c r="K89" s="69"/>
      <c r="L89" s="4"/>
      <c r="N89" s="69"/>
    </row>
    <row r="90" spans="3:14" hidden="1" outlineLevel="1" x14ac:dyDescent="0.3">
      <c r="C90" s="73">
        <v>45529</v>
      </c>
      <c r="D90">
        <v>774.45</v>
      </c>
      <c r="E90" s="74">
        <f t="shared" si="2"/>
        <v>-6.0042610885145953E-3</v>
      </c>
      <c r="G90" s="73">
        <v>45529</v>
      </c>
      <c r="H90" s="4">
        <v>23734.55</v>
      </c>
      <c r="I90" s="74">
        <f t="shared" si="3"/>
        <v>-1.0821776692627405E-2</v>
      </c>
      <c r="J90" s="4"/>
      <c r="K90" s="69"/>
      <c r="L90" s="4"/>
      <c r="N90" s="69"/>
    </row>
    <row r="91" spans="3:14" hidden="1" outlineLevel="1" x14ac:dyDescent="0.3">
      <c r="C91" s="73">
        <v>45522</v>
      </c>
      <c r="D91">
        <v>768.4</v>
      </c>
      <c r="E91" s="74">
        <f t="shared" si="2"/>
        <v>7.8735033836543344E-3</v>
      </c>
      <c r="G91" s="73">
        <v>45522</v>
      </c>
      <c r="H91" s="4">
        <v>23418.65</v>
      </c>
      <c r="I91" s="74">
        <f t="shared" si="3"/>
        <v>1.34892489532914E-2</v>
      </c>
      <c r="J91" s="4"/>
      <c r="K91" s="69"/>
      <c r="L91" s="4"/>
      <c r="N91" s="69"/>
    </row>
    <row r="92" spans="3:14" hidden="1" outlineLevel="1" x14ac:dyDescent="0.3">
      <c r="C92" s="73">
        <v>45515</v>
      </c>
      <c r="D92">
        <v>740</v>
      </c>
      <c r="E92" s="74">
        <f t="shared" si="2"/>
        <v>3.837837837837843E-2</v>
      </c>
      <c r="G92" s="73">
        <v>45515</v>
      </c>
      <c r="H92" s="4">
        <v>23056.5</v>
      </c>
      <c r="I92" s="74">
        <f t="shared" si="3"/>
        <v>1.5707067421334653E-2</v>
      </c>
      <c r="J92" s="4"/>
      <c r="K92" s="69"/>
      <c r="L92" s="4"/>
      <c r="N92" s="69"/>
    </row>
    <row r="93" spans="3:14" hidden="1" outlineLevel="1" x14ac:dyDescent="0.3">
      <c r="C93" s="73">
        <v>45508</v>
      </c>
      <c r="D93">
        <v>761.9</v>
      </c>
      <c r="E93" s="74">
        <f t="shared" si="2"/>
        <v>-2.8743929649560296E-2</v>
      </c>
      <c r="G93" s="73">
        <v>45508</v>
      </c>
      <c r="H93" s="4">
        <v>22923.5</v>
      </c>
      <c r="I93" s="74">
        <f t="shared" si="3"/>
        <v>5.8019063406546945E-3</v>
      </c>
      <c r="J93" s="4"/>
      <c r="K93" s="69"/>
      <c r="L93" s="4"/>
      <c r="N93" s="69"/>
    </row>
    <row r="94" spans="3:14" hidden="1" outlineLevel="1" x14ac:dyDescent="0.3">
      <c r="C94" s="73">
        <v>45501</v>
      </c>
      <c r="D94">
        <v>781.55</v>
      </c>
      <c r="E94" s="74">
        <f t="shared" si="2"/>
        <v>-2.5142345339389638E-2</v>
      </c>
      <c r="G94" s="73">
        <v>45501</v>
      </c>
      <c r="H94" s="4">
        <v>23259.45</v>
      </c>
      <c r="I94" s="74">
        <f t="shared" si="3"/>
        <v>-1.4443591744430773E-2</v>
      </c>
      <c r="J94" s="4"/>
      <c r="K94" s="69"/>
      <c r="L94" s="4"/>
      <c r="N94" s="69"/>
    </row>
    <row r="95" spans="3:14" hidden="1" outlineLevel="1" x14ac:dyDescent="0.3">
      <c r="C95" s="73">
        <v>45494</v>
      </c>
      <c r="D95">
        <v>748.95</v>
      </c>
      <c r="E95" s="74">
        <f t="shared" si="2"/>
        <v>4.3527605314106266E-2</v>
      </c>
      <c r="G95" s="73">
        <v>45494</v>
      </c>
      <c r="H95" s="4">
        <v>23292.05</v>
      </c>
      <c r="I95" s="74">
        <f t="shared" si="3"/>
        <v>-1.3996191833693938E-3</v>
      </c>
      <c r="J95" s="4"/>
      <c r="K95" s="69"/>
      <c r="L95" s="4"/>
      <c r="N95" s="69"/>
    </row>
    <row r="96" spans="3:14" hidden="1" outlineLevel="1" x14ac:dyDescent="0.3">
      <c r="C96" s="73">
        <v>45487</v>
      </c>
      <c r="D96">
        <v>709.5</v>
      </c>
      <c r="E96" s="74">
        <f t="shared" si="2"/>
        <v>5.5602536997885865E-2</v>
      </c>
      <c r="G96" s="73">
        <v>45487</v>
      </c>
      <c r="H96" s="4">
        <v>22853.599999999999</v>
      </c>
      <c r="I96" s="74">
        <f t="shared" si="3"/>
        <v>1.9185161199986034E-2</v>
      </c>
      <c r="J96" s="4"/>
      <c r="K96" s="69"/>
      <c r="L96" s="4"/>
      <c r="N96" s="69"/>
    </row>
    <row r="97" spans="3:14" hidden="1" outlineLevel="1" x14ac:dyDescent="0.3">
      <c r="C97" s="73">
        <v>45480</v>
      </c>
      <c r="D97">
        <v>747.4</v>
      </c>
      <c r="E97" s="74">
        <f t="shared" si="2"/>
        <v>-5.0709124966550667E-2</v>
      </c>
      <c r="G97" s="73">
        <v>45480</v>
      </c>
      <c r="H97" s="4">
        <v>23095.45</v>
      </c>
      <c r="I97" s="74">
        <f t="shared" si="3"/>
        <v>-1.0471759589010032E-2</v>
      </c>
      <c r="J97" s="4"/>
      <c r="K97" s="69"/>
      <c r="L97" s="4"/>
      <c r="N97" s="69"/>
    </row>
    <row r="98" spans="3:14" hidden="1" outlineLevel="1" x14ac:dyDescent="0.3">
      <c r="C98" s="73">
        <v>45473</v>
      </c>
      <c r="D98">
        <v>763.35</v>
      </c>
      <c r="E98" s="74">
        <f t="shared" si="2"/>
        <v>-2.0894740289513436E-2</v>
      </c>
      <c r="G98" s="73">
        <v>45473</v>
      </c>
      <c r="H98" s="4">
        <v>22987.65</v>
      </c>
      <c r="I98" s="74">
        <f t="shared" si="3"/>
        <v>4.6894745656906878E-3</v>
      </c>
      <c r="J98" s="4"/>
      <c r="K98" s="69"/>
      <c r="L98" s="4"/>
      <c r="N98" s="69"/>
    </row>
    <row r="99" spans="3:14" hidden="1" outlineLevel="1" x14ac:dyDescent="0.3">
      <c r="C99" s="73">
        <v>45466</v>
      </c>
      <c r="D99">
        <v>732.2</v>
      </c>
      <c r="E99" s="74">
        <f t="shared" si="2"/>
        <v>4.2543021032504846E-2</v>
      </c>
      <c r="G99" s="73">
        <v>45466</v>
      </c>
      <c r="H99" s="4">
        <v>22559.7</v>
      </c>
      <c r="I99" s="74">
        <f t="shared" si="3"/>
        <v>1.8969667149829172E-2</v>
      </c>
      <c r="J99" s="4"/>
      <c r="K99" s="69"/>
      <c r="L99" s="4"/>
      <c r="N99" s="69"/>
    </row>
    <row r="100" spans="3:14" hidden="1" outlineLevel="1" x14ac:dyDescent="0.3">
      <c r="C100" s="73">
        <v>45459</v>
      </c>
      <c r="D100">
        <v>734.65</v>
      </c>
      <c r="E100" s="74">
        <f t="shared" si="2"/>
        <v>-3.3349213911385567E-3</v>
      </c>
      <c r="G100" s="73">
        <v>45459</v>
      </c>
      <c r="H100" s="4">
        <v>22236.2</v>
      </c>
      <c r="I100" s="74">
        <f t="shared" si="3"/>
        <v>1.4548349088423285E-2</v>
      </c>
      <c r="J100" s="4"/>
      <c r="K100" s="69"/>
      <c r="L100" s="4"/>
      <c r="N100" s="69"/>
    </row>
    <row r="101" spans="3:14" hidden="1" outlineLevel="1" x14ac:dyDescent="0.3">
      <c r="C101" s="73">
        <v>45452</v>
      </c>
      <c r="D101">
        <v>723.4</v>
      </c>
      <c r="E101" s="74">
        <f t="shared" si="2"/>
        <v>1.5551562068012226E-2</v>
      </c>
      <c r="G101" s="73">
        <v>45452</v>
      </c>
      <c r="H101" s="4">
        <v>22214.3</v>
      </c>
      <c r="I101" s="74">
        <f t="shared" si="3"/>
        <v>9.8585145604412894E-4</v>
      </c>
      <c r="J101" s="4"/>
      <c r="K101" s="69"/>
      <c r="L101" s="4"/>
      <c r="N101" s="69"/>
    </row>
    <row r="102" spans="3:14" hidden="1" outlineLevel="1" x14ac:dyDescent="0.3">
      <c r="C102" s="73">
        <v>45445</v>
      </c>
      <c r="D102">
        <v>706.4</v>
      </c>
      <c r="E102" s="74">
        <f t="shared" si="2"/>
        <v>2.4065685164212924E-2</v>
      </c>
      <c r="G102" s="73">
        <v>45445</v>
      </c>
      <c r="H102" s="4">
        <v>21764.15</v>
      </c>
      <c r="I102" s="74">
        <f t="shared" si="3"/>
        <v>2.0683095825014819E-2</v>
      </c>
      <c r="J102" s="4"/>
      <c r="K102" s="69"/>
      <c r="L102" s="4"/>
      <c r="N102" s="69"/>
    </row>
    <row r="103" spans="3:14" hidden="1" outlineLevel="1" x14ac:dyDescent="0.3">
      <c r="C103" s="73">
        <v>45438</v>
      </c>
      <c r="D103">
        <v>680.3</v>
      </c>
      <c r="E103" s="74">
        <f t="shared" si="2"/>
        <v>3.8365427017492237E-2</v>
      </c>
      <c r="G103" s="73">
        <v>45438</v>
      </c>
      <c r="H103" s="4">
        <v>21103.3</v>
      </c>
      <c r="I103" s="74">
        <f t="shared" si="3"/>
        <v>3.1315007605445588E-2</v>
      </c>
      <c r="J103" s="4"/>
      <c r="K103" s="69"/>
      <c r="L103" s="4"/>
      <c r="N103" s="69"/>
    </row>
    <row r="104" spans="3:14" hidden="1" outlineLevel="1" x14ac:dyDescent="0.3">
      <c r="C104" s="73">
        <v>45431</v>
      </c>
      <c r="D104">
        <v>702.55</v>
      </c>
      <c r="E104" s="74">
        <f t="shared" si="2"/>
        <v>-3.1670343747775997E-2</v>
      </c>
      <c r="G104" s="73">
        <v>45431</v>
      </c>
      <c r="H104" s="4">
        <v>21483.75</v>
      </c>
      <c r="I104" s="74">
        <f t="shared" si="3"/>
        <v>-1.7708733344970029E-2</v>
      </c>
      <c r="J104" s="4"/>
      <c r="K104" s="69"/>
      <c r="L104" s="4"/>
      <c r="N104" s="69"/>
    </row>
    <row r="105" spans="3:14" hidden="1" outlineLevel="1" x14ac:dyDescent="0.3">
      <c r="C105" s="73">
        <v>45424</v>
      </c>
      <c r="D105">
        <v>711.3</v>
      </c>
      <c r="E105" s="74">
        <f t="shared" si="2"/>
        <v>-1.2301419935329627E-2</v>
      </c>
      <c r="G105" s="73">
        <v>45424</v>
      </c>
      <c r="H105" s="4">
        <v>21064.55</v>
      </c>
      <c r="I105" s="74">
        <f t="shared" si="3"/>
        <v>1.9900733697135742E-2</v>
      </c>
      <c r="J105" s="4"/>
      <c r="K105" s="69"/>
      <c r="L105" s="4"/>
      <c r="N105" s="69"/>
    </row>
    <row r="106" spans="3:14" hidden="1" outlineLevel="1" x14ac:dyDescent="0.3">
      <c r="C106" s="73">
        <v>45417</v>
      </c>
      <c r="D106">
        <v>682.3</v>
      </c>
      <c r="E106" s="74">
        <f t="shared" si="2"/>
        <v>4.2503297669646889E-2</v>
      </c>
      <c r="G106" s="73">
        <v>45417</v>
      </c>
      <c r="H106" s="4">
        <v>20469.099999999999</v>
      </c>
      <c r="I106" s="74">
        <f t="shared" si="3"/>
        <v>2.9090189602864802E-2</v>
      </c>
      <c r="J106" s="4"/>
      <c r="K106" s="69"/>
      <c r="L106" s="4"/>
      <c r="N106" s="69"/>
    </row>
    <row r="107" spans="3:14" hidden="1" outlineLevel="1" x14ac:dyDescent="0.3">
      <c r="C107" s="73">
        <v>45410</v>
      </c>
      <c r="D107">
        <v>711.9</v>
      </c>
      <c r="E107" s="74">
        <f t="shared" si="2"/>
        <v>-4.1578873437280506E-2</v>
      </c>
      <c r="G107" s="73">
        <v>45410</v>
      </c>
      <c r="H107" s="4">
        <v>20959.55</v>
      </c>
      <c r="I107" s="74">
        <f t="shared" si="3"/>
        <v>-2.3399834443010525E-2</v>
      </c>
      <c r="J107" s="4"/>
      <c r="K107" s="69"/>
      <c r="L107" s="4"/>
      <c r="N107" s="69"/>
    </row>
    <row r="108" spans="3:14" hidden="1" outlineLevel="1" x14ac:dyDescent="0.3">
      <c r="C108" s="73">
        <v>45403</v>
      </c>
      <c r="D108">
        <v>727.25</v>
      </c>
      <c r="E108" s="74">
        <f t="shared" si="2"/>
        <v>-2.1106909590924761E-2</v>
      </c>
      <c r="G108" s="73">
        <v>45403</v>
      </c>
      <c r="H108" s="4">
        <v>20839.349999999999</v>
      </c>
      <c r="I108" s="74">
        <f t="shared" si="3"/>
        <v>5.7679342205971817E-3</v>
      </c>
      <c r="J108" s="4"/>
      <c r="K108" s="69"/>
      <c r="L108" s="4"/>
      <c r="N108" s="69"/>
    </row>
    <row r="109" spans="3:14" hidden="1" outlineLevel="1" x14ac:dyDescent="0.3">
      <c r="C109" s="73">
        <v>45396</v>
      </c>
      <c r="D109">
        <v>722.55</v>
      </c>
      <c r="E109" s="74">
        <f t="shared" si="2"/>
        <v>6.504740156390687E-3</v>
      </c>
      <c r="G109" s="73">
        <v>45396</v>
      </c>
      <c r="H109" s="4">
        <v>20385.2</v>
      </c>
      <c r="I109" s="74">
        <f t="shared" si="3"/>
        <v>2.2278417675568374E-2</v>
      </c>
      <c r="J109" s="4"/>
      <c r="K109" s="69"/>
      <c r="L109" s="4"/>
      <c r="N109" s="69"/>
    </row>
    <row r="110" spans="3:14" hidden="1" outlineLevel="1" x14ac:dyDescent="0.3">
      <c r="C110" s="73">
        <v>45389</v>
      </c>
      <c r="D110">
        <v>696.75</v>
      </c>
      <c r="E110" s="74">
        <f t="shared" si="2"/>
        <v>3.7029063509149474E-2</v>
      </c>
      <c r="G110" s="73">
        <v>45389</v>
      </c>
      <c r="H110" s="4">
        <v>20745.5</v>
      </c>
      <c r="I110" s="74">
        <f t="shared" si="3"/>
        <v>-1.7367621893904617E-2</v>
      </c>
      <c r="J110" s="4"/>
      <c r="K110" s="69"/>
      <c r="L110" s="4"/>
      <c r="N110" s="69"/>
    </row>
    <row r="111" spans="3:14" hidden="1" outlineLevel="1" x14ac:dyDescent="0.3">
      <c r="C111" s="73">
        <v>45382</v>
      </c>
      <c r="D111">
        <v>643.04999999999995</v>
      </c>
      <c r="E111" s="74">
        <f t="shared" si="2"/>
        <v>8.3508280849078576E-2</v>
      </c>
      <c r="G111" s="73">
        <v>45382</v>
      </c>
      <c r="H111" s="4">
        <v>20715.099999999999</v>
      </c>
      <c r="I111" s="74">
        <f t="shared" si="3"/>
        <v>1.4675285178444852E-3</v>
      </c>
      <c r="J111" s="4"/>
      <c r="K111" s="69"/>
      <c r="L111" s="4"/>
      <c r="N111" s="69"/>
    </row>
    <row r="112" spans="3:14" hidden="1" outlineLevel="1" x14ac:dyDescent="0.3">
      <c r="C112" s="73">
        <v>45375</v>
      </c>
      <c r="D112">
        <v>602</v>
      </c>
      <c r="E112" s="74">
        <f t="shared" si="2"/>
        <v>6.8189368770763981E-2</v>
      </c>
      <c r="G112" s="73">
        <v>45375</v>
      </c>
      <c r="H112" s="4">
        <v>20255.150000000001</v>
      </c>
      <c r="I112" s="74">
        <f t="shared" si="3"/>
        <v>2.2707805175473661E-2</v>
      </c>
      <c r="J112" s="4"/>
      <c r="K112" s="69"/>
      <c r="L112" s="4"/>
      <c r="N112" s="69"/>
    </row>
    <row r="113" spans="3:14" hidden="1" outlineLevel="1" x14ac:dyDescent="0.3">
      <c r="C113" s="73">
        <v>45368</v>
      </c>
      <c r="D113">
        <v>579.15</v>
      </c>
      <c r="E113" s="74">
        <f t="shared" si="2"/>
        <v>3.9454372787706138E-2</v>
      </c>
      <c r="G113" s="73">
        <v>45368</v>
      </c>
      <c r="H113" s="4">
        <v>19994.599999999999</v>
      </c>
      <c r="I113" s="74">
        <f t="shared" si="3"/>
        <v>1.3031018374961345E-2</v>
      </c>
      <c r="J113" s="4"/>
      <c r="K113" s="69"/>
      <c r="L113" s="4"/>
      <c r="N113" s="69"/>
    </row>
    <row r="114" spans="3:14" hidden="1" outlineLevel="1" x14ac:dyDescent="0.3">
      <c r="C114" s="73">
        <v>45361</v>
      </c>
      <c r="D114">
        <v>563.85</v>
      </c>
      <c r="E114" s="74">
        <f t="shared" si="2"/>
        <v>2.7134876296887489E-2</v>
      </c>
      <c r="G114" s="73">
        <v>45361</v>
      </c>
      <c r="H114" s="4">
        <v>19825.2</v>
      </c>
      <c r="I114" s="74">
        <f t="shared" si="3"/>
        <v>8.5446805076365706E-3</v>
      </c>
      <c r="J114" s="4"/>
      <c r="K114" s="69"/>
      <c r="L114" s="4"/>
      <c r="N114" s="69"/>
    </row>
    <row r="115" spans="3:14" hidden="1" outlineLevel="1" x14ac:dyDescent="0.3">
      <c r="C115" s="73">
        <v>45354</v>
      </c>
      <c r="D115">
        <v>593</v>
      </c>
      <c r="E115" s="74">
        <f t="shared" si="2"/>
        <v>-4.9156829679595226E-2</v>
      </c>
      <c r="G115" s="73">
        <v>45354</v>
      </c>
      <c r="H115" s="4">
        <v>20434.8</v>
      </c>
      <c r="I115" s="74">
        <f t="shared" si="3"/>
        <v>-2.9831463973222117E-2</v>
      </c>
      <c r="J115" s="4"/>
      <c r="K115" s="69"/>
      <c r="L115" s="4"/>
      <c r="N115" s="69"/>
    </row>
    <row r="116" spans="3:14" hidden="1" outlineLevel="1" x14ac:dyDescent="0.3">
      <c r="C116" s="73">
        <v>45347</v>
      </c>
      <c r="D116">
        <v>587</v>
      </c>
      <c r="E116" s="74">
        <f t="shared" si="2"/>
        <v>1.0221465076660996E-2</v>
      </c>
      <c r="G116" s="73">
        <v>45347</v>
      </c>
      <c r="H116" s="4">
        <v>20349.8</v>
      </c>
      <c r="I116" s="74">
        <f t="shared" si="3"/>
        <v>4.1769452279629693E-3</v>
      </c>
      <c r="J116" s="4"/>
      <c r="K116" s="69"/>
      <c r="L116" s="4"/>
      <c r="N116" s="69"/>
    </row>
    <row r="117" spans="3:14" hidden="1" outlineLevel="1" x14ac:dyDescent="0.3">
      <c r="C117" s="73">
        <v>45340</v>
      </c>
      <c r="D117">
        <v>591.75</v>
      </c>
      <c r="E117" s="74">
        <f t="shared" si="2"/>
        <v>-8.0270384452894028E-3</v>
      </c>
      <c r="G117" s="73">
        <v>45340</v>
      </c>
      <c r="H117" s="4">
        <v>20313.5</v>
      </c>
      <c r="I117" s="74">
        <f t="shared" si="3"/>
        <v>1.7869889482362566E-3</v>
      </c>
      <c r="J117" s="4"/>
      <c r="K117" s="69"/>
      <c r="L117" s="4"/>
      <c r="N117" s="69"/>
    </row>
    <row r="118" spans="3:14" hidden="1" outlineLevel="1" x14ac:dyDescent="0.3">
      <c r="C118" s="73">
        <v>45333</v>
      </c>
      <c r="D118">
        <v>560.04999999999995</v>
      </c>
      <c r="E118" s="74">
        <f t="shared" si="2"/>
        <v>5.6602089099187625E-2</v>
      </c>
      <c r="G118" s="73">
        <v>45333</v>
      </c>
      <c r="H118" s="4">
        <v>20164.900000000001</v>
      </c>
      <c r="I118" s="74">
        <f t="shared" si="3"/>
        <v>7.3692406111609543E-3</v>
      </c>
      <c r="J118" s="4"/>
      <c r="K118" s="69"/>
      <c r="L118" s="4"/>
      <c r="N118" s="69"/>
    </row>
    <row r="119" spans="3:14" hidden="1" outlineLevel="1" x14ac:dyDescent="0.3">
      <c r="C119" s="73">
        <v>45326</v>
      </c>
      <c r="D119">
        <v>558.9</v>
      </c>
      <c r="E119" s="74">
        <f t="shared" si="2"/>
        <v>2.057613168724215E-3</v>
      </c>
      <c r="G119" s="73">
        <v>45326</v>
      </c>
      <c r="H119" s="4">
        <v>19961.5</v>
      </c>
      <c r="I119" s="74">
        <f t="shared" si="3"/>
        <v>1.0189615008892261E-2</v>
      </c>
      <c r="J119" s="4"/>
      <c r="K119" s="69"/>
      <c r="L119" s="4"/>
      <c r="N119" s="69"/>
    </row>
    <row r="120" spans="3:14" hidden="1" outlineLevel="1" x14ac:dyDescent="0.3">
      <c r="C120" s="73">
        <v>45319</v>
      </c>
      <c r="D120">
        <v>543.25</v>
      </c>
      <c r="E120" s="74">
        <f t="shared" si="2"/>
        <v>2.8808099401748777E-2</v>
      </c>
      <c r="G120" s="73">
        <v>45319</v>
      </c>
      <c r="H120" s="4">
        <v>19910.8</v>
      </c>
      <c r="I120" s="74">
        <f t="shared" si="3"/>
        <v>2.5463567511099239E-3</v>
      </c>
      <c r="J120" s="4"/>
      <c r="K120" s="69"/>
      <c r="L120" s="4"/>
      <c r="N120" s="69"/>
    </row>
    <row r="121" spans="3:14" hidden="1" outlineLevel="1" x14ac:dyDescent="0.3">
      <c r="C121" s="73">
        <v>45312</v>
      </c>
      <c r="D121">
        <v>596.04999999999995</v>
      </c>
      <c r="E121" s="74">
        <f t="shared" si="2"/>
        <v>-8.8583172552638145E-2</v>
      </c>
      <c r="G121" s="73">
        <v>45312</v>
      </c>
      <c r="H121" s="4">
        <v>19393</v>
      </c>
      <c r="I121" s="74">
        <f t="shared" si="3"/>
        <v>2.6700355798483955E-2</v>
      </c>
      <c r="J121" s="4"/>
      <c r="K121" s="69"/>
      <c r="L121" s="4"/>
      <c r="N121" s="69"/>
    </row>
    <row r="122" spans="3:14" hidden="1" outlineLevel="1" x14ac:dyDescent="0.3">
      <c r="C122" s="73">
        <v>45305</v>
      </c>
      <c r="D122">
        <v>580.25</v>
      </c>
      <c r="E122" s="74">
        <f t="shared" si="2"/>
        <v>2.7229642395519171E-2</v>
      </c>
      <c r="G122" s="73">
        <v>45305</v>
      </c>
      <c r="H122" s="4">
        <v>19606.400000000001</v>
      </c>
      <c r="I122" s="74">
        <f t="shared" si="3"/>
        <v>-1.088420107719934E-2</v>
      </c>
      <c r="J122" s="4"/>
      <c r="K122" s="69"/>
      <c r="L122" s="4"/>
      <c r="N122" s="69"/>
    </row>
    <row r="123" spans="3:14" hidden="1" outlineLevel="1" x14ac:dyDescent="0.3">
      <c r="C123" s="73">
        <v>45298</v>
      </c>
      <c r="D123">
        <v>580.9</v>
      </c>
      <c r="E123" s="74">
        <f t="shared" si="2"/>
        <v>-1.118953348252627E-3</v>
      </c>
      <c r="G123" s="73">
        <v>45298</v>
      </c>
      <c r="H123" s="4">
        <v>19745.599999999999</v>
      </c>
      <c r="I123" s="74">
        <f t="shared" si="3"/>
        <v>-7.0496718256217727E-3</v>
      </c>
      <c r="J123" s="4"/>
      <c r="K123" s="69"/>
      <c r="L123" s="4"/>
      <c r="N123" s="69"/>
    </row>
    <row r="124" spans="3:14" hidden="1" outlineLevel="1" x14ac:dyDescent="0.3">
      <c r="C124" s="73">
        <v>45291</v>
      </c>
      <c r="D124">
        <v>589.9</v>
      </c>
      <c r="E124" s="74">
        <f t="shared" si="2"/>
        <v>-1.5256823190371249E-2</v>
      </c>
      <c r="G124" s="73">
        <v>45291</v>
      </c>
      <c r="H124" s="4">
        <v>19590.599999999999</v>
      </c>
      <c r="I124" s="74">
        <f t="shared" si="3"/>
        <v>7.9119577756678883E-3</v>
      </c>
      <c r="J124" s="4"/>
      <c r="K124" s="69"/>
      <c r="L124" s="4"/>
      <c r="N124" s="69"/>
    </row>
    <row r="125" spans="3:14" hidden="1" outlineLevel="1" x14ac:dyDescent="0.3">
      <c r="C125" s="73">
        <v>45284</v>
      </c>
      <c r="D125">
        <v>599.79999999999995</v>
      </c>
      <c r="E125" s="74">
        <f t="shared" si="2"/>
        <v>-1.6505501833944614E-2</v>
      </c>
      <c r="G125" s="73">
        <v>45284</v>
      </c>
      <c r="H125" s="4">
        <v>19429.150000000001</v>
      </c>
      <c r="I125" s="74">
        <f t="shared" si="3"/>
        <v>8.3096790132350939E-3</v>
      </c>
      <c r="J125" s="4"/>
      <c r="K125" s="69"/>
      <c r="L125" s="4"/>
      <c r="N125" s="69"/>
    </row>
    <row r="126" spans="3:14" hidden="1" outlineLevel="1" x14ac:dyDescent="0.3">
      <c r="C126" s="73">
        <v>45277</v>
      </c>
      <c r="D126">
        <v>616.25</v>
      </c>
      <c r="E126" s="74">
        <f t="shared" si="2"/>
        <v>-2.6693711967545664E-2</v>
      </c>
      <c r="G126" s="73">
        <v>45277</v>
      </c>
      <c r="H126" s="4">
        <v>19054.7</v>
      </c>
      <c r="I126" s="74">
        <f t="shared" si="3"/>
        <v>1.9651319621930563E-2</v>
      </c>
      <c r="J126" s="4"/>
      <c r="K126" s="69"/>
      <c r="L126" s="4"/>
      <c r="N126" s="69"/>
    </row>
    <row r="127" spans="3:14" hidden="1" outlineLevel="1" x14ac:dyDescent="0.3">
      <c r="C127" s="73">
        <v>45270</v>
      </c>
      <c r="D127">
        <v>609.65</v>
      </c>
      <c r="E127" s="74">
        <f t="shared" si="2"/>
        <v>1.0825883703764472E-2</v>
      </c>
      <c r="G127" s="73">
        <v>45270</v>
      </c>
      <c r="H127" s="4">
        <v>19145.05</v>
      </c>
      <c r="I127" s="74">
        <f t="shared" si="3"/>
        <v>-4.7192355204086489E-3</v>
      </c>
      <c r="J127" s="4"/>
      <c r="K127" s="69"/>
      <c r="L127" s="4"/>
      <c r="N127" s="69"/>
    </row>
    <row r="128" spans="3:14" hidden="1" outlineLevel="1" x14ac:dyDescent="0.3">
      <c r="C128" s="73">
        <v>45263</v>
      </c>
      <c r="D128">
        <v>612.45000000000005</v>
      </c>
      <c r="E128" s="74">
        <f t="shared" si="2"/>
        <v>-4.5718017797372612E-3</v>
      </c>
      <c r="G128" s="73">
        <v>45263</v>
      </c>
      <c r="H128" s="4">
        <v>18703.5</v>
      </c>
      <c r="I128" s="74">
        <f t="shared" si="3"/>
        <v>2.3607880877910548E-2</v>
      </c>
      <c r="J128" s="4"/>
      <c r="K128" s="69"/>
      <c r="L128" s="4"/>
      <c r="N128" s="69"/>
    </row>
    <row r="129" spans="3:14" hidden="1" outlineLevel="1" x14ac:dyDescent="0.3">
      <c r="C129" s="73">
        <v>45256</v>
      </c>
      <c r="D129">
        <v>523.04999999999995</v>
      </c>
      <c r="E129" s="74">
        <f t="shared" si="2"/>
        <v>0.17092056208775475</v>
      </c>
      <c r="G129" s="73">
        <v>45256</v>
      </c>
      <c r="H129" s="4">
        <v>18115.349999999999</v>
      </c>
      <c r="I129" s="74">
        <f t="shared" si="3"/>
        <v>3.2466941019632545E-2</v>
      </c>
      <c r="J129" s="4"/>
      <c r="K129" s="69"/>
      <c r="L129" s="4"/>
      <c r="N129" s="69"/>
    </row>
    <row r="130" spans="3:14" hidden="1" outlineLevel="1" x14ac:dyDescent="0.3">
      <c r="C130" s="73">
        <v>45249</v>
      </c>
      <c r="D130">
        <v>539.04999999999995</v>
      </c>
      <c r="E130" s="74">
        <f t="shared" si="2"/>
        <v>-2.9681847695019026E-2</v>
      </c>
      <c r="G130" s="73">
        <v>45249</v>
      </c>
      <c r="H130" s="4">
        <v>17643.5</v>
      </c>
      <c r="I130" s="74">
        <f t="shared" si="3"/>
        <v>2.6743559951256657E-2</v>
      </c>
      <c r="J130" s="4"/>
      <c r="K130" s="69"/>
      <c r="L130" s="4"/>
      <c r="N130" s="69"/>
    </row>
    <row r="131" spans="3:14" hidden="1" outlineLevel="1" x14ac:dyDescent="0.3">
      <c r="C131" s="73">
        <v>45242</v>
      </c>
      <c r="D131">
        <v>567.35</v>
      </c>
      <c r="E131" s="74">
        <f t="shared" si="2"/>
        <v>-4.9881025821803204E-2</v>
      </c>
      <c r="G131" s="73">
        <v>45242</v>
      </c>
      <c r="H131" s="4">
        <v>17600.5</v>
      </c>
      <c r="I131" s="74">
        <f t="shared" si="3"/>
        <v>2.4431124115791292E-3</v>
      </c>
      <c r="J131" s="4"/>
      <c r="K131" s="69"/>
      <c r="L131" s="4"/>
      <c r="N131" s="69"/>
    </row>
    <row r="132" spans="3:14" hidden="1" outlineLevel="1" x14ac:dyDescent="0.3">
      <c r="C132" s="73">
        <v>45235</v>
      </c>
      <c r="D132">
        <v>521.79999999999995</v>
      </c>
      <c r="E132" s="74">
        <f t="shared" si="2"/>
        <v>8.7293982368723766E-2</v>
      </c>
      <c r="G132" s="73">
        <v>45235</v>
      </c>
      <c r="H132" s="4">
        <v>17256.599999999999</v>
      </c>
      <c r="I132" s="74">
        <f t="shared" si="3"/>
        <v>1.9928607025717859E-2</v>
      </c>
      <c r="J132" s="4"/>
      <c r="K132" s="69"/>
      <c r="L132" s="4"/>
      <c r="N132" s="69"/>
    </row>
    <row r="133" spans="3:14" hidden="1" outlineLevel="1" x14ac:dyDescent="0.3">
      <c r="C133" s="73">
        <v>45228</v>
      </c>
      <c r="D133">
        <v>529.85</v>
      </c>
      <c r="E133" s="74">
        <f t="shared" si="2"/>
        <v>-1.5192979145041141E-2</v>
      </c>
      <c r="G133" s="73">
        <v>45228</v>
      </c>
      <c r="H133" s="4">
        <v>17000.95</v>
      </c>
      <c r="I133" s="74">
        <f t="shared" si="3"/>
        <v>1.5037394969104501E-2</v>
      </c>
      <c r="J133" s="4"/>
      <c r="K133" s="69"/>
      <c r="L133" s="4"/>
      <c r="N133" s="69"/>
    </row>
    <row r="134" spans="3:14" hidden="1" outlineLevel="1" x14ac:dyDescent="0.3">
      <c r="C134" s="73">
        <v>45221</v>
      </c>
      <c r="D134">
        <v>527.79999999999995</v>
      </c>
      <c r="E134" s="74">
        <f t="shared" si="2"/>
        <v>3.8840469874954486E-3</v>
      </c>
      <c r="G134" s="73">
        <v>45221</v>
      </c>
      <c r="H134" s="4">
        <v>16765.45</v>
      </c>
      <c r="I134" s="74">
        <f t="shared" si="3"/>
        <v>1.4046744942724398E-2</v>
      </c>
      <c r="J134" s="4"/>
      <c r="K134" s="69"/>
      <c r="L134" s="4"/>
      <c r="N134" s="69"/>
    </row>
    <row r="135" spans="3:14" hidden="1" outlineLevel="1" x14ac:dyDescent="0.3">
      <c r="C135" s="73">
        <v>45214</v>
      </c>
      <c r="D135">
        <v>555.5</v>
      </c>
      <c r="E135" s="74">
        <f t="shared" si="2"/>
        <v>-4.9864986498649899E-2</v>
      </c>
      <c r="G135" s="73">
        <v>45214</v>
      </c>
      <c r="H135" s="4">
        <v>17208.75</v>
      </c>
      <c r="I135" s="74">
        <f t="shared" si="3"/>
        <v>-2.5760151085930105E-2</v>
      </c>
      <c r="J135" s="4"/>
      <c r="K135" s="69"/>
      <c r="L135" s="4"/>
      <c r="N135" s="69"/>
    </row>
    <row r="136" spans="3:14" hidden="1" outlineLevel="1" x14ac:dyDescent="0.3">
      <c r="C136" s="73">
        <v>45207</v>
      </c>
      <c r="D136">
        <v>593.20000000000005</v>
      </c>
      <c r="E136" s="74">
        <f t="shared" si="2"/>
        <v>-6.3553607552259028E-2</v>
      </c>
      <c r="G136" s="73">
        <v>45207</v>
      </c>
      <c r="H136" s="4">
        <v>17390.349999999999</v>
      </c>
      <c r="I136" s="74">
        <f t="shared" si="3"/>
        <v>-1.0442573036195224E-2</v>
      </c>
      <c r="J136" s="4"/>
      <c r="K136" s="69"/>
      <c r="L136" s="4"/>
      <c r="N136" s="69"/>
    </row>
    <row r="137" spans="3:14" hidden="1" outlineLevel="1" x14ac:dyDescent="0.3">
      <c r="C137" s="73">
        <v>45200</v>
      </c>
      <c r="D137">
        <v>564.25</v>
      </c>
      <c r="E137" s="74">
        <f t="shared" si="2"/>
        <v>5.1307044749667741E-2</v>
      </c>
      <c r="G137" s="73">
        <v>45200</v>
      </c>
      <c r="H137" s="4">
        <v>17293.599999999999</v>
      </c>
      <c r="I137" s="74">
        <f t="shared" si="3"/>
        <v>5.5945552111764663E-3</v>
      </c>
      <c r="J137" s="4"/>
      <c r="K137" s="69"/>
      <c r="L137" s="4"/>
      <c r="N137" s="69"/>
    </row>
    <row r="138" spans="3:14" hidden="1" outlineLevel="1" x14ac:dyDescent="0.3">
      <c r="C138" s="73">
        <v>45193</v>
      </c>
      <c r="D138">
        <v>536.1</v>
      </c>
      <c r="E138" s="74">
        <f t="shared" si="2"/>
        <v>5.2508860287259873E-2</v>
      </c>
      <c r="G138" s="73">
        <v>45193</v>
      </c>
      <c r="H138" s="4">
        <v>17292.599999999999</v>
      </c>
      <c r="I138" s="74">
        <f t="shared" si="3"/>
        <v>5.7828203971599379E-5</v>
      </c>
      <c r="J138" s="4"/>
      <c r="K138" s="69"/>
      <c r="L138" s="4"/>
      <c r="N138" s="69"/>
    </row>
    <row r="139" spans="3:14" hidden="1" outlineLevel="1" x14ac:dyDescent="0.3">
      <c r="C139" s="73">
        <v>45186</v>
      </c>
      <c r="D139">
        <v>536.25</v>
      </c>
      <c r="E139" s="74">
        <f t="shared" ref="E139:E147" si="4">D138/D139-1</f>
        <v>-2.7972027972023028E-4</v>
      </c>
      <c r="G139" s="73">
        <v>45186</v>
      </c>
      <c r="H139" s="4">
        <v>17260.8</v>
      </c>
      <c r="I139" s="74">
        <f t="shared" ref="I139:I147" si="5">H138/H139-1</f>
        <v>1.8423248053391905E-3</v>
      </c>
      <c r="J139" s="4"/>
      <c r="K139" s="69"/>
      <c r="L139" s="4"/>
      <c r="N139" s="69"/>
    </row>
    <row r="140" spans="3:14" hidden="1" outlineLevel="1" x14ac:dyDescent="0.3">
      <c r="C140" s="73">
        <v>45179</v>
      </c>
      <c r="D140">
        <v>572.95000000000005</v>
      </c>
      <c r="E140" s="74">
        <f t="shared" si="4"/>
        <v>-6.4054455013526579E-2</v>
      </c>
      <c r="G140" s="73">
        <v>45179</v>
      </c>
      <c r="H140" s="4">
        <v>17665.8</v>
      </c>
      <c r="I140" s="74">
        <f t="shared" si="5"/>
        <v>-2.2925652956560127E-2</v>
      </c>
      <c r="J140" s="4"/>
      <c r="K140" s="69"/>
      <c r="L140" s="4"/>
      <c r="N140" s="69"/>
    </row>
    <row r="141" spans="3:14" hidden="1" outlineLevel="1" x14ac:dyDescent="0.3">
      <c r="C141" s="73">
        <v>45172</v>
      </c>
      <c r="D141">
        <v>555.25</v>
      </c>
      <c r="E141" s="74">
        <f t="shared" si="4"/>
        <v>3.1877532642953677E-2</v>
      </c>
      <c r="G141" s="73">
        <v>45172</v>
      </c>
      <c r="H141" s="4">
        <v>17487.45</v>
      </c>
      <c r="I141" s="74">
        <f t="shared" si="5"/>
        <v>1.0198742526783322E-2</v>
      </c>
      <c r="J141" s="4"/>
      <c r="K141" s="69"/>
      <c r="L141" s="4"/>
      <c r="N141" s="69"/>
    </row>
    <row r="142" spans="3:14" hidden="1" outlineLevel="1" x14ac:dyDescent="0.3">
      <c r="C142" s="73">
        <v>45165</v>
      </c>
      <c r="D142">
        <v>548.35</v>
      </c>
      <c r="E142" s="74">
        <f t="shared" si="4"/>
        <v>1.2583204157928352E-2</v>
      </c>
      <c r="G142" s="73">
        <v>45165</v>
      </c>
      <c r="H142" s="4">
        <v>17074.55</v>
      </c>
      <c r="I142" s="74">
        <f t="shared" si="5"/>
        <v>2.4182189281708899E-2</v>
      </c>
      <c r="J142" s="4"/>
      <c r="K142" s="69"/>
      <c r="L142" s="4"/>
      <c r="N142" s="69"/>
    </row>
    <row r="143" spans="3:14" hidden="1" outlineLevel="1" x14ac:dyDescent="0.3">
      <c r="C143" s="73">
        <v>45158</v>
      </c>
      <c r="D143">
        <v>550.15</v>
      </c>
      <c r="E143" s="74">
        <f t="shared" si="4"/>
        <v>-3.2718349541033254E-3</v>
      </c>
      <c r="G143" s="73">
        <v>45158</v>
      </c>
      <c r="H143" s="4">
        <v>16820.849999999999</v>
      </c>
      <c r="I143" s="74">
        <f t="shared" si="5"/>
        <v>1.5082472051055618E-2</v>
      </c>
      <c r="J143" s="4"/>
      <c r="K143" s="69"/>
      <c r="L143" s="4"/>
      <c r="N143" s="69"/>
    </row>
    <row r="144" spans="3:14" hidden="1" outlineLevel="1" x14ac:dyDescent="0.3">
      <c r="C144" s="73">
        <v>45151</v>
      </c>
      <c r="D144">
        <v>570.4</v>
      </c>
      <c r="E144" s="74">
        <f t="shared" si="4"/>
        <v>-3.5501402524544146E-2</v>
      </c>
      <c r="G144" s="73">
        <v>45151</v>
      </c>
      <c r="H144" s="4">
        <v>16757.7</v>
      </c>
      <c r="I144" s="74">
        <f t="shared" si="5"/>
        <v>3.7684169068545881E-3</v>
      </c>
      <c r="J144" s="4"/>
      <c r="K144" s="69"/>
      <c r="L144" s="4"/>
      <c r="N144" s="69"/>
    </row>
    <row r="145" spans="3:14" hidden="1" outlineLevel="1" x14ac:dyDescent="0.3">
      <c r="C145" s="73">
        <v>45144</v>
      </c>
      <c r="D145">
        <v>625.6</v>
      </c>
      <c r="E145" s="74">
        <f t="shared" si="4"/>
        <v>-8.8235294117647078E-2</v>
      </c>
      <c r="G145" s="73">
        <v>45144</v>
      </c>
      <c r="H145" s="4">
        <v>16860.150000000001</v>
      </c>
      <c r="I145" s="74">
        <f t="shared" si="5"/>
        <v>-6.0764583944983297E-3</v>
      </c>
      <c r="J145" s="4"/>
      <c r="K145" s="69"/>
      <c r="L145" s="4"/>
      <c r="N145" s="69"/>
    </row>
    <row r="146" spans="3:14" hidden="1" outlineLevel="1" x14ac:dyDescent="0.3">
      <c r="C146" s="73">
        <v>45137</v>
      </c>
      <c r="D146">
        <v>641.5</v>
      </c>
      <c r="E146" s="74">
        <f t="shared" si="4"/>
        <v>-2.4785658612626604E-2</v>
      </c>
      <c r="G146" s="73">
        <v>45137</v>
      </c>
      <c r="H146" s="4">
        <v>16890.599999999999</v>
      </c>
      <c r="I146" s="74">
        <f t="shared" si="5"/>
        <v>-1.8027778764517777E-3</v>
      </c>
      <c r="J146" s="4"/>
      <c r="K146" s="69"/>
      <c r="L146" s="4"/>
      <c r="N146" s="69"/>
    </row>
    <row r="147" spans="3:14" hidden="1" outlineLevel="1" x14ac:dyDescent="0.3">
      <c r="C147" s="73">
        <v>45130</v>
      </c>
      <c r="D147">
        <v>596.9</v>
      </c>
      <c r="E147" s="74">
        <f t="shared" si="4"/>
        <v>7.4719383481320234E-2</v>
      </c>
      <c r="G147" s="73">
        <v>45130</v>
      </c>
      <c r="H147" s="4">
        <v>16948.349999999999</v>
      </c>
      <c r="I147" s="74">
        <f t="shared" si="5"/>
        <v>-3.4074113409270357E-3</v>
      </c>
      <c r="J147" s="4"/>
      <c r="K147" s="69"/>
      <c r="L147" s="4"/>
      <c r="N147" s="69"/>
    </row>
    <row r="148" spans="3:14" collapsed="1" x14ac:dyDescent="0.3">
      <c r="G148" s="73"/>
      <c r="H148" s="4"/>
      <c r="I148" s="4"/>
      <c r="J148" s="4"/>
      <c r="K148" s="4"/>
      <c r="L148" s="4"/>
      <c r="N148" s="69"/>
    </row>
  </sheetData>
  <mergeCells count="2">
    <mergeCell ref="C6:E6"/>
    <mergeCell ref="G6:I6"/>
  </mergeCells>
  <hyperlinks>
    <hyperlink ref="C2" location="Dashboard!A1" display="&lt;-Back to Dashboard" xr:uid="{139D208C-E178-4691-B94D-D8133206377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AC1-E1C1-4DCC-9291-ED63DDD4E005}">
  <dimension ref="B2:V45"/>
  <sheetViews>
    <sheetView showGridLines="0" topLeftCell="A14" zoomScale="70" zoomScaleNormal="70" workbookViewId="0">
      <selection activeCell="S31" sqref="S31"/>
    </sheetView>
  </sheetViews>
  <sheetFormatPr defaultRowHeight="14.4" x14ac:dyDescent="0.3"/>
  <cols>
    <col min="1" max="2" width="2.88671875" customWidth="1"/>
    <col min="3" max="9" width="12.77734375" customWidth="1"/>
    <col min="10" max="10" width="15.44140625" bestFit="1" customWidth="1"/>
    <col min="11" max="11" width="12.77734375" customWidth="1"/>
    <col min="12" max="12" width="15.6640625" bestFit="1" customWidth="1"/>
    <col min="13" max="22" width="12.77734375" customWidth="1"/>
  </cols>
  <sheetData>
    <row r="2" spans="2:16" x14ac:dyDescent="0.3"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3">
      <c r="C3" s="16" t="s">
        <v>322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x14ac:dyDescent="0.3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2:16" x14ac:dyDescent="0.3">
      <c r="C6" s="243" t="s">
        <v>379</v>
      </c>
    </row>
    <row r="8" spans="2:16" x14ac:dyDescent="0.3">
      <c r="B8" s="51" t="s">
        <v>94</v>
      </c>
      <c r="C8" s="16" t="s">
        <v>214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10" spans="2:16" x14ac:dyDescent="0.3">
      <c r="C10" s="168" t="s">
        <v>298</v>
      </c>
      <c r="D10" s="169"/>
      <c r="E10" s="169" t="s">
        <v>221</v>
      </c>
      <c r="F10" s="169" t="s">
        <v>299</v>
      </c>
      <c r="G10" s="169" t="s">
        <v>300</v>
      </c>
      <c r="H10" s="169" t="s">
        <v>185</v>
      </c>
      <c r="I10" s="169" t="s">
        <v>301</v>
      </c>
      <c r="J10" s="169" t="s">
        <v>302</v>
      </c>
      <c r="K10" s="169" t="s">
        <v>247</v>
      </c>
      <c r="L10" s="169" t="s">
        <v>283</v>
      </c>
      <c r="M10" s="169" t="s">
        <v>303</v>
      </c>
      <c r="N10" s="169" t="s">
        <v>304</v>
      </c>
      <c r="O10" s="169" t="s">
        <v>305</v>
      </c>
      <c r="P10" s="170" t="s">
        <v>306</v>
      </c>
    </row>
    <row r="11" spans="2:16" x14ac:dyDescent="0.3">
      <c r="C11" s="144" t="s">
        <v>307</v>
      </c>
      <c r="D11" s="72"/>
      <c r="E11" s="142">
        <v>12286</v>
      </c>
      <c r="F11" s="142">
        <f>3651+405</f>
        <v>4056</v>
      </c>
      <c r="G11" s="80">
        <f>F11/$E11</f>
        <v>0.33013185739866513</v>
      </c>
      <c r="H11" s="142">
        <v>2463</v>
      </c>
      <c r="I11" s="80">
        <f>H11/$E11</f>
        <v>0.20047208204460362</v>
      </c>
      <c r="J11" s="142">
        <v>1246</v>
      </c>
      <c r="K11" s="142">
        <v>70112</v>
      </c>
      <c r="L11" s="142">
        <v>77299</v>
      </c>
      <c r="M11" s="143">
        <f>L11/E11</f>
        <v>6.2916327527266809</v>
      </c>
      <c r="N11" s="143">
        <f>L11/F11</f>
        <v>19.057938856015777</v>
      </c>
      <c r="O11" s="143">
        <f>J11/E11</f>
        <v>0.10141624613381084</v>
      </c>
      <c r="P11" s="145">
        <f>J11/H11</f>
        <v>0.50588712951684933</v>
      </c>
    </row>
    <row r="12" spans="2:16" x14ac:dyDescent="0.3">
      <c r="C12" s="144" t="s">
        <v>308</v>
      </c>
      <c r="D12" s="72"/>
      <c r="E12" s="142">
        <v>27732</v>
      </c>
      <c r="F12" s="142">
        <f>9749+466</f>
        <v>10215</v>
      </c>
      <c r="G12" s="80">
        <f t="shared" ref="G12:I20" si="0">F12/$E12</f>
        <v>0.36834703591518825</v>
      </c>
      <c r="H12" s="142">
        <v>6902</v>
      </c>
      <c r="I12" s="80">
        <f t="shared" si="0"/>
        <v>0.24888215779604789</v>
      </c>
      <c r="J12" s="142">
        <v>79.8</v>
      </c>
      <c r="K12" s="142">
        <v>70141</v>
      </c>
      <c r="L12" s="142">
        <v>63249</v>
      </c>
      <c r="M12" s="143">
        <f t="shared" ref="M12:M20" si="1">L12/E12</f>
        <v>2.280722630895716</v>
      </c>
      <c r="N12" s="143">
        <f t="shared" ref="N12:N20" si="2">L12/F12</f>
        <v>6.1917767988252566</v>
      </c>
      <c r="O12" s="143">
        <f t="shared" ref="O12:O20" si="3">J12/E12</f>
        <v>2.8775421895283425E-3</v>
      </c>
      <c r="P12" s="145">
        <f t="shared" ref="P12:P20" si="4">J12/H12</f>
        <v>1.1561866125760649E-2</v>
      </c>
    </row>
    <row r="13" spans="2:16" x14ac:dyDescent="0.3">
      <c r="C13" s="146" t="s">
        <v>309</v>
      </c>
      <c r="E13" s="147">
        <v>2626</v>
      </c>
      <c r="F13" s="147">
        <f>846+92.6</f>
        <v>938.6</v>
      </c>
      <c r="G13" s="148">
        <f t="shared" si="0"/>
        <v>0.35742574257425741</v>
      </c>
      <c r="H13" s="147">
        <v>640</v>
      </c>
      <c r="I13" s="148">
        <f t="shared" si="0"/>
        <v>0.24371667936024372</v>
      </c>
      <c r="J13" s="147">
        <v>576</v>
      </c>
      <c r="K13" s="147">
        <v>18307</v>
      </c>
      <c r="L13" s="147">
        <v>17990</v>
      </c>
      <c r="M13" s="149">
        <f t="shared" si="1"/>
        <v>6.8507235338918511</v>
      </c>
      <c r="N13" s="149">
        <f t="shared" si="2"/>
        <v>19.166844236096313</v>
      </c>
      <c r="O13" s="149">
        <f t="shared" si="3"/>
        <v>0.21934501142421933</v>
      </c>
      <c r="P13" s="150">
        <f t="shared" si="4"/>
        <v>0.9</v>
      </c>
    </row>
    <row r="14" spans="2:16" x14ac:dyDescent="0.3">
      <c r="C14" s="146" t="s">
        <v>310</v>
      </c>
      <c r="E14" s="147">
        <v>4130</v>
      </c>
      <c r="F14" s="147">
        <f>483+35.5</f>
        <v>518.5</v>
      </c>
      <c r="G14" s="148">
        <f t="shared" si="0"/>
        <v>0.125544794188862</v>
      </c>
      <c r="H14" s="147">
        <v>382</v>
      </c>
      <c r="I14" s="148">
        <f t="shared" si="0"/>
        <v>9.2493946731234872E-2</v>
      </c>
      <c r="J14" s="147">
        <v>1405</v>
      </c>
      <c r="K14" s="147">
        <v>10372</v>
      </c>
      <c r="L14" s="147">
        <v>10582</v>
      </c>
      <c r="M14" s="149">
        <f t="shared" si="1"/>
        <v>2.5622276029055691</v>
      </c>
      <c r="N14" s="149">
        <f t="shared" si="2"/>
        <v>20.408871745419479</v>
      </c>
      <c r="O14" s="149">
        <f t="shared" si="3"/>
        <v>0.34019370460048426</v>
      </c>
      <c r="P14" s="150">
        <f t="shared" si="4"/>
        <v>3.6780104712041886</v>
      </c>
    </row>
    <row r="15" spans="2:16" x14ac:dyDescent="0.3">
      <c r="C15" s="146" t="s">
        <v>311</v>
      </c>
      <c r="E15" s="147">
        <v>1489</v>
      </c>
      <c r="F15" s="147">
        <f>349+161</f>
        <v>510</v>
      </c>
      <c r="G15" s="148">
        <f t="shared" si="0"/>
        <v>0.34251175285426461</v>
      </c>
      <c r="H15" s="147">
        <v>291</v>
      </c>
      <c r="I15" s="148">
        <f t="shared" si="0"/>
        <v>0.19543317662860982</v>
      </c>
      <c r="J15" s="147">
        <v>292</v>
      </c>
      <c r="K15" s="147">
        <v>5934</v>
      </c>
      <c r="L15" s="147">
        <v>5097</v>
      </c>
      <c r="M15" s="149">
        <f t="shared" si="1"/>
        <v>3.4231027535258565</v>
      </c>
      <c r="N15" s="149">
        <f t="shared" si="2"/>
        <v>9.9941176470588236</v>
      </c>
      <c r="O15" s="149">
        <f t="shared" si="3"/>
        <v>0.19610476830087306</v>
      </c>
      <c r="P15" s="150">
        <f t="shared" si="4"/>
        <v>1.0034364261168385</v>
      </c>
    </row>
    <row r="16" spans="2:16" x14ac:dyDescent="0.3">
      <c r="C16" s="146" t="s">
        <v>312</v>
      </c>
      <c r="E16" s="147">
        <v>3824</v>
      </c>
      <c r="F16" s="147">
        <f>489+127</f>
        <v>616</v>
      </c>
      <c r="G16" s="148">
        <f t="shared" si="0"/>
        <v>0.16108786610878661</v>
      </c>
      <c r="H16" s="147">
        <v>381</v>
      </c>
      <c r="I16" s="148">
        <f t="shared" si="0"/>
        <v>9.9633891213389128E-2</v>
      </c>
      <c r="J16" s="147">
        <v>503</v>
      </c>
      <c r="K16" s="147">
        <v>4804</v>
      </c>
      <c r="L16" s="147">
        <v>5710</v>
      </c>
      <c r="M16" s="149">
        <f t="shared" si="1"/>
        <v>1.4932008368200838</v>
      </c>
      <c r="N16" s="149">
        <f t="shared" si="2"/>
        <v>9.2694805194805188</v>
      </c>
      <c r="O16" s="149">
        <f t="shared" si="3"/>
        <v>0.1315376569037657</v>
      </c>
      <c r="P16" s="150">
        <f t="shared" si="4"/>
        <v>1.3202099737532809</v>
      </c>
    </row>
    <row r="17" spans="2:22" x14ac:dyDescent="0.3">
      <c r="C17" s="146" t="s">
        <v>313</v>
      </c>
      <c r="E17" s="147">
        <v>380</v>
      </c>
      <c r="F17" s="147">
        <f>18.2+4.55</f>
        <v>22.75</v>
      </c>
      <c r="G17" s="148">
        <f t="shared" si="0"/>
        <v>5.9868421052631578E-2</v>
      </c>
      <c r="H17" s="147">
        <v>4.1500000000000004</v>
      </c>
      <c r="I17" s="148">
        <f t="shared" si="0"/>
        <v>1.0921052631578948E-2</v>
      </c>
      <c r="J17" s="147">
        <v>246</v>
      </c>
      <c r="K17" s="147">
        <v>608</v>
      </c>
      <c r="L17" s="147">
        <v>849</v>
      </c>
      <c r="M17" s="149">
        <f t="shared" si="1"/>
        <v>2.2342105263157896</v>
      </c>
      <c r="N17" s="149">
        <f t="shared" si="2"/>
        <v>37.318681318681321</v>
      </c>
      <c r="O17" s="149">
        <f t="shared" si="3"/>
        <v>0.64736842105263159</v>
      </c>
      <c r="P17" s="150">
        <f t="shared" si="4"/>
        <v>59.277108433734938</v>
      </c>
    </row>
    <row r="18" spans="2:22" x14ac:dyDescent="0.3">
      <c r="C18" s="146" t="s">
        <v>314</v>
      </c>
      <c r="E18" s="147">
        <v>920</v>
      </c>
      <c r="F18" s="147">
        <f>104+20.3</f>
        <v>124.3</v>
      </c>
      <c r="G18" s="148">
        <f t="shared" si="0"/>
        <v>0.1351086956521739</v>
      </c>
      <c r="H18" s="147">
        <v>64.8</v>
      </c>
      <c r="I18" s="148">
        <f t="shared" si="0"/>
        <v>7.0434782608695651E-2</v>
      </c>
      <c r="J18" s="147">
        <v>151</v>
      </c>
      <c r="K18" s="147">
        <v>533</v>
      </c>
      <c r="L18" s="147">
        <v>638</v>
      </c>
      <c r="M18" s="149">
        <f t="shared" si="1"/>
        <v>0.69347826086956521</v>
      </c>
      <c r="N18" s="149">
        <f t="shared" si="2"/>
        <v>5.1327433628318584</v>
      </c>
      <c r="O18" s="149">
        <f t="shared" si="3"/>
        <v>0.16413043478260869</v>
      </c>
      <c r="P18" s="150">
        <f t="shared" si="4"/>
        <v>2.3302469135802468</v>
      </c>
    </row>
    <row r="19" spans="2:22" x14ac:dyDescent="0.3">
      <c r="C19" s="146" t="s">
        <v>315</v>
      </c>
      <c r="E19" s="147">
        <v>1001</v>
      </c>
      <c r="F19" s="147">
        <f>72.9+3.84</f>
        <v>76.740000000000009</v>
      </c>
      <c r="G19" s="148">
        <f t="shared" si="0"/>
        <v>7.6663336663336676E-2</v>
      </c>
      <c r="H19" s="147">
        <v>51.2</v>
      </c>
      <c r="I19" s="148">
        <f t="shared" si="0"/>
        <v>5.1148851148851149E-2</v>
      </c>
      <c r="J19" s="147">
        <v>1501</v>
      </c>
      <c r="K19" s="147">
        <v>450</v>
      </c>
      <c r="L19" s="147">
        <v>452</v>
      </c>
      <c r="M19" s="149">
        <f t="shared" si="1"/>
        <v>0.45154845154845152</v>
      </c>
      <c r="N19" s="149">
        <f t="shared" si="2"/>
        <v>5.8900182434193376</v>
      </c>
      <c r="O19" s="149">
        <f t="shared" si="3"/>
        <v>1.4995004995004995</v>
      </c>
      <c r="P19" s="150">
        <f t="shared" si="4"/>
        <v>29.31640625</v>
      </c>
    </row>
    <row r="20" spans="2:22" x14ac:dyDescent="0.3">
      <c r="C20" s="151" t="s">
        <v>316</v>
      </c>
      <c r="D20" s="57"/>
      <c r="E20" s="152">
        <v>149</v>
      </c>
      <c r="F20" s="152">
        <f>39.1+4.63</f>
        <v>43.730000000000004</v>
      </c>
      <c r="G20" s="153">
        <f t="shared" si="0"/>
        <v>0.29348993288590608</v>
      </c>
      <c r="H20" s="152">
        <v>26</v>
      </c>
      <c r="I20" s="153">
        <f t="shared" si="0"/>
        <v>0.17449664429530201</v>
      </c>
      <c r="J20" s="152">
        <v>24.1</v>
      </c>
      <c r="K20" s="152">
        <v>217</v>
      </c>
      <c r="L20" s="152">
        <v>225</v>
      </c>
      <c r="M20" s="154">
        <f t="shared" si="1"/>
        <v>1.5100671140939597</v>
      </c>
      <c r="N20" s="154">
        <f t="shared" si="2"/>
        <v>5.1452092385090324</v>
      </c>
      <c r="O20" s="154">
        <f t="shared" si="3"/>
        <v>0.16174496644295303</v>
      </c>
      <c r="P20" s="155">
        <f t="shared" si="4"/>
        <v>0.92692307692307696</v>
      </c>
    </row>
    <row r="22" spans="2:22" x14ac:dyDescent="0.3">
      <c r="C22" s="165" t="s">
        <v>294</v>
      </c>
      <c r="D22" s="156"/>
      <c r="E22" s="156"/>
      <c r="F22" s="156"/>
      <c r="G22" s="156"/>
      <c r="H22" s="156"/>
      <c r="I22" s="156"/>
      <c r="J22" s="156"/>
      <c r="K22" s="156"/>
      <c r="L22" s="156"/>
      <c r="M22" s="157">
        <f>AVERAGE(M12:M20)</f>
        <v>2.3888090789852048</v>
      </c>
      <c r="N22" s="157">
        <f>AVERAGE(N12:N20)</f>
        <v>13.168638123369103</v>
      </c>
      <c r="O22" s="157">
        <f>AVERAGE(O12:O20)</f>
        <v>0.37364477835528481</v>
      </c>
      <c r="P22" s="158">
        <f>AVERAGE(P12:P20)</f>
        <v>10.97376704571537</v>
      </c>
    </row>
    <row r="23" spans="2:22" x14ac:dyDescent="0.3">
      <c r="C23" s="166" t="s">
        <v>295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60">
        <f>MEDIAN(M12:M20)</f>
        <v>2.2342105263157896</v>
      </c>
      <c r="N23" s="160">
        <f>MEDIAN(N12:N20)</f>
        <v>9.2694805194805188</v>
      </c>
      <c r="O23" s="160">
        <f>MEDIAN(O12:O20)</f>
        <v>0.19610476830087306</v>
      </c>
      <c r="P23" s="161">
        <f>MEDIAN(P12:P20)</f>
        <v>1.3202099737532809</v>
      </c>
    </row>
    <row r="24" spans="2:22" x14ac:dyDescent="0.3">
      <c r="C24" s="166" t="s">
        <v>296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60">
        <f>QUARTILE(M12:M20,3)</f>
        <v>2.5622276029055691</v>
      </c>
      <c r="N24" s="160">
        <f>QUARTILE(N12:N20,3)</f>
        <v>19.166844236096313</v>
      </c>
      <c r="O24" s="160">
        <f>QUARTILE(O12:O20,3)</f>
        <v>0.34019370460048426</v>
      </c>
      <c r="P24" s="161">
        <f>QUARTILE(P12:P20,3)</f>
        <v>3.6780104712041886</v>
      </c>
    </row>
    <row r="25" spans="2:22" x14ac:dyDescent="0.3">
      <c r="C25" s="167" t="s">
        <v>297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3">
        <f>QUARTILE(M12:M20,1)</f>
        <v>1.4932008368200838</v>
      </c>
      <c r="N25" s="163">
        <f>QUARTILE(N12:N20,1)</f>
        <v>5.8900182434193376</v>
      </c>
      <c r="O25" s="163">
        <f>QUARTILE(O12:O20,1)</f>
        <v>0.16174496644295303</v>
      </c>
      <c r="P25" s="164">
        <f>QUARTILE(P12:P20,1)</f>
        <v>0.92692307692307696</v>
      </c>
    </row>
    <row r="28" spans="2:22" x14ac:dyDescent="0.3">
      <c r="B28" s="51" t="s">
        <v>94</v>
      </c>
      <c r="C28" s="16" t="s">
        <v>146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3">
      <c r="C29" s="192"/>
      <c r="D29" s="169"/>
      <c r="E29" s="169"/>
      <c r="F29" s="169"/>
      <c r="G29" s="169"/>
      <c r="H29" s="169"/>
      <c r="I29" s="169"/>
      <c r="J29" s="169"/>
      <c r="K29" s="192"/>
      <c r="L29" s="169"/>
      <c r="M29" s="169"/>
      <c r="N29" s="170"/>
      <c r="O29" s="341" t="s">
        <v>286</v>
      </c>
      <c r="P29" s="342"/>
      <c r="Q29" s="342"/>
      <c r="R29" s="343"/>
      <c r="S29" s="341" t="s">
        <v>288</v>
      </c>
      <c r="T29" s="342"/>
      <c r="U29" s="342"/>
      <c r="V29" s="343"/>
    </row>
    <row r="30" spans="2:22" x14ac:dyDescent="0.3">
      <c r="C30" s="193" t="s">
        <v>78</v>
      </c>
      <c r="D30" s="171"/>
      <c r="E30" s="171" t="s">
        <v>221</v>
      </c>
      <c r="F30" s="171" t="s">
        <v>299</v>
      </c>
      <c r="G30" s="173" t="s">
        <v>185</v>
      </c>
      <c r="H30" s="173" t="s">
        <v>317</v>
      </c>
      <c r="I30" s="173" t="s">
        <v>318</v>
      </c>
      <c r="J30" s="171" t="s">
        <v>319</v>
      </c>
      <c r="K30" s="172" t="s">
        <v>320</v>
      </c>
      <c r="L30" s="171" t="s">
        <v>304</v>
      </c>
      <c r="M30" s="171" t="s">
        <v>305</v>
      </c>
      <c r="N30" s="176" t="s">
        <v>306</v>
      </c>
      <c r="O30" s="172" t="s">
        <v>320</v>
      </c>
      <c r="P30" s="171" t="s">
        <v>304</v>
      </c>
      <c r="Q30" s="171" t="s">
        <v>305</v>
      </c>
      <c r="R30" s="176" t="s">
        <v>306</v>
      </c>
      <c r="S30" s="172" t="s">
        <v>320</v>
      </c>
      <c r="T30" s="171" t="s">
        <v>304</v>
      </c>
      <c r="U30" s="171" t="s">
        <v>305</v>
      </c>
      <c r="V30" s="171" t="s">
        <v>306</v>
      </c>
    </row>
    <row r="31" spans="2:22" x14ac:dyDescent="0.3">
      <c r="C31" s="146" t="s">
        <v>294</v>
      </c>
      <c r="E31" s="147">
        <f>E11</f>
        <v>12286</v>
      </c>
      <c r="F31" s="147">
        <f>F11</f>
        <v>4056</v>
      </c>
      <c r="G31" s="142">
        <f>H11</f>
        <v>2463</v>
      </c>
      <c r="H31" s="142">
        <v>120648</v>
      </c>
      <c r="I31" s="175">
        <f ca="1">Financials!L63+Financials!L64+Financials!L61+Financials!L52</f>
        <v>7254.4739098811406</v>
      </c>
      <c r="J31" s="29">
        <f ca="1">Financials!M76+Financials!M84</f>
        <v>18297.024908772917</v>
      </c>
      <c r="K31" s="194">
        <f>M22</f>
        <v>2.3888090789852048</v>
      </c>
      <c r="L31" s="149">
        <f t="shared" ref="L31:N31" si="5">N22</f>
        <v>13.168638123369103</v>
      </c>
      <c r="M31" s="149">
        <f t="shared" si="5"/>
        <v>0.37364477835528481</v>
      </c>
      <c r="N31" s="150">
        <f t="shared" si="5"/>
        <v>10.97376704571537</v>
      </c>
      <c r="O31" s="177">
        <f>K31*E31</f>
        <v>29348.908344412226</v>
      </c>
      <c r="P31" s="142">
        <f>L31*F31</f>
        <v>53411.996228385084</v>
      </c>
      <c r="Q31" s="142">
        <f>M31*E31</f>
        <v>4590.5997468730293</v>
      </c>
      <c r="R31" s="178">
        <f>N31*G31</f>
        <v>27028.388233596957</v>
      </c>
      <c r="S31" s="183">
        <f>H31*10^2/O31</f>
        <v>411.08172946054503</v>
      </c>
      <c r="T31" s="184">
        <f t="shared" ref="T31:V31" ca="1" si="6">I31*10^2/P31</f>
        <v>13.582105935268991</v>
      </c>
      <c r="U31" s="184">
        <f t="shared" ca="1" si="6"/>
        <v>398.57591420894988</v>
      </c>
      <c r="V31" s="185">
        <f t="shared" si="6"/>
        <v>8.8381484620524125E-3</v>
      </c>
    </row>
    <row r="32" spans="2:22" x14ac:dyDescent="0.3">
      <c r="C32" s="146" t="s">
        <v>295</v>
      </c>
      <c r="E32" s="147">
        <f>E31</f>
        <v>12286</v>
      </c>
      <c r="F32" s="147">
        <f t="shared" ref="F32:J32" si="7">F31</f>
        <v>4056</v>
      </c>
      <c r="G32" s="147">
        <f t="shared" si="7"/>
        <v>2463</v>
      </c>
      <c r="H32" s="147">
        <f t="shared" si="7"/>
        <v>120648</v>
      </c>
      <c r="I32" s="147">
        <f t="shared" ca="1" si="7"/>
        <v>7254.4739098811406</v>
      </c>
      <c r="J32" s="147">
        <f t="shared" ca="1" si="7"/>
        <v>18297.024908772917</v>
      </c>
      <c r="K32" s="194">
        <f t="shared" ref="K32:K34" si="8">M23</f>
        <v>2.2342105263157896</v>
      </c>
      <c r="L32" s="149">
        <f t="shared" ref="L32:L34" si="9">N23</f>
        <v>9.2694805194805188</v>
      </c>
      <c r="M32" s="149">
        <f t="shared" ref="M32:M34" si="10">O23</f>
        <v>0.19610476830087306</v>
      </c>
      <c r="N32" s="150">
        <f t="shared" ref="N32:N34" si="11">P23</f>
        <v>1.3202099737532809</v>
      </c>
      <c r="O32" s="179">
        <f t="shared" ref="O32:O34" si="12">K32*E32</f>
        <v>27449.510526315793</v>
      </c>
      <c r="P32" s="147">
        <f t="shared" ref="P32:P34" si="13">L32*F32</f>
        <v>37597.012987012982</v>
      </c>
      <c r="Q32" s="147">
        <f t="shared" ref="Q32:Q34" si="14">M32*E32</f>
        <v>2409.3431833445266</v>
      </c>
      <c r="R32" s="180">
        <f t="shared" ref="R32:R34" si="15">N32*G32</f>
        <v>3251.6771653543306</v>
      </c>
      <c r="S32" s="186">
        <f t="shared" ref="S32:S34" si="16">H32*10^2/O32</f>
        <v>439.52696309223802</v>
      </c>
      <c r="T32" s="187">
        <f t="shared" ref="T32:T34" ca="1" si="17">I32*10^2/P32</f>
        <v>19.295346447833584</v>
      </c>
      <c r="U32" s="187">
        <f t="shared" ref="U32:U34" ca="1" si="18">J32*10^2/Q32</f>
        <v>759.41962254517534</v>
      </c>
      <c r="V32" s="188">
        <f t="shared" ref="V32:V34" si="19">K32*10^2/R32</f>
        <v>6.8709481682888124E-2</v>
      </c>
    </row>
    <row r="33" spans="2:22" x14ac:dyDescent="0.3">
      <c r="C33" s="146" t="s">
        <v>296</v>
      </c>
      <c r="E33" s="147">
        <f t="shared" ref="E33:E34" si="20">E32</f>
        <v>12286</v>
      </c>
      <c r="F33" s="147">
        <f t="shared" ref="F33:F34" si="21">F32</f>
        <v>4056</v>
      </c>
      <c r="G33" s="147">
        <f t="shared" ref="G33:G34" si="22">G32</f>
        <v>2463</v>
      </c>
      <c r="H33" s="147">
        <f t="shared" ref="H33:H34" si="23">H32</f>
        <v>120648</v>
      </c>
      <c r="I33" s="147">
        <f t="shared" ref="I33:I34" ca="1" si="24">I32</f>
        <v>7254.4739098811406</v>
      </c>
      <c r="J33" s="147">
        <f t="shared" ref="J33:J34" ca="1" si="25">J32</f>
        <v>18297.024908772917</v>
      </c>
      <c r="K33" s="194">
        <f>M24</f>
        <v>2.5622276029055691</v>
      </c>
      <c r="L33" s="149">
        <f t="shared" si="9"/>
        <v>19.166844236096313</v>
      </c>
      <c r="M33" s="149">
        <f t="shared" si="10"/>
        <v>0.34019370460048426</v>
      </c>
      <c r="N33" s="150">
        <f t="shared" si="11"/>
        <v>3.6780104712041886</v>
      </c>
      <c r="O33" s="179">
        <f t="shared" si="12"/>
        <v>31479.52832929782</v>
      </c>
      <c r="P33" s="147">
        <f t="shared" si="13"/>
        <v>77740.720221606651</v>
      </c>
      <c r="Q33" s="147">
        <f t="shared" si="14"/>
        <v>4179.6198547215499</v>
      </c>
      <c r="R33" s="180">
        <f t="shared" si="15"/>
        <v>9058.939790575916</v>
      </c>
      <c r="S33" s="186">
        <f t="shared" si="16"/>
        <v>383.25860139306337</v>
      </c>
      <c r="T33" s="187">
        <f t="shared" ca="1" si="17"/>
        <v>9.3316268349478051</v>
      </c>
      <c r="U33" s="187">
        <f t="shared" ca="1" si="18"/>
        <v>437.76768090771452</v>
      </c>
      <c r="V33" s="188">
        <f t="shared" si="19"/>
        <v>2.8283967684287665E-2</v>
      </c>
    </row>
    <row r="34" spans="2:22" x14ac:dyDescent="0.3">
      <c r="C34" s="151" t="s">
        <v>297</v>
      </c>
      <c r="D34" s="57"/>
      <c r="E34" s="152">
        <f t="shared" si="20"/>
        <v>12286</v>
      </c>
      <c r="F34" s="152">
        <f t="shared" si="21"/>
        <v>4056</v>
      </c>
      <c r="G34" s="152">
        <f t="shared" si="22"/>
        <v>2463</v>
      </c>
      <c r="H34" s="152">
        <f t="shared" si="23"/>
        <v>120648</v>
      </c>
      <c r="I34" s="152">
        <f t="shared" ca="1" si="24"/>
        <v>7254.4739098811406</v>
      </c>
      <c r="J34" s="152">
        <f t="shared" ca="1" si="25"/>
        <v>18297.024908772917</v>
      </c>
      <c r="K34" s="195">
        <f t="shared" si="8"/>
        <v>1.4932008368200838</v>
      </c>
      <c r="L34" s="154">
        <f t="shared" si="9"/>
        <v>5.8900182434193376</v>
      </c>
      <c r="M34" s="154">
        <f t="shared" si="10"/>
        <v>0.16174496644295303</v>
      </c>
      <c r="N34" s="155">
        <f t="shared" si="11"/>
        <v>0.92692307692307696</v>
      </c>
      <c r="O34" s="181">
        <f t="shared" si="12"/>
        <v>18345.465481171548</v>
      </c>
      <c r="P34" s="152">
        <f t="shared" si="13"/>
        <v>23889.913995308834</v>
      </c>
      <c r="Q34" s="152">
        <f t="shared" si="14"/>
        <v>1987.1986577181208</v>
      </c>
      <c r="R34" s="182">
        <f t="shared" si="15"/>
        <v>2283.0115384615387</v>
      </c>
      <c r="S34" s="189">
        <f t="shared" si="16"/>
        <v>657.64480123889109</v>
      </c>
      <c r="T34" s="190">
        <f t="shared" ca="1" si="17"/>
        <v>30.366262144374701</v>
      </c>
      <c r="U34" s="190">
        <f t="shared" ca="1" si="18"/>
        <v>920.74462901374932</v>
      </c>
      <c r="V34" s="191">
        <f t="shared" si="19"/>
        <v>6.5404874730782672E-2</v>
      </c>
    </row>
    <row r="37" spans="2:22" x14ac:dyDescent="0.3">
      <c r="B37" s="51" t="s">
        <v>94</v>
      </c>
      <c r="C37" s="16" t="s">
        <v>321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2:22" x14ac:dyDescent="0.3">
      <c r="C38" s="196"/>
      <c r="D38" s="196"/>
      <c r="E38" s="196"/>
    </row>
    <row r="39" spans="2:22" x14ac:dyDescent="0.3">
      <c r="C39" s="174" t="s">
        <v>146</v>
      </c>
      <c r="D39" s="174"/>
      <c r="E39" s="174"/>
    </row>
    <row r="40" spans="2:22" x14ac:dyDescent="0.3">
      <c r="C40" s="197" t="s">
        <v>294</v>
      </c>
      <c r="D40" s="156"/>
      <c r="E40" s="205">
        <v>1302.2736363636361</v>
      </c>
    </row>
    <row r="41" spans="2:22" x14ac:dyDescent="0.3">
      <c r="C41" s="198" t="s">
        <v>295</v>
      </c>
      <c r="D41" s="159"/>
      <c r="E41" s="206">
        <v>1293.4000000000001</v>
      </c>
    </row>
    <row r="42" spans="2:22" x14ac:dyDescent="0.3">
      <c r="C42" s="198" t="s">
        <v>296</v>
      </c>
      <c r="D42" s="159"/>
      <c r="E42" s="206">
        <v>1351.25</v>
      </c>
    </row>
    <row r="43" spans="2:22" x14ac:dyDescent="0.3">
      <c r="C43" s="199" t="s">
        <v>297</v>
      </c>
      <c r="D43" s="162"/>
      <c r="E43" s="207">
        <v>1226</v>
      </c>
    </row>
    <row r="45" spans="2:22" x14ac:dyDescent="0.3">
      <c r="B45" s="51" t="s">
        <v>94</v>
      </c>
      <c r="C45" s="16" t="s">
        <v>193</v>
      </c>
    </row>
  </sheetData>
  <mergeCells count="2">
    <mergeCell ref="O29:R29"/>
    <mergeCell ref="S29:V29"/>
  </mergeCells>
  <hyperlinks>
    <hyperlink ref="C6" location="Dashboard!A1" display="&lt;-Back to Dashboard" xr:uid="{E0C769C1-19F3-4D11-B130-F5EDD079B69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5CD2-BCAF-40B0-BF80-3227ED94C792}">
  <dimension ref="B1:Q52"/>
  <sheetViews>
    <sheetView showGridLines="0" topLeftCell="A22" workbookViewId="0">
      <selection activeCell="C3" sqref="C3"/>
    </sheetView>
  </sheetViews>
  <sheetFormatPr defaultRowHeight="14.4" x14ac:dyDescent="0.3"/>
  <cols>
    <col min="1" max="2" width="2.88671875" customWidth="1"/>
    <col min="3" max="4" width="12.77734375" customWidth="1"/>
    <col min="5" max="5" width="2.88671875" customWidth="1"/>
    <col min="6" max="15" width="12.77734375" customWidth="1"/>
  </cols>
  <sheetData>
    <row r="1" spans="2:17" x14ac:dyDescent="0.3">
      <c r="B1" s="141"/>
    </row>
    <row r="2" spans="2:17" x14ac:dyDescent="0.3">
      <c r="B2" s="141"/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3">
      <c r="B3" s="141"/>
      <c r="C3" s="16" t="s">
        <v>378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3">
      <c r="B4" s="141"/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x14ac:dyDescent="0.3">
      <c r="B5" s="14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x14ac:dyDescent="0.3">
      <c r="B6" s="141"/>
      <c r="C6" s="243" t="s">
        <v>379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x14ac:dyDescent="0.3">
      <c r="B7" s="14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x14ac:dyDescent="0.3">
      <c r="B8" s="141">
        <v>1</v>
      </c>
      <c r="C8" s="226" t="s">
        <v>337</v>
      </c>
      <c r="D8" s="227"/>
      <c r="E8" s="227"/>
      <c r="F8" s="228">
        <v>44651</v>
      </c>
      <c r="G8" s="228">
        <f>EOMONTH(F8,12)</f>
        <v>45016</v>
      </c>
      <c r="H8" s="228">
        <f t="shared" ref="H8:N8" si="0">EOMONTH(G8,12)</f>
        <v>45382</v>
      </c>
      <c r="I8" s="228">
        <f t="shared" si="0"/>
        <v>45747</v>
      </c>
      <c r="J8" s="229">
        <f t="shared" si="0"/>
        <v>46112</v>
      </c>
      <c r="K8" s="229">
        <f t="shared" si="0"/>
        <v>46477</v>
      </c>
      <c r="L8" s="229">
        <f t="shared" si="0"/>
        <v>46843</v>
      </c>
      <c r="M8" s="229">
        <f t="shared" si="0"/>
        <v>47208</v>
      </c>
      <c r="N8" s="230">
        <f t="shared" si="0"/>
        <v>47573</v>
      </c>
    </row>
    <row r="9" spans="2:17" x14ac:dyDescent="0.3">
      <c r="B9" s="141"/>
      <c r="C9" s="146" t="s">
        <v>338</v>
      </c>
      <c r="F9" s="231">
        <f>Financials!G32/Financials!G$19</f>
        <v>0.19136473014781707</v>
      </c>
      <c r="G9" s="231">
        <f>Financials!H32/Financials!H$19</f>
        <v>0.22981622663170626</v>
      </c>
      <c r="H9" s="231">
        <f>Financials!I32/Financials!I$19</f>
        <v>0.26260761110942121</v>
      </c>
      <c r="I9" s="231">
        <f>Financials!J32/Financials!J$19</f>
        <v>0.27996698471197279</v>
      </c>
      <c r="J9" s="231">
        <f>Financials!K32/Financials!K$19</f>
        <v>0.27383391922140099</v>
      </c>
      <c r="K9" s="231">
        <f ca="1">Financials!L32/Financials!L$19</f>
        <v>0.27174994071659742</v>
      </c>
      <c r="L9" s="231">
        <f ca="1">Financials!M32/Financials!M$19</f>
        <v>0.26298239405333762</v>
      </c>
      <c r="M9" s="231">
        <f ca="1">Financials!N32/Financials!N$19</f>
        <v>0.21493684489528225</v>
      </c>
      <c r="N9" s="232">
        <f ca="1">Financials!O32/Financials!O$19</f>
        <v>0.20563816608558538</v>
      </c>
    </row>
    <row r="10" spans="2:17" x14ac:dyDescent="0.3">
      <c r="B10" s="141"/>
      <c r="C10" s="146" t="s">
        <v>299</v>
      </c>
      <c r="F10" s="147">
        <f>Financials!G32+Financials!G27+Financials!G26</f>
        <v>175.28999999999996</v>
      </c>
      <c r="G10" s="147">
        <f>Financials!H32+Financials!H27+Financials!H26</f>
        <v>884.76000000000022</v>
      </c>
      <c r="H10" s="147">
        <f>Financials!I32+Financials!I27+Financials!I26</f>
        <v>1781.2100000000009</v>
      </c>
      <c r="I10" s="147">
        <f>Financials!J32+Financials!J27+Financials!J26</f>
        <v>2004.1300000000015</v>
      </c>
      <c r="J10" s="147">
        <f>Financials!K32+Financials!K27+Financials!K26</f>
        <v>4856.1252266666652</v>
      </c>
      <c r="K10" s="147">
        <f ca="1">Financials!L32+Financials!L27+Financials!L26</f>
        <v>6151.4698559999979</v>
      </c>
      <c r="L10" s="147">
        <f ca="1">Financials!M32+Financials!M27+Financials!M26</f>
        <v>7467.7644770666693</v>
      </c>
      <c r="M10" s="147">
        <f ca="1">Financials!N32+Financials!N27+Financials!N26</f>
        <v>7594.0967934133332</v>
      </c>
      <c r="N10" s="180">
        <f ca="1">Financials!O32+Financials!O27+Financials!O26</f>
        <v>8755.2257449509325</v>
      </c>
    </row>
    <row r="11" spans="2:17" x14ac:dyDescent="0.3">
      <c r="B11" s="141"/>
      <c r="C11" s="146" t="s">
        <v>339</v>
      </c>
      <c r="F11" s="231">
        <f>F10/Financials!G19</f>
        <v>0.24103128222756956</v>
      </c>
      <c r="G11" s="231">
        <f>G10/Financials!H19</f>
        <v>0.25521162349968418</v>
      </c>
      <c r="H11" s="231">
        <f>H10/Financials!I19</f>
        <v>0.27092294588263938</v>
      </c>
      <c r="I11" s="231">
        <f>I10/Financials!J19</f>
        <v>0.29591649908011985</v>
      </c>
      <c r="J11" s="231">
        <f>J10/Financials!K19</f>
        <v>0.32305708791325755</v>
      </c>
      <c r="K11" s="231">
        <f ca="1">K10/Financials!L19</f>
        <v>0.31272810679005864</v>
      </c>
      <c r="L11" s="231">
        <f ca="1">L10/Financials!M19</f>
        <v>0.3001456458496522</v>
      </c>
      <c r="M11" s="231">
        <f ca="1">M10/Financials!N19</f>
        <v>0.2496831754679136</v>
      </c>
      <c r="N11" s="232">
        <f ca="1">N10/Financials!O19</f>
        <v>0.23780466484049784</v>
      </c>
    </row>
    <row r="12" spans="2:17" x14ac:dyDescent="0.3">
      <c r="B12" s="141"/>
      <c r="C12" s="146" t="s">
        <v>340</v>
      </c>
      <c r="F12" s="231">
        <f>(Financials!G32+Financials!G26)/Financials!G19</f>
        <v>0.21630800962530072</v>
      </c>
      <c r="G12" s="231">
        <f>(Financials!H32+Financials!H26)/Financials!H19</f>
        <v>0.24857720587174811</v>
      </c>
      <c r="H12" s="231">
        <f>(Financials!I32+Financials!I26)/Financials!I19</f>
        <v>0.26347154199495038</v>
      </c>
      <c r="I12" s="231">
        <f>(Financials!J32+Financials!J26)/Financials!J19</f>
        <v>0.28398610877326669</v>
      </c>
      <c r="J12" s="231">
        <f>(Financials!K32+Financials!K26)/Financials!K19</f>
        <v>0.29105708791325752</v>
      </c>
      <c r="K12" s="231">
        <f ca="1">(Financials!L32+Financials!L26)/Financials!L19</f>
        <v>0.29572810679005868</v>
      </c>
      <c r="L12" s="231">
        <f ca="1">(Financials!M32+Financials!M26)/Financials!M19</f>
        <v>0.28484564584965222</v>
      </c>
      <c r="M12" s="231">
        <f ca="1">(Financials!N32+Financials!N26)/Financials!N19</f>
        <v>0.2360831754679136</v>
      </c>
      <c r="N12" s="232">
        <f ca="1">(Financials!O32+Financials!O26)/Financials!O19</f>
        <v>0.22590466484049779</v>
      </c>
    </row>
    <row r="13" spans="2:17" x14ac:dyDescent="0.3">
      <c r="B13" s="141"/>
      <c r="C13" s="146" t="s">
        <v>341</v>
      </c>
      <c r="F13" s="231">
        <f>Financials!G34/Financials!G19</f>
        <v>0.12074252320385007</v>
      </c>
      <c r="G13" s="231">
        <f>Financials!H34/Financials!H19</f>
        <v>-0.1147119653164184</v>
      </c>
      <c r="H13" s="231">
        <f>Financials!I34/Financials!I19</f>
        <v>0.26260761110942121</v>
      </c>
      <c r="I13" s="231">
        <f>Financials!J34/Financials!J19</f>
        <v>0.27996698471197279</v>
      </c>
      <c r="J13" s="231">
        <f>Financials!K34/Financials!K19</f>
        <v>0.27383391922140099</v>
      </c>
      <c r="K13" s="231">
        <f ca="1">Financials!L34/Financials!L19</f>
        <v>0.27174994071659742</v>
      </c>
      <c r="L13" s="231">
        <f ca="1">Financials!M34/Financials!M19</f>
        <v>0.26298239405333762</v>
      </c>
      <c r="M13" s="231">
        <f ca="1">Financials!N34/Financials!N19</f>
        <v>0.21493684489528225</v>
      </c>
      <c r="N13" s="232">
        <f ca="1">Financials!O34/Financials!O19</f>
        <v>0.20563816608558538</v>
      </c>
    </row>
    <row r="14" spans="2:17" x14ac:dyDescent="0.3">
      <c r="B14" s="141"/>
      <c r="C14" s="146" t="s">
        <v>342</v>
      </c>
      <c r="F14" s="231">
        <f>Financials!G37/Financials!G19</f>
        <v>0.13381918184943276</v>
      </c>
      <c r="G14" s="231">
        <f>Financials!H37/Financials!H19</f>
        <v>-8.3230211407159929E-2</v>
      </c>
      <c r="H14" s="231">
        <f>Financials!I37/Financials!I19</f>
        <v>0.1890518054330303</v>
      </c>
      <c r="I14" s="231">
        <f>Financials!J37/Financials!J19</f>
        <v>0.21408553853604681</v>
      </c>
      <c r="J14" s="231">
        <f>Financials!K37/Financials!K19</f>
        <v>0.20998167366886519</v>
      </c>
      <c r="K14" s="231">
        <f ca="1">Financials!L37/Financials!L19</f>
        <v>0.20831651785650734</v>
      </c>
      <c r="L14" s="231">
        <f ca="1">Financials!M37/Financials!M19</f>
        <v>0.19778729967466438</v>
      </c>
      <c r="M14" s="231">
        <f ca="1">Financials!N37/Financials!N19</f>
        <v>0.14560544227677275</v>
      </c>
      <c r="N14" s="232">
        <f ca="1">Financials!O37/Financials!O19</f>
        <v>0.13117985018951467</v>
      </c>
    </row>
    <row r="15" spans="2:17" x14ac:dyDescent="0.3">
      <c r="B15" s="141"/>
      <c r="C15" s="146" t="s">
        <v>345</v>
      </c>
      <c r="F15" s="231">
        <f>Financials!G37/Financials!G77</f>
        <v>0.20208480418622027</v>
      </c>
      <c r="G15" s="231">
        <f>Financials!H37/Financials!H77</f>
        <v>-0.18871774747375639</v>
      </c>
      <c r="H15" s="231">
        <f>Financials!I37/Financials!I77</f>
        <v>0.44219049618089801</v>
      </c>
      <c r="I15" s="231">
        <f>Financials!J37/Financials!J77</f>
        <v>0.2264749801628213</v>
      </c>
      <c r="J15" s="231">
        <f>Financials!K37/Financials!K77</f>
        <v>0.33492419784942123</v>
      </c>
      <c r="K15" s="231">
        <f ca="1">Financials!L37/Financials!L77</f>
        <v>0.30698303321784293</v>
      </c>
      <c r="L15" s="231">
        <f ca="1">Financials!M37/Financials!M77</f>
        <v>0.27224681549905555</v>
      </c>
      <c r="M15" s="231">
        <f ca="1">Financials!N37/Financials!N77</f>
        <v>0.19747205981735499</v>
      </c>
      <c r="N15" s="232">
        <f ca="1">Financials!O37/Financials!O77</f>
        <v>0.17746325439333172</v>
      </c>
    </row>
    <row r="16" spans="2:17" x14ac:dyDescent="0.3">
      <c r="B16" s="141"/>
      <c r="C16" s="146" t="s">
        <v>344</v>
      </c>
      <c r="F16" s="231">
        <f>Financials!G37/Financials!G72</f>
        <v>0.11814598215646036</v>
      </c>
      <c r="G16" s="231">
        <f>Financials!H37/Financials!H72</f>
        <v>-0.14241644990449295</v>
      </c>
      <c r="H16" s="231">
        <f>Financials!I37/Financials!I72</f>
        <v>0.31566409484094154</v>
      </c>
      <c r="I16" s="231">
        <f>Financials!J37/Financials!J72</f>
        <v>0.15396999012413867</v>
      </c>
      <c r="J16" s="231">
        <f>Financials!K37/Financials!K72</f>
        <v>0.18320356804774646</v>
      </c>
      <c r="K16" s="231">
        <f ca="1">Financials!L37/Financials!L72</f>
        <v>0.17984141055114436</v>
      </c>
      <c r="L16" s="231">
        <f ca="1">Financials!M37/Financials!M72</f>
        <v>0.1676780706990717</v>
      </c>
      <c r="M16" s="231">
        <f ca="1">Financials!N37/Financials!N72</f>
        <v>0.12168036872572158</v>
      </c>
      <c r="N16" s="232">
        <f ca="1">Financials!O37/Financials!O72</f>
        <v>0.11155948750970535</v>
      </c>
    </row>
    <row r="17" spans="2:14" x14ac:dyDescent="0.3">
      <c r="B17" s="141"/>
      <c r="C17" s="146" t="s">
        <v>343</v>
      </c>
      <c r="F17" s="231">
        <f>Financials!G37/(Financials!G72-Financials!G96)</f>
        <v>0.13794145482311046</v>
      </c>
      <c r="G17" s="231">
        <f>Financials!H37/(Financials!H72-Financials!H96)</f>
        <v>-0.18571152732187673</v>
      </c>
      <c r="H17" s="231">
        <f>Financials!I37/(Financials!I72-Financials!I96)</f>
        <v>0.42110719609703245</v>
      </c>
      <c r="I17" s="231">
        <f>Financials!J37/(Financials!J72-Financials!J96)</f>
        <v>0.19854628711651087</v>
      </c>
      <c r="J17" s="231">
        <f>Financials!K37/(Financials!K72-Financials!K96)</f>
        <v>0.21043902417569949</v>
      </c>
      <c r="K17" s="231">
        <f ca="1">Financials!L37/(Financials!L72-Financials!L96)</f>
        <v>0.20765764386089972</v>
      </c>
      <c r="L17" s="231">
        <f ca="1">Financials!M37/(Financials!M72-Financials!M96)</f>
        <v>0.19167674108652002</v>
      </c>
      <c r="M17" s="231">
        <f ca="1">Financials!N37/(Financials!N72-Financials!N96)</f>
        <v>0.14032486630902782</v>
      </c>
      <c r="N17" s="232">
        <f ca="1">Financials!O37/(Financials!O72-Financials!O96)</f>
        <v>0.12636286423295098</v>
      </c>
    </row>
    <row r="18" spans="2:14" x14ac:dyDescent="0.3">
      <c r="B18" s="141"/>
      <c r="C18" s="151" t="s">
        <v>346</v>
      </c>
      <c r="D18" s="57"/>
      <c r="E18" s="57"/>
      <c r="F18" s="233">
        <f>(Financials!G32+Financials!G35+Financials!G36)/(Financials!G72-Financials!G96)</f>
        <v>0.21073916464344497</v>
      </c>
      <c r="G18" s="233">
        <f>(Financials!H32+Financials!H35+Financials!H36)/(Financials!H72-Financials!H96)</f>
        <v>0.58303404775696743</v>
      </c>
      <c r="H18" s="233">
        <f>(Financials!I32+Financials!I35+Financials!I36)/(Financials!I72-Financials!I96)</f>
        <v>0.42110719609703245</v>
      </c>
      <c r="I18" s="233">
        <f>(Financials!J32+Financials!J35+Financials!J36)/(Financials!J72-Financials!J96)</f>
        <v>0.19854628711651087</v>
      </c>
      <c r="J18" s="233">
        <f>(Financials!K32+Financials!K35+Financials!K36)/(Financials!K72-Financials!K96)</f>
        <v>0.21043902417569949</v>
      </c>
      <c r="K18" s="233">
        <f ca="1">(Financials!L32+Financials!L35+Financials!L36)/(Financials!L72-Financials!L96)</f>
        <v>0.20765764386089972</v>
      </c>
      <c r="L18" s="233">
        <f ca="1">(Financials!M32+Financials!M35+Financials!M36)/(Financials!M72-Financials!M96)</f>
        <v>0.19167674108652002</v>
      </c>
      <c r="M18" s="233">
        <f ca="1">(Financials!N32+Financials!N35+Financials!N36)/(Financials!N72-Financials!N96)</f>
        <v>0.14032486630902782</v>
      </c>
      <c r="N18" s="234">
        <f ca="1">(Financials!O32+Financials!O35+Financials!O36)/(Financials!O72-Financials!O96)</f>
        <v>0.12636286423295098</v>
      </c>
    </row>
    <row r="19" spans="2:14" x14ac:dyDescent="0.3">
      <c r="B19" s="141"/>
    </row>
    <row r="20" spans="2:14" x14ac:dyDescent="0.3">
      <c r="B20" s="141">
        <v>2</v>
      </c>
      <c r="C20" s="226" t="s">
        <v>347</v>
      </c>
      <c r="D20" s="227"/>
      <c r="E20" s="227"/>
      <c r="F20" s="228">
        <v>44651</v>
      </c>
      <c r="G20" s="228">
        <f>EOMONTH(F20,12)</f>
        <v>45016</v>
      </c>
      <c r="H20" s="228">
        <f t="shared" ref="H20" si="1">EOMONTH(G20,12)</f>
        <v>45382</v>
      </c>
      <c r="I20" s="228">
        <f t="shared" ref="I20" si="2">EOMONTH(H20,12)</f>
        <v>45747</v>
      </c>
      <c r="J20" s="229">
        <f t="shared" ref="J20" si="3">EOMONTH(I20,12)</f>
        <v>46112</v>
      </c>
      <c r="K20" s="229">
        <f t="shared" ref="K20" si="4">EOMONTH(J20,12)</f>
        <v>46477</v>
      </c>
      <c r="L20" s="229">
        <f t="shared" ref="L20" si="5">EOMONTH(K20,12)</f>
        <v>46843</v>
      </c>
      <c r="M20" s="229">
        <f t="shared" ref="M20" si="6">EOMONTH(L20,12)</f>
        <v>47208</v>
      </c>
      <c r="N20" s="230">
        <f t="shared" ref="N20" si="7">EOMONTH(M20,12)</f>
        <v>47573</v>
      </c>
    </row>
    <row r="21" spans="2:14" x14ac:dyDescent="0.3">
      <c r="B21" s="141"/>
      <c r="C21" s="146" t="s">
        <v>348</v>
      </c>
      <c r="F21" s="149">
        <f>Financials!G71/Financials!G96</f>
        <v>2.6134565603586837</v>
      </c>
      <c r="G21" s="149">
        <f>Financials!H71/Financials!H96</f>
        <v>2.0045730739101901</v>
      </c>
      <c r="H21" s="149">
        <f>Financials!I71/Financials!I96</f>
        <v>1.1434975759173986</v>
      </c>
      <c r="I21" s="149">
        <f>Financials!J71/Financials!J96</f>
        <v>1.4285126429605244</v>
      </c>
      <c r="J21" s="149">
        <f>Financials!K71/Financials!K96</f>
        <v>2.4682215192131678</v>
      </c>
      <c r="K21" s="149">
        <f ca="1">Financials!L71/Financials!L96</f>
        <v>3.4149411228749709</v>
      </c>
      <c r="L21" s="149">
        <f ca="1">Financials!M71/Financials!M96</f>
        <v>4.5096375011842591</v>
      </c>
      <c r="M21" s="149">
        <f ca="1">Financials!N71/Financials!N96</f>
        <v>4.8574603765194251</v>
      </c>
      <c r="N21" s="150">
        <f ca="1">Financials!O71/Financials!O96</f>
        <v>6.0203254351305446</v>
      </c>
    </row>
    <row r="22" spans="2:14" x14ac:dyDescent="0.3">
      <c r="B22" s="141"/>
      <c r="C22" s="146" t="s">
        <v>349</v>
      </c>
      <c r="F22" s="149">
        <f>(Financials!G71-Financials!G63)/Financials!G96</f>
        <v>1.2020700448354624</v>
      </c>
      <c r="G22" s="149">
        <f>(Financials!H71-Financials!H63)/Financials!H96</f>
        <v>1.4334681260982789</v>
      </c>
      <c r="H22" s="149">
        <f>(Financials!I71-Financials!I63)/Financials!I96</f>
        <v>0.90911211635596489</v>
      </c>
      <c r="I22" s="149">
        <f>(Financials!J71-Financials!J63)/Financials!J96</f>
        <v>1.2242954848596646</v>
      </c>
      <c r="J22" s="149">
        <f>(Financials!K71-Financials!K63)/Financials!K96</f>
        <v>2.0384576933445544</v>
      </c>
      <c r="K22" s="149">
        <f ca="1">(Financials!L71-Financials!L63)/Financials!L96</f>
        <v>3.0040740947166085</v>
      </c>
      <c r="L22" s="149">
        <f ca="1">(Financials!M71-Financials!M63)/Financials!M96</f>
        <v>4.0779735324428845</v>
      </c>
      <c r="M22" s="149">
        <f ca="1">(Financials!N71-Financials!N63)/Financials!N96</f>
        <v>4.4564897512358677</v>
      </c>
      <c r="N22" s="150">
        <f ca="1">(Financials!O71-Financials!O63)/Financials!O96</f>
        <v>5.5575356695123448</v>
      </c>
    </row>
    <row r="23" spans="2:14" x14ac:dyDescent="0.3">
      <c r="B23" s="141"/>
      <c r="C23" s="146" t="s">
        <v>350</v>
      </c>
      <c r="F23" s="149">
        <f>(Financials!G67+Financials!G68)/Financials!G96</f>
        <v>0.18500972844936975</v>
      </c>
      <c r="G23" s="149">
        <f>(Financials!H67+Financials!H68)/Financials!H96</f>
        <v>0.5601168674443715</v>
      </c>
      <c r="H23" s="149">
        <f>(Financials!I67+Financials!I68)/Financials!I96</f>
        <v>0.29122461813092071</v>
      </c>
      <c r="I23" s="149">
        <f>(Financials!J67+Financials!J68)/Financials!J96</f>
        <v>0.34966559771452355</v>
      </c>
      <c r="J23" s="149">
        <f>(Financials!K67+Financials!K68)/Financials!K96</f>
        <v>0.87381872750959233</v>
      </c>
      <c r="K23" s="149">
        <f ca="1">(Financials!L67+Financials!L68)/Financials!L96</f>
        <v>1.9345980317775773</v>
      </c>
      <c r="L23" s="149">
        <f ca="1">(Financials!M67+Financials!M68)/Financials!M96</f>
        <v>2.9254951863774536</v>
      </c>
      <c r="M23" s="149">
        <f ca="1">(Financials!N67+Financials!N68)/Financials!N96</f>
        <v>3.3033128932444678</v>
      </c>
      <c r="N23" s="150">
        <f ca="1">(Financials!O67+Financials!O68)/Financials!O96</f>
        <v>4.3367604696923507</v>
      </c>
    </row>
    <row r="24" spans="2:14" x14ac:dyDescent="0.3">
      <c r="B24" s="141"/>
      <c r="C24" s="146" t="s">
        <v>351</v>
      </c>
      <c r="J24" s="149">
        <f>Financials!K117/Financials!K96</f>
        <v>1.3496539315119458</v>
      </c>
      <c r="K24" s="149">
        <f ca="1">Financials!L117/Financials!L96</f>
        <v>1.6546516083968477</v>
      </c>
      <c r="L24" s="149">
        <f ca="1">Financials!M117/Financials!M96</f>
        <v>1.5025634618747397</v>
      </c>
      <c r="M24" s="149">
        <f ca="1">Financials!N117/Financials!N96</f>
        <v>1.1121397795680983</v>
      </c>
      <c r="N24" s="150">
        <f ca="1">Financials!O117/Financials!O96</f>
        <v>1.1315896916575132</v>
      </c>
    </row>
    <row r="25" spans="2:14" x14ac:dyDescent="0.3">
      <c r="B25" s="141"/>
      <c r="C25" s="146" t="s">
        <v>352</v>
      </c>
      <c r="F25" s="147">
        <f>Financials!G71-Financials!G96</f>
        <v>190.72670000000002</v>
      </c>
      <c r="G25" s="147">
        <f>Financials!H71-Financials!H96</f>
        <v>474.49000000000007</v>
      </c>
      <c r="H25" s="147">
        <f>Financials!I71-Financials!I96</f>
        <v>141.48000000000002</v>
      </c>
      <c r="I25" s="147">
        <f>Financials!J71-Financials!J96</f>
        <v>905.9699999999998</v>
      </c>
      <c r="J25" s="147">
        <f>Financials!K71-Financials!K96</f>
        <v>3273.8443502499995</v>
      </c>
      <c r="K25" s="147">
        <f ca="1">Financials!L71-Financials!L96</f>
        <v>7370.6015973041631</v>
      </c>
      <c r="L25" s="147">
        <f ca="1">Financials!M71-Financials!M96</f>
        <v>12896.169238512915</v>
      </c>
      <c r="M25" s="147">
        <f ca="1">Financials!N71-Financials!N96</f>
        <v>18653.548534250625</v>
      </c>
      <c r="N25" s="180">
        <f ca="1">Financials!O71-Financials!O96</f>
        <v>25461.313217243282</v>
      </c>
    </row>
    <row r="26" spans="2:14" x14ac:dyDescent="0.3">
      <c r="B26" s="141"/>
      <c r="C26" s="151" t="s">
        <v>353</v>
      </c>
      <c r="D26" s="57"/>
      <c r="E26" s="57"/>
      <c r="F26" s="154">
        <f>F25/Financials!G19</f>
        <v>0.26225740804400138</v>
      </c>
      <c r="G26" s="154">
        <f>G25/Financials!H19</f>
        <v>0.13686803566432157</v>
      </c>
      <c r="H26" s="154">
        <f>H25/Financials!I19</f>
        <v>2.1519179874060781E-2</v>
      </c>
      <c r="I26" s="154">
        <f>I25/Financials!J19</f>
        <v>0.13376950131559126</v>
      </c>
      <c r="J26" s="154">
        <f>J25/Financials!K19</f>
        <v>0.21779475872351389</v>
      </c>
      <c r="K26" s="154">
        <f ca="1">K25/Financials!L19</f>
        <v>0.37470626328120205</v>
      </c>
      <c r="L26" s="154">
        <f ca="1">L25/Financials!M19</f>
        <v>0.51832500301352502</v>
      </c>
      <c r="M26" s="154">
        <f ca="1">M25/Financials!N19</f>
        <v>0.61330232659348771</v>
      </c>
      <c r="N26" s="155">
        <f ca="1">N25/Financials!O19</f>
        <v>0.69156629793552049</v>
      </c>
    </row>
    <row r="27" spans="2:14" x14ac:dyDescent="0.3">
      <c r="B27" s="141"/>
    </row>
    <row r="28" spans="2:14" x14ac:dyDescent="0.3">
      <c r="B28" s="141">
        <v>3</v>
      </c>
      <c r="C28" s="226" t="s">
        <v>354</v>
      </c>
      <c r="D28" s="227"/>
      <c r="E28" s="227"/>
      <c r="F28" s="228">
        <v>44651</v>
      </c>
      <c r="G28" s="228">
        <f>EOMONTH(F28,12)</f>
        <v>45016</v>
      </c>
      <c r="H28" s="228">
        <f t="shared" ref="H28" si="8">EOMONTH(G28,12)</f>
        <v>45382</v>
      </c>
      <c r="I28" s="228">
        <f t="shared" ref="I28" si="9">EOMONTH(H28,12)</f>
        <v>45747</v>
      </c>
      <c r="J28" s="229">
        <f t="shared" ref="J28" si="10">EOMONTH(I28,12)</f>
        <v>46112</v>
      </c>
      <c r="K28" s="229">
        <f t="shared" ref="K28" si="11">EOMONTH(J28,12)</f>
        <v>46477</v>
      </c>
      <c r="L28" s="229">
        <f t="shared" ref="L28" si="12">EOMONTH(K28,12)</f>
        <v>46843</v>
      </c>
      <c r="M28" s="229">
        <f t="shared" ref="M28" si="13">EOMONTH(L28,12)</f>
        <v>47208</v>
      </c>
      <c r="N28" s="230">
        <f t="shared" ref="N28" si="14">EOMONTH(M28,12)</f>
        <v>47573</v>
      </c>
    </row>
    <row r="29" spans="2:14" x14ac:dyDescent="0.3">
      <c r="B29" s="141"/>
      <c r="C29" s="146" t="s">
        <v>355</v>
      </c>
      <c r="F29" s="149">
        <f>Financials!G19/Financials!G72</f>
        <v>0.88287777972961179</v>
      </c>
      <c r="G29" s="149">
        <f>Financials!H19/Financials!H72</f>
        <v>1.7111148403528085</v>
      </c>
      <c r="H29" s="149">
        <f>Financials!I19/Financials!I72</f>
        <v>1.6697227202771274</v>
      </c>
      <c r="I29" s="149">
        <f>Financials!J19/Financials!J72</f>
        <v>0.71919846233898643</v>
      </c>
      <c r="J29" s="149">
        <f>Financials!K19/Financials!K72</f>
        <v>0.87247408236517343</v>
      </c>
      <c r="K29" s="149">
        <f ca="1">Financials!L19/Financials!L72</f>
        <v>0.86330845197317851</v>
      </c>
      <c r="L29" s="149">
        <f ca="1">Financials!M19/Financials!M72</f>
        <v>0.84776965444637431</v>
      </c>
      <c r="M29" s="149">
        <f ca="1">Financials!N19/Financials!N72</f>
        <v>0.83568558168606499</v>
      </c>
      <c r="N29" s="150">
        <f ca="1">Financials!O19/Financials!O72</f>
        <v>0.85043158189718993</v>
      </c>
    </row>
    <row r="30" spans="2:14" x14ac:dyDescent="0.3">
      <c r="B30" s="141"/>
      <c r="C30" s="146" t="s">
        <v>356</v>
      </c>
      <c r="F30" s="149">
        <f>Financials!G19/Financials!G52</f>
        <v>1.8224076579962913</v>
      </c>
      <c r="G30" s="149">
        <f>Financials!H19/Financials!H52</f>
        <v>7.3046144121365355</v>
      </c>
      <c r="H30" s="149">
        <f>Financials!I19/Financials!I52</f>
        <v>5.6836827317916576</v>
      </c>
      <c r="I30" s="149">
        <f>Financials!J19/Financials!J52</f>
        <v>4.4221846413017225</v>
      </c>
      <c r="J30" s="149">
        <f>Financials!K19/Financials!K52</f>
        <v>2.6290112906094261</v>
      </c>
      <c r="K30" s="149">
        <f ca="1">Financials!L19/Financials!L52</f>
        <v>3.2781321932656717</v>
      </c>
      <c r="L30" s="149">
        <f ca="1">Financials!M19/Financials!M52</f>
        <v>4.1379646479334573</v>
      </c>
      <c r="M30" s="149">
        <f ca="1">Financials!N19/Financials!N52</f>
        <v>5.3329501734954725</v>
      </c>
      <c r="N30" s="150">
        <f ca="1">Financials!O19/Financials!O52</f>
        <v>7.2297379372788679</v>
      </c>
    </row>
    <row r="31" spans="2:14" x14ac:dyDescent="0.3">
      <c r="B31" s="141"/>
      <c r="C31" s="146" t="s">
        <v>357</v>
      </c>
      <c r="F31" s="149">
        <f>Financials!G19/Financials!G66</f>
        <v>30.638210029195299</v>
      </c>
      <c r="G31" s="149">
        <f>Financials!H19/Financials!H66</f>
        <v>141.44308445532434</v>
      </c>
      <c r="H31" s="149">
        <f>Financials!I19/Financials!I66</f>
        <v>82.275059441872116</v>
      </c>
      <c r="I31" s="149">
        <f>Financials!J19/Financials!J66</f>
        <v>39.508925446272322</v>
      </c>
      <c r="J31" s="149">
        <f>Financials!K19/Financials!K66</f>
        <v>39.175240310546485</v>
      </c>
      <c r="K31" s="149">
        <f ca="1">Financials!L19/Financials!L66</f>
        <v>39.063135467317188</v>
      </c>
      <c r="L31" s="149">
        <f ca="1">Financials!M19/Financials!M66</f>
        <v>38.59844119100741</v>
      </c>
      <c r="M31" s="149">
        <f ca="1">Financials!N19/Financials!N66</f>
        <v>36.236232123356686</v>
      </c>
      <c r="N31" s="150">
        <f ca="1">Financials!O19/Financials!O66</f>
        <v>35.812056301454078</v>
      </c>
    </row>
    <row r="32" spans="2:14" x14ac:dyDescent="0.3">
      <c r="B32" s="141"/>
      <c r="C32" s="146" t="s">
        <v>359</v>
      </c>
      <c r="F32" s="149">
        <f>Financials!G30/Financials!G63</f>
        <v>3.5248141932390316</v>
      </c>
      <c r="G32" s="149">
        <f>Financials!H30/Financials!H63</f>
        <v>9.8982391102873013</v>
      </c>
      <c r="H32" s="149">
        <f>Financials!I30/Financials!I63</f>
        <v>20.979099052317277</v>
      </c>
      <c r="I32" s="149">
        <f>Financials!J30/Financials!J63</f>
        <v>11.294492310542893</v>
      </c>
      <c r="J32" s="149">
        <f>Financials!K30/Financials!K63</f>
        <v>11.390696039472754</v>
      </c>
      <c r="K32" s="149">
        <f ca="1">Financials!L30/Financials!L63</f>
        <v>11.423385483842781</v>
      </c>
      <c r="L32" s="149">
        <f ca="1">Financials!M30/Financials!M63</f>
        <v>11.560913883607759</v>
      </c>
      <c r="M32" s="149">
        <f ca="1">Financials!N30/Financials!N63</f>
        <v>12.31455999982702</v>
      </c>
      <c r="N32" s="150">
        <f ca="1">Financials!O30/Financials!O63</f>
        <v>12.4604197785933</v>
      </c>
    </row>
    <row r="33" spans="2:14" x14ac:dyDescent="0.3">
      <c r="B33" s="141"/>
      <c r="C33" s="146" t="s">
        <v>360</v>
      </c>
      <c r="F33" s="149">
        <f>Financials!G30/Financials!G91</f>
        <v>38.740447957839265</v>
      </c>
      <c r="G33" s="149">
        <f>Financials!H30/Financials!H91</f>
        <v>35.825171072051518</v>
      </c>
      <c r="H33" s="149">
        <f>Financials!I30/Financials!I91</f>
        <v>12.271084337349395</v>
      </c>
      <c r="I33" s="149">
        <f>Financials!J30/Financials!J91</f>
        <v>134.41317530319733</v>
      </c>
      <c r="J33" s="149">
        <f>Financials!K30/Financials!K91</f>
        <v>134.41317530319733</v>
      </c>
      <c r="K33" s="149">
        <f ca="1">Financials!L30/Financials!L91</f>
        <v>134.41317530319733</v>
      </c>
      <c r="L33" s="149">
        <f ca="1">Financials!M30/Financials!M91</f>
        <v>134.41317530319733</v>
      </c>
      <c r="M33" s="149">
        <f ca="1">Financials!N30/Financials!N91</f>
        <v>134.41317530319733</v>
      </c>
      <c r="N33" s="150">
        <f ca="1">Financials!O30/Financials!O91</f>
        <v>134.41317530319733</v>
      </c>
    </row>
    <row r="34" spans="2:14" x14ac:dyDescent="0.3">
      <c r="B34" s="141"/>
      <c r="C34" s="146" t="s">
        <v>358</v>
      </c>
      <c r="F34" s="235">
        <f>Schedule!G42</f>
        <v>14.732511733097537</v>
      </c>
      <c r="G34" s="235">
        <f>Schedule!H42</f>
        <v>3.350555233048071</v>
      </c>
      <c r="H34" s="235">
        <f>Schedule!I42</f>
        <v>6.0162518615693701</v>
      </c>
      <c r="I34" s="235">
        <f>Schedule!J42</f>
        <v>12.830548896649448</v>
      </c>
      <c r="J34" s="235">
        <f>Schedule!K42</f>
        <v>12.830548896649448</v>
      </c>
      <c r="K34" s="235">
        <f>Schedule!L42</f>
        <v>12.830548896649448</v>
      </c>
      <c r="L34" s="235">
        <f>Schedule!M42</f>
        <v>12.830548896649448</v>
      </c>
      <c r="M34" s="235">
        <f>Schedule!N42</f>
        <v>12.830548896649448</v>
      </c>
      <c r="N34" s="236">
        <f>Schedule!O42</f>
        <v>12.830548896649448</v>
      </c>
    </row>
    <row r="35" spans="2:14" x14ac:dyDescent="0.3">
      <c r="B35" s="141"/>
      <c r="C35" s="146" t="s">
        <v>361</v>
      </c>
      <c r="F35" s="235">
        <f>Schedule!G41</f>
        <v>83.735441732554136</v>
      </c>
      <c r="G35" s="235">
        <f>Schedule!H41</f>
        <v>28.400715940197937</v>
      </c>
      <c r="H35" s="235">
        <f>Schedule!I41</f>
        <v>12.829350835031789</v>
      </c>
      <c r="I35" s="235">
        <f>Schedule!J41</f>
        <v>23.269045066754074</v>
      </c>
      <c r="J35" s="235">
        <f>Schedule!K41</f>
        <v>23.269045066754074</v>
      </c>
      <c r="K35" s="235">
        <f>Schedule!L41</f>
        <v>23.269045066754074</v>
      </c>
      <c r="L35" s="235">
        <f>Schedule!M41</f>
        <v>23.269045066754074</v>
      </c>
      <c r="M35" s="235">
        <f>Schedule!N41</f>
        <v>23.269045066754074</v>
      </c>
      <c r="N35" s="236">
        <f>Schedule!O41</f>
        <v>23.269045066754074</v>
      </c>
    </row>
    <row r="36" spans="2:14" x14ac:dyDescent="0.3">
      <c r="B36" s="141"/>
      <c r="C36" s="146" t="s">
        <v>362</v>
      </c>
      <c r="F36" s="235">
        <f>Schedule!G43</f>
        <v>9.4216773228132222</v>
      </c>
      <c r="G36" s="235">
        <f>Schedule!H43</f>
        <v>10.188367259040094</v>
      </c>
      <c r="H36" s="235">
        <f>Schedule!I43</f>
        <v>29.744722631320574</v>
      </c>
      <c r="I36" s="235">
        <f>Schedule!J43</f>
        <v>2.7155076068745889</v>
      </c>
      <c r="J36" s="235">
        <f>Schedule!K43</f>
        <v>2.7155076068745889</v>
      </c>
      <c r="K36" s="235">
        <f>Schedule!L43</f>
        <v>2.7155076068745889</v>
      </c>
      <c r="L36" s="235">
        <f>Schedule!M43</f>
        <v>2.7155076068745889</v>
      </c>
      <c r="M36" s="235">
        <f>Schedule!N43</f>
        <v>2.7155076068745889</v>
      </c>
      <c r="N36" s="236">
        <f>Schedule!O43</f>
        <v>2.7155076068745889</v>
      </c>
    </row>
    <row r="37" spans="2:14" x14ac:dyDescent="0.3">
      <c r="B37" s="141"/>
      <c r="C37" s="146" t="s">
        <v>363</v>
      </c>
      <c r="F37" s="235">
        <f>F34+F35-F36</f>
        <v>89.046276142838451</v>
      </c>
      <c r="G37" s="235">
        <f t="shared" ref="G37:N37" si="15">G34+G35-G36</f>
        <v>21.562903914205911</v>
      </c>
      <c r="H37" s="235">
        <f t="shared" si="15"/>
        <v>-10.899119934719415</v>
      </c>
      <c r="I37" s="235">
        <f t="shared" si="15"/>
        <v>33.384086356528933</v>
      </c>
      <c r="J37" s="235">
        <f t="shared" si="15"/>
        <v>33.384086356528933</v>
      </c>
      <c r="K37" s="235">
        <f t="shared" si="15"/>
        <v>33.384086356528933</v>
      </c>
      <c r="L37" s="235">
        <f t="shared" si="15"/>
        <v>33.384086356528933</v>
      </c>
      <c r="M37" s="235">
        <f t="shared" si="15"/>
        <v>33.384086356528933</v>
      </c>
      <c r="N37" s="236">
        <f t="shared" si="15"/>
        <v>33.384086356528933</v>
      </c>
    </row>
    <row r="38" spans="2:14" x14ac:dyDescent="0.3">
      <c r="B38" s="141"/>
      <c r="C38" s="151" t="s">
        <v>364</v>
      </c>
      <c r="D38" s="57"/>
      <c r="E38" s="57"/>
      <c r="F38" s="154">
        <f>Financials!G19/'Ratio Analysis'!F25</f>
        <v>3.8130476750239999</v>
      </c>
      <c r="G38" s="154">
        <f>Financials!H19/'Ratio Analysis'!G25</f>
        <v>7.3063078252439455</v>
      </c>
      <c r="H38" s="154">
        <f>Financials!I19/'Ratio Analysis'!H25</f>
        <v>46.470172462538869</v>
      </c>
      <c r="I38" s="154">
        <f>Financials!J19/'Ratio Analysis'!I25</f>
        <v>7.4755455478658259</v>
      </c>
      <c r="J38" s="154">
        <f>Financials!K19/'Ratio Analysis'!J25</f>
        <v>4.591478719969933</v>
      </c>
      <c r="K38" s="154">
        <f ca="1">Financials!L19/'Ratio Analysis'!K25</f>
        <v>2.6687570985423856</v>
      </c>
      <c r="L38" s="154">
        <f ca="1">Financials!M19/'Ratio Analysis'!L25</f>
        <v>1.929291456491645</v>
      </c>
      <c r="M38" s="154">
        <f ca="1">Financials!N19/'Ratio Analysis'!M25</f>
        <v>1.6305172125375376</v>
      </c>
      <c r="N38" s="155">
        <f ca="1">Financials!O19/'Ratio Analysis'!N25</f>
        <v>1.4459929626201029</v>
      </c>
    </row>
    <row r="39" spans="2:14" x14ac:dyDescent="0.3">
      <c r="B39" s="141"/>
    </row>
    <row r="40" spans="2:14" x14ac:dyDescent="0.3">
      <c r="B40" s="141">
        <v>4</v>
      </c>
      <c r="C40" s="226" t="s">
        <v>365</v>
      </c>
      <c r="D40" s="227"/>
      <c r="E40" s="227"/>
      <c r="F40" s="228">
        <v>44651</v>
      </c>
      <c r="G40" s="228">
        <f>EOMONTH(F40,12)</f>
        <v>45016</v>
      </c>
      <c r="H40" s="228">
        <f t="shared" ref="H40" si="16">EOMONTH(G40,12)</f>
        <v>45382</v>
      </c>
      <c r="I40" s="228">
        <f t="shared" ref="I40" si="17">EOMONTH(H40,12)</f>
        <v>45747</v>
      </c>
      <c r="J40" s="229">
        <f t="shared" ref="J40" si="18">EOMONTH(I40,12)</f>
        <v>46112</v>
      </c>
      <c r="K40" s="229">
        <f t="shared" ref="K40" si="19">EOMONTH(J40,12)</f>
        <v>46477</v>
      </c>
      <c r="L40" s="229">
        <f t="shared" ref="L40" si="20">EOMONTH(K40,12)</f>
        <v>46843</v>
      </c>
      <c r="M40" s="229">
        <f t="shared" ref="M40" si="21">EOMONTH(L40,12)</f>
        <v>47208</v>
      </c>
      <c r="N40" s="230">
        <f t="shared" ref="N40" si="22">EOMONTH(M40,12)</f>
        <v>47573</v>
      </c>
    </row>
    <row r="41" spans="2:14" x14ac:dyDescent="0.3">
      <c r="B41" s="141"/>
      <c r="C41" s="146" t="s">
        <v>366</v>
      </c>
      <c r="F41" s="149">
        <f>(Financials!G89+Financials!G81)/Financials!G77</f>
        <v>0.11777897753228954</v>
      </c>
      <c r="G41" s="149">
        <f>(Financials!H89+Financials!H81)/Financials!H77</f>
        <v>0</v>
      </c>
      <c r="H41" s="149">
        <f>(Financials!I89+Financials!I81)/Financials!I77</f>
        <v>0</v>
      </c>
      <c r="I41" s="149">
        <f>(Financials!J89+Financials!J81)/Financials!J77</f>
        <v>0.11804683448607649</v>
      </c>
      <c r="J41" s="149">
        <f>(Financials!K89+Financials!K81)/Financials!K77</f>
        <v>0.56638494494614089</v>
      </c>
      <c r="K41" s="149">
        <f ca="1">(Financials!L89+Financials!L81)/Financials!L77</f>
        <v>0.4567234053180389</v>
      </c>
      <c r="L41" s="149">
        <f ca="1">(Financials!M89+Financials!M81)/Financials!M77</f>
        <v>0.40122967742184806</v>
      </c>
      <c r="M41" s="149">
        <f ca="1">(Financials!N89+Financials!N81)/Financials!N77</f>
        <v>0.38912884487419319</v>
      </c>
      <c r="N41" s="150">
        <f ca="1">(Financials!O89+Financials!O81)/Financials!O77</f>
        <v>0.38687434877962829</v>
      </c>
    </row>
    <row r="42" spans="2:14" x14ac:dyDescent="0.3">
      <c r="B42" s="141"/>
      <c r="C42" s="146" t="s">
        <v>367</v>
      </c>
      <c r="F42" s="149">
        <f>(Financials!G81+Financials!G89)/Financials!G72</f>
        <v>6.8857789847045145E-2</v>
      </c>
      <c r="G42" s="149">
        <f>(Financials!H81+Financials!H89)/Financials!H72</f>
        <v>0</v>
      </c>
      <c r="H42" s="149">
        <f>(Financials!I81+Financials!I89)/Financials!I72</f>
        <v>0</v>
      </c>
      <c r="I42" s="149">
        <f>(Financials!J81+Financials!J89)/Financials!J72</f>
        <v>8.0254648557380875E-2</v>
      </c>
      <c r="J42" s="149">
        <f>(Financials!K81+Financials!K89)/Financials!K72</f>
        <v>0.30981261870278676</v>
      </c>
      <c r="K42" s="149">
        <f ca="1">(Financials!L81+Financials!L89)/Financials!L72</f>
        <v>0.26756456401885603</v>
      </c>
      <c r="L42" s="149">
        <f ca="1">(Financials!M81+Financials!M89)/Financials!M72</f>
        <v>0.24711921090419428</v>
      </c>
      <c r="M42" s="149">
        <f ca="1">(Financials!N81+Financials!N89)/Financials!N72</f>
        <v>0.23977742152434167</v>
      </c>
      <c r="N42" s="150">
        <f ca="1">(Financials!O81+Financials!O89)/Financials!O72</f>
        <v>0.2432024828353879</v>
      </c>
    </row>
    <row r="43" spans="2:14" x14ac:dyDescent="0.3">
      <c r="B43" s="141"/>
      <c r="C43" s="146" t="s">
        <v>368</v>
      </c>
      <c r="F43" s="149">
        <f>(Financials!G81+Financials!G89)/'Ratio Analysis'!F10</f>
        <v>0.32357807062582011</v>
      </c>
      <c r="G43" s="149">
        <f>(Financials!H81+Financials!H89)/'Ratio Analysis'!G10</f>
        <v>0</v>
      </c>
      <c r="H43" s="149">
        <f>(Financials!I81+Financials!I89)/'Ratio Analysis'!H10</f>
        <v>0</v>
      </c>
      <c r="I43" s="149">
        <f>(Financials!J81+Financials!J89)/'Ratio Analysis'!I10</f>
        <v>0.37709629614845319</v>
      </c>
      <c r="J43" s="149">
        <f>(Financials!K81+Financials!K89)/'Ratio Analysis'!J10</f>
        <v>1.0991761437058167</v>
      </c>
      <c r="K43" s="149">
        <f ca="1">(Financials!L81+Financials!L89)/'Ratio Analysis'!K10</f>
        <v>0.99105027622848552</v>
      </c>
      <c r="L43" s="149">
        <f ca="1">(Financials!M81+Financials!M89)/'Ratio Analysis'!L10</f>
        <v>0.97117298654399609</v>
      </c>
      <c r="M43" s="149">
        <f ca="1">(Financials!N81+Financials!N89)/'Ratio Analysis'!M10</f>
        <v>1.1491483488291929</v>
      </c>
      <c r="N43" s="150">
        <f ca="1">(Financials!O81+Financials!O89)/'Ratio Analysis'!N10</f>
        <v>1.2025641554441733</v>
      </c>
    </row>
    <row r="44" spans="2:14" x14ac:dyDescent="0.3">
      <c r="B44" s="141"/>
      <c r="C44" s="146" t="s">
        <v>369</v>
      </c>
      <c r="F44" s="149">
        <f>Financials!G72/Financials!G77</f>
        <v>1.7104670044437058</v>
      </c>
      <c r="G44" s="149">
        <f>Financials!H72/Financials!H77</f>
        <v>1.3251120049707314</v>
      </c>
      <c r="H44" s="149">
        <f>Financials!I72/Financials!I77</f>
        <v>1.4008260787585336</v>
      </c>
      <c r="I44" s="149">
        <f>Financials!J72/Financials!J77</f>
        <v>1.4709033882526412</v>
      </c>
      <c r="J44" s="149">
        <f>Financials!K72/Financials!K77</f>
        <v>1.8281532473326798</v>
      </c>
      <c r="K44" s="149">
        <f ca="1">Financials!L72/Financials!L77</f>
        <v>1.7069652216197522</v>
      </c>
      <c r="L44" s="149">
        <f ca="1">Financials!M72/Financials!M77</f>
        <v>1.6236280293781002</v>
      </c>
      <c r="M44" s="149">
        <f ca="1">Financials!N72/Financials!N77</f>
        <v>1.6228752582306407</v>
      </c>
      <c r="N44" s="150">
        <f ca="1">Financials!O72/Financials!O77</f>
        <v>1.5907499967485323</v>
      </c>
    </row>
    <row r="45" spans="2:14" x14ac:dyDescent="0.3">
      <c r="B45" s="141"/>
      <c r="C45" s="146" t="s">
        <v>370</v>
      </c>
      <c r="F45" s="149">
        <f>Financials!G32/Financials!G26</f>
        <v>7.6719955898566674</v>
      </c>
      <c r="G45" s="149">
        <f>Financials!H32/Financials!H26</f>
        <v>12.249692496924972</v>
      </c>
      <c r="H45" s="149">
        <f>Financials!I32/Financials!I26</f>
        <v>303.96830985915511</v>
      </c>
      <c r="I45" s="149">
        <f>Financials!J32/Financials!J26</f>
        <v>69.658706833210928</v>
      </c>
      <c r="J45" s="149">
        <f>Financials!K32/Financials!K26</f>
        <v>15.899160260264713</v>
      </c>
      <c r="K45" s="149">
        <f ca="1">Financials!L32/Financials!L26</f>
        <v>11.333224562881274</v>
      </c>
      <c r="L45" s="149">
        <f ca="1">Financials!M32/Financials!M26</f>
        <v>12.028512341319118</v>
      </c>
      <c r="M45" s="149">
        <f ca="1">Financials!N32/Financials!N26</f>
        <v>10.164262029151502</v>
      </c>
      <c r="N45" s="150">
        <f ca="1">Financials!O32/Financials!O26</f>
        <v>10.146704103773253</v>
      </c>
    </row>
    <row r="46" spans="2:14" x14ac:dyDescent="0.3">
      <c r="B46" s="141"/>
      <c r="C46" s="151" t="s">
        <v>371</v>
      </c>
      <c r="D46" s="57"/>
      <c r="E46" s="57"/>
      <c r="F46" s="237">
        <v>0</v>
      </c>
      <c r="G46" s="237">
        <v>0</v>
      </c>
      <c r="H46" s="237">
        <v>0</v>
      </c>
      <c r="I46" s="237">
        <v>0</v>
      </c>
      <c r="J46" s="154">
        <f>Financials!K32/(Schedule!K63-Schedule!K59)</f>
        <v>8.485847503953984</v>
      </c>
      <c r="K46" s="154">
        <f ca="1">Financials!L32/(Schedule!L63-Schedule!L59)</f>
        <v>2.5786140810317102</v>
      </c>
      <c r="L46" s="154">
        <f ca="1">Financials!M32/(Schedule!M63-Schedule!M59)</f>
        <v>2.7574467446717787</v>
      </c>
      <c r="M46" s="154">
        <f ca="1">Financials!N32/(Schedule!N63-Schedule!N59)</f>
        <v>2.3190828835261339</v>
      </c>
      <c r="N46" s="155">
        <f ca="1">Financials!O32/(Schedule!O63-Schedule!O59)</f>
        <v>2.2504660176533919</v>
      </c>
    </row>
    <row r="47" spans="2:14" x14ac:dyDescent="0.3">
      <c r="B47" s="141"/>
    </row>
    <row r="48" spans="2:14" x14ac:dyDescent="0.3">
      <c r="B48" s="141">
        <v>5</v>
      </c>
      <c r="C48" s="226" t="s">
        <v>373</v>
      </c>
      <c r="D48" s="227"/>
      <c r="E48" s="227"/>
      <c r="F48" s="228">
        <v>44651</v>
      </c>
      <c r="G48" s="228">
        <f>EOMONTH(F48,12)</f>
        <v>45016</v>
      </c>
      <c r="H48" s="228">
        <f t="shared" ref="H48" si="23">EOMONTH(G48,12)</f>
        <v>45382</v>
      </c>
      <c r="I48" s="228">
        <f t="shared" ref="I48" si="24">EOMONTH(H48,12)</f>
        <v>45747</v>
      </c>
      <c r="J48" s="229">
        <f t="shared" ref="J48" si="25">EOMONTH(I48,12)</f>
        <v>46112</v>
      </c>
      <c r="K48" s="229">
        <f t="shared" ref="K48" si="26">EOMONTH(J48,12)</f>
        <v>46477</v>
      </c>
      <c r="L48" s="229">
        <f t="shared" ref="L48" si="27">EOMONTH(K48,12)</f>
        <v>46843</v>
      </c>
      <c r="M48" s="229">
        <f t="shared" ref="M48" si="28">EOMONTH(L48,12)</f>
        <v>47208</v>
      </c>
      <c r="N48" s="230">
        <f t="shared" ref="N48" si="29">EOMONTH(M48,12)</f>
        <v>47573</v>
      </c>
    </row>
    <row r="49" spans="2:14" x14ac:dyDescent="0.3">
      <c r="B49" s="141"/>
      <c r="C49" s="146" t="s">
        <v>342</v>
      </c>
      <c r="F49" s="238">
        <f>F14</f>
        <v>0.13381918184943276</v>
      </c>
      <c r="G49" s="238">
        <f t="shared" ref="G49:N49" si="30">G14</f>
        <v>-8.3230211407159929E-2</v>
      </c>
      <c r="H49" s="238">
        <f t="shared" si="30"/>
        <v>0.1890518054330303</v>
      </c>
      <c r="I49" s="238">
        <f t="shared" si="30"/>
        <v>0.21408553853604681</v>
      </c>
      <c r="J49" s="238">
        <f t="shared" si="30"/>
        <v>0.20998167366886519</v>
      </c>
      <c r="K49" s="238">
        <f t="shared" ca="1" si="30"/>
        <v>0.20831651785650734</v>
      </c>
      <c r="L49" s="238">
        <f t="shared" ca="1" si="30"/>
        <v>0.19778729967466438</v>
      </c>
      <c r="M49" s="238">
        <f t="shared" ca="1" si="30"/>
        <v>0.14560544227677275</v>
      </c>
      <c r="N49" s="239">
        <f t="shared" ca="1" si="30"/>
        <v>0.13117985018951467</v>
      </c>
    </row>
    <row r="50" spans="2:14" x14ac:dyDescent="0.3">
      <c r="B50" s="141"/>
      <c r="C50" s="146" t="s">
        <v>355</v>
      </c>
      <c r="F50" s="149">
        <f>F29</f>
        <v>0.88287777972961179</v>
      </c>
      <c r="G50" s="149">
        <f t="shared" ref="G50:N50" si="31">G29</f>
        <v>1.7111148403528085</v>
      </c>
      <c r="H50" s="149">
        <f t="shared" si="31"/>
        <v>1.6697227202771274</v>
      </c>
      <c r="I50" s="149">
        <f t="shared" si="31"/>
        <v>0.71919846233898643</v>
      </c>
      <c r="J50" s="149">
        <f t="shared" si="31"/>
        <v>0.87247408236517343</v>
      </c>
      <c r="K50" s="149">
        <f t="shared" ca="1" si="31"/>
        <v>0.86330845197317851</v>
      </c>
      <c r="L50" s="149">
        <f t="shared" ca="1" si="31"/>
        <v>0.84776965444637431</v>
      </c>
      <c r="M50" s="149">
        <f t="shared" ca="1" si="31"/>
        <v>0.83568558168606499</v>
      </c>
      <c r="N50" s="150">
        <f t="shared" ca="1" si="31"/>
        <v>0.85043158189718993</v>
      </c>
    </row>
    <row r="51" spans="2:14" x14ac:dyDescent="0.3">
      <c r="B51" s="141"/>
      <c r="C51" s="146" t="s">
        <v>369</v>
      </c>
      <c r="F51" s="149">
        <f>F44</f>
        <v>1.7104670044437058</v>
      </c>
      <c r="G51" s="149">
        <f t="shared" ref="G51:N51" si="32">G44</f>
        <v>1.3251120049707314</v>
      </c>
      <c r="H51" s="149">
        <f t="shared" si="32"/>
        <v>1.4008260787585336</v>
      </c>
      <c r="I51" s="149">
        <f t="shared" si="32"/>
        <v>1.4709033882526412</v>
      </c>
      <c r="J51" s="149">
        <f t="shared" si="32"/>
        <v>1.8281532473326798</v>
      </c>
      <c r="K51" s="149">
        <f t="shared" ca="1" si="32"/>
        <v>1.7069652216197522</v>
      </c>
      <c r="L51" s="149">
        <f t="shared" ca="1" si="32"/>
        <v>1.6236280293781002</v>
      </c>
      <c r="M51" s="149">
        <f t="shared" ca="1" si="32"/>
        <v>1.6228752582306407</v>
      </c>
      <c r="N51" s="150">
        <f t="shared" ca="1" si="32"/>
        <v>1.5907499967485323</v>
      </c>
    </row>
    <row r="52" spans="2:14" x14ac:dyDescent="0.3">
      <c r="B52" s="141"/>
      <c r="C52" s="78" t="s">
        <v>372</v>
      </c>
      <c r="D52" s="66"/>
      <c r="E52" s="66"/>
      <c r="F52" s="81">
        <f>F49*F50*F51</f>
        <v>0.20208480418622027</v>
      </c>
      <c r="G52" s="81">
        <f t="shared" ref="G52:N52" si="33">G49*G50*G51</f>
        <v>-0.18871774747375639</v>
      </c>
      <c r="H52" s="81">
        <f t="shared" si="33"/>
        <v>0.44219049618089801</v>
      </c>
      <c r="I52" s="81">
        <f t="shared" si="33"/>
        <v>0.22647498016282133</v>
      </c>
      <c r="J52" s="81">
        <f t="shared" si="33"/>
        <v>0.33492419784942129</v>
      </c>
      <c r="K52" s="81">
        <f t="shared" ca="1" si="33"/>
        <v>0.30698303321784298</v>
      </c>
      <c r="L52" s="81">
        <f t="shared" ca="1" si="33"/>
        <v>0.27224681549905555</v>
      </c>
      <c r="M52" s="81">
        <f t="shared" ca="1" si="33"/>
        <v>0.19747205981735499</v>
      </c>
      <c r="N52" s="240">
        <f t="shared" ca="1" si="33"/>
        <v>0.17746325439333172</v>
      </c>
    </row>
  </sheetData>
  <hyperlinks>
    <hyperlink ref="C6" location="Dashboard!A1" display="&lt;-Back to Dashboard" xr:uid="{BEF5FF80-3B76-4B28-BA5D-18A2EE77862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256B-27B5-435E-98B6-55AED7D44AFC}">
  <dimension ref="B2:N56"/>
  <sheetViews>
    <sheetView topLeftCell="A2" workbookViewId="0">
      <selection activeCell="P12" sqref="P12"/>
    </sheetView>
  </sheetViews>
  <sheetFormatPr defaultRowHeight="14.4" x14ac:dyDescent="0.3"/>
  <cols>
    <col min="1" max="1" width="2.88671875" customWidth="1"/>
    <col min="2" max="2" width="2.88671875" style="302" customWidth="1"/>
    <col min="3" max="15" width="12.77734375" customWidth="1"/>
  </cols>
  <sheetData>
    <row r="2" spans="2:14" x14ac:dyDescent="0.3">
      <c r="C2" s="16" t="str">
        <f>Dashboard!C2</f>
        <v>Lloyds Metal &amp; Energy Ltd.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3">
      <c r="C3" s="16" t="s">
        <v>381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3">
      <c r="C4" s="17" t="str">
        <f>Dashboard!C4</f>
        <v>(₹ in 'Cr, except share price and shares outstanding)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2:14" x14ac:dyDescent="0.3">
      <c r="B6" s="302" t="s">
        <v>94</v>
      </c>
      <c r="C6" s="311" t="s">
        <v>383</v>
      </c>
      <c r="D6" s="312"/>
      <c r="E6" s="312"/>
      <c r="F6" s="313">
        <v>44651</v>
      </c>
      <c r="G6" s="313">
        <f>EOMONTH(F6,12)</f>
        <v>45016</v>
      </c>
      <c r="H6" s="313">
        <f t="shared" ref="H6" si="0">EOMONTH(G6,12)</f>
        <v>45382</v>
      </c>
      <c r="I6" s="313">
        <f t="shared" ref="I6" si="1">EOMONTH(H6,12)</f>
        <v>45747</v>
      </c>
      <c r="J6" s="314">
        <f t="shared" ref="J6" si="2">EOMONTH(I6,12)</f>
        <v>46112</v>
      </c>
      <c r="K6" s="314">
        <f t="shared" ref="K6" si="3">EOMONTH(J6,12)</f>
        <v>46477</v>
      </c>
      <c r="L6" s="314">
        <f t="shared" ref="L6" si="4">EOMONTH(K6,12)</f>
        <v>46843</v>
      </c>
      <c r="M6" s="314">
        <f t="shared" ref="M6" si="5">EOMONTH(L6,12)</f>
        <v>47208</v>
      </c>
      <c r="N6" s="315">
        <f t="shared" ref="N6" si="6">EOMONTH(M6,12)</f>
        <v>47573</v>
      </c>
    </row>
    <row r="7" spans="2:14" x14ac:dyDescent="0.3">
      <c r="C7" s="146"/>
      <c r="N7" s="304"/>
    </row>
    <row r="8" spans="2:14" x14ac:dyDescent="0.3">
      <c r="C8" s="146" t="s">
        <v>97</v>
      </c>
      <c r="F8" s="231">
        <f>Financials!G16/Financials!G$19</f>
        <v>0.95909247163973876</v>
      </c>
      <c r="G8" s="231">
        <f>Financials!H16/Financials!H$19</f>
        <v>0.97852179406190776</v>
      </c>
      <c r="H8" s="231">
        <f>Financials!I16/Financials!I$19</f>
        <v>0.98576491345481088</v>
      </c>
      <c r="I8" s="231">
        <f>Financials!J16/Financials!J$19</f>
        <v>0.978396839037182</v>
      </c>
      <c r="J8" s="231">
        <f>Financials!K16/Financials!K$19</f>
        <v>0.96037020216714086</v>
      </c>
      <c r="K8" s="231">
        <f ca="1">Financials!L16/Financials!L$19</f>
        <v>0.95407089616254159</v>
      </c>
      <c r="L8" s="231">
        <f ca="1">Financials!M16/Financials!M$19</f>
        <v>0.94285320241697368</v>
      </c>
      <c r="M8" s="231">
        <f ca="1">Financials!N16/Financials!N$19</f>
        <v>0.92554394127929518</v>
      </c>
      <c r="N8" s="232">
        <f ca="1">Financials!O16/Financials!O$19</f>
        <v>0.9022334408162872</v>
      </c>
    </row>
    <row r="9" spans="2:14" x14ac:dyDescent="0.3">
      <c r="C9" s="146" t="s">
        <v>98</v>
      </c>
      <c r="F9" s="231">
        <f>Financials!G17/Financials!G$19</f>
        <v>0</v>
      </c>
      <c r="G9" s="231">
        <f>Financials!H17/Financials!H$19</f>
        <v>0</v>
      </c>
      <c r="H9" s="231">
        <f>Financials!I17/Financials!I$19</f>
        <v>6.6376661698050073E-3</v>
      </c>
      <c r="I9" s="231">
        <f>Financials!J17/Financials!J$19</f>
        <v>1.4040356612359766E-2</v>
      </c>
      <c r="J9" s="231">
        <f>Financials!K17/Financials!K$19</f>
        <v>2.3584688092078653E-2</v>
      </c>
      <c r="K9" s="231">
        <f ca="1">Financials!L17/Financials!L$19</f>
        <v>3.2441525005593871E-2</v>
      </c>
      <c r="L9" s="231">
        <f ca="1">Financials!M17/Financials!M$19</f>
        <v>4.4884121517783704E-2</v>
      </c>
      <c r="M9" s="231">
        <f ca="1">Financials!N17/Financials!N$19</f>
        <v>6.2418505571432477E-2</v>
      </c>
      <c r="N9" s="232">
        <f ca="1">Financials!O17/Financials!O$19</f>
        <v>8.6628843923923851E-2</v>
      </c>
    </row>
    <row r="10" spans="2:14" x14ac:dyDescent="0.3">
      <c r="C10" s="146" t="s">
        <v>0</v>
      </c>
      <c r="F10" s="231">
        <f>Financials!G18/Financials!G$19</f>
        <v>4.0907528360261257E-2</v>
      </c>
      <c r="G10" s="231">
        <f>Financials!H18/Financials!H$19</f>
        <v>2.1478205938092229E-2</v>
      </c>
      <c r="H10" s="231">
        <f>Financials!I18/Financials!I$19</f>
        <v>7.5974203753840534E-3</v>
      </c>
      <c r="I10" s="231">
        <f>Financials!J18/Financials!J$19</f>
        <v>7.5628043504581671E-3</v>
      </c>
      <c r="J10" s="231">
        <f>Financials!K18/Financials!K$19</f>
        <v>1.6045109740780425E-2</v>
      </c>
      <c r="K10" s="231">
        <f ca="1">Financials!L18/Financials!L$19</f>
        <v>1.3487578831864605E-2</v>
      </c>
      <c r="L10" s="231">
        <f ca="1">Financials!M18/Financials!M$19</f>
        <v>1.2262676065242575E-2</v>
      </c>
      <c r="M10" s="231">
        <f ca="1">Financials!N18/Financials!N$19</f>
        <v>1.2037553149272276E-2</v>
      </c>
      <c r="N10" s="232">
        <f ca="1">Financials!O18/Financials!O$19</f>
        <v>1.1137715259788931E-2</v>
      </c>
    </row>
    <row r="11" spans="2:14" x14ac:dyDescent="0.3">
      <c r="C11" s="305" t="s">
        <v>60</v>
      </c>
      <c r="D11" s="7"/>
      <c r="E11" s="7"/>
      <c r="F11" s="306">
        <f>Financials!G19/Financials!G$19</f>
        <v>1</v>
      </c>
      <c r="G11" s="306">
        <f>Financials!H19/Financials!H$19</f>
        <v>1</v>
      </c>
      <c r="H11" s="306">
        <f>Financials!I19/Financials!I$19</f>
        <v>1</v>
      </c>
      <c r="I11" s="306">
        <f>Financials!J19/Financials!J$19</f>
        <v>1</v>
      </c>
      <c r="J11" s="306">
        <f>Financials!K19/Financials!K$19</f>
        <v>1</v>
      </c>
      <c r="K11" s="306">
        <f ca="1">Financials!L19/Financials!L$19</f>
        <v>1</v>
      </c>
      <c r="L11" s="306">
        <f ca="1">Financials!M19/Financials!M$19</f>
        <v>1</v>
      </c>
      <c r="M11" s="306">
        <f ca="1">Financials!N19/Financials!N$19</f>
        <v>1</v>
      </c>
      <c r="N11" s="307">
        <f ca="1">Financials!O19/Financials!O$19</f>
        <v>1</v>
      </c>
    </row>
    <row r="12" spans="2:14" x14ac:dyDescent="0.3">
      <c r="C12" s="146" t="s">
        <v>99</v>
      </c>
      <c r="F12" s="231"/>
      <c r="G12" s="231"/>
      <c r="H12" s="231"/>
      <c r="I12" s="231"/>
      <c r="J12" s="231"/>
      <c r="K12" s="231"/>
      <c r="L12" s="231"/>
      <c r="M12" s="231"/>
      <c r="N12" s="232"/>
    </row>
    <row r="13" spans="2:14" x14ac:dyDescent="0.3">
      <c r="C13" s="305" t="s">
        <v>61</v>
      </c>
      <c r="F13" s="231"/>
      <c r="G13" s="231"/>
      <c r="H13" s="231"/>
      <c r="I13" s="231"/>
      <c r="J13" s="231"/>
      <c r="K13" s="231"/>
      <c r="L13" s="231"/>
      <c r="M13" s="231"/>
      <c r="N13" s="232"/>
    </row>
    <row r="14" spans="2:14" x14ac:dyDescent="0.3">
      <c r="C14" s="146" t="s">
        <v>100</v>
      </c>
      <c r="F14" s="231">
        <f>Financials!G22/Financials!G$19</f>
        <v>0.51326228944654517</v>
      </c>
      <c r="G14" s="231">
        <f>Financials!H22/Financials!H$19</f>
        <v>0.14548124046302466</v>
      </c>
      <c r="H14" s="231">
        <f>Financials!I22/Financials!I$19</f>
        <v>8.1620174611383198E-2</v>
      </c>
      <c r="I14" s="231">
        <f>Financials!J22/Financials!J$19</f>
        <v>7.8759770960130634E-2</v>
      </c>
      <c r="J14" s="231">
        <f>Financials!K22/Financials!K$19</f>
        <v>0.10945605046727647</v>
      </c>
      <c r="K14" s="231">
        <f ca="1">Financials!L22/Financials!L$19</f>
        <v>0.11710257044123069</v>
      </c>
      <c r="L14" s="231">
        <f ca="1">Financials!M22/Financials!M$19</f>
        <v>0.13424182567061296</v>
      </c>
      <c r="M14" s="231">
        <f ca="1">Financials!N22/Financials!N$19</f>
        <v>0.16252541398090309</v>
      </c>
      <c r="N14" s="232">
        <f ca="1">Financials!O22/Financials!O$19</f>
        <v>0.19468350370620557</v>
      </c>
    </row>
    <row r="15" spans="2:14" x14ac:dyDescent="0.3">
      <c r="C15" s="146" t="s">
        <v>101</v>
      </c>
      <c r="F15" s="231">
        <f>Financials!G23/Financials!G$19</f>
        <v>0</v>
      </c>
      <c r="G15" s="231">
        <f>Financials!H23/Financials!H$19</f>
        <v>0</v>
      </c>
      <c r="H15" s="231">
        <f>Financials!I23/Financials!I$19</f>
        <v>5.6312171082651415E-2</v>
      </c>
      <c r="I15" s="231">
        <f>Financials!J23/Financials!J$19</f>
        <v>2.6908345662387669E-2</v>
      </c>
      <c r="J15" s="231">
        <f>Financials!K23/Financials!K$19</f>
        <v>4.1535093632693032E-2</v>
      </c>
      <c r="K15" s="231">
        <f ca="1">Financials!L23/Financials!L$19</f>
        <v>3.9675629487338604E-2</v>
      </c>
      <c r="L15" s="231">
        <f ca="1">Financials!M23/Financials!M$19</f>
        <v>3.8581788585085007E-2</v>
      </c>
      <c r="M15" s="231">
        <f ca="1">Financials!N23/Financials!N$19</f>
        <v>3.818910170595035E-2</v>
      </c>
      <c r="N15" s="232">
        <f ca="1">Financials!O23/Financials!O$19</f>
        <v>3.7858252143481416E-2</v>
      </c>
    </row>
    <row r="16" spans="2:14" x14ac:dyDescent="0.3">
      <c r="C16" s="146" t="s">
        <v>102</v>
      </c>
      <c r="F16" s="231">
        <f>Financials!G24/Financials!G$19</f>
        <v>-8.3052595393606043E-2</v>
      </c>
      <c r="G16" s="231">
        <f>Financials!H24/Financials!H$19</f>
        <v>1.0320846205545797E-2</v>
      </c>
      <c r="H16" s="231">
        <f>Financials!I24/Financials!I$19</f>
        <v>-2.2647765643537248E-3</v>
      </c>
      <c r="I16" s="231">
        <f>Financials!J24/Financials!J$19</f>
        <v>1.3349338955972723E-2</v>
      </c>
      <c r="J16" s="231">
        <f>Financials!K24/Financials!K$19</f>
        <v>-2.0128900179530666E-2</v>
      </c>
      <c r="K16" s="231">
        <f ca="1">Financials!L24/Financials!L$19</f>
        <v>6.1528829963263133E-3</v>
      </c>
      <c r="L16" s="231">
        <f ca="1">Financials!M24/Financials!M$19</f>
        <v>-7.2966469814983673E-3</v>
      </c>
      <c r="M16" s="231">
        <f ca="1">Financials!N24/Financials!N$19</f>
        <v>2.3875641114536285E-3</v>
      </c>
      <c r="N16" s="232">
        <f ca="1">Financials!O24/Financials!O$19</f>
        <v>-2.5641195204274582E-3</v>
      </c>
    </row>
    <row r="17" spans="2:14" x14ac:dyDescent="0.3">
      <c r="C17" s="146" t="s">
        <v>1</v>
      </c>
      <c r="F17" s="231">
        <f>Financials!G25/Financials!G$19</f>
        <v>2.5232038501203164E-2</v>
      </c>
      <c r="G17" s="231">
        <f>Financials!H25/Financials!H$19</f>
        <v>1.565145654312227E-2</v>
      </c>
      <c r="H17" s="231">
        <f>Financials!I25/Financials!I$19</f>
        <v>1.791135582392845E-2</v>
      </c>
      <c r="I17" s="231">
        <f>Financials!J25/Financials!J$19</f>
        <v>2.4107361700494045E-2</v>
      </c>
      <c r="J17" s="231">
        <f>Financials!K25/Financials!K$19</f>
        <v>8.6788182198789421E-2</v>
      </c>
      <c r="K17" s="231">
        <f ca="1">Financials!L25/Financials!L$19</f>
        <v>0.1005856333720357</v>
      </c>
      <c r="L17" s="231">
        <f ca="1">Financials!M25/Financials!M$19</f>
        <v>0.11004935698465942</v>
      </c>
      <c r="M17" s="231">
        <f ca="1">Financials!N25/Financials!N$19</f>
        <v>0.12028049539388153</v>
      </c>
      <c r="N17" s="232">
        <f ca="1">Financials!O25/Financials!O$19</f>
        <v>0.13097117352093529</v>
      </c>
    </row>
    <row r="18" spans="2:14" x14ac:dyDescent="0.3">
      <c r="C18" s="146" t="s">
        <v>2</v>
      </c>
      <c r="F18" s="231">
        <f>Financials!G26/Financials!G$19</f>
        <v>2.4943279477483673E-2</v>
      </c>
      <c r="G18" s="231">
        <f>Financials!H26/Financials!H$19</f>
        <v>1.8760979240041886E-2</v>
      </c>
      <c r="H18" s="231">
        <f>Financials!I26/Financials!I$19</f>
        <v>8.6393088552915755E-4</v>
      </c>
      <c r="I18" s="231">
        <f>Financials!J26/Financials!J$19</f>
        <v>4.0191240612938561E-3</v>
      </c>
      <c r="J18" s="231">
        <f>Financials!K26/Financials!K$19</f>
        <v>1.7223168691856548E-2</v>
      </c>
      <c r="K18" s="231">
        <f ca="1">Financials!L26/Financials!L$19</f>
        <v>2.397816607346125E-2</v>
      </c>
      <c r="L18" s="231">
        <f ca="1">Financials!M26/Financials!M$19</f>
        <v>2.1863251796314605E-2</v>
      </c>
      <c r="M18" s="231">
        <f ca="1">Financials!N26/Financials!N$19</f>
        <v>2.114633057263134E-2</v>
      </c>
      <c r="N18" s="232">
        <f ca="1">Financials!O26/Financials!O$19</f>
        <v>2.0266498754912422E-2</v>
      </c>
    </row>
    <row r="19" spans="2:14" x14ac:dyDescent="0.3">
      <c r="C19" s="146" t="s">
        <v>103</v>
      </c>
      <c r="F19" s="231">
        <f>Financials!G27/Financials!G$19</f>
        <v>2.4723272602268823E-2</v>
      </c>
      <c r="G19" s="231">
        <f>Financials!H27/Financials!H$19</f>
        <v>6.6344176279360904E-3</v>
      </c>
      <c r="H19" s="231">
        <f>Financials!I27/Financials!I$19</f>
        <v>7.4514038876889845E-3</v>
      </c>
      <c r="I19" s="231">
        <f>Financials!J27/Financials!J$19</f>
        <v>1.1930390306853181E-2</v>
      </c>
      <c r="J19" s="231">
        <f>Financials!K27/Financials!K$19</f>
        <v>3.2000000000000008E-2</v>
      </c>
      <c r="K19" s="231">
        <f ca="1">Financials!L27/Financials!L$19</f>
        <v>1.6999999999999998E-2</v>
      </c>
      <c r="L19" s="231">
        <f ca="1">Financials!M27/Financials!M$19</f>
        <v>1.5299999999999999E-2</v>
      </c>
      <c r="M19" s="231">
        <f ca="1">Financials!N27/Financials!N$19</f>
        <v>1.3600000000000001E-2</v>
      </c>
      <c r="N19" s="232">
        <f ca="1">Financials!O27/Financials!O$19</f>
        <v>1.1899999999999999E-2</v>
      </c>
    </row>
    <row r="20" spans="2:14" x14ac:dyDescent="0.3">
      <c r="C20" s="146" t="s">
        <v>104</v>
      </c>
      <c r="F20" s="231">
        <f>Financials!G28/Financials!G$19</f>
        <v>0</v>
      </c>
      <c r="G20" s="231">
        <f>Financials!H28/Financials!H$19</f>
        <v>0</v>
      </c>
      <c r="H20" s="231">
        <f>Financials!I28/Financials!I$19</f>
        <v>0.49277066285401389</v>
      </c>
      <c r="I20" s="231">
        <f>Financials!J28/Financials!J$19</f>
        <v>0.49079381391544186</v>
      </c>
      <c r="J20" s="231">
        <f>Financials!K28/Financials!K$19</f>
        <v>0.357956117879977</v>
      </c>
      <c r="K20" s="231">
        <f ca="1">Financials!L28/Financials!L$19</f>
        <v>0.35560819505015978</v>
      </c>
      <c r="L20" s="231">
        <f ca="1">Financials!M28/Financials!M$19</f>
        <v>0.35423847166097244</v>
      </c>
      <c r="M20" s="231">
        <f ca="1">Financials!N28/Financials!N$19</f>
        <v>0.35932639996607768</v>
      </c>
      <c r="N20" s="232">
        <f ca="1">Financials!O28/Financials!O$19</f>
        <v>0.36215028174994718</v>
      </c>
    </row>
    <row r="21" spans="2:14" x14ac:dyDescent="0.3">
      <c r="C21" s="146" t="s">
        <v>3</v>
      </c>
      <c r="F21" s="231">
        <f>Financials!G29/Financials!G$19</f>
        <v>0.30352698521828808</v>
      </c>
      <c r="G21" s="231">
        <f>Financials!H29/Financials!H$19</f>
        <v>0.57333483328862311</v>
      </c>
      <c r="H21" s="231">
        <f>Financials!I29/Financials!I$19</f>
        <v>8.2727466309737471E-2</v>
      </c>
      <c r="I21" s="231">
        <f>Financials!J29/Financials!J$19</f>
        <v>7.0164869725453355E-2</v>
      </c>
      <c r="J21" s="231">
        <f>Financials!K29/Financials!K$19</f>
        <v>0.10133636808753718</v>
      </c>
      <c r="K21" s="231">
        <f ca="1">Financials!L29/Financials!L$19</f>
        <v>6.8146981862850203E-2</v>
      </c>
      <c r="L21" s="231">
        <f ca="1">Financials!M29/Financials!M$19</f>
        <v>7.0039558230516441E-2</v>
      </c>
      <c r="M21" s="231">
        <f ca="1">Financials!N29/Financials!N$19</f>
        <v>6.7607849373820098E-2</v>
      </c>
      <c r="N21" s="232">
        <f ca="1">Financials!O29/Financials!O$19</f>
        <v>3.9096243559360193E-2</v>
      </c>
    </row>
    <row r="22" spans="2:14" x14ac:dyDescent="0.3">
      <c r="C22" s="305" t="s">
        <v>4</v>
      </c>
      <c r="D22" s="7"/>
      <c r="E22" s="7"/>
      <c r="F22" s="306">
        <f>Financials!G30/Financials!G$19</f>
        <v>0.80863526985218293</v>
      </c>
      <c r="G22" s="306">
        <f>Financials!H30/Financials!H$19</f>
        <v>0.7701837733682938</v>
      </c>
      <c r="H22" s="306">
        <f>Financials!I30/Financials!I$19</f>
        <v>0.73739238889057879</v>
      </c>
      <c r="I22" s="306">
        <f>Financials!J30/Financials!J$19</f>
        <v>0.72003301528802721</v>
      </c>
      <c r="J22" s="306">
        <f>Financials!K30/Financials!K$19</f>
        <v>0.72616608077859901</v>
      </c>
      <c r="K22" s="306">
        <f ca="1">Financials!L30/Financials!L$19</f>
        <v>0.72825005928340258</v>
      </c>
      <c r="L22" s="306">
        <f ca="1">Financials!M30/Financials!M$19</f>
        <v>0.73701760594666244</v>
      </c>
      <c r="M22" s="306">
        <f ca="1">Financials!N30/Financials!N$19</f>
        <v>0.78506315510471769</v>
      </c>
      <c r="N22" s="307">
        <f ca="1">Financials!O30/Financials!O$19</f>
        <v>0.79436183391441462</v>
      </c>
    </row>
    <row r="23" spans="2:14" x14ac:dyDescent="0.3">
      <c r="C23" s="146" t="s">
        <v>99</v>
      </c>
      <c r="F23" s="231"/>
      <c r="G23" s="231"/>
      <c r="H23" s="231"/>
      <c r="I23" s="231"/>
      <c r="J23" s="231"/>
      <c r="K23" s="231"/>
      <c r="L23" s="231"/>
      <c r="M23" s="231"/>
      <c r="N23" s="232"/>
    </row>
    <row r="24" spans="2:14" x14ac:dyDescent="0.3">
      <c r="C24" s="305" t="s">
        <v>108</v>
      </c>
      <c r="D24" s="7"/>
      <c r="E24" s="7"/>
      <c r="F24" s="306">
        <f>Financials!G32/Financials!G$19</f>
        <v>0.19136473014781707</v>
      </c>
      <c r="G24" s="306">
        <f>Financials!H32/Financials!H$19</f>
        <v>0.22981622663170626</v>
      </c>
      <c r="H24" s="306">
        <f>Financials!I32/Financials!I$19</f>
        <v>0.26260761110942121</v>
      </c>
      <c r="I24" s="306">
        <f>Financials!J32/Financials!J$19</f>
        <v>0.27996698471197279</v>
      </c>
      <c r="J24" s="306">
        <f>Financials!K32/Financials!K$19</f>
        <v>0.27383391922140099</v>
      </c>
      <c r="K24" s="306">
        <f ca="1">Financials!L32/Financials!L$19</f>
        <v>0.27174994071659742</v>
      </c>
      <c r="L24" s="306">
        <f ca="1">Financials!M32/Financials!M$19</f>
        <v>0.26298239405333762</v>
      </c>
      <c r="M24" s="306">
        <f ca="1">Financials!N32/Financials!N$19</f>
        <v>0.21493684489528225</v>
      </c>
      <c r="N24" s="307">
        <f ca="1">Financials!O32/Financials!O$19</f>
        <v>0.20563816608558538</v>
      </c>
    </row>
    <row r="25" spans="2:14" x14ac:dyDescent="0.3">
      <c r="C25" s="146" t="s">
        <v>5</v>
      </c>
      <c r="F25" s="231">
        <f>Financials!G33/Financials!G$19</f>
        <v>7.0622206943966995E-2</v>
      </c>
      <c r="G25" s="231">
        <f>Financials!H33/Financials!H$19</f>
        <v>0.34452819194812467</v>
      </c>
      <c r="H25" s="231">
        <f>Financials!I33/Financials!I$19</f>
        <v>0</v>
      </c>
      <c r="I25" s="231">
        <f>Financials!J33/Financials!J$19</f>
        <v>0</v>
      </c>
      <c r="J25" s="231">
        <f>Financials!K33/Financials!K$19</f>
        <v>0</v>
      </c>
      <c r="K25" s="231">
        <f ca="1">Financials!L33/Financials!L$19</f>
        <v>0</v>
      </c>
      <c r="L25" s="231">
        <f ca="1">Financials!M33/Financials!M$19</f>
        <v>0</v>
      </c>
      <c r="M25" s="231">
        <f ca="1">Financials!N33/Financials!N$19</f>
        <v>0</v>
      </c>
      <c r="N25" s="232">
        <f ca="1">Financials!O33/Financials!O$19</f>
        <v>0</v>
      </c>
    </row>
    <row r="26" spans="2:14" x14ac:dyDescent="0.3">
      <c r="C26" s="305" t="s">
        <v>105</v>
      </c>
      <c r="D26" s="7"/>
      <c r="E26" s="7"/>
      <c r="F26" s="306">
        <f>Financials!G34/Financials!G$19</f>
        <v>0.12074252320385007</v>
      </c>
      <c r="G26" s="306">
        <f>Financials!H34/Financials!H$19</f>
        <v>-0.1147119653164184</v>
      </c>
      <c r="H26" s="306">
        <f>Financials!I34/Financials!I$19</f>
        <v>0.26260761110942121</v>
      </c>
      <c r="I26" s="306">
        <f>Financials!J34/Financials!J$19</f>
        <v>0.27996698471197279</v>
      </c>
      <c r="J26" s="306">
        <f>Financials!K34/Financials!K$19</f>
        <v>0.27383391922140099</v>
      </c>
      <c r="K26" s="306">
        <f ca="1">Financials!L34/Financials!L$19</f>
        <v>0.27174994071659742</v>
      </c>
      <c r="L26" s="306">
        <f ca="1">Financials!M34/Financials!M$19</f>
        <v>0.26298239405333762</v>
      </c>
      <c r="M26" s="306">
        <f ca="1">Financials!N34/Financials!N$19</f>
        <v>0.21493684489528225</v>
      </c>
      <c r="N26" s="307">
        <f ca="1">Financials!O34/Financials!O$19</f>
        <v>0.20563816608558538</v>
      </c>
    </row>
    <row r="27" spans="2:14" x14ac:dyDescent="0.3">
      <c r="C27" s="146" t="s">
        <v>6</v>
      </c>
      <c r="F27" s="231">
        <f>Financials!G35/Financials!G$19</f>
        <v>0</v>
      </c>
      <c r="G27" s="231">
        <f>Financials!H35/Financials!H$19</f>
        <v>0</v>
      </c>
      <c r="H27" s="231">
        <f>Financials!I35/Financials!I$19</f>
        <v>-3.9512669972317699E-2</v>
      </c>
      <c r="I27" s="231">
        <f>Financials!J35/Financials!J$19</f>
        <v>-6.7436235902796848E-2</v>
      </c>
      <c r="J27" s="231">
        <f>Financials!K35/Financials!K$19</f>
        <v>-6.3852245552535783E-2</v>
      </c>
      <c r="K27" s="231">
        <f ca="1">Financials!L35/Financials!L$19</f>
        <v>-6.34334228600901E-2</v>
      </c>
      <c r="L27" s="231">
        <f ca="1">Financials!M35/Financials!M$19</f>
        <v>-6.5195094378673255E-2</v>
      </c>
      <c r="M27" s="231">
        <f ca="1">Financials!N35/Financials!N$19</f>
        <v>-6.9331402618509536E-2</v>
      </c>
      <c r="N27" s="232">
        <f ca="1">Financials!O35/Financials!O$19</f>
        <v>-7.4458315896070743E-2</v>
      </c>
    </row>
    <row r="28" spans="2:14" x14ac:dyDescent="0.3">
      <c r="C28" s="146" t="s">
        <v>106</v>
      </c>
      <c r="F28" s="231">
        <f>Financials!G36/Financials!G$19</f>
        <v>1.3076658645582674E-2</v>
      </c>
      <c r="G28" s="231">
        <f>Financials!H36/Financials!H$19</f>
        <v>3.1481753909258475E-2</v>
      </c>
      <c r="H28" s="231">
        <f>Financials!I36/Financials!I$19</f>
        <v>-3.4043135704073246E-2</v>
      </c>
      <c r="I28" s="231">
        <f>Financials!J36/Financials!J$19</f>
        <v>1.5547897268708415E-3</v>
      </c>
      <c r="J28" s="231">
        <f>Financials!K36/Financials!K$19</f>
        <v>0</v>
      </c>
      <c r="K28" s="231">
        <f ca="1">Financials!L36/Financials!L$19</f>
        <v>0</v>
      </c>
      <c r="L28" s="231">
        <f ca="1">Financials!M36/Financials!M$19</f>
        <v>0</v>
      </c>
      <c r="M28" s="231">
        <f ca="1">Financials!N36/Financials!N$19</f>
        <v>0</v>
      </c>
      <c r="N28" s="232">
        <f ca="1">Financials!O36/Financials!O$19</f>
        <v>0</v>
      </c>
    </row>
    <row r="29" spans="2:14" x14ac:dyDescent="0.3">
      <c r="C29" s="308" t="s">
        <v>107</v>
      </c>
      <c r="D29" s="58"/>
      <c r="E29" s="58"/>
      <c r="F29" s="309">
        <f>Financials!G37/Financials!G$19</f>
        <v>0.13381918184943276</v>
      </c>
      <c r="G29" s="309">
        <f>Financials!H37/Financials!H$19</f>
        <v>-8.3230211407159929E-2</v>
      </c>
      <c r="H29" s="309">
        <f>Financials!I37/Financials!I$19</f>
        <v>0.1890518054330303</v>
      </c>
      <c r="I29" s="309">
        <f>Financials!J37/Financials!J$19</f>
        <v>0.21408553853604681</v>
      </c>
      <c r="J29" s="309">
        <f>Financials!K37/Financials!K$19</f>
        <v>0.20998167366886519</v>
      </c>
      <c r="K29" s="309">
        <f ca="1">Financials!L37/Financials!L$19</f>
        <v>0.20831651785650734</v>
      </c>
      <c r="L29" s="309">
        <f ca="1">Financials!M37/Financials!M$19</f>
        <v>0.19778729967466438</v>
      </c>
      <c r="M29" s="309">
        <f ca="1">Financials!N37/Financials!N$19</f>
        <v>0.14560544227677275</v>
      </c>
      <c r="N29" s="310">
        <f ca="1">Financials!O37/Financials!O$19</f>
        <v>0.13117985018951467</v>
      </c>
    </row>
    <row r="30" spans="2:14" x14ac:dyDescent="0.3">
      <c r="C30" t="str">
        <f>Financials!C38</f>
        <v/>
      </c>
    </row>
    <row r="31" spans="2:14" x14ac:dyDescent="0.3">
      <c r="B31" s="302" t="s">
        <v>94</v>
      </c>
      <c r="C31" s="311" t="s">
        <v>384</v>
      </c>
      <c r="D31" s="312"/>
      <c r="E31" s="312"/>
      <c r="F31" s="313">
        <v>44651</v>
      </c>
      <c r="G31" s="313">
        <f>EOMONTH(F31,12)</f>
        <v>45016</v>
      </c>
      <c r="H31" s="313">
        <f t="shared" ref="H31" si="7">EOMONTH(G31,12)</f>
        <v>45382</v>
      </c>
      <c r="I31" s="313">
        <f t="shared" ref="I31" si="8">EOMONTH(H31,12)</f>
        <v>45747</v>
      </c>
      <c r="J31" s="314">
        <f t="shared" ref="J31" si="9">EOMONTH(I31,12)</f>
        <v>46112</v>
      </c>
      <c r="K31" s="314">
        <f t="shared" ref="K31" si="10">EOMONTH(J31,12)</f>
        <v>46477</v>
      </c>
      <c r="L31" s="314">
        <f t="shared" ref="L31" si="11">EOMONTH(K31,12)</f>
        <v>46843</v>
      </c>
      <c r="M31" s="314">
        <f t="shared" ref="M31" si="12">EOMONTH(L31,12)</f>
        <v>47208</v>
      </c>
      <c r="N31" s="315">
        <f t="shared" ref="N31" si="13">EOMONTH(M31,12)</f>
        <v>47573</v>
      </c>
    </row>
    <row r="32" spans="2:14" x14ac:dyDescent="0.3">
      <c r="C32" s="146"/>
      <c r="N32" s="304"/>
    </row>
    <row r="33" spans="3:14" x14ac:dyDescent="0.3">
      <c r="C33" s="146" t="s">
        <v>97</v>
      </c>
      <c r="F33" s="316">
        <v>0</v>
      </c>
      <c r="G33" s="231">
        <f>Financials!H16/Financials!G16-1</f>
        <v>3.8635268817204302</v>
      </c>
      <c r="H33" s="231">
        <f>Financials!I16/Financials!H16-1</f>
        <v>0.91050051439874324</v>
      </c>
      <c r="I33" s="231">
        <f>Financials!J16/Financials!I16-1</f>
        <v>2.2419345132934643E-2</v>
      </c>
      <c r="J33" s="231">
        <f>Financials!K16/Financials!J16-1</f>
        <v>1.1786001560446158</v>
      </c>
      <c r="K33" s="231">
        <f ca="1">Financials!L16/Financials!K16-1</f>
        <v>0.30000000000000004</v>
      </c>
      <c r="L33" s="231">
        <f ca="1">Financials!M16/Financials!L16-1</f>
        <v>0.25</v>
      </c>
      <c r="M33" s="231">
        <f ca="1">Financials!N16/Financials!M16-1</f>
        <v>0.19999999999999996</v>
      </c>
      <c r="N33" s="232">
        <f ca="1">Financials!O16/Financials!N16-1</f>
        <v>0.17999999999999994</v>
      </c>
    </row>
    <row r="34" spans="3:14" x14ac:dyDescent="0.3">
      <c r="C34" s="146" t="s">
        <v>98</v>
      </c>
      <c r="F34" s="316">
        <v>0</v>
      </c>
      <c r="G34" s="316">
        <v>0</v>
      </c>
      <c r="H34" s="316">
        <v>0</v>
      </c>
      <c r="I34" s="231">
        <f>Financials!J17/Financials!I17-1</f>
        <v>1.1789642529789184</v>
      </c>
      <c r="J34" s="231">
        <f>Financials!K17/Financials!J17-1</f>
        <v>2.7282574403196969</v>
      </c>
      <c r="K34" s="231">
        <f ca="1">Financials!L17/Financials!K17-1</f>
        <v>0.8</v>
      </c>
      <c r="L34" s="231">
        <f ca="1">Financials!M17/Financials!L17-1</f>
        <v>0.74999999999999978</v>
      </c>
      <c r="M34" s="231">
        <f ca="1">Financials!N17/Financials!M17-1</f>
        <v>0.7</v>
      </c>
      <c r="N34" s="232">
        <f ca="1">Financials!O17/Financials!N17-1</f>
        <v>0.68000000000000016</v>
      </c>
    </row>
    <row r="35" spans="3:14" x14ac:dyDescent="0.3">
      <c r="C35" s="146" t="s">
        <v>0</v>
      </c>
      <c r="F35" s="316">
        <v>0</v>
      </c>
      <c r="G35" s="231">
        <f>Financials!H18/Financials!G18-1</f>
        <v>1.5028571428571427</v>
      </c>
      <c r="H35" s="231">
        <f>Financials!I18/Financials!H18-1</f>
        <v>-0.32917002417405306</v>
      </c>
      <c r="I35" s="231">
        <f>Financials!J18/Financials!I18-1</f>
        <v>2.5425425425425363E-2</v>
      </c>
      <c r="J35" s="231">
        <f>Financials!K18/Financials!J18-1</f>
        <v>3.7088376936092669</v>
      </c>
      <c r="K35" s="231">
        <f ca="1">Financials!L18/Financials!K18-1</f>
        <v>0.10000000000000031</v>
      </c>
      <c r="L35" s="231">
        <f ca="1">Financials!M18/Financials!L18-1</f>
        <v>0.14999999999999991</v>
      </c>
      <c r="M35" s="231">
        <f ca="1">Financials!N18/Financials!M18-1</f>
        <v>0.19999999999999996</v>
      </c>
      <c r="N35" s="232">
        <f ca="1">Financials!O18/Financials!N18-1</f>
        <v>0.12000000000000011</v>
      </c>
    </row>
    <row r="36" spans="3:14" x14ac:dyDescent="0.3">
      <c r="C36" s="305" t="s">
        <v>60</v>
      </c>
      <c r="D36" s="7"/>
      <c r="E36" s="7"/>
      <c r="F36" s="317">
        <v>0</v>
      </c>
      <c r="G36" s="306">
        <f>Financials!H19/Financials!G19-1</f>
        <v>3.7669577174286699</v>
      </c>
      <c r="H36" s="306">
        <f>Financials!I19/Financials!H19-1</f>
        <v>0.89646270159254882</v>
      </c>
      <c r="I36" s="306">
        <f>Financials!J19/Financials!I19-1</f>
        <v>3.0118942597268328E-2</v>
      </c>
      <c r="J36" s="306">
        <f>Financials!K19/Financials!J19-1</f>
        <v>1.219493588399565</v>
      </c>
      <c r="K36" s="306">
        <f ca="1">Financials!L19/Financials!K19-1</f>
        <v>0.30858332209788331</v>
      </c>
      <c r="L36" s="306">
        <f ca="1">Financials!M19/Financials!L19-1</f>
        <v>0.26487200461961047</v>
      </c>
      <c r="M36" s="306">
        <f ca="1">Financials!N19/Financials!M19-1</f>
        <v>0.22244206075889172</v>
      </c>
      <c r="N36" s="307">
        <f ca="1">Financials!O19/Financials!N19-1</f>
        <v>0.21048699959675976</v>
      </c>
    </row>
    <row r="37" spans="3:14" x14ac:dyDescent="0.3">
      <c r="C37" s="146" t="s">
        <v>99</v>
      </c>
      <c r="F37" s="302"/>
      <c r="G37" s="231"/>
      <c r="H37" s="231"/>
      <c r="I37" s="231"/>
      <c r="J37" s="231"/>
      <c r="K37" s="231"/>
      <c r="L37" s="231"/>
      <c r="M37" s="231"/>
      <c r="N37" s="232"/>
    </row>
    <row r="38" spans="3:14" x14ac:dyDescent="0.3">
      <c r="C38" s="305" t="s">
        <v>61</v>
      </c>
      <c r="F38" s="302"/>
      <c r="G38" s="231"/>
      <c r="H38" s="231"/>
      <c r="I38" s="231"/>
      <c r="J38" s="231"/>
      <c r="K38" s="231"/>
      <c r="L38" s="231"/>
      <c r="M38" s="231"/>
      <c r="N38" s="232"/>
    </row>
    <row r="39" spans="3:14" x14ac:dyDescent="0.3">
      <c r="C39" s="146" t="s">
        <v>100</v>
      </c>
      <c r="F39" s="316">
        <v>0</v>
      </c>
      <c r="G39" s="231">
        <f>Financials!H22/Financials!G22-1</f>
        <v>0.35116671578214165</v>
      </c>
      <c r="H39" s="231">
        <f>Financials!I22/Financials!H22-1</f>
        <v>6.3983344899375405E-2</v>
      </c>
      <c r="I39" s="231">
        <f>Financials!J22/Financials!I22-1</f>
        <v>-5.9818866236815982E-3</v>
      </c>
      <c r="J39" s="231">
        <f>Financials!K22/Financials!J22-1</f>
        <v>2.084531598582704</v>
      </c>
      <c r="K39" s="231">
        <f ca="1">Financials!L22/Financials!K22-1</f>
        <v>0.39999999999999991</v>
      </c>
      <c r="L39" s="231">
        <f ca="1">Financials!M22/Financials!L22-1</f>
        <v>0.44999999999999996</v>
      </c>
      <c r="M39" s="231">
        <f ca="1">Financials!N22/Financials!M22-1</f>
        <v>0.48</v>
      </c>
      <c r="N39" s="232">
        <f ca="1">Financials!O22/Financials!N22-1</f>
        <v>0.44999999999999996</v>
      </c>
    </row>
    <row r="40" spans="3:14" x14ac:dyDescent="0.3">
      <c r="C40" s="146" t="s">
        <v>101</v>
      </c>
      <c r="F40" s="316">
        <v>0</v>
      </c>
      <c r="G40" s="316">
        <v>0</v>
      </c>
      <c r="H40" s="316">
        <v>0</v>
      </c>
      <c r="I40" s="231">
        <f>Financials!J23/Financials!I23-1</f>
        <v>-0.50776544310293603</v>
      </c>
      <c r="J40" s="231">
        <f>Financials!K23/Financials!J23-1</f>
        <v>2.4259584430787235</v>
      </c>
      <c r="K40" s="231">
        <f ca="1">Financials!L23/Financials!K23-1</f>
        <v>0.25</v>
      </c>
      <c r="L40" s="231">
        <f ca="1">Financials!M23/Financials!L23-1</f>
        <v>0.22999999999999998</v>
      </c>
      <c r="M40" s="231">
        <f ca="1">Financials!N23/Financials!M23-1</f>
        <v>0.20999999999999996</v>
      </c>
      <c r="N40" s="232">
        <f ca="1">Financials!O23/Financials!N23-1</f>
        <v>0.19999999999999996</v>
      </c>
    </row>
    <row r="41" spans="3:14" x14ac:dyDescent="0.3">
      <c r="C41" s="146" t="s">
        <v>102</v>
      </c>
      <c r="F41" s="316">
        <v>0</v>
      </c>
      <c r="G41" s="231">
        <f>Financials!H24/Financials!G24-1</f>
        <v>-1.592384105960265</v>
      </c>
      <c r="H41" s="231">
        <f>Financials!I24/Financials!H24-1</f>
        <v>-1.4161542761319172</v>
      </c>
      <c r="I41" s="231">
        <f>Financials!J24/Financials!I24-1</f>
        <v>-7.0718603089321688</v>
      </c>
      <c r="J41" s="231">
        <f>Financials!K24/Financials!J24-1</f>
        <v>-4.3466799395347122</v>
      </c>
      <c r="K41" s="231">
        <f ca="1">Financials!L24/Financials!K24-1</f>
        <v>-1.4</v>
      </c>
      <c r="L41" s="231">
        <f ca="1">Financials!M24/Financials!L24-1</f>
        <v>-2.5</v>
      </c>
      <c r="M41" s="231">
        <f ca="1">Financials!N24/Financials!M24-1</f>
        <v>-1.4</v>
      </c>
      <c r="N41" s="232">
        <f ca="1">Financials!O24/Financials!N24-1</f>
        <v>-2.2999999999999998</v>
      </c>
    </row>
    <row r="42" spans="3:14" x14ac:dyDescent="0.3">
      <c r="C42" s="146" t="s">
        <v>1</v>
      </c>
      <c r="F42" s="316">
        <v>0</v>
      </c>
      <c r="G42" s="231">
        <f>Financials!H25/Financials!G25-1</f>
        <v>1.9569482288828333</v>
      </c>
      <c r="H42" s="231">
        <f>Financials!I25/Financials!H25-1</f>
        <v>1.1702911905639515</v>
      </c>
      <c r="I42" s="231">
        <f>Financials!J25/Financials!I25-1</f>
        <v>0.38646399456521752</v>
      </c>
      <c r="J42" s="231">
        <f>Financials!K25/Financials!J25-1</f>
        <v>6.9903315979665575</v>
      </c>
      <c r="K42" s="231">
        <f ca="1">Financials!L25/Financials!K25-1</f>
        <v>0.51661987771342188</v>
      </c>
      <c r="L42" s="231">
        <f ca="1">Financials!M25/Financials!L25-1</f>
        <v>0.38387905021617663</v>
      </c>
      <c r="M42" s="231">
        <f ca="1">Financials!N25/Financials!M25-1</f>
        <v>0.33609082948929281</v>
      </c>
      <c r="N42" s="232">
        <f ca="1">Financials!O25/Financials!N25-1</f>
        <v>0.31807657051841653</v>
      </c>
    </row>
    <row r="43" spans="3:14" x14ac:dyDescent="0.3">
      <c r="C43" s="146" t="s">
        <v>2</v>
      </c>
      <c r="F43" s="316">
        <v>0</v>
      </c>
      <c r="G43" s="231">
        <f>Financials!H26/Financials!G26-1</f>
        <v>2.5854465270121283</v>
      </c>
      <c r="H43" s="231">
        <f>Financials!I26/Financials!H26-1</f>
        <v>-0.91266912669126699</v>
      </c>
      <c r="I43" s="231">
        <f>Financials!J26/Financials!I26-1</f>
        <v>3.792253521126761</v>
      </c>
      <c r="J43" s="231">
        <f>Financials!K26/Financials!J26-1</f>
        <v>8.511204904481998</v>
      </c>
      <c r="K43" s="231">
        <f>Financials!L26/Financials!K26-1</f>
        <v>0.821815066646856</v>
      </c>
      <c r="L43" s="231">
        <f>Financials!M26/Financials!L26-1</f>
        <v>0.15330818221811859</v>
      </c>
      <c r="M43" s="231">
        <f>Financials!N26/Financials!M26-1</f>
        <v>0.18235677672859563</v>
      </c>
      <c r="N43" s="232">
        <f>Financials!O26/Financials!N26-1</f>
        <v>0.16012247070025487</v>
      </c>
    </row>
    <row r="44" spans="3:14" x14ac:dyDescent="0.3">
      <c r="C44" s="146" t="s">
        <v>103</v>
      </c>
      <c r="F44" s="316">
        <v>0</v>
      </c>
      <c r="G44" s="231">
        <f>Financials!H27/Financials!G27-1</f>
        <v>0.2791991101223581</v>
      </c>
      <c r="H44" s="231">
        <f>Financials!I27/Financials!H27-1</f>
        <v>1.1299999999999999</v>
      </c>
      <c r="I44" s="231">
        <f>Financials!J27/Financials!I27-1</f>
        <v>0.64931618697693394</v>
      </c>
      <c r="J44" s="231">
        <f>Financials!K27/Financials!J27-1</f>
        <v>4.953182838283829</v>
      </c>
      <c r="K44" s="231">
        <f ca="1">Financials!L27/Financials!K27-1</f>
        <v>-0.30481511013549967</v>
      </c>
      <c r="L44" s="231">
        <f ca="1">Financials!M27/Financials!L27-1</f>
        <v>0.13838480415764942</v>
      </c>
      <c r="M44" s="231">
        <f ca="1">Financials!N27/Financials!M27-1</f>
        <v>8.6615165119015014E-2</v>
      </c>
      <c r="N44" s="232">
        <f ca="1">Financials!O27/Financials!N27-1</f>
        <v>5.9176124647164707E-2</v>
      </c>
    </row>
    <row r="45" spans="3:14" x14ac:dyDescent="0.3">
      <c r="C45" s="146" t="s">
        <v>104</v>
      </c>
      <c r="F45" s="316">
        <v>0</v>
      </c>
      <c r="G45" s="316">
        <v>0</v>
      </c>
      <c r="H45" s="316">
        <v>0</v>
      </c>
      <c r="I45" s="231">
        <f>Financials!J28/Financials!I28-1</f>
        <v>2.598641261571033E-2</v>
      </c>
      <c r="J45" s="231">
        <f>Financials!K28/Financials!J28-1</f>
        <v>0.61876797554723861</v>
      </c>
      <c r="K45" s="231">
        <f ca="1">Financials!L28/Financials!K28-1</f>
        <v>0.30000000000000004</v>
      </c>
      <c r="L45" s="231">
        <f ca="1">Financials!M28/Financials!L28-1</f>
        <v>0.25999999999999979</v>
      </c>
      <c r="M45" s="231">
        <f ca="1">Financials!N28/Financials!M28-1</f>
        <v>0.24</v>
      </c>
      <c r="N45" s="232">
        <f ca="1">Financials!O28/Financials!N28-1</f>
        <v>0.21999999999999997</v>
      </c>
    </row>
    <row r="46" spans="3:14" x14ac:dyDescent="0.3">
      <c r="C46" s="146" t="s">
        <v>3</v>
      </c>
      <c r="F46" s="316">
        <v>0</v>
      </c>
      <c r="G46" s="231">
        <f>Financials!H29/Financials!G29-1</f>
        <v>8.0043490078825759</v>
      </c>
      <c r="H46" s="231">
        <f>Financials!I29/Financials!H29-1</f>
        <v>-0.72635614453466957</v>
      </c>
      <c r="I46" s="231">
        <f>Financials!J29/Financials!I29-1</f>
        <v>-0.12630998345284061</v>
      </c>
      <c r="J46" s="231">
        <f>Financials!K29/Financials!J29-1</f>
        <v>2.2055274971941641</v>
      </c>
      <c r="K46" s="231">
        <f ca="1">Financials!L29/Financials!K29-1</f>
        <v>-0.12</v>
      </c>
      <c r="L46" s="231">
        <f ca="1">Financials!M29/Financials!L29-1</f>
        <v>0.30000000000000004</v>
      </c>
      <c r="M46" s="231">
        <f ca="1">Financials!N29/Financials!M29-1</f>
        <v>0.17999999999999994</v>
      </c>
      <c r="N46" s="232">
        <f ca="1">Financials!O29/Financials!N29-1</f>
        <v>-0.30000000000000004</v>
      </c>
    </row>
    <row r="47" spans="3:14" x14ac:dyDescent="0.3">
      <c r="C47" s="305" t="s">
        <v>4</v>
      </c>
      <c r="D47" s="7"/>
      <c r="E47" s="7"/>
      <c r="F47" s="317">
        <v>0</v>
      </c>
      <c r="G47" s="306">
        <f>Financials!H30/Financials!G30-1</f>
        <v>3.5402836348796072</v>
      </c>
      <c r="H47" s="306">
        <f>Financials!I30/Financials!H30-1</f>
        <v>0.81571880676391828</v>
      </c>
      <c r="I47" s="306">
        <f>Financials!J30/Financials!I30-1</f>
        <v>5.8683267121280025E-3</v>
      </c>
      <c r="J47" s="306">
        <f>Financials!K30/Financials!J30-1</f>
        <v>1.2383986930885684</v>
      </c>
      <c r="K47" s="306">
        <f ca="1">Financials!L30/Financials!K30-1</f>
        <v>0.31233874332614064</v>
      </c>
      <c r="L47" s="306">
        <f ca="1">Financials!M30/Financials!L30-1</f>
        <v>0.28010004913836539</v>
      </c>
      <c r="M47" s="306">
        <f ca="1">Financials!N30/Financials!M30-1</f>
        <v>0.30213201612654728</v>
      </c>
      <c r="N47" s="307">
        <f ca="1">Financials!O30/Financials!N30-1</f>
        <v>0.22482461019454991</v>
      </c>
    </row>
    <row r="48" spans="3:14" x14ac:dyDescent="0.3">
      <c r="C48" s="146" t="s">
        <v>99</v>
      </c>
      <c r="F48" s="302"/>
      <c r="G48" s="231"/>
      <c r="H48" s="231"/>
      <c r="I48" s="231"/>
      <c r="J48" s="231"/>
      <c r="K48" s="231"/>
      <c r="L48" s="231"/>
      <c r="M48" s="231"/>
      <c r="N48" s="232"/>
    </row>
    <row r="49" spans="2:14" x14ac:dyDescent="0.3">
      <c r="C49" s="305" t="s">
        <v>108</v>
      </c>
      <c r="D49" s="7"/>
      <c r="E49" s="7"/>
      <c r="F49" s="317">
        <v>0</v>
      </c>
      <c r="G49" s="306">
        <f>Financials!H32/Financials!G32-1</f>
        <v>4.7247970108500432</v>
      </c>
      <c r="H49" s="306">
        <f>Financials!I32/Financials!H32-1</f>
        <v>1.1670599457776891</v>
      </c>
      <c r="I49" s="306">
        <f>Financials!J32/Financials!I32-1</f>
        <v>9.8213768577617877E-2</v>
      </c>
      <c r="J49" s="306">
        <f>Financials!K32/Financials!J32-1</f>
        <v>1.1708724999252831</v>
      </c>
      <c r="K49" s="306">
        <f ca="1">Financials!L32/Financials!K32-1</f>
        <v>0.29862451377073973</v>
      </c>
      <c r="L49" s="306">
        <f ca="1">Financials!M32/Financials!L32-1</f>
        <v>0.22406307456314067</v>
      </c>
      <c r="M49" s="306">
        <f ca="1">Financials!N32/Financials!M32-1</f>
        <v>-8.9190170839681393E-4</v>
      </c>
      <c r="N49" s="307">
        <f ca="1">Financials!O32/Financials!N32-1</f>
        <v>0.15811845469675512</v>
      </c>
    </row>
    <row r="50" spans="2:14" x14ac:dyDescent="0.3">
      <c r="C50" s="146" t="s">
        <v>5</v>
      </c>
      <c r="F50" s="316">
        <v>0</v>
      </c>
      <c r="G50" s="231">
        <f>Financials!H33/Financials!G33-1</f>
        <v>22.25545171339564</v>
      </c>
      <c r="H50" s="231">
        <f>Financials!I33/Financials!H33-1</f>
        <v>-1</v>
      </c>
      <c r="I50" s="316">
        <v>0</v>
      </c>
      <c r="J50" s="316">
        <v>0</v>
      </c>
      <c r="K50" s="316">
        <v>0</v>
      </c>
      <c r="L50" s="316">
        <v>0</v>
      </c>
      <c r="M50" s="316">
        <v>0</v>
      </c>
      <c r="N50" s="318">
        <v>0</v>
      </c>
    </row>
    <row r="51" spans="2:14" x14ac:dyDescent="0.3">
      <c r="C51" s="305" t="s">
        <v>105</v>
      </c>
      <c r="D51" s="7"/>
      <c r="E51" s="7"/>
      <c r="F51" s="317">
        <v>0</v>
      </c>
      <c r="G51" s="306">
        <f>Financials!H34/Financials!G34-1</f>
        <v>-5.5288691492996245</v>
      </c>
      <c r="H51" s="306">
        <f>Financials!I34/Financials!H34-1</f>
        <v>-5.3415308790987766</v>
      </c>
      <c r="I51" s="306">
        <f>Financials!J34/Financials!I34-1</f>
        <v>9.8213768577617877E-2</v>
      </c>
      <c r="J51" s="306">
        <f>Financials!K34/Financials!J34-1</f>
        <v>1.1708724999252831</v>
      </c>
      <c r="K51" s="306">
        <f ca="1">Financials!L34/Financials!K34-1</f>
        <v>0.29862451377073973</v>
      </c>
      <c r="L51" s="306">
        <f ca="1">Financials!M34/Financials!L34-1</f>
        <v>0.22406307456314067</v>
      </c>
      <c r="M51" s="306">
        <f ca="1">Financials!N34/Financials!M34-1</f>
        <v>-8.9190170839681393E-4</v>
      </c>
      <c r="N51" s="307">
        <f ca="1">Financials!O34/Financials!N34-1</f>
        <v>0.15811845469675512</v>
      </c>
    </row>
    <row r="52" spans="2:14" x14ac:dyDescent="0.3">
      <c r="C52" s="146" t="s">
        <v>6</v>
      </c>
      <c r="F52" s="316">
        <v>0</v>
      </c>
      <c r="G52" s="316">
        <v>0</v>
      </c>
      <c r="H52" s="316">
        <v>0</v>
      </c>
      <c r="I52" s="231">
        <f>Financials!J35/Financials!I35-1</f>
        <v>0.75810301023943372</v>
      </c>
      <c r="J52" s="231">
        <f>Financials!K35/Financials!J35-1</f>
        <v>1.1015355870847197</v>
      </c>
      <c r="K52" s="231">
        <f ca="1">Financials!L35/Financials!K35-1</f>
        <v>0.30000000000000004</v>
      </c>
      <c r="L52" s="231">
        <f ca="1">Financials!M35/Financials!L35-1</f>
        <v>0.30000000000000004</v>
      </c>
      <c r="M52" s="231">
        <f ca="1">Financials!N35/Financials!M35-1</f>
        <v>0.30000000000000004</v>
      </c>
      <c r="N52" s="232">
        <f ca="1">Financials!O35/Financials!N35-1</f>
        <v>0.30000000000000004</v>
      </c>
    </row>
    <row r="53" spans="2:14" x14ac:dyDescent="0.3">
      <c r="C53" s="146" t="s">
        <v>106</v>
      </c>
      <c r="F53" s="316">
        <v>0</v>
      </c>
      <c r="G53" s="231">
        <f>Financials!H36/Financials!G36-1</f>
        <v>10.476340694006309</v>
      </c>
      <c r="H53" s="231">
        <f>Financials!I36/Financials!H36-1</f>
        <v>-3.0507604911123325</v>
      </c>
      <c r="I53" s="231">
        <f>Financials!J36/Financials!I36-1</f>
        <v>-1.0470467339826646</v>
      </c>
      <c r="J53" s="231">
        <f>Financials!K36/Financials!J36-1</f>
        <v>-1</v>
      </c>
      <c r="K53" s="316">
        <v>0</v>
      </c>
      <c r="L53" s="316">
        <v>0</v>
      </c>
      <c r="M53" s="316">
        <v>0</v>
      </c>
      <c r="N53" s="318">
        <v>0</v>
      </c>
    </row>
    <row r="54" spans="2:14" x14ac:dyDescent="0.3">
      <c r="C54" s="308" t="s">
        <v>107</v>
      </c>
      <c r="D54" s="58"/>
      <c r="E54" s="58"/>
      <c r="F54" s="319">
        <v>0</v>
      </c>
      <c r="G54" s="309">
        <f>Financials!H37/Financials!G37-1</f>
        <v>-3.9648581997533903</v>
      </c>
      <c r="H54" s="309">
        <f>Financials!I37/Financials!H37-1</f>
        <v>-5.3076869758092524</v>
      </c>
      <c r="I54" s="309">
        <f>Financials!J37/Financials!I37-1</f>
        <v>0.16652453054853833</v>
      </c>
      <c r="J54" s="309">
        <f>Financials!K37/Financials!J37-1</f>
        <v>1.1769475022759845</v>
      </c>
      <c r="K54" s="309">
        <f ca="1">Financials!L37/Financials!K37-1</f>
        <v>0.29820624924826866</v>
      </c>
      <c r="L54" s="309">
        <f ca="1">Financials!M37/Financials!L37-1</f>
        <v>0.20093990050332167</v>
      </c>
      <c r="M54" s="309">
        <f ca="1">Financials!N37/Financials!M37-1</f>
        <v>-0.10007256680632992</v>
      </c>
      <c r="N54" s="310">
        <f ca="1">Financials!O37/Financials!N37-1</f>
        <v>9.0560220692992299E-2</v>
      </c>
    </row>
    <row r="56" spans="2:14" x14ac:dyDescent="0.3">
      <c r="B56" s="302" t="s">
        <v>94</v>
      </c>
      <c r="C56" s="16" t="s">
        <v>193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B460-7825-4D8B-A492-C501FE769247}">
  <sheetPr>
    <tabColor rgb="FF001440"/>
  </sheetPr>
  <dimension ref="A1"/>
  <sheetViews>
    <sheetView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AF52-3042-40E7-818D-D55A5718E511}">
  <dimension ref="A1:H90"/>
  <sheetViews>
    <sheetView workbookViewId="0">
      <selection activeCell="H9" sqref="H9"/>
    </sheetView>
  </sheetViews>
  <sheetFormatPr defaultRowHeight="14.4" x14ac:dyDescent="0.3"/>
  <cols>
    <col min="1" max="1" width="52.21875" bestFit="1" customWidth="1"/>
    <col min="2" max="2" width="8.88671875" customWidth="1"/>
  </cols>
  <sheetData>
    <row r="1" spans="1:8" x14ac:dyDescent="0.3">
      <c r="A1" s="344" t="s">
        <v>77</v>
      </c>
      <c r="B1" s="344"/>
      <c r="C1" s="344"/>
      <c r="D1" s="344"/>
      <c r="E1" s="344"/>
      <c r="F1" s="344"/>
      <c r="G1" s="344"/>
      <c r="H1" s="344"/>
    </row>
    <row r="3" spans="1:8" x14ac:dyDescent="0.3">
      <c r="A3" s="3" t="s">
        <v>18</v>
      </c>
      <c r="B3" s="3">
        <v>22</v>
      </c>
      <c r="C3" s="3">
        <v>23</v>
      </c>
      <c r="D3" s="3">
        <v>24</v>
      </c>
      <c r="E3" s="3">
        <v>25</v>
      </c>
    </row>
    <row r="4" spans="1:8" x14ac:dyDescent="0.3">
      <c r="A4" s="7" t="s">
        <v>19</v>
      </c>
      <c r="C4" s="4"/>
      <c r="D4" s="4"/>
      <c r="E4" s="4"/>
    </row>
    <row r="5" spans="1:8" x14ac:dyDescent="0.3">
      <c r="A5" t="s">
        <v>20</v>
      </c>
      <c r="B5" s="12">
        <v>399.06</v>
      </c>
      <c r="C5">
        <v>474.6</v>
      </c>
      <c r="D5">
        <v>1156.75</v>
      </c>
      <c r="E5">
        <v>1531.51</v>
      </c>
    </row>
    <row r="6" spans="1:8" x14ac:dyDescent="0.3">
      <c r="A6" t="s">
        <v>21</v>
      </c>
      <c r="B6" s="12">
        <v>85.88</v>
      </c>
      <c r="C6">
        <v>373.1</v>
      </c>
      <c r="D6">
        <v>1268.1500000000001</v>
      </c>
      <c r="E6" s="4">
        <v>4181.07</v>
      </c>
    </row>
    <row r="7" spans="1:8" x14ac:dyDescent="0.3">
      <c r="A7" t="s">
        <v>22</v>
      </c>
      <c r="B7" s="12">
        <v>0.6</v>
      </c>
      <c r="C7">
        <v>57.77</v>
      </c>
      <c r="D7">
        <v>77.95</v>
      </c>
      <c r="E7" s="4">
        <v>81</v>
      </c>
    </row>
    <row r="8" spans="1:8" x14ac:dyDescent="0.3">
      <c r="A8" t="s">
        <v>50</v>
      </c>
      <c r="B8" s="12"/>
    </row>
    <row r="9" spans="1:8" x14ac:dyDescent="0.3">
      <c r="A9" s="8" t="s">
        <v>23</v>
      </c>
      <c r="B9" s="12">
        <v>0.14000000000000001</v>
      </c>
      <c r="C9">
        <v>0.04</v>
      </c>
      <c r="D9">
        <v>0.04</v>
      </c>
      <c r="E9" s="4">
        <v>0.04</v>
      </c>
    </row>
    <row r="10" spans="1:8" x14ac:dyDescent="0.3">
      <c r="A10" s="8" t="s">
        <v>53</v>
      </c>
      <c r="B10" s="12">
        <v>0</v>
      </c>
      <c r="C10">
        <v>0</v>
      </c>
      <c r="D10">
        <v>0</v>
      </c>
      <c r="E10" s="4">
        <v>32.340000000000003</v>
      </c>
    </row>
    <row r="11" spans="1:8" x14ac:dyDescent="0.3">
      <c r="A11" s="5" t="s">
        <v>24</v>
      </c>
      <c r="B11" s="12">
        <v>28.24</v>
      </c>
      <c r="C11">
        <v>137.38</v>
      </c>
      <c r="D11">
        <v>0.04</v>
      </c>
      <c r="E11" s="4">
        <v>0.2</v>
      </c>
    </row>
    <row r="12" spans="1:8" x14ac:dyDescent="0.3">
      <c r="A12" s="5" t="s">
        <v>25</v>
      </c>
      <c r="B12" s="12">
        <v>0.87</v>
      </c>
      <c r="C12">
        <v>36.32</v>
      </c>
      <c r="D12">
        <v>307.19</v>
      </c>
      <c r="E12" s="4">
        <v>570.54999999999995</v>
      </c>
    </row>
    <row r="13" spans="1:8" x14ac:dyDescent="0.3">
      <c r="A13" s="3" t="s">
        <v>26</v>
      </c>
      <c r="B13" s="7">
        <f>SUM(B5:B12)</f>
        <v>514.79</v>
      </c>
      <c r="C13" s="7">
        <f>SUM(C5:C12)</f>
        <v>1079.2099999999998</v>
      </c>
      <c r="D13" s="7">
        <f>SUM(D5:D12)</f>
        <v>2810.12</v>
      </c>
      <c r="E13" s="7">
        <f>SUM(E5:E12)</f>
        <v>6396.71</v>
      </c>
    </row>
    <row r="14" spans="1:8" x14ac:dyDescent="0.3">
      <c r="A14" s="5"/>
      <c r="B14" s="12"/>
      <c r="E14" s="4"/>
    </row>
    <row r="15" spans="1:8" x14ac:dyDescent="0.3">
      <c r="A15" s="3" t="s">
        <v>27</v>
      </c>
      <c r="B15" s="12"/>
    </row>
    <row r="16" spans="1:8" x14ac:dyDescent="0.3">
      <c r="A16" s="5" t="s">
        <v>13</v>
      </c>
      <c r="B16" s="12">
        <v>166.84</v>
      </c>
      <c r="C16">
        <v>269.75</v>
      </c>
      <c r="D16">
        <v>231.09</v>
      </c>
      <c r="E16">
        <v>431.76</v>
      </c>
    </row>
    <row r="17" spans="1:5" x14ac:dyDescent="0.3">
      <c r="A17" s="5" t="s">
        <v>28</v>
      </c>
      <c r="B17" s="12"/>
    </row>
    <row r="18" spans="1:5" x14ac:dyDescent="0.3">
      <c r="A18" s="9" t="s">
        <v>51</v>
      </c>
      <c r="B18" s="12">
        <v>0</v>
      </c>
      <c r="C18">
        <v>36.79</v>
      </c>
      <c r="D18">
        <v>29.03</v>
      </c>
      <c r="E18">
        <v>75.06</v>
      </c>
    </row>
    <row r="19" spans="1:5" x14ac:dyDescent="0.3">
      <c r="A19" s="9" t="s">
        <v>29</v>
      </c>
      <c r="B19" s="12">
        <v>23.736699999999999</v>
      </c>
      <c r="C19">
        <v>24.51</v>
      </c>
      <c r="D19">
        <v>79.91</v>
      </c>
      <c r="E19">
        <v>171.42</v>
      </c>
    </row>
    <row r="20" spans="1:5" x14ac:dyDescent="0.3">
      <c r="A20" s="9" t="s">
        <v>30</v>
      </c>
      <c r="B20" s="12">
        <v>13.73</v>
      </c>
      <c r="C20">
        <v>27.58</v>
      </c>
      <c r="D20">
        <v>2.59</v>
      </c>
      <c r="E20">
        <v>39.950000000000003</v>
      </c>
    </row>
    <row r="21" spans="1:5" x14ac:dyDescent="0.3">
      <c r="A21" s="9" t="s">
        <v>31</v>
      </c>
      <c r="B21" s="12">
        <v>8.14</v>
      </c>
      <c r="C21">
        <v>236.98</v>
      </c>
      <c r="D21">
        <v>284.54000000000002</v>
      </c>
      <c r="E21" s="4">
        <v>699.32</v>
      </c>
    </row>
    <row r="22" spans="1:5" x14ac:dyDescent="0.3">
      <c r="A22" s="9" t="s">
        <v>52</v>
      </c>
      <c r="B22" s="12">
        <v>0</v>
      </c>
      <c r="C22">
        <v>25.07</v>
      </c>
      <c r="D22">
        <v>1.5</v>
      </c>
      <c r="E22" s="4">
        <v>250.83</v>
      </c>
    </row>
    <row r="23" spans="1:5" x14ac:dyDescent="0.3">
      <c r="A23" s="5" t="s">
        <v>32</v>
      </c>
      <c r="B23" s="12">
        <v>96.49</v>
      </c>
      <c r="C23">
        <v>326.14</v>
      </c>
      <c r="D23">
        <v>498.76</v>
      </c>
      <c r="E23">
        <v>1351.85</v>
      </c>
    </row>
    <row r="24" spans="1:5" x14ac:dyDescent="0.3">
      <c r="A24" s="3" t="s">
        <v>33</v>
      </c>
      <c r="B24" s="13">
        <f>SUM(B16:B23)</f>
        <v>308.93670000000003</v>
      </c>
      <c r="C24" s="13">
        <f>SUM(C16:C23)</f>
        <v>946.82</v>
      </c>
      <c r="D24" s="13">
        <f t="shared" ref="D24:E24" si="0">SUM(D16:D23)</f>
        <v>1127.42</v>
      </c>
      <c r="E24" s="13">
        <f t="shared" si="0"/>
        <v>3020.19</v>
      </c>
    </row>
    <row r="25" spans="1:5" x14ac:dyDescent="0.3">
      <c r="A25" s="10" t="s">
        <v>17</v>
      </c>
      <c r="B25" s="13">
        <f>B13+B24</f>
        <v>823.72669999999994</v>
      </c>
      <c r="C25" s="13">
        <f>C13+C24</f>
        <v>2026.0299999999997</v>
      </c>
      <c r="D25" s="13">
        <f t="shared" ref="D25:E25" si="1">D13+D24</f>
        <v>3937.54</v>
      </c>
      <c r="E25" s="13">
        <f t="shared" si="1"/>
        <v>9416.9</v>
      </c>
    </row>
    <row r="26" spans="1:5" x14ac:dyDescent="0.3">
      <c r="A26" s="3"/>
      <c r="B26" s="12"/>
    </row>
    <row r="27" spans="1:5" x14ac:dyDescent="0.3">
      <c r="A27" s="7" t="s">
        <v>34</v>
      </c>
      <c r="B27" s="12"/>
    </row>
    <row r="28" spans="1:5" x14ac:dyDescent="0.3">
      <c r="A28" s="5" t="s">
        <v>35</v>
      </c>
      <c r="B28" s="12">
        <v>37.04</v>
      </c>
      <c r="C28">
        <v>50.48</v>
      </c>
      <c r="D28">
        <v>50.53</v>
      </c>
      <c r="E28">
        <v>52.32</v>
      </c>
    </row>
    <row r="29" spans="1:5" x14ac:dyDescent="0.3">
      <c r="A29" t="s">
        <v>36</v>
      </c>
      <c r="B29" s="12">
        <v>444.54</v>
      </c>
      <c r="C29">
        <v>1478.47</v>
      </c>
      <c r="D29">
        <v>2760.34</v>
      </c>
      <c r="E29">
        <v>6349.8</v>
      </c>
    </row>
    <row r="30" spans="1:5" x14ac:dyDescent="0.3">
      <c r="A30" s="7" t="s">
        <v>37</v>
      </c>
      <c r="B30" s="13">
        <f>SUM(B28:B29)</f>
        <v>481.58000000000004</v>
      </c>
      <c r="C30" s="13">
        <f>SUM(C28:C29)</f>
        <v>1528.95</v>
      </c>
      <c r="D30" s="13">
        <f t="shared" ref="D30:E30" si="2">SUM(D28:D29)</f>
        <v>2810.8700000000003</v>
      </c>
      <c r="E30" s="13">
        <f t="shared" si="2"/>
        <v>6402.12</v>
      </c>
    </row>
    <row r="31" spans="1:5" x14ac:dyDescent="0.3">
      <c r="A31" s="7"/>
      <c r="B31" s="12"/>
      <c r="E31" s="6"/>
    </row>
    <row r="32" spans="1:5" x14ac:dyDescent="0.3">
      <c r="A32" s="7" t="s">
        <v>38</v>
      </c>
      <c r="B32" s="12"/>
      <c r="E32" s="4"/>
    </row>
    <row r="33" spans="1:5" x14ac:dyDescent="0.3">
      <c r="A33" t="s">
        <v>39</v>
      </c>
      <c r="B33" s="12"/>
      <c r="E33" s="4"/>
    </row>
    <row r="34" spans="1:5" x14ac:dyDescent="0.3">
      <c r="A34" s="8" t="s">
        <v>40</v>
      </c>
      <c r="B34" s="12">
        <v>56.72</v>
      </c>
      <c r="C34">
        <v>0</v>
      </c>
      <c r="D34">
        <v>0</v>
      </c>
      <c r="E34">
        <v>753.91</v>
      </c>
    </row>
    <row r="35" spans="1:5" x14ac:dyDescent="0.3">
      <c r="A35" s="8" t="s">
        <v>41</v>
      </c>
      <c r="B35" s="12">
        <v>0.43</v>
      </c>
      <c r="C35">
        <v>2.19</v>
      </c>
      <c r="D35">
        <v>29.44</v>
      </c>
      <c r="E35" s="4">
        <v>35.92</v>
      </c>
    </row>
    <row r="36" spans="1:5" x14ac:dyDescent="0.3">
      <c r="A36" t="s">
        <v>42</v>
      </c>
      <c r="B36" s="12">
        <v>5.36</v>
      </c>
      <c r="C36">
        <v>22.56</v>
      </c>
      <c r="D36">
        <v>24.89</v>
      </c>
      <c r="E36">
        <v>35.01</v>
      </c>
    </row>
    <row r="37" spans="1:5" x14ac:dyDescent="0.3">
      <c r="A37" t="s">
        <v>43</v>
      </c>
      <c r="B37" s="12">
        <v>161.43</v>
      </c>
      <c r="C37">
        <v>0</v>
      </c>
      <c r="D37">
        <v>86.4</v>
      </c>
      <c r="E37">
        <v>75.72</v>
      </c>
    </row>
    <row r="38" spans="1:5" x14ac:dyDescent="0.3">
      <c r="A38" s="7" t="s">
        <v>48</v>
      </c>
      <c r="B38" s="13">
        <f>SUM(B34:B37)</f>
        <v>223.94</v>
      </c>
      <c r="C38" s="13">
        <f>SUM(C34:C37)</f>
        <v>24.75</v>
      </c>
      <c r="D38" s="13">
        <f t="shared" ref="D38:E38" si="3">SUM(D34:D37)</f>
        <v>140.73000000000002</v>
      </c>
      <c r="E38" s="13">
        <f t="shared" si="3"/>
        <v>900.56</v>
      </c>
    </row>
    <row r="39" spans="1:5" x14ac:dyDescent="0.3">
      <c r="B39" s="12"/>
    </row>
    <row r="40" spans="1:5" x14ac:dyDescent="0.3">
      <c r="A40" s="7" t="s">
        <v>44</v>
      </c>
      <c r="B40" s="12"/>
    </row>
    <row r="41" spans="1:5" x14ac:dyDescent="0.3">
      <c r="A41" t="s">
        <v>39</v>
      </c>
      <c r="B41" s="12"/>
    </row>
    <row r="42" spans="1:5" x14ac:dyDescent="0.3">
      <c r="A42" s="8" t="s">
        <v>40</v>
      </c>
      <c r="B42" s="12">
        <v>0</v>
      </c>
      <c r="C42">
        <v>0</v>
      </c>
      <c r="D42">
        <v>0</v>
      </c>
      <c r="E42">
        <v>1.84</v>
      </c>
    </row>
    <row r="43" spans="1:5" x14ac:dyDescent="0.3">
      <c r="A43" s="8" t="s">
        <v>41</v>
      </c>
      <c r="B43" s="12">
        <v>0.21</v>
      </c>
      <c r="C43">
        <v>0.61</v>
      </c>
      <c r="D43">
        <v>3.69</v>
      </c>
      <c r="E43">
        <v>3.5</v>
      </c>
    </row>
    <row r="44" spans="1:5" x14ac:dyDescent="0.3">
      <c r="A44" s="8" t="s">
        <v>9</v>
      </c>
      <c r="B44" s="12">
        <v>15.18</v>
      </c>
      <c r="C44">
        <v>74.53</v>
      </c>
      <c r="D44">
        <f>7.04+388.04</f>
        <v>395.08000000000004</v>
      </c>
      <c r="E44">
        <v>36.28</v>
      </c>
    </row>
    <row r="45" spans="1:5" x14ac:dyDescent="0.3">
      <c r="A45" s="8" t="s">
        <v>45</v>
      </c>
      <c r="B45" s="12">
        <v>74.47</v>
      </c>
      <c r="C45">
        <v>1.57</v>
      </c>
      <c r="D45">
        <v>0</v>
      </c>
      <c r="E45">
        <v>0</v>
      </c>
    </row>
    <row r="46" spans="1:5" x14ac:dyDescent="0.3">
      <c r="A46" t="s">
        <v>46</v>
      </c>
      <c r="B46" s="12">
        <v>14.42</v>
      </c>
      <c r="C46">
        <v>383.49</v>
      </c>
      <c r="D46">
        <v>308.39</v>
      </c>
      <c r="E46">
        <v>1334.43</v>
      </c>
    </row>
    <row r="47" spans="1:5" x14ac:dyDescent="0.3">
      <c r="A47" s="5" t="s">
        <v>42</v>
      </c>
      <c r="B47" s="12">
        <v>13.93</v>
      </c>
      <c r="C47">
        <v>12.13</v>
      </c>
      <c r="D47">
        <v>18.989999999999998</v>
      </c>
      <c r="E47">
        <v>21.67</v>
      </c>
    </row>
    <row r="48" spans="1:5" x14ac:dyDescent="0.3">
      <c r="A48" s="14" t="s">
        <v>54</v>
      </c>
      <c r="B48" s="12">
        <v>0</v>
      </c>
      <c r="C48">
        <v>0</v>
      </c>
      <c r="D48">
        <v>259.79000000000002</v>
      </c>
      <c r="E48">
        <v>716.5</v>
      </c>
    </row>
    <row r="49" spans="1:5" x14ac:dyDescent="0.3">
      <c r="A49" s="11" t="s">
        <v>47</v>
      </c>
      <c r="B49" s="13">
        <f>SUM(B42:B48)</f>
        <v>118.21000000000001</v>
      </c>
      <c r="C49" s="13">
        <f>SUM(C42:C48)</f>
        <v>472.33</v>
      </c>
      <c r="D49" s="13">
        <f t="shared" ref="D49:E49" si="4">SUM(D42:D48)</f>
        <v>985.94</v>
      </c>
      <c r="E49" s="13">
        <f t="shared" si="4"/>
        <v>2114.2200000000003</v>
      </c>
    </row>
    <row r="50" spans="1:5" x14ac:dyDescent="0.3">
      <c r="A50" s="7" t="s">
        <v>49</v>
      </c>
      <c r="B50" s="13">
        <f>B30+B38+B49</f>
        <v>823.73</v>
      </c>
      <c r="C50" s="13">
        <f>C30+C38+C49</f>
        <v>2026.03</v>
      </c>
      <c r="D50" s="13">
        <f t="shared" ref="D50:E50" si="5">D30+D38+D49</f>
        <v>3937.5400000000004</v>
      </c>
      <c r="E50" s="13">
        <f t="shared" si="5"/>
        <v>9416.9000000000015</v>
      </c>
    </row>
    <row r="51" spans="1:5" x14ac:dyDescent="0.3">
      <c r="E51" s="4"/>
    </row>
    <row r="52" spans="1:5" x14ac:dyDescent="0.3">
      <c r="A52" s="7" t="s">
        <v>55</v>
      </c>
      <c r="E52" s="4"/>
    </row>
    <row r="53" spans="1:5" x14ac:dyDescent="0.3">
      <c r="A53" t="s">
        <v>58</v>
      </c>
      <c r="B53">
        <v>697.5</v>
      </c>
      <c r="C53">
        <v>3392.31</v>
      </c>
      <c r="D53">
        <v>6481.01</v>
      </c>
      <c r="E53">
        <v>6626.31</v>
      </c>
    </row>
    <row r="54" spans="1:5" x14ac:dyDescent="0.3">
      <c r="A54" t="s">
        <v>57</v>
      </c>
      <c r="B54">
        <v>0</v>
      </c>
      <c r="C54">
        <v>0</v>
      </c>
      <c r="D54">
        <v>43.64</v>
      </c>
      <c r="E54">
        <v>95.09</v>
      </c>
    </row>
    <row r="55" spans="1:5" x14ac:dyDescent="0.3">
      <c r="A55" s="5" t="s">
        <v>59</v>
      </c>
      <c r="B55">
        <v>29.75</v>
      </c>
      <c r="C55">
        <v>74.459999999999994</v>
      </c>
      <c r="D55">
        <v>49.95</v>
      </c>
      <c r="E55" s="5">
        <v>51.22</v>
      </c>
    </row>
    <row r="56" spans="1:5" x14ac:dyDescent="0.3">
      <c r="A56" s="5" t="s">
        <v>60</v>
      </c>
      <c r="B56" s="7">
        <f t="shared" ref="B56:D56" si="6">SUM(B53:B55)</f>
        <v>727.25</v>
      </c>
      <c r="C56" s="7">
        <f>SUM(C53:C55)</f>
        <v>3466.77</v>
      </c>
      <c r="D56" s="7">
        <f t="shared" si="6"/>
        <v>6574.6</v>
      </c>
      <c r="E56" s="7">
        <f>SUM(E53:E55)</f>
        <v>6772.6200000000008</v>
      </c>
    </row>
    <row r="58" spans="1:5" x14ac:dyDescent="0.3">
      <c r="A58" s="7" t="s">
        <v>61</v>
      </c>
    </row>
    <row r="59" spans="1:5" x14ac:dyDescent="0.3">
      <c r="A59" t="s">
        <v>62</v>
      </c>
      <c r="B59">
        <v>373.27</v>
      </c>
      <c r="C59">
        <v>504.35</v>
      </c>
      <c r="D59">
        <v>536.62</v>
      </c>
      <c r="E59">
        <v>533.41</v>
      </c>
    </row>
    <row r="60" spans="1:5" x14ac:dyDescent="0.3">
      <c r="A60" s="5" t="s">
        <v>63</v>
      </c>
      <c r="C60">
        <v>0</v>
      </c>
      <c r="D60">
        <v>370.23</v>
      </c>
      <c r="E60" s="5">
        <v>182.24</v>
      </c>
    </row>
    <row r="61" spans="1:5" x14ac:dyDescent="0.3">
      <c r="A61" s="5" t="s">
        <v>64</v>
      </c>
      <c r="B61">
        <v>-60.4</v>
      </c>
      <c r="C61">
        <v>35.78</v>
      </c>
      <c r="D61">
        <v>-14.89</v>
      </c>
      <c r="E61" s="5">
        <v>90.41</v>
      </c>
    </row>
    <row r="62" spans="1:5" x14ac:dyDescent="0.3">
      <c r="A62" s="5" t="s">
        <v>65</v>
      </c>
      <c r="B62">
        <v>18.350000000000001</v>
      </c>
      <c r="C62">
        <v>54.26</v>
      </c>
      <c r="D62">
        <v>117.76</v>
      </c>
      <c r="E62">
        <v>163.27000000000001</v>
      </c>
    </row>
    <row r="63" spans="1:5" x14ac:dyDescent="0.3">
      <c r="A63" s="5" t="s">
        <v>66</v>
      </c>
      <c r="B63">
        <v>18.14</v>
      </c>
      <c r="C63">
        <v>65.040000000000006</v>
      </c>
      <c r="D63">
        <v>5.68</v>
      </c>
      <c r="E63">
        <v>27.22</v>
      </c>
    </row>
    <row r="64" spans="1:5" x14ac:dyDescent="0.3">
      <c r="A64" s="5" t="s">
        <v>67</v>
      </c>
      <c r="B64">
        <v>17.98</v>
      </c>
      <c r="C64">
        <v>23</v>
      </c>
      <c r="D64">
        <v>48.99</v>
      </c>
      <c r="E64">
        <v>80.8</v>
      </c>
    </row>
    <row r="65" spans="1:5" x14ac:dyDescent="0.3">
      <c r="A65" s="5" t="s">
        <v>68</v>
      </c>
      <c r="B65">
        <v>0</v>
      </c>
      <c r="C65">
        <v>0</v>
      </c>
      <c r="D65">
        <v>3239.77</v>
      </c>
      <c r="E65">
        <v>3323.96</v>
      </c>
    </row>
    <row r="66" spans="1:5" x14ac:dyDescent="0.3">
      <c r="A66" s="5" t="s">
        <v>69</v>
      </c>
      <c r="B66">
        <v>220.74</v>
      </c>
      <c r="C66">
        <v>1987.62</v>
      </c>
      <c r="D66">
        <v>543.9</v>
      </c>
      <c r="E66" s="5">
        <v>475.2</v>
      </c>
    </row>
    <row r="67" spans="1:5" x14ac:dyDescent="0.3">
      <c r="A67" s="3" t="s">
        <v>70</v>
      </c>
      <c r="B67" s="3">
        <f t="shared" ref="B67:D67" si="7">SUM(B59:B66)</f>
        <v>588.08000000000004</v>
      </c>
      <c r="C67" s="3">
        <f t="shared" si="7"/>
        <v>2670.0499999999997</v>
      </c>
      <c r="D67" s="3">
        <f t="shared" si="7"/>
        <v>4848.0599999999995</v>
      </c>
      <c r="E67" s="3">
        <f>SUM(E59:E66)</f>
        <v>4876.5099999999993</v>
      </c>
    </row>
    <row r="69" spans="1:5" x14ac:dyDescent="0.3">
      <c r="A69" s="3" t="s">
        <v>71</v>
      </c>
      <c r="B69" s="3">
        <f t="shared" ref="B69:D69" si="8">B56-B67</f>
        <v>139.16999999999996</v>
      </c>
      <c r="C69" s="3">
        <f t="shared" si="8"/>
        <v>796.72000000000025</v>
      </c>
      <c r="D69" s="3">
        <f t="shared" si="8"/>
        <v>1726.5400000000009</v>
      </c>
      <c r="E69" s="3">
        <f>E56-E67</f>
        <v>1896.1100000000015</v>
      </c>
    </row>
    <row r="70" spans="1:5" x14ac:dyDescent="0.3">
      <c r="A70" t="s">
        <v>72</v>
      </c>
      <c r="B70">
        <v>51.36</v>
      </c>
      <c r="C70">
        <v>1194.4000000000001</v>
      </c>
      <c r="D70">
        <v>0</v>
      </c>
      <c r="E70">
        <v>0</v>
      </c>
    </row>
    <row r="71" spans="1:5" x14ac:dyDescent="0.3">
      <c r="A71" s="3" t="s">
        <v>73</v>
      </c>
      <c r="B71" s="7">
        <f t="shared" ref="B71:D71" si="9">B69-B70</f>
        <v>87.80999999999996</v>
      </c>
      <c r="C71" s="7">
        <f t="shared" si="9"/>
        <v>-397.67999999999984</v>
      </c>
      <c r="D71" s="7">
        <f t="shared" si="9"/>
        <v>1726.5400000000009</v>
      </c>
      <c r="E71" s="7">
        <f>E69-E70</f>
        <v>1896.1100000000015</v>
      </c>
    </row>
    <row r="72" spans="1:5" x14ac:dyDescent="0.3">
      <c r="A72" t="s">
        <v>74</v>
      </c>
      <c r="B72">
        <v>0</v>
      </c>
      <c r="C72">
        <v>0</v>
      </c>
      <c r="D72">
        <v>-259.77999999999997</v>
      </c>
      <c r="E72">
        <v>-456.72</v>
      </c>
    </row>
    <row r="73" spans="1:5" x14ac:dyDescent="0.3">
      <c r="A73" s="5" t="s">
        <v>75</v>
      </c>
      <c r="B73">
        <v>9.51</v>
      </c>
      <c r="C73">
        <v>109.14</v>
      </c>
      <c r="D73">
        <v>-223.82</v>
      </c>
      <c r="E73">
        <v>10.53</v>
      </c>
    </row>
    <row r="74" spans="1:5" x14ac:dyDescent="0.3">
      <c r="A74" s="3" t="s">
        <v>76</v>
      </c>
      <c r="B74" s="7">
        <f t="shared" ref="B74:D74" si="10">B71+B72+B73</f>
        <v>97.319999999999965</v>
      </c>
      <c r="C74" s="7">
        <f t="shared" si="10"/>
        <v>-288.53999999999985</v>
      </c>
      <c r="D74" s="7">
        <f t="shared" si="10"/>
        <v>1242.940000000001</v>
      </c>
      <c r="E74" s="7">
        <f>E71+E72+E73</f>
        <v>1449.9200000000014</v>
      </c>
    </row>
    <row r="78" spans="1:5" x14ac:dyDescent="0.3">
      <c r="E78" s="4"/>
    </row>
    <row r="79" spans="1:5" x14ac:dyDescent="0.3">
      <c r="A79" s="3"/>
      <c r="B79" s="3"/>
    </row>
    <row r="85" spans="5:5" x14ac:dyDescent="0.3">
      <c r="E85" s="4"/>
    </row>
    <row r="86" spans="5:5" x14ac:dyDescent="0.3">
      <c r="E86" s="4"/>
    </row>
    <row r="87" spans="5:5" x14ac:dyDescent="0.3">
      <c r="E87" s="4"/>
    </row>
    <row r="90" spans="5:5" x14ac:dyDescent="0.3">
      <c r="E90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Dashboard</vt:lpstr>
      <vt:lpstr>Summary</vt:lpstr>
      <vt:lpstr>Financials-&gt;</vt:lpstr>
      <vt:lpstr>Financials</vt:lpstr>
      <vt:lpstr>Assumptions</vt:lpstr>
      <vt:lpstr>Schedule</vt:lpstr>
      <vt:lpstr>Valuation-&gt;</vt:lpstr>
      <vt:lpstr>DCF</vt:lpstr>
      <vt:lpstr>WACC</vt:lpstr>
      <vt:lpstr>Beta</vt:lpstr>
      <vt:lpstr>Comps</vt:lpstr>
      <vt:lpstr>Ratio Analysis</vt:lpstr>
      <vt:lpstr>Analysis</vt:lpstr>
      <vt:lpstr>Data-&gt;</vt:lpstr>
      <vt:lpstr>Input</vt:lpstr>
      <vt:lpstr>days</vt:lpstr>
      <vt:lpstr>tgr</vt:lpstr>
      <vt:lpstr>tgrth1</vt:lpstr>
      <vt:lpstr>wacc</vt:lpstr>
      <vt:lpstr>wacc1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2026-03-22T07:01:22Z</dcterms:created>
  <dcterms:modified xsi:type="dcterms:W3CDTF">2026-03-25T11:38:59Z</dcterms:modified>
</cp:coreProperties>
</file>