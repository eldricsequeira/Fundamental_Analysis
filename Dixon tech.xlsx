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DCF\"/>
    </mc:Choice>
  </mc:AlternateContent>
  <xr:revisionPtr revIDLastSave="0" documentId="13_ncr:1_{F11F7BF7-346F-430C-A182-B8E9BD4CC622}" xr6:coauthVersionLast="47" xr6:coauthVersionMax="47" xr10:uidLastSave="{00000000-0000-0000-0000-000000000000}"/>
  <bookViews>
    <workbookView xWindow="-108" yWindow="-108" windowWidth="23256" windowHeight="13176" xr2:uid="{733B8668-ED58-4884-8B35-CA29C39E091C}"/>
  </bookViews>
  <sheets>
    <sheet name="DCF_Model" sheetId="2" r:id="rId1"/>
    <sheet name="WACC" sheetId="3" r:id="rId2"/>
    <sheet name="Data" sheetId="1" r:id="rId3"/>
  </sheets>
  <definedNames>
    <definedName name="_xlnm.Print_Area" localSheetId="0">DCF_Model!$B$2:$P$185</definedName>
    <definedName name="tgr">DCF_Model!$D$31</definedName>
    <definedName name="wacc">DCF_Model!$D$30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8" i="2" l="1"/>
  <c r="D28" i="2" l="1"/>
  <c r="L34" i="2"/>
  <c r="J15" i="2"/>
  <c r="E176" i="2"/>
  <c r="F176" i="2" s="1"/>
  <c r="G176" i="2" s="1"/>
  <c r="H176" i="2" s="1"/>
  <c r="C181" i="2"/>
  <c r="C180" i="2" s="1"/>
  <c r="C178" i="2" s="1"/>
  <c r="C177" i="2" s="1"/>
  <c r="O164" i="2"/>
  <c r="O163" i="2"/>
  <c r="E18" i="3"/>
  <c r="E22" i="3"/>
  <c r="E20" i="3"/>
  <c r="J14" i="3"/>
  <c r="J15" i="3"/>
  <c r="J17" i="3" s="1"/>
  <c r="P34" i="2" l="1"/>
  <c r="D31" i="2"/>
  <c r="O102" i="2"/>
  <c r="K74" i="2"/>
  <c r="K88" i="2"/>
  <c r="O81" i="2"/>
  <c r="K102" i="2"/>
  <c r="O95" i="2"/>
  <c r="K81" i="2"/>
  <c r="O74" i="2"/>
  <c r="K95" i="2"/>
  <c r="O88" i="2"/>
  <c r="H34" i="2"/>
  <c r="D30" i="2" s="1"/>
  <c r="J18" i="3"/>
  <c r="J13" i="3"/>
  <c r="E17" i="3"/>
  <c r="D37" i="1"/>
  <c r="H37" i="1"/>
  <c r="D38" i="1"/>
  <c r="H38" i="1"/>
  <c r="D39" i="1"/>
  <c r="H39" i="1"/>
  <c r="D40" i="1"/>
  <c r="H40" i="1"/>
  <c r="D41" i="1"/>
  <c r="H41" i="1"/>
  <c r="D42" i="1"/>
  <c r="H42" i="1"/>
  <c r="D43" i="1"/>
  <c r="H43" i="1"/>
  <c r="D44" i="1"/>
  <c r="H44" i="1"/>
  <c r="D45" i="1"/>
  <c r="H45" i="1"/>
  <c r="D46" i="1"/>
  <c r="H46" i="1"/>
  <c r="D47" i="1"/>
  <c r="H47" i="1"/>
  <c r="D48" i="1"/>
  <c r="H48" i="1"/>
  <c r="D49" i="1"/>
  <c r="H49" i="1"/>
  <c r="D50" i="1"/>
  <c r="H50" i="1"/>
  <c r="D51" i="1"/>
  <c r="H51" i="1"/>
  <c r="D52" i="1"/>
  <c r="H52" i="1"/>
  <c r="D53" i="1"/>
  <c r="H53" i="1"/>
  <c r="D54" i="1"/>
  <c r="H54" i="1"/>
  <c r="D55" i="1"/>
  <c r="H55" i="1"/>
  <c r="D56" i="1"/>
  <c r="H56" i="1"/>
  <c r="D57" i="1"/>
  <c r="H57" i="1"/>
  <c r="D58" i="1"/>
  <c r="H58" i="1"/>
  <c r="D59" i="1"/>
  <c r="H59" i="1"/>
  <c r="D60" i="1"/>
  <c r="H60" i="1"/>
  <c r="D61" i="1"/>
  <c r="H61" i="1"/>
  <c r="D62" i="1"/>
  <c r="H62" i="1"/>
  <c r="D63" i="1"/>
  <c r="H63" i="1"/>
  <c r="D64" i="1"/>
  <c r="H64" i="1"/>
  <c r="D65" i="1"/>
  <c r="H65" i="1"/>
  <c r="D66" i="1"/>
  <c r="H66" i="1"/>
  <c r="D67" i="1"/>
  <c r="H67" i="1"/>
  <c r="D68" i="1"/>
  <c r="H68" i="1"/>
  <c r="D69" i="1"/>
  <c r="H69" i="1"/>
  <c r="D70" i="1"/>
  <c r="H70" i="1"/>
  <c r="D71" i="1"/>
  <c r="H71" i="1"/>
  <c r="D72" i="1"/>
  <c r="H72" i="1"/>
  <c r="D73" i="1"/>
  <c r="H73" i="1"/>
  <c r="D74" i="1"/>
  <c r="H74" i="1"/>
  <c r="D75" i="1"/>
  <c r="H75" i="1"/>
  <c r="D76" i="1"/>
  <c r="H76" i="1"/>
  <c r="D77" i="1"/>
  <c r="H77" i="1"/>
  <c r="D78" i="1"/>
  <c r="H78" i="1"/>
  <c r="D79" i="1"/>
  <c r="H79" i="1"/>
  <c r="D80" i="1"/>
  <c r="H80" i="1"/>
  <c r="D81" i="1"/>
  <c r="H81" i="1"/>
  <c r="D82" i="1"/>
  <c r="H82" i="1"/>
  <c r="D83" i="1"/>
  <c r="H83" i="1"/>
  <c r="D84" i="1"/>
  <c r="H84" i="1"/>
  <c r="D85" i="1"/>
  <c r="H85" i="1"/>
  <c r="D86" i="1"/>
  <c r="H86" i="1"/>
  <c r="D87" i="1"/>
  <c r="H87" i="1"/>
  <c r="D88" i="1"/>
  <c r="H88" i="1"/>
  <c r="D89" i="1"/>
  <c r="H89" i="1"/>
  <c r="D90" i="1"/>
  <c r="H90" i="1"/>
  <c r="D91" i="1"/>
  <c r="H91" i="1"/>
  <c r="D92" i="1"/>
  <c r="H92" i="1"/>
  <c r="D93" i="1"/>
  <c r="H93" i="1"/>
  <c r="D94" i="1"/>
  <c r="H94" i="1"/>
  <c r="D95" i="1"/>
  <c r="H95" i="1"/>
  <c r="D96" i="1"/>
  <c r="H96" i="1"/>
  <c r="D97" i="1"/>
  <c r="H97" i="1"/>
  <c r="D98" i="1"/>
  <c r="H98" i="1"/>
  <c r="D99" i="1"/>
  <c r="H99" i="1"/>
  <c r="D100" i="1"/>
  <c r="H100" i="1"/>
  <c r="D101" i="1"/>
  <c r="H101" i="1"/>
  <c r="D102" i="1"/>
  <c r="H102" i="1"/>
  <c r="D103" i="1"/>
  <c r="H103" i="1"/>
  <c r="D104" i="1"/>
  <c r="H104" i="1"/>
  <c r="D105" i="1"/>
  <c r="H105" i="1"/>
  <c r="D106" i="1"/>
  <c r="H106" i="1"/>
  <c r="D107" i="1"/>
  <c r="H107" i="1"/>
  <c r="D108" i="1"/>
  <c r="H108" i="1"/>
  <c r="D109" i="1"/>
  <c r="H109" i="1"/>
  <c r="D110" i="1"/>
  <c r="H110" i="1"/>
  <c r="D111" i="1"/>
  <c r="H111" i="1"/>
  <c r="D112" i="1"/>
  <c r="H112" i="1"/>
  <c r="D113" i="1"/>
  <c r="H113" i="1"/>
  <c r="D114" i="1"/>
  <c r="H114" i="1"/>
  <c r="D115" i="1"/>
  <c r="H115" i="1"/>
  <c r="D116" i="1"/>
  <c r="H116" i="1"/>
  <c r="D117" i="1"/>
  <c r="H117" i="1"/>
  <c r="D118" i="1"/>
  <c r="H118" i="1"/>
  <c r="D119" i="1"/>
  <c r="H119" i="1"/>
  <c r="D120" i="1"/>
  <c r="H120" i="1"/>
  <c r="D121" i="1"/>
  <c r="H121" i="1"/>
  <c r="D122" i="1"/>
  <c r="H122" i="1"/>
  <c r="D123" i="1"/>
  <c r="H123" i="1"/>
  <c r="D124" i="1"/>
  <c r="H124" i="1"/>
  <c r="D125" i="1"/>
  <c r="H125" i="1"/>
  <c r="D126" i="1"/>
  <c r="H126" i="1"/>
  <c r="D127" i="1"/>
  <c r="H127" i="1"/>
  <c r="D128" i="1"/>
  <c r="H128" i="1"/>
  <c r="D129" i="1"/>
  <c r="H129" i="1"/>
  <c r="D130" i="1"/>
  <c r="H130" i="1"/>
  <c r="D131" i="1"/>
  <c r="H131" i="1"/>
  <c r="D132" i="1"/>
  <c r="H132" i="1"/>
  <c r="D133" i="1"/>
  <c r="H133" i="1"/>
  <c r="D134" i="1"/>
  <c r="H134" i="1"/>
  <c r="D135" i="1"/>
  <c r="H135" i="1"/>
  <c r="D136" i="1"/>
  <c r="H136" i="1"/>
  <c r="D137" i="1"/>
  <c r="H137" i="1"/>
  <c r="D138" i="1"/>
  <c r="H138" i="1"/>
  <c r="D139" i="1"/>
  <c r="H139" i="1"/>
  <c r="D140" i="1"/>
  <c r="H140" i="1"/>
  <c r="D141" i="1"/>
  <c r="H141" i="1"/>
  <c r="D142" i="1"/>
  <c r="H142" i="1"/>
  <c r="D143" i="1"/>
  <c r="H143" i="1"/>
  <c r="D144" i="1"/>
  <c r="H144" i="1"/>
  <c r="D145" i="1"/>
  <c r="H145" i="1"/>
  <c r="D146" i="1"/>
  <c r="H146" i="1"/>
  <c r="D147" i="1"/>
  <c r="H147" i="1"/>
  <c r="D148" i="1"/>
  <c r="H148" i="1"/>
  <c r="D149" i="1"/>
  <c r="H149" i="1"/>
  <c r="D150" i="1"/>
  <c r="H150" i="1"/>
  <c r="D151" i="1"/>
  <c r="H151" i="1"/>
  <c r="D152" i="1"/>
  <c r="H152" i="1"/>
  <c r="D153" i="1"/>
  <c r="H153" i="1"/>
  <c r="D154" i="1"/>
  <c r="H154" i="1"/>
  <c r="D155" i="1"/>
  <c r="H155" i="1"/>
  <c r="D156" i="1"/>
  <c r="H156" i="1"/>
  <c r="D157" i="1"/>
  <c r="H157" i="1"/>
  <c r="D158" i="1"/>
  <c r="H158" i="1"/>
  <c r="D159" i="1"/>
  <c r="H159" i="1"/>
  <c r="D160" i="1"/>
  <c r="H160" i="1"/>
  <c r="D161" i="1"/>
  <c r="H161" i="1"/>
  <c r="D162" i="1"/>
  <c r="H162" i="1"/>
  <c r="D163" i="1"/>
  <c r="H163" i="1"/>
  <c r="D164" i="1"/>
  <c r="H164" i="1"/>
  <c r="D165" i="1"/>
  <c r="H165" i="1"/>
  <c r="D166" i="1"/>
  <c r="H166" i="1"/>
  <c r="D167" i="1"/>
  <c r="H167" i="1"/>
  <c r="D168" i="1"/>
  <c r="H168" i="1"/>
  <c r="D169" i="1"/>
  <c r="H169" i="1"/>
  <c r="D170" i="1"/>
  <c r="H170" i="1"/>
  <c r="D171" i="1"/>
  <c r="H171" i="1"/>
  <c r="D172" i="1"/>
  <c r="H172" i="1"/>
  <c r="D173" i="1"/>
  <c r="H173" i="1"/>
  <c r="D174" i="1"/>
  <c r="H174" i="1"/>
  <c r="D175" i="1"/>
  <c r="H175" i="1"/>
  <c r="D176" i="1"/>
  <c r="H176" i="1"/>
  <c r="D177" i="1"/>
  <c r="H177" i="1"/>
  <c r="D178" i="1"/>
  <c r="H178" i="1"/>
  <c r="D179" i="1"/>
  <c r="H179" i="1"/>
  <c r="D180" i="1"/>
  <c r="H180" i="1"/>
  <c r="D181" i="1"/>
  <c r="H181" i="1"/>
  <c r="D182" i="1"/>
  <c r="H182" i="1"/>
  <c r="D183" i="1"/>
  <c r="H183" i="1"/>
  <c r="D184" i="1"/>
  <c r="H184" i="1"/>
  <c r="D185" i="1"/>
  <c r="H185" i="1"/>
  <c r="D186" i="1"/>
  <c r="H186" i="1"/>
  <c r="D187" i="1"/>
  <c r="H187" i="1"/>
  <c r="D188" i="1"/>
  <c r="H188" i="1"/>
  <c r="D189" i="1"/>
  <c r="H189" i="1"/>
  <c r="D190" i="1"/>
  <c r="H190" i="1"/>
  <c r="D191" i="1"/>
  <c r="H191" i="1"/>
  <c r="D192" i="1"/>
  <c r="H192" i="1"/>
  <c r="D193" i="1"/>
  <c r="H193" i="1"/>
  <c r="D194" i="1"/>
  <c r="H194" i="1"/>
  <c r="D195" i="1"/>
  <c r="H195" i="1"/>
  <c r="D196" i="1"/>
  <c r="H196" i="1"/>
  <c r="D197" i="1"/>
  <c r="H197" i="1"/>
  <c r="D198" i="1"/>
  <c r="H198" i="1"/>
  <c r="D199" i="1"/>
  <c r="H199" i="1"/>
  <c r="D200" i="1"/>
  <c r="H200" i="1"/>
  <c r="D201" i="1"/>
  <c r="H201" i="1"/>
  <c r="D202" i="1"/>
  <c r="H202" i="1"/>
  <c r="D203" i="1"/>
  <c r="H203" i="1"/>
  <c r="D204" i="1"/>
  <c r="H204" i="1"/>
  <c r="D205" i="1"/>
  <c r="H205" i="1"/>
  <c r="D206" i="1"/>
  <c r="H206" i="1"/>
  <c r="D207" i="1"/>
  <c r="H207" i="1"/>
  <c r="D208" i="1"/>
  <c r="H208" i="1"/>
  <c r="D209" i="1"/>
  <c r="H209" i="1"/>
  <c r="D210" i="1"/>
  <c r="H210" i="1"/>
  <c r="D211" i="1"/>
  <c r="H211" i="1"/>
  <c r="D212" i="1"/>
  <c r="H212" i="1"/>
  <c r="D213" i="1"/>
  <c r="H213" i="1"/>
  <c r="D214" i="1"/>
  <c r="H214" i="1"/>
  <c r="D215" i="1"/>
  <c r="H215" i="1"/>
  <c r="D216" i="1"/>
  <c r="H216" i="1"/>
  <c r="D217" i="1"/>
  <c r="H217" i="1"/>
  <c r="D218" i="1"/>
  <c r="H218" i="1"/>
  <c r="D219" i="1"/>
  <c r="H219" i="1"/>
  <c r="D220" i="1"/>
  <c r="H220" i="1"/>
  <c r="D221" i="1"/>
  <c r="H221" i="1"/>
  <c r="D222" i="1"/>
  <c r="H222" i="1"/>
  <c r="D223" i="1"/>
  <c r="H223" i="1"/>
  <c r="D224" i="1"/>
  <c r="H224" i="1"/>
  <c r="D225" i="1"/>
  <c r="H225" i="1"/>
  <c r="D226" i="1"/>
  <c r="H226" i="1"/>
  <c r="D227" i="1"/>
  <c r="H227" i="1"/>
  <c r="D228" i="1"/>
  <c r="H228" i="1"/>
  <c r="D229" i="1"/>
  <c r="H229" i="1"/>
  <c r="D230" i="1"/>
  <c r="H230" i="1"/>
  <c r="D231" i="1"/>
  <c r="H231" i="1"/>
  <c r="D232" i="1"/>
  <c r="H232" i="1"/>
  <c r="D233" i="1"/>
  <c r="H233" i="1"/>
  <c r="D234" i="1"/>
  <c r="H234" i="1"/>
  <c r="D235" i="1"/>
  <c r="H235" i="1"/>
  <c r="D236" i="1"/>
  <c r="H236" i="1"/>
  <c r="D237" i="1"/>
  <c r="H237" i="1"/>
  <c r="D238" i="1"/>
  <c r="H238" i="1"/>
  <c r="D239" i="1"/>
  <c r="H239" i="1"/>
  <c r="D240" i="1"/>
  <c r="H240" i="1"/>
  <c r="D241" i="1"/>
  <c r="H241" i="1"/>
  <c r="D242" i="1"/>
  <c r="H242" i="1"/>
  <c r="D243" i="1"/>
  <c r="H243" i="1"/>
  <c r="D244" i="1"/>
  <c r="H244" i="1"/>
  <c r="D245" i="1"/>
  <c r="H245" i="1"/>
  <c r="D246" i="1"/>
  <c r="H246" i="1"/>
  <c r="D247" i="1"/>
  <c r="H247" i="1"/>
  <c r="D248" i="1"/>
  <c r="H248" i="1"/>
  <c r="D249" i="1"/>
  <c r="H249" i="1"/>
  <c r="D250" i="1"/>
  <c r="H250" i="1"/>
  <c r="D251" i="1"/>
  <c r="H251" i="1"/>
  <c r="D252" i="1"/>
  <c r="H252" i="1"/>
  <c r="D253" i="1"/>
  <c r="H253" i="1"/>
  <c r="D254" i="1"/>
  <c r="H254" i="1"/>
  <c r="D255" i="1"/>
  <c r="H255" i="1"/>
  <c r="D256" i="1"/>
  <c r="H256" i="1"/>
  <c r="D257" i="1"/>
  <c r="H257" i="1"/>
  <c r="D258" i="1"/>
  <c r="H258" i="1"/>
  <c r="D259" i="1"/>
  <c r="H259" i="1"/>
  <c r="D260" i="1"/>
  <c r="H260" i="1"/>
  <c r="D261" i="1"/>
  <c r="H261" i="1"/>
  <c r="D262" i="1"/>
  <c r="H262" i="1"/>
  <c r="D263" i="1"/>
  <c r="H263" i="1"/>
  <c r="D264" i="1"/>
  <c r="H264" i="1"/>
  <c r="D265" i="1"/>
  <c r="H265" i="1"/>
  <c r="D266" i="1"/>
  <c r="H266" i="1"/>
  <c r="D267" i="1"/>
  <c r="H267" i="1"/>
  <c r="D268" i="1"/>
  <c r="H268" i="1"/>
  <c r="D269" i="1"/>
  <c r="H269" i="1"/>
  <c r="D270" i="1"/>
  <c r="H270" i="1"/>
  <c r="D271" i="1"/>
  <c r="H271" i="1"/>
  <c r="D272" i="1"/>
  <c r="H272" i="1"/>
  <c r="D273" i="1"/>
  <c r="H273" i="1"/>
  <c r="D274" i="1"/>
  <c r="H274" i="1"/>
  <c r="D275" i="1"/>
  <c r="H275" i="1"/>
  <c r="D276" i="1"/>
  <c r="H276" i="1"/>
  <c r="D277" i="1"/>
  <c r="H277" i="1"/>
  <c r="D278" i="1"/>
  <c r="H278" i="1"/>
  <c r="D279" i="1"/>
  <c r="H279" i="1"/>
  <c r="D280" i="1"/>
  <c r="H280" i="1"/>
  <c r="D281" i="1"/>
  <c r="H281" i="1"/>
  <c r="D282" i="1"/>
  <c r="H282" i="1"/>
  <c r="D283" i="1"/>
  <c r="H283" i="1"/>
  <c r="D284" i="1"/>
  <c r="H284" i="1"/>
  <c r="D285" i="1"/>
  <c r="H285" i="1"/>
  <c r="D286" i="1"/>
  <c r="H286" i="1"/>
  <c r="D287" i="1"/>
  <c r="H287" i="1"/>
  <c r="D288" i="1"/>
  <c r="H288" i="1"/>
  <c r="D289" i="1"/>
  <c r="H289" i="1"/>
  <c r="D290" i="1"/>
  <c r="H290" i="1"/>
  <c r="D291" i="1"/>
  <c r="H291" i="1"/>
  <c r="D292" i="1"/>
  <c r="H292" i="1"/>
  <c r="D293" i="1"/>
  <c r="H293" i="1"/>
  <c r="D294" i="1"/>
  <c r="H294" i="1"/>
  <c r="D295" i="1"/>
  <c r="H295" i="1"/>
  <c r="D296" i="1"/>
  <c r="H296" i="1"/>
  <c r="D297" i="1"/>
  <c r="H297" i="1"/>
  <c r="D298" i="1"/>
  <c r="H298" i="1"/>
  <c r="D299" i="1"/>
  <c r="H299" i="1"/>
  <c r="D300" i="1"/>
  <c r="H300" i="1"/>
  <c r="D301" i="1"/>
  <c r="H301" i="1"/>
  <c r="D302" i="1"/>
  <c r="H302" i="1"/>
  <c r="D303" i="1"/>
  <c r="H303" i="1"/>
  <c r="D304" i="1"/>
  <c r="H304" i="1"/>
  <c r="D305" i="1"/>
  <c r="H305" i="1"/>
  <c r="D306" i="1"/>
  <c r="H306" i="1"/>
  <c r="D307" i="1"/>
  <c r="H307" i="1"/>
  <c r="D308" i="1"/>
  <c r="H308" i="1"/>
  <c r="D309" i="1"/>
  <c r="H309" i="1"/>
  <c r="D310" i="1"/>
  <c r="H310" i="1"/>
  <c r="D311" i="1"/>
  <c r="H311" i="1"/>
  <c r="D312" i="1"/>
  <c r="H312" i="1"/>
  <c r="D313" i="1"/>
  <c r="H313" i="1"/>
  <c r="D314" i="1"/>
  <c r="H314" i="1"/>
  <c r="D315" i="1"/>
  <c r="H315" i="1"/>
  <c r="D316" i="1"/>
  <c r="H316" i="1"/>
  <c r="D317" i="1"/>
  <c r="H317" i="1"/>
  <c r="D318" i="1"/>
  <c r="H318" i="1"/>
  <c r="D319" i="1"/>
  <c r="H319" i="1"/>
  <c r="D320" i="1"/>
  <c r="H320" i="1"/>
  <c r="D321" i="1"/>
  <c r="H321" i="1"/>
  <c r="D322" i="1"/>
  <c r="H322" i="1"/>
  <c r="D323" i="1"/>
  <c r="H323" i="1"/>
  <c r="D324" i="1"/>
  <c r="H324" i="1"/>
  <c r="D325" i="1"/>
  <c r="H325" i="1"/>
  <c r="D326" i="1"/>
  <c r="H326" i="1"/>
  <c r="D327" i="1"/>
  <c r="H327" i="1"/>
  <c r="D328" i="1"/>
  <c r="H328" i="1"/>
  <c r="D329" i="1"/>
  <c r="H329" i="1"/>
  <c r="D330" i="1"/>
  <c r="H330" i="1"/>
  <c r="D331" i="1"/>
  <c r="H331" i="1"/>
  <c r="D332" i="1"/>
  <c r="H332" i="1"/>
  <c r="D333" i="1"/>
  <c r="H333" i="1"/>
  <c r="D334" i="1"/>
  <c r="H334" i="1"/>
  <c r="D335" i="1"/>
  <c r="H335" i="1"/>
  <c r="D336" i="1"/>
  <c r="H336" i="1"/>
  <c r="D337" i="1"/>
  <c r="H337" i="1"/>
  <c r="D338" i="1"/>
  <c r="H338" i="1"/>
  <c r="D339" i="1"/>
  <c r="H339" i="1"/>
  <c r="D340" i="1"/>
  <c r="H340" i="1"/>
  <c r="D341" i="1"/>
  <c r="H341" i="1"/>
  <c r="D342" i="1"/>
  <c r="H342" i="1"/>
  <c r="D343" i="1"/>
  <c r="H343" i="1"/>
  <c r="D344" i="1"/>
  <c r="H344" i="1"/>
  <c r="D345" i="1"/>
  <c r="H345" i="1"/>
  <c r="D346" i="1"/>
  <c r="H346" i="1"/>
  <c r="D347" i="1"/>
  <c r="H347" i="1"/>
  <c r="D348" i="1"/>
  <c r="H348" i="1"/>
  <c r="D349" i="1"/>
  <c r="H349" i="1"/>
  <c r="D350" i="1"/>
  <c r="H350" i="1"/>
  <c r="D351" i="1"/>
  <c r="H351" i="1"/>
  <c r="D352" i="1"/>
  <c r="H352" i="1"/>
  <c r="D353" i="1"/>
  <c r="H353" i="1"/>
  <c r="D354" i="1"/>
  <c r="H354" i="1"/>
  <c r="D355" i="1"/>
  <c r="H355" i="1"/>
  <c r="D356" i="1"/>
  <c r="H356" i="1"/>
  <c r="D357" i="1"/>
  <c r="H357" i="1"/>
  <c r="D358" i="1"/>
  <c r="H358" i="1"/>
  <c r="D359" i="1"/>
  <c r="H359" i="1"/>
  <c r="D360" i="1"/>
  <c r="H360" i="1"/>
  <c r="D361" i="1"/>
  <c r="H361" i="1"/>
  <c r="D362" i="1"/>
  <c r="H362" i="1"/>
  <c r="D363" i="1"/>
  <c r="H363" i="1"/>
  <c r="D364" i="1"/>
  <c r="H364" i="1"/>
  <c r="D365" i="1"/>
  <c r="H365" i="1"/>
  <c r="D366" i="1"/>
  <c r="H366" i="1"/>
  <c r="D367" i="1"/>
  <c r="H367" i="1"/>
  <c r="D368" i="1"/>
  <c r="H368" i="1"/>
  <c r="D369" i="1"/>
  <c r="H369" i="1"/>
  <c r="D370" i="1"/>
  <c r="H370" i="1"/>
  <c r="D371" i="1"/>
  <c r="H371" i="1"/>
  <c r="D372" i="1"/>
  <c r="H372" i="1"/>
  <c r="D373" i="1"/>
  <c r="H373" i="1"/>
  <c r="D374" i="1"/>
  <c r="H374" i="1"/>
  <c r="D375" i="1"/>
  <c r="H375" i="1"/>
  <c r="D376" i="1"/>
  <c r="H376" i="1"/>
  <c r="D377" i="1"/>
  <c r="H377" i="1"/>
  <c r="D378" i="1"/>
  <c r="H378" i="1"/>
  <c r="D379" i="1"/>
  <c r="H379" i="1"/>
  <c r="D380" i="1"/>
  <c r="H380" i="1"/>
  <c r="D381" i="1"/>
  <c r="H381" i="1"/>
  <c r="D382" i="1"/>
  <c r="H382" i="1"/>
  <c r="D383" i="1"/>
  <c r="H383" i="1"/>
  <c r="D384" i="1"/>
  <c r="H384" i="1"/>
  <c r="D385" i="1"/>
  <c r="H385" i="1"/>
  <c r="D386" i="1"/>
  <c r="H386" i="1"/>
  <c r="D387" i="1"/>
  <c r="H387" i="1"/>
  <c r="D388" i="1"/>
  <c r="H388" i="1"/>
  <c r="D389" i="1"/>
  <c r="H389" i="1"/>
  <c r="D390" i="1"/>
  <c r="H390" i="1"/>
  <c r="D391" i="1"/>
  <c r="H391" i="1"/>
  <c r="D392" i="1"/>
  <c r="H392" i="1"/>
  <c r="D393" i="1"/>
  <c r="H393" i="1"/>
  <c r="D394" i="1"/>
  <c r="H394" i="1"/>
  <c r="D395" i="1"/>
  <c r="H395" i="1"/>
  <c r="D396" i="1"/>
  <c r="H396" i="1"/>
  <c r="D397" i="1"/>
  <c r="H397" i="1"/>
  <c r="D398" i="1"/>
  <c r="H398" i="1"/>
  <c r="D399" i="1"/>
  <c r="H399" i="1"/>
  <c r="D400" i="1"/>
  <c r="H400" i="1"/>
  <c r="D401" i="1"/>
  <c r="H401" i="1"/>
  <c r="D402" i="1"/>
  <c r="H402" i="1"/>
  <c r="D403" i="1"/>
  <c r="H403" i="1"/>
  <c r="D404" i="1"/>
  <c r="H404" i="1"/>
  <c r="D405" i="1"/>
  <c r="H405" i="1"/>
  <c r="D406" i="1"/>
  <c r="H406" i="1"/>
  <c r="D407" i="1"/>
  <c r="H407" i="1"/>
  <c r="D408" i="1"/>
  <c r="H408" i="1"/>
  <c r="D409" i="1"/>
  <c r="H409" i="1"/>
  <c r="D410" i="1"/>
  <c r="H410" i="1"/>
  <c r="D411" i="1"/>
  <c r="H411" i="1"/>
  <c r="D412" i="1"/>
  <c r="H412" i="1"/>
  <c r="D413" i="1"/>
  <c r="H413" i="1"/>
  <c r="D414" i="1"/>
  <c r="H414" i="1"/>
  <c r="D415" i="1"/>
  <c r="H415" i="1"/>
  <c r="D416" i="1"/>
  <c r="H416" i="1"/>
  <c r="D417" i="1"/>
  <c r="H417" i="1"/>
  <c r="D418" i="1"/>
  <c r="H418" i="1"/>
  <c r="D419" i="1"/>
  <c r="H419" i="1"/>
  <c r="D420" i="1"/>
  <c r="H420" i="1"/>
  <c r="D421" i="1"/>
  <c r="H421" i="1"/>
  <c r="D422" i="1"/>
  <c r="H422" i="1"/>
  <c r="D423" i="1"/>
  <c r="H423" i="1"/>
  <c r="D424" i="1"/>
  <c r="H424" i="1"/>
  <c r="D425" i="1"/>
  <c r="H425" i="1"/>
  <c r="D426" i="1"/>
  <c r="H426" i="1"/>
  <c r="D427" i="1"/>
  <c r="H427" i="1"/>
  <c r="D428" i="1"/>
  <c r="H428" i="1"/>
  <c r="D429" i="1"/>
  <c r="H429" i="1"/>
  <c r="D430" i="1"/>
  <c r="H430" i="1"/>
  <c r="D431" i="1"/>
  <c r="H431" i="1"/>
  <c r="D432" i="1"/>
  <c r="H432" i="1"/>
  <c r="D433" i="1"/>
  <c r="H433" i="1"/>
  <c r="D434" i="1"/>
  <c r="H434" i="1"/>
  <c r="D435" i="1"/>
  <c r="H435" i="1"/>
  <c r="D436" i="1"/>
  <c r="H436" i="1"/>
  <c r="D437" i="1"/>
  <c r="H437" i="1"/>
  <c r="D438" i="1"/>
  <c r="H438" i="1"/>
  <c r="D439" i="1"/>
  <c r="H439" i="1"/>
  <c r="D440" i="1"/>
  <c r="H440" i="1"/>
  <c r="D441" i="1"/>
  <c r="H441" i="1"/>
  <c r="D442" i="1"/>
  <c r="H442" i="1"/>
  <c r="D443" i="1"/>
  <c r="H443" i="1"/>
  <c r="D444" i="1"/>
  <c r="H444" i="1"/>
  <c r="D445" i="1"/>
  <c r="H445" i="1"/>
  <c r="D446" i="1"/>
  <c r="H446" i="1"/>
  <c r="D447" i="1"/>
  <c r="H447" i="1"/>
  <c r="D448" i="1"/>
  <c r="H448" i="1"/>
  <c r="D449" i="1"/>
  <c r="H449" i="1"/>
  <c r="D450" i="1"/>
  <c r="H450" i="1"/>
  <c r="D451" i="1"/>
  <c r="H451" i="1"/>
  <c r="D452" i="1"/>
  <c r="H452" i="1"/>
  <c r="D453" i="1"/>
  <c r="H453" i="1"/>
  <c r="D454" i="1"/>
  <c r="H454" i="1"/>
  <c r="D455" i="1"/>
  <c r="H455" i="1"/>
  <c r="D456" i="1"/>
  <c r="H456" i="1"/>
  <c r="D457" i="1"/>
  <c r="H457" i="1"/>
  <c r="D458" i="1"/>
  <c r="H458" i="1"/>
  <c r="D459" i="1"/>
  <c r="H459" i="1"/>
  <c r="D460" i="1"/>
  <c r="H460" i="1"/>
  <c r="D461" i="1"/>
  <c r="H461" i="1"/>
  <c r="D462" i="1"/>
  <c r="H462" i="1"/>
  <c r="D463" i="1"/>
  <c r="H463" i="1"/>
  <c r="D464" i="1"/>
  <c r="H464" i="1"/>
  <c r="D465" i="1"/>
  <c r="H465" i="1"/>
  <c r="D466" i="1"/>
  <c r="H466" i="1"/>
  <c r="D467" i="1"/>
  <c r="H467" i="1"/>
  <c r="D468" i="1"/>
  <c r="H468" i="1"/>
  <c r="D469" i="1"/>
  <c r="H469" i="1"/>
  <c r="D470" i="1"/>
  <c r="H470" i="1"/>
  <c r="D471" i="1"/>
  <c r="H471" i="1"/>
  <c r="D472" i="1"/>
  <c r="H472" i="1"/>
  <c r="D473" i="1"/>
  <c r="H473" i="1"/>
  <c r="D474" i="1"/>
  <c r="H474" i="1"/>
  <c r="D475" i="1"/>
  <c r="H475" i="1"/>
  <c r="D476" i="1"/>
  <c r="H476" i="1"/>
  <c r="D477" i="1"/>
  <c r="H477" i="1"/>
  <c r="G155" i="2"/>
  <c r="H155" i="2"/>
  <c r="I155" i="2"/>
  <c r="J155" i="2"/>
  <c r="F155" i="2"/>
  <c r="G153" i="2"/>
  <c r="H153" i="2"/>
  <c r="I153" i="2"/>
  <c r="J153" i="2"/>
  <c r="F153" i="2"/>
  <c r="G152" i="2"/>
  <c r="H152" i="2"/>
  <c r="I152" i="2"/>
  <c r="J152" i="2"/>
  <c r="F152" i="2"/>
  <c r="G149" i="2"/>
  <c r="H149" i="2" s="1"/>
  <c r="I149" i="2" s="1"/>
  <c r="J149" i="2" s="1"/>
  <c r="K149" i="2" s="1"/>
  <c r="L149" i="2" s="1"/>
  <c r="M149" i="2" s="1"/>
  <c r="N149" i="2" s="1"/>
  <c r="O149" i="2" s="1"/>
  <c r="F143" i="2"/>
  <c r="F154" i="2" s="1"/>
  <c r="G143" i="2"/>
  <c r="G154" i="2" s="1"/>
  <c r="I143" i="2"/>
  <c r="I154" i="2" s="1"/>
  <c r="H143" i="2"/>
  <c r="H154" i="2" s="1"/>
  <c r="J143" i="2"/>
  <c r="J154" i="2" s="1"/>
  <c r="G135" i="2"/>
  <c r="H135" i="2" s="1"/>
  <c r="I135" i="2" s="1"/>
  <c r="J135" i="2" s="1"/>
  <c r="K135" i="2" s="1"/>
  <c r="L135" i="2" s="1"/>
  <c r="M135" i="2" s="1"/>
  <c r="N135" i="2" s="1"/>
  <c r="O135" i="2" s="1"/>
  <c r="F129" i="2"/>
  <c r="F151" i="2" s="1"/>
  <c r="G129" i="2"/>
  <c r="G151" i="2" s="1"/>
  <c r="H129" i="2"/>
  <c r="H133" i="2" s="1"/>
  <c r="I129" i="2"/>
  <c r="I133" i="2" s="1"/>
  <c r="J129" i="2"/>
  <c r="J133" i="2" s="1"/>
  <c r="G122" i="2"/>
  <c r="H122" i="2"/>
  <c r="I122" i="2"/>
  <c r="J122" i="2"/>
  <c r="F122" i="2"/>
  <c r="G107" i="2"/>
  <c r="H107" i="2"/>
  <c r="I107" i="2"/>
  <c r="J107" i="2"/>
  <c r="F107" i="2"/>
  <c r="K119" i="2"/>
  <c r="K118" i="2"/>
  <c r="K117" i="2"/>
  <c r="K112" i="2"/>
  <c r="L112" i="2" s="1"/>
  <c r="M112" i="2" s="1"/>
  <c r="K111" i="2"/>
  <c r="L111" i="2" s="1"/>
  <c r="G124" i="2"/>
  <c r="H124" i="2" s="1"/>
  <c r="I124" i="2" s="1"/>
  <c r="J124" i="2" s="1"/>
  <c r="K124" i="2" s="1"/>
  <c r="L124" i="2" s="1"/>
  <c r="M124" i="2" s="1"/>
  <c r="N124" i="2" s="1"/>
  <c r="O124" i="2" s="1"/>
  <c r="J66" i="2"/>
  <c r="L105" i="2"/>
  <c r="M105" i="2" s="1"/>
  <c r="N105" i="2" s="1"/>
  <c r="L104" i="2"/>
  <c r="M104" i="2" s="1"/>
  <c r="N104" i="2" s="1"/>
  <c r="N102" i="2" s="1"/>
  <c r="L103" i="2"/>
  <c r="M103" i="2" s="1"/>
  <c r="N103" i="2" s="1"/>
  <c r="L98" i="2"/>
  <c r="M98" i="2" s="1"/>
  <c r="N98" i="2" s="1"/>
  <c r="L97" i="2"/>
  <c r="M97" i="2" s="1"/>
  <c r="N97" i="2" s="1"/>
  <c r="N95" i="2" s="1"/>
  <c r="L96" i="2"/>
  <c r="M96" i="2" s="1"/>
  <c r="N96" i="2" s="1"/>
  <c r="L91" i="2"/>
  <c r="M91" i="2" s="1"/>
  <c r="N91" i="2" s="1"/>
  <c r="L90" i="2"/>
  <c r="M90" i="2" s="1"/>
  <c r="N90" i="2" s="1"/>
  <c r="N88" i="2" s="1"/>
  <c r="L89" i="2"/>
  <c r="M89" i="2" s="1"/>
  <c r="N89" i="2" s="1"/>
  <c r="L84" i="2"/>
  <c r="M84" i="2" s="1"/>
  <c r="N84" i="2" s="1"/>
  <c r="L83" i="2"/>
  <c r="M83" i="2" s="1"/>
  <c r="N83" i="2" s="1"/>
  <c r="N81" i="2" s="1"/>
  <c r="L82" i="2"/>
  <c r="M82" i="2" s="1"/>
  <c r="N82" i="2" s="1"/>
  <c r="L77" i="2"/>
  <c r="M77" i="2" s="1"/>
  <c r="N77" i="2" s="1"/>
  <c r="L75" i="2"/>
  <c r="M75" i="2" s="1"/>
  <c r="N75" i="2" s="1"/>
  <c r="L76" i="2"/>
  <c r="M76" i="2" s="1"/>
  <c r="N76" i="2" s="1"/>
  <c r="N74" i="2" s="1"/>
  <c r="O69" i="2"/>
  <c r="N69" i="2"/>
  <c r="M69" i="2"/>
  <c r="L69" i="2"/>
  <c r="K69" i="2"/>
  <c r="O67" i="2"/>
  <c r="N67" i="2"/>
  <c r="M67" i="2"/>
  <c r="L67" i="2"/>
  <c r="K67" i="2"/>
  <c r="O63" i="2"/>
  <c r="N63" i="2"/>
  <c r="M63" i="2"/>
  <c r="L63" i="2"/>
  <c r="K63" i="2"/>
  <c r="O61" i="2"/>
  <c r="N61" i="2"/>
  <c r="M61" i="2"/>
  <c r="L61" i="2"/>
  <c r="K61" i="2"/>
  <c r="O57" i="2"/>
  <c r="N57" i="2"/>
  <c r="M57" i="2"/>
  <c r="L57" i="2"/>
  <c r="K57" i="2"/>
  <c r="O55" i="2"/>
  <c r="N55" i="2"/>
  <c r="M55" i="2"/>
  <c r="L55" i="2"/>
  <c r="K55" i="2"/>
  <c r="O51" i="2"/>
  <c r="N51" i="2"/>
  <c r="M51" i="2"/>
  <c r="L51" i="2"/>
  <c r="K51" i="2"/>
  <c r="O49" i="2"/>
  <c r="N49" i="2"/>
  <c r="M49" i="2"/>
  <c r="L49" i="2"/>
  <c r="K49" i="2"/>
  <c r="O45" i="2"/>
  <c r="N45" i="2"/>
  <c r="M45" i="2"/>
  <c r="L45" i="2"/>
  <c r="K45" i="2"/>
  <c r="O43" i="2"/>
  <c r="N43" i="2"/>
  <c r="M43" i="2"/>
  <c r="L43" i="2"/>
  <c r="K43" i="2"/>
  <c r="I66" i="2"/>
  <c r="H66" i="2"/>
  <c r="G66" i="2"/>
  <c r="G101" i="2"/>
  <c r="H101" i="2"/>
  <c r="I101" i="2"/>
  <c r="J101" i="2"/>
  <c r="K101" i="2" s="1"/>
  <c r="G94" i="2"/>
  <c r="H94" i="2"/>
  <c r="I94" i="2"/>
  <c r="J94" i="2"/>
  <c r="F101" i="2"/>
  <c r="F94" i="2"/>
  <c r="G87" i="2"/>
  <c r="H87" i="2"/>
  <c r="I87" i="2"/>
  <c r="J87" i="2"/>
  <c r="F87" i="2"/>
  <c r="G80" i="2"/>
  <c r="H80" i="2"/>
  <c r="I80" i="2"/>
  <c r="J80" i="2"/>
  <c r="F80" i="2"/>
  <c r="J73" i="2"/>
  <c r="K73" i="2" s="1"/>
  <c r="I73" i="2"/>
  <c r="H73" i="2"/>
  <c r="G73" i="2"/>
  <c r="F73" i="2"/>
  <c r="L32" i="2"/>
  <c r="L68" i="2" s="1"/>
  <c r="L66" i="2" s="1"/>
  <c r="L30" i="2"/>
  <c r="J60" i="2"/>
  <c r="I60" i="2"/>
  <c r="H60" i="2"/>
  <c r="G60" i="2"/>
  <c r="J54" i="2"/>
  <c r="I54" i="2"/>
  <c r="H54" i="2"/>
  <c r="G54" i="2"/>
  <c r="J48" i="2"/>
  <c r="I48" i="2"/>
  <c r="H48" i="2"/>
  <c r="G48" i="2"/>
  <c r="H42" i="2"/>
  <c r="I42" i="2"/>
  <c r="J42" i="2"/>
  <c r="G42" i="2"/>
  <c r="H21" i="1"/>
  <c r="G21" i="1"/>
  <c r="F21" i="1"/>
  <c r="E21" i="1"/>
  <c r="I21" i="1"/>
  <c r="F14" i="2"/>
  <c r="K159" i="2" s="1"/>
  <c r="G38" i="2"/>
  <c r="H38" i="2" s="1"/>
  <c r="I38" i="2" s="1"/>
  <c r="J38" i="2" s="1"/>
  <c r="K38" i="2" s="1"/>
  <c r="L38" i="2" s="1"/>
  <c r="M38" i="2" s="1"/>
  <c r="N38" i="2" s="1"/>
  <c r="O38" i="2" s="1"/>
  <c r="F15" i="2" s="1"/>
  <c r="E9" i="2"/>
  <c r="L74" i="2" l="1"/>
  <c r="M74" i="2"/>
  <c r="L158" i="2"/>
  <c r="M158" i="2" s="1"/>
  <c r="L95" i="2"/>
  <c r="M95" i="2"/>
  <c r="L102" i="2"/>
  <c r="M102" i="2"/>
  <c r="L81" i="2"/>
  <c r="M88" i="2"/>
  <c r="L88" i="2"/>
  <c r="M81" i="2"/>
  <c r="G133" i="2"/>
  <c r="H151" i="2"/>
  <c r="G126" i="2"/>
  <c r="G141" i="2" s="1"/>
  <c r="J151" i="2"/>
  <c r="I151" i="2"/>
  <c r="F133" i="2"/>
  <c r="J126" i="2"/>
  <c r="J130" i="2" s="1"/>
  <c r="F126" i="2"/>
  <c r="H126" i="2"/>
  <c r="H130" i="2" s="1"/>
  <c r="I126" i="2"/>
  <c r="I127" i="2" s="1"/>
  <c r="K122" i="2"/>
  <c r="J83" i="2"/>
  <c r="I97" i="2"/>
  <c r="M111" i="2"/>
  <c r="L119" i="2"/>
  <c r="M119" i="2" s="1"/>
  <c r="L118" i="2"/>
  <c r="L117" i="2"/>
  <c r="M117" i="2" s="1"/>
  <c r="N112" i="2"/>
  <c r="O112" i="2" s="1"/>
  <c r="I104" i="2"/>
  <c r="J90" i="2"/>
  <c r="G90" i="2"/>
  <c r="H104" i="2"/>
  <c r="G76" i="2"/>
  <c r="O68" i="2"/>
  <c r="O66" i="2" s="1"/>
  <c r="M56" i="2"/>
  <c r="M54" i="2" s="1"/>
  <c r="G97" i="2"/>
  <c r="O50" i="2"/>
  <c r="O48" i="2" s="1"/>
  <c r="L101" i="2"/>
  <c r="M101" i="2" s="1"/>
  <c r="N101" i="2" s="1"/>
  <c r="O101" i="2" s="1"/>
  <c r="G83" i="2"/>
  <c r="H83" i="2"/>
  <c r="H76" i="2"/>
  <c r="H90" i="2"/>
  <c r="G104" i="2"/>
  <c r="M68" i="2"/>
  <c r="M66" i="2" s="1"/>
  <c r="N56" i="2"/>
  <c r="N54" i="2" s="1"/>
  <c r="I76" i="2"/>
  <c r="I83" i="2"/>
  <c r="H97" i="2"/>
  <c r="L56" i="2"/>
  <c r="L54" i="2" s="1"/>
  <c r="N68" i="2"/>
  <c r="N66" i="2" s="1"/>
  <c r="J76" i="2"/>
  <c r="I90" i="2"/>
  <c r="J97" i="2"/>
  <c r="O56" i="2"/>
  <c r="O54" i="2" s="1"/>
  <c r="L44" i="2"/>
  <c r="L42" i="2" s="1"/>
  <c r="M44" i="2"/>
  <c r="M42" i="2" s="1"/>
  <c r="N44" i="2"/>
  <c r="N42" i="2" s="1"/>
  <c r="L62" i="2"/>
  <c r="L60" i="2" s="1"/>
  <c r="J104" i="2"/>
  <c r="K62" i="2"/>
  <c r="K60" i="2" s="1"/>
  <c r="O44" i="2"/>
  <c r="O42" i="2" s="1"/>
  <c r="M62" i="2"/>
  <c r="M60" i="2" s="1"/>
  <c r="K44" i="2"/>
  <c r="N62" i="2"/>
  <c r="N60" i="2" s="1"/>
  <c r="L50" i="2"/>
  <c r="L48" i="2" s="1"/>
  <c r="O62" i="2"/>
  <c r="O60" i="2" s="1"/>
  <c r="K50" i="2"/>
  <c r="M50" i="2"/>
  <c r="M48" i="2" s="1"/>
  <c r="K68" i="2"/>
  <c r="K66" i="2" s="1"/>
  <c r="N50" i="2"/>
  <c r="N48" i="2" s="1"/>
  <c r="K56" i="2"/>
  <c r="K80" i="2"/>
  <c r="K87" i="2"/>
  <c r="L87" i="2" s="1"/>
  <c r="M87" i="2" s="1"/>
  <c r="K94" i="2"/>
  <c r="L94" i="2" s="1"/>
  <c r="M94" i="2" s="1"/>
  <c r="N94" i="2" s="1"/>
  <c r="F17" i="2"/>
  <c r="F17" i="1"/>
  <c r="G17" i="1"/>
  <c r="H17" i="1"/>
  <c r="I17" i="1"/>
  <c r="E17" i="1"/>
  <c r="H13" i="1"/>
  <c r="I13" i="1"/>
  <c r="G13" i="1"/>
  <c r="F8" i="1"/>
  <c r="G8" i="1"/>
  <c r="H8" i="1"/>
  <c r="I8" i="1"/>
  <c r="E8" i="1"/>
  <c r="L5" i="1"/>
  <c r="L21" i="1"/>
  <c r="L17" i="1"/>
  <c r="L13" i="1"/>
  <c r="L8" i="1"/>
  <c r="M21" i="1"/>
  <c r="N21" i="1"/>
  <c r="O21" i="1"/>
  <c r="P21" i="1"/>
  <c r="K47" i="2" l="1"/>
  <c r="L47" i="2" s="1"/>
  <c r="M47" i="2" s="1"/>
  <c r="N47" i="2" s="1"/>
  <c r="O47" i="2" s="1"/>
  <c r="K48" i="2"/>
  <c r="K41" i="2"/>
  <c r="K42" i="2"/>
  <c r="K53" i="2"/>
  <c r="L53" i="2" s="1"/>
  <c r="M53" i="2" s="1"/>
  <c r="N53" i="2" s="1"/>
  <c r="O53" i="2" s="1"/>
  <c r="K54" i="2"/>
  <c r="N158" i="2"/>
  <c r="H147" i="2"/>
  <c r="G147" i="2"/>
  <c r="I147" i="2"/>
  <c r="J147" i="2"/>
  <c r="F147" i="2"/>
  <c r="G127" i="2"/>
  <c r="G138" i="2"/>
  <c r="J127" i="2"/>
  <c r="G130" i="2"/>
  <c r="F130" i="2"/>
  <c r="J141" i="2"/>
  <c r="J138" i="2"/>
  <c r="H127" i="2"/>
  <c r="I130" i="2"/>
  <c r="I141" i="2"/>
  <c r="I138" i="2"/>
  <c r="H138" i="2"/>
  <c r="H141" i="2"/>
  <c r="F138" i="2"/>
  <c r="F141" i="2"/>
  <c r="G144" i="2"/>
  <c r="H144" i="2"/>
  <c r="I144" i="2"/>
  <c r="J144" i="2"/>
  <c r="F144" i="2"/>
  <c r="L122" i="2"/>
  <c r="N111" i="2"/>
  <c r="M118" i="2"/>
  <c r="M122" i="2" s="1"/>
  <c r="O111" i="2"/>
  <c r="N117" i="2"/>
  <c r="O117" i="2" s="1"/>
  <c r="N119" i="2"/>
  <c r="O119" i="2" s="1"/>
  <c r="K59" i="2"/>
  <c r="L59" i="2" s="1"/>
  <c r="M59" i="2" s="1"/>
  <c r="N59" i="2" s="1"/>
  <c r="O59" i="2" s="1"/>
  <c r="K65" i="2"/>
  <c r="L65" i="2" s="1"/>
  <c r="M65" i="2" s="1"/>
  <c r="N65" i="2" s="1"/>
  <c r="O65" i="2" s="1"/>
  <c r="L80" i="2"/>
  <c r="L41" i="2"/>
  <c r="M41" i="2" s="1"/>
  <c r="N41" i="2" s="1"/>
  <c r="O41" i="2" s="1"/>
  <c r="K72" i="2"/>
  <c r="K86" i="2"/>
  <c r="L73" i="2"/>
  <c r="N87" i="2"/>
  <c r="O87" i="2" s="1"/>
  <c r="O94" i="2"/>
  <c r="O158" i="2" l="1"/>
  <c r="K79" i="2"/>
  <c r="K130" i="2" a="1"/>
  <c r="K130" i="2" s="1"/>
  <c r="L130" i="2" s="1" a="1"/>
  <c r="N118" i="2"/>
  <c r="O118" i="2" s="1"/>
  <c r="O122" i="2" s="1"/>
  <c r="P122" i="2" s="1"/>
  <c r="L86" i="2"/>
  <c r="K93" i="2"/>
  <c r="L79" i="2"/>
  <c r="L93" i="2"/>
  <c r="M80" i="2"/>
  <c r="N80" i="2" s="1"/>
  <c r="O80" i="2" s="1"/>
  <c r="K100" i="2"/>
  <c r="M73" i="2"/>
  <c r="L72" i="2"/>
  <c r="L100" i="2"/>
  <c r="M93" i="2"/>
  <c r="M86" i="2"/>
  <c r="L130" i="2" l="1"/>
  <c r="M130" i="2" s="1" a="1"/>
  <c r="N122" i="2"/>
  <c r="K107" i="2"/>
  <c r="K126" i="2" s="1"/>
  <c r="K146" i="2" s="1"/>
  <c r="K155" i="2" s="1"/>
  <c r="L107" i="2"/>
  <c r="L126" i="2" s="1"/>
  <c r="L146" i="2" s="1"/>
  <c r="L155" i="2" s="1"/>
  <c r="M79" i="2"/>
  <c r="N73" i="2"/>
  <c r="M72" i="2"/>
  <c r="M100" i="2"/>
  <c r="O93" i="2"/>
  <c r="N93" i="2"/>
  <c r="O86" i="2"/>
  <c r="N86" i="2"/>
  <c r="O79" i="2"/>
  <c r="N79" i="2"/>
  <c r="M107" i="2" l="1"/>
  <c r="M126" i="2" s="1"/>
  <c r="M146" i="2" s="1"/>
  <c r="M155" i="2" s="1"/>
  <c r="M130" i="2"/>
  <c r="N130" i="2" s="1" a="1"/>
  <c r="N130" i="2" s="1"/>
  <c r="L129" i="2"/>
  <c r="L137" i="2"/>
  <c r="L152" i="2" s="1"/>
  <c r="L140" i="2"/>
  <c r="L153" i="2" s="1"/>
  <c r="K129" i="2"/>
  <c r="K140" i="2"/>
  <c r="K153" i="2" s="1"/>
  <c r="K137" i="2"/>
  <c r="K152" i="2" s="1"/>
  <c r="K127" i="2"/>
  <c r="L127" i="2"/>
  <c r="M127" i="2"/>
  <c r="O73" i="2"/>
  <c r="O72" i="2" s="1"/>
  <c r="N72" i="2"/>
  <c r="O100" i="2"/>
  <c r="N100" i="2"/>
  <c r="M140" i="2" l="1"/>
  <c r="M153" i="2" s="1"/>
  <c r="M137" i="2"/>
  <c r="M152" i="2" s="1"/>
  <c r="M129" i="2"/>
  <c r="M132" i="2" s="1"/>
  <c r="M151" i="2" s="1"/>
  <c r="O130" i="2" a="1"/>
  <c r="O130" i="2" s="1"/>
  <c r="K132" i="2"/>
  <c r="K151" i="2" s="1"/>
  <c r="L132" i="2"/>
  <c r="L151" i="2"/>
  <c r="O107" i="2"/>
  <c r="N107" i="2"/>
  <c r="N126" i="2" s="1"/>
  <c r="N146" i="2" s="1"/>
  <c r="N155" i="2" s="1"/>
  <c r="O126" i="2" l="1"/>
  <c r="O146" i="2" s="1"/>
  <c r="O155" i="2" s="1"/>
  <c r="P107" i="2"/>
  <c r="N129" i="2"/>
  <c r="N137" i="2"/>
  <c r="N152" i="2" s="1"/>
  <c r="N140" i="2"/>
  <c r="N153" i="2" s="1"/>
  <c r="N127" i="2"/>
  <c r="L143" i="2"/>
  <c r="L154" i="2" s="1"/>
  <c r="L156" i="2" s="1"/>
  <c r="L161" i="2" s="1"/>
  <c r="K143" i="2"/>
  <c r="K154" i="2" s="1"/>
  <c r="K156" i="2" s="1"/>
  <c r="K161" i="2" s="1"/>
  <c r="O127" i="2" l="1"/>
  <c r="O140" i="2"/>
  <c r="O153" i="2" s="1"/>
  <c r="O137" i="2"/>
  <c r="O152" i="2" s="1"/>
  <c r="O129" i="2"/>
  <c r="P129" i="2" s="1"/>
  <c r="P126" i="2"/>
  <c r="O132" i="2"/>
  <c r="O151" i="2" s="1"/>
  <c r="N132" i="2"/>
  <c r="N151" i="2" s="1"/>
  <c r="M143" i="2"/>
  <c r="M154" i="2" s="1"/>
  <c r="M156" i="2" s="1"/>
  <c r="M161" i="2" s="1"/>
  <c r="N143" i="2"/>
  <c r="N154" i="2" s="1"/>
  <c r="N156" i="2" l="1"/>
  <c r="N161" i="2" s="1"/>
  <c r="O143" i="2"/>
  <c r="O154" i="2" s="1"/>
  <c r="O156" i="2" s="1"/>
  <c r="O160" i="2" l="1"/>
  <c r="O161" i="2" s="1"/>
  <c r="O162" i="2" s="1"/>
  <c r="O165" i="2" s="1"/>
  <c r="O167" i="2" s="1"/>
  <c r="C176" i="2" l="1"/>
  <c r="J14" i="2"/>
  <c r="O170" i="2"/>
  <c r="O171" i="2"/>
  <c r="J16" i="2" s="1"/>
</calcChain>
</file>

<file path=xl/sharedStrings.xml><?xml version="1.0" encoding="utf-8"?>
<sst xmlns="http://schemas.openxmlformats.org/spreadsheetml/2006/main" count="242" uniqueCount="141">
  <si>
    <t xml:space="preserve">Segment wise </t>
  </si>
  <si>
    <t>LED TV</t>
  </si>
  <si>
    <t>LED lamps</t>
  </si>
  <si>
    <t>LED battens</t>
  </si>
  <si>
    <t>LED down lighters</t>
  </si>
  <si>
    <t>FATL</t>
  </si>
  <si>
    <t>SAWM</t>
  </si>
  <si>
    <t>Featured phones</t>
  </si>
  <si>
    <t>Smart phones</t>
  </si>
  <si>
    <t>Telecom</t>
  </si>
  <si>
    <t>Set-top-box</t>
  </si>
  <si>
    <t>IT hardware</t>
  </si>
  <si>
    <t>Wearables and hearables</t>
  </si>
  <si>
    <t>Refrigerators</t>
  </si>
  <si>
    <t>Units produced</t>
  </si>
  <si>
    <t>Consumer electronics</t>
  </si>
  <si>
    <t>Lighting solutions</t>
  </si>
  <si>
    <t>Home appliances</t>
  </si>
  <si>
    <t>Mil units p.a</t>
  </si>
  <si>
    <t>market share</t>
  </si>
  <si>
    <t>share in revenue</t>
  </si>
  <si>
    <t>Mobile phones and EMS</t>
  </si>
  <si>
    <t>Telecom and networking products</t>
  </si>
  <si>
    <t>Revenue</t>
  </si>
  <si>
    <t>Inr Cr</t>
  </si>
  <si>
    <t>Others</t>
  </si>
  <si>
    <t>CCTV</t>
  </si>
  <si>
    <t>DVR</t>
  </si>
  <si>
    <t>Dixon Technologies</t>
  </si>
  <si>
    <t>DCF Model</t>
  </si>
  <si>
    <t>Templete:</t>
  </si>
  <si>
    <t>Standard</t>
  </si>
  <si>
    <t>Source:</t>
  </si>
  <si>
    <t>Company Website</t>
  </si>
  <si>
    <t>Period type:</t>
  </si>
  <si>
    <t>Annual</t>
  </si>
  <si>
    <t xml:space="preserve">Decimals: </t>
  </si>
  <si>
    <t>Default</t>
  </si>
  <si>
    <t>Currency:</t>
  </si>
  <si>
    <t>Units:</t>
  </si>
  <si>
    <t>Date</t>
  </si>
  <si>
    <t>Street</t>
  </si>
  <si>
    <t>Years</t>
  </si>
  <si>
    <t>Days</t>
  </si>
  <si>
    <t>Assumptions</t>
  </si>
  <si>
    <t>( in ₹ Crore, except earnings per share and shares outstanding)</t>
  </si>
  <si>
    <t>DIXON</t>
  </si>
  <si>
    <t>Scenario Selected</t>
  </si>
  <si>
    <t>Segment-wise units produced (31/03 CYE)</t>
  </si>
  <si>
    <t>WACC</t>
  </si>
  <si>
    <t>TGR</t>
  </si>
  <si>
    <t>Optimistic</t>
  </si>
  <si>
    <t>Conservative</t>
  </si>
  <si>
    <t>Units produced (in Millions p.a)</t>
  </si>
  <si>
    <t>% growth</t>
  </si>
  <si>
    <t>-</t>
  </si>
  <si>
    <t>Per unit rev.</t>
  </si>
  <si>
    <t>Revenue segment-wise (in Rs. Lakhs)</t>
  </si>
  <si>
    <t>INR</t>
  </si>
  <si>
    <t>*</t>
  </si>
  <si>
    <t>CAGR</t>
  </si>
  <si>
    <t>EBIT</t>
  </si>
  <si>
    <t>% of revenue</t>
  </si>
  <si>
    <t>Income Statement (31/03 CYE)</t>
  </si>
  <si>
    <t>Other Revenue (in Rs. Lakhs)</t>
  </si>
  <si>
    <t>Sale of services</t>
  </si>
  <si>
    <t>Other operating revenues</t>
  </si>
  <si>
    <t>Service charges</t>
  </si>
  <si>
    <t>Job work charges</t>
  </si>
  <si>
    <t>Export incentives</t>
  </si>
  <si>
    <t>Rent (production facility charges)</t>
  </si>
  <si>
    <t xml:space="preserve">Other incentives </t>
  </si>
  <si>
    <t>including amortisation of deferred payment</t>
  </si>
  <si>
    <t>Total (A)</t>
  </si>
  <si>
    <t>Total (B)</t>
  </si>
  <si>
    <t>Revenue (A+B)</t>
  </si>
  <si>
    <t>Taxes</t>
  </si>
  <si>
    <t>Tax rate</t>
  </si>
  <si>
    <t>Cash Flow Items (31/03 CYE)</t>
  </si>
  <si>
    <t>D&amp;A</t>
  </si>
  <si>
    <t>CapEx</t>
  </si>
  <si>
    <t>Change in NWC</t>
  </si>
  <si>
    <t>DCF (31/03 CYE)</t>
  </si>
  <si>
    <t>NOPAT</t>
  </si>
  <si>
    <t>Add: D&amp;A</t>
  </si>
  <si>
    <t>Add/Less: CapEx</t>
  </si>
  <si>
    <t>Less: Change in NWC</t>
  </si>
  <si>
    <t>Share-based compensation</t>
  </si>
  <si>
    <t>Add: Share-based compensation</t>
  </si>
  <si>
    <t>Discount factor</t>
  </si>
  <si>
    <t>Mid year discount</t>
  </si>
  <si>
    <t>Beta</t>
  </si>
  <si>
    <t>Price</t>
  </si>
  <si>
    <t>Returns</t>
  </si>
  <si>
    <t>Weighted Average Cost of Capital</t>
  </si>
  <si>
    <t>Nifty 50</t>
  </si>
  <si>
    <t>Dixon tech</t>
  </si>
  <si>
    <t>Market Cap</t>
  </si>
  <si>
    <t>Total Debt</t>
  </si>
  <si>
    <t>Cost of Capital</t>
  </si>
  <si>
    <t>WACC = Cost of equity x % of equity + Cost of debt x % of debt x (1-Tax Rate)</t>
  </si>
  <si>
    <t>Cost of Debt = Interest expenses / Total Debt</t>
  </si>
  <si>
    <t>Risk free rate</t>
  </si>
  <si>
    <t>Equity risk premium</t>
  </si>
  <si>
    <t>Country risk premium</t>
  </si>
  <si>
    <t>CoC</t>
  </si>
  <si>
    <t xml:space="preserve">Adj. default risk </t>
  </si>
  <si>
    <t xml:space="preserve">Cost of Equity = (Risk-free rate - Adj. deafult risk) + (Equity risk premium) * Beta + Country risk premium </t>
  </si>
  <si>
    <t>Cost of Debt</t>
  </si>
  <si>
    <t xml:space="preserve">Total </t>
  </si>
  <si>
    <t>Weightage</t>
  </si>
  <si>
    <t>D/(E+D)</t>
  </si>
  <si>
    <t>E/(E+D)</t>
  </si>
  <si>
    <t>Enterprise Value</t>
  </si>
  <si>
    <t>Add: Cash</t>
  </si>
  <si>
    <t>Less: Debt</t>
  </si>
  <si>
    <t>Equity Value</t>
  </si>
  <si>
    <t>Diluted Shares outstanding</t>
  </si>
  <si>
    <t>Implied Price per share</t>
  </si>
  <si>
    <t>Premium (discount)</t>
  </si>
  <si>
    <t>% of Premium (discount)</t>
  </si>
  <si>
    <r>
      <t xml:space="preserve">Current Share price </t>
    </r>
    <r>
      <rPr>
        <i/>
        <sz val="11"/>
        <color theme="1"/>
        <rFont val="Arial"/>
        <family val="2"/>
      </rPr>
      <t>(As on 31-12-2026)</t>
    </r>
  </si>
  <si>
    <t>Sensitivity Table</t>
  </si>
  <si>
    <t>Terminal Growth Rate</t>
  </si>
  <si>
    <t>Implied Price per share:</t>
  </si>
  <si>
    <t>Start Date:</t>
  </si>
  <si>
    <t>End Date:</t>
  </si>
  <si>
    <t>Year End:</t>
  </si>
  <si>
    <t>Days in an Year:</t>
  </si>
  <si>
    <t>Current Share price:</t>
  </si>
  <si>
    <t>Company Name:</t>
  </si>
  <si>
    <t>Ticker:</t>
  </si>
  <si>
    <t>Dashboard</t>
  </si>
  <si>
    <t>No. of Years:</t>
  </si>
  <si>
    <t>Trigger</t>
  </si>
  <si>
    <t>Scenario</t>
  </si>
  <si>
    <t xml:space="preserve">Terminal Value </t>
  </si>
  <si>
    <t>FCF</t>
  </si>
  <si>
    <t>PV of FCF</t>
  </si>
  <si>
    <t>Δ Price:</t>
  </si>
  <si>
    <t>Crore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</si>
</sst>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%"/>
    <numFmt numFmtId="166" formatCode="&quot;FY&quot;\ yyyy&quot;A&quot;"/>
    <numFmt numFmtId="167" formatCode="&quot;FY&quot;\ yyyy&quot;E&quot;"/>
    <numFmt numFmtId="168" formatCode="_ [$₹-4009]\ * #,##0_ ;_ [$₹-4009]\ * \-#,##0_ ;_ [$₹-4009]\ * &quot;-&quot;??_ ;_ @_ "/>
    <numFmt numFmtId="169" formatCode="#,##0;\(#,##0\);\-"/>
    <numFmt numFmtId="170" formatCode="[$-14009]dd/mm/yy;@"/>
    <numFmt numFmtId="171" formatCode="[Red]\ 0%;[Blue]\ \(0%\);\-"/>
  </numFmts>
  <fonts count="1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00FF"/>
      <name val="Arial"/>
      <family val="2"/>
    </font>
    <font>
      <sz val="11"/>
      <color theme="0" tint="-0.14999847407452621"/>
      <name val="Arial"/>
      <family val="2"/>
    </font>
    <font>
      <i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144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114">
    <xf numFmtId="0" fontId="0" fillId="0" borderId="0" xfId="0"/>
    <xf numFmtId="9" fontId="0" fillId="0" borderId="0" xfId="0" applyNumberFormat="1"/>
    <xf numFmtId="0" fontId="2" fillId="0" borderId="0" xfId="0" applyFont="1"/>
    <xf numFmtId="1" fontId="0" fillId="0" borderId="0" xfId="0" applyNumberFormat="1"/>
    <xf numFmtId="2" fontId="0" fillId="0" borderId="0" xfId="0" applyNumberFormat="1"/>
    <xf numFmtId="10" fontId="0" fillId="0" borderId="0" xfId="0" applyNumberFormat="1"/>
    <xf numFmtId="0" fontId="3" fillId="3" borderId="0" xfId="0" applyFont="1" applyFill="1"/>
    <xf numFmtId="0" fontId="4" fillId="3" borderId="0" xfId="0" applyFont="1" applyFill="1"/>
    <xf numFmtId="0" fontId="5" fillId="0" borderId="0" xfId="0" applyFont="1"/>
    <xf numFmtId="0" fontId="6" fillId="3" borderId="0" xfId="0" applyFont="1" applyFill="1"/>
    <xf numFmtId="0" fontId="7" fillId="3" borderId="0" xfId="0" applyFont="1" applyFill="1"/>
    <xf numFmtId="0" fontId="8" fillId="0" borderId="0" xfId="0" applyFont="1"/>
    <xf numFmtId="0" fontId="5" fillId="0" borderId="0" xfId="0" applyFont="1" applyAlignment="1">
      <alignment horizontal="center"/>
    </xf>
    <xf numFmtId="166" fontId="3" fillId="3" borderId="0" xfId="0" applyNumberFormat="1" applyFont="1" applyFill="1"/>
    <xf numFmtId="167" fontId="3" fillId="3" borderId="0" xfId="0" applyNumberFormat="1" applyFont="1" applyFill="1"/>
    <xf numFmtId="0" fontId="4" fillId="0" borderId="0" xfId="0" applyFont="1"/>
    <xf numFmtId="0" fontId="9" fillId="0" borderId="0" xfId="0" applyFont="1"/>
    <xf numFmtId="165" fontId="9" fillId="0" borderId="0" xfId="1" applyNumberFormat="1" applyFont="1"/>
    <xf numFmtId="165" fontId="5" fillId="2" borderId="1" xfId="2" applyNumberFormat="1" applyFont="1"/>
    <xf numFmtId="165" fontId="5" fillId="2" borderId="1" xfId="1" applyNumberFormat="1" applyFont="1" applyFill="1" applyBorder="1"/>
    <xf numFmtId="0" fontId="8" fillId="0" borderId="2" xfId="0" applyFont="1" applyBorder="1"/>
    <xf numFmtId="0" fontId="5" fillId="0" borderId="2" xfId="0" applyFont="1" applyBorder="1"/>
    <xf numFmtId="169" fontId="5" fillId="0" borderId="0" xfId="0" applyNumberFormat="1" applyFont="1"/>
    <xf numFmtId="169" fontId="8" fillId="0" borderId="0" xfId="0" applyNumberFormat="1" applyFont="1"/>
    <xf numFmtId="9" fontId="8" fillId="0" borderId="0" xfId="1" applyFont="1" applyAlignment="1">
      <alignment horizontal="center"/>
    </xf>
    <xf numFmtId="169" fontId="5" fillId="0" borderId="2" xfId="0" applyNumberFormat="1" applyFont="1" applyBorder="1"/>
    <xf numFmtId="0" fontId="5" fillId="0" borderId="0" xfId="0" applyFont="1" applyAlignment="1">
      <alignment horizontal="left" indent="1"/>
    </xf>
    <xf numFmtId="0" fontId="8" fillId="0" borderId="0" xfId="0" applyFont="1" applyAlignment="1">
      <alignment horizontal="left"/>
    </xf>
    <xf numFmtId="3" fontId="5" fillId="0" borderId="0" xfId="0" applyNumberFormat="1" applyFont="1"/>
    <xf numFmtId="167" fontId="8" fillId="0" borderId="0" xfId="0" applyNumberFormat="1" applyFont="1" applyAlignment="1">
      <alignment horizontal="center"/>
    </xf>
    <xf numFmtId="169" fontId="5" fillId="0" borderId="3" xfId="0" applyNumberFormat="1" applyFont="1" applyBorder="1"/>
    <xf numFmtId="4" fontId="0" fillId="0" borderId="0" xfId="0" applyNumberFormat="1"/>
    <xf numFmtId="170" fontId="0" fillId="0" borderId="0" xfId="0" applyNumberFormat="1"/>
    <xf numFmtId="9" fontId="0" fillId="0" borderId="0" xfId="1" applyFont="1"/>
    <xf numFmtId="0" fontId="2" fillId="0" borderId="2" xfId="0" applyFont="1" applyBorder="1"/>
    <xf numFmtId="0" fontId="0" fillId="0" borderId="2" xfId="0" applyBorder="1"/>
    <xf numFmtId="0" fontId="2" fillId="0" borderId="4" xfId="0" applyFont="1" applyBorder="1"/>
    <xf numFmtId="165" fontId="2" fillId="0" borderId="4" xfId="1" applyNumberFormat="1" applyFont="1" applyBorder="1"/>
    <xf numFmtId="3" fontId="0" fillId="0" borderId="0" xfId="0" applyNumberFormat="1"/>
    <xf numFmtId="3" fontId="2" fillId="0" borderId="4" xfId="0" applyNumberFormat="1" applyFont="1" applyBorder="1"/>
    <xf numFmtId="165" fontId="2" fillId="0" borderId="2" xfId="1" applyNumberFormat="1" applyFont="1" applyBorder="1"/>
    <xf numFmtId="0" fontId="2" fillId="4" borderId="4" xfId="0" applyFont="1" applyFill="1" applyBorder="1"/>
    <xf numFmtId="0" fontId="0" fillId="4" borderId="4" xfId="0" applyFill="1" applyBorder="1"/>
    <xf numFmtId="165" fontId="2" fillId="4" borderId="4" xfId="1" applyNumberFormat="1" applyFont="1" applyFill="1" applyBorder="1"/>
    <xf numFmtId="169" fontId="8" fillId="0" borderId="3" xfId="0" applyNumberFormat="1" applyFont="1" applyBorder="1"/>
    <xf numFmtId="168" fontId="8" fillId="0" borderId="5" xfId="0" applyNumberFormat="1" applyFont="1" applyBorder="1"/>
    <xf numFmtId="0" fontId="5" fillId="0" borderId="4" xfId="0" applyFont="1" applyBorder="1"/>
    <xf numFmtId="0" fontId="5" fillId="0" borderId="6" xfId="0" applyFont="1" applyBorder="1"/>
    <xf numFmtId="0" fontId="8" fillId="0" borderId="7" xfId="0" applyFont="1" applyBorder="1"/>
    <xf numFmtId="14" fontId="5" fillId="2" borderId="1" xfId="2" applyNumberFormat="1" applyFont="1"/>
    <xf numFmtId="164" fontId="5" fillId="2" borderId="1" xfId="2" applyNumberFormat="1" applyFont="1"/>
    <xf numFmtId="0" fontId="5" fillId="2" borderId="1" xfId="2" applyFont="1"/>
    <xf numFmtId="164" fontId="5" fillId="0" borderId="3" xfId="0" applyNumberFormat="1" applyFont="1" applyBorder="1"/>
    <xf numFmtId="164" fontId="5" fillId="0" borderId="2" xfId="0" applyNumberFormat="1" applyFont="1" applyBorder="1"/>
    <xf numFmtId="0" fontId="4" fillId="3" borderId="8" xfId="0" applyFont="1" applyFill="1" applyBorder="1"/>
    <xf numFmtId="0" fontId="4" fillId="3" borderId="3" xfId="0" applyFont="1" applyFill="1" applyBorder="1"/>
    <xf numFmtId="9" fontId="5" fillId="4" borderId="3" xfId="0" applyNumberFormat="1" applyFont="1" applyFill="1" applyBorder="1"/>
    <xf numFmtId="10" fontId="5" fillId="4" borderId="3" xfId="0" applyNumberFormat="1" applyFont="1" applyFill="1" applyBorder="1"/>
    <xf numFmtId="10" fontId="5" fillId="4" borderId="9" xfId="0" applyNumberFormat="1" applyFont="1" applyFill="1" applyBorder="1"/>
    <xf numFmtId="9" fontId="5" fillId="4" borderId="12" xfId="0" applyNumberFormat="1" applyFont="1" applyFill="1" applyBorder="1"/>
    <xf numFmtId="9" fontId="5" fillId="4" borderId="10" xfId="0" applyNumberFormat="1" applyFont="1" applyFill="1" applyBorder="1"/>
    <xf numFmtId="168" fontId="12" fillId="4" borderId="8" xfId="0" applyNumberFormat="1" applyFont="1" applyFill="1" applyBorder="1"/>
    <xf numFmtId="168" fontId="5" fillId="0" borderId="8" xfId="0" applyNumberFormat="1" applyFont="1" applyBorder="1"/>
    <xf numFmtId="168" fontId="5" fillId="0" borderId="3" xfId="0" applyNumberFormat="1" applyFont="1" applyBorder="1"/>
    <xf numFmtId="168" fontId="5" fillId="0" borderId="9" xfId="0" applyNumberFormat="1" applyFont="1" applyBorder="1"/>
    <xf numFmtId="168" fontId="5" fillId="0" borderId="12" xfId="0" applyNumberFormat="1" applyFont="1" applyBorder="1"/>
    <xf numFmtId="168" fontId="5" fillId="0" borderId="0" xfId="0" applyNumberFormat="1" applyFont="1"/>
    <xf numFmtId="168" fontId="5" fillId="0" borderId="13" xfId="0" applyNumberFormat="1" applyFont="1" applyBorder="1"/>
    <xf numFmtId="168" fontId="5" fillId="0" borderId="10" xfId="0" applyNumberFormat="1" applyFont="1" applyBorder="1"/>
    <xf numFmtId="168" fontId="5" fillId="0" borderId="2" xfId="0" applyNumberFormat="1" applyFont="1" applyBorder="1"/>
    <xf numFmtId="168" fontId="5" fillId="0" borderId="11" xfId="0" applyNumberFormat="1" applyFont="1" applyBorder="1"/>
    <xf numFmtId="168" fontId="8" fillId="0" borderId="12" xfId="0" applyNumberFormat="1" applyFont="1" applyBorder="1"/>
    <xf numFmtId="168" fontId="8" fillId="0" borderId="0" xfId="0" applyNumberFormat="1" applyFont="1"/>
    <xf numFmtId="10" fontId="8" fillId="4" borderId="3" xfId="0" applyNumberFormat="1" applyFont="1" applyFill="1" applyBorder="1"/>
    <xf numFmtId="168" fontId="8" fillId="0" borderId="3" xfId="0" applyNumberFormat="1" applyFont="1" applyBorder="1"/>
    <xf numFmtId="0" fontId="0" fillId="0" borderId="3" xfId="0" applyBorder="1"/>
    <xf numFmtId="0" fontId="0" fillId="0" borderId="0" xfId="0" applyAlignment="1">
      <alignment horizontal="center"/>
    </xf>
    <xf numFmtId="165" fontId="0" fillId="0" borderId="3" xfId="1" applyNumberFormat="1" applyFont="1" applyBorder="1"/>
    <xf numFmtId="165" fontId="0" fillId="0" borderId="2" xfId="1" applyNumberFormat="1" applyFont="1" applyBorder="1"/>
    <xf numFmtId="168" fontId="5" fillId="2" borderId="1" xfId="2" applyNumberFormat="1" applyFont="1"/>
    <xf numFmtId="0" fontId="11" fillId="0" borderId="0" xfId="0" applyFont="1"/>
    <xf numFmtId="164" fontId="11" fillId="0" borderId="0" xfId="0" applyNumberFormat="1" applyFont="1"/>
    <xf numFmtId="169" fontId="11" fillId="0" borderId="0" xfId="0" applyNumberFormat="1" applyFont="1"/>
    <xf numFmtId="165" fontId="11" fillId="2" borderId="1" xfId="1" applyNumberFormat="1" applyFont="1" applyFill="1" applyBorder="1"/>
    <xf numFmtId="165" fontId="13" fillId="0" borderId="0" xfId="0" applyNumberFormat="1" applyFont="1"/>
    <xf numFmtId="165" fontId="13" fillId="0" borderId="0" xfId="1" applyNumberFormat="1" applyFont="1"/>
    <xf numFmtId="0" fontId="8" fillId="4" borderId="2" xfId="0" applyFont="1" applyFill="1" applyBorder="1" applyAlignment="1">
      <alignment horizontal="left"/>
    </xf>
    <xf numFmtId="171" fontId="5" fillId="2" borderId="1" xfId="2" applyNumberFormat="1" applyFont="1"/>
    <xf numFmtId="168" fontId="8" fillId="0" borderId="4" xfId="0" applyNumberFormat="1" applyFont="1" applyBorder="1"/>
    <xf numFmtId="168" fontId="11" fillId="2" borderId="1" xfId="2" applyNumberFormat="1" applyFont="1"/>
    <xf numFmtId="0" fontId="10" fillId="2" borderId="1" xfId="2" applyFont="1" applyAlignment="1">
      <alignment horizontal="right"/>
    </xf>
    <xf numFmtId="9" fontId="10" fillId="2" borderId="1" xfId="2" applyNumberFormat="1" applyFont="1"/>
    <xf numFmtId="165" fontId="8" fillId="4" borderId="12" xfId="0" applyNumberFormat="1" applyFont="1" applyFill="1" applyBorder="1"/>
    <xf numFmtId="0" fontId="5" fillId="0" borderId="6" xfId="0" applyFont="1" applyBorder="1" applyAlignment="1">
      <alignment horizontal="left"/>
    </xf>
    <xf numFmtId="10" fontId="5" fillId="0" borderId="6" xfId="1" applyNumberFormat="1" applyFont="1" applyBorder="1"/>
    <xf numFmtId="0" fontId="8" fillId="0" borderId="3" xfId="0" applyFont="1" applyBorder="1"/>
    <xf numFmtId="0" fontId="5" fillId="0" borderId="3" xfId="0" applyFont="1" applyBorder="1"/>
    <xf numFmtId="167" fontId="3" fillId="3" borderId="12" xfId="0" applyNumberFormat="1" applyFont="1" applyFill="1" applyBorder="1"/>
    <xf numFmtId="0" fontId="5" fillId="0" borderId="12" xfId="0" applyFont="1" applyBorder="1"/>
    <xf numFmtId="169" fontId="8" fillId="0" borderId="12" xfId="0" applyNumberFormat="1" applyFont="1" applyBorder="1"/>
    <xf numFmtId="169" fontId="5" fillId="0" borderId="8" xfId="0" applyNumberFormat="1" applyFont="1" applyBorder="1"/>
    <xf numFmtId="169" fontId="5" fillId="0" borderId="12" xfId="0" applyNumberFormat="1" applyFont="1" applyBorder="1"/>
    <xf numFmtId="169" fontId="8" fillId="0" borderId="8" xfId="0" applyNumberFormat="1" applyFont="1" applyBorder="1"/>
    <xf numFmtId="164" fontId="5" fillId="0" borderId="8" xfId="0" applyNumberFormat="1" applyFont="1" applyBorder="1"/>
    <xf numFmtId="164" fontId="5" fillId="0" borderId="10" xfId="0" applyNumberFormat="1" applyFont="1" applyBorder="1"/>
    <xf numFmtId="0" fontId="8" fillId="0" borderId="12" xfId="0" applyFont="1" applyBorder="1"/>
    <xf numFmtId="0" fontId="3" fillId="3" borderId="3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 textRotation="90"/>
    </xf>
    <xf numFmtId="0" fontId="3" fillId="3" borderId="15" xfId="0" applyFont="1" applyFill="1" applyBorder="1" applyAlignment="1">
      <alignment horizontal="center" vertical="center" textRotation="90"/>
    </xf>
    <xf numFmtId="0" fontId="8" fillId="4" borderId="2" xfId="0" applyFont="1" applyFill="1" applyBorder="1" applyAlignment="1">
      <alignment horizontal="left"/>
    </xf>
    <xf numFmtId="0" fontId="5" fillId="2" borderId="16" xfId="2" applyFont="1" applyBorder="1" applyAlignment="1">
      <alignment horizontal="right"/>
    </xf>
    <xf numFmtId="0" fontId="5" fillId="2" borderId="17" xfId="2" applyFont="1" applyBorder="1" applyAlignment="1">
      <alignment horizontal="right"/>
    </xf>
    <xf numFmtId="0" fontId="2" fillId="0" borderId="0" xfId="0" applyFont="1" applyAlignment="1">
      <alignment horizontal="center"/>
    </xf>
  </cellXfs>
  <cellStyles count="3">
    <cellStyle name="Normal" xfId="0" builtinId="0"/>
    <cellStyle name="Note" xfId="2" builtinId="10"/>
    <cellStyle name="Percent" xfId="1" builtinId="5"/>
  </cellStyles>
  <dxfs count="2"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007E00"/>
      <color rgb="FF0000FF"/>
      <color rgb="FF00144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8D577-5876-457A-9063-D06E31183F12}">
  <sheetPr>
    <pageSetUpPr fitToPage="1"/>
  </sheetPr>
  <dimension ref="A2:XFC182"/>
  <sheetViews>
    <sheetView showGridLines="0" tabSelected="1" zoomScale="85" zoomScaleNormal="85" workbookViewId="0">
      <selection activeCell="N13" sqref="N13"/>
    </sheetView>
  </sheetViews>
  <sheetFormatPr defaultColWidth="0" defaultRowHeight="13.8" outlineLevelRow="1" x14ac:dyDescent="0.25"/>
  <cols>
    <col min="1" max="1" width="2.88671875" style="12" customWidth="1"/>
    <col min="2" max="2" width="13.33203125" style="8" customWidth="1"/>
    <col min="3" max="5" width="12" style="8" customWidth="1"/>
    <col min="6" max="15" width="13.109375" style="8" customWidth="1"/>
    <col min="16" max="16" width="14.5546875" style="8" customWidth="1"/>
    <col min="17" max="18" width="0" style="8" hidden="1" customWidth="1"/>
    <col min="19" max="16383" width="8.88671875" style="8" hidden="1"/>
    <col min="16384" max="16384" width="3.21875" style="8" customWidth="1"/>
  </cols>
  <sheetData>
    <row r="2" spans="1:17" x14ac:dyDescent="0.25">
      <c r="B2" s="6" t="s">
        <v>28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7" x14ac:dyDescent="0.25">
      <c r="B3" s="9" t="s">
        <v>29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7" x14ac:dyDescent="0.25">
      <c r="B4" s="10" t="s">
        <v>45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7" x14ac:dyDescent="0.25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Format="1" ht="14.4" x14ac:dyDescent="0.3"/>
    <row r="7" spans="1:17" x14ac:dyDescent="0.25">
      <c r="A7" s="12" t="s">
        <v>59</v>
      </c>
      <c r="B7" s="6" t="s">
        <v>132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9" spans="1:17" x14ac:dyDescent="0.25">
      <c r="B9" s="11" t="s">
        <v>130</v>
      </c>
      <c r="C9" s="11"/>
      <c r="D9" s="11"/>
      <c r="E9" s="111" t="str">
        <f>B2</f>
        <v>Dixon Technologies</v>
      </c>
      <c r="F9" s="112"/>
    </row>
    <row r="10" spans="1:17" x14ac:dyDescent="0.25">
      <c r="B10" s="11" t="s">
        <v>131</v>
      </c>
      <c r="C10" s="11"/>
      <c r="D10" s="11"/>
      <c r="E10" s="111" t="s">
        <v>46</v>
      </c>
      <c r="F10" s="112"/>
    </row>
    <row r="12" spans="1:17" x14ac:dyDescent="0.25">
      <c r="B12" s="48" t="s">
        <v>47</v>
      </c>
      <c r="C12" s="46"/>
      <c r="D12" s="46"/>
      <c r="E12" s="46"/>
      <c r="F12" s="93">
        <v>1</v>
      </c>
    </row>
    <row r="14" spans="1:17" ht="14.4" x14ac:dyDescent="0.3">
      <c r="B14" s="8" t="s">
        <v>125</v>
      </c>
      <c r="E14" s="16" t="s">
        <v>40</v>
      </c>
      <c r="F14" s="49">
        <f>F38</f>
        <v>44286</v>
      </c>
      <c r="H14" s="8" t="s">
        <v>124</v>
      </c>
      <c r="J14" s="79">
        <f>O167</f>
        <v>13322.298730254663</v>
      </c>
    </row>
    <row r="15" spans="1:17" ht="14.4" x14ac:dyDescent="0.3">
      <c r="B15" s="8" t="s">
        <v>126</v>
      </c>
      <c r="E15" s="16" t="s">
        <v>40</v>
      </c>
      <c r="F15" s="49">
        <f>O38</f>
        <v>47573</v>
      </c>
      <c r="H15" s="8" t="s">
        <v>129</v>
      </c>
      <c r="J15" s="79">
        <f>O169</f>
        <v>12102</v>
      </c>
    </row>
    <row r="16" spans="1:17" ht="14.4" x14ac:dyDescent="0.3">
      <c r="B16" s="8" t="s">
        <v>127</v>
      </c>
      <c r="E16" s="16" t="s">
        <v>40</v>
      </c>
      <c r="F16" s="49">
        <v>44561</v>
      </c>
      <c r="H16" s="8" t="s">
        <v>139</v>
      </c>
      <c r="J16" s="87">
        <f>O171</f>
        <v>-9.1598211011691966E-2</v>
      </c>
    </row>
    <row r="17" spans="1:18" ht="14.4" x14ac:dyDescent="0.3">
      <c r="B17" s="8" t="s">
        <v>133</v>
      </c>
      <c r="E17" s="16" t="s">
        <v>42</v>
      </c>
      <c r="F17" s="50">
        <f>YEARFRAC(F14,F15,1)</f>
        <v>9.000547645125959</v>
      </c>
    </row>
    <row r="18" spans="1:18" ht="14.4" x14ac:dyDescent="0.3">
      <c r="B18" s="8" t="s">
        <v>128</v>
      </c>
      <c r="E18" s="16" t="s">
        <v>43</v>
      </c>
      <c r="F18" s="51">
        <v>365</v>
      </c>
    </row>
    <row r="20" spans="1:18" x14ac:dyDescent="0.25">
      <c r="B20" s="11" t="s">
        <v>30</v>
      </c>
      <c r="C20" s="8" t="s">
        <v>31</v>
      </c>
      <c r="E20" s="11" t="s">
        <v>38</v>
      </c>
      <c r="F20" s="8" t="s">
        <v>58</v>
      </c>
    </row>
    <row r="21" spans="1:18" x14ac:dyDescent="0.25">
      <c r="B21" s="11" t="s">
        <v>34</v>
      </c>
      <c r="C21" s="8" t="s">
        <v>35</v>
      </c>
      <c r="E21" s="11" t="s">
        <v>39</v>
      </c>
      <c r="F21" s="8" t="s">
        <v>140</v>
      </c>
    </row>
    <row r="22" spans="1:18" x14ac:dyDescent="0.25">
      <c r="B22" s="11" t="s">
        <v>32</v>
      </c>
      <c r="C22" s="8" t="s">
        <v>33</v>
      </c>
      <c r="E22" s="11" t="s">
        <v>36</v>
      </c>
      <c r="F22" s="8" t="s">
        <v>37</v>
      </c>
    </row>
    <row r="24" spans="1:18" x14ac:dyDescent="0.25">
      <c r="A24" s="12" t="s">
        <v>59</v>
      </c>
      <c r="B24" s="6" t="s">
        <v>44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15"/>
      <c r="R24" s="15"/>
    </row>
    <row r="26" spans="1:18" x14ac:dyDescent="0.25">
      <c r="B26" s="110" t="s">
        <v>134</v>
      </c>
      <c r="C26" s="110"/>
      <c r="D26" s="110"/>
      <c r="F26" s="86" t="s">
        <v>52</v>
      </c>
      <c r="G26" s="86"/>
      <c r="H26" s="86"/>
      <c r="J26" s="86" t="s">
        <v>41</v>
      </c>
      <c r="K26" s="86"/>
      <c r="L26" s="86"/>
      <c r="N26" s="86" t="s">
        <v>51</v>
      </c>
      <c r="O26" s="86"/>
      <c r="P26" s="86"/>
    </row>
    <row r="28" spans="1:18" x14ac:dyDescent="0.25">
      <c r="B28" s="8" t="s">
        <v>135</v>
      </c>
      <c r="D28" s="47">
        <f>F12</f>
        <v>1</v>
      </c>
      <c r="F28" s="8" t="s">
        <v>15</v>
      </c>
      <c r="H28" s="18">
        <v>7.0000000000000007E-2</v>
      </c>
      <c r="J28" s="8" t="s">
        <v>15</v>
      </c>
      <c r="L28" s="18">
        <v>8.4000000000000005E-2</v>
      </c>
      <c r="N28" s="8" t="s">
        <v>15</v>
      </c>
      <c r="P28" s="18">
        <v>9.8000000000000004E-2</v>
      </c>
    </row>
    <row r="29" spans="1:18" x14ac:dyDescent="0.25">
      <c r="F29" s="8" t="s">
        <v>16</v>
      </c>
      <c r="H29" s="18">
        <v>3.2000000000000001E-2</v>
      </c>
      <c r="J29" s="8" t="s">
        <v>16</v>
      </c>
      <c r="L29" s="18">
        <v>5.0999999999999997E-2</v>
      </c>
      <c r="N29" s="8" t="s">
        <v>16</v>
      </c>
      <c r="P29" s="18">
        <v>6.3E-2</v>
      </c>
    </row>
    <row r="30" spans="1:18" x14ac:dyDescent="0.25">
      <c r="B30" s="11" t="s">
        <v>49</v>
      </c>
      <c r="D30" s="94">
        <f>CHOOSE($D$28,H34,L34,P34)</f>
        <v>0.18188381458440117</v>
      </c>
      <c r="F30" s="8" t="s">
        <v>17</v>
      </c>
      <c r="H30" s="18">
        <v>6.4000000000000001E-2</v>
      </c>
      <c r="J30" s="8" t="s">
        <v>17</v>
      </c>
      <c r="L30" s="18">
        <f>AVERAGE(7.4%,8%)</f>
        <v>7.7000000000000013E-2</v>
      </c>
      <c r="N30" s="8" t="s">
        <v>17</v>
      </c>
      <c r="P30" s="18">
        <v>8.5999999999999993E-2</v>
      </c>
    </row>
    <row r="31" spans="1:18" x14ac:dyDescent="0.25">
      <c r="B31" s="11" t="s">
        <v>50</v>
      </c>
      <c r="D31" s="94">
        <f>CHOOSE($D$28,H35,L35,P35)</f>
        <v>1.4999999999999999E-2</v>
      </c>
      <c r="F31" s="8" t="s">
        <v>21</v>
      </c>
      <c r="H31" s="18">
        <v>6.2E-2</v>
      </c>
      <c r="J31" s="8" t="s">
        <v>21</v>
      </c>
      <c r="L31" s="18">
        <v>8.2000000000000003E-2</v>
      </c>
      <c r="N31" s="8" t="s">
        <v>21</v>
      </c>
      <c r="P31" s="18">
        <v>0.1</v>
      </c>
    </row>
    <row r="32" spans="1:18" x14ac:dyDescent="0.25">
      <c r="F32" s="8" t="s">
        <v>25</v>
      </c>
      <c r="H32" s="18">
        <v>5.3999999999999999E-2</v>
      </c>
      <c r="J32" s="8" t="s">
        <v>25</v>
      </c>
      <c r="L32" s="19">
        <f>AVERAGE(7.6%,6.7%)</f>
        <v>7.1500000000000008E-2</v>
      </c>
      <c r="N32" s="8" t="s">
        <v>25</v>
      </c>
      <c r="P32" s="18">
        <v>0.08</v>
      </c>
    </row>
    <row r="34" spans="1:18" x14ac:dyDescent="0.25">
      <c r="F34" s="11" t="s">
        <v>49</v>
      </c>
      <c r="H34" s="18">
        <f>L34+3%</f>
        <v>0.18188381458440117</v>
      </c>
      <c r="J34" s="11" t="s">
        <v>49</v>
      </c>
      <c r="L34" s="19">
        <f>WACC!E22</f>
        <v>0.15188381458440117</v>
      </c>
      <c r="N34" s="11" t="s">
        <v>49</v>
      </c>
      <c r="P34" s="18">
        <f>L34-2.5%</f>
        <v>0.12688381458440118</v>
      </c>
    </row>
    <row r="35" spans="1:18" x14ac:dyDescent="0.25">
      <c r="F35" s="11" t="s">
        <v>50</v>
      </c>
      <c r="H35" s="18">
        <v>1.4999999999999999E-2</v>
      </c>
      <c r="J35" s="11" t="s">
        <v>50</v>
      </c>
      <c r="L35" s="18">
        <v>0.02</v>
      </c>
      <c r="N35" s="11" t="s">
        <v>50</v>
      </c>
      <c r="P35" s="18">
        <v>2.5000000000000001E-2</v>
      </c>
    </row>
    <row r="38" spans="1:18" x14ac:dyDescent="0.25">
      <c r="A38" s="12" t="s">
        <v>59</v>
      </c>
      <c r="B38" s="6" t="s">
        <v>48</v>
      </c>
      <c r="C38" s="7"/>
      <c r="D38" s="7"/>
      <c r="E38" s="7"/>
      <c r="F38" s="13">
        <v>44286</v>
      </c>
      <c r="G38" s="13">
        <f>EDATE(F38,12)</f>
        <v>44651</v>
      </c>
      <c r="H38" s="13">
        <f t="shared" ref="H38:O38" si="0">EDATE(G38,12)</f>
        <v>45016</v>
      </c>
      <c r="I38" s="13">
        <f t="shared" si="0"/>
        <v>45382</v>
      </c>
      <c r="J38" s="13">
        <f t="shared" si="0"/>
        <v>45747</v>
      </c>
      <c r="K38" s="14">
        <f t="shared" si="0"/>
        <v>46112</v>
      </c>
      <c r="L38" s="14">
        <f t="shared" si="0"/>
        <v>46477</v>
      </c>
      <c r="M38" s="14">
        <f t="shared" si="0"/>
        <v>46843</v>
      </c>
      <c r="N38" s="14">
        <f t="shared" si="0"/>
        <v>47208</v>
      </c>
      <c r="O38" s="14">
        <f t="shared" si="0"/>
        <v>47573</v>
      </c>
      <c r="P38" s="15"/>
      <c r="Q38" s="15"/>
      <c r="R38" s="15"/>
    </row>
    <row r="40" spans="1:18" x14ac:dyDescent="0.25">
      <c r="B40" s="20" t="s">
        <v>53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</row>
    <row r="41" spans="1:18" hidden="1" outlineLevel="1" x14ac:dyDescent="0.25">
      <c r="B41" s="11" t="s">
        <v>15</v>
      </c>
      <c r="F41" s="80">
        <v>4.4000000000000004</v>
      </c>
      <c r="G41" s="80">
        <v>5.5</v>
      </c>
      <c r="H41" s="80">
        <v>6</v>
      </c>
      <c r="I41" s="80">
        <v>6.5</v>
      </c>
      <c r="J41" s="80">
        <v>6</v>
      </c>
      <c r="K41" s="22">
        <f>J41*(1+K44)</f>
        <v>6.4289999999999994</v>
      </c>
      <c r="L41" s="22">
        <f t="shared" ref="L41:O41" si="1">K41*(1+L44)</f>
        <v>6.8886734999999986</v>
      </c>
      <c r="M41" s="22">
        <f t="shared" si="1"/>
        <v>7.3812136552499981</v>
      </c>
      <c r="N41" s="22">
        <f t="shared" si="1"/>
        <v>7.9089704316003724</v>
      </c>
      <c r="O41" s="22">
        <f t="shared" si="1"/>
        <v>8.4744618174597974</v>
      </c>
    </row>
    <row r="42" spans="1:18" ht="14.4" hidden="1" outlineLevel="1" x14ac:dyDescent="0.3">
      <c r="B42" s="26" t="s">
        <v>54</v>
      </c>
      <c r="F42" s="16" t="s">
        <v>55</v>
      </c>
      <c r="G42" s="17">
        <f>G41/F41-1</f>
        <v>0.25</v>
      </c>
      <c r="H42" s="17">
        <f t="shared" ref="H42:J42" si="2">H41/G41-1</f>
        <v>9.0909090909090828E-2</v>
      </c>
      <c r="I42" s="17">
        <f t="shared" si="2"/>
        <v>8.3333333333333259E-2</v>
      </c>
      <c r="J42" s="17">
        <f t="shared" si="2"/>
        <v>-7.6923076923076872E-2</v>
      </c>
      <c r="K42" s="17">
        <f ca="1">OFFSET(K42,$D$28,0)</f>
        <v>5.3999999999999999E-2</v>
      </c>
      <c r="L42" s="17">
        <f t="shared" ref="L42:O42" ca="1" si="3">OFFSET(L42,$D$28,0)</f>
        <v>5.3999999999999999E-2</v>
      </c>
      <c r="M42" s="17">
        <f t="shared" ca="1" si="3"/>
        <v>5.3999999999999999E-2</v>
      </c>
      <c r="N42" s="17">
        <f t="shared" ca="1" si="3"/>
        <v>5.3999999999999999E-2</v>
      </c>
      <c r="O42" s="17">
        <f t="shared" ca="1" si="3"/>
        <v>5.3999999999999999E-2</v>
      </c>
    </row>
    <row r="43" spans="1:18" ht="14.4" hidden="1" outlineLevel="1" x14ac:dyDescent="0.3">
      <c r="B43" s="26" t="s">
        <v>52</v>
      </c>
      <c r="F43" s="16"/>
      <c r="G43" s="17"/>
      <c r="H43" s="17"/>
      <c r="I43" s="17"/>
      <c r="J43" s="17"/>
      <c r="K43" s="18">
        <f>$H$32</f>
        <v>5.3999999999999999E-2</v>
      </c>
      <c r="L43" s="18">
        <f>$H$32</f>
        <v>5.3999999999999999E-2</v>
      </c>
      <c r="M43" s="18">
        <f>$H$32</f>
        <v>5.3999999999999999E-2</v>
      </c>
      <c r="N43" s="18">
        <f>$H$32</f>
        <v>5.3999999999999999E-2</v>
      </c>
      <c r="O43" s="18">
        <f>$H$32</f>
        <v>5.3999999999999999E-2</v>
      </c>
    </row>
    <row r="44" spans="1:18" ht="14.4" hidden="1" outlineLevel="1" x14ac:dyDescent="0.3">
      <c r="B44" s="26" t="s">
        <v>41</v>
      </c>
      <c r="F44" s="16"/>
      <c r="G44" s="17"/>
      <c r="H44" s="17"/>
      <c r="I44" s="17"/>
      <c r="J44" s="17"/>
      <c r="K44" s="19">
        <f>$L$32</f>
        <v>7.1500000000000008E-2</v>
      </c>
      <c r="L44" s="19">
        <f>$L$32</f>
        <v>7.1500000000000008E-2</v>
      </c>
      <c r="M44" s="19">
        <f>$L$32</f>
        <v>7.1500000000000008E-2</v>
      </c>
      <c r="N44" s="19">
        <f>$L$32</f>
        <v>7.1500000000000008E-2</v>
      </c>
      <c r="O44" s="19">
        <f>$L$32</f>
        <v>7.1500000000000008E-2</v>
      </c>
    </row>
    <row r="45" spans="1:18" ht="14.4" hidden="1" outlineLevel="1" x14ac:dyDescent="0.3">
      <c r="B45" s="26" t="s">
        <v>51</v>
      </c>
      <c r="F45" s="16"/>
      <c r="G45" s="17"/>
      <c r="H45" s="17"/>
      <c r="I45" s="17"/>
      <c r="J45" s="17"/>
      <c r="K45" s="18">
        <f>$P$32</f>
        <v>0.08</v>
      </c>
      <c r="L45" s="18">
        <f>$P$32</f>
        <v>0.08</v>
      </c>
      <c r="M45" s="18">
        <f>$P$32</f>
        <v>0.08</v>
      </c>
      <c r="N45" s="18">
        <f>$P$32</f>
        <v>0.08</v>
      </c>
      <c r="O45" s="18">
        <f>$P$32</f>
        <v>0.08</v>
      </c>
    </row>
    <row r="46" spans="1:18" hidden="1" outlineLevel="1" x14ac:dyDescent="0.25"/>
    <row r="47" spans="1:18" hidden="1" outlineLevel="1" x14ac:dyDescent="0.25">
      <c r="B47" s="11" t="s">
        <v>16</v>
      </c>
      <c r="F47" s="80">
        <v>300</v>
      </c>
      <c r="G47" s="80">
        <v>378</v>
      </c>
      <c r="H47" s="80">
        <v>368</v>
      </c>
      <c r="I47" s="80">
        <v>260</v>
      </c>
      <c r="J47" s="80">
        <v>264</v>
      </c>
      <c r="K47" s="22">
        <f>J47*(1+K50)</f>
        <v>282.87599999999998</v>
      </c>
      <c r="L47" s="22">
        <f t="shared" ref="L47:O47" si="4">K47*(1+L50)</f>
        <v>303.10163399999993</v>
      </c>
      <c r="M47" s="22">
        <f t="shared" si="4"/>
        <v>324.77340083099989</v>
      </c>
      <c r="N47" s="22">
        <f t="shared" si="4"/>
        <v>347.99469899041634</v>
      </c>
      <c r="O47" s="22">
        <f t="shared" si="4"/>
        <v>372.87631996823109</v>
      </c>
    </row>
    <row r="48" spans="1:18" ht="14.4" hidden="1" outlineLevel="1" x14ac:dyDescent="0.3">
      <c r="B48" s="26" t="s">
        <v>54</v>
      </c>
      <c r="F48" s="16" t="s">
        <v>55</v>
      </c>
      <c r="G48" s="17">
        <f>G47/F47-1</f>
        <v>0.26</v>
      </c>
      <c r="H48" s="17">
        <f t="shared" ref="H48" si="5">H47/G47-1</f>
        <v>-2.6455026455026509E-2</v>
      </c>
      <c r="I48" s="17">
        <f t="shared" ref="I48" si="6">I47/H47-1</f>
        <v>-0.29347826086956519</v>
      </c>
      <c r="J48" s="17">
        <f t="shared" ref="J48" si="7">J47/I47-1</f>
        <v>1.538461538461533E-2</v>
      </c>
      <c r="K48" s="17">
        <f ca="1">OFFSET(K48,$D$28,0)</f>
        <v>5.3999999999999999E-2</v>
      </c>
      <c r="L48" s="17">
        <f t="shared" ref="L48:O48" ca="1" si="8">OFFSET(L48,$D$28,0)</f>
        <v>5.3999999999999999E-2</v>
      </c>
      <c r="M48" s="17">
        <f t="shared" ca="1" si="8"/>
        <v>5.3999999999999999E-2</v>
      </c>
      <c r="N48" s="17">
        <f t="shared" ca="1" si="8"/>
        <v>5.3999999999999999E-2</v>
      </c>
      <c r="O48" s="17">
        <f t="shared" ca="1" si="8"/>
        <v>5.3999999999999999E-2</v>
      </c>
    </row>
    <row r="49" spans="2:15" ht="14.4" hidden="1" outlineLevel="1" x14ac:dyDescent="0.3">
      <c r="B49" s="26" t="s">
        <v>52</v>
      </c>
      <c r="F49" s="16"/>
      <c r="G49" s="17"/>
      <c r="H49" s="17"/>
      <c r="I49" s="17"/>
      <c r="J49" s="17"/>
      <c r="K49" s="18">
        <f>$H$32</f>
        <v>5.3999999999999999E-2</v>
      </c>
      <c r="L49" s="18">
        <f>$H$32</f>
        <v>5.3999999999999999E-2</v>
      </c>
      <c r="M49" s="18">
        <f>$H$32</f>
        <v>5.3999999999999999E-2</v>
      </c>
      <c r="N49" s="18">
        <f>$H$32</f>
        <v>5.3999999999999999E-2</v>
      </c>
      <c r="O49" s="18">
        <f>$H$32</f>
        <v>5.3999999999999999E-2</v>
      </c>
    </row>
    <row r="50" spans="2:15" ht="14.4" hidden="1" outlineLevel="1" x14ac:dyDescent="0.3">
      <c r="B50" s="26" t="s">
        <v>41</v>
      </c>
      <c r="F50" s="16"/>
      <c r="G50" s="17"/>
      <c r="H50" s="17"/>
      <c r="I50" s="17"/>
      <c r="J50" s="17"/>
      <c r="K50" s="19">
        <f>$L$32</f>
        <v>7.1500000000000008E-2</v>
      </c>
      <c r="L50" s="19">
        <f>$L$32</f>
        <v>7.1500000000000008E-2</v>
      </c>
      <c r="M50" s="19">
        <f>$L$32</f>
        <v>7.1500000000000008E-2</v>
      </c>
      <c r="N50" s="19">
        <f>$L$32</f>
        <v>7.1500000000000008E-2</v>
      </c>
      <c r="O50" s="19">
        <f>$L$32</f>
        <v>7.1500000000000008E-2</v>
      </c>
    </row>
    <row r="51" spans="2:15" ht="14.4" hidden="1" outlineLevel="1" x14ac:dyDescent="0.3">
      <c r="B51" s="26" t="s">
        <v>51</v>
      </c>
      <c r="F51" s="16"/>
      <c r="G51" s="17"/>
      <c r="H51" s="17"/>
      <c r="I51" s="17"/>
      <c r="J51" s="17"/>
      <c r="K51" s="18">
        <f>$P$32</f>
        <v>0.08</v>
      </c>
      <c r="L51" s="18">
        <f>$P$32</f>
        <v>0.08</v>
      </c>
      <c r="M51" s="18">
        <f>$P$32</f>
        <v>0.08</v>
      </c>
      <c r="N51" s="18">
        <f>$P$32</f>
        <v>0.08</v>
      </c>
      <c r="O51" s="18">
        <f>$P$32</f>
        <v>0.08</v>
      </c>
    </row>
    <row r="52" spans="2:15" hidden="1" outlineLevel="1" x14ac:dyDescent="0.25"/>
    <row r="53" spans="2:15" hidden="1" outlineLevel="1" x14ac:dyDescent="0.25">
      <c r="B53" s="11" t="s">
        <v>17</v>
      </c>
      <c r="F53" s="80">
        <v>1.2</v>
      </c>
      <c r="G53" s="80">
        <v>2.4</v>
      </c>
      <c r="H53" s="80">
        <v>3</v>
      </c>
      <c r="I53" s="80">
        <v>3</v>
      </c>
      <c r="J53" s="80">
        <v>3</v>
      </c>
      <c r="K53" s="22">
        <f>J53*(1+K56)</f>
        <v>3.2144999999999997</v>
      </c>
      <c r="L53" s="22">
        <f t="shared" ref="L53:O53" si="9">K53*(1+L56)</f>
        <v>3.4443367499999993</v>
      </c>
      <c r="M53" s="22">
        <f t="shared" si="9"/>
        <v>3.690606827624999</v>
      </c>
      <c r="N53" s="22">
        <f t="shared" si="9"/>
        <v>3.9544852158001862</v>
      </c>
      <c r="O53" s="22">
        <f t="shared" si="9"/>
        <v>4.2372309087298987</v>
      </c>
    </row>
    <row r="54" spans="2:15" ht="14.4" hidden="1" outlineLevel="1" x14ac:dyDescent="0.3">
      <c r="B54" s="26" t="s">
        <v>54</v>
      </c>
      <c r="F54" s="16" t="s">
        <v>55</v>
      </c>
      <c r="G54" s="17">
        <f>G53/F53-1</f>
        <v>1</v>
      </c>
      <c r="H54" s="17">
        <f t="shared" ref="H54" si="10">H53/G53-1</f>
        <v>0.25</v>
      </c>
      <c r="I54" s="17">
        <f t="shared" ref="I54" si="11">I53/H53-1</f>
        <v>0</v>
      </c>
      <c r="J54" s="17">
        <f t="shared" ref="J54" si="12">J53/I53-1</f>
        <v>0</v>
      </c>
      <c r="K54" s="17">
        <f ca="1">OFFSET(K54,$D$28,0)</f>
        <v>5.3999999999999999E-2</v>
      </c>
      <c r="L54" s="17">
        <f t="shared" ref="L54:O54" ca="1" si="13">OFFSET(L54,$D$28,0)</f>
        <v>5.3999999999999999E-2</v>
      </c>
      <c r="M54" s="17">
        <f t="shared" ca="1" si="13"/>
        <v>5.3999999999999999E-2</v>
      </c>
      <c r="N54" s="17">
        <f t="shared" ca="1" si="13"/>
        <v>5.3999999999999999E-2</v>
      </c>
      <c r="O54" s="17">
        <f t="shared" ca="1" si="13"/>
        <v>5.3999999999999999E-2</v>
      </c>
    </row>
    <row r="55" spans="2:15" ht="14.4" hidden="1" outlineLevel="1" x14ac:dyDescent="0.3">
      <c r="B55" s="26" t="s">
        <v>52</v>
      </c>
      <c r="F55" s="16"/>
      <c r="G55" s="17"/>
      <c r="H55" s="17"/>
      <c r="I55" s="17"/>
      <c r="J55" s="17"/>
      <c r="K55" s="18">
        <f>$H$32</f>
        <v>5.3999999999999999E-2</v>
      </c>
      <c r="L55" s="18">
        <f>$H$32</f>
        <v>5.3999999999999999E-2</v>
      </c>
      <c r="M55" s="18">
        <f>$H$32</f>
        <v>5.3999999999999999E-2</v>
      </c>
      <c r="N55" s="18">
        <f>$H$32</f>
        <v>5.3999999999999999E-2</v>
      </c>
      <c r="O55" s="18">
        <f>$H$32</f>
        <v>5.3999999999999999E-2</v>
      </c>
    </row>
    <row r="56" spans="2:15" ht="14.4" hidden="1" outlineLevel="1" x14ac:dyDescent="0.3">
      <c r="B56" s="26" t="s">
        <v>41</v>
      </c>
      <c r="F56" s="16"/>
      <c r="G56" s="17"/>
      <c r="H56" s="17"/>
      <c r="I56" s="17"/>
      <c r="J56" s="17"/>
      <c r="K56" s="19">
        <f>$L$32</f>
        <v>7.1500000000000008E-2</v>
      </c>
      <c r="L56" s="19">
        <f>$L$32</f>
        <v>7.1500000000000008E-2</v>
      </c>
      <c r="M56" s="19">
        <f>$L$32</f>
        <v>7.1500000000000008E-2</v>
      </c>
      <c r="N56" s="19">
        <f>$L$32</f>
        <v>7.1500000000000008E-2</v>
      </c>
      <c r="O56" s="19">
        <f>$L$32</f>
        <v>7.1500000000000008E-2</v>
      </c>
    </row>
    <row r="57" spans="2:15" ht="14.4" hidden="1" outlineLevel="1" x14ac:dyDescent="0.3">
      <c r="B57" s="26" t="s">
        <v>51</v>
      </c>
      <c r="F57" s="16"/>
      <c r="G57" s="17"/>
      <c r="H57" s="17"/>
      <c r="I57" s="17"/>
      <c r="J57" s="17"/>
      <c r="K57" s="18">
        <f>$P$32</f>
        <v>0.08</v>
      </c>
      <c r="L57" s="18">
        <f>$P$32</f>
        <v>0.08</v>
      </c>
      <c r="M57" s="18">
        <f>$P$32</f>
        <v>0.08</v>
      </c>
      <c r="N57" s="18">
        <f>$P$32</f>
        <v>0.08</v>
      </c>
      <c r="O57" s="18">
        <f>$P$32</f>
        <v>0.08</v>
      </c>
    </row>
    <row r="58" spans="2:15" hidden="1" outlineLevel="1" x14ac:dyDescent="0.25"/>
    <row r="59" spans="2:15" hidden="1" outlineLevel="1" x14ac:dyDescent="0.25">
      <c r="B59" s="11" t="s">
        <v>21</v>
      </c>
      <c r="F59" s="80">
        <v>45</v>
      </c>
      <c r="G59" s="80">
        <v>45</v>
      </c>
      <c r="H59" s="80">
        <v>92</v>
      </c>
      <c r="I59" s="80">
        <v>100</v>
      </c>
      <c r="J59" s="80">
        <v>75</v>
      </c>
      <c r="K59" s="22">
        <f>J59*(1+K62)</f>
        <v>80.362499999999997</v>
      </c>
      <c r="L59" s="22">
        <f t="shared" ref="L59:O59" si="14">K59*(1+L62)</f>
        <v>86.108418749999984</v>
      </c>
      <c r="M59" s="22">
        <f t="shared" si="14"/>
        <v>92.26517069062497</v>
      </c>
      <c r="N59" s="22">
        <f t="shared" si="14"/>
        <v>98.862130395004641</v>
      </c>
      <c r="O59" s="22">
        <f t="shared" si="14"/>
        <v>105.93077271824747</v>
      </c>
    </row>
    <row r="60" spans="2:15" ht="14.4" hidden="1" outlineLevel="1" x14ac:dyDescent="0.3">
      <c r="B60" s="26" t="s">
        <v>54</v>
      </c>
      <c r="F60" s="16" t="s">
        <v>55</v>
      </c>
      <c r="G60" s="17">
        <f>G59/F59-1</f>
        <v>0</v>
      </c>
      <c r="H60" s="17">
        <f t="shared" ref="H60" si="15">H59/G59-1</f>
        <v>1.0444444444444443</v>
      </c>
      <c r="I60" s="17">
        <f t="shared" ref="I60" si="16">I59/H59-1</f>
        <v>8.6956521739130377E-2</v>
      </c>
      <c r="J60" s="17">
        <f t="shared" ref="J60" si="17">J59/I59-1</f>
        <v>-0.25</v>
      </c>
      <c r="K60" s="17">
        <f ca="1">OFFSET(K60,$D$28,0)</f>
        <v>5.3999999999999999E-2</v>
      </c>
      <c r="L60" s="17">
        <f t="shared" ref="L60:O60" ca="1" si="18">OFFSET(L60,$D$28,0)</f>
        <v>5.3999999999999999E-2</v>
      </c>
      <c r="M60" s="17">
        <f t="shared" ca="1" si="18"/>
        <v>5.3999999999999999E-2</v>
      </c>
      <c r="N60" s="17">
        <f t="shared" ca="1" si="18"/>
        <v>5.3999999999999999E-2</v>
      </c>
      <c r="O60" s="17">
        <f t="shared" ca="1" si="18"/>
        <v>5.3999999999999999E-2</v>
      </c>
    </row>
    <row r="61" spans="2:15" ht="14.4" hidden="1" outlineLevel="1" x14ac:dyDescent="0.3">
      <c r="B61" s="26" t="s">
        <v>52</v>
      </c>
      <c r="F61" s="16"/>
      <c r="G61" s="17"/>
      <c r="H61" s="17"/>
      <c r="I61" s="17"/>
      <c r="J61" s="17"/>
      <c r="K61" s="18">
        <f>$H$32</f>
        <v>5.3999999999999999E-2</v>
      </c>
      <c r="L61" s="18">
        <f>$H$32</f>
        <v>5.3999999999999999E-2</v>
      </c>
      <c r="M61" s="18">
        <f>$H$32</f>
        <v>5.3999999999999999E-2</v>
      </c>
      <c r="N61" s="18">
        <f>$H$32</f>
        <v>5.3999999999999999E-2</v>
      </c>
      <c r="O61" s="18">
        <f>$H$32</f>
        <v>5.3999999999999999E-2</v>
      </c>
    </row>
    <row r="62" spans="2:15" ht="14.4" hidden="1" outlineLevel="1" x14ac:dyDescent="0.3">
      <c r="B62" s="26" t="s">
        <v>41</v>
      </c>
      <c r="F62" s="16"/>
      <c r="G62" s="17"/>
      <c r="H62" s="17"/>
      <c r="I62" s="17"/>
      <c r="J62" s="17"/>
      <c r="K62" s="19">
        <f>$L$32</f>
        <v>7.1500000000000008E-2</v>
      </c>
      <c r="L62" s="19">
        <f>$L$32</f>
        <v>7.1500000000000008E-2</v>
      </c>
      <c r="M62" s="19">
        <f>$L$32</f>
        <v>7.1500000000000008E-2</v>
      </c>
      <c r="N62" s="19">
        <f>$L$32</f>
        <v>7.1500000000000008E-2</v>
      </c>
      <c r="O62" s="19">
        <f>$L$32</f>
        <v>7.1500000000000008E-2</v>
      </c>
    </row>
    <row r="63" spans="2:15" ht="14.4" hidden="1" outlineLevel="1" x14ac:dyDescent="0.3">
      <c r="B63" s="26" t="s">
        <v>51</v>
      </c>
      <c r="F63" s="16"/>
      <c r="G63" s="17"/>
      <c r="H63" s="17"/>
      <c r="I63" s="17"/>
      <c r="J63" s="17"/>
      <c r="K63" s="18">
        <f>$P$32</f>
        <v>0.08</v>
      </c>
      <c r="L63" s="18">
        <f>$P$32</f>
        <v>0.08</v>
      </c>
      <c r="M63" s="18">
        <f>$P$32</f>
        <v>0.08</v>
      </c>
      <c r="N63" s="18">
        <f>$P$32</f>
        <v>0.08</v>
      </c>
      <c r="O63" s="18">
        <f>$P$32</f>
        <v>0.08</v>
      </c>
    </row>
    <row r="64" spans="2:15" hidden="1" outlineLevel="1" x14ac:dyDescent="0.25"/>
    <row r="65" spans="2:15" hidden="1" outlineLevel="1" x14ac:dyDescent="0.25">
      <c r="B65" s="11" t="s">
        <v>25</v>
      </c>
      <c r="F65" s="81">
        <v>10.416</v>
      </c>
      <c r="G65" s="80">
        <v>17.400000000000002</v>
      </c>
      <c r="H65" s="80">
        <v>64.600000000000009</v>
      </c>
      <c r="I65" s="81">
        <v>66.050000000000011</v>
      </c>
      <c r="J65" s="80">
        <v>63.3</v>
      </c>
      <c r="K65" s="22">
        <f>J65*(1+K68)</f>
        <v>67.825949999999992</v>
      </c>
      <c r="L65" s="22">
        <f t="shared" ref="L65:O65" si="19">K65*(1+L68)</f>
        <v>72.675505424999983</v>
      </c>
      <c r="M65" s="22">
        <f t="shared" si="19"/>
        <v>77.871804062887477</v>
      </c>
      <c r="N65" s="22">
        <f t="shared" si="19"/>
        <v>83.439638053383931</v>
      </c>
      <c r="O65" s="22">
        <f t="shared" si="19"/>
        <v>89.40557217420087</v>
      </c>
    </row>
    <row r="66" spans="2:15" ht="14.4" hidden="1" outlineLevel="1" x14ac:dyDescent="0.3">
      <c r="B66" s="26" t="s">
        <v>54</v>
      </c>
      <c r="F66" s="16" t="s">
        <v>55</v>
      </c>
      <c r="G66" s="17">
        <f>G65/F65-1</f>
        <v>0.67050691244239635</v>
      </c>
      <c r="H66" s="17">
        <f t="shared" ref="H66" si="20">H65/G65-1</f>
        <v>2.7126436781609198</v>
      </c>
      <c r="I66" s="17">
        <f t="shared" ref="I66" si="21">I65/H65-1</f>
        <v>2.244582043343657E-2</v>
      </c>
      <c r="J66" s="17">
        <f>J65/I65-1</f>
        <v>-4.163512490537491E-2</v>
      </c>
      <c r="K66" s="17">
        <f ca="1">OFFSET(K66,$D$28,0)</f>
        <v>5.3999999999999999E-2</v>
      </c>
      <c r="L66" s="17">
        <f t="shared" ref="L66:O66" ca="1" si="22">OFFSET(L66,$D$28,0)</f>
        <v>5.3999999999999999E-2</v>
      </c>
      <c r="M66" s="17">
        <f t="shared" ca="1" si="22"/>
        <v>5.3999999999999999E-2</v>
      </c>
      <c r="N66" s="17">
        <f t="shared" ca="1" si="22"/>
        <v>5.3999999999999999E-2</v>
      </c>
      <c r="O66" s="17">
        <f t="shared" ca="1" si="22"/>
        <v>5.3999999999999999E-2</v>
      </c>
    </row>
    <row r="67" spans="2:15" ht="14.4" hidden="1" outlineLevel="1" x14ac:dyDescent="0.3">
      <c r="B67" s="26" t="s">
        <v>52</v>
      </c>
      <c r="F67" s="16"/>
      <c r="G67" s="17"/>
      <c r="H67" s="17"/>
      <c r="I67" s="17"/>
      <c r="J67" s="17"/>
      <c r="K67" s="18">
        <f>$H$32</f>
        <v>5.3999999999999999E-2</v>
      </c>
      <c r="L67" s="18">
        <f>$H$32</f>
        <v>5.3999999999999999E-2</v>
      </c>
      <c r="M67" s="18">
        <f>$H$32</f>
        <v>5.3999999999999999E-2</v>
      </c>
      <c r="N67" s="18">
        <f>$H$32</f>
        <v>5.3999999999999999E-2</v>
      </c>
      <c r="O67" s="18">
        <f>$H$32</f>
        <v>5.3999999999999999E-2</v>
      </c>
    </row>
    <row r="68" spans="2:15" ht="14.4" hidden="1" outlineLevel="1" x14ac:dyDescent="0.3">
      <c r="B68" s="26" t="s">
        <v>41</v>
      </c>
      <c r="F68" s="16"/>
      <c r="G68" s="17"/>
      <c r="H68" s="17"/>
      <c r="I68" s="17"/>
      <c r="J68" s="17"/>
      <c r="K68" s="19">
        <f>$L$32</f>
        <v>7.1500000000000008E-2</v>
      </c>
      <c r="L68" s="19">
        <f>$L$32</f>
        <v>7.1500000000000008E-2</v>
      </c>
      <c r="M68" s="19">
        <f>$L$32</f>
        <v>7.1500000000000008E-2</v>
      </c>
      <c r="N68" s="19">
        <f>$L$32</f>
        <v>7.1500000000000008E-2</v>
      </c>
      <c r="O68" s="19">
        <f>$L$32</f>
        <v>7.1500000000000008E-2</v>
      </c>
    </row>
    <row r="69" spans="2:15" ht="14.4" hidden="1" outlineLevel="1" x14ac:dyDescent="0.3">
      <c r="B69" s="26" t="s">
        <v>51</v>
      </c>
      <c r="F69" s="16"/>
      <c r="G69" s="17"/>
      <c r="H69" s="17"/>
      <c r="I69" s="17"/>
      <c r="J69" s="17"/>
      <c r="K69" s="18">
        <f>$P$32</f>
        <v>0.08</v>
      </c>
      <c r="L69" s="18">
        <f>$P$32</f>
        <v>0.08</v>
      </c>
      <c r="M69" s="18">
        <f>$P$32</f>
        <v>0.08</v>
      </c>
      <c r="N69" s="18">
        <f>$P$32</f>
        <v>0.08</v>
      </c>
      <c r="O69" s="18">
        <f>$P$32</f>
        <v>0.08</v>
      </c>
    </row>
    <row r="70" spans="2:15" collapsed="1" x14ac:dyDescent="0.25"/>
    <row r="71" spans="2:15" x14ac:dyDescent="0.25">
      <c r="B71" s="20" t="s">
        <v>57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</row>
    <row r="72" spans="2:15" hidden="1" outlineLevel="1" x14ac:dyDescent="0.25">
      <c r="B72" s="11" t="s">
        <v>15</v>
      </c>
      <c r="F72" s="82">
        <v>385600</v>
      </c>
      <c r="G72" s="82">
        <v>516900</v>
      </c>
      <c r="H72" s="82">
        <v>421357.64999999997</v>
      </c>
      <c r="I72" s="82">
        <v>414800</v>
      </c>
      <c r="J72" s="82">
        <v>359000</v>
      </c>
      <c r="K72" s="22">
        <f>K73*K41*10</f>
        <v>365435.07499999995</v>
      </c>
      <c r="L72" s="22">
        <f t="shared" ref="L72:O72" si="23">L73*L41*10</f>
        <v>381774.59079093736</v>
      </c>
      <c r="M72" s="22">
        <f t="shared" si="23"/>
        <v>409071.47403248935</v>
      </c>
      <c r="N72" s="22">
        <f t="shared" si="23"/>
        <v>449278.08653645765</v>
      </c>
      <c r="O72" s="22">
        <f t="shared" si="23"/>
        <v>505471.54321000498</v>
      </c>
    </row>
    <row r="73" spans="2:15" hidden="1" outlineLevel="1" x14ac:dyDescent="0.25">
      <c r="B73" s="8" t="s">
        <v>56</v>
      </c>
      <c r="F73" s="22">
        <f>F72/(F41*10)</f>
        <v>8763.636363636364</v>
      </c>
      <c r="G73" s="22">
        <f t="shared" ref="G73:J73" si="24">G72/(G41*10)</f>
        <v>9398.181818181818</v>
      </c>
      <c r="H73" s="22">
        <f t="shared" si="24"/>
        <v>7022.6274999999996</v>
      </c>
      <c r="I73" s="22">
        <f t="shared" si="24"/>
        <v>6381.5384615384619</v>
      </c>
      <c r="J73" s="22">
        <f t="shared" si="24"/>
        <v>5983.333333333333</v>
      </c>
      <c r="K73" s="22">
        <f>J73*(1+K76)</f>
        <v>5684.1666666666661</v>
      </c>
      <c r="L73" s="22">
        <f t="shared" ref="L73:O73" si="25">K73*(1+L76)</f>
        <v>5542.0624999999991</v>
      </c>
      <c r="M73" s="22">
        <f t="shared" si="25"/>
        <v>5542.0624999999991</v>
      </c>
      <c r="N73" s="22">
        <f t="shared" si="25"/>
        <v>5680.6140624999989</v>
      </c>
      <c r="O73" s="22">
        <f t="shared" si="25"/>
        <v>5964.6447656249993</v>
      </c>
    </row>
    <row r="74" spans="2:15" ht="14.4" hidden="1" outlineLevel="1" x14ac:dyDescent="0.3">
      <c r="B74" s="26" t="s">
        <v>54</v>
      </c>
      <c r="F74" s="16"/>
      <c r="K74" s="17">
        <f ca="1">OFFSET(K74,$D$28,0)</f>
        <v>-0.06</v>
      </c>
      <c r="L74" s="17">
        <f t="shared" ref="L74:O74" ca="1" si="26">OFFSET(L74,$D$28,0)</f>
        <v>-4.2499999999999996E-2</v>
      </c>
      <c r="M74" s="17">
        <f t="shared" ca="1" si="26"/>
        <v>-2.4999999999999998E-2</v>
      </c>
      <c r="N74" s="17">
        <f t="shared" ca="1" si="26"/>
        <v>-7.4999999999999997E-3</v>
      </c>
      <c r="O74" s="17">
        <f t="shared" ca="1" si="26"/>
        <v>0.01</v>
      </c>
    </row>
    <row r="75" spans="2:15" ht="14.4" hidden="1" outlineLevel="1" x14ac:dyDescent="0.3">
      <c r="B75" s="26" t="s">
        <v>52</v>
      </c>
      <c r="F75" s="16"/>
      <c r="G75" s="17"/>
      <c r="H75" s="17"/>
      <c r="I75" s="17"/>
      <c r="J75" s="17"/>
      <c r="K75" s="83">
        <v>-0.06</v>
      </c>
      <c r="L75" s="19">
        <f>K75+($O75-$K75)/4</f>
        <v>-4.2499999999999996E-2</v>
      </c>
      <c r="M75" s="19">
        <f t="shared" ref="M75:N77" si="27">L75+($O75-$K75)/4</f>
        <v>-2.4999999999999998E-2</v>
      </c>
      <c r="N75" s="19">
        <f t="shared" si="27"/>
        <v>-7.4999999999999997E-3</v>
      </c>
      <c r="O75" s="83">
        <v>0.01</v>
      </c>
    </row>
    <row r="76" spans="2:15" ht="14.4" hidden="1" outlineLevel="1" x14ac:dyDescent="0.3">
      <c r="B76" s="26" t="s">
        <v>41</v>
      </c>
      <c r="F76" s="16"/>
      <c r="G76" s="17">
        <f>G73/F73-1</f>
        <v>7.2406639004149342E-2</v>
      </c>
      <c r="H76" s="17">
        <f t="shared" ref="H76:J76" si="28">H73/G73-1</f>
        <v>-0.25276743567421167</v>
      </c>
      <c r="I76" s="17">
        <f t="shared" si="28"/>
        <v>-9.1289056476587693E-2</v>
      </c>
      <c r="J76" s="17">
        <f t="shared" si="28"/>
        <v>-6.2399549983928049E-2</v>
      </c>
      <c r="K76" s="83">
        <v>-0.05</v>
      </c>
      <c r="L76" s="19">
        <f>K76+($O76-$K76)/4</f>
        <v>-2.5000000000000001E-2</v>
      </c>
      <c r="M76" s="19">
        <f t="shared" si="27"/>
        <v>0</v>
      </c>
      <c r="N76" s="19">
        <f t="shared" si="27"/>
        <v>2.5000000000000001E-2</v>
      </c>
      <c r="O76" s="83">
        <v>0.05</v>
      </c>
    </row>
    <row r="77" spans="2:15" ht="14.4" hidden="1" outlineLevel="1" x14ac:dyDescent="0.3">
      <c r="B77" s="26" t="s">
        <v>51</v>
      </c>
      <c r="F77" s="16"/>
      <c r="G77" s="17"/>
      <c r="H77" s="17"/>
      <c r="I77" s="17"/>
      <c r="J77" s="17"/>
      <c r="K77" s="83">
        <v>0</v>
      </c>
      <c r="L77" s="19">
        <f>K77+($O77-$K77)/4</f>
        <v>1.2500000000000001E-2</v>
      </c>
      <c r="M77" s="19">
        <f t="shared" si="27"/>
        <v>2.5000000000000001E-2</v>
      </c>
      <c r="N77" s="19">
        <f t="shared" si="27"/>
        <v>3.7500000000000006E-2</v>
      </c>
      <c r="O77" s="83">
        <v>0.05</v>
      </c>
    </row>
    <row r="78" spans="2:15" hidden="1" outlineLevel="1" x14ac:dyDescent="0.25">
      <c r="F78" s="22"/>
      <c r="G78" s="22"/>
      <c r="H78" s="22"/>
      <c r="I78" s="22"/>
      <c r="J78" s="22"/>
      <c r="K78" s="22"/>
      <c r="L78" s="22"/>
      <c r="M78" s="22"/>
      <c r="N78" s="22"/>
      <c r="O78" s="22"/>
    </row>
    <row r="79" spans="2:15" hidden="1" outlineLevel="1" x14ac:dyDescent="0.25">
      <c r="B79" s="11" t="s">
        <v>16</v>
      </c>
      <c r="F79" s="82">
        <v>110400</v>
      </c>
      <c r="G79" s="82">
        <v>128400</v>
      </c>
      <c r="H79" s="82">
        <v>108349.11</v>
      </c>
      <c r="I79" s="82">
        <v>78700</v>
      </c>
      <c r="J79" s="82">
        <v>136600</v>
      </c>
      <c r="K79" s="22">
        <f>K80*K47*10</f>
        <v>141975.89299999998</v>
      </c>
      <c r="L79" s="22">
        <f t="shared" ref="L79:O79" si="29">L80*L47*10</f>
        <v>150605.89765600496</v>
      </c>
      <c r="M79" s="22">
        <f t="shared" si="29"/>
        <v>162987.96153179338</v>
      </c>
      <c r="N79" s="22">
        <f t="shared" si="29"/>
        <v>179880.84880475607</v>
      </c>
      <c r="O79" s="22">
        <f t="shared" si="29"/>
        <v>202379.44596901094</v>
      </c>
    </row>
    <row r="80" spans="2:15" hidden="1" outlineLevel="1" x14ac:dyDescent="0.25">
      <c r="B80" s="8" t="s">
        <v>56</v>
      </c>
      <c r="F80" s="22">
        <f>F79/(F47*10)</f>
        <v>36.799999999999997</v>
      </c>
      <c r="G80" s="22">
        <f t="shared" ref="G80:J80" si="30">G79/(G47*10)</f>
        <v>33.968253968253968</v>
      </c>
      <c r="H80" s="22">
        <f t="shared" si="30"/>
        <v>29.44269293478261</v>
      </c>
      <c r="I80" s="22">
        <f t="shared" si="30"/>
        <v>30.26923076923077</v>
      </c>
      <c r="J80" s="22">
        <f t="shared" si="30"/>
        <v>51.742424242424242</v>
      </c>
      <c r="K80" s="22">
        <f>J80*(1+K83)</f>
        <v>50.190151515151513</v>
      </c>
      <c r="L80" s="22">
        <f t="shared" ref="L80:O80" si="31">K80*(1+L83)</f>
        <v>49.688249999999996</v>
      </c>
      <c r="M80" s="22">
        <f t="shared" si="31"/>
        <v>50.185132499999995</v>
      </c>
      <c r="N80" s="22">
        <f t="shared" si="31"/>
        <v>51.690686474999993</v>
      </c>
      <c r="O80" s="22">
        <f t="shared" si="31"/>
        <v>54.275220798749992</v>
      </c>
    </row>
    <row r="81" spans="2:15" ht="14.4" hidden="1" outlineLevel="1" x14ac:dyDescent="0.3">
      <c r="B81" s="26" t="s">
        <v>54</v>
      </c>
      <c r="F81" s="16"/>
      <c r="K81" s="17">
        <f ca="1">OFFSET(K81,$D$28,0)</f>
        <v>-0.06</v>
      </c>
      <c r="L81" s="17">
        <f t="shared" ref="L81:O81" ca="1" si="32">OFFSET(L81,$D$28,0)</f>
        <v>-4.2499999999999996E-2</v>
      </c>
      <c r="M81" s="17">
        <f t="shared" ca="1" si="32"/>
        <v>-2.4999999999999998E-2</v>
      </c>
      <c r="N81" s="17">
        <f t="shared" ca="1" si="32"/>
        <v>-7.4999999999999997E-3</v>
      </c>
      <c r="O81" s="17">
        <f t="shared" ca="1" si="32"/>
        <v>0.01</v>
      </c>
    </row>
    <row r="82" spans="2:15" ht="14.4" hidden="1" outlineLevel="1" x14ac:dyDescent="0.3">
      <c r="B82" s="26" t="s">
        <v>52</v>
      </c>
      <c r="F82" s="16"/>
      <c r="G82" s="17"/>
      <c r="H82" s="17"/>
      <c r="I82" s="17"/>
      <c r="J82" s="17"/>
      <c r="K82" s="83">
        <v>-0.06</v>
      </c>
      <c r="L82" s="19">
        <f>K82+($O82-$K82)/4</f>
        <v>-4.2499999999999996E-2</v>
      </c>
      <c r="M82" s="19">
        <f t="shared" ref="M82:N82" si="33">L82+($O82-$K82)/4</f>
        <v>-2.4999999999999998E-2</v>
      </c>
      <c r="N82" s="19">
        <f t="shared" si="33"/>
        <v>-7.4999999999999997E-3</v>
      </c>
      <c r="O82" s="83">
        <v>0.01</v>
      </c>
    </row>
    <row r="83" spans="2:15" ht="14.4" hidden="1" outlineLevel="1" x14ac:dyDescent="0.3">
      <c r="B83" s="26" t="s">
        <v>41</v>
      </c>
      <c r="F83" s="16"/>
      <c r="G83" s="17">
        <f>G80/F80-1</f>
        <v>-7.6949620427881227E-2</v>
      </c>
      <c r="H83" s="17">
        <f t="shared" ref="H83:J83" si="34">H80/G80-1</f>
        <v>-0.13322913322836238</v>
      </c>
      <c r="I83" s="17">
        <f t="shared" si="34"/>
        <v>2.8072766179336739E-2</v>
      </c>
      <c r="J83" s="17">
        <f t="shared" si="34"/>
        <v>0.70940664587424429</v>
      </c>
      <c r="K83" s="83">
        <v>-0.03</v>
      </c>
      <c r="L83" s="19">
        <f>K83+($O83-$K83)/4</f>
        <v>-9.9999999999999985E-3</v>
      </c>
      <c r="M83" s="19">
        <f t="shared" ref="M83:N83" si="35">L83+($O83-$K83)/4</f>
        <v>1.0000000000000002E-2</v>
      </c>
      <c r="N83" s="19">
        <f t="shared" si="35"/>
        <v>3.0000000000000002E-2</v>
      </c>
      <c r="O83" s="83">
        <v>0.05</v>
      </c>
    </row>
    <row r="84" spans="2:15" ht="14.4" hidden="1" outlineLevel="1" x14ac:dyDescent="0.3">
      <c r="B84" s="26" t="s">
        <v>51</v>
      </c>
      <c r="F84" s="16"/>
      <c r="G84" s="17"/>
      <c r="H84" s="17"/>
      <c r="I84" s="17"/>
      <c r="J84" s="17"/>
      <c r="K84" s="83">
        <v>0</v>
      </c>
      <c r="L84" s="19">
        <f>K84+($O84-$K84)/4</f>
        <v>1.2500000000000001E-2</v>
      </c>
      <c r="M84" s="19">
        <f t="shared" ref="M84:N84" si="36">L84+($O84-$K84)/4</f>
        <v>2.5000000000000001E-2</v>
      </c>
      <c r="N84" s="19">
        <f t="shared" si="36"/>
        <v>3.7500000000000006E-2</v>
      </c>
      <c r="O84" s="83">
        <v>0.05</v>
      </c>
    </row>
    <row r="85" spans="2:15" hidden="1" outlineLevel="1" x14ac:dyDescent="0.25">
      <c r="F85" s="22"/>
      <c r="G85" s="22"/>
      <c r="H85" s="22"/>
      <c r="I85" s="22"/>
      <c r="J85" s="22"/>
      <c r="K85" s="22"/>
      <c r="L85" s="22"/>
      <c r="M85" s="22"/>
      <c r="N85" s="22"/>
      <c r="O85" s="22"/>
    </row>
    <row r="86" spans="2:15" hidden="1" outlineLevel="1" x14ac:dyDescent="0.25">
      <c r="B86" s="11" t="s">
        <v>17</v>
      </c>
      <c r="F86" s="82">
        <v>43100</v>
      </c>
      <c r="G86" s="82">
        <v>70900</v>
      </c>
      <c r="H86" s="82">
        <v>108349.11</v>
      </c>
      <c r="I86" s="82">
        <v>120500</v>
      </c>
      <c r="J86" s="82">
        <v>86100</v>
      </c>
      <c r="K86" s="22">
        <f>K87*K53*10</f>
        <v>84875.657999999996</v>
      </c>
      <c r="L86" s="22">
        <f t="shared" ref="L86:O86" si="37">L87*L53*10</f>
        <v>84123.447480974995</v>
      </c>
      <c r="M86" s="22">
        <f t="shared" si="37"/>
        <v>83828.594797554179</v>
      </c>
      <c r="N86" s="22">
        <f t="shared" si="37"/>
        <v>83983.887269416664</v>
      </c>
      <c r="O86" s="22">
        <f t="shared" si="37"/>
        <v>84589.411096629134</v>
      </c>
    </row>
    <row r="87" spans="2:15" hidden="1" outlineLevel="1" x14ac:dyDescent="0.25">
      <c r="B87" s="8" t="s">
        <v>56</v>
      </c>
      <c r="F87" s="22">
        <f>F86/(F53*10)</f>
        <v>3591.6666666666665</v>
      </c>
      <c r="G87" s="22">
        <f t="shared" ref="G87:J87" si="38">G86/(G53*10)</f>
        <v>2954.1666666666665</v>
      </c>
      <c r="H87" s="22">
        <f t="shared" si="38"/>
        <v>3611.6370000000002</v>
      </c>
      <c r="I87" s="22">
        <f t="shared" si="38"/>
        <v>4016.6666666666665</v>
      </c>
      <c r="J87" s="22">
        <f t="shared" si="38"/>
        <v>2870</v>
      </c>
      <c r="K87" s="22">
        <f>J87*(1+K90)</f>
        <v>2640.4</v>
      </c>
      <c r="L87" s="22">
        <f t="shared" ref="L87:O87" si="39">K87*(1+L90)</f>
        <v>2442.3700000000003</v>
      </c>
      <c r="M87" s="22">
        <f t="shared" si="39"/>
        <v>2271.4041000000007</v>
      </c>
      <c r="N87" s="22">
        <f t="shared" si="39"/>
        <v>2123.7628335000009</v>
      </c>
      <c r="O87" s="22">
        <f t="shared" si="39"/>
        <v>1996.3370634900007</v>
      </c>
    </row>
    <row r="88" spans="2:15" ht="14.4" hidden="1" outlineLevel="1" x14ac:dyDescent="0.3">
      <c r="B88" s="26" t="s">
        <v>54</v>
      </c>
      <c r="F88" s="16"/>
      <c r="K88" s="17">
        <f ca="1">OFFSET(K88,$D$28,0)</f>
        <v>-0.15</v>
      </c>
      <c r="L88" s="17">
        <f t="shared" ref="L88:O88" ca="1" si="40">OFFSET(L88,$D$28,0)</f>
        <v>-0.13375000000000001</v>
      </c>
      <c r="M88" s="17">
        <f t="shared" ca="1" si="40"/>
        <v>-0.11750000000000001</v>
      </c>
      <c r="N88" s="17">
        <f t="shared" ca="1" si="40"/>
        <v>-0.10125000000000001</v>
      </c>
      <c r="O88" s="17">
        <f t="shared" ca="1" si="40"/>
        <v>-8.5000000000000006E-2</v>
      </c>
    </row>
    <row r="89" spans="2:15" ht="14.4" hidden="1" outlineLevel="1" x14ac:dyDescent="0.3">
      <c r="B89" s="26" t="s">
        <v>52</v>
      </c>
      <c r="F89" s="16"/>
      <c r="G89" s="17"/>
      <c r="H89" s="17"/>
      <c r="I89" s="17"/>
      <c r="J89" s="17"/>
      <c r="K89" s="83">
        <v>-0.15</v>
      </c>
      <c r="L89" s="19">
        <f>K89+($O89-$K89)/4</f>
        <v>-0.13375000000000001</v>
      </c>
      <c r="M89" s="19">
        <f t="shared" ref="M89:N89" si="41">L89+($O89-$K89)/4</f>
        <v>-0.11750000000000001</v>
      </c>
      <c r="N89" s="19">
        <f t="shared" si="41"/>
        <v>-0.10125000000000001</v>
      </c>
      <c r="O89" s="83">
        <v>-8.5000000000000006E-2</v>
      </c>
    </row>
    <row r="90" spans="2:15" ht="14.4" hidden="1" outlineLevel="1" x14ac:dyDescent="0.3">
      <c r="B90" s="26" t="s">
        <v>41</v>
      </c>
      <c r="F90" s="16"/>
      <c r="G90" s="17">
        <f>G87/F87-1</f>
        <v>-0.1774941995359629</v>
      </c>
      <c r="H90" s="17">
        <f t="shared" ref="H90:J90" si="42">H87/G87-1</f>
        <v>0.22255695345557136</v>
      </c>
      <c r="I90" s="17">
        <f t="shared" si="42"/>
        <v>0.1121457296695838</v>
      </c>
      <c r="J90" s="17">
        <f t="shared" si="42"/>
        <v>-0.2854771784232365</v>
      </c>
      <c r="K90" s="83">
        <v>-0.08</v>
      </c>
      <c r="L90" s="19">
        <f>K90+($O90-$K90)/4</f>
        <v>-7.4999999999999997E-2</v>
      </c>
      <c r="M90" s="19">
        <f t="shared" ref="M90:N90" si="43">L90+($O90-$K90)/4</f>
        <v>-6.9999999999999993E-2</v>
      </c>
      <c r="N90" s="19">
        <f t="shared" si="43"/>
        <v>-6.4999999999999988E-2</v>
      </c>
      <c r="O90" s="83">
        <v>-0.06</v>
      </c>
    </row>
    <row r="91" spans="2:15" ht="14.4" hidden="1" outlineLevel="1" x14ac:dyDescent="0.3">
      <c r="B91" s="26" t="s">
        <v>51</v>
      </c>
      <c r="F91" s="16"/>
      <c r="G91" s="17"/>
      <c r="H91" s="17"/>
      <c r="I91" s="17"/>
      <c r="J91" s="17"/>
      <c r="K91" s="83">
        <v>-0.06</v>
      </c>
      <c r="L91" s="19">
        <f>K91+($O91-$K91)/4</f>
        <v>-4.2499999999999996E-2</v>
      </c>
      <c r="M91" s="19">
        <f t="shared" ref="M91:N91" si="44">L91+($O91-$K91)/4</f>
        <v>-2.4999999999999998E-2</v>
      </c>
      <c r="N91" s="19">
        <f t="shared" si="44"/>
        <v>-7.4999999999999997E-3</v>
      </c>
      <c r="O91" s="83">
        <v>0.01</v>
      </c>
    </row>
    <row r="92" spans="2:15" hidden="1" outlineLevel="1" x14ac:dyDescent="0.25">
      <c r="F92" s="22"/>
      <c r="G92" s="22"/>
      <c r="H92" s="22"/>
      <c r="I92" s="22"/>
      <c r="J92" s="22"/>
      <c r="K92" s="22"/>
      <c r="L92" s="22"/>
      <c r="M92" s="22"/>
      <c r="N92" s="22"/>
      <c r="O92" s="22"/>
    </row>
    <row r="93" spans="2:15" hidden="1" outlineLevel="1" x14ac:dyDescent="0.25">
      <c r="B93" s="11" t="s">
        <v>21</v>
      </c>
      <c r="F93" s="82">
        <v>84000</v>
      </c>
      <c r="G93" s="82">
        <v>313800</v>
      </c>
      <c r="H93" s="82">
        <v>517667.97</v>
      </c>
      <c r="I93" s="82">
        <v>1091900</v>
      </c>
      <c r="J93" s="82">
        <v>3226580</v>
      </c>
      <c r="K93" s="22">
        <f>K94*K59*10</f>
        <v>4100334.6374199996</v>
      </c>
      <c r="L93" s="22">
        <f t="shared" ref="L93:O93" si="45">L94*L59*10</f>
        <v>5109650.4599267999</v>
      </c>
      <c r="M93" s="22">
        <f t="shared" si="45"/>
        <v>6241489.1333051855</v>
      </c>
      <c r="N93" s="22">
        <f t="shared" si="45"/>
        <v>7470223.012277876</v>
      </c>
      <c r="O93" s="22">
        <f t="shared" si="45"/>
        <v>8756752.2896753848</v>
      </c>
    </row>
    <row r="94" spans="2:15" hidden="1" outlineLevel="1" x14ac:dyDescent="0.25">
      <c r="B94" s="8" t="s">
        <v>56</v>
      </c>
      <c r="F94" s="22">
        <f>F93/(F59*10)</f>
        <v>186.66666666666666</v>
      </c>
      <c r="G94" s="22">
        <f t="shared" ref="G94:J94" si="46">G93/(G59*10)</f>
        <v>697.33333333333337</v>
      </c>
      <c r="H94" s="22">
        <f t="shared" si="46"/>
        <v>562.68257608695649</v>
      </c>
      <c r="I94" s="22">
        <f t="shared" si="46"/>
        <v>1091.9000000000001</v>
      </c>
      <c r="J94" s="22">
        <f t="shared" si="46"/>
        <v>4302.1066666666666</v>
      </c>
      <c r="K94" s="22">
        <f>J94*(1+K97)</f>
        <v>5102.2985066666661</v>
      </c>
      <c r="L94" s="22">
        <f t="shared" ref="L94:O94" si="47">K94*(1+L97)</f>
        <v>5933.973163253333</v>
      </c>
      <c r="M94" s="22">
        <f t="shared" si="47"/>
        <v>6764.7294061088005</v>
      </c>
      <c r="N94" s="22">
        <f t="shared" si="47"/>
        <v>7556.2027466235304</v>
      </c>
      <c r="O94" s="22">
        <f t="shared" si="47"/>
        <v>8266.4858048061433</v>
      </c>
    </row>
    <row r="95" spans="2:15" ht="14.4" hidden="1" outlineLevel="1" x14ac:dyDescent="0.3">
      <c r="B95" s="26" t="s">
        <v>54</v>
      </c>
      <c r="F95" s="16"/>
      <c r="K95" s="17">
        <f ca="1">OFFSET(K95,$D$28,0)</f>
        <v>0.16400000000000001</v>
      </c>
      <c r="L95" s="17">
        <f t="shared" ref="L95:O95" ca="1" si="48">OFFSET(L95,$D$28,0)</f>
        <v>0.14175000000000001</v>
      </c>
      <c r="M95" s="17">
        <f t="shared" ca="1" si="48"/>
        <v>0.11950000000000001</v>
      </c>
      <c r="N95" s="17">
        <f t="shared" ca="1" si="48"/>
        <v>9.7250000000000003E-2</v>
      </c>
      <c r="O95" s="17">
        <f t="shared" ca="1" si="48"/>
        <v>7.4999999999999997E-2</v>
      </c>
    </row>
    <row r="96" spans="2:15" ht="14.4" hidden="1" outlineLevel="1" x14ac:dyDescent="0.3">
      <c r="B96" s="26" t="s">
        <v>52</v>
      </c>
      <c r="F96" s="16"/>
      <c r="G96" s="17"/>
      <c r="H96" s="17"/>
      <c r="I96" s="17"/>
      <c r="J96" s="17"/>
      <c r="K96" s="83">
        <v>0.16400000000000001</v>
      </c>
      <c r="L96" s="19">
        <f>K96+($O96-$K96)/4</f>
        <v>0.14175000000000001</v>
      </c>
      <c r="M96" s="19">
        <f t="shared" ref="M96:N96" si="49">L96+($O96-$K96)/4</f>
        <v>0.11950000000000001</v>
      </c>
      <c r="N96" s="19">
        <f t="shared" si="49"/>
        <v>9.7250000000000003E-2</v>
      </c>
      <c r="O96" s="83">
        <v>7.4999999999999997E-2</v>
      </c>
    </row>
    <row r="97" spans="2:16" ht="14.4" hidden="1" outlineLevel="1" x14ac:dyDescent="0.3">
      <c r="B97" s="26" t="s">
        <v>41</v>
      </c>
      <c r="F97" s="16"/>
      <c r="G97" s="17">
        <f>G94/F94-1</f>
        <v>2.7357142857142862</v>
      </c>
      <c r="H97" s="17">
        <f t="shared" ref="H97:J97" si="50">H94/G94-1</f>
        <v>-0.19309382014298793</v>
      </c>
      <c r="I97" s="17">
        <f t="shared" si="50"/>
        <v>0.94052570028622817</v>
      </c>
      <c r="J97" s="17">
        <f t="shared" si="50"/>
        <v>2.9400189272521899</v>
      </c>
      <c r="K97" s="83">
        <v>0.186</v>
      </c>
      <c r="L97" s="19">
        <f>K97+($O97-$K97)/4</f>
        <v>0.16300000000000001</v>
      </c>
      <c r="M97" s="19">
        <f t="shared" ref="M97:N97" si="51">L97+($O97-$K97)/4</f>
        <v>0.14000000000000001</v>
      </c>
      <c r="N97" s="19">
        <f t="shared" si="51"/>
        <v>0.11700000000000002</v>
      </c>
      <c r="O97" s="83">
        <v>9.4E-2</v>
      </c>
    </row>
    <row r="98" spans="2:16" ht="14.4" hidden="1" outlineLevel="1" x14ac:dyDescent="0.3">
      <c r="B98" s="26" t="s">
        <v>51</v>
      </c>
      <c r="F98" s="16"/>
      <c r="G98" s="17"/>
      <c r="H98" s="17"/>
      <c r="I98" s="17"/>
      <c r="J98" s="17"/>
      <c r="K98" s="83">
        <v>0.35</v>
      </c>
      <c r="L98" s="19">
        <f>K98+($O98-$K98)/4</f>
        <v>0.29249999999999998</v>
      </c>
      <c r="M98" s="19">
        <f t="shared" ref="M98:N98" si="52">L98+($O98-$K98)/4</f>
        <v>0.23499999999999999</v>
      </c>
      <c r="N98" s="19">
        <f t="shared" si="52"/>
        <v>0.17749999999999999</v>
      </c>
      <c r="O98" s="83">
        <v>0.12</v>
      </c>
    </row>
    <row r="99" spans="2:16" hidden="1" outlineLevel="1" x14ac:dyDescent="0.25">
      <c r="F99" s="22"/>
      <c r="G99" s="22"/>
      <c r="H99" s="22"/>
      <c r="I99" s="22"/>
      <c r="J99" s="22"/>
      <c r="K99" s="22"/>
      <c r="L99" s="22"/>
      <c r="M99" s="22"/>
      <c r="N99" s="22"/>
      <c r="O99" s="22"/>
    </row>
    <row r="100" spans="2:16" hidden="1" outlineLevel="1" x14ac:dyDescent="0.25">
      <c r="B100" s="11" t="s">
        <v>25</v>
      </c>
      <c r="F100" s="82">
        <v>13091</v>
      </c>
      <c r="G100" s="82">
        <v>22372</v>
      </c>
      <c r="H100" s="82">
        <v>48155.160000000178</v>
      </c>
      <c r="I100" s="82">
        <v>43885</v>
      </c>
      <c r="J100" s="82">
        <v>37554</v>
      </c>
      <c r="K100" s="22">
        <f>K101*K65*10</f>
        <v>37019.982119999993</v>
      </c>
      <c r="L100" s="22">
        <f t="shared" ref="L100:O100" si="53">L101*L65*10</f>
        <v>37564.564566976253</v>
      </c>
      <c r="M100" s="22">
        <f t="shared" si="53"/>
        <v>39203.919729243658</v>
      </c>
      <c r="N100" s="22">
        <f t="shared" si="53"/>
        <v>42049.006989874462</v>
      </c>
      <c r="O100" s="22">
        <f t="shared" si="53"/>
        <v>46317.065297360685</v>
      </c>
    </row>
    <row r="101" spans="2:16" hidden="1" outlineLevel="1" x14ac:dyDescent="0.25">
      <c r="B101" s="8" t="s">
        <v>56</v>
      </c>
      <c r="F101" s="22">
        <f>F100/(F65*10)</f>
        <v>125.68164362519201</v>
      </c>
      <c r="G101" s="22">
        <f t="shared" ref="G101:J101" si="54">G100/(G65*10)</f>
        <v>128.57471264367814</v>
      </c>
      <c r="H101" s="22">
        <f t="shared" si="54"/>
        <v>74.54359133126961</v>
      </c>
      <c r="I101" s="22">
        <f t="shared" si="54"/>
        <v>66.442089326267961</v>
      </c>
      <c r="J101" s="22">
        <f t="shared" si="54"/>
        <v>59.327014218009481</v>
      </c>
      <c r="K101" s="22">
        <f>J101*(1+K104)</f>
        <v>54.580853080568723</v>
      </c>
      <c r="L101" s="22">
        <f t="shared" ref="L101:O101" si="55">K101*(1+L104)</f>
        <v>51.688067867298578</v>
      </c>
      <c r="M101" s="22">
        <f t="shared" si="55"/>
        <v>50.344178102748813</v>
      </c>
      <c r="N101" s="22">
        <f t="shared" si="55"/>
        <v>50.394522280851554</v>
      </c>
      <c r="O101" s="22">
        <f t="shared" si="55"/>
        <v>51.8055689047154</v>
      </c>
    </row>
    <row r="102" spans="2:16" ht="14.4" hidden="1" outlineLevel="1" x14ac:dyDescent="0.3">
      <c r="B102" s="26" t="s">
        <v>54</v>
      </c>
      <c r="F102" s="16"/>
      <c r="K102" s="17">
        <f ca="1">OFFSET(K102,$D$28,0)</f>
        <v>-0.06</v>
      </c>
      <c r="L102" s="17">
        <f t="shared" ref="L102:O102" ca="1" si="56">OFFSET(L102,$D$28,0)</f>
        <v>-4.2499999999999996E-2</v>
      </c>
      <c r="M102" s="17">
        <f t="shared" ca="1" si="56"/>
        <v>-2.4999999999999998E-2</v>
      </c>
      <c r="N102" s="17">
        <f t="shared" ca="1" si="56"/>
        <v>-7.4999999999999997E-3</v>
      </c>
      <c r="O102" s="17">
        <f t="shared" ca="1" si="56"/>
        <v>0.01</v>
      </c>
    </row>
    <row r="103" spans="2:16" ht="14.4" hidden="1" outlineLevel="1" x14ac:dyDescent="0.3">
      <c r="B103" s="26" t="s">
        <v>52</v>
      </c>
      <c r="F103" s="16"/>
      <c r="G103" s="17"/>
      <c r="H103" s="17"/>
      <c r="I103" s="17"/>
      <c r="J103" s="17"/>
      <c r="K103" s="83">
        <v>-0.06</v>
      </c>
      <c r="L103" s="19">
        <f>K103+($O103-$K103)/4</f>
        <v>-4.2499999999999996E-2</v>
      </c>
      <c r="M103" s="19">
        <f t="shared" ref="M103:N103" si="57">L103+($O103-$K103)/4</f>
        <v>-2.4999999999999998E-2</v>
      </c>
      <c r="N103" s="19">
        <f t="shared" si="57"/>
        <v>-7.4999999999999997E-3</v>
      </c>
      <c r="O103" s="83">
        <v>0.01</v>
      </c>
    </row>
    <row r="104" spans="2:16" ht="14.4" hidden="1" outlineLevel="1" x14ac:dyDescent="0.3">
      <c r="B104" s="26" t="s">
        <v>41</v>
      </c>
      <c r="F104" s="16"/>
      <c r="G104" s="17">
        <f>G101/F101-1</f>
        <v>2.3019025969407636E-2</v>
      </c>
      <c r="H104" s="17">
        <f t="shared" ref="H104:J104" si="58">H101/G101-1</f>
        <v>-0.42023132077414116</v>
      </c>
      <c r="I104" s="17">
        <f t="shared" si="58"/>
        <v>-0.10868140185249198</v>
      </c>
      <c r="J104" s="17">
        <f t="shared" si="58"/>
        <v>-0.10708686587683103</v>
      </c>
      <c r="K104" s="83">
        <v>-0.08</v>
      </c>
      <c r="L104" s="19">
        <f>K104+($O104-$K104)/4</f>
        <v>-5.3000000000000005E-2</v>
      </c>
      <c r="M104" s="19">
        <f t="shared" ref="M104:N104" si="59">L104+($O104-$K104)/4</f>
        <v>-2.6000000000000006E-2</v>
      </c>
      <c r="N104" s="19">
        <f t="shared" si="59"/>
        <v>9.9999999999999395E-4</v>
      </c>
      <c r="O104" s="83">
        <v>2.8000000000000001E-2</v>
      </c>
    </row>
    <row r="105" spans="2:16" ht="14.4" hidden="1" outlineLevel="1" x14ac:dyDescent="0.3">
      <c r="B105" s="26" t="s">
        <v>51</v>
      </c>
      <c r="F105" s="16"/>
      <c r="G105" s="17"/>
      <c r="H105" s="17"/>
      <c r="I105" s="17"/>
      <c r="J105" s="17"/>
      <c r="K105" s="83">
        <v>0</v>
      </c>
      <c r="L105" s="19">
        <f>K105+($O105-$K105)/4</f>
        <v>1.2500000000000001E-2</v>
      </c>
      <c r="M105" s="19">
        <f t="shared" ref="M105:N105" si="60">L105+($O105-$K105)/4</f>
        <v>2.5000000000000001E-2</v>
      </c>
      <c r="N105" s="19">
        <f t="shared" si="60"/>
        <v>3.7500000000000006E-2</v>
      </c>
      <c r="O105" s="83">
        <v>0.05</v>
      </c>
    </row>
    <row r="106" spans="2:16" ht="14.4" collapsed="1" x14ac:dyDescent="0.3">
      <c r="F106" s="16"/>
      <c r="G106" s="17"/>
      <c r="H106" s="17"/>
      <c r="I106" s="17"/>
      <c r="J106" s="17"/>
    </row>
    <row r="107" spans="2:16" x14ac:dyDescent="0.25">
      <c r="B107" s="11" t="s">
        <v>73</v>
      </c>
      <c r="F107" s="88">
        <f>F100+F93+F86+F79+F72</f>
        <v>636191</v>
      </c>
      <c r="G107" s="88">
        <f t="shared" ref="G107:O107" si="61">G100+G93+G86+G79+G72</f>
        <v>1052372</v>
      </c>
      <c r="H107" s="88">
        <f t="shared" si="61"/>
        <v>1203879</v>
      </c>
      <c r="I107" s="88">
        <f t="shared" si="61"/>
        <v>1749785</v>
      </c>
      <c r="J107" s="88">
        <f t="shared" si="61"/>
        <v>3845834</v>
      </c>
      <c r="K107" s="88">
        <f t="shared" si="61"/>
        <v>4729641.2455399996</v>
      </c>
      <c r="L107" s="88">
        <f t="shared" si="61"/>
        <v>5763718.9604216935</v>
      </c>
      <c r="M107" s="88">
        <f t="shared" si="61"/>
        <v>6936581.0833962671</v>
      </c>
      <c r="N107" s="88">
        <f t="shared" si="61"/>
        <v>8225414.8418783816</v>
      </c>
      <c r="O107" s="88">
        <f t="shared" si="61"/>
        <v>9595509.755248392</v>
      </c>
      <c r="P107" s="24">
        <f>_xlfn.RRI(9,F107,O107)</f>
        <v>0.35189288121254481</v>
      </c>
    </row>
    <row r="108" spans="2:16" x14ac:dyDescent="0.25">
      <c r="F108" s="22"/>
      <c r="G108" s="22"/>
      <c r="H108" s="22"/>
      <c r="I108" s="22"/>
      <c r="J108" s="22"/>
      <c r="K108" s="22"/>
      <c r="L108" s="22"/>
      <c r="M108" s="22"/>
      <c r="N108" s="22"/>
      <c r="O108" s="22"/>
    </row>
    <row r="109" spans="2:16" x14ac:dyDescent="0.25">
      <c r="B109" s="20" t="s">
        <v>64</v>
      </c>
      <c r="C109" s="21"/>
      <c r="D109" s="21"/>
      <c r="E109" s="21"/>
      <c r="F109" s="25"/>
      <c r="G109" s="25"/>
      <c r="H109" s="25"/>
      <c r="I109" s="25"/>
      <c r="J109" s="25"/>
      <c r="K109" s="25"/>
      <c r="L109" s="25"/>
      <c r="M109" s="25"/>
      <c r="N109" s="25"/>
      <c r="O109" s="25"/>
    </row>
    <row r="110" spans="2:16" hidden="1" outlineLevel="1" x14ac:dyDescent="0.25">
      <c r="B110" s="11" t="s">
        <v>65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</row>
    <row r="111" spans="2:16" hidden="1" outlineLevel="1" x14ac:dyDescent="0.25">
      <c r="B111" s="26" t="s">
        <v>67</v>
      </c>
      <c r="F111" s="82">
        <v>92</v>
      </c>
      <c r="G111" s="82">
        <v>312</v>
      </c>
      <c r="H111" s="82">
        <v>321</v>
      </c>
      <c r="I111" s="82">
        <v>2145</v>
      </c>
      <c r="J111" s="82">
        <v>5106</v>
      </c>
      <c r="K111" s="22">
        <f>AVERAGE(F111:J111)</f>
        <v>1595.2</v>
      </c>
      <c r="L111" s="22">
        <f t="shared" ref="L111:O111" si="62">AVERAGE(G111:K111)</f>
        <v>1895.8400000000001</v>
      </c>
      <c r="M111" s="22">
        <f t="shared" si="62"/>
        <v>2212.6080000000002</v>
      </c>
      <c r="N111" s="22">
        <f t="shared" si="62"/>
        <v>2590.9296000000004</v>
      </c>
      <c r="O111" s="22">
        <f t="shared" si="62"/>
        <v>2680.1155200000003</v>
      </c>
    </row>
    <row r="112" spans="2:16" hidden="1" outlineLevel="1" x14ac:dyDescent="0.25">
      <c r="B112" s="26" t="s">
        <v>68</v>
      </c>
      <c r="F112" s="82">
        <v>8504</v>
      </c>
      <c r="G112" s="82">
        <v>14317</v>
      </c>
      <c r="H112" s="82">
        <v>13135</v>
      </c>
      <c r="I112" s="82">
        <v>9461</v>
      </c>
      <c r="J112" s="82">
        <v>8389</v>
      </c>
      <c r="K112" s="22">
        <f>AVERAGE(F112:J112)</f>
        <v>10761.2</v>
      </c>
      <c r="L112" s="22">
        <f t="shared" ref="L112" si="63">AVERAGE(G112:K112)</f>
        <v>11212.64</v>
      </c>
      <c r="M112" s="22">
        <f t="shared" ref="M112" si="64">AVERAGE(H112:L112)</f>
        <v>10591.768</v>
      </c>
      <c r="N112" s="22">
        <f t="shared" ref="N112" si="65">AVERAGE(I112:M112)</f>
        <v>10083.121599999999</v>
      </c>
      <c r="O112" s="22">
        <f t="shared" ref="O112" si="66">AVERAGE(J112:N112)</f>
        <v>10207.54592</v>
      </c>
    </row>
    <row r="113" spans="1:16" hidden="1" outlineLevel="1" x14ac:dyDescent="0.25">
      <c r="F113" s="23"/>
      <c r="G113" s="23"/>
      <c r="H113" s="23"/>
      <c r="I113" s="22"/>
      <c r="J113" s="22"/>
      <c r="K113" s="22"/>
      <c r="L113" s="22"/>
      <c r="M113" s="22"/>
      <c r="N113" s="22"/>
      <c r="O113" s="22"/>
    </row>
    <row r="114" spans="1:16" hidden="1" outlineLevel="1" x14ac:dyDescent="0.25">
      <c r="F114" s="23"/>
      <c r="G114" s="23"/>
      <c r="H114" s="23"/>
      <c r="I114" s="22"/>
      <c r="J114" s="22"/>
      <c r="K114" s="22"/>
      <c r="L114" s="22"/>
      <c r="M114" s="22"/>
      <c r="N114" s="22"/>
      <c r="O114" s="22"/>
    </row>
    <row r="115" spans="1:16" hidden="1" outlineLevel="1" x14ac:dyDescent="0.25">
      <c r="F115" s="23"/>
      <c r="G115" s="23"/>
      <c r="H115" s="23"/>
      <c r="I115" s="22"/>
      <c r="J115" s="22"/>
      <c r="K115" s="22"/>
      <c r="L115" s="22"/>
      <c r="M115" s="22"/>
      <c r="N115" s="22"/>
      <c r="O115" s="22"/>
    </row>
    <row r="116" spans="1:16" hidden="1" outlineLevel="1" x14ac:dyDescent="0.25">
      <c r="B116" s="11" t="s">
        <v>66</v>
      </c>
      <c r="F116" s="23"/>
      <c r="G116" s="23"/>
      <c r="H116" s="23"/>
      <c r="I116" s="23"/>
      <c r="J116" s="23"/>
      <c r="K116" s="23"/>
      <c r="L116" s="23"/>
      <c r="M116" s="23"/>
      <c r="N116" s="23"/>
      <c r="O116" s="23"/>
    </row>
    <row r="117" spans="1:16" hidden="1" outlineLevel="1" x14ac:dyDescent="0.25">
      <c r="B117" s="26" t="s">
        <v>69</v>
      </c>
      <c r="F117" s="82">
        <v>17</v>
      </c>
      <c r="G117" s="82">
        <v>1098</v>
      </c>
      <c r="H117" s="82">
        <v>11</v>
      </c>
      <c r="I117" s="82">
        <v>585</v>
      </c>
      <c r="J117" s="82">
        <v>735</v>
      </c>
      <c r="K117" s="22">
        <f>AVERAGE(F117:J117)</f>
        <v>489.2</v>
      </c>
      <c r="L117" s="22">
        <f t="shared" ref="L117:L119" si="67">AVERAGE(G117:K117)</f>
        <v>583.64</v>
      </c>
      <c r="M117" s="22">
        <f t="shared" ref="M117:M119" si="68">AVERAGE(H117:L117)</f>
        <v>480.76800000000003</v>
      </c>
      <c r="N117" s="22">
        <f t="shared" ref="N117:N119" si="69">AVERAGE(I117:M117)</f>
        <v>574.72160000000008</v>
      </c>
      <c r="O117" s="22">
        <f t="shared" ref="O117:O119" si="70">AVERAGE(J117:N117)</f>
        <v>572.66592000000003</v>
      </c>
    </row>
    <row r="118" spans="1:16" hidden="1" outlineLevel="1" x14ac:dyDescent="0.25">
      <c r="B118" s="26" t="s">
        <v>70</v>
      </c>
      <c r="F118" s="82">
        <v>13</v>
      </c>
      <c r="G118" s="82">
        <v>12</v>
      </c>
      <c r="H118" s="82">
        <v>104</v>
      </c>
      <c r="I118" s="82">
        <v>134</v>
      </c>
      <c r="J118" s="82">
        <v>313</v>
      </c>
      <c r="K118" s="22">
        <f>AVERAGE(F118:J118)</f>
        <v>115.2</v>
      </c>
      <c r="L118" s="22">
        <f t="shared" si="67"/>
        <v>135.64000000000001</v>
      </c>
      <c r="M118" s="22">
        <f t="shared" si="68"/>
        <v>160.36799999999999</v>
      </c>
      <c r="N118" s="22">
        <f t="shared" si="69"/>
        <v>171.64160000000001</v>
      </c>
      <c r="O118" s="22">
        <f t="shared" si="70"/>
        <v>179.16992000000002</v>
      </c>
    </row>
    <row r="119" spans="1:16" hidden="1" outlineLevel="1" x14ac:dyDescent="0.25">
      <c r="B119" s="26" t="s">
        <v>71</v>
      </c>
      <c r="F119" s="82">
        <v>0</v>
      </c>
      <c r="G119" s="82">
        <v>1597</v>
      </c>
      <c r="H119" s="82">
        <v>1751</v>
      </c>
      <c r="I119" s="82">
        <v>6980</v>
      </c>
      <c r="J119" s="82">
        <v>25633</v>
      </c>
      <c r="K119" s="22">
        <f>AVERAGE(F119:J119)</f>
        <v>7192.2</v>
      </c>
      <c r="L119" s="22">
        <f t="shared" si="67"/>
        <v>8630.64</v>
      </c>
      <c r="M119" s="22">
        <f t="shared" si="68"/>
        <v>10037.367999999999</v>
      </c>
      <c r="N119" s="22">
        <f t="shared" si="69"/>
        <v>11694.641599999999</v>
      </c>
      <c r="O119" s="22">
        <f t="shared" si="70"/>
        <v>12637.56992</v>
      </c>
    </row>
    <row r="120" spans="1:16" hidden="1" outlineLevel="1" x14ac:dyDescent="0.25">
      <c r="B120" s="26" t="s">
        <v>72</v>
      </c>
    </row>
    <row r="121" spans="1:16" collapsed="1" x14ac:dyDescent="0.25">
      <c r="B121" s="26"/>
    </row>
    <row r="122" spans="1:16" x14ac:dyDescent="0.25">
      <c r="B122" s="27" t="s">
        <v>74</v>
      </c>
      <c r="F122" s="88">
        <f>SUM(F111:F112)+SUM(F117:F119)</f>
        <v>8626</v>
      </c>
      <c r="G122" s="88">
        <f t="shared" ref="G122:O122" si="71">SUM(G111:G112)+SUM(G117:G119)</f>
        <v>17336</v>
      </c>
      <c r="H122" s="88">
        <f t="shared" si="71"/>
        <v>15322</v>
      </c>
      <c r="I122" s="88">
        <f t="shared" si="71"/>
        <v>19305</v>
      </c>
      <c r="J122" s="88">
        <f t="shared" si="71"/>
        <v>40176</v>
      </c>
      <c r="K122" s="88">
        <f t="shared" si="71"/>
        <v>20153</v>
      </c>
      <c r="L122" s="88">
        <f t="shared" si="71"/>
        <v>22458.400000000001</v>
      </c>
      <c r="M122" s="88">
        <f t="shared" si="71"/>
        <v>23482.879999999997</v>
      </c>
      <c r="N122" s="88">
        <f t="shared" si="71"/>
        <v>25115.055999999997</v>
      </c>
      <c r="O122" s="88">
        <f t="shared" si="71"/>
        <v>26277.067199999998</v>
      </c>
      <c r="P122" s="24">
        <f>_xlfn.RRI(9,F122,O122)</f>
        <v>0.13175373792295164</v>
      </c>
    </row>
    <row r="124" spans="1:16" x14ac:dyDescent="0.25">
      <c r="A124" s="12" t="s">
        <v>59</v>
      </c>
      <c r="B124" s="6" t="s">
        <v>63</v>
      </c>
      <c r="C124" s="7"/>
      <c r="D124" s="7"/>
      <c r="E124" s="7"/>
      <c r="F124" s="13">
        <v>44286</v>
      </c>
      <c r="G124" s="13">
        <f>EDATE(F124,12)</f>
        <v>44651</v>
      </c>
      <c r="H124" s="13">
        <f t="shared" ref="H124:O124" si="72">EDATE(G124,12)</f>
        <v>45016</v>
      </c>
      <c r="I124" s="13">
        <f t="shared" si="72"/>
        <v>45382</v>
      </c>
      <c r="J124" s="13">
        <f t="shared" si="72"/>
        <v>45747</v>
      </c>
      <c r="K124" s="14">
        <f t="shared" si="72"/>
        <v>46112</v>
      </c>
      <c r="L124" s="14">
        <f t="shared" si="72"/>
        <v>46477</v>
      </c>
      <c r="M124" s="14">
        <f t="shared" si="72"/>
        <v>46843</v>
      </c>
      <c r="N124" s="14">
        <f t="shared" si="72"/>
        <v>47208</v>
      </c>
      <c r="O124" s="14">
        <f t="shared" si="72"/>
        <v>47573</v>
      </c>
      <c r="P124" s="29" t="s">
        <v>60</v>
      </c>
    </row>
    <row r="125" spans="1:16" hidden="1" outlineLevel="1" x14ac:dyDescent="0.25"/>
    <row r="126" spans="1:16" hidden="1" outlineLevel="1" x14ac:dyDescent="0.25">
      <c r="B126" s="8" t="s">
        <v>75</v>
      </c>
      <c r="F126" s="22">
        <f>F107+F122</f>
        <v>644817</v>
      </c>
      <c r="G126" s="22">
        <f t="shared" ref="G126:O126" si="73">G107+G122</f>
        <v>1069708</v>
      </c>
      <c r="H126" s="22">
        <f t="shared" si="73"/>
        <v>1219201</v>
      </c>
      <c r="I126" s="22">
        <f t="shared" si="73"/>
        <v>1769090</v>
      </c>
      <c r="J126" s="22">
        <f t="shared" si="73"/>
        <v>3886010</v>
      </c>
      <c r="K126" s="22">
        <f t="shared" si="73"/>
        <v>4749794.2455399996</v>
      </c>
      <c r="L126" s="22">
        <f t="shared" si="73"/>
        <v>5786177.3604216939</v>
      </c>
      <c r="M126" s="22">
        <f t="shared" si="73"/>
        <v>6960063.963396267</v>
      </c>
      <c r="N126" s="22">
        <f t="shared" si="73"/>
        <v>8250529.8978783814</v>
      </c>
      <c r="O126" s="22">
        <f t="shared" si="73"/>
        <v>9621786.8224483915</v>
      </c>
      <c r="P126" s="24">
        <f>_xlfn.RRI(9,F126,O126)</f>
        <v>0.35028163624269371</v>
      </c>
    </row>
    <row r="127" spans="1:16" ht="14.4" hidden="1" outlineLevel="1" x14ac:dyDescent="0.3">
      <c r="B127" s="26" t="s">
        <v>54</v>
      </c>
      <c r="G127" s="17">
        <f>G126/F126-1</f>
        <v>0.65893268942971406</v>
      </c>
      <c r="H127" s="17">
        <f t="shared" ref="H127:O127" si="74">H126/G126-1</f>
        <v>0.13975122182876065</v>
      </c>
      <c r="I127" s="17">
        <f t="shared" si="74"/>
        <v>0.45102407232277542</v>
      </c>
      <c r="J127" s="17">
        <f t="shared" si="74"/>
        <v>1.1966152089492339</v>
      </c>
      <c r="K127" s="17">
        <f t="shared" si="74"/>
        <v>0.22228049993180665</v>
      </c>
      <c r="L127" s="17">
        <f t="shared" si="74"/>
        <v>0.21819537043206583</v>
      </c>
      <c r="M127" s="17">
        <f t="shared" si="74"/>
        <v>0.20287774291264049</v>
      </c>
      <c r="N127" s="17">
        <f t="shared" si="74"/>
        <v>0.18541006825063899</v>
      </c>
      <c r="O127" s="17">
        <f t="shared" si="74"/>
        <v>0.16620228537352832</v>
      </c>
      <c r="P127" s="24"/>
    </row>
    <row r="128" spans="1:16" hidden="1" outlineLevel="1" x14ac:dyDescent="0.25"/>
    <row r="129" spans="1:16" hidden="1" outlineLevel="1" x14ac:dyDescent="0.25">
      <c r="B129" s="8" t="s">
        <v>61</v>
      </c>
      <c r="F129" s="22">
        <f>21701+2744</f>
        <v>24445</v>
      </c>
      <c r="G129" s="22">
        <f>25471+4420</f>
        <v>29891</v>
      </c>
      <c r="H129" s="22">
        <f>34316+6057</f>
        <v>40373</v>
      </c>
      <c r="I129" s="22">
        <f>48359+7472</f>
        <v>55831</v>
      </c>
      <c r="J129" s="22">
        <f>109244+15435</f>
        <v>124679</v>
      </c>
      <c r="K129" s="22">
        <f>K130*K126</f>
        <v>154473.43470504091</v>
      </c>
      <c r="L129" s="22">
        <f t="shared" ref="L129:O129" si="75">L130*L126</f>
        <v>181943.81324775642</v>
      </c>
      <c r="M129" s="22">
        <f t="shared" si="75"/>
        <v>223730.18827660961</v>
      </c>
      <c r="N129" s="22">
        <f t="shared" si="75"/>
        <v>263612.30018418189</v>
      </c>
      <c r="O129" s="22">
        <f t="shared" si="75"/>
        <v>308179.21221951209</v>
      </c>
      <c r="P129" s="24">
        <f>_xlfn.RRI(9,F129,O129)</f>
        <v>0.32522727769579229</v>
      </c>
    </row>
    <row r="130" spans="1:16" ht="14.4" hidden="1" outlineLevel="1" x14ac:dyDescent="0.3">
      <c r="B130" s="26" t="s">
        <v>62</v>
      </c>
      <c r="F130" s="17">
        <f>F129/F126</f>
        <v>3.7909980661179836E-2</v>
      </c>
      <c r="G130" s="17">
        <f t="shared" ref="G130:J130" si="76">G129/G126</f>
        <v>2.7943139623149496E-2</v>
      </c>
      <c r="H130" s="17">
        <f t="shared" si="76"/>
        <v>3.311431010965378E-2</v>
      </c>
      <c r="I130" s="17">
        <f t="shared" si="76"/>
        <v>3.1559163185592591E-2</v>
      </c>
      <c r="J130" s="17">
        <f t="shared" si="76"/>
        <v>3.208406566117946E-2</v>
      </c>
      <c r="K130" s="17">
        <f t="array" ref="K130">AVERAGE(F130:J130)</f>
        <v>3.2522131848151031E-2</v>
      </c>
      <c r="L130" s="17">
        <f t="array" ref="L130">AVERAGE(G130:K130)</f>
        <v>3.1444562085545275E-2</v>
      </c>
      <c r="M130" s="17">
        <f t="array" ref="M130">AVERAGE(H130:L130)</f>
        <v>3.2144846578024425E-2</v>
      </c>
      <c r="N130" s="17">
        <f t="array" ref="N130">AVERAGE(I130:M130)</f>
        <v>3.1950953871698551E-2</v>
      </c>
      <c r="O130" s="17">
        <f t="array" ref="O130">AVERAGE(J130:N130)</f>
        <v>3.2029312008919751E-2</v>
      </c>
    </row>
    <row r="131" spans="1:16" hidden="1" outlineLevel="1" x14ac:dyDescent="0.25"/>
    <row r="132" spans="1:16" hidden="1" outlineLevel="1" x14ac:dyDescent="0.25">
      <c r="B132" s="8" t="s">
        <v>76</v>
      </c>
      <c r="F132" s="82">
        <v>5721</v>
      </c>
      <c r="G132" s="82">
        <v>6438</v>
      </c>
      <c r="H132" s="82">
        <v>8970</v>
      </c>
      <c r="I132" s="82">
        <v>11891</v>
      </c>
      <c r="J132" s="82">
        <v>33722</v>
      </c>
      <c r="K132" s="22">
        <f>K133*K129</f>
        <v>46342.030411512271</v>
      </c>
      <c r="L132" s="22">
        <f t="shared" ref="L132:O132" si="77">L133*L129</f>
        <v>54583.143974326922</v>
      </c>
      <c r="M132" s="22">
        <f t="shared" si="77"/>
        <v>67119.05648298288</v>
      </c>
      <c r="N132" s="22">
        <f t="shared" si="77"/>
        <v>79083.69005525457</v>
      </c>
      <c r="O132" s="22">
        <f t="shared" si="77"/>
        <v>92453.763665853621</v>
      </c>
    </row>
    <row r="133" spans="1:16" ht="14.4" hidden="1" outlineLevel="1" x14ac:dyDescent="0.3">
      <c r="B133" s="26" t="s">
        <v>77</v>
      </c>
      <c r="F133" s="17">
        <f>F132/F129</f>
        <v>0.23403559010022498</v>
      </c>
      <c r="G133" s="17">
        <f t="shared" ref="G133:J133" si="78">G132/G129</f>
        <v>0.21538255662239469</v>
      </c>
      <c r="H133" s="17">
        <f t="shared" si="78"/>
        <v>0.22217818839323311</v>
      </c>
      <c r="I133" s="17">
        <f t="shared" si="78"/>
        <v>0.21298203507012234</v>
      </c>
      <c r="J133" s="17">
        <f t="shared" si="78"/>
        <v>0.2704705684197018</v>
      </c>
      <c r="K133" s="84">
        <v>0.3</v>
      </c>
      <c r="L133" s="84">
        <v>0.3</v>
      </c>
      <c r="M133" s="84">
        <v>0.3</v>
      </c>
      <c r="N133" s="84">
        <v>0.3</v>
      </c>
      <c r="O133" s="84">
        <v>0.3</v>
      </c>
    </row>
    <row r="134" spans="1:16" collapsed="1" x14ac:dyDescent="0.25"/>
    <row r="135" spans="1:16" x14ac:dyDescent="0.25">
      <c r="A135" s="12" t="s">
        <v>59</v>
      </c>
      <c r="B135" s="6" t="s">
        <v>78</v>
      </c>
      <c r="C135" s="7"/>
      <c r="D135" s="7"/>
      <c r="E135" s="7"/>
      <c r="F135" s="13">
        <v>44286</v>
      </c>
      <c r="G135" s="13">
        <f>EDATE(F135,12)</f>
        <v>44651</v>
      </c>
      <c r="H135" s="13">
        <f t="shared" ref="H135:O135" si="79">EDATE(G135,12)</f>
        <v>45016</v>
      </c>
      <c r="I135" s="13">
        <f t="shared" si="79"/>
        <v>45382</v>
      </c>
      <c r="J135" s="13">
        <f t="shared" si="79"/>
        <v>45747</v>
      </c>
      <c r="K135" s="14">
        <f t="shared" si="79"/>
        <v>46112</v>
      </c>
      <c r="L135" s="14">
        <f t="shared" si="79"/>
        <v>46477</v>
      </c>
      <c r="M135" s="14">
        <f t="shared" si="79"/>
        <v>46843</v>
      </c>
      <c r="N135" s="14">
        <f t="shared" si="79"/>
        <v>47208</v>
      </c>
      <c r="O135" s="14">
        <f t="shared" si="79"/>
        <v>47573</v>
      </c>
    </row>
    <row r="136" spans="1:16" hidden="1" outlineLevel="1" x14ac:dyDescent="0.25"/>
    <row r="137" spans="1:16" hidden="1" outlineLevel="1" x14ac:dyDescent="0.25">
      <c r="B137" s="8" t="s">
        <v>79</v>
      </c>
      <c r="F137" s="82">
        <v>8395</v>
      </c>
      <c r="G137" s="82">
        <v>8395</v>
      </c>
      <c r="H137" s="82">
        <v>11463</v>
      </c>
      <c r="I137" s="82">
        <v>16188</v>
      </c>
      <c r="J137" s="82">
        <v>28102</v>
      </c>
      <c r="K137" s="22">
        <f>K138*K$126</f>
        <v>33248.559718780001</v>
      </c>
      <c r="L137" s="22">
        <f t="shared" ref="L137:O137" si="80">L138*L$126</f>
        <v>40503.241522951859</v>
      </c>
      <c r="M137" s="22">
        <f t="shared" si="80"/>
        <v>48720.447743773868</v>
      </c>
      <c r="N137" s="22">
        <f t="shared" si="80"/>
        <v>57753.709285148674</v>
      </c>
      <c r="O137" s="22">
        <f t="shared" si="80"/>
        <v>67352.507757138737</v>
      </c>
    </row>
    <row r="138" spans="1:16" ht="14.4" hidden="1" outlineLevel="1" x14ac:dyDescent="0.3">
      <c r="B138" s="26" t="s">
        <v>62</v>
      </c>
      <c r="F138" s="17">
        <f>F137/F126</f>
        <v>1.3019197694849856E-2</v>
      </c>
      <c r="G138" s="17">
        <f t="shared" ref="G138:J138" si="81">G137/G126</f>
        <v>7.8479360722739297E-3</v>
      </c>
      <c r="H138" s="17">
        <f t="shared" si="81"/>
        <v>9.4020592174711148E-3</v>
      </c>
      <c r="I138" s="17">
        <f t="shared" si="81"/>
        <v>9.1504671893459354E-3</v>
      </c>
      <c r="J138" s="17">
        <f t="shared" si="81"/>
        <v>7.2315820082809873E-3</v>
      </c>
      <c r="K138" s="85">
        <v>7.0000000000000001E-3</v>
      </c>
      <c r="L138" s="85">
        <v>7.0000000000000001E-3</v>
      </c>
      <c r="M138" s="85">
        <v>7.0000000000000001E-3</v>
      </c>
      <c r="N138" s="85">
        <v>7.0000000000000001E-3</v>
      </c>
      <c r="O138" s="85">
        <v>7.0000000000000001E-3</v>
      </c>
    </row>
    <row r="139" spans="1:16" hidden="1" outlineLevel="1" x14ac:dyDescent="0.25"/>
    <row r="140" spans="1:16" hidden="1" outlineLevel="1" x14ac:dyDescent="0.25">
      <c r="B140" s="8" t="s">
        <v>80</v>
      </c>
      <c r="F140" s="82">
        <v>11331</v>
      </c>
      <c r="G140" s="82">
        <v>21225</v>
      </c>
      <c r="H140" s="82">
        <v>14405</v>
      </c>
      <c r="I140" s="82">
        <v>58443</v>
      </c>
      <c r="J140" s="82">
        <v>93935</v>
      </c>
      <c r="K140" s="22">
        <f>K141*K$126</f>
        <v>113995.06189295999</v>
      </c>
      <c r="L140" s="22">
        <f t="shared" ref="L140" si="82">L141*L$126</f>
        <v>138868.25665012066</v>
      </c>
      <c r="M140" s="22">
        <f t="shared" ref="M140" si="83">M141*M$126</f>
        <v>167041.53512151042</v>
      </c>
      <c r="N140" s="22">
        <f t="shared" ref="N140" si="84">N141*N$126</f>
        <v>198012.71754908116</v>
      </c>
      <c r="O140" s="22">
        <f t="shared" ref="O140" si="85">O141*O$126</f>
        <v>230922.88373876139</v>
      </c>
    </row>
    <row r="141" spans="1:16" ht="14.4" hidden="1" outlineLevel="1" x14ac:dyDescent="0.3">
      <c r="B141" s="26" t="s">
        <v>62</v>
      </c>
      <c r="F141" s="17">
        <f>F140/F126</f>
        <v>1.7572427525949223E-2</v>
      </c>
      <c r="G141" s="17">
        <f t="shared" ref="G141:J141" si="86">G140/G126</f>
        <v>1.9841863387017766E-2</v>
      </c>
      <c r="H141" s="17">
        <f t="shared" si="86"/>
        <v>1.1815114981040861E-2</v>
      </c>
      <c r="I141" s="17">
        <f t="shared" si="86"/>
        <v>3.3035628486962225E-2</v>
      </c>
      <c r="J141" s="17">
        <f t="shared" si="86"/>
        <v>2.4172608922776832E-2</v>
      </c>
      <c r="K141" s="85">
        <v>2.4E-2</v>
      </c>
      <c r="L141" s="85">
        <v>2.4E-2</v>
      </c>
      <c r="M141" s="85">
        <v>2.4E-2</v>
      </c>
      <c r="N141" s="85">
        <v>2.4E-2</v>
      </c>
      <c r="O141" s="85">
        <v>2.4E-2</v>
      </c>
    </row>
    <row r="142" spans="1:16" hidden="1" outlineLevel="1" x14ac:dyDescent="0.25"/>
    <row r="143" spans="1:16" hidden="1" outlineLevel="1" x14ac:dyDescent="0.25">
      <c r="B143" s="8" t="s">
        <v>81</v>
      </c>
      <c r="F143" s="22">
        <f>28051-21030</f>
        <v>7021</v>
      </c>
      <c r="G143" s="22">
        <f>28252-26275</f>
        <v>1977</v>
      </c>
      <c r="H143" s="22">
        <f>37715-46866</f>
        <v>-9151</v>
      </c>
      <c r="I143" s="22">
        <f>71491-70610</f>
        <v>881</v>
      </c>
      <c r="J143" s="22">
        <f>160733-142571</f>
        <v>18162</v>
      </c>
      <c r="K143" s="22">
        <f>K144*K126</f>
        <v>14249.382736619998</v>
      </c>
      <c r="L143" s="22">
        <f t="shared" ref="L143:O143" si="87">L144*L126</f>
        <v>17358.532081265083</v>
      </c>
      <c r="M143" s="22">
        <f t="shared" si="87"/>
        <v>20880.191890188802</v>
      </c>
      <c r="N143" s="22">
        <f t="shared" si="87"/>
        <v>24751.589693635146</v>
      </c>
      <c r="O143" s="22">
        <f t="shared" si="87"/>
        <v>28865.360467345174</v>
      </c>
    </row>
    <row r="144" spans="1:16" ht="14.4" hidden="1" outlineLevel="1" x14ac:dyDescent="0.3">
      <c r="B144" s="26" t="s">
        <v>62</v>
      </c>
      <c r="F144" s="17">
        <f>F143/$F$126</f>
        <v>1.0888360573620113E-2</v>
      </c>
      <c r="G144" s="17">
        <f t="shared" ref="G144:J144" si="88">G143/$F$126</f>
        <v>3.0659861635161604E-3</v>
      </c>
      <c r="H144" s="17">
        <f t="shared" si="88"/>
        <v>-1.419162335980596E-2</v>
      </c>
      <c r="I144" s="17">
        <f t="shared" si="88"/>
        <v>1.3662791148496395E-3</v>
      </c>
      <c r="J144" s="17">
        <f t="shared" si="88"/>
        <v>2.8166130855731161E-2</v>
      </c>
      <c r="K144" s="85">
        <v>3.0000000000000001E-3</v>
      </c>
      <c r="L144" s="85">
        <v>3.0000000000000001E-3</v>
      </c>
      <c r="M144" s="85">
        <v>3.0000000000000001E-3</v>
      </c>
      <c r="N144" s="85">
        <v>3.0000000000000001E-3</v>
      </c>
      <c r="O144" s="85">
        <v>3.0000000000000001E-3</v>
      </c>
    </row>
    <row r="145" spans="1:15" ht="14.4" hidden="1" outlineLevel="1" x14ac:dyDescent="0.3">
      <c r="B145" s="26"/>
      <c r="F145" s="17"/>
      <c r="G145" s="17"/>
      <c r="H145" s="17"/>
      <c r="I145" s="17"/>
      <c r="J145" s="17"/>
      <c r="K145" s="17"/>
      <c r="L145" s="17"/>
      <c r="M145" s="17"/>
      <c r="N145" s="17"/>
      <c r="O145" s="17"/>
    </row>
    <row r="146" spans="1:15" hidden="1" outlineLevel="1" x14ac:dyDescent="0.25">
      <c r="B146" s="26" t="s">
        <v>87</v>
      </c>
      <c r="F146" s="82">
        <v>938</v>
      </c>
      <c r="G146" s="82">
        <v>1074</v>
      </c>
      <c r="H146" s="82">
        <v>1182</v>
      </c>
      <c r="I146" s="82">
        <v>1221</v>
      </c>
      <c r="J146" s="82">
        <v>8512</v>
      </c>
      <c r="K146" s="22">
        <f>K147*K126</f>
        <v>9499.5884910799996</v>
      </c>
      <c r="L146" s="22">
        <f t="shared" ref="L146:O146" si="89">L147*L126</f>
        <v>11572.354720843388</v>
      </c>
      <c r="M146" s="22">
        <f t="shared" si="89"/>
        <v>13920.127926792535</v>
      </c>
      <c r="N146" s="22">
        <f t="shared" si="89"/>
        <v>16501.059795756762</v>
      </c>
      <c r="O146" s="22">
        <f t="shared" si="89"/>
        <v>19243.573644896784</v>
      </c>
    </row>
    <row r="147" spans="1:15" ht="14.4" hidden="1" outlineLevel="1" x14ac:dyDescent="0.3">
      <c r="B147" s="26" t="s">
        <v>62</v>
      </c>
      <c r="F147" s="17">
        <f>F146/$F$126</f>
        <v>1.4546762880010917E-3</v>
      </c>
      <c r="G147" s="17">
        <f t="shared" ref="G147:J147" si="90">G146/$F$126</f>
        <v>1.6655888414852586E-3</v>
      </c>
      <c r="H147" s="17">
        <f t="shared" si="90"/>
        <v>1.8330782221932735E-3</v>
      </c>
      <c r="I147" s="17">
        <f t="shared" si="90"/>
        <v>1.8935604985600566E-3</v>
      </c>
      <c r="J147" s="17">
        <f t="shared" si="90"/>
        <v>1.3200644523950205E-2</v>
      </c>
      <c r="K147" s="85">
        <v>2E-3</v>
      </c>
      <c r="L147" s="85">
        <v>2E-3</v>
      </c>
      <c r="M147" s="85">
        <v>2E-3</v>
      </c>
      <c r="N147" s="85">
        <v>2E-3</v>
      </c>
      <c r="O147" s="85">
        <v>2E-3</v>
      </c>
    </row>
    <row r="148" spans="1:15" collapsed="1" x14ac:dyDescent="0.25"/>
    <row r="149" spans="1:15" x14ac:dyDescent="0.25">
      <c r="A149" s="12" t="s">
        <v>59</v>
      </c>
      <c r="B149" s="6" t="s">
        <v>82</v>
      </c>
      <c r="C149" s="7"/>
      <c r="D149" s="7"/>
      <c r="E149" s="7"/>
      <c r="F149" s="13">
        <v>44286</v>
      </c>
      <c r="G149" s="13">
        <f>EDATE(F149,12)</f>
        <v>44651</v>
      </c>
      <c r="H149" s="13">
        <f t="shared" ref="H149:O149" si="91">EDATE(G149,12)</f>
        <v>45016</v>
      </c>
      <c r="I149" s="13">
        <f t="shared" si="91"/>
        <v>45382</v>
      </c>
      <c r="J149" s="13">
        <f t="shared" si="91"/>
        <v>45747</v>
      </c>
      <c r="K149" s="97">
        <f t="shared" si="91"/>
        <v>46112</v>
      </c>
      <c r="L149" s="14">
        <f t="shared" si="91"/>
        <v>46477</v>
      </c>
      <c r="M149" s="14">
        <f t="shared" si="91"/>
        <v>46843</v>
      </c>
      <c r="N149" s="14">
        <f t="shared" si="91"/>
        <v>47208</v>
      </c>
      <c r="O149" s="14">
        <f t="shared" si="91"/>
        <v>47573</v>
      </c>
    </row>
    <row r="150" spans="1:15" x14ac:dyDescent="0.25">
      <c r="K150" s="98"/>
    </row>
    <row r="151" spans="1:15" hidden="1" outlineLevel="1" x14ac:dyDescent="0.25">
      <c r="B151" s="11" t="s">
        <v>83</v>
      </c>
      <c r="C151" s="11"/>
      <c r="D151" s="11"/>
      <c r="E151" s="11"/>
      <c r="F151" s="23">
        <f>F129-F132</f>
        <v>18724</v>
      </c>
      <c r="G151" s="23">
        <f t="shared" ref="G151:O151" si="92">G129-G132</f>
        <v>23453</v>
      </c>
      <c r="H151" s="23">
        <f t="shared" si="92"/>
        <v>31403</v>
      </c>
      <c r="I151" s="23">
        <f t="shared" si="92"/>
        <v>43940</v>
      </c>
      <c r="J151" s="23">
        <f t="shared" si="92"/>
        <v>90957</v>
      </c>
      <c r="K151" s="99">
        <f t="shared" si="92"/>
        <v>108131.40429352864</v>
      </c>
      <c r="L151" s="23">
        <f t="shared" si="92"/>
        <v>127360.66927342949</v>
      </c>
      <c r="M151" s="23">
        <f t="shared" si="92"/>
        <v>156611.13179362673</v>
      </c>
      <c r="N151" s="23">
        <f t="shared" si="92"/>
        <v>184528.61012892734</v>
      </c>
      <c r="O151" s="23">
        <f t="shared" si="92"/>
        <v>215725.44855365847</v>
      </c>
    </row>
    <row r="152" spans="1:15" hidden="1" outlineLevel="1" x14ac:dyDescent="0.25">
      <c r="B152" s="96" t="s">
        <v>84</v>
      </c>
      <c r="C152" s="96"/>
      <c r="D152" s="96"/>
      <c r="E152" s="96"/>
      <c r="F152" s="30">
        <f t="shared" ref="F152:O152" si="93">F137</f>
        <v>8395</v>
      </c>
      <c r="G152" s="30">
        <f t="shared" si="93"/>
        <v>8395</v>
      </c>
      <c r="H152" s="30">
        <f t="shared" si="93"/>
        <v>11463</v>
      </c>
      <c r="I152" s="30">
        <f t="shared" si="93"/>
        <v>16188</v>
      </c>
      <c r="J152" s="30">
        <f t="shared" si="93"/>
        <v>28102</v>
      </c>
      <c r="K152" s="100">
        <f t="shared" si="93"/>
        <v>33248.559718780001</v>
      </c>
      <c r="L152" s="30">
        <f t="shared" si="93"/>
        <v>40503.241522951859</v>
      </c>
      <c r="M152" s="30">
        <f t="shared" si="93"/>
        <v>48720.447743773868</v>
      </c>
      <c r="N152" s="30">
        <f t="shared" si="93"/>
        <v>57753.709285148674</v>
      </c>
      <c r="O152" s="30">
        <f t="shared" si="93"/>
        <v>67352.507757138737</v>
      </c>
    </row>
    <row r="153" spans="1:15" hidden="1" outlineLevel="1" x14ac:dyDescent="0.25">
      <c r="B153" s="8" t="s">
        <v>85</v>
      </c>
      <c r="F153" s="22">
        <f t="shared" ref="F153:O153" si="94">F140</f>
        <v>11331</v>
      </c>
      <c r="G153" s="22">
        <f t="shared" si="94"/>
        <v>21225</v>
      </c>
      <c r="H153" s="22">
        <f t="shared" si="94"/>
        <v>14405</v>
      </c>
      <c r="I153" s="22">
        <f t="shared" si="94"/>
        <v>58443</v>
      </c>
      <c r="J153" s="22">
        <f t="shared" si="94"/>
        <v>93935</v>
      </c>
      <c r="K153" s="101">
        <f t="shared" si="94"/>
        <v>113995.06189295999</v>
      </c>
      <c r="L153" s="22">
        <f t="shared" si="94"/>
        <v>138868.25665012066</v>
      </c>
      <c r="M153" s="22">
        <f t="shared" si="94"/>
        <v>167041.53512151042</v>
      </c>
      <c r="N153" s="22">
        <f t="shared" si="94"/>
        <v>198012.71754908116</v>
      </c>
      <c r="O153" s="22">
        <f t="shared" si="94"/>
        <v>230922.88373876139</v>
      </c>
    </row>
    <row r="154" spans="1:15" hidden="1" outlineLevel="1" x14ac:dyDescent="0.25">
      <c r="B154" s="8" t="s">
        <v>86</v>
      </c>
      <c r="F154" s="22">
        <f t="shared" ref="F154:O154" si="95">F143</f>
        <v>7021</v>
      </c>
      <c r="G154" s="22">
        <f t="shared" si="95"/>
        <v>1977</v>
      </c>
      <c r="H154" s="22">
        <f t="shared" si="95"/>
        <v>-9151</v>
      </c>
      <c r="I154" s="22">
        <f t="shared" si="95"/>
        <v>881</v>
      </c>
      <c r="J154" s="22">
        <f t="shared" si="95"/>
        <v>18162</v>
      </c>
      <c r="K154" s="101">
        <f t="shared" si="95"/>
        <v>14249.382736619998</v>
      </c>
      <c r="L154" s="22">
        <f t="shared" si="95"/>
        <v>17358.532081265083</v>
      </c>
      <c r="M154" s="22">
        <f t="shared" si="95"/>
        <v>20880.191890188802</v>
      </c>
      <c r="N154" s="22">
        <f t="shared" si="95"/>
        <v>24751.589693635146</v>
      </c>
      <c r="O154" s="22">
        <f t="shared" si="95"/>
        <v>28865.360467345174</v>
      </c>
    </row>
    <row r="155" spans="1:15" hidden="1" outlineLevel="1" x14ac:dyDescent="0.25">
      <c r="B155" s="8" t="s">
        <v>88</v>
      </c>
      <c r="F155" s="22">
        <f t="shared" ref="F155:O155" si="96">F146</f>
        <v>938</v>
      </c>
      <c r="G155" s="22">
        <f t="shared" si="96"/>
        <v>1074</v>
      </c>
      <c r="H155" s="22">
        <f t="shared" si="96"/>
        <v>1182</v>
      </c>
      <c r="I155" s="22">
        <f t="shared" si="96"/>
        <v>1221</v>
      </c>
      <c r="J155" s="22">
        <f t="shared" si="96"/>
        <v>8512</v>
      </c>
      <c r="K155" s="101">
        <f t="shared" si="96"/>
        <v>9499.5884910799996</v>
      </c>
      <c r="L155" s="22">
        <f t="shared" si="96"/>
        <v>11572.354720843388</v>
      </c>
      <c r="M155" s="22">
        <f t="shared" si="96"/>
        <v>13920.127926792535</v>
      </c>
      <c r="N155" s="22">
        <f t="shared" si="96"/>
        <v>16501.059795756762</v>
      </c>
      <c r="O155" s="22">
        <f t="shared" si="96"/>
        <v>19243.573644896784</v>
      </c>
    </row>
    <row r="156" spans="1:15" hidden="1" outlineLevel="1" x14ac:dyDescent="0.25">
      <c r="B156" s="95" t="s">
        <v>137</v>
      </c>
      <c r="C156" s="95"/>
      <c r="D156" s="95"/>
      <c r="E156" s="95"/>
      <c r="F156" s="95"/>
      <c r="G156" s="95"/>
      <c r="H156" s="95"/>
      <c r="I156" s="95"/>
      <c r="J156" s="95"/>
      <c r="K156" s="102">
        <f>K151+K152-K153+K154+K155</f>
        <v>51133.87334704864</v>
      </c>
      <c r="L156" s="44">
        <f>L151+L152-L153+L154+L155</f>
        <v>57926.540948369169</v>
      </c>
      <c r="M156" s="44">
        <f>M151+M152-M153+M154+M155</f>
        <v>73090.364232871507</v>
      </c>
      <c r="N156" s="44">
        <f>N151+N152-N153+N154+N155</f>
        <v>85522.251354386768</v>
      </c>
      <c r="O156" s="44">
        <f>O151+O152-O153+O154+O155</f>
        <v>100264.00668427776</v>
      </c>
    </row>
    <row r="157" spans="1:15" hidden="1" outlineLevel="1" x14ac:dyDescent="0.25">
      <c r="K157" s="101"/>
      <c r="L157" s="22"/>
      <c r="M157" s="22"/>
      <c r="N157" s="22"/>
      <c r="O157" s="22"/>
    </row>
    <row r="158" spans="1:15" hidden="1" outlineLevel="1" x14ac:dyDescent="0.25">
      <c r="B158" s="8" t="s">
        <v>89</v>
      </c>
      <c r="K158" s="103">
        <f>K159/2</f>
        <v>0.37671232876712329</v>
      </c>
      <c r="L158" s="52">
        <f>K158+1</f>
        <v>1.3767123287671232</v>
      </c>
      <c r="M158" s="52">
        <f t="shared" ref="M158:O158" si="97">L158+1</f>
        <v>2.3767123287671232</v>
      </c>
      <c r="N158" s="52">
        <f t="shared" si="97"/>
        <v>3.3767123287671232</v>
      </c>
      <c r="O158" s="52">
        <f t="shared" si="97"/>
        <v>4.3767123287671232</v>
      </c>
    </row>
    <row r="159" spans="1:15" hidden="1" outlineLevel="1" x14ac:dyDescent="0.25">
      <c r="B159" s="8" t="s">
        <v>90</v>
      </c>
      <c r="K159" s="104">
        <f>YEARFRAC(F14,F16,1)</f>
        <v>0.75342465753424659</v>
      </c>
      <c r="L159" s="53"/>
      <c r="M159" s="53"/>
      <c r="N159" s="53"/>
      <c r="O159" s="53"/>
    </row>
    <row r="160" spans="1:15" hidden="1" outlineLevel="1" x14ac:dyDescent="0.25">
      <c r="B160" s="8" t="s">
        <v>136</v>
      </c>
      <c r="K160" s="98"/>
      <c r="O160" s="30">
        <f>O156*(1+tgr)/(wacc-tgr)</f>
        <v>609813.28260011086</v>
      </c>
    </row>
    <row r="161" spans="1:15" hidden="1" outlineLevel="1" x14ac:dyDescent="0.25">
      <c r="B161" s="8" t="s">
        <v>138</v>
      </c>
      <c r="K161" s="100">
        <f>K156/(1+wacc)^K158</f>
        <v>48014.109111752543</v>
      </c>
      <c r="L161" s="30">
        <f>L156/(1+wacc)^L158</f>
        <v>46021.735710840687</v>
      </c>
      <c r="M161" s="30">
        <f>M156/(1+wacc)^M158</f>
        <v>49132.712297024453</v>
      </c>
      <c r="N161" s="30">
        <f>N156/(1+wacc)^N158</f>
        <v>48642.395336236463</v>
      </c>
      <c r="O161" s="30">
        <f>(O156+O160)/(1+wacc)^O158</f>
        <v>341717.06335993664</v>
      </c>
    </row>
    <row r="162" spans="1:15" hidden="1" outlineLevel="1" x14ac:dyDescent="0.25">
      <c r="B162" s="11" t="s">
        <v>113</v>
      </c>
      <c r="K162" s="98"/>
      <c r="O162" s="23">
        <f>SUM(K161:O161)</f>
        <v>533528.01581579074</v>
      </c>
    </row>
    <row r="163" spans="1:15" hidden="1" outlineLevel="1" x14ac:dyDescent="0.25">
      <c r="B163" s="8" t="s">
        <v>114</v>
      </c>
      <c r="K163" s="98"/>
      <c r="O163" s="22">
        <f>(23085+ 3268)</f>
        <v>26353</v>
      </c>
    </row>
    <row r="164" spans="1:15" hidden="1" outlineLevel="1" x14ac:dyDescent="0.25">
      <c r="B164" s="8" t="s">
        <v>115</v>
      </c>
      <c r="K164" s="98"/>
      <c r="O164" s="22">
        <f>-WACC!J14*10</f>
        <v>-20228</v>
      </c>
    </row>
    <row r="165" spans="1:15" hidden="1" outlineLevel="1" x14ac:dyDescent="0.25">
      <c r="B165" s="11" t="s">
        <v>116</v>
      </c>
      <c r="C165" s="11"/>
      <c r="D165" s="11"/>
      <c r="E165" s="11"/>
      <c r="F165" s="11"/>
      <c r="G165" s="11"/>
      <c r="H165" s="11"/>
      <c r="I165" s="11"/>
      <c r="J165" s="11"/>
      <c r="K165" s="105"/>
      <c r="L165" s="11"/>
      <c r="M165" s="11"/>
      <c r="N165" s="11"/>
      <c r="O165" s="44">
        <f>SUM(O162:O164)</f>
        <v>539653.01581579074</v>
      </c>
    </row>
    <row r="166" spans="1:15" hidden="1" outlineLevel="1" x14ac:dyDescent="0.25">
      <c r="B166" s="8" t="s">
        <v>117</v>
      </c>
      <c r="K166" s="98"/>
      <c r="O166" s="28">
        <v>405075</v>
      </c>
    </row>
    <row r="167" spans="1:15" ht="14.4" hidden="1" outlineLevel="1" thickBot="1" x14ac:dyDescent="0.3">
      <c r="B167" s="11" t="s">
        <v>118</v>
      </c>
      <c r="K167" s="98"/>
      <c r="O167" s="45">
        <f>O165/(O166/10000)</f>
        <v>13322.298730254663</v>
      </c>
    </row>
    <row r="168" spans="1:15" hidden="1" outlineLevel="1" x14ac:dyDescent="0.25"/>
    <row r="169" spans="1:15" ht="14.4" hidden="1" outlineLevel="1" x14ac:dyDescent="0.3">
      <c r="B169" s="8" t="s">
        <v>121</v>
      </c>
      <c r="O169" s="89">
        <v>12102</v>
      </c>
    </row>
    <row r="170" spans="1:15" hidden="1" outlineLevel="1" x14ac:dyDescent="0.25">
      <c r="B170" s="8" t="s">
        <v>119</v>
      </c>
      <c r="O170" s="90" t="str">
        <f>IF(O169&gt;O167,"Premium","Discount")</f>
        <v>Discount</v>
      </c>
    </row>
    <row r="171" spans="1:15" hidden="1" outlineLevel="1" x14ac:dyDescent="0.25">
      <c r="B171" s="8" t="s">
        <v>120</v>
      </c>
      <c r="O171" s="91">
        <f>O169/O167-1</f>
        <v>-9.1598211011691966E-2</v>
      </c>
    </row>
    <row r="172" spans="1:15" collapsed="1" x14ac:dyDescent="0.25"/>
    <row r="173" spans="1:15" x14ac:dyDescent="0.25">
      <c r="A173" s="12" t="s">
        <v>59</v>
      </c>
      <c r="B173" s="20" t="s">
        <v>122</v>
      </c>
      <c r="C173" s="21"/>
      <c r="D173" s="21"/>
      <c r="E173" s="21"/>
      <c r="F173" s="21"/>
      <c r="G173" s="21"/>
      <c r="H173" s="21"/>
    </row>
    <row r="174" spans="1:15" x14ac:dyDescent="0.25">
      <c r="B174" s="11"/>
    </row>
    <row r="175" spans="1:15" x14ac:dyDescent="0.25">
      <c r="B175" s="54"/>
      <c r="C175" s="55"/>
      <c r="D175" s="106" t="s">
        <v>123</v>
      </c>
      <c r="E175" s="106"/>
      <c r="F175" s="106"/>
      <c r="G175" s="106"/>
      <c r="H175" s="107"/>
    </row>
    <row r="176" spans="1:15" ht="14.4" customHeight="1" x14ac:dyDescent="0.25">
      <c r="B176" s="108" t="s">
        <v>49</v>
      </c>
      <c r="C176" s="61">
        <f>O167</f>
        <v>13322.298730254663</v>
      </c>
      <c r="D176" s="56">
        <v>0</v>
      </c>
      <c r="E176" s="57">
        <f>D176+1%</f>
        <v>0.01</v>
      </c>
      <c r="F176" s="73">
        <f t="shared" ref="F176:H176" si="98">E176+1%</f>
        <v>0.02</v>
      </c>
      <c r="G176" s="57">
        <f t="shared" si="98"/>
        <v>0.03</v>
      </c>
      <c r="H176" s="58">
        <f t="shared" si="98"/>
        <v>0.04</v>
      </c>
    </row>
    <row r="177" spans="2:8" ht="13.8" customHeight="1" x14ac:dyDescent="0.25">
      <c r="B177" s="108"/>
      <c r="C177" s="59">
        <f t="shared" ref="C177:C180" si="99">C178+1%</f>
        <v>0.17188381458440119</v>
      </c>
      <c r="D177" s="62">
        <f t="dataTable" ref="D177:H182" dt2D="1" dtr="1" r1="L35" r2="L34"/>
        <v>11857.533623629617</v>
      </c>
      <c r="E177" s="63">
        <v>11857.533623629617</v>
      </c>
      <c r="F177" s="74">
        <v>11857.533623629617</v>
      </c>
      <c r="G177" s="63">
        <v>11857.533623629617</v>
      </c>
      <c r="H177" s="64">
        <v>11857.533623629617</v>
      </c>
    </row>
    <row r="178" spans="2:8" x14ac:dyDescent="0.25">
      <c r="B178" s="108"/>
      <c r="C178" s="59">
        <f t="shared" si="99"/>
        <v>0.16188381458440118</v>
      </c>
      <c r="D178" s="65">
        <v>12547.547686704054</v>
      </c>
      <c r="E178" s="66">
        <v>12547.547686704054</v>
      </c>
      <c r="F178" s="72">
        <v>12547.547686704054</v>
      </c>
      <c r="G178" s="66">
        <v>12547.547686704054</v>
      </c>
      <c r="H178" s="67">
        <v>12547.547686704054</v>
      </c>
    </row>
    <row r="179" spans="2:8" x14ac:dyDescent="0.25">
      <c r="B179" s="108"/>
      <c r="C179" s="92">
        <v>0.15188381458440117</v>
      </c>
      <c r="D179" s="71">
        <v>13322.298730254663</v>
      </c>
      <c r="E179" s="72">
        <v>13322.298730254663</v>
      </c>
      <c r="F179" s="72">
        <v>13322.298730254663</v>
      </c>
      <c r="G179" s="66">
        <v>13322.298730254663</v>
      </c>
      <c r="H179" s="67">
        <v>13322.298730254663</v>
      </c>
    </row>
    <row r="180" spans="2:8" x14ac:dyDescent="0.25">
      <c r="B180" s="108"/>
      <c r="C180" s="59">
        <f t="shared" si="99"/>
        <v>0.14000000000000001</v>
      </c>
      <c r="D180" s="65">
        <v>14375.977703116447</v>
      </c>
      <c r="E180" s="66">
        <v>14375.977703116447</v>
      </c>
      <c r="F180" s="66">
        <v>14375.977703116447</v>
      </c>
      <c r="G180" s="66">
        <v>14375.977703116447</v>
      </c>
      <c r="H180" s="67">
        <v>14375.977703116447</v>
      </c>
    </row>
    <row r="181" spans="2:8" x14ac:dyDescent="0.25">
      <c r="B181" s="108"/>
      <c r="C181" s="59">
        <f>C182+1%</f>
        <v>0.13</v>
      </c>
      <c r="D181" s="65">
        <v>15399.255345104379</v>
      </c>
      <c r="E181" s="66">
        <v>15399.255345104379</v>
      </c>
      <c r="F181" s="66">
        <v>15399.255345104379</v>
      </c>
      <c r="G181" s="66">
        <v>15399.255345104379</v>
      </c>
      <c r="H181" s="67">
        <v>15399.255345104379</v>
      </c>
    </row>
    <row r="182" spans="2:8" x14ac:dyDescent="0.25">
      <c r="B182" s="109"/>
      <c r="C182" s="60">
        <v>0.12</v>
      </c>
      <c r="D182" s="68">
        <v>16577.015983535795</v>
      </c>
      <c r="E182" s="69">
        <v>16577.015983535795</v>
      </c>
      <c r="F182" s="69">
        <v>16577.015983535795</v>
      </c>
      <c r="G182" s="69">
        <v>16577.015983535795</v>
      </c>
      <c r="H182" s="70">
        <v>16577.015983535795</v>
      </c>
    </row>
  </sheetData>
  <mergeCells count="5">
    <mergeCell ref="D175:H175"/>
    <mergeCell ref="B176:B182"/>
    <mergeCell ref="B26:D26"/>
    <mergeCell ref="E9:F9"/>
    <mergeCell ref="E10:F10"/>
  </mergeCells>
  <dataValidations disablePrompts="1" count="1">
    <dataValidation type="list" allowBlank="1" showInputMessage="1" showErrorMessage="1" sqref="F12" xr:uid="{23D30B9C-4E13-4AB7-9C7E-E10EB620548D}">
      <formula1>"1,2,3"</formula1>
    </dataValidation>
  </dataValidations>
  <pageMargins left="0.70866141732283472" right="0.70866141732283472" top="0.74803149606299213" bottom="0.74803149606299213" header="0.31496062992125984" footer="0.31496062992125984"/>
  <pageSetup scale="4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id="{DCD69DA1-BD1A-499A-8DF8-CD2DB84A6A6E}">
            <xm:f>NOT(ISERROR(SEARCH($N$26,F12)))</xm:f>
            <xm:f>$N$26</xm:f>
            <x14:dxf>
              <font>
                <color rgb="FF00B050"/>
              </font>
            </x14:dxf>
          </x14:cfRule>
          <x14:cfRule type="containsText" priority="14" operator="containsText" id="{FD97172C-0FCA-4A32-BCF7-1F40E9AF97A9}">
            <xm:f>NOT(ISERROR(SEARCH($F$26,F12)))</xm:f>
            <xm:f>$F$26</xm:f>
            <x14:dxf>
              <font>
                <color rgb="FFFF0000"/>
              </font>
            </x14:dxf>
          </x14:cfRule>
          <x14:cfRule type="containsText" priority="15" operator="containsText" id="{61093B6C-F6A5-4F26-B2B1-A40576961CF1}">
            <xm:f>NOT(ISERROR(SEARCH($J$26,F12)))</xm:f>
            <xm:f>$J$26</xm:f>
            <x14:dxf/>
          </x14:cfRule>
          <xm:sqref>F12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316B-2561-465F-B1FB-DAEAC424C159}">
  <dimension ref="A2:M313"/>
  <sheetViews>
    <sheetView showGridLines="0" zoomScaleNormal="100" workbookViewId="0">
      <selection activeCell="E22" sqref="E22"/>
    </sheetView>
  </sheetViews>
  <sheetFormatPr defaultRowHeight="14.4" x14ac:dyDescent="0.3"/>
  <cols>
    <col min="1" max="1" width="2.88671875" customWidth="1"/>
    <col min="2" max="2" width="8.88671875" customWidth="1"/>
    <col min="5" max="5" width="9" customWidth="1"/>
    <col min="10" max="10" width="10.44140625" bestFit="1" customWidth="1"/>
  </cols>
  <sheetData>
    <row r="2" spans="1:13" x14ac:dyDescent="0.3">
      <c r="B2" s="6" t="s">
        <v>28</v>
      </c>
      <c r="C2" s="7"/>
      <c r="D2" s="7"/>
      <c r="E2" s="7"/>
      <c r="F2" s="7"/>
      <c r="G2" s="7"/>
      <c r="H2" s="7"/>
      <c r="I2" s="7"/>
      <c r="J2" s="7"/>
      <c r="K2" s="7"/>
    </row>
    <row r="3" spans="1:13" x14ac:dyDescent="0.3">
      <c r="B3" s="9" t="s">
        <v>49</v>
      </c>
      <c r="C3" s="7"/>
      <c r="D3" s="7"/>
      <c r="E3" s="7"/>
      <c r="F3" s="7"/>
      <c r="G3" s="7"/>
      <c r="H3" s="7"/>
      <c r="I3" s="7"/>
      <c r="J3" s="7"/>
      <c r="K3" s="7"/>
    </row>
    <row r="4" spans="1:13" x14ac:dyDescent="0.3">
      <c r="B4" s="10" t="s">
        <v>45</v>
      </c>
      <c r="C4" s="7"/>
      <c r="D4" s="7"/>
      <c r="E4" s="7"/>
      <c r="F4" s="7"/>
      <c r="G4" s="7"/>
      <c r="H4" s="7"/>
      <c r="I4" s="7"/>
      <c r="J4" s="7"/>
      <c r="K4" s="7"/>
    </row>
    <row r="6" spans="1:13" x14ac:dyDescent="0.3">
      <c r="B6" t="s">
        <v>100</v>
      </c>
    </row>
    <row r="7" spans="1:13" x14ac:dyDescent="0.3">
      <c r="B7" t="s">
        <v>107</v>
      </c>
    </row>
    <row r="8" spans="1:13" x14ac:dyDescent="0.3">
      <c r="B8" t="s">
        <v>101</v>
      </c>
    </row>
    <row r="10" spans="1:13" x14ac:dyDescent="0.3">
      <c r="A10" s="76" t="s">
        <v>59</v>
      </c>
      <c r="B10" s="34" t="s">
        <v>94</v>
      </c>
      <c r="C10" s="34"/>
      <c r="D10" s="34"/>
      <c r="E10" s="34"/>
      <c r="F10" s="34"/>
      <c r="G10" s="34"/>
      <c r="H10" s="34"/>
      <c r="I10" s="34"/>
      <c r="J10" s="34"/>
      <c r="K10" s="34"/>
    </row>
    <row r="12" spans="1:13" x14ac:dyDescent="0.3">
      <c r="B12" s="34" t="s">
        <v>99</v>
      </c>
      <c r="C12" s="35"/>
      <c r="D12" s="35"/>
      <c r="E12" s="35"/>
      <c r="H12" s="34" t="s">
        <v>110</v>
      </c>
      <c r="I12" s="35"/>
      <c r="J12" s="35"/>
    </row>
    <row r="13" spans="1:13" x14ac:dyDescent="0.3">
      <c r="B13" t="s">
        <v>102</v>
      </c>
      <c r="E13" s="5">
        <v>6.5720000000000001E-2</v>
      </c>
      <c r="H13" t="s">
        <v>97</v>
      </c>
      <c r="J13" s="38">
        <f>79389</f>
        <v>79389</v>
      </c>
    </row>
    <row r="14" spans="1:13" x14ac:dyDescent="0.3">
      <c r="B14" t="s">
        <v>106</v>
      </c>
      <c r="E14" s="5">
        <v>1.8700000000000001E-2</v>
      </c>
      <c r="H14" t="s">
        <v>98</v>
      </c>
      <c r="J14" s="38">
        <f>(8089+12139)/10</f>
        <v>2022.8</v>
      </c>
      <c r="M14" s="38"/>
    </row>
    <row r="15" spans="1:13" x14ac:dyDescent="0.3">
      <c r="B15" t="s">
        <v>103</v>
      </c>
      <c r="E15" s="5">
        <v>7.0800000000000002E-2</v>
      </c>
      <c r="H15" s="36" t="s">
        <v>109</v>
      </c>
      <c r="I15" s="36"/>
      <c r="J15" s="39">
        <f>SUM(J13:J14)</f>
        <v>81411.8</v>
      </c>
    </row>
    <row r="16" spans="1:13" x14ac:dyDescent="0.3">
      <c r="B16" t="s">
        <v>104</v>
      </c>
      <c r="E16" s="5">
        <v>2.8500000000000001E-2</v>
      </c>
    </row>
    <row r="17" spans="2:12" x14ac:dyDescent="0.3">
      <c r="B17" t="s">
        <v>91</v>
      </c>
      <c r="E17" s="4">
        <f>SLOPE(Data!H37:H477,Data!D37:D477)</f>
        <v>1.1149810793894004</v>
      </c>
      <c r="H17" s="75" t="s">
        <v>112</v>
      </c>
      <c r="I17" s="75"/>
      <c r="J17" s="77">
        <f>J13/J15</f>
        <v>0.97515347897970561</v>
      </c>
    </row>
    <row r="18" spans="2:12" x14ac:dyDescent="0.3">
      <c r="B18" s="36" t="s">
        <v>105</v>
      </c>
      <c r="C18" s="36"/>
      <c r="D18" s="36"/>
      <c r="E18" s="37">
        <f>(E13-E14)+(E15*E17)+E16</f>
        <v>0.15446066042076956</v>
      </c>
      <c r="H18" s="35" t="s">
        <v>111</v>
      </c>
      <c r="I18" s="35"/>
      <c r="J18" s="78">
        <f>1-J17</f>
        <v>2.4846521020294388E-2</v>
      </c>
    </row>
    <row r="20" spans="2:12" x14ac:dyDescent="0.3">
      <c r="B20" s="34" t="s">
        <v>108</v>
      </c>
      <c r="C20" s="35"/>
      <c r="D20" s="35"/>
      <c r="E20" s="40">
        <f>15435/(8089+12139+41779+5089+139792+6008)</f>
        <v>7.2500187885164588E-2</v>
      </c>
      <c r="L20" s="31"/>
    </row>
    <row r="21" spans="2:12" x14ac:dyDescent="0.3">
      <c r="L21" s="31"/>
    </row>
    <row r="22" spans="2:12" x14ac:dyDescent="0.3">
      <c r="B22" s="41" t="s">
        <v>49</v>
      </c>
      <c r="C22" s="42"/>
      <c r="D22" s="42"/>
      <c r="E22" s="43">
        <f>(E18*J17)+((E20*J18)*(1-30%))</f>
        <v>0.15188381458440117</v>
      </c>
      <c r="L22" s="31"/>
    </row>
    <row r="23" spans="2:12" x14ac:dyDescent="0.3">
      <c r="L23" s="31"/>
    </row>
    <row r="24" spans="2:12" x14ac:dyDescent="0.3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1"/>
    </row>
    <row r="25" spans="2:12" x14ac:dyDescent="0.3">
      <c r="L25" s="31"/>
    </row>
    <row r="26" spans="2:12" x14ac:dyDescent="0.3">
      <c r="L26" s="31"/>
    </row>
    <row r="27" spans="2:12" x14ac:dyDescent="0.3">
      <c r="L27" s="31"/>
    </row>
    <row r="28" spans="2:12" x14ac:dyDescent="0.3">
      <c r="L28" s="31"/>
    </row>
    <row r="29" spans="2:12" x14ac:dyDescent="0.3">
      <c r="L29" s="31"/>
    </row>
    <row r="30" spans="2:12" x14ac:dyDescent="0.3">
      <c r="L30" s="31"/>
    </row>
    <row r="31" spans="2:12" x14ac:dyDescent="0.3">
      <c r="L31" s="31"/>
    </row>
    <row r="32" spans="2:12" x14ac:dyDescent="0.3">
      <c r="L32" s="31"/>
    </row>
    <row r="33" spans="12:12" x14ac:dyDescent="0.3">
      <c r="L33" s="31"/>
    </row>
    <row r="34" spans="12:12" x14ac:dyDescent="0.3">
      <c r="L34" s="31"/>
    </row>
    <row r="35" spans="12:12" x14ac:dyDescent="0.3">
      <c r="L35" s="31"/>
    </row>
    <row r="36" spans="12:12" x14ac:dyDescent="0.3">
      <c r="L36" s="31"/>
    </row>
    <row r="37" spans="12:12" x14ac:dyDescent="0.3">
      <c r="L37" s="31"/>
    </row>
    <row r="38" spans="12:12" x14ac:dyDescent="0.3">
      <c r="L38" s="31"/>
    </row>
    <row r="39" spans="12:12" x14ac:dyDescent="0.3">
      <c r="L39" s="31"/>
    </row>
    <row r="40" spans="12:12" x14ac:dyDescent="0.3">
      <c r="L40" s="31"/>
    </row>
    <row r="41" spans="12:12" x14ac:dyDescent="0.3">
      <c r="L41" s="31"/>
    </row>
    <row r="42" spans="12:12" x14ac:dyDescent="0.3">
      <c r="L42" s="31"/>
    </row>
    <row r="43" spans="12:12" x14ac:dyDescent="0.3">
      <c r="L43" s="31"/>
    </row>
    <row r="44" spans="12:12" x14ac:dyDescent="0.3">
      <c r="L44" s="31"/>
    </row>
    <row r="45" spans="12:12" x14ac:dyDescent="0.3">
      <c r="L45" s="31"/>
    </row>
    <row r="46" spans="12:12" x14ac:dyDescent="0.3">
      <c r="L46" s="31"/>
    </row>
    <row r="47" spans="12:12" x14ac:dyDescent="0.3">
      <c r="L47" s="31"/>
    </row>
    <row r="48" spans="12:12" x14ac:dyDescent="0.3">
      <c r="L48" s="31"/>
    </row>
    <row r="49" spans="12:12" x14ac:dyDescent="0.3">
      <c r="L49" s="31"/>
    </row>
    <row r="50" spans="12:12" x14ac:dyDescent="0.3">
      <c r="L50" s="31"/>
    </row>
    <row r="51" spans="12:12" x14ac:dyDescent="0.3">
      <c r="L51" s="31"/>
    </row>
    <row r="52" spans="12:12" x14ac:dyDescent="0.3">
      <c r="L52" s="31"/>
    </row>
    <row r="53" spans="12:12" x14ac:dyDescent="0.3">
      <c r="L53" s="31"/>
    </row>
    <row r="54" spans="12:12" x14ac:dyDescent="0.3">
      <c r="L54" s="31"/>
    </row>
    <row r="55" spans="12:12" x14ac:dyDescent="0.3">
      <c r="L55" s="31"/>
    </row>
    <row r="56" spans="12:12" x14ac:dyDescent="0.3">
      <c r="L56" s="31"/>
    </row>
    <row r="57" spans="12:12" x14ac:dyDescent="0.3">
      <c r="L57" s="31"/>
    </row>
    <row r="58" spans="12:12" x14ac:dyDescent="0.3">
      <c r="L58" s="31"/>
    </row>
    <row r="59" spans="12:12" x14ac:dyDescent="0.3">
      <c r="L59" s="31"/>
    </row>
    <row r="60" spans="12:12" x14ac:dyDescent="0.3">
      <c r="L60" s="31"/>
    </row>
    <row r="61" spans="12:12" x14ac:dyDescent="0.3">
      <c r="L61" s="31"/>
    </row>
    <row r="62" spans="12:12" x14ac:dyDescent="0.3">
      <c r="L62" s="31"/>
    </row>
    <row r="63" spans="12:12" x14ac:dyDescent="0.3">
      <c r="L63" s="31"/>
    </row>
    <row r="64" spans="12:12" x14ac:dyDescent="0.3">
      <c r="L64" s="31"/>
    </row>
    <row r="65" spans="12:12" x14ac:dyDescent="0.3">
      <c r="L65" s="31"/>
    </row>
    <row r="66" spans="12:12" x14ac:dyDescent="0.3">
      <c r="L66" s="31"/>
    </row>
    <row r="67" spans="12:12" x14ac:dyDescent="0.3">
      <c r="L67" s="31"/>
    </row>
    <row r="68" spans="12:12" x14ac:dyDescent="0.3">
      <c r="L68" s="31"/>
    </row>
    <row r="69" spans="12:12" x14ac:dyDescent="0.3">
      <c r="L69" s="31"/>
    </row>
    <row r="70" spans="12:12" x14ac:dyDescent="0.3">
      <c r="L70" s="31"/>
    </row>
    <row r="71" spans="12:12" x14ac:dyDescent="0.3">
      <c r="L71" s="31"/>
    </row>
    <row r="72" spans="12:12" x14ac:dyDescent="0.3">
      <c r="L72" s="31"/>
    </row>
    <row r="73" spans="12:12" x14ac:dyDescent="0.3">
      <c r="L73" s="31"/>
    </row>
    <row r="74" spans="12:12" x14ac:dyDescent="0.3">
      <c r="L74" s="31"/>
    </row>
    <row r="75" spans="12:12" x14ac:dyDescent="0.3">
      <c r="L75" s="31"/>
    </row>
    <row r="76" spans="12:12" x14ac:dyDescent="0.3">
      <c r="L76" s="31"/>
    </row>
    <row r="77" spans="12:12" x14ac:dyDescent="0.3">
      <c r="L77" s="31"/>
    </row>
    <row r="78" spans="12:12" x14ac:dyDescent="0.3">
      <c r="L78" s="31"/>
    </row>
    <row r="79" spans="12:12" x14ac:dyDescent="0.3">
      <c r="L79" s="31"/>
    </row>
    <row r="80" spans="12:12" x14ac:dyDescent="0.3">
      <c r="L80" s="31"/>
    </row>
    <row r="81" spans="12:12" x14ac:dyDescent="0.3">
      <c r="L81" s="31"/>
    </row>
    <row r="82" spans="12:12" x14ac:dyDescent="0.3">
      <c r="L82" s="31"/>
    </row>
    <row r="83" spans="12:12" x14ac:dyDescent="0.3">
      <c r="L83" s="31"/>
    </row>
    <row r="84" spans="12:12" x14ac:dyDescent="0.3">
      <c r="L84" s="31"/>
    </row>
    <row r="85" spans="12:12" x14ac:dyDescent="0.3">
      <c r="L85" s="31"/>
    </row>
    <row r="86" spans="12:12" x14ac:dyDescent="0.3">
      <c r="L86" s="31"/>
    </row>
    <row r="87" spans="12:12" x14ac:dyDescent="0.3">
      <c r="L87" s="31"/>
    </row>
    <row r="88" spans="12:12" x14ac:dyDescent="0.3">
      <c r="L88" s="31"/>
    </row>
    <row r="89" spans="12:12" x14ac:dyDescent="0.3">
      <c r="L89" s="31"/>
    </row>
    <row r="90" spans="12:12" x14ac:dyDescent="0.3">
      <c r="L90" s="31"/>
    </row>
    <row r="91" spans="12:12" x14ac:dyDescent="0.3">
      <c r="L91" s="31"/>
    </row>
    <row r="92" spans="12:12" x14ac:dyDescent="0.3">
      <c r="L92" s="31"/>
    </row>
    <row r="93" spans="12:12" x14ac:dyDescent="0.3">
      <c r="L93" s="31"/>
    </row>
    <row r="94" spans="12:12" x14ac:dyDescent="0.3">
      <c r="L94" s="31"/>
    </row>
    <row r="95" spans="12:12" x14ac:dyDescent="0.3">
      <c r="L95" s="31"/>
    </row>
    <row r="96" spans="12:12" x14ac:dyDescent="0.3">
      <c r="L96" s="31"/>
    </row>
    <row r="97" spans="12:12" x14ac:dyDescent="0.3">
      <c r="L97" s="31"/>
    </row>
    <row r="98" spans="12:12" x14ac:dyDescent="0.3">
      <c r="L98" s="31"/>
    </row>
    <row r="99" spans="12:12" x14ac:dyDescent="0.3">
      <c r="L99" s="31"/>
    </row>
    <row r="100" spans="12:12" x14ac:dyDescent="0.3">
      <c r="L100" s="31"/>
    </row>
    <row r="101" spans="12:12" x14ac:dyDescent="0.3">
      <c r="L101" s="31"/>
    </row>
    <row r="102" spans="12:12" x14ac:dyDescent="0.3">
      <c r="L102" s="31"/>
    </row>
    <row r="103" spans="12:12" x14ac:dyDescent="0.3">
      <c r="L103" s="31"/>
    </row>
    <row r="104" spans="12:12" x14ac:dyDescent="0.3">
      <c r="L104" s="31"/>
    </row>
    <row r="105" spans="12:12" x14ac:dyDescent="0.3">
      <c r="L105" s="31"/>
    </row>
    <row r="106" spans="12:12" x14ac:dyDescent="0.3">
      <c r="L106" s="31"/>
    </row>
    <row r="107" spans="12:12" x14ac:dyDescent="0.3">
      <c r="L107" s="31"/>
    </row>
    <row r="108" spans="12:12" x14ac:dyDescent="0.3">
      <c r="L108" s="31"/>
    </row>
    <row r="109" spans="12:12" x14ac:dyDescent="0.3">
      <c r="L109" s="31"/>
    </row>
    <row r="110" spans="12:12" x14ac:dyDescent="0.3">
      <c r="L110" s="31"/>
    </row>
    <row r="111" spans="12:12" x14ac:dyDescent="0.3">
      <c r="L111" s="31"/>
    </row>
    <row r="112" spans="12:12" x14ac:dyDescent="0.3">
      <c r="L112" s="31"/>
    </row>
    <row r="113" spans="12:12" x14ac:dyDescent="0.3">
      <c r="L113" s="31"/>
    </row>
    <row r="114" spans="12:12" x14ac:dyDescent="0.3">
      <c r="L114" s="31"/>
    </row>
    <row r="115" spans="12:12" x14ac:dyDescent="0.3">
      <c r="L115" s="31"/>
    </row>
    <row r="116" spans="12:12" x14ac:dyDescent="0.3">
      <c r="L116" s="31"/>
    </row>
    <row r="117" spans="12:12" x14ac:dyDescent="0.3">
      <c r="L117" s="31"/>
    </row>
    <row r="118" spans="12:12" x14ac:dyDescent="0.3">
      <c r="L118" s="31"/>
    </row>
    <row r="119" spans="12:12" x14ac:dyDescent="0.3">
      <c r="L119" s="31"/>
    </row>
    <row r="120" spans="12:12" x14ac:dyDescent="0.3">
      <c r="L120" s="31"/>
    </row>
    <row r="121" spans="12:12" x14ac:dyDescent="0.3">
      <c r="L121" s="31"/>
    </row>
    <row r="122" spans="12:12" x14ac:dyDescent="0.3">
      <c r="L122" s="31"/>
    </row>
    <row r="123" spans="12:12" x14ac:dyDescent="0.3">
      <c r="L123" s="31"/>
    </row>
    <row r="124" spans="12:12" x14ac:dyDescent="0.3">
      <c r="L124" s="31"/>
    </row>
    <row r="125" spans="12:12" x14ac:dyDescent="0.3">
      <c r="L125" s="31"/>
    </row>
    <row r="126" spans="12:12" x14ac:dyDescent="0.3">
      <c r="L126" s="31"/>
    </row>
    <row r="127" spans="12:12" x14ac:dyDescent="0.3">
      <c r="L127" s="31"/>
    </row>
    <row r="128" spans="12:12" x14ac:dyDescent="0.3">
      <c r="L128" s="31"/>
    </row>
    <row r="129" spans="12:12" x14ac:dyDescent="0.3">
      <c r="L129" s="31"/>
    </row>
    <row r="130" spans="12:12" x14ac:dyDescent="0.3">
      <c r="L130" s="31"/>
    </row>
    <row r="131" spans="12:12" x14ac:dyDescent="0.3">
      <c r="L131" s="31"/>
    </row>
    <row r="132" spans="12:12" x14ac:dyDescent="0.3">
      <c r="L132" s="31"/>
    </row>
    <row r="133" spans="12:12" x14ac:dyDescent="0.3">
      <c r="L133" s="31"/>
    </row>
    <row r="134" spans="12:12" x14ac:dyDescent="0.3">
      <c r="L134" s="31"/>
    </row>
    <row r="135" spans="12:12" x14ac:dyDescent="0.3">
      <c r="L135" s="31"/>
    </row>
    <row r="136" spans="12:12" x14ac:dyDescent="0.3">
      <c r="L136" s="31"/>
    </row>
    <row r="137" spans="12:12" x14ac:dyDescent="0.3">
      <c r="L137" s="31"/>
    </row>
    <row r="138" spans="12:12" x14ac:dyDescent="0.3">
      <c r="L138" s="31"/>
    </row>
    <row r="139" spans="12:12" x14ac:dyDescent="0.3">
      <c r="L139" s="31"/>
    </row>
    <row r="140" spans="12:12" x14ac:dyDescent="0.3">
      <c r="L140" s="31"/>
    </row>
    <row r="141" spans="12:12" x14ac:dyDescent="0.3">
      <c r="L141" s="31"/>
    </row>
    <row r="142" spans="12:12" x14ac:dyDescent="0.3">
      <c r="L142" s="31"/>
    </row>
    <row r="143" spans="12:12" x14ac:dyDescent="0.3">
      <c r="L143" s="31"/>
    </row>
    <row r="144" spans="12:12" x14ac:dyDescent="0.3">
      <c r="L144" s="31"/>
    </row>
    <row r="145" spans="12:12" x14ac:dyDescent="0.3">
      <c r="L145" s="31"/>
    </row>
    <row r="146" spans="12:12" x14ac:dyDescent="0.3">
      <c r="L146" s="31"/>
    </row>
    <row r="147" spans="12:12" x14ac:dyDescent="0.3">
      <c r="L147" s="31"/>
    </row>
    <row r="148" spans="12:12" x14ac:dyDescent="0.3">
      <c r="L148" s="31"/>
    </row>
    <row r="149" spans="12:12" x14ac:dyDescent="0.3">
      <c r="L149" s="31"/>
    </row>
    <row r="150" spans="12:12" x14ac:dyDescent="0.3">
      <c r="L150" s="31"/>
    </row>
    <row r="151" spans="12:12" x14ac:dyDescent="0.3">
      <c r="L151" s="31"/>
    </row>
    <row r="152" spans="12:12" x14ac:dyDescent="0.3">
      <c r="L152" s="31"/>
    </row>
    <row r="153" spans="12:12" x14ac:dyDescent="0.3">
      <c r="L153" s="31"/>
    </row>
    <row r="154" spans="12:12" x14ac:dyDescent="0.3">
      <c r="L154" s="31"/>
    </row>
    <row r="155" spans="12:12" x14ac:dyDescent="0.3">
      <c r="L155" s="31"/>
    </row>
    <row r="156" spans="12:12" x14ac:dyDescent="0.3">
      <c r="L156" s="31"/>
    </row>
    <row r="157" spans="12:12" x14ac:dyDescent="0.3">
      <c r="L157" s="31"/>
    </row>
    <row r="158" spans="12:12" x14ac:dyDescent="0.3">
      <c r="L158" s="31"/>
    </row>
    <row r="159" spans="12:12" x14ac:dyDescent="0.3">
      <c r="L159" s="31"/>
    </row>
    <row r="160" spans="12:12" x14ac:dyDescent="0.3">
      <c r="L160" s="31"/>
    </row>
    <row r="161" spans="12:12" x14ac:dyDescent="0.3">
      <c r="L161" s="31"/>
    </row>
    <row r="162" spans="12:12" x14ac:dyDescent="0.3">
      <c r="L162" s="31"/>
    </row>
    <row r="163" spans="12:12" x14ac:dyDescent="0.3">
      <c r="L163" s="31"/>
    </row>
    <row r="164" spans="12:12" x14ac:dyDescent="0.3">
      <c r="L164" s="31"/>
    </row>
    <row r="165" spans="12:12" x14ac:dyDescent="0.3">
      <c r="L165" s="31"/>
    </row>
    <row r="166" spans="12:12" x14ac:dyDescent="0.3">
      <c r="L166" s="31"/>
    </row>
    <row r="167" spans="12:12" x14ac:dyDescent="0.3">
      <c r="L167" s="31"/>
    </row>
    <row r="168" spans="12:12" x14ac:dyDescent="0.3">
      <c r="L168" s="31"/>
    </row>
    <row r="169" spans="12:12" x14ac:dyDescent="0.3">
      <c r="L169" s="31"/>
    </row>
    <row r="170" spans="12:12" x14ac:dyDescent="0.3">
      <c r="L170" s="31"/>
    </row>
    <row r="171" spans="12:12" x14ac:dyDescent="0.3">
      <c r="L171" s="31"/>
    </row>
    <row r="172" spans="12:12" x14ac:dyDescent="0.3">
      <c r="L172" s="31"/>
    </row>
    <row r="173" spans="12:12" x14ac:dyDescent="0.3">
      <c r="L173" s="31"/>
    </row>
    <row r="174" spans="12:12" x14ac:dyDescent="0.3">
      <c r="L174" s="31"/>
    </row>
    <row r="175" spans="12:12" x14ac:dyDescent="0.3">
      <c r="L175" s="31"/>
    </row>
    <row r="176" spans="12:12" x14ac:dyDescent="0.3">
      <c r="L176" s="31"/>
    </row>
    <row r="177" spans="12:12" x14ac:dyDescent="0.3">
      <c r="L177" s="31"/>
    </row>
    <row r="178" spans="12:12" x14ac:dyDescent="0.3">
      <c r="L178" s="31"/>
    </row>
    <row r="179" spans="12:12" x14ac:dyDescent="0.3">
      <c r="L179" s="31"/>
    </row>
    <row r="180" spans="12:12" x14ac:dyDescent="0.3">
      <c r="L180" s="31"/>
    </row>
    <row r="181" spans="12:12" x14ac:dyDescent="0.3">
      <c r="L181" s="31"/>
    </row>
    <row r="182" spans="12:12" x14ac:dyDescent="0.3">
      <c r="L182" s="31"/>
    </row>
    <row r="183" spans="12:12" x14ac:dyDescent="0.3">
      <c r="L183" s="31"/>
    </row>
    <row r="184" spans="12:12" x14ac:dyDescent="0.3">
      <c r="L184" s="31"/>
    </row>
    <row r="185" spans="12:12" x14ac:dyDescent="0.3">
      <c r="L185" s="31"/>
    </row>
    <row r="186" spans="12:12" x14ac:dyDescent="0.3">
      <c r="L186" s="31"/>
    </row>
    <row r="187" spans="12:12" x14ac:dyDescent="0.3">
      <c r="L187" s="31"/>
    </row>
    <row r="188" spans="12:12" x14ac:dyDescent="0.3">
      <c r="L188" s="31"/>
    </row>
    <row r="189" spans="12:12" x14ac:dyDescent="0.3">
      <c r="L189" s="31"/>
    </row>
    <row r="190" spans="12:12" x14ac:dyDescent="0.3">
      <c r="L190" s="31"/>
    </row>
    <row r="191" spans="12:12" x14ac:dyDescent="0.3">
      <c r="L191" s="31"/>
    </row>
    <row r="192" spans="12:12" x14ac:dyDescent="0.3">
      <c r="L192" s="31"/>
    </row>
    <row r="193" spans="12:12" x14ac:dyDescent="0.3">
      <c r="L193" s="31"/>
    </row>
    <row r="194" spans="12:12" x14ac:dyDescent="0.3">
      <c r="L194" s="31"/>
    </row>
    <row r="195" spans="12:12" x14ac:dyDescent="0.3">
      <c r="L195" s="31"/>
    </row>
    <row r="196" spans="12:12" x14ac:dyDescent="0.3">
      <c r="L196" s="31"/>
    </row>
    <row r="197" spans="12:12" x14ac:dyDescent="0.3">
      <c r="L197" s="31"/>
    </row>
    <row r="198" spans="12:12" x14ac:dyDescent="0.3">
      <c r="L198" s="31"/>
    </row>
    <row r="199" spans="12:12" x14ac:dyDescent="0.3">
      <c r="L199" s="31"/>
    </row>
    <row r="200" spans="12:12" x14ac:dyDescent="0.3">
      <c r="L200" s="31"/>
    </row>
    <row r="201" spans="12:12" x14ac:dyDescent="0.3">
      <c r="L201" s="31"/>
    </row>
    <row r="202" spans="12:12" x14ac:dyDescent="0.3">
      <c r="L202" s="31"/>
    </row>
    <row r="203" spans="12:12" x14ac:dyDescent="0.3">
      <c r="L203" s="31"/>
    </row>
    <row r="204" spans="12:12" x14ac:dyDescent="0.3">
      <c r="L204" s="31"/>
    </row>
    <row r="205" spans="12:12" x14ac:dyDescent="0.3">
      <c r="L205" s="31"/>
    </row>
    <row r="206" spans="12:12" x14ac:dyDescent="0.3">
      <c r="L206" s="31"/>
    </row>
    <row r="207" spans="12:12" x14ac:dyDescent="0.3">
      <c r="L207" s="31"/>
    </row>
    <row r="208" spans="12:12" x14ac:dyDescent="0.3">
      <c r="L208" s="31"/>
    </row>
    <row r="209" spans="12:12" x14ac:dyDescent="0.3">
      <c r="L209" s="31"/>
    </row>
    <row r="210" spans="12:12" x14ac:dyDescent="0.3">
      <c r="L210" s="31"/>
    </row>
    <row r="211" spans="12:12" x14ac:dyDescent="0.3">
      <c r="L211" s="31"/>
    </row>
    <row r="212" spans="12:12" x14ac:dyDescent="0.3">
      <c r="L212" s="31"/>
    </row>
    <row r="213" spans="12:12" x14ac:dyDescent="0.3">
      <c r="L213" s="31"/>
    </row>
    <row r="214" spans="12:12" x14ac:dyDescent="0.3">
      <c r="L214" s="31"/>
    </row>
    <row r="215" spans="12:12" x14ac:dyDescent="0.3">
      <c r="L215" s="31"/>
    </row>
    <row r="216" spans="12:12" x14ac:dyDescent="0.3">
      <c r="L216" s="31"/>
    </row>
    <row r="217" spans="12:12" x14ac:dyDescent="0.3">
      <c r="L217" s="31"/>
    </row>
    <row r="218" spans="12:12" x14ac:dyDescent="0.3">
      <c r="L218" s="31"/>
    </row>
    <row r="219" spans="12:12" x14ac:dyDescent="0.3">
      <c r="L219" s="31"/>
    </row>
    <row r="220" spans="12:12" x14ac:dyDescent="0.3">
      <c r="L220" s="31"/>
    </row>
    <row r="221" spans="12:12" x14ac:dyDescent="0.3">
      <c r="L221" s="31"/>
    </row>
    <row r="222" spans="12:12" x14ac:dyDescent="0.3">
      <c r="L222" s="31"/>
    </row>
    <row r="223" spans="12:12" x14ac:dyDescent="0.3">
      <c r="L223" s="31"/>
    </row>
    <row r="224" spans="12:12" x14ac:dyDescent="0.3">
      <c r="L224" s="31"/>
    </row>
    <row r="225" spans="12:12" x14ac:dyDescent="0.3">
      <c r="L225" s="31"/>
    </row>
    <row r="226" spans="12:12" x14ac:dyDescent="0.3">
      <c r="L226" s="31"/>
    </row>
    <row r="227" spans="12:12" x14ac:dyDescent="0.3">
      <c r="L227" s="31"/>
    </row>
    <row r="228" spans="12:12" x14ac:dyDescent="0.3">
      <c r="L228" s="31"/>
    </row>
    <row r="229" spans="12:12" x14ac:dyDescent="0.3">
      <c r="L229" s="31"/>
    </row>
    <row r="230" spans="12:12" x14ac:dyDescent="0.3">
      <c r="L230" s="31"/>
    </row>
    <row r="231" spans="12:12" x14ac:dyDescent="0.3">
      <c r="L231" s="31"/>
    </row>
    <row r="232" spans="12:12" x14ac:dyDescent="0.3">
      <c r="L232" s="31"/>
    </row>
    <row r="233" spans="12:12" x14ac:dyDescent="0.3">
      <c r="L233" s="31"/>
    </row>
    <row r="234" spans="12:12" x14ac:dyDescent="0.3">
      <c r="L234" s="31"/>
    </row>
    <row r="235" spans="12:12" x14ac:dyDescent="0.3">
      <c r="L235" s="31"/>
    </row>
    <row r="236" spans="12:12" x14ac:dyDescent="0.3">
      <c r="L236" s="31"/>
    </row>
    <row r="237" spans="12:12" x14ac:dyDescent="0.3">
      <c r="L237" s="31"/>
    </row>
    <row r="238" spans="12:12" x14ac:dyDescent="0.3">
      <c r="L238" s="31"/>
    </row>
    <row r="239" spans="12:12" x14ac:dyDescent="0.3">
      <c r="L239" s="31"/>
    </row>
    <row r="240" spans="12:12" x14ac:dyDescent="0.3">
      <c r="L240" s="31"/>
    </row>
    <row r="241" spans="12:12" x14ac:dyDescent="0.3">
      <c r="L241" s="31"/>
    </row>
    <row r="242" spans="12:12" x14ac:dyDescent="0.3">
      <c r="L242" s="31"/>
    </row>
    <row r="243" spans="12:12" x14ac:dyDescent="0.3">
      <c r="L243" s="31"/>
    </row>
    <row r="244" spans="12:12" x14ac:dyDescent="0.3">
      <c r="L244" s="31"/>
    </row>
    <row r="245" spans="12:12" x14ac:dyDescent="0.3">
      <c r="L245" s="31"/>
    </row>
    <row r="246" spans="12:12" x14ac:dyDescent="0.3">
      <c r="L246" s="31"/>
    </row>
    <row r="247" spans="12:12" x14ac:dyDescent="0.3">
      <c r="L247" s="31"/>
    </row>
    <row r="248" spans="12:12" x14ac:dyDescent="0.3">
      <c r="L248" s="31"/>
    </row>
    <row r="249" spans="12:12" x14ac:dyDescent="0.3">
      <c r="L249" s="31"/>
    </row>
    <row r="250" spans="12:12" x14ac:dyDescent="0.3">
      <c r="L250" s="31"/>
    </row>
    <row r="251" spans="12:12" x14ac:dyDescent="0.3">
      <c r="L251" s="31"/>
    </row>
    <row r="252" spans="12:12" x14ac:dyDescent="0.3">
      <c r="L252" s="31"/>
    </row>
    <row r="253" spans="12:12" x14ac:dyDescent="0.3">
      <c r="L253" s="31"/>
    </row>
    <row r="254" spans="12:12" x14ac:dyDescent="0.3">
      <c r="L254" s="31"/>
    </row>
    <row r="255" spans="12:12" x14ac:dyDescent="0.3">
      <c r="L255" s="31"/>
    </row>
    <row r="256" spans="12:12" x14ac:dyDescent="0.3">
      <c r="L256" s="31"/>
    </row>
    <row r="257" spans="12:12" x14ac:dyDescent="0.3">
      <c r="L257" s="31"/>
    </row>
    <row r="258" spans="12:12" x14ac:dyDescent="0.3">
      <c r="L258" s="31"/>
    </row>
    <row r="259" spans="12:12" x14ac:dyDescent="0.3">
      <c r="L259" s="31"/>
    </row>
    <row r="260" spans="12:12" x14ac:dyDescent="0.3">
      <c r="L260" s="31"/>
    </row>
    <row r="261" spans="12:12" x14ac:dyDescent="0.3">
      <c r="L261" s="31"/>
    </row>
    <row r="262" spans="12:12" x14ac:dyDescent="0.3">
      <c r="L262" s="31"/>
    </row>
    <row r="263" spans="12:12" x14ac:dyDescent="0.3">
      <c r="L263" s="31"/>
    </row>
    <row r="264" spans="12:12" x14ac:dyDescent="0.3">
      <c r="L264" s="31"/>
    </row>
    <row r="265" spans="12:12" x14ac:dyDescent="0.3">
      <c r="L265" s="31"/>
    </row>
    <row r="266" spans="12:12" x14ac:dyDescent="0.3">
      <c r="L266" s="31"/>
    </row>
    <row r="267" spans="12:12" x14ac:dyDescent="0.3">
      <c r="L267" s="31"/>
    </row>
    <row r="268" spans="12:12" x14ac:dyDescent="0.3">
      <c r="L268" s="31"/>
    </row>
    <row r="269" spans="12:12" x14ac:dyDescent="0.3">
      <c r="L269" s="31"/>
    </row>
    <row r="270" spans="12:12" x14ac:dyDescent="0.3">
      <c r="L270" s="31"/>
    </row>
    <row r="271" spans="12:12" x14ac:dyDescent="0.3">
      <c r="L271" s="31"/>
    </row>
    <row r="272" spans="12:12" x14ac:dyDescent="0.3">
      <c r="L272" s="31"/>
    </row>
    <row r="273" spans="12:12" x14ac:dyDescent="0.3">
      <c r="L273" s="31"/>
    </row>
    <row r="274" spans="12:12" x14ac:dyDescent="0.3">
      <c r="L274" s="31"/>
    </row>
    <row r="275" spans="12:12" x14ac:dyDescent="0.3">
      <c r="L275" s="31"/>
    </row>
    <row r="276" spans="12:12" x14ac:dyDescent="0.3">
      <c r="L276" s="31"/>
    </row>
    <row r="277" spans="12:12" x14ac:dyDescent="0.3">
      <c r="L277" s="31"/>
    </row>
    <row r="278" spans="12:12" x14ac:dyDescent="0.3">
      <c r="L278" s="31"/>
    </row>
    <row r="279" spans="12:12" x14ac:dyDescent="0.3">
      <c r="L279" s="31"/>
    </row>
    <row r="280" spans="12:12" x14ac:dyDescent="0.3">
      <c r="L280" s="31"/>
    </row>
    <row r="281" spans="12:12" x14ac:dyDescent="0.3">
      <c r="L281" s="31"/>
    </row>
    <row r="282" spans="12:12" x14ac:dyDescent="0.3">
      <c r="L282" s="31"/>
    </row>
    <row r="283" spans="12:12" x14ac:dyDescent="0.3">
      <c r="L283" s="31"/>
    </row>
    <row r="284" spans="12:12" x14ac:dyDescent="0.3">
      <c r="L284" s="31"/>
    </row>
    <row r="285" spans="12:12" x14ac:dyDescent="0.3">
      <c r="L285" s="31"/>
    </row>
    <row r="286" spans="12:12" x14ac:dyDescent="0.3">
      <c r="L286" s="31"/>
    </row>
    <row r="287" spans="12:12" x14ac:dyDescent="0.3">
      <c r="L287" s="31"/>
    </row>
    <row r="288" spans="12:12" x14ac:dyDescent="0.3">
      <c r="L288" s="31"/>
    </row>
    <row r="289" spans="12:12" x14ac:dyDescent="0.3">
      <c r="L289" s="31"/>
    </row>
    <row r="290" spans="12:12" x14ac:dyDescent="0.3">
      <c r="L290" s="31"/>
    </row>
    <row r="291" spans="12:12" x14ac:dyDescent="0.3">
      <c r="L291" s="31"/>
    </row>
    <row r="292" spans="12:12" x14ac:dyDescent="0.3">
      <c r="L292" s="31"/>
    </row>
    <row r="293" spans="12:12" x14ac:dyDescent="0.3">
      <c r="L293" s="31"/>
    </row>
    <row r="294" spans="12:12" x14ac:dyDescent="0.3">
      <c r="L294" s="31"/>
    </row>
    <row r="295" spans="12:12" x14ac:dyDescent="0.3">
      <c r="L295" s="31"/>
    </row>
    <row r="296" spans="12:12" x14ac:dyDescent="0.3">
      <c r="L296" s="31"/>
    </row>
    <row r="297" spans="12:12" x14ac:dyDescent="0.3">
      <c r="L297" s="31"/>
    </row>
    <row r="298" spans="12:12" x14ac:dyDescent="0.3">
      <c r="L298" s="31"/>
    </row>
    <row r="299" spans="12:12" x14ac:dyDescent="0.3">
      <c r="L299" s="31"/>
    </row>
    <row r="300" spans="12:12" x14ac:dyDescent="0.3">
      <c r="L300" s="31"/>
    </row>
    <row r="301" spans="12:12" x14ac:dyDescent="0.3">
      <c r="L301" s="31"/>
    </row>
    <row r="302" spans="12:12" x14ac:dyDescent="0.3">
      <c r="L302" s="31"/>
    </row>
    <row r="303" spans="12:12" x14ac:dyDescent="0.3">
      <c r="L303" s="31"/>
    </row>
    <row r="304" spans="12:12" x14ac:dyDescent="0.3">
      <c r="L304" s="31"/>
    </row>
    <row r="305" spans="12:12" x14ac:dyDescent="0.3">
      <c r="L305" s="31"/>
    </row>
    <row r="306" spans="12:12" x14ac:dyDescent="0.3">
      <c r="L306" s="31"/>
    </row>
    <row r="307" spans="12:12" x14ac:dyDescent="0.3">
      <c r="L307" s="31"/>
    </row>
    <row r="308" spans="12:12" x14ac:dyDescent="0.3">
      <c r="L308" s="31"/>
    </row>
    <row r="309" spans="12:12" x14ac:dyDescent="0.3">
      <c r="L309" s="31"/>
    </row>
    <row r="310" spans="12:12" x14ac:dyDescent="0.3">
      <c r="L310" s="31"/>
    </row>
    <row r="311" spans="12:12" x14ac:dyDescent="0.3">
      <c r="L311" s="31"/>
    </row>
    <row r="312" spans="12:12" x14ac:dyDescent="0.3">
      <c r="L312" s="31"/>
    </row>
    <row r="313" spans="12:12" x14ac:dyDescent="0.3">
      <c r="L313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D3FF-A9FA-4BA8-A89B-53FC849DD3F6}">
  <dimension ref="B2:V477"/>
  <sheetViews>
    <sheetView zoomScale="85" zoomScaleNormal="85" workbookViewId="0">
      <selection activeCell="C1" sqref="C1"/>
    </sheetView>
  </sheetViews>
  <sheetFormatPr defaultRowHeight="14.4" x14ac:dyDescent="0.3"/>
  <cols>
    <col min="1" max="1" width="2.88671875" customWidth="1"/>
    <col min="3" max="3" width="10.33203125" customWidth="1"/>
    <col min="7" max="7" width="10.88671875" customWidth="1"/>
    <col min="9" max="9" width="11.33203125" bestFit="1" customWidth="1"/>
    <col min="12" max="12" width="11.77734375" bestFit="1" customWidth="1"/>
  </cols>
  <sheetData>
    <row r="2" spans="2:22" x14ac:dyDescent="0.3">
      <c r="R2" s="2">
        <v>636191</v>
      </c>
      <c r="S2" s="2">
        <v>1052372</v>
      </c>
      <c r="T2" s="2">
        <v>1203879</v>
      </c>
      <c r="U2" s="2">
        <v>1749785</v>
      </c>
      <c r="V2" s="2">
        <v>3845834</v>
      </c>
    </row>
    <row r="3" spans="2:22" x14ac:dyDescent="0.3">
      <c r="E3" s="2" t="s">
        <v>14</v>
      </c>
      <c r="F3" s="2"/>
      <c r="G3" s="2"/>
      <c r="H3" s="2"/>
      <c r="I3" s="2" t="s">
        <v>18</v>
      </c>
      <c r="J3" s="2" t="s">
        <v>19</v>
      </c>
      <c r="K3" s="2"/>
      <c r="L3" s="2"/>
      <c r="M3" s="2"/>
      <c r="N3" s="113" t="s">
        <v>20</v>
      </c>
      <c r="O3" s="113"/>
      <c r="P3" s="113"/>
      <c r="R3" s="2" t="s">
        <v>23</v>
      </c>
      <c r="V3" s="2" t="s">
        <v>24</v>
      </c>
    </row>
    <row r="4" spans="2:22" x14ac:dyDescent="0.3">
      <c r="B4" s="2" t="s">
        <v>0</v>
      </c>
      <c r="E4" s="2">
        <v>21</v>
      </c>
      <c r="F4" s="2">
        <v>22</v>
      </c>
      <c r="G4" s="2">
        <v>23</v>
      </c>
      <c r="H4" s="2">
        <v>24</v>
      </c>
      <c r="I4" s="2">
        <v>25</v>
      </c>
      <c r="J4" s="2"/>
      <c r="K4" s="2"/>
      <c r="L4" s="2">
        <v>21</v>
      </c>
      <c r="M4" s="2">
        <v>22</v>
      </c>
      <c r="N4" s="2">
        <v>23</v>
      </c>
      <c r="O4" s="2">
        <v>24</v>
      </c>
      <c r="P4" s="2">
        <v>25</v>
      </c>
      <c r="Q4" s="2"/>
      <c r="R4" s="2">
        <v>21</v>
      </c>
      <c r="S4" s="2">
        <v>22</v>
      </c>
      <c r="T4" s="2">
        <v>23</v>
      </c>
      <c r="U4" s="2">
        <v>24</v>
      </c>
      <c r="V4" s="2">
        <v>25</v>
      </c>
    </row>
    <row r="5" spans="2:22" x14ac:dyDescent="0.3">
      <c r="B5" s="2" t="s">
        <v>15</v>
      </c>
      <c r="J5" s="1">
        <v>0.37</v>
      </c>
      <c r="K5" s="1"/>
      <c r="L5" s="1">
        <f>R5/$R$2</f>
        <v>0.60610728539070813</v>
      </c>
      <c r="M5" s="1">
        <v>0.48</v>
      </c>
      <c r="N5" s="1">
        <v>0.35</v>
      </c>
      <c r="O5" s="1">
        <v>0.23</v>
      </c>
      <c r="P5" s="1">
        <v>7.0000000000000007E-2</v>
      </c>
      <c r="R5">
        <v>385600</v>
      </c>
      <c r="S5">
        <v>516900</v>
      </c>
      <c r="T5" s="3">
        <v>421357.64999999997</v>
      </c>
      <c r="U5">
        <v>414800</v>
      </c>
      <c r="V5">
        <v>359000</v>
      </c>
    </row>
    <row r="6" spans="2:22" x14ac:dyDescent="0.3">
      <c r="B6" t="s">
        <v>1</v>
      </c>
      <c r="E6" s="2">
        <v>4.4000000000000004</v>
      </c>
      <c r="F6" s="2">
        <v>5.5</v>
      </c>
      <c r="G6" s="2">
        <v>6</v>
      </c>
      <c r="H6" s="2">
        <v>6.5</v>
      </c>
      <c r="I6" s="2">
        <v>6</v>
      </c>
      <c r="P6" s="1"/>
      <c r="T6" s="3"/>
    </row>
    <row r="7" spans="2:22" x14ac:dyDescent="0.3">
      <c r="B7" s="2"/>
      <c r="T7" s="3"/>
    </row>
    <row r="8" spans="2:22" x14ac:dyDescent="0.3">
      <c r="B8" s="2" t="s">
        <v>16</v>
      </c>
      <c r="E8" s="2">
        <f>SUM(E9:E11)</f>
        <v>300</v>
      </c>
      <c r="F8" s="2">
        <f t="shared" ref="F8:I8" si="0">SUM(F9:F11)</f>
        <v>378</v>
      </c>
      <c r="G8" s="2">
        <f t="shared" si="0"/>
        <v>368</v>
      </c>
      <c r="H8" s="2">
        <f t="shared" si="0"/>
        <v>260</v>
      </c>
      <c r="I8" s="2">
        <f t="shared" si="0"/>
        <v>264</v>
      </c>
      <c r="J8" s="1">
        <v>0.25</v>
      </c>
      <c r="K8" s="1"/>
      <c r="L8" s="1">
        <f>R8/$R$2</f>
        <v>0.17353279125294133</v>
      </c>
      <c r="M8" s="1">
        <v>0.12</v>
      </c>
      <c r="N8" s="1">
        <v>0.09</v>
      </c>
      <c r="O8" s="1">
        <v>0.04</v>
      </c>
      <c r="P8" s="1">
        <v>0.02</v>
      </c>
      <c r="R8">
        <v>110400</v>
      </c>
      <c r="S8">
        <v>128400</v>
      </c>
      <c r="T8" s="3">
        <v>108349.11</v>
      </c>
      <c r="U8">
        <v>78700</v>
      </c>
      <c r="V8">
        <v>136600</v>
      </c>
    </row>
    <row r="9" spans="2:22" x14ac:dyDescent="0.3">
      <c r="B9" t="s">
        <v>2</v>
      </c>
      <c r="E9">
        <v>300</v>
      </c>
      <c r="F9">
        <v>300</v>
      </c>
      <c r="G9">
        <v>300</v>
      </c>
      <c r="H9">
        <v>200</v>
      </c>
      <c r="I9">
        <v>200</v>
      </c>
      <c r="T9" s="3"/>
    </row>
    <row r="10" spans="2:22" x14ac:dyDescent="0.3">
      <c r="B10" t="s">
        <v>3</v>
      </c>
      <c r="F10">
        <v>60</v>
      </c>
      <c r="G10">
        <v>50</v>
      </c>
      <c r="H10">
        <v>40</v>
      </c>
      <c r="I10">
        <v>40</v>
      </c>
      <c r="T10" s="3"/>
    </row>
    <row r="11" spans="2:22" x14ac:dyDescent="0.3">
      <c r="B11" t="s">
        <v>4</v>
      </c>
      <c r="F11">
        <v>18</v>
      </c>
      <c r="G11">
        <v>18</v>
      </c>
      <c r="H11">
        <v>20</v>
      </c>
      <c r="I11">
        <v>24</v>
      </c>
      <c r="T11" s="3"/>
    </row>
    <row r="12" spans="2:22" x14ac:dyDescent="0.3">
      <c r="B12" s="2"/>
      <c r="P12" s="1"/>
      <c r="T12" s="3"/>
    </row>
    <row r="13" spans="2:22" x14ac:dyDescent="0.3">
      <c r="B13" s="2" t="s">
        <v>17</v>
      </c>
      <c r="E13" s="2">
        <v>1.2</v>
      </c>
      <c r="F13" s="2">
        <v>2.4</v>
      </c>
      <c r="G13" s="2">
        <f>SUM(G14:G15)</f>
        <v>3</v>
      </c>
      <c r="H13" s="2">
        <f t="shared" ref="H13:I13" si="1">SUM(H14:H15)</f>
        <v>3</v>
      </c>
      <c r="I13" s="2">
        <f t="shared" si="1"/>
        <v>3</v>
      </c>
      <c r="L13" s="1">
        <f>R14/$R$2</f>
        <v>6.774695020834938E-2</v>
      </c>
      <c r="M13" s="1">
        <v>7.0000000000000007E-2</v>
      </c>
      <c r="N13" s="1">
        <v>0.09</v>
      </c>
      <c r="O13" s="1">
        <v>7.0000000000000007E-2</v>
      </c>
      <c r="P13" s="1">
        <v>0.04</v>
      </c>
      <c r="T13" s="3"/>
    </row>
    <row r="14" spans="2:22" x14ac:dyDescent="0.3">
      <c r="B14" t="s">
        <v>5</v>
      </c>
      <c r="G14">
        <v>0.6</v>
      </c>
      <c r="H14">
        <v>0.6</v>
      </c>
      <c r="I14">
        <v>0.6</v>
      </c>
      <c r="J14" s="1">
        <v>0.15</v>
      </c>
      <c r="K14" s="1"/>
      <c r="M14" s="1"/>
      <c r="R14">
        <v>43100</v>
      </c>
      <c r="S14">
        <v>70900</v>
      </c>
      <c r="T14" s="3">
        <v>108349.11</v>
      </c>
      <c r="U14">
        <v>120500</v>
      </c>
      <c r="V14">
        <v>86100</v>
      </c>
    </row>
    <row r="15" spans="2:22" x14ac:dyDescent="0.3">
      <c r="B15" t="s">
        <v>6</v>
      </c>
      <c r="G15">
        <v>2.4</v>
      </c>
      <c r="H15">
        <v>2.4</v>
      </c>
      <c r="I15">
        <v>2.4</v>
      </c>
      <c r="J15" s="1">
        <v>0.35</v>
      </c>
      <c r="K15" s="1"/>
      <c r="L15" s="1"/>
      <c r="M15" s="1"/>
      <c r="T15" s="3"/>
    </row>
    <row r="16" spans="2:22" x14ac:dyDescent="0.3">
      <c r="B16" s="2"/>
      <c r="J16" s="1"/>
      <c r="K16" s="1"/>
      <c r="L16" s="1"/>
      <c r="M16" s="1"/>
      <c r="P16" s="1"/>
      <c r="T16" s="3"/>
    </row>
    <row r="17" spans="2:22" x14ac:dyDescent="0.3">
      <c r="B17" s="2" t="s">
        <v>21</v>
      </c>
      <c r="E17" s="2">
        <f>SUM(E18:E19)</f>
        <v>45</v>
      </c>
      <c r="F17" s="2">
        <f t="shared" ref="F17:I17" si="2">SUM(F18:F19)</f>
        <v>45</v>
      </c>
      <c r="G17" s="2">
        <f t="shared" si="2"/>
        <v>92</v>
      </c>
      <c r="H17" s="2">
        <f t="shared" si="2"/>
        <v>100</v>
      </c>
      <c r="I17" s="2">
        <f t="shared" si="2"/>
        <v>75</v>
      </c>
      <c r="J17" s="1"/>
      <c r="K17" s="1"/>
      <c r="L17" s="1">
        <f>R17/$R$2</f>
        <v>0.13203581943158579</v>
      </c>
      <c r="M17" s="1">
        <v>0.28000000000000003</v>
      </c>
      <c r="N17" s="1">
        <v>0.43</v>
      </c>
      <c r="O17" s="1">
        <v>0.62</v>
      </c>
      <c r="P17" s="1">
        <v>0.85</v>
      </c>
      <c r="R17">
        <v>84000</v>
      </c>
      <c r="S17">
        <v>313800</v>
      </c>
      <c r="T17" s="3">
        <v>517667.97</v>
      </c>
      <c r="U17">
        <v>1091900</v>
      </c>
      <c r="V17" s="3">
        <v>3226580</v>
      </c>
    </row>
    <row r="18" spans="2:22" x14ac:dyDescent="0.3">
      <c r="B18" t="s">
        <v>7</v>
      </c>
      <c r="E18">
        <v>45</v>
      </c>
      <c r="F18">
        <v>30</v>
      </c>
      <c r="G18">
        <v>32</v>
      </c>
      <c r="H18">
        <v>40</v>
      </c>
      <c r="I18">
        <v>30</v>
      </c>
      <c r="T18" s="3"/>
    </row>
    <row r="19" spans="2:22" x14ac:dyDescent="0.3">
      <c r="B19" t="s">
        <v>8</v>
      </c>
      <c r="F19">
        <v>15</v>
      </c>
      <c r="G19">
        <v>60</v>
      </c>
      <c r="H19">
        <v>60</v>
      </c>
      <c r="I19">
        <v>45</v>
      </c>
      <c r="T19" s="3"/>
    </row>
    <row r="20" spans="2:22" x14ac:dyDescent="0.3">
      <c r="B20" s="2"/>
      <c r="P20" s="1"/>
      <c r="T20" s="3"/>
    </row>
    <row r="21" spans="2:22" x14ac:dyDescent="0.3">
      <c r="B21" s="2" t="s">
        <v>25</v>
      </c>
      <c r="E21">
        <f t="shared" ref="E21:H21" si="3">SUM(E22:E29)</f>
        <v>10.416</v>
      </c>
      <c r="F21">
        <f t="shared" si="3"/>
        <v>17.400000000000002</v>
      </c>
      <c r="G21">
        <f t="shared" si="3"/>
        <v>64.600000000000009</v>
      </c>
      <c r="H21">
        <f t="shared" si="3"/>
        <v>66.050000000000011</v>
      </c>
      <c r="I21">
        <f>SUM(I22:I29)</f>
        <v>63.3</v>
      </c>
      <c r="L21" s="1">
        <f>R21/$R$2</f>
        <v>2.0577153716415355E-2</v>
      </c>
      <c r="M21" s="1">
        <f>1-M17-M13-M8-M5</f>
        <v>4.9999999999999933E-2</v>
      </c>
      <c r="N21" s="1">
        <f>1-N17-N13-N8-N5</f>
        <v>4.0000000000000147E-2</v>
      </c>
      <c r="O21" s="1">
        <f>1-O17-O13-O8-O5</f>
        <v>4.0000000000000008E-2</v>
      </c>
      <c r="P21" s="1">
        <f>1-P17-P13-P8-P5</f>
        <v>2.0000000000000004E-2</v>
      </c>
      <c r="R21" s="3">
        <v>13091</v>
      </c>
      <c r="S21" s="3">
        <v>22372</v>
      </c>
      <c r="T21" s="3">
        <v>48155.160000000178</v>
      </c>
      <c r="U21">
        <v>43885</v>
      </c>
      <c r="V21" s="3">
        <v>37554</v>
      </c>
    </row>
    <row r="22" spans="2:22" x14ac:dyDescent="0.3">
      <c r="B22" s="2" t="s">
        <v>22</v>
      </c>
      <c r="L22" s="1"/>
      <c r="M22" s="1"/>
      <c r="N22" s="1"/>
      <c r="O22" s="1"/>
      <c r="P22" s="1"/>
    </row>
    <row r="23" spans="2:22" x14ac:dyDescent="0.3">
      <c r="B23" t="s">
        <v>9</v>
      </c>
      <c r="E23">
        <v>0</v>
      </c>
      <c r="F23">
        <v>0</v>
      </c>
      <c r="G23">
        <v>4</v>
      </c>
      <c r="H23">
        <v>8</v>
      </c>
      <c r="I23">
        <v>15</v>
      </c>
      <c r="L23" s="1"/>
    </row>
    <row r="24" spans="2:22" x14ac:dyDescent="0.3">
      <c r="B24" t="s">
        <v>10</v>
      </c>
      <c r="E24">
        <v>0.216</v>
      </c>
      <c r="F24">
        <v>6</v>
      </c>
      <c r="G24">
        <v>8</v>
      </c>
      <c r="H24">
        <v>8</v>
      </c>
      <c r="I24">
        <v>8</v>
      </c>
    </row>
    <row r="25" spans="2:22" x14ac:dyDescent="0.3">
      <c r="B25" t="s">
        <v>11</v>
      </c>
      <c r="E25">
        <v>0</v>
      </c>
      <c r="F25">
        <v>0</v>
      </c>
      <c r="G25">
        <v>0.6</v>
      </c>
      <c r="H25">
        <v>0.6</v>
      </c>
      <c r="I25">
        <v>2.5</v>
      </c>
    </row>
    <row r="26" spans="2:22" x14ac:dyDescent="0.3">
      <c r="B26" t="s">
        <v>12</v>
      </c>
      <c r="E26">
        <v>0</v>
      </c>
      <c r="F26">
        <v>0</v>
      </c>
      <c r="G26">
        <v>36</v>
      </c>
      <c r="H26">
        <v>36</v>
      </c>
      <c r="I26">
        <v>36</v>
      </c>
    </row>
    <row r="27" spans="2:22" x14ac:dyDescent="0.3">
      <c r="B27" t="s">
        <v>13</v>
      </c>
      <c r="E27">
        <v>0</v>
      </c>
      <c r="F27">
        <v>1.2</v>
      </c>
      <c r="G27">
        <v>1.2</v>
      </c>
      <c r="H27">
        <v>1.2</v>
      </c>
      <c r="I27">
        <v>1.8</v>
      </c>
    </row>
    <row r="28" spans="2:22" x14ac:dyDescent="0.3">
      <c r="B28" t="s">
        <v>26</v>
      </c>
      <c r="E28">
        <v>8.4</v>
      </c>
      <c r="F28">
        <v>8.4</v>
      </c>
      <c r="G28">
        <v>12.4</v>
      </c>
      <c r="H28">
        <v>10.1</v>
      </c>
      <c r="I28">
        <v>0</v>
      </c>
    </row>
    <row r="29" spans="2:22" x14ac:dyDescent="0.3">
      <c r="B29" t="s">
        <v>27</v>
      </c>
      <c r="E29">
        <v>1.8</v>
      </c>
      <c r="F29">
        <v>1.8</v>
      </c>
      <c r="G29">
        <v>2.4</v>
      </c>
      <c r="H29">
        <v>2.15</v>
      </c>
      <c r="I29">
        <v>0</v>
      </c>
    </row>
    <row r="33" spans="2:8" x14ac:dyDescent="0.3">
      <c r="B33" s="2" t="s">
        <v>95</v>
      </c>
      <c r="F33" s="2" t="s">
        <v>96</v>
      </c>
    </row>
    <row r="35" spans="2:8" x14ac:dyDescent="0.3">
      <c r="B35" s="2" t="s">
        <v>40</v>
      </c>
      <c r="C35" s="2" t="s">
        <v>92</v>
      </c>
      <c r="D35" s="2" t="s">
        <v>93</v>
      </c>
      <c r="F35" s="2" t="s">
        <v>40</v>
      </c>
      <c r="G35" s="2" t="s">
        <v>92</v>
      </c>
      <c r="H35" s="2" t="s">
        <v>93</v>
      </c>
    </row>
    <row r="36" spans="2:8" x14ac:dyDescent="0.3">
      <c r="B36" s="32">
        <v>46089</v>
      </c>
      <c r="C36" s="31">
        <v>23151.1</v>
      </c>
      <c r="D36" s="31"/>
      <c r="E36" s="31"/>
      <c r="F36" s="32">
        <v>46089</v>
      </c>
      <c r="G36" s="31">
        <v>10338</v>
      </c>
      <c r="H36" s="5"/>
    </row>
    <row r="37" spans="2:8" x14ac:dyDescent="0.3">
      <c r="B37" s="32">
        <v>46082</v>
      </c>
      <c r="C37" s="31">
        <v>24450.45</v>
      </c>
      <c r="D37" s="33">
        <f t="shared" ref="D37:D100" si="4">C37/C36-1</f>
        <v>5.6124762970226172E-2</v>
      </c>
      <c r="E37" s="31"/>
      <c r="F37" s="32">
        <v>46082</v>
      </c>
      <c r="G37" s="31">
        <v>10029</v>
      </c>
      <c r="H37" s="33">
        <f t="shared" ref="H37:H100" si="5">G37/G36-1</f>
        <v>-2.988972721996519E-2</v>
      </c>
    </row>
    <row r="38" spans="2:8" x14ac:dyDescent="0.3">
      <c r="B38" s="32">
        <v>46075</v>
      </c>
      <c r="C38" s="31">
        <v>25178.65</v>
      </c>
      <c r="D38" s="33">
        <f t="shared" si="4"/>
        <v>2.9782682936305926E-2</v>
      </c>
      <c r="E38" s="31"/>
      <c r="F38" s="32">
        <v>46075</v>
      </c>
      <c r="G38" s="31">
        <v>10528</v>
      </c>
      <c r="H38" s="33">
        <f t="shared" si="5"/>
        <v>4.9755708445508029E-2</v>
      </c>
    </row>
    <row r="39" spans="2:8" x14ac:dyDescent="0.3">
      <c r="B39" s="32">
        <v>46068</v>
      </c>
      <c r="C39" s="31">
        <v>25571.25</v>
      </c>
      <c r="D39" s="33">
        <f t="shared" si="4"/>
        <v>1.5592575455792845E-2</v>
      </c>
      <c r="E39" s="31"/>
      <c r="F39" s="32">
        <v>46068</v>
      </c>
      <c r="G39" s="31">
        <v>11072</v>
      </c>
      <c r="H39" s="33">
        <f t="shared" si="5"/>
        <v>5.1671732522796443E-2</v>
      </c>
    </row>
    <row r="40" spans="2:8" x14ac:dyDescent="0.3">
      <c r="B40" s="32">
        <v>46061</v>
      </c>
      <c r="C40" s="31">
        <v>25471.1</v>
      </c>
      <c r="D40" s="33">
        <f t="shared" si="4"/>
        <v>-3.9165077968421613E-3</v>
      </c>
      <c r="E40" s="31"/>
      <c r="F40" s="32">
        <v>46061</v>
      </c>
      <c r="G40" s="31">
        <v>11417</v>
      </c>
      <c r="H40" s="33">
        <f t="shared" si="5"/>
        <v>3.1159682080924789E-2</v>
      </c>
    </row>
    <row r="41" spans="2:8" x14ac:dyDescent="0.3">
      <c r="B41" s="32">
        <v>46054</v>
      </c>
      <c r="C41" s="31">
        <v>25693.7</v>
      </c>
      <c r="D41" s="33">
        <f t="shared" si="4"/>
        <v>8.7393163232056814E-3</v>
      </c>
      <c r="E41" s="31"/>
      <c r="F41" s="32">
        <v>46054</v>
      </c>
      <c r="G41" s="31">
        <v>11502</v>
      </c>
      <c r="H41" s="33">
        <f t="shared" si="5"/>
        <v>7.4450381010773281E-3</v>
      </c>
    </row>
    <row r="42" spans="2:8" x14ac:dyDescent="0.3">
      <c r="B42" s="32">
        <v>46047</v>
      </c>
      <c r="C42" s="31">
        <v>25320.65</v>
      </c>
      <c r="D42" s="33">
        <f t="shared" si="4"/>
        <v>-1.4519123364871489E-2</v>
      </c>
      <c r="E42" s="31"/>
      <c r="F42" s="32">
        <v>46047</v>
      </c>
      <c r="G42" s="31">
        <v>10446</v>
      </c>
      <c r="H42" s="33">
        <f t="shared" si="5"/>
        <v>-9.1810119979134019E-2</v>
      </c>
    </row>
    <row r="43" spans="2:8" x14ac:dyDescent="0.3">
      <c r="B43" s="32">
        <v>46040</v>
      </c>
      <c r="C43" s="31">
        <v>25048.65</v>
      </c>
      <c r="D43" s="33">
        <f t="shared" si="4"/>
        <v>-1.0742220282654702E-2</v>
      </c>
      <c r="E43" s="31"/>
      <c r="F43" s="32">
        <v>46040</v>
      </c>
      <c r="G43" s="31">
        <v>10360</v>
      </c>
      <c r="H43" s="33">
        <f t="shared" si="5"/>
        <v>-8.2328163890484918E-3</v>
      </c>
    </row>
    <row r="44" spans="2:8" x14ac:dyDescent="0.3">
      <c r="B44" s="32">
        <v>46033</v>
      </c>
      <c r="C44" s="31">
        <v>25694.35</v>
      </c>
      <c r="D44" s="33">
        <f t="shared" si="4"/>
        <v>2.5777836330500792E-2</v>
      </c>
      <c r="E44" s="31"/>
      <c r="F44" s="32">
        <v>46033</v>
      </c>
      <c r="G44" s="31">
        <v>10732</v>
      </c>
      <c r="H44" s="33">
        <f t="shared" si="5"/>
        <v>3.5907335907335858E-2</v>
      </c>
    </row>
    <row r="45" spans="2:8" x14ac:dyDescent="0.3">
      <c r="B45" s="32">
        <v>46026</v>
      </c>
      <c r="C45" s="31">
        <v>25683.3</v>
      </c>
      <c r="D45" s="33">
        <f t="shared" si="4"/>
        <v>-4.3005563479903142E-4</v>
      </c>
      <c r="E45" s="31"/>
      <c r="F45" s="32">
        <v>46026</v>
      </c>
      <c r="G45" s="31">
        <v>11902</v>
      </c>
      <c r="H45" s="33">
        <f t="shared" si="5"/>
        <v>0.10901975400670882</v>
      </c>
    </row>
    <row r="46" spans="2:8" x14ac:dyDescent="0.3">
      <c r="B46" s="32">
        <v>46019</v>
      </c>
      <c r="C46" s="31">
        <v>26328.55</v>
      </c>
      <c r="D46" s="33">
        <f t="shared" si="4"/>
        <v>2.5123329167201947E-2</v>
      </c>
      <c r="E46" s="31"/>
      <c r="F46" s="32">
        <v>46019</v>
      </c>
      <c r="G46" s="31">
        <v>12165</v>
      </c>
      <c r="H46" s="33">
        <f t="shared" si="5"/>
        <v>2.2097126533355826E-2</v>
      </c>
    </row>
    <row r="47" spans="2:8" x14ac:dyDescent="0.3">
      <c r="B47" s="32">
        <v>46012</v>
      </c>
      <c r="C47" s="31">
        <v>26042.3</v>
      </c>
      <c r="D47" s="33">
        <f t="shared" si="4"/>
        <v>-1.0872228056615363E-2</v>
      </c>
      <c r="E47" s="31"/>
      <c r="F47" s="32">
        <v>46012</v>
      </c>
      <c r="G47" s="31">
        <v>12328</v>
      </c>
      <c r="H47" s="33">
        <f t="shared" si="5"/>
        <v>1.3399095766543301E-2</v>
      </c>
    </row>
    <row r="48" spans="2:8" x14ac:dyDescent="0.3">
      <c r="B48" s="32">
        <v>46005</v>
      </c>
      <c r="C48" s="31">
        <v>25966.400000000001</v>
      </c>
      <c r="D48" s="33">
        <f t="shared" si="4"/>
        <v>-2.9144891196245526E-3</v>
      </c>
      <c r="E48" s="31"/>
      <c r="F48" s="32">
        <v>46005</v>
      </c>
      <c r="G48" s="31">
        <v>13268</v>
      </c>
      <c r="H48" s="33">
        <f t="shared" si="5"/>
        <v>7.6249188838416693E-2</v>
      </c>
    </row>
    <row r="49" spans="2:8" x14ac:dyDescent="0.3">
      <c r="B49" s="32">
        <v>45998</v>
      </c>
      <c r="C49" s="31">
        <v>26046.95</v>
      </c>
      <c r="D49" s="33">
        <f t="shared" si="4"/>
        <v>3.10208577238269E-3</v>
      </c>
      <c r="E49" s="31"/>
      <c r="F49" s="32">
        <v>45998</v>
      </c>
      <c r="G49" s="31">
        <v>13379</v>
      </c>
      <c r="H49" s="33">
        <f t="shared" si="5"/>
        <v>8.365993367500657E-3</v>
      </c>
    </row>
    <row r="50" spans="2:8" x14ac:dyDescent="0.3">
      <c r="B50" s="32">
        <v>45991</v>
      </c>
      <c r="C50" s="31">
        <v>26186.45</v>
      </c>
      <c r="D50" s="33">
        <f t="shared" si="4"/>
        <v>5.3557134328587885E-3</v>
      </c>
      <c r="E50" s="31"/>
      <c r="F50" s="32">
        <v>45991</v>
      </c>
      <c r="G50" s="31">
        <v>13749</v>
      </c>
      <c r="H50" s="33">
        <f t="shared" si="5"/>
        <v>2.7655280663726689E-2</v>
      </c>
    </row>
    <row r="51" spans="2:8" x14ac:dyDescent="0.3">
      <c r="B51" s="32">
        <v>45984</v>
      </c>
      <c r="C51" s="31">
        <v>26202.95</v>
      </c>
      <c r="D51" s="33">
        <f t="shared" si="4"/>
        <v>6.3009686307236024E-4</v>
      </c>
      <c r="E51" s="31"/>
      <c r="F51" s="32">
        <v>45984</v>
      </c>
      <c r="G51" s="31">
        <v>14601</v>
      </c>
      <c r="H51" s="33">
        <f t="shared" si="5"/>
        <v>6.1968143137682841E-2</v>
      </c>
    </row>
    <row r="52" spans="2:8" x14ac:dyDescent="0.3">
      <c r="B52" s="32">
        <v>45977</v>
      </c>
      <c r="C52" s="31">
        <v>26068.15</v>
      </c>
      <c r="D52" s="33">
        <f t="shared" si="4"/>
        <v>-5.144458925426254E-3</v>
      </c>
      <c r="E52" s="31"/>
      <c r="F52" s="32">
        <v>45977</v>
      </c>
      <c r="G52" s="31">
        <v>14965</v>
      </c>
      <c r="H52" s="33">
        <f t="shared" si="5"/>
        <v>2.4929799328813118E-2</v>
      </c>
    </row>
    <row r="53" spans="2:8" x14ac:dyDescent="0.3">
      <c r="B53" s="32">
        <v>45970</v>
      </c>
      <c r="C53" s="31">
        <v>25910.05</v>
      </c>
      <c r="D53" s="33">
        <f t="shared" si="4"/>
        <v>-6.0648722674989664E-3</v>
      </c>
      <c r="E53" s="31"/>
      <c r="F53" s="32">
        <v>45970</v>
      </c>
      <c r="G53" s="31">
        <v>15419</v>
      </c>
      <c r="H53" s="33">
        <f t="shared" si="5"/>
        <v>3.033745405947208E-2</v>
      </c>
    </row>
    <row r="54" spans="2:8" x14ac:dyDescent="0.3">
      <c r="B54" s="32">
        <v>45963</v>
      </c>
      <c r="C54" s="31">
        <v>25492.3</v>
      </c>
      <c r="D54" s="33">
        <f t="shared" si="4"/>
        <v>-1.6123087373432266E-2</v>
      </c>
      <c r="E54" s="31"/>
      <c r="F54" s="32">
        <v>45963</v>
      </c>
      <c r="G54" s="31">
        <v>14849</v>
      </c>
      <c r="H54" s="33">
        <f t="shared" si="5"/>
        <v>-3.6967377910370303E-2</v>
      </c>
    </row>
    <row r="55" spans="2:8" x14ac:dyDescent="0.3">
      <c r="B55" s="32">
        <v>45956</v>
      </c>
      <c r="C55" s="31">
        <v>25722.1</v>
      </c>
      <c r="D55" s="33">
        <f t="shared" si="4"/>
        <v>9.0144867273647122E-3</v>
      </c>
      <c r="E55" s="31"/>
      <c r="F55" s="32">
        <v>45956</v>
      </c>
      <c r="G55" s="31">
        <v>15494</v>
      </c>
      <c r="H55" s="33">
        <f t="shared" si="5"/>
        <v>4.3437268502929394E-2</v>
      </c>
    </row>
    <row r="56" spans="2:8" x14ac:dyDescent="0.3">
      <c r="B56" s="32">
        <v>45949</v>
      </c>
      <c r="C56" s="31">
        <v>25795.15</v>
      </c>
      <c r="D56" s="33">
        <f t="shared" si="4"/>
        <v>2.839970297915162E-3</v>
      </c>
      <c r="E56" s="31"/>
      <c r="F56" s="32">
        <v>45949</v>
      </c>
      <c r="G56" s="31">
        <v>15490</v>
      </c>
      <c r="H56" s="33">
        <f t="shared" si="5"/>
        <v>-2.5816445075510508E-4</v>
      </c>
    </row>
    <row r="57" spans="2:8" x14ac:dyDescent="0.3">
      <c r="B57" s="32">
        <v>45942</v>
      </c>
      <c r="C57" s="31">
        <v>25709.85</v>
      </c>
      <c r="D57" s="33">
        <f t="shared" si="4"/>
        <v>-3.3068231818773608E-3</v>
      </c>
      <c r="E57" s="31"/>
      <c r="F57" s="32">
        <v>45942</v>
      </c>
      <c r="G57" s="31">
        <v>16700</v>
      </c>
      <c r="H57" s="33">
        <f t="shared" si="5"/>
        <v>7.8114912846998008E-2</v>
      </c>
    </row>
    <row r="58" spans="2:8" x14ac:dyDescent="0.3">
      <c r="B58" s="32">
        <v>45935</v>
      </c>
      <c r="C58" s="31">
        <v>25285.35</v>
      </c>
      <c r="D58" s="33">
        <f t="shared" si="4"/>
        <v>-1.6511181512144146E-2</v>
      </c>
      <c r="E58" s="31"/>
      <c r="F58" s="32">
        <v>45935</v>
      </c>
      <c r="G58" s="31">
        <v>17445</v>
      </c>
      <c r="H58" s="33">
        <f t="shared" si="5"/>
        <v>4.4610778443113785E-2</v>
      </c>
    </row>
    <row r="59" spans="2:8" x14ac:dyDescent="0.3">
      <c r="B59" s="32">
        <v>45928</v>
      </c>
      <c r="C59" s="31">
        <v>24894.25</v>
      </c>
      <c r="D59" s="33">
        <f t="shared" si="4"/>
        <v>-1.5467454474626607E-2</v>
      </c>
      <c r="E59" s="31"/>
      <c r="F59" s="32">
        <v>45928</v>
      </c>
      <c r="G59" s="31">
        <v>16591</v>
      </c>
      <c r="H59" s="33">
        <f t="shared" si="5"/>
        <v>-4.8953854972771604E-2</v>
      </c>
    </row>
    <row r="60" spans="2:8" x14ac:dyDescent="0.3">
      <c r="B60" s="32">
        <v>45921</v>
      </c>
      <c r="C60" s="31">
        <v>24654.7</v>
      </c>
      <c r="D60" s="33">
        <f t="shared" si="4"/>
        <v>-9.6227040380810758E-3</v>
      </c>
      <c r="E60" s="31"/>
      <c r="F60" s="32">
        <v>45921</v>
      </c>
      <c r="G60" s="31">
        <v>17511</v>
      </c>
      <c r="H60" s="33">
        <f t="shared" si="5"/>
        <v>5.5451750949309764E-2</v>
      </c>
    </row>
    <row r="61" spans="2:8" x14ac:dyDescent="0.3">
      <c r="B61" s="32">
        <v>45914</v>
      </c>
      <c r="C61" s="31">
        <v>25327.05</v>
      </c>
      <c r="D61" s="33">
        <f t="shared" si="4"/>
        <v>2.7270662388915623E-2</v>
      </c>
      <c r="E61" s="31"/>
      <c r="F61" s="32">
        <v>45914</v>
      </c>
      <c r="G61" s="31">
        <v>18177</v>
      </c>
      <c r="H61" s="33">
        <f t="shared" si="5"/>
        <v>3.8033236251499014E-2</v>
      </c>
    </row>
    <row r="62" spans="2:8" x14ac:dyDescent="0.3">
      <c r="B62" s="32">
        <v>45907</v>
      </c>
      <c r="C62" s="31">
        <v>25114</v>
      </c>
      <c r="D62" s="33">
        <f t="shared" si="4"/>
        <v>-8.4119548072120187E-3</v>
      </c>
      <c r="E62" s="31"/>
      <c r="F62" s="32">
        <v>45907</v>
      </c>
      <c r="G62" s="31">
        <v>18103</v>
      </c>
      <c r="H62" s="33">
        <f t="shared" si="5"/>
        <v>-4.0710788358915284E-3</v>
      </c>
    </row>
    <row r="63" spans="2:8" x14ac:dyDescent="0.3">
      <c r="B63" s="32">
        <v>45900</v>
      </c>
      <c r="C63" s="31">
        <v>24741</v>
      </c>
      <c r="D63" s="33">
        <f t="shared" si="4"/>
        <v>-1.4852273632236956E-2</v>
      </c>
      <c r="E63" s="31"/>
      <c r="F63" s="32">
        <v>45900</v>
      </c>
      <c r="G63" s="31">
        <v>17855</v>
      </c>
      <c r="H63" s="33">
        <f t="shared" si="5"/>
        <v>-1.3699386841959926E-2</v>
      </c>
    </row>
    <row r="64" spans="2:8" x14ac:dyDescent="0.3">
      <c r="B64" s="32">
        <v>45893</v>
      </c>
      <c r="C64" s="31">
        <v>24426.85</v>
      </c>
      <c r="D64" s="33">
        <f t="shared" si="4"/>
        <v>-1.2697546582595698E-2</v>
      </c>
      <c r="E64" s="31"/>
      <c r="F64" s="32">
        <v>45893</v>
      </c>
      <c r="G64" s="31">
        <v>16690</v>
      </c>
      <c r="H64" s="33">
        <f t="shared" si="5"/>
        <v>-6.5247829739568775E-2</v>
      </c>
    </row>
    <row r="65" spans="2:8" x14ac:dyDescent="0.3">
      <c r="B65" s="32">
        <v>45886</v>
      </c>
      <c r="C65" s="31">
        <v>24870.1</v>
      </c>
      <c r="D65" s="33">
        <f t="shared" si="4"/>
        <v>1.8146015552557904E-2</v>
      </c>
      <c r="E65" s="31"/>
      <c r="F65" s="32">
        <v>45886</v>
      </c>
      <c r="G65" s="31">
        <v>16893</v>
      </c>
      <c r="H65" s="33">
        <f t="shared" si="5"/>
        <v>1.2162971839424719E-2</v>
      </c>
    </row>
    <row r="66" spans="2:8" x14ac:dyDescent="0.3">
      <c r="B66" s="32">
        <v>45879</v>
      </c>
      <c r="C66" s="31">
        <v>24631.3</v>
      </c>
      <c r="D66" s="33">
        <f t="shared" si="4"/>
        <v>-9.6018914278591661E-3</v>
      </c>
      <c r="E66" s="31"/>
      <c r="F66" s="32">
        <v>45879</v>
      </c>
      <c r="G66" s="31">
        <v>16191</v>
      </c>
      <c r="H66" s="33">
        <f t="shared" si="5"/>
        <v>-4.1555673947789029E-2</v>
      </c>
    </row>
    <row r="67" spans="2:8" x14ac:dyDescent="0.3">
      <c r="B67" s="32">
        <v>45872</v>
      </c>
      <c r="C67" s="31">
        <v>24363.3</v>
      </c>
      <c r="D67" s="33">
        <f t="shared" si="4"/>
        <v>-1.0880465099284198E-2</v>
      </c>
      <c r="E67" s="31"/>
      <c r="F67" s="32">
        <v>45872</v>
      </c>
      <c r="G67" s="31">
        <v>15864</v>
      </c>
      <c r="H67" s="33">
        <f t="shared" si="5"/>
        <v>-2.0196405410413232E-2</v>
      </c>
    </row>
    <row r="68" spans="2:8" x14ac:dyDescent="0.3">
      <c r="B68" s="32">
        <v>45865</v>
      </c>
      <c r="C68" s="31">
        <v>24565.35</v>
      </c>
      <c r="D68" s="33">
        <f t="shared" si="4"/>
        <v>8.2932115107559046E-3</v>
      </c>
      <c r="E68" s="31"/>
      <c r="F68" s="32">
        <v>45865</v>
      </c>
      <c r="G68" s="31">
        <v>16848</v>
      </c>
      <c r="H68" s="33">
        <f t="shared" si="5"/>
        <v>6.2027231467473465E-2</v>
      </c>
    </row>
    <row r="69" spans="2:8" x14ac:dyDescent="0.3">
      <c r="B69" s="32">
        <v>45858</v>
      </c>
      <c r="C69" s="31">
        <v>24837</v>
      </c>
      <c r="D69" s="33">
        <f t="shared" si="4"/>
        <v>1.1058258889045103E-2</v>
      </c>
      <c r="E69" s="31"/>
      <c r="F69" s="32">
        <v>45858</v>
      </c>
      <c r="G69" s="31">
        <v>16700</v>
      </c>
      <c r="H69" s="33">
        <f t="shared" si="5"/>
        <v>-8.7844254510921482E-3</v>
      </c>
    </row>
    <row r="70" spans="2:8" x14ac:dyDescent="0.3">
      <c r="B70" s="32">
        <v>45851</v>
      </c>
      <c r="C70" s="31">
        <v>24968.400000000001</v>
      </c>
      <c r="D70" s="33">
        <f t="shared" si="4"/>
        <v>5.2904940210170004E-3</v>
      </c>
      <c r="E70" s="31"/>
      <c r="F70" s="32">
        <v>45851</v>
      </c>
      <c r="G70" s="31">
        <v>15960</v>
      </c>
      <c r="H70" s="33">
        <f t="shared" si="5"/>
        <v>-4.4311377245508932E-2</v>
      </c>
    </row>
    <row r="71" spans="2:8" x14ac:dyDescent="0.3">
      <c r="B71" s="32">
        <v>45844</v>
      </c>
      <c r="C71" s="31">
        <v>25149.85</v>
      </c>
      <c r="D71" s="33">
        <f t="shared" si="4"/>
        <v>7.267185722753533E-3</v>
      </c>
      <c r="E71" s="31"/>
      <c r="F71" s="32">
        <v>45844</v>
      </c>
      <c r="G71" s="31">
        <v>15786</v>
      </c>
      <c r="H71" s="33">
        <f t="shared" si="5"/>
        <v>-1.0902255639097747E-2</v>
      </c>
    </row>
    <row r="72" spans="2:8" x14ac:dyDescent="0.3">
      <c r="B72" s="32">
        <v>45837</v>
      </c>
      <c r="C72" s="31">
        <v>25461</v>
      </c>
      <c r="D72" s="33">
        <f t="shared" si="4"/>
        <v>1.2371843172026997E-2</v>
      </c>
      <c r="E72" s="31"/>
      <c r="F72" s="32">
        <v>45837</v>
      </c>
      <c r="G72" s="31">
        <v>15202</v>
      </c>
      <c r="H72" s="33">
        <f t="shared" si="5"/>
        <v>-3.6994805523881902E-2</v>
      </c>
    </row>
    <row r="73" spans="2:8" x14ac:dyDescent="0.3">
      <c r="B73" s="32">
        <v>45830</v>
      </c>
      <c r="C73" s="31">
        <v>25637.8</v>
      </c>
      <c r="D73" s="33">
        <f t="shared" si="4"/>
        <v>6.9439534975059836E-3</v>
      </c>
      <c r="E73" s="31"/>
      <c r="F73" s="32">
        <v>45830</v>
      </c>
      <c r="G73" s="31">
        <v>14473</v>
      </c>
      <c r="H73" s="33">
        <f t="shared" si="5"/>
        <v>-4.7954216550453843E-2</v>
      </c>
    </row>
    <row r="74" spans="2:8" x14ac:dyDescent="0.3">
      <c r="B74" s="32">
        <v>45823</v>
      </c>
      <c r="C74" s="31">
        <v>25112.400000000001</v>
      </c>
      <c r="D74" s="33">
        <f t="shared" si="4"/>
        <v>-2.0493178041797622E-2</v>
      </c>
      <c r="E74" s="31"/>
      <c r="F74" s="32">
        <v>45823</v>
      </c>
      <c r="G74" s="31">
        <v>14047</v>
      </c>
      <c r="H74" s="33">
        <f t="shared" si="5"/>
        <v>-2.9434118703793311E-2</v>
      </c>
    </row>
    <row r="75" spans="2:8" x14ac:dyDescent="0.3">
      <c r="B75" s="32">
        <v>45816</v>
      </c>
      <c r="C75" s="31">
        <v>24718.6</v>
      </c>
      <c r="D75" s="33">
        <f t="shared" si="4"/>
        <v>-1.568149599401103E-2</v>
      </c>
      <c r="E75" s="31"/>
      <c r="F75" s="32">
        <v>45816</v>
      </c>
      <c r="G75" s="31">
        <v>14311</v>
      </c>
      <c r="H75" s="33">
        <f t="shared" si="5"/>
        <v>1.8794048551292075E-2</v>
      </c>
    </row>
    <row r="76" spans="2:8" x14ac:dyDescent="0.3">
      <c r="B76" s="32">
        <v>45809</v>
      </c>
      <c r="C76" s="31">
        <v>25003.05</v>
      </c>
      <c r="D76" s="33">
        <f t="shared" si="4"/>
        <v>1.1507528743537332E-2</v>
      </c>
      <c r="E76" s="31"/>
      <c r="F76" s="32">
        <v>45809</v>
      </c>
      <c r="G76" s="31">
        <v>14855</v>
      </c>
      <c r="H76" s="33">
        <f t="shared" si="5"/>
        <v>3.8012717490042647E-2</v>
      </c>
    </row>
    <row r="77" spans="2:8" x14ac:dyDescent="0.3">
      <c r="B77" s="32">
        <v>45802</v>
      </c>
      <c r="C77" s="31">
        <v>24750.7</v>
      </c>
      <c r="D77" s="33">
        <f t="shared" si="4"/>
        <v>-1.0092768682220754E-2</v>
      </c>
      <c r="E77" s="31"/>
      <c r="F77" s="32">
        <v>45802</v>
      </c>
      <c r="G77" s="31">
        <v>14692</v>
      </c>
      <c r="H77" s="33">
        <f t="shared" si="5"/>
        <v>-1.0972736452372955E-2</v>
      </c>
    </row>
    <row r="78" spans="2:8" x14ac:dyDescent="0.3">
      <c r="B78" s="32">
        <v>45795</v>
      </c>
      <c r="C78" s="31">
        <v>24853.15</v>
      </c>
      <c r="D78" s="33">
        <f t="shared" si="4"/>
        <v>4.139276868937003E-3</v>
      </c>
      <c r="E78" s="31"/>
      <c r="F78" s="32">
        <v>45795</v>
      </c>
      <c r="G78" s="31">
        <v>15019</v>
      </c>
      <c r="H78" s="33">
        <f t="shared" si="5"/>
        <v>2.2257010618023321E-2</v>
      </c>
    </row>
    <row r="79" spans="2:8" x14ac:dyDescent="0.3">
      <c r="B79" s="32">
        <v>45788</v>
      </c>
      <c r="C79" s="31">
        <v>25019.8</v>
      </c>
      <c r="D79" s="33">
        <f t="shared" si="4"/>
        <v>6.705387445856914E-3</v>
      </c>
      <c r="E79" s="31"/>
      <c r="F79" s="32">
        <v>45788</v>
      </c>
      <c r="G79" s="31">
        <v>16660</v>
      </c>
      <c r="H79" s="33">
        <f t="shared" si="5"/>
        <v>0.10926160197083701</v>
      </c>
    </row>
    <row r="80" spans="2:8" x14ac:dyDescent="0.3">
      <c r="B80" s="32">
        <v>45781</v>
      </c>
      <c r="C80" s="31">
        <v>24008</v>
      </c>
      <c r="D80" s="33">
        <f t="shared" si="4"/>
        <v>-4.0439971542538311E-2</v>
      </c>
      <c r="E80" s="31"/>
      <c r="F80" s="32">
        <v>45781</v>
      </c>
      <c r="G80" s="31">
        <v>15190</v>
      </c>
      <c r="H80" s="33">
        <f t="shared" si="5"/>
        <v>-8.8235294117647078E-2</v>
      </c>
    </row>
    <row r="81" spans="2:8" x14ac:dyDescent="0.3">
      <c r="B81" s="32">
        <v>45774</v>
      </c>
      <c r="C81" s="31">
        <v>24346.7</v>
      </c>
      <c r="D81" s="33">
        <f t="shared" si="4"/>
        <v>1.4107797400866318E-2</v>
      </c>
      <c r="E81" s="31"/>
      <c r="F81" s="32">
        <v>45774</v>
      </c>
      <c r="G81" s="31">
        <v>16347</v>
      </c>
      <c r="H81" s="33">
        <f t="shared" si="5"/>
        <v>7.6168531928900496E-2</v>
      </c>
    </row>
    <row r="82" spans="2:8" x14ac:dyDescent="0.3">
      <c r="B82" s="32">
        <v>45767</v>
      </c>
      <c r="C82" s="31">
        <v>24039.35</v>
      </c>
      <c r="D82" s="33">
        <f t="shared" si="4"/>
        <v>-1.2623887426222113E-2</v>
      </c>
      <c r="E82" s="31"/>
      <c r="F82" s="32">
        <v>45767</v>
      </c>
      <c r="G82" s="31">
        <v>16219</v>
      </c>
      <c r="H82" s="33">
        <f t="shared" si="5"/>
        <v>-7.8301829081788288E-3</v>
      </c>
    </row>
    <row r="83" spans="2:8" x14ac:dyDescent="0.3">
      <c r="B83" s="32">
        <v>45760</v>
      </c>
      <c r="C83" s="31">
        <v>23851.65</v>
      </c>
      <c r="D83" s="33">
        <f t="shared" si="4"/>
        <v>-7.8080314151587338E-3</v>
      </c>
      <c r="E83" s="31"/>
      <c r="F83" s="32">
        <v>45760</v>
      </c>
      <c r="G83" s="31">
        <v>15323</v>
      </c>
      <c r="H83" s="33">
        <f t="shared" si="5"/>
        <v>-5.524384980578334E-2</v>
      </c>
    </row>
    <row r="84" spans="2:8" x14ac:dyDescent="0.3">
      <c r="B84" s="32">
        <v>45753</v>
      </c>
      <c r="C84" s="31">
        <v>22828.55</v>
      </c>
      <c r="D84" s="33">
        <f t="shared" si="4"/>
        <v>-4.2894307102443685E-2</v>
      </c>
      <c r="E84" s="31"/>
      <c r="F84" s="32">
        <v>45753</v>
      </c>
      <c r="G84" s="31">
        <v>14301.9</v>
      </c>
      <c r="H84" s="33">
        <f t="shared" si="5"/>
        <v>-6.6638386738889221E-2</v>
      </c>
    </row>
    <row r="85" spans="2:8" x14ac:dyDescent="0.3">
      <c r="B85" s="32">
        <v>45746</v>
      </c>
      <c r="C85" s="31">
        <v>22904.45</v>
      </c>
      <c r="D85" s="33">
        <f t="shared" si="4"/>
        <v>3.3247840971064591E-3</v>
      </c>
      <c r="E85" s="31"/>
      <c r="F85" s="32">
        <v>45746</v>
      </c>
      <c r="G85" s="31">
        <v>13137.55</v>
      </c>
      <c r="H85" s="33">
        <f t="shared" si="5"/>
        <v>-8.14122599095225E-2</v>
      </c>
    </row>
    <row r="86" spans="2:8" x14ac:dyDescent="0.3">
      <c r="B86" s="32">
        <v>45739</v>
      </c>
      <c r="C86" s="31">
        <v>23519.35</v>
      </c>
      <c r="D86" s="33">
        <f t="shared" si="4"/>
        <v>2.6846311524616251E-2</v>
      </c>
      <c r="E86" s="31"/>
      <c r="F86" s="32">
        <v>45739</v>
      </c>
      <c r="G86" s="31">
        <v>13179.5</v>
      </c>
      <c r="H86" s="33">
        <f t="shared" si="5"/>
        <v>3.1931372287832271E-3</v>
      </c>
    </row>
    <row r="87" spans="2:8" x14ac:dyDescent="0.3">
      <c r="B87" s="32">
        <v>45732</v>
      </c>
      <c r="C87" s="31">
        <v>23350.400000000001</v>
      </c>
      <c r="D87" s="33">
        <f t="shared" si="4"/>
        <v>-7.1834468214468927E-3</v>
      </c>
      <c r="E87" s="31"/>
      <c r="F87" s="32">
        <v>45732</v>
      </c>
      <c r="G87" s="31">
        <v>14056.8</v>
      </c>
      <c r="H87" s="33">
        <f t="shared" si="5"/>
        <v>6.6565499449903198E-2</v>
      </c>
    </row>
    <row r="88" spans="2:8" x14ac:dyDescent="0.3">
      <c r="B88" s="32">
        <v>45725</v>
      </c>
      <c r="C88" s="31">
        <v>22397.200000000001</v>
      </c>
      <c r="D88" s="33">
        <f t="shared" si="4"/>
        <v>-4.0821570508428162E-2</v>
      </c>
      <c r="E88" s="31"/>
      <c r="F88" s="32">
        <v>45725</v>
      </c>
      <c r="G88" s="31">
        <v>13324.05</v>
      </c>
      <c r="H88" s="33">
        <f t="shared" si="5"/>
        <v>-5.2127795799897569E-2</v>
      </c>
    </row>
    <row r="89" spans="2:8" x14ac:dyDescent="0.3">
      <c r="B89" s="32">
        <v>45718</v>
      </c>
      <c r="C89" s="31">
        <v>22552.5</v>
      </c>
      <c r="D89" s="33">
        <f t="shared" si="4"/>
        <v>6.9339024520922443E-3</v>
      </c>
      <c r="E89" s="31"/>
      <c r="F89" s="32">
        <v>45718</v>
      </c>
      <c r="G89" s="31">
        <v>13911.25</v>
      </c>
      <c r="H89" s="33">
        <f t="shared" si="5"/>
        <v>4.4070684213884048E-2</v>
      </c>
    </row>
    <row r="90" spans="2:8" x14ac:dyDescent="0.3">
      <c r="B90" s="32">
        <v>45711</v>
      </c>
      <c r="C90" s="31">
        <v>22124.7</v>
      </c>
      <c r="D90" s="33">
        <f t="shared" si="4"/>
        <v>-1.8969072164948475E-2</v>
      </c>
      <c r="E90" s="31"/>
      <c r="F90" s="32">
        <v>45711</v>
      </c>
      <c r="G90" s="31">
        <v>13935.85</v>
      </c>
      <c r="H90" s="33">
        <f t="shared" si="5"/>
        <v>1.7683529517478203E-3</v>
      </c>
    </row>
    <row r="91" spans="2:8" x14ac:dyDescent="0.3">
      <c r="B91" s="32">
        <v>45704</v>
      </c>
      <c r="C91" s="31">
        <v>22795.9</v>
      </c>
      <c r="D91" s="33">
        <f t="shared" si="4"/>
        <v>3.0337134514818231E-2</v>
      </c>
      <c r="E91" s="31"/>
      <c r="F91" s="32">
        <v>45704</v>
      </c>
      <c r="G91" s="31">
        <v>13971.9</v>
      </c>
      <c r="H91" s="33">
        <f t="shared" si="5"/>
        <v>2.5868533315154263E-3</v>
      </c>
    </row>
    <row r="92" spans="2:8" x14ac:dyDescent="0.3">
      <c r="B92" s="32">
        <v>45697</v>
      </c>
      <c r="C92" s="31">
        <v>22929.25</v>
      </c>
      <c r="D92" s="33">
        <f t="shared" si="4"/>
        <v>5.8497361367613188E-3</v>
      </c>
      <c r="E92" s="31"/>
      <c r="F92" s="32">
        <v>45697</v>
      </c>
      <c r="G92" s="31">
        <v>14010.7</v>
      </c>
      <c r="H92" s="33">
        <f t="shared" si="5"/>
        <v>2.7770024119841974E-3</v>
      </c>
    </row>
    <row r="93" spans="2:8" x14ac:dyDescent="0.3">
      <c r="B93" s="32">
        <v>45690</v>
      </c>
      <c r="C93" s="31">
        <v>23559.95</v>
      </c>
      <c r="D93" s="33">
        <f t="shared" si="4"/>
        <v>2.7506351058146361E-2</v>
      </c>
      <c r="E93" s="31"/>
      <c r="F93" s="32">
        <v>45690</v>
      </c>
      <c r="G93" s="31">
        <v>15154.65</v>
      </c>
      <c r="H93" s="33">
        <f t="shared" si="5"/>
        <v>8.1648311647526395E-2</v>
      </c>
    </row>
    <row r="94" spans="2:8" x14ac:dyDescent="0.3">
      <c r="B94" s="32">
        <v>45683</v>
      </c>
      <c r="C94" s="31">
        <v>23508.400000000001</v>
      </c>
      <c r="D94" s="33">
        <f t="shared" si="4"/>
        <v>-2.188035203809835E-3</v>
      </c>
      <c r="E94" s="31"/>
      <c r="F94" s="32">
        <v>45683</v>
      </c>
      <c r="G94" s="31">
        <v>14985.95</v>
      </c>
      <c r="H94" s="33">
        <f t="shared" si="5"/>
        <v>-1.1131896810549824E-2</v>
      </c>
    </row>
    <row r="95" spans="2:8" x14ac:dyDescent="0.3">
      <c r="B95" s="32">
        <v>45676</v>
      </c>
      <c r="C95" s="31">
        <v>23092.2</v>
      </c>
      <c r="D95" s="33">
        <f t="shared" si="4"/>
        <v>-1.7704309948784247E-2</v>
      </c>
      <c r="E95" s="31"/>
      <c r="F95" s="32">
        <v>45676</v>
      </c>
      <c r="G95" s="31">
        <v>15584.9</v>
      </c>
      <c r="H95" s="33">
        <f t="shared" si="5"/>
        <v>3.9967436165208037E-2</v>
      </c>
    </row>
    <row r="96" spans="2:8" x14ac:dyDescent="0.3">
      <c r="B96" s="32">
        <v>45669</v>
      </c>
      <c r="C96" s="31">
        <v>23203.200000000001</v>
      </c>
      <c r="D96" s="33">
        <f t="shared" si="4"/>
        <v>4.8068178865590117E-3</v>
      </c>
      <c r="E96" s="31"/>
      <c r="F96" s="32">
        <v>45669</v>
      </c>
      <c r="G96" s="31">
        <v>17224.45</v>
      </c>
      <c r="H96" s="33">
        <f t="shared" si="5"/>
        <v>0.10520118832972947</v>
      </c>
    </row>
    <row r="97" spans="2:8" x14ac:dyDescent="0.3">
      <c r="B97" s="32">
        <v>45662</v>
      </c>
      <c r="C97" s="31">
        <v>23431.5</v>
      </c>
      <c r="D97" s="33">
        <f t="shared" si="4"/>
        <v>9.8391601158460684E-3</v>
      </c>
      <c r="E97" s="31"/>
      <c r="F97" s="32">
        <v>45662</v>
      </c>
      <c r="G97" s="31">
        <v>16709.2</v>
      </c>
      <c r="H97" s="33">
        <f t="shared" si="5"/>
        <v>-2.991387243134036E-2</v>
      </c>
    </row>
    <row r="98" spans="2:8" x14ac:dyDescent="0.3">
      <c r="B98" s="32">
        <v>45655</v>
      </c>
      <c r="C98" s="31">
        <v>24004.75</v>
      </c>
      <c r="D98" s="33">
        <f t="shared" si="4"/>
        <v>2.4464929688666981E-2</v>
      </c>
      <c r="E98" s="31"/>
      <c r="F98" s="32">
        <v>45655</v>
      </c>
      <c r="G98" s="31">
        <v>18397.650000000001</v>
      </c>
      <c r="H98" s="33">
        <f t="shared" si="5"/>
        <v>0.10104912263902532</v>
      </c>
    </row>
    <row r="99" spans="2:8" x14ac:dyDescent="0.3">
      <c r="B99" s="32">
        <v>45648</v>
      </c>
      <c r="C99" s="31">
        <v>23813.4</v>
      </c>
      <c r="D99" s="33">
        <f t="shared" si="4"/>
        <v>-7.9713390058216982E-3</v>
      </c>
      <c r="E99" s="31"/>
      <c r="F99" s="32">
        <v>45648</v>
      </c>
      <c r="G99" s="31">
        <v>17972.3</v>
      </c>
      <c r="H99" s="33">
        <f t="shared" si="5"/>
        <v>-2.3119800626710596E-2</v>
      </c>
    </row>
    <row r="100" spans="2:8" x14ac:dyDescent="0.3">
      <c r="B100" s="32">
        <v>45641</v>
      </c>
      <c r="C100" s="31">
        <v>23587.5</v>
      </c>
      <c r="D100" s="33">
        <f t="shared" si="4"/>
        <v>-9.4862556375822082E-3</v>
      </c>
      <c r="E100" s="31"/>
      <c r="F100" s="32">
        <v>45641</v>
      </c>
      <c r="G100" s="31">
        <v>17944.900000000001</v>
      </c>
      <c r="H100" s="33">
        <f t="shared" si="5"/>
        <v>-1.5245683635370932E-3</v>
      </c>
    </row>
    <row r="101" spans="2:8" x14ac:dyDescent="0.3">
      <c r="B101" s="32">
        <v>45634</v>
      </c>
      <c r="C101" s="31">
        <v>24768.3</v>
      </c>
      <c r="D101" s="33">
        <f t="shared" ref="D101:D164" si="6">C101/C100-1</f>
        <v>5.0060413354531041E-2</v>
      </c>
      <c r="E101" s="31"/>
      <c r="F101" s="32">
        <v>45634</v>
      </c>
      <c r="G101" s="31">
        <v>17954.400000000001</v>
      </c>
      <c r="H101" s="33">
        <f t="shared" ref="H101:H164" si="7">G101/G100-1</f>
        <v>5.2939832487219896E-4</v>
      </c>
    </row>
    <row r="102" spans="2:8" x14ac:dyDescent="0.3">
      <c r="B102" s="32">
        <v>45627</v>
      </c>
      <c r="C102" s="31">
        <v>24677.8</v>
      </c>
      <c r="D102" s="33">
        <f t="shared" si="6"/>
        <v>-3.653864011660013E-3</v>
      </c>
      <c r="E102" s="31"/>
      <c r="F102" s="32">
        <v>45627</v>
      </c>
      <c r="G102" s="31">
        <v>17421.05</v>
      </c>
      <c r="H102" s="33">
        <f t="shared" si="7"/>
        <v>-2.9705810274918809E-2</v>
      </c>
    </row>
    <row r="103" spans="2:8" x14ac:dyDescent="0.3">
      <c r="B103" s="32">
        <v>45620</v>
      </c>
      <c r="C103" s="31">
        <v>24131.1</v>
      </c>
      <c r="D103" s="33">
        <f t="shared" si="6"/>
        <v>-2.2153514494809179E-2</v>
      </c>
      <c r="E103" s="31"/>
      <c r="F103" s="32">
        <v>45620</v>
      </c>
      <c r="G103" s="31">
        <v>15807.4</v>
      </c>
      <c r="H103" s="33">
        <f t="shared" si="7"/>
        <v>-9.2626449037227943E-2</v>
      </c>
    </row>
    <row r="104" spans="2:8" x14ac:dyDescent="0.3">
      <c r="B104" s="32">
        <v>45613</v>
      </c>
      <c r="C104" s="31">
        <v>23907.25</v>
      </c>
      <c r="D104" s="33">
        <f t="shared" si="6"/>
        <v>-9.2764109385812255E-3</v>
      </c>
      <c r="E104" s="31"/>
      <c r="F104" s="32">
        <v>45613</v>
      </c>
      <c r="G104" s="31">
        <v>15348.7</v>
      </c>
      <c r="H104" s="33">
        <f t="shared" si="7"/>
        <v>-2.9018054835077134E-2</v>
      </c>
    </row>
    <row r="105" spans="2:8" x14ac:dyDescent="0.3">
      <c r="B105" s="32">
        <v>45606</v>
      </c>
      <c r="C105" s="31">
        <v>23532.7</v>
      </c>
      <c r="D105" s="33">
        <f t="shared" si="6"/>
        <v>-1.5666795637306663E-2</v>
      </c>
      <c r="E105" s="31"/>
      <c r="F105" s="32">
        <v>45606</v>
      </c>
      <c r="G105" s="31">
        <v>14776.1</v>
      </c>
      <c r="H105" s="33">
        <f t="shared" si="7"/>
        <v>-3.7306091069602032E-2</v>
      </c>
    </row>
    <row r="106" spans="2:8" x14ac:dyDescent="0.3">
      <c r="B106" s="32">
        <v>45599</v>
      </c>
      <c r="C106" s="31">
        <v>24148.2</v>
      </c>
      <c r="D106" s="33">
        <f t="shared" si="6"/>
        <v>2.6155094825498049E-2</v>
      </c>
      <c r="E106" s="31"/>
      <c r="F106" s="32">
        <v>45599</v>
      </c>
      <c r="G106" s="31">
        <v>15621.1</v>
      </c>
      <c r="H106" s="33">
        <f t="shared" si="7"/>
        <v>5.718694378083522E-2</v>
      </c>
    </row>
    <row r="107" spans="2:8" x14ac:dyDescent="0.3">
      <c r="B107" s="32">
        <v>45592</v>
      </c>
      <c r="C107" s="31">
        <v>24304.35</v>
      </c>
      <c r="D107" s="33">
        <f t="shared" si="6"/>
        <v>6.4663204710908584E-3</v>
      </c>
      <c r="E107" s="31"/>
      <c r="F107" s="32">
        <v>45592</v>
      </c>
      <c r="G107" s="31">
        <v>14129.75</v>
      </c>
      <c r="H107" s="33">
        <f t="shared" si="7"/>
        <v>-9.5470229369250537E-2</v>
      </c>
    </row>
    <row r="108" spans="2:8" x14ac:dyDescent="0.3">
      <c r="B108" s="32">
        <v>45585</v>
      </c>
      <c r="C108" s="31">
        <v>24180.799999999999</v>
      </c>
      <c r="D108" s="33">
        <f t="shared" si="6"/>
        <v>-5.0834521392261189E-3</v>
      </c>
      <c r="E108" s="31"/>
      <c r="F108" s="32">
        <v>45585</v>
      </c>
      <c r="G108" s="31">
        <v>13937.2</v>
      </c>
      <c r="H108" s="33">
        <f t="shared" si="7"/>
        <v>-1.3627275783364867E-2</v>
      </c>
    </row>
    <row r="109" spans="2:8" x14ac:dyDescent="0.3">
      <c r="B109" s="32">
        <v>45578</v>
      </c>
      <c r="C109" s="31">
        <v>24854.05</v>
      </c>
      <c r="D109" s="33">
        <f t="shared" si="6"/>
        <v>2.7842337722490562E-2</v>
      </c>
      <c r="E109" s="31"/>
      <c r="F109" s="32">
        <v>45578</v>
      </c>
      <c r="G109" s="31">
        <v>15381.8</v>
      </c>
      <c r="H109" s="33">
        <f t="shared" si="7"/>
        <v>0.10365066153890301</v>
      </c>
    </row>
    <row r="110" spans="2:8" x14ac:dyDescent="0.3">
      <c r="B110" s="32">
        <v>45571</v>
      </c>
      <c r="C110" s="31">
        <v>24964.25</v>
      </c>
      <c r="D110" s="33">
        <f t="shared" si="6"/>
        <v>4.4338850207512603E-3</v>
      </c>
      <c r="E110" s="31"/>
      <c r="F110" s="32">
        <v>45571</v>
      </c>
      <c r="G110" s="31">
        <v>15143.65</v>
      </c>
      <c r="H110" s="33">
        <f t="shared" si="7"/>
        <v>-1.5482583312746212E-2</v>
      </c>
    </row>
    <row r="111" spans="2:8" x14ac:dyDescent="0.3">
      <c r="B111" s="32">
        <v>45564</v>
      </c>
      <c r="C111" s="31">
        <v>25014.6</v>
      </c>
      <c r="D111" s="33">
        <f t="shared" si="6"/>
        <v>2.0168841443264363E-3</v>
      </c>
      <c r="E111" s="31"/>
      <c r="F111" s="32">
        <v>45564</v>
      </c>
      <c r="G111" s="31">
        <v>13634</v>
      </c>
      <c r="H111" s="33">
        <f t="shared" si="7"/>
        <v>-9.9688648377372679E-2</v>
      </c>
    </row>
    <row r="112" spans="2:8" x14ac:dyDescent="0.3">
      <c r="B112" s="32">
        <v>45557</v>
      </c>
      <c r="C112" s="31">
        <v>26178.95</v>
      </c>
      <c r="D112" s="33">
        <f t="shared" si="6"/>
        <v>4.6546816659071233E-2</v>
      </c>
      <c r="E112" s="31"/>
      <c r="F112" s="32">
        <v>45557</v>
      </c>
      <c r="G112" s="31">
        <v>14037.65</v>
      </c>
      <c r="H112" s="33">
        <f t="shared" si="7"/>
        <v>2.9606131729499774E-2</v>
      </c>
    </row>
    <row r="113" spans="2:8" x14ac:dyDescent="0.3">
      <c r="B113" s="32">
        <v>45550</v>
      </c>
      <c r="C113" s="31">
        <v>25790.95</v>
      </c>
      <c r="D113" s="33">
        <f t="shared" si="6"/>
        <v>-1.4821068071866894E-2</v>
      </c>
      <c r="E113" s="31"/>
      <c r="F113" s="32">
        <v>45550</v>
      </c>
      <c r="G113" s="31">
        <v>13995.6</v>
      </c>
      <c r="H113" s="33">
        <f t="shared" si="7"/>
        <v>-2.9955156311775033E-3</v>
      </c>
    </row>
    <row r="114" spans="2:8" x14ac:dyDescent="0.3">
      <c r="B114" s="32">
        <v>45543</v>
      </c>
      <c r="C114" s="31">
        <v>25356.5</v>
      </c>
      <c r="D114" s="33">
        <f t="shared" si="6"/>
        <v>-1.684505611464493E-2</v>
      </c>
      <c r="E114" s="31"/>
      <c r="F114" s="32">
        <v>45543</v>
      </c>
      <c r="G114" s="31">
        <v>13027.65</v>
      </c>
      <c r="H114" s="33">
        <f t="shared" si="7"/>
        <v>-6.91610220354969E-2</v>
      </c>
    </row>
    <row r="115" spans="2:8" x14ac:dyDescent="0.3">
      <c r="B115" s="32">
        <v>45536</v>
      </c>
      <c r="C115" s="31">
        <v>24852.15</v>
      </c>
      <c r="D115" s="33">
        <f t="shared" si="6"/>
        <v>-1.9890363417664036E-2</v>
      </c>
      <c r="E115" s="31"/>
      <c r="F115" s="32">
        <v>45536</v>
      </c>
      <c r="G115" s="31">
        <v>12063.85</v>
      </c>
      <c r="H115" s="33">
        <f t="shared" si="7"/>
        <v>-7.3981109409601786E-2</v>
      </c>
    </row>
    <row r="116" spans="2:8" x14ac:dyDescent="0.3">
      <c r="B116" s="32">
        <v>45529</v>
      </c>
      <c r="C116" s="31">
        <v>25235.9</v>
      </c>
      <c r="D116" s="33">
        <f t="shared" si="6"/>
        <v>1.544131996628062E-2</v>
      </c>
      <c r="E116" s="31"/>
      <c r="F116" s="32">
        <v>45529</v>
      </c>
      <c r="G116" s="31">
        <v>13170.95</v>
      </c>
      <c r="H116" s="33">
        <f t="shared" si="7"/>
        <v>9.1770040244200768E-2</v>
      </c>
    </row>
    <row r="117" spans="2:8" x14ac:dyDescent="0.3">
      <c r="B117" s="32">
        <v>45522</v>
      </c>
      <c r="C117" s="31">
        <v>24823.15</v>
      </c>
      <c r="D117" s="33">
        <f t="shared" si="6"/>
        <v>-1.6355667917530181E-2</v>
      </c>
      <c r="E117" s="31"/>
      <c r="F117" s="32">
        <v>45522</v>
      </c>
      <c r="G117" s="31">
        <v>13270.55</v>
      </c>
      <c r="H117" s="33">
        <f t="shared" si="7"/>
        <v>7.5620968874681171E-3</v>
      </c>
    </row>
    <row r="118" spans="2:8" x14ac:dyDescent="0.3">
      <c r="B118" s="32">
        <v>45515</v>
      </c>
      <c r="C118" s="31">
        <v>24541.15</v>
      </c>
      <c r="D118" s="33">
        <f t="shared" si="6"/>
        <v>-1.1360363209342861E-2</v>
      </c>
      <c r="E118" s="31"/>
      <c r="F118" s="32">
        <v>45515</v>
      </c>
      <c r="G118" s="31">
        <v>12374.9</v>
      </c>
      <c r="H118" s="33">
        <f t="shared" si="7"/>
        <v>-6.74915508400179E-2</v>
      </c>
    </row>
    <row r="119" spans="2:8" x14ac:dyDescent="0.3">
      <c r="B119" s="32">
        <v>45508</v>
      </c>
      <c r="C119" s="31">
        <v>24367.5</v>
      </c>
      <c r="D119" s="33">
        <f t="shared" si="6"/>
        <v>-7.0758705276647849E-3</v>
      </c>
      <c r="E119" s="31"/>
      <c r="F119" s="32">
        <v>45508</v>
      </c>
      <c r="G119" s="31">
        <v>11740.45</v>
      </c>
      <c r="H119" s="33">
        <f t="shared" si="7"/>
        <v>-5.1269101164453712E-2</v>
      </c>
    </row>
    <row r="120" spans="2:8" x14ac:dyDescent="0.3">
      <c r="B120" s="32">
        <v>45501</v>
      </c>
      <c r="C120" s="31">
        <v>24717.7</v>
      </c>
      <c r="D120" s="33">
        <f t="shared" si="6"/>
        <v>1.4371601518415877E-2</v>
      </c>
      <c r="E120" s="31"/>
      <c r="F120" s="32">
        <v>45501</v>
      </c>
      <c r="G120" s="31">
        <v>11654.55</v>
      </c>
      <c r="H120" s="33">
        <f t="shared" si="7"/>
        <v>-7.3165849690600693E-3</v>
      </c>
    </row>
    <row r="121" spans="2:8" x14ac:dyDescent="0.3">
      <c r="B121" s="32">
        <v>45494</v>
      </c>
      <c r="C121" s="31">
        <v>24834.85</v>
      </c>
      <c r="D121" s="33">
        <f t="shared" si="6"/>
        <v>4.7395186445340354E-3</v>
      </c>
      <c r="E121" s="31"/>
      <c r="F121" s="32">
        <v>45494</v>
      </c>
      <c r="G121" s="31">
        <v>11272.6</v>
      </c>
      <c r="H121" s="33">
        <f t="shared" si="7"/>
        <v>-3.277260812300764E-2</v>
      </c>
    </row>
    <row r="122" spans="2:8" x14ac:dyDescent="0.3">
      <c r="B122" s="32">
        <v>45487</v>
      </c>
      <c r="C122" s="31">
        <v>24530.9</v>
      </c>
      <c r="D122" s="33">
        <f t="shared" si="6"/>
        <v>-1.2238849842056476E-2</v>
      </c>
      <c r="E122" s="31"/>
      <c r="F122" s="32">
        <v>45487</v>
      </c>
      <c r="G122" s="31">
        <v>11267.2</v>
      </c>
      <c r="H122" s="33">
        <f t="shared" si="7"/>
        <v>-4.790376665542162E-4</v>
      </c>
    </row>
    <row r="123" spans="2:8" x14ac:dyDescent="0.3">
      <c r="B123" s="32">
        <v>45480</v>
      </c>
      <c r="C123" s="31">
        <v>24502.15</v>
      </c>
      <c r="D123" s="33">
        <f t="shared" si="6"/>
        <v>-1.1719912436967128E-3</v>
      </c>
      <c r="E123" s="31"/>
      <c r="F123" s="32">
        <v>45480</v>
      </c>
      <c r="G123" s="31">
        <v>12410</v>
      </c>
      <c r="H123" s="33">
        <f t="shared" si="7"/>
        <v>0.10142715137744962</v>
      </c>
    </row>
    <row r="124" spans="2:8" x14ac:dyDescent="0.3">
      <c r="B124" s="32">
        <v>45473</v>
      </c>
      <c r="C124" s="31">
        <v>24323.85</v>
      </c>
      <c r="D124" s="33">
        <f t="shared" si="6"/>
        <v>-7.2769124342150215E-3</v>
      </c>
      <c r="E124" s="31"/>
      <c r="F124" s="32">
        <v>45473</v>
      </c>
      <c r="G124" s="31">
        <v>12505.95</v>
      </c>
      <c r="H124" s="33">
        <f t="shared" si="7"/>
        <v>7.7316680096697343E-3</v>
      </c>
    </row>
    <row r="125" spans="2:8" x14ac:dyDescent="0.3">
      <c r="B125" s="32">
        <v>45466</v>
      </c>
      <c r="C125" s="31">
        <v>24010.6</v>
      </c>
      <c r="D125" s="33">
        <f t="shared" si="6"/>
        <v>-1.2878306682535867E-2</v>
      </c>
      <c r="E125" s="31"/>
      <c r="F125" s="32">
        <v>45466</v>
      </c>
      <c r="G125" s="31">
        <v>11971.3</v>
      </c>
      <c r="H125" s="33">
        <f t="shared" si="7"/>
        <v>-4.2751650214498005E-2</v>
      </c>
    </row>
    <row r="126" spans="2:8" x14ac:dyDescent="0.3">
      <c r="B126" s="32">
        <v>45459</v>
      </c>
      <c r="C126" s="31">
        <v>23501.1</v>
      </c>
      <c r="D126" s="33">
        <f t="shared" si="6"/>
        <v>-2.1219794590722429E-2</v>
      </c>
      <c r="E126" s="31"/>
      <c r="F126" s="32">
        <v>45459</v>
      </c>
      <c r="G126" s="31">
        <v>11539.1</v>
      </c>
      <c r="H126" s="33">
        <f t="shared" si="7"/>
        <v>-3.610301303951946E-2</v>
      </c>
    </row>
    <row r="127" spans="2:8" x14ac:dyDescent="0.3">
      <c r="B127" s="32">
        <v>45452</v>
      </c>
      <c r="C127" s="31">
        <v>23465.599999999999</v>
      </c>
      <c r="D127" s="33">
        <f t="shared" si="6"/>
        <v>-1.5105675904532045E-3</v>
      </c>
      <c r="E127" s="31"/>
      <c r="F127" s="32">
        <v>45452</v>
      </c>
      <c r="G127" s="31">
        <v>11242.85</v>
      </c>
      <c r="H127" s="33">
        <f t="shared" si="7"/>
        <v>-2.5673579395273483E-2</v>
      </c>
    </row>
    <row r="128" spans="2:8" x14ac:dyDescent="0.3">
      <c r="B128" s="32">
        <v>45445</v>
      </c>
      <c r="C128" s="31">
        <v>23290.15</v>
      </c>
      <c r="D128" s="33">
        <f t="shared" si="6"/>
        <v>-7.4769023591980677E-3</v>
      </c>
      <c r="E128" s="31"/>
      <c r="F128" s="32">
        <v>45445</v>
      </c>
      <c r="G128" s="31">
        <v>9985.1</v>
      </c>
      <c r="H128" s="33">
        <f t="shared" si="7"/>
        <v>-0.11187110029930136</v>
      </c>
    </row>
    <row r="129" spans="2:8" x14ac:dyDescent="0.3">
      <c r="B129" s="32">
        <v>45438</v>
      </c>
      <c r="C129" s="31">
        <v>22530.7</v>
      </c>
      <c r="D129" s="33">
        <f t="shared" si="6"/>
        <v>-3.2608205614820029E-2</v>
      </c>
      <c r="E129" s="31"/>
      <c r="F129" s="32">
        <v>45438</v>
      </c>
      <c r="G129" s="31">
        <v>9396.35</v>
      </c>
      <c r="H129" s="33">
        <f t="shared" si="7"/>
        <v>-5.896285465343365E-2</v>
      </c>
    </row>
    <row r="130" spans="2:8" x14ac:dyDescent="0.3">
      <c r="B130" s="32">
        <v>45431</v>
      </c>
      <c r="C130" s="31">
        <v>22957.1</v>
      </c>
      <c r="D130" s="33">
        <f t="shared" si="6"/>
        <v>1.8925288606212787E-2</v>
      </c>
      <c r="E130" s="31"/>
      <c r="F130" s="32">
        <v>45431</v>
      </c>
      <c r="G130" s="31">
        <v>9298.2000000000007</v>
      </c>
      <c r="H130" s="33">
        <f t="shared" si="7"/>
        <v>-1.0445545344734852E-2</v>
      </c>
    </row>
    <row r="131" spans="2:8" x14ac:dyDescent="0.3">
      <c r="B131" s="32">
        <v>45424</v>
      </c>
      <c r="C131" s="31">
        <v>22466.1</v>
      </c>
      <c r="D131" s="33">
        <f t="shared" si="6"/>
        <v>-2.1387718832082458E-2</v>
      </c>
      <c r="E131" s="31"/>
      <c r="F131" s="32">
        <v>45424</v>
      </c>
      <c r="G131" s="31">
        <v>8938.4</v>
      </c>
      <c r="H131" s="33">
        <f t="shared" si="7"/>
        <v>-3.8695661525886882E-2</v>
      </c>
    </row>
    <row r="132" spans="2:8" x14ac:dyDescent="0.3">
      <c r="B132" s="32">
        <v>45417</v>
      </c>
      <c r="C132" s="31">
        <v>22055.200000000001</v>
      </c>
      <c r="D132" s="33">
        <f t="shared" si="6"/>
        <v>-1.8289778822314418E-2</v>
      </c>
      <c r="E132" s="31"/>
      <c r="F132" s="32">
        <v>45417</v>
      </c>
      <c r="G132" s="31">
        <v>8418.5499999999993</v>
      </c>
      <c r="H132" s="33">
        <f t="shared" si="7"/>
        <v>-5.8159178376443244E-2</v>
      </c>
    </row>
    <row r="133" spans="2:8" x14ac:dyDescent="0.3">
      <c r="B133" s="32">
        <v>45410</v>
      </c>
      <c r="C133" s="31">
        <v>22475.85</v>
      </c>
      <c r="D133" s="33">
        <f t="shared" si="6"/>
        <v>1.9072599659037293E-2</v>
      </c>
      <c r="E133" s="31"/>
      <c r="F133" s="32">
        <v>45410</v>
      </c>
      <c r="G133" s="31">
        <v>8451.65</v>
      </c>
      <c r="H133" s="33">
        <f t="shared" si="7"/>
        <v>3.9317934798748233E-3</v>
      </c>
    </row>
    <row r="134" spans="2:8" x14ac:dyDescent="0.3">
      <c r="B134" s="32">
        <v>45403</v>
      </c>
      <c r="C134" s="31">
        <v>22419.95</v>
      </c>
      <c r="D134" s="33">
        <f t="shared" si="6"/>
        <v>-2.4871139467471659E-3</v>
      </c>
      <c r="E134" s="31"/>
      <c r="F134" s="32">
        <v>45403</v>
      </c>
      <c r="G134" s="31">
        <v>8580.15</v>
      </c>
      <c r="H134" s="33">
        <f t="shared" si="7"/>
        <v>1.5204131737589721E-2</v>
      </c>
    </row>
    <row r="135" spans="2:8" x14ac:dyDescent="0.3">
      <c r="B135" s="32">
        <v>45396</v>
      </c>
      <c r="C135" s="31">
        <v>22147</v>
      </c>
      <c r="D135" s="33">
        <f t="shared" si="6"/>
        <v>-1.2174425009868428E-2</v>
      </c>
      <c r="E135" s="31"/>
      <c r="F135" s="32">
        <v>45396</v>
      </c>
      <c r="G135" s="31">
        <v>7531.95</v>
      </c>
      <c r="H135" s="33">
        <f t="shared" si="7"/>
        <v>-0.12216569640390895</v>
      </c>
    </row>
    <row r="136" spans="2:8" x14ac:dyDescent="0.3">
      <c r="B136" s="32">
        <v>45389</v>
      </c>
      <c r="C136" s="31">
        <v>22519.4</v>
      </c>
      <c r="D136" s="33">
        <f t="shared" si="6"/>
        <v>1.6814918499119536E-2</v>
      </c>
      <c r="E136" s="31"/>
      <c r="F136" s="32">
        <v>45389</v>
      </c>
      <c r="G136" s="31">
        <v>7845.4</v>
      </c>
      <c r="H136" s="33">
        <f t="shared" si="7"/>
        <v>4.1616048964743468E-2</v>
      </c>
    </row>
    <row r="137" spans="2:8" x14ac:dyDescent="0.3">
      <c r="B137" s="32">
        <v>45382</v>
      </c>
      <c r="C137" s="31">
        <v>22513.7</v>
      </c>
      <c r="D137" s="33">
        <f t="shared" si="6"/>
        <v>-2.5311509187642134E-4</v>
      </c>
      <c r="E137" s="31"/>
      <c r="F137" s="32">
        <v>45382</v>
      </c>
      <c r="G137" s="31">
        <v>7660.5</v>
      </c>
      <c r="H137" s="33">
        <f t="shared" si="7"/>
        <v>-2.3567950646238511E-2</v>
      </c>
    </row>
    <row r="138" spans="2:8" x14ac:dyDescent="0.3">
      <c r="B138" s="32">
        <v>45375</v>
      </c>
      <c r="C138" s="31">
        <v>22326.9</v>
      </c>
      <c r="D138" s="33">
        <f t="shared" si="6"/>
        <v>-8.2971701674979803E-3</v>
      </c>
      <c r="E138" s="31"/>
      <c r="F138" s="32">
        <v>45375</v>
      </c>
      <c r="G138" s="31">
        <v>7479.25</v>
      </c>
      <c r="H138" s="33">
        <f t="shared" si="7"/>
        <v>-2.3660335487239781E-2</v>
      </c>
    </row>
    <row r="139" spans="2:8" x14ac:dyDescent="0.3">
      <c r="B139" s="32">
        <v>45368</v>
      </c>
      <c r="C139" s="31">
        <v>22096.75</v>
      </c>
      <c r="D139" s="33">
        <f t="shared" si="6"/>
        <v>-1.0308193255669229E-2</v>
      </c>
      <c r="E139" s="31"/>
      <c r="F139" s="32">
        <v>45368</v>
      </c>
      <c r="G139" s="31">
        <v>7165.15</v>
      </c>
      <c r="H139" s="33">
        <f t="shared" si="7"/>
        <v>-4.1996189457499167E-2</v>
      </c>
    </row>
    <row r="140" spans="2:8" x14ac:dyDescent="0.3">
      <c r="B140" s="32">
        <v>45361</v>
      </c>
      <c r="C140" s="31">
        <v>22023.35</v>
      </c>
      <c r="D140" s="33">
        <f t="shared" si="6"/>
        <v>-3.3217554617761547E-3</v>
      </c>
      <c r="E140" s="31"/>
      <c r="F140" s="32">
        <v>45361</v>
      </c>
      <c r="G140" s="31">
        <v>6962</v>
      </c>
      <c r="H140" s="33">
        <f t="shared" si="7"/>
        <v>-2.8352511810638914E-2</v>
      </c>
    </row>
    <row r="141" spans="2:8" x14ac:dyDescent="0.3">
      <c r="B141" s="32">
        <v>45354</v>
      </c>
      <c r="C141" s="31">
        <v>22493.55</v>
      </c>
      <c r="D141" s="33">
        <f t="shared" si="6"/>
        <v>2.1350067087886337E-2</v>
      </c>
      <c r="E141" s="31"/>
      <c r="F141" s="32">
        <v>45354</v>
      </c>
      <c r="G141" s="31">
        <v>7142.95</v>
      </c>
      <c r="H141" s="33">
        <f t="shared" si="7"/>
        <v>2.5991094513071022E-2</v>
      </c>
    </row>
    <row r="142" spans="2:8" x14ac:dyDescent="0.3">
      <c r="B142" s="32">
        <v>45347</v>
      </c>
      <c r="C142" s="31">
        <v>22338.75</v>
      </c>
      <c r="D142" s="33">
        <f t="shared" si="6"/>
        <v>-6.8819728322118134E-3</v>
      </c>
      <c r="E142" s="31"/>
      <c r="F142" s="32">
        <v>45347</v>
      </c>
      <c r="G142" s="31">
        <v>7004.95</v>
      </c>
      <c r="H142" s="33">
        <f t="shared" si="7"/>
        <v>-1.9319748843265039E-2</v>
      </c>
    </row>
    <row r="143" spans="2:8" x14ac:dyDescent="0.3">
      <c r="B143" s="32">
        <v>45340</v>
      </c>
      <c r="C143" s="31">
        <v>22212.7</v>
      </c>
      <c r="D143" s="33">
        <f t="shared" si="6"/>
        <v>-5.6426612948351496E-3</v>
      </c>
      <c r="E143" s="31"/>
      <c r="F143" s="32">
        <v>45340</v>
      </c>
      <c r="G143" s="31">
        <v>6867.5</v>
      </c>
      <c r="H143" s="33">
        <f t="shared" si="7"/>
        <v>-1.9621838842532768E-2</v>
      </c>
    </row>
    <row r="144" spans="2:8" x14ac:dyDescent="0.3">
      <c r="B144" s="32">
        <v>45333</v>
      </c>
      <c r="C144" s="31">
        <v>22040.7</v>
      </c>
      <c r="D144" s="33">
        <f t="shared" si="6"/>
        <v>-7.7433180117680855E-3</v>
      </c>
      <c r="E144" s="31"/>
      <c r="F144" s="32">
        <v>45333</v>
      </c>
      <c r="G144" s="31">
        <v>6378.1</v>
      </c>
      <c r="H144" s="33">
        <f t="shared" si="7"/>
        <v>-7.1263196214051638E-2</v>
      </c>
    </row>
    <row r="145" spans="2:8" x14ac:dyDescent="0.3">
      <c r="B145" s="32">
        <v>45326</v>
      </c>
      <c r="C145" s="31">
        <v>21782.5</v>
      </c>
      <c r="D145" s="33">
        <f t="shared" si="6"/>
        <v>-1.1714691457167858E-2</v>
      </c>
      <c r="E145" s="31"/>
      <c r="F145" s="32">
        <v>45326</v>
      </c>
      <c r="G145" s="31">
        <v>6277.9</v>
      </c>
      <c r="H145" s="33">
        <f t="shared" si="7"/>
        <v>-1.5710007682538829E-2</v>
      </c>
    </row>
    <row r="146" spans="2:8" x14ac:dyDescent="0.3">
      <c r="B146" s="32">
        <v>45319</v>
      </c>
      <c r="C146" s="31">
        <v>21853.8</v>
      </c>
      <c r="D146" s="33">
        <f t="shared" si="6"/>
        <v>3.273269826695735E-3</v>
      </c>
      <c r="E146" s="31"/>
      <c r="F146" s="32">
        <v>45319</v>
      </c>
      <c r="G146" s="31">
        <v>6237.8</v>
      </c>
      <c r="H146" s="33">
        <f t="shared" si="7"/>
        <v>-6.3874862613293448E-3</v>
      </c>
    </row>
    <row r="147" spans="2:8" x14ac:dyDescent="0.3">
      <c r="B147" s="32">
        <v>45312</v>
      </c>
      <c r="C147" s="31">
        <v>21352.6</v>
      </c>
      <c r="D147" s="33">
        <f t="shared" si="6"/>
        <v>-2.2934226541837188E-2</v>
      </c>
      <c r="E147" s="31"/>
      <c r="F147" s="32">
        <v>45312</v>
      </c>
      <c r="G147" s="31">
        <v>5879.45</v>
      </c>
      <c r="H147" s="33">
        <f t="shared" si="7"/>
        <v>-5.7448138766873047E-2</v>
      </c>
    </row>
    <row r="148" spans="2:8" x14ac:dyDescent="0.3">
      <c r="B148" s="32">
        <v>45305</v>
      </c>
      <c r="C148" s="31">
        <v>21622.400000000001</v>
      </c>
      <c r="D148" s="33">
        <f t="shared" si="6"/>
        <v>1.2635463596939234E-2</v>
      </c>
      <c r="E148" s="31"/>
      <c r="F148" s="32">
        <v>45305</v>
      </c>
      <c r="G148" s="31">
        <v>6100.2</v>
      </c>
      <c r="H148" s="33">
        <f t="shared" si="7"/>
        <v>3.7546028965294465E-2</v>
      </c>
    </row>
    <row r="149" spans="2:8" x14ac:dyDescent="0.3">
      <c r="B149" s="32">
        <v>45298</v>
      </c>
      <c r="C149" s="31">
        <v>21894.55</v>
      </c>
      <c r="D149" s="33">
        <f t="shared" si="6"/>
        <v>1.2586484386561958E-2</v>
      </c>
      <c r="E149" s="31"/>
      <c r="F149" s="32">
        <v>45298</v>
      </c>
      <c r="G149" s="31">
        <v>6553.95</v>
      </c>
      <c r="H149" s="33">
        <f t="shared" si="7"/>
        <v>7.4382807121077921E-2</v>
      </c>
    </row>
    <row r="150" spans="2:8" x14ac:dyDescent="0.3">
      <c r="B150" s="32">
        <v>45291</v>
      </c>
      <c r="C150" s="31">
        <v>21710.799999999999</v>
      </c>
      <c r="D150" s="33">
        <f t="shared" si="6"/>
        <v>-8.3924995033010097E-3</v>
      </c>
      <c r="E150" s="31"/>
      <c r="F150" s="32">
        <v>45291</v>
      </c>
      <c r="G150" s="31">
        <v>6378.4</v>
      </c>
      <c r="H150" s="33">
        <f t="shared" si="7"/>
        <v>-2.6785373705933146E-2</v>
      </c>
    </row>
    <row r="151" spans="2:8" x14ac:dyDescent="0.3">
      <c r="B151" s="32">
        <v>45284</v>
      </c>
      <c r="C151" s="31">
        <v>21731.4</v>
      </c>
      <c r="D151" s="33">
        <f t="shared" si="6"/>
        <v>9.4883652375776784E-4</v>
      </c>
      <c r="E151" s="31"/>
      <c r="F151" s="32">
        <v>45284</v>
      </c>
      <c r="G151" s="31">
        <v>6566.75</v>
      </c>
      <c r="H151" s="33">
        <f t="shared" si="7"/>
        <v>2.9529349053054155E-2</v>
      </c>
    </row>
    <row r="152" spans="2:8" x14ac:dyDescent="0.3">
      <c r="B152" s="32">
        <v>45277</v>
      </c>
      <c r="C152" s="31">
        <v>21349.4</v>
      </c>
      <c r="D152" s="33">
        <f t="shared" si="6"/>
        <v>-1.7578250825993735E-2</v>
      </c>
      <c r="E152" s="31"/>
      <c r="F152" s="32">
        <v>45277</v>
      </c>
      <c r="G152" s="31">
        <v>6478.35</v>
      </c>
      <c r="H152" s="33">
        <f t="shared" si="7"/>
        <v>-1.3461758099516441E-2</v>
      </c>
    </row>
    <row r="153" spans="2:8" x14ac:dyDescent="0.3">
      <c r="B153" s="32">
        <v>45270</v>
      </c>
      <c r="C153" s="31">
        <v>21456.65</v>
      </c>
      <c r="D153" s="33">
        <f t="shared" si="6"/>
        <v>5.023560381087977E-3</v>
      </c>
      <c r="E153" s="31"/>
      <c r="F153" s="32">
        <v>45270</v>
      </c>
      <c r="G153" s="31">
        <v>6316.9</v>
      </c>
      <c r="H153" s="33">
        <f t="shared" si="7"/>
        <v>-2.4921469201262814E-2</v>
      </c>
    </row>
    <row r="154" spans="2:8" x14ac:dyDescent="0.3">
      <c r="B154" s="32">
        <v>45263</v>
      </c>
      <c r="C154" s="31">
        <v>20969.400000000001</v>
      </c>
      <c r="D154" s="33">
        <f t="shared" si="6"/>
        <v>-2.2708577527246754E-2</v>
      </c>
      <c r="E154" s="31"/>
      <c r="F154" s="32">
        <v>45263</v>
      </c>
      <c r="G154" s="31">
        <v>5964.9</v>
      </c>
      <c r="H154" s="33">
        <f t="shared" si="7"/>
        <v>-5.5723535278380254E-2</v>
      </c>
    </row>
    <row r="155" spans="2:8" x14ac:dyDescent="0.3">
      <c r="B155" s="32">
        <v>45256</v>
      </c>
      <c r="C155" s="31">
        <v>20267.900000000001</v>
      </c>
      <c r="D155" s="33">
        <f t="shared" si="6"/>
        <v>-3.3453508445639879E-2</v>
      </c>
      <c r="E155" s="31"/>
      <c r="F155" s="32">
        <v>45256</v>
      </c>
      <c r="G155" s="31">
        <v>5951.65</v>
      </c>
      <c r="H155" s="33">
        <f t="shared" si="7"/>
        <v>-2.2213281027343434E-3</v>
      </c>
    </row>
    <row r="156" spans="2:8" x14ac:dyDescent="0.3">
      <c r="B156" s="32">
        <v>45249</v>
      </c>
      <c r="C156" s="31">
        <v>19794.7</v>
      </c>
      <c r="D156" s="33">
        <f t="shared" si="6"/>
        <v>-2.3347263406667706E-2</v>
      </c>
      <c r="E156" s="31"/>
      <c r="F156" s="32">
        <v>45249</v>
      </c>
      <c r="G156" s="31">
        <v>5277.85</v>
      </c>
      <c r="H156" s="33">
        <f t="shared" si="7"/>
        <v>-0.11321230247074332</v>
      </c>
    </row>
    <row r="157" spans="2:8" x14ac:dyDescent="0.3">
      <c r="B157" s="32">
        <v>45242</v>
      </c>
      <c r="C157" s="31">
        <v>19731.8</v>
      </c>
      <c r="D157" s="33">
        <f t="shared" si="6"/>
        <v>-3.1776182513502116E-3</v>
      </c>
      <c r="E157" s="31"/>
      <c r="F157" s="32">
        <v>45242</v>
      </c>
      <c r="G157" s="31">
        <v>5426.85</v>
      </c>
      <c r="H157" s="33">
        <f t="shared" si="7"/>
        <v>2.8231192625785217E-2</v>
      </c>
    </row>
    <row r="158" spans="2:8" x14ac:dyDescent="0.3">
      <c r="B158" s="32">
        <v>45235</v>
      </c>
      <c r="C158" s="31">
        <v>19425.349999999999</v>
      </c>
      <c r="D158" s="33">
        <f t="shared" si="6"/>
        <v>-1.5530767593427863E-2</v>
      </c>
      <c r="E158" s="31"/>
      <c r="F158" s="32">
        <v>45235</v>
      </c>
      <c r="G158" s="31">
        <v>5274.9</v>
      </c>
      <c r="H158" s="33">
        <f t="shared" si="7"/>
        <v>-2.7999668315873971E-2</v>
      </c>
    </row>
    <row r="159" spans="2:8" x14ac:dyDescent="0.3">
      <c r="B159" s="32">
        <v>45228</v>
      </c>
      <c r="C159" s="31">
        <v>19230.599999999999</v>
      </c>
      <c r="D159" s="33">
        <f t="shared" si="6"/>
        <v>-1.0025559385030358E-2</v>
      </c>
      <c r="E159" s="31"/>
      <c r="F159" s="32">
        <v>45228</v>
      </c>
      <c r="G159" s="31">
        <v>5274.2</v>
      </c>
      <c r="H159" s="33">
        <f t="shared" si="7"/>
        <v>-1.3270393751541043E-4</v>
      </c>
    </row>
    <row r="160" spans="2:8" x14ac:dyDescent="0.3">
      <c r="B160" s="32">
        <v>45221</v>
      </c>
      <c r="C160" s="31">
        <v>19047.25</v>
      </c>
      <c r="D160" s="33">
        <f t="shared" si="6"/>
        <v>-9.5342839016983039E-3</v>
      </c>
      <c r="E160" s="31"/>
      <c r="F160" s="32">
        <v>45221</v>
      </c>
      <c r="G160" s="31">
        <v>5374.75</v>
      </c>
      <c r="H160" s="33">
        <f t="shared" si="7"/>
        <v>1.9064502673391326E-2</v>
      </c>
    </row>
    <row r="161" spans="2:8" x14ac:dyDescent="0.3">
      <c r="B161" s="32">
        <v>45214</v>
      </c>
      <c r="C161" s="31">
        <v>19542.650000000001</v>
      </c>
      <c r="D161" s="33">
        <f t="shared" si="6"/>
        <v>2.6009003924451157E-2</v>
      </c>
      <c r="E161" s="31"/>
      <c r="F161" s="32">
        <v>45214</v>
      </c>
      <c r="G161" s="31">
        <v>5520.9</v>
      </c>
      <c r="H161" s="33">
        <f t="shared" si="7"/>
        <v>2.7191962416856619E-2</v>
      </c>
    </row>
    <row r="162" spans="2:8" x14ac:dyDescent="0.3">
      <c r="B162" s="32">
        <v>45207</v>
      </c>
      <c r="C162" s="31">
        <v>19751.05</v>
      </c>
      <c r="D162" s="33">
        <f t="shared" si="6"/>
        <v>1.0663855720692839E-2</v>
      </c>
      <c r="E162" s="31"/>
      <c r="F162" s="32">
        <v>45207</v>
      </c>
      <c r="G162" s="31">
        <v>5339.95</v>
      </c>
      <c r="H162" s="33">
        <f t="shared" si="7"/>
        <v>-3.2775453277545274E-2</v>
      </c>
    </row>
    <row r="163" spans="2:8" x14ac:dyDescent="0.3">
      <c r="B163" s="32">
        <v>45200</v>
      </c>
      <c r="C163" s="31">
        <v>19653.5</v>
      </c>
      <c r="D163" s="33">
        <f t="shared" si="6"/>
        <v>-4.9389779277556611E-3</v>
      </c>
      <c r="E163" s="31"/>
      <c r="F163" s="32">
        <v>45200</v>
      </c>
      <c r="G163" s="31">
        <v>5128.75</v>
      </c>
      <c r="H163" s="33">
        <f t="shared" si="7"/>
        <v>-3.9550932124832627E-2</v>
      </c>
    </row>
    <row r="164" spans="2:8" x14ac:dyDescent="0.3">
      <c r="B164" s="32">
        <v>45193</v>
      </c>
      <c r="C164" s="31">
        <v>19638.3</v>
      </c>
      <c r="D164" s="33">
        <f t="shared" si="6"/>
        <v>-7.7339914010232658E-4</v>
      </c>
      <c r="E164" s="31"/>
      <c r="F164" s="32">
        <v>45193</v>
      </c>
      <c r="G164" s="31">
        <v>5289.25</v>
      </c>
      <c r="H164" s="33">
        <f t="shared" si="7"/>
        <v>3.1294174993906854E-2</v>
      </c>
    </row>
    <row r="165" spans="2:8" x14ac:dyDescent="0.3">
      <c r="B165" s="32">
        <v>45186</v>
      </c>
      <c r="C165" s="31">
        <v>19674.25</v>
      </c>
      <c r="D165" s="33">
        <f t="shared" ref="D165:D228" si="8">C165/C164-1</f>
        <v>1.8306065188942178E-3</v>
      </c>
      <c r="E165" s="31"/>
      <c r="F165" s="32">
        <v>45186</v>
      </c>
      <c r="G165" s="31">
        <v>4808.3999999999996</v>
      </c>
      <c r="H165" s="33">
        <f t="shared" ref="H165:H228" si="9">G165/G164-1</f>
        <v>-9.0910809661105096E-2</v>
      </c>
    </row>
    <row r="166" spans="2:8" x14ac:dyDescent="0.3">
      <c r="B166" s="32">
        <v>45179</v>
      </c>
      <c r="C166" s="31">
        <v>20192.349999999999</v>
      </c>
      <c r="D166" s="33">
        <f t="shared" si="8"/>
        <v>2.6333913618054039E-2</v>
      </c>
      <c r="E166" s="31"/>
      <c r="F166" s="32">
        <v>45179</v>
      </c>
      <c r="G166" s="31">
        <v>5059</v>
      </c>
      <c r="H166" s="33">
        <f t="shared" si="9"/>
        <v>5.2117128358705633E-2</v>
      </c>
    </row>
    <row r="167" spans="2:8" x14ac:dyDescent="0.3">
      <c r="B167" s="32">
        <v>45172</v>
      </c>
      <c r="C167" s="31">
        <v>19819.95</v>
      </c>
      <c r="D167" s="33">
        <f t="shared" si="8"/>
        <v>-1.8442628024969765E-2</v>
      </c>
      <c r="E167" s="31"/>
      <c r="F167" s="32">
        <v>45172</v>
      </c>
      <c r="G167" s="31">
        <v>5121.2</v>
      </c>
      <c r="H167" s="33">
        <f t="shared" si="9"/>
        <v>1.2294919944653149E-2</v>
      </c>
    </row>
    <row r="168" spans="2:8" x14ac:dyDescent="0.3">
      <c r="B168" s="32">
        <v>45165</v>
      </c>
      <c r="C168" s="31">
        <v>19435.3</v>
      </c>
      <c r="D168" s="33">
        <f t="shared" si="8"/>
        <v>-1.940721343898455E-2</v>
      </c>
      <c r="E168" s="31"/>
      <c r="F168" s="32">
        <v>45165</v>
      </c>
      <c r="G168" s="31">
        <v>5057.25</v>
      </c>
      <c r="H168" s="33">
        <f t="shared" si="9"/>
        <v>-1.2487307662266578E-2</v>
      </c>
    </row>
    <row r="169" spans="2:8" x14ac:dyDescent="0.3">
      <c r="B169" s="32">
        <v>45158</v>
      </c>
      <c r="C169" s="31">
        <v>19265.8</v>
      </c>
      <c r="D169" s="33">
        <f t="shared" si="8"/>
        <v>-8.7212443337638668E-3</v>
      </c>
      <c r="E169" s="31"/>
      <c r="F169" s="32">
        <v>45158</v>
      </c>
      <c r="G169" s="31">
        <v>4859.75</v>
      </c>
      <c r="H169" s="33">
        <f t="shared" si="9"/>
        <v>-3.9052844925601904E-2</v>
      </c>
    </row>
    <row r="170" spans="2:8" x14ac:dyDescent="0.3">
      <c r="B170" s="32">
        <v>45151</v>
      </c>
      <c r="C170" s="31">
        <v>19310.150000000001</v>
      </c>
      <c r="D170" s="33">
        <f t="shared" si="8"/>
        <v>2.3020066646597392E-3</v>
      </c>
      <c r="E170" s="31"/>
      <c r="F170" s="32">
        <v>45151</v>
      </c>
      <c r="G170" s="31">
        <v>4737.8</v>
      </c>
      <c r="H170" s="33">
        <f t="shared" si="9"/>
        <v>-2.5093883430217567E-2</v>
      </c>
    </row>
    <row r="171" spans="2:8" x14ac:dyDescent="0.3">
      <c r="B171" s="32">
        <v>45144</v>
      </c>
      <c r="C171" s="31">
        <v>19428.3</v>
      </c>
      <c r="D171" s="33">
        <f t="shared" si="8"/>
        <v>6.1185438745943177E-3</v>
      </c>
      <c r="E171" s="31"/>
      <c r="F171" s="32">
        <v>45144</v>
      </c>
      <c r="G171" s="31">
        <v>4780.55</v>
      </c>
      <c r="H171" s="33">
        <f t="shared" si="9"/>
        <v>9.0231753134366599E-3</v>
      </c>
    </row>
    <row r="172" spans="2:8" x14ac:dyDescent="0.3">
      <c r="B172" s="32">
        <v>45137</v>
      </c>
      <c r="C172" s="31">
        <v>19517</v>
      </c>
      <c r="D172" s="33">
        <f t="shared" si="8"/>
        <v>4.5655049592605579E-3</v>
      </c>
      <c r="E172" s="31"/>
      <c r="F172" s="32">
        <v>45137</v>
      </c>
      <c r="G172" s="31">
        <v>4616.25</v>
      </c>
      <c r="H172" s="33">
        <f t="shared" si="9"/>
        <v>-3.4368430410726791E-2</v>
      </c>
    </row>
    <row r="173" spans="2:8" x14ac:dyDescent="0.3">
      <c r="B173" s="32">
        <v>45130</v>
      </c>
      <c r="C173" s="31">
        <v>19646.05</v>
      </c>
      <c r="D173" s="33">
        <f t="shared" si="8"/>
        <v>6.6121842496285055E-3</v>
      </c>
      <c r="E173" s="31"/>
      <c r="F173" s="32">
        <v>45130</v>
      </c>
      <c r="G173" s="31">
        <v>4063.6</v>
      </c>
      <c r="H173" s="33">
        <f t="shared" si="9"/>
        <v>-0.11971838613593289</v>
      </c>
    </row>
    <row r="174" spans="2:8" x14ac:dyDescent="0.3">
      <c r="B174" s="32">
        <v>45123</v>
      </c>
      <c r="C174" s="31">
        <v>19745</v>
      </c>
      <c r="D174" s="33">
        <f t="shared" si="8"/>
        <v>5.0366358631888097E-3</v>
      </c>
      <c r="E174" s="31"/>
      <c r="F174" s="32">
        <v>45123</v>
      </c>
      <c r="G174" s="31">
        <v>4176.3999999999996</v>
      </c>
      <c r="H174" s="33">
        <f t="shared" si="9"/>
        <v>2.7758637661187135E-2</v>
      </c>
    </row>
    <row r="175" spans="2:8" x14ac:dyDescent="0.3">
      <c r="B175" s="32">
        <v>45116</v>
      </c>
      <c r="C175" s="31">
        <v>19564.5</v>
      </c>
      <c r="D175" s="33">
        <f t="shared" si="8"/>
        <v>-9.1415548240060263E-3</v>
      </c>
      <c r="E175" s="31"/>
      <c r="F175" s="32">
        <v>45116</v>
      </c>
      <c r="G175" s="31">
        <v>4319.75</v>
      </c>
      <c r="H175" s="33">
        <f t="shared" si="9"/>
        <v>3.4323819557513735E-2</v>
      </c>
    </row>
    <row r="176" spans="2:8" x14ac:dyDescent="0.3">
      <c r="B176" s="32">
        <v>45109</v>
      </c>
      <c r="C176" s="31">
        <v>19331.8</v>
      </c>
      <c r="D176" s="33">
        <f t="shared" si="8"/>
        <v>-1.1893991668583404E-2</v>
      </c>
      <c r="E176" s="31"/>
      <c r="F176" s="32">
        <v>45109</v>
      </c>
      <c r="G176" s="31">
        <v>4244</v>
      </c>
      <c r="H176" s="33">
        <f t="shared" si="9"/>
        <v>-1.7535737021818432E-2</v>
      </c>
    </row>
    <row r="177" spans="2:8" x14ac:dyDescent="0.3">
      <c r="B177" s="32">
        <v>45102</v>
      </c>
      <c r="C177" s="31">
        <v>19189.05</v>
      </c>
      <c r="D177" s="33">
        <f t="shared" si="8"/>
        <v>-7.3842063336058139E-3</v>
      </c>
      <c r="E177" s="31"/>
      <c r="F177" s="32">
        <v>45102</v>
      </c>
      <c r="G177" s="31">
        <v>4388.6000000000004</v>
      </c>
      <c r="H177" s="33">
        <f t="shared" si="9"/>
        <v>3.4071630537229058E-2</v>
      </c>
    </row>
    <row r="178" spans="2:8" x14ac:dyDescent="0.3">
      <c r="B178" s="32">
        <v>45095</v>
      </c>
      <c r="C178" s="31">
        <v>18665.5</v>
      </c>
      <c r="D178" s="33">
        <f t="shared" si="8"/>
        <v>-2.7283789452838936E-2</v>
      </c>
      <c r="E178" s="31"/>
      <c r="F178" s="32">
        <v>45095</v>
      </c>
      <c r="G178" s="31">
        <v>4326.2</v>
      </c>
      <c r="H178" s="33">
        <f t="shared" si="9"/>
        <v>-1.4218657430615789E-2</v>
      </c>
    </row>
    <row r="179" spans="2:8" x14ac:dyDescent="0.3">
      <c r="B179" s="32">
        <v>45088</v>
      </c>
      <c r="C179" s="31">
        <v>18826</v>
      </c>
      <c r="D179" s="33">
        <f t="shared" si="8"/>
        <v>8.598751707695973E-3</v>
      </c>
      <c r="E179" s="31"/>
      <c r="F179" s="32">
        <v>45088</v>
      </c>
      <c r="G179" s="31">
        <v>4546.6000000000004</v>
      </c>
      <c r="H179" s="33">
        <f t="shared" si="9"/>
        <v>5.0945402431695319E-2</v>
      </c>
    </row>
    <row r="180" spans="2:8" x14ac:dyDescent="0.3">
      <c r="B180" s="32">
        <v>45081</v>
      </c>
      <c r="C180" s="31">
        <v>18563.400000000001</v>
      </c>
      <c r="D180" s="33">
        <f t="shared" si="8"/>
        <v>-1.3948794220758454E-2</v>
      </c>
      <c r="E180" s="31"/>
      <c r="F180" s="32">
        <v>45081</v>
      </c>
      <c r="G180" s="31">
        <v>4074.4</v>
      </c>
      <c r="H180" s="33">
        <f t="shared" si="9"/>
        <v>-0.10385782782738751</v>
      </c>
    </row>
    <row r="181" spans="2:8" x14ac:dyDescent="0.3">
      <c r="B181" s="32">
        <v>45074</v>
      </c>
      <c r="C181" s="31">
        <v>18534.099999999999</v>
      </c>
      <c r="D181" s="33">
        <f t="shared" si="8"/>
        <v>-1.5783746511954799E-3</v>
      </c>
      <c r="E181" s="31"/>
      <c r="F181" s="32">
        <v>45074</v>
      </c>
      <c r="G181" s="31">
        <v>3966.15</v>
      </c>
      <c r="H181" s="33">
        <f t="shared" si="9"/>
        <v>-2.6568329079128206E-2</v>
      </c>
    </row>
    <row r="182" spans="2:8" x14ac:dyDescent="0.3">
      <c r="B182" s="32">
        <v>45067</v>
      </c>
      <c r="C182" s="31">
        <v>18499.349999999999</v>
      </c>
      <c r="D182" s="33">
        <f t="shared" si="8"/>
        <v>-1.874922440258775E-3</v>
      </c>
      <c r="E182" s="31"/>
      <c r="F182" s="32">
        <v>45067</v>
      </c>
      <c r="G182" s="31">
        <v>3661.2</v>
      </c>
      <c r="H182" s="33">
        <f t="shared" si="9"/>
        <v>-7.6888166105669287E-2</v>
      </c>
    </row>
    <row r="183" spans="2:8" x14ac:dyDescent="0.3">
      <c r="B183" s="32">
        <v>45060</v>
      </c>
      <c r="C183" s="31">
        <v>18203.400000000001</v>
      </c>
      <c r="D183" s="33">
        <f t="shared" si="8"/>
        <v>-1.599785938424847E-2</v>
      </c>
      <c r="E183" s="31"/>
      <c r="F183" s="32">
        <v>45060</v>
      </c>
      <c r="G183" s="31">
        <v>3035.35</v>
      </c>
      <c r="H183" s="33">
        <f t="shared" si="9"/>
        <v>-0.17094122145744561</v>
      </c>
    </row>
    <row r="184" spans="2:8" x14ac:dyDescent="0.3">
      <c r="B184" s="32">
        <v>45053</v>
      </c>
      <c r="C184" s="31">
        <v>18314.8</v>
      </c>
      <c r="D184" s="33">
        <f t="shared" si="8"/>
        <v>6.1197358735181062E-3</v>
      </c>
      <c r="E184" s="31"/>
      <c r="F184" s="32">
        <v>45053</v>
      </c>
      <c r="G184" s="31">
        <v>2867.55</v>
      </c>
      <c r="H184" s="33">
        <f t="shared" si="9"/>
        <v>-5.5281927949000886E-2</v>
      </c>
    </row>
    <row r="185" spans="2:8" x14ac:dyDescent="0.3">
      <c r="B185" s="32">
        <v>45046</v>
      </c>
      <c r="C185" s="31">
        <v>18069</v>
      </c>
      <c r="D185" s="33">
        <f t="shared" si="8"/>
        <v>-1.3420839976412524E-2</v>
      </c>
      <c r="E185" s="31"/>
      <c r="F185" s="32">
        <v>45046</v>
      </c>
      <c r="G185" s="31">
        <v>2890.55</v>
      </c>
      <c r="H185" s="33">
        <f t="shared" si="9"/>
        <v>8.0207842932120688E-3</v>
      </c>
    </row>
    <row r="186" spans="2:8" x14ac:dyDescent="0.3">
      <c r="B186" s="32">
        <v>45039</v>
      </c>
      <c r="C186" s="31">
        <v>18065</v>
      </c>
      <c r="D186" s="33">
        <f t="shared" si="8"/>
        <v>-2.2137362333274346E-4</v>
      </c>
      <c r="E186" s="31"/>
      <c r="F186" s="32">
        <v>45039</v>
      </c>
      <c r="G186" s="31">
        <v>2915.3</v>
      </c>
      <c r="H186" s="33">
        <f t="shared" si="9"/>
        <v>8.5623843213229467E-3</v>
      </c>
    </row>
    <row r="187" spans="2:8" x14ac:dyDescent="0.3">
      <c r="B187" s="32">
        <v>45032</v>
      </c>
      <c r="C187" s="31">
        <v>17624.05</v>
      </c>
      <c r="D187" s="33">
        <f t="shared" si="8"/>
        <v>-2.4409078328259115E-2</v>
      </c>
      <c r="E187" s="31"/>
      <c r="F187" s="32">
        <v>45032</v>
      </c>
      <c r="G187" s="31">
        <v>2930.4</v>
      </c>
      <c r="H187" s="33">
        <f t="shared" si="9"/>
        <v>5.1795698555894276E-3</v>
      </c>
    </row>
    <row r="188" spans="2:8" x14ac:dyDescent="0.3">
      <c r="B188" s="32">
        <v>45025</v>
      </c>
      <c r="C188" s="31">
        <v>17828</v>
      </c>
      <c r="D188" s="33">
        <f t="shared" si="8"/>
        <v>1.15722549584234E-2</v>
      </c>
      <c r="E188" s="31"/>
      <c r="F188" s="32">
        <v>45025</v>
      </c>
      <c r="G188" s="31">
        <v>2982.55</v>
      </c>
      <c r="H188" s="33">
        <f t="shared" si="9"/>
        <v>1.7796205296205292E-2</v>
      </c>
    </row>
    <row r="189" spans="2:8" x14ac:dyDescent="0.3">
      <c r="B189" s="32">
        <v>45018</v>
      </c>
      <c r="C189" s="31">
        <v>17599.150000000001</v>
      </c>
      <c r="D189" s="33">
        <f t="shared" si="8"/>
        <v>-1.2836549248373297E-2</v>
      </c>
      <c r="E189" s="31"/>
      <c r="F189" s="32">
        <v>45018</v>
      </c>
      <c r="G189" s="31">
        <v>2887.45</v>
      </c>
      <c r="H189" s="33">
        <f t="shared" si="9"/>
        <v>-3.188546713382856E-2</v>
      </c>
    </row>
    <row r="190" spans="2:8" x14ac:dyDescent="0.3">
      <c r="B190" s="32">
        <v>45011</v>
      </c>
      <c r="C190" s="31">
        <v>17359.75</v>
      </c>
      <c r="D190" s="33">
        <f t="shared" si="8"/>
        <v>-1.3602929686945209E-2</v>
      </c>
      <c r="E190" s="31"/>
      <c r="F190" s="32">
        <v>45011</v>
      </c>
      <c r="G190" s="31">
        <v>2861.3</v>
      </c>
      <c r="H190" s="33">
        <f t="shared" si="9"/>
        <v>-9.0564338776427666E-3</v>
      </c>
    </row>
    <row r="191" spans="2:8" x14ac:dyDescent="0.3">
      <c r="B191" s="32">
        <v>45004</v>
      </c>
      <c r="C191" s="31">
        <v>16945.05</v>
      </c>
      <c r="D191" s="33">
        <f t="shared" si="8"/>
        <v>-2.388859286568068E-2</v>
      </c>
      <c r="E191" s="31"/>
      <c r="F191" s="32">
        <v>45004</v>
      </c>
      <c r="G191" s="31">
        <v>2881.4</v>
      </c>
      <c r="H191" s="33">
        <f t="shared" si="9"/>
        <v>7.0247789466326704E-3</v>
      </c>
    </row>
    <row r="192" spans="2:8" x14ac:dyDescent="0.3">
      <c r="B192" s="32">
        <v>44997</v>
      </c>
      <c r="C192" s="31">
        <v>17100.05</v>
      </c>
      <c r="D192" s="33">
        <f t="shared" si="8"/>
        <v>9.1472140831687643E-3</v>
      </c>
      <c r="E192" s="31"/>
      <c r="F192" s="32">
        <v>44997</v>
      </c>
      <c r="G192" s="31">
        <v>2886.8</v>
      </c>
      <c r="H192" s="33">
        <f t="shared" si="9"/>
        <v>1.8740889845214603E-3</v>
      </c>
    </row>
    <row r="193" spans="2:8" x14ac:dyDescent="0.3">
      <c r="B193" s="32">
        <v>44990</v>
      </c>
      <c r="C193" s="31">
        <v>17412.900000000001</v>
      </c>
      <c r="D193" s="33">
        <f t="shared" si="8"/>
        <v>1.829526814249105E-2</v>
      </c>
      <c r="E193" s="31"/>
      <c r="F193" s="32">
        <v>44990</v>
      </c>
      <c r="G193" s="31">
        <v>2886.9</v>
      </c>
      <c r="H193" s="33">
        <f t="shared" si="9"/>
        <v>3.464043231260483E-5</v>
      </c>
    </row>
    <row r="194" spans="2:8" x14ac:dyDescent="0.3">
      <c r="B194" s="32">
        <v>44983</v>
      </c>
      <c r="C194" s="31">
        <v>17594.349999999999</v>
      </c>
      <c r="D194" s="33">
        <f t="shared" si="8"/>
        <v>1.0420435424311592E-2</v>
      </c>
      <c r="E194" s="31"/>
      <c r="F194" s="32">
        <v>44983</v>
      </c>
      <c r="G194" s="31">
        <v>2977.85</v>
      </c>
      <c r="H194" s="33">
        <f t="shared" si="9"/>
        <v>3.1504381862897946E-2</v>
      </c>
    </row>
    <row r="195" spans="2:8" x14ac:dyDescent="0.3">
      <c r="B195" s="32">
        <v>44976</v>
      </c>
      <c r="C195" s="31">
        <v>17465.8</v>
      </c>
      <c r="D195" s="33">
        <f t="shared" si="8"/>
        <v>-7.3063227683887177E-3</v>
      </c>
      <c r="E195" s="31"/>
      <c r="F195" s="32">
        <v>44976</v>
      </c>
      <c r="G195" s="31">
        <v>2796.95</v>
      </c>
      <c r="H195" s="33">
        <f t="shared" si="9"/>
        <v>-6.0748526621555832E-2</v>
      </c>
    </row>
    <row r="196" spans="2:8" x14ac:dyDescent="0.3">
      <c r="B196" s="32">
        <v>44969</v>
      </c>
      <c r="C196" s="31">
        <v>17944.2</v>
      </c>
      <c r="D196" s="33">
        <f t="shared" si="8"/>
        <v>2.7390672056247123E-2</v>
      </c>
      <c r="E196" s="31"/>
      <c r="F196" s="32">
        <v>44969</v>
      </c>
      <c r="G196" s="31">
        <v>2736.3</v>
      </c>
      <c r="H196" s="33">
        <f t="shared" si="9"/>
        <v>-2.1684334721750353E-2</v>
      </c>
    </row>
    <row r="197" spans="2:8" x14ac:dyDescent="0.3">
      <c r="B197" s="32">
        <v>44962</v>
      </c>
      <c r="C197" s="31">
        <v>17856.5</v>
      </c>
      <c r="D197" s="33">
        <f t="shared" si="8"/>
        <v>-4.8873730787664105E-3</v>
      </c>
      <c r="E197" s="31"/>
      <c r="F197" s="32">
        <v>44962</v>
      </c>
      <c r="G197" s="31">
        <v>2704.55</v>
      </c>
      <c r="H197" s="33">
        <f t="shared" si="9"/>
        <v>-1.160325987647548E-2</v>
      </c>
    </row>
    <row r="198" spans="2:8" x14ac:dyDescent="0.3">
      <c r="B198" s="32">
        <v>44955</v>
      </c>
      <c r="C198" s="31">
        <v>17854.05</v>
      </c>
      <c r="D198" s="33">
        <f t="shared" si="8"/>
        <v>-1.3720493937785516E-4</v>
      </c>
      <c r="E198" s="31"/>
      <c r="F198" s="32">
        <v>44955</v>
      </c>
      <c r="G198" s="31">
        <v>2755.45</v>
      </c>
      <c r="H198" s="33">
        <f t="shared" si="9"/>
        <v>1.8820136436745294E-2</v>
      </c>
    </row>
    <row r="199" spans="2:8" x14ac:dyDescent="0.3">
      <c r="B199" s="32">
        <v>44948</v>
      </c>
      <c r="C199" s="31">
        <v>17604.349999999999</v>
      </c>
      <c r="D199" s="33">
        <f t="shared" si="8"/>
        <v>-1.3985622309784063E-2</v>
      </c>
      <c r="E199" s="31"/>
      <c r="F199" s="32">
        <v>44948</v>
      </c>
      <c r="G199" s="31">
        <v>2721.8</v>
      </c>
      <c r="H199" s="33">
        <f t="shared" si="9"/>
        <v>-1.2212161352954887E-2</v>
      </c>
    </row>
    <row r="200" spans="2:8" x14ac:dyDescent="0.3">
      <c r="B200" s="32">
        <v>44941</v>
      </c>
      <c r="C200" s="31">
        <v>18027.650000000001</v>
      </c>
      <c r="D200" s="33">
        <f t="shared" si="8"/>
        <v>2.4045193375501039E-2</v>
      </c>
      <c r="E200" s="31"/>
      <c r="F200" s="32">
        <v>44941</v>
      </c>
      <c r="G200" s="31">
        <v>3516</v>
      </c>
      <c r="H200" s="33">
        <f t="shared" si="9"/>
        <v>0.2917921963406569</v>
      </c>
    </row>
    <row r="201" spans="2:8" x14ac:dyDescent="0.3">
      <c r="B201" s="32">
        <v>44934</v>
      </c>
      <c r="C201" s="31">
        <v>17956.599999999999</v>
      </c>
      <c r="D201" s="33">
        <f t="shared" si="8"/>
        <v>-3.9411681500363116E-3</v>
      </c>
      <c r="E201" s="31"/>
      <c r="F201" s="32">
        <v>44934</v>
      </c>
      <c r="G201" s="31">
        <v>3626.55</v>
      </c>
      <c r="H201" s="33">
        <f t="shared" si="9"/>
        <v>3.1441979522184305E-2</v>
      </c>
    </row>
    <row r="202" spans="2:8" x14ac:dyDescent="0.3">
      <c r="B202" s="32">
        <v>44927</v>
      </c>
      <c r="C202" s="31">
        <v>17859.45</v>
      </c>
      <c r="D202" s="33">
        <f t="shared" si="8"/>
        <v>-5.4102669770444978E-3</v>
      </c>
      <c r="E202" s="31"/>
      <c r="F202" s="32">
        <v>44927</v>
      </c>
      <c r="G202" s="31">
        <v>3817.45</v>
      </c>
      <c r="H202" s="33">
        <f t="shared" si="9"/>
        <v>5.2639561015289882E-2</v>
      </c>
    </row>
    <row r="203" spans="2:8" x14ac:dyDescent="0.3">
      <c r="B203" s="32">
        <v>44920</v>
      </c>
      <c r="C203" s="31">
        <v>18105.3</v>
      </c>
      <c r="D203" s="33">
        <f t="shared" si="8"/>
        <v>1.3765821455867799E-2</v>
      </c>
      <c r="E203" s="31"/>
      <c r="F203" s="32">
        <v>44920</v>
      </c>
      <c r="G203" s="31">
        <v>3904.6</v>
      </c>
      <c r="H203" s="33">
        <f t="shared" si="9"/>
        <v>2.2829375630329274E-2</v>
      </c>
    </row>
    <row r="204" spans="2:8" x14ac:dyDescent="0.3">
      <c r="B204" s="32">
        <v>44913</v>
      </c>
      <c r="C204" s="31">
        <v>17806.8</v>
      </c>
      <c r="D204" s="33">
        <f t="shared" si="8"/>
        <v>-1.6486885055757128E-2</v>
      </c>
      <c r="E204" s="31"/>
      <c r="F204" s="32">
        <v>44913</v>
      </c>
      <c r="G204" s="31">
        <v>3718.05</v>
      </c>
      <c r="H204" s="33">
        <f t="shared" si="9"/>
        <v>-4.7776980996772966E-2</v>
      </c>
    </row>
    <row r="205" spans="2:8" x14ac:dyDescent="0.3">
      <c r="B205" s="32">
        <v>44906</v>
      </c>
      <c r="C205" s="31">
        <v>18269</v>
      </c>
      <c r="D205" s="33">
        <f t="shared" si="8"/>
        <v>2.5956376215827692E-2</v>
      </c>
      <c r="E205" s="31"/>
      <c r="F205" s="32">
        <v>44906</v>
      </c>
      <c r="G205" s="31">
        <v>4026.95</v>
      </c>
      <c r="H205" s="33">
        <f t="shared" si="9"/>
        <v>8.3081185029787008E-2</v>
      </c>
    </row>
    <row r="206" spans="2:8" x14ac:dyDescent="0.3">
      <c r="B206" s="32">
        <v>44899</v>
      </c>
      <c r="C206" s="31">
        <v>18496.599999999999</v>
      </c>
      <c r="D206" s="33">
        <f t="shared" si="8"/>
        <v>1.2458262630685724E-2</v>
      </c>
      <c r="E206" s="31"/>
      <c r="F206" s="32">
        <v>44899</v>
      </c>
      <c r="G206" s="31">
        <v>4103.8999999999996</v>
      </c>
      <c r="H206" s="33">
        <f t="shared" si="9"/>
        <v>1.9108754764772362E-2</v>
      </c>
    </row>
    <row r="207" spans="2:8" x14ac:dyDescent="0.3">
      <c r="B207" s="32">
        <v>44892</v>
      </c>
      <c r="C207" s="31">
        <v>18696.099999999999</v>
      </c>
      <c r="D207" s="33">
        <f t="shared" si="8"/>
        <v>1.0785766032676225E-2</v>
      </c>
      <c r="E207" s="31"/>
      <c r="F207" s="32">
        <v>44892</v>
      </c>
      <c r="G207" s="31">
        <v>4375.1499999999996</v>
      </c>
      <c r="H207" s="33">
        <f t="shared" si="9"/>
        <v>6.609566509905207E-2</v>
      </c>
    </row>
    <row r="208" spans="2:8" x14ac:dyDescent="0.3">
      <c r="B208" s="32">
        <v>44885</v>
      </c>
      <c r="C208" s="31">
        <v>18512.75</v>
      </c>
      <c r="D208" s="33">
        <f t="shared" si="8"/>
        <v>-9.8068581147938705E-3</v>
      </c>
      <c r="E208" s="31"/>
      <c r="F208" s="32">
        <v>44885</v>
      </c>
      <c r="G208" s="31">
        <v>4368.3</v>
      </c>
      <c r="H208" s="33">
        <f t="shared" si="9"/>
        <v>-1.5656606059220035E-3</v>
      </c>
    </row>
    <row r="209" spans="2:8" x14ac:dyDescent="0.3">
      <c r="B209" s="32">
        <v>44878</v>
      </c>
      <c r="C209" s="31">
        <v>18307.650000000001</v>
      </c>
      <c r="D209" s="33">
        <f t="shared" si="8"/>
        <v>-1.1078851062105821E-2</v>
      </c>
      <c r="E209" s="31"/>
      <c r="F209" s="32">
        <v>44878</v>
      </c>
      <c r="G209" s="31">
        <v>4345.8999999999996</v>
      </c>
      <c r="H209" s="33">
        <f t="shared" si="9"/>
        <v>-5.1278529405033302E-3</v>
      </c>
    </row>
    <row r="210" spans="2:8" x14ac:dyDescent="0.3">
      <c r="B210" s="32">
        <v>44871</v>
      </c>
      <c r="C210" s="31">
        <v>18349.7</v>
      </c>
      <c r="D210" s="33">
        <f t="shared" si="8"/>
        <v>2.296854047351804E-3</v>
      </c>
      <c r="E210" s="31"/>
      <c r="F210" s="32">
        <v>44871</v>
      </c>
      <c r="G210" s="31">
        <v>4537.5</v>
      </c>
      <c r="H210" s="33">
        <f t="shared" si="9"/>
        <v>4.4087530776133921E-2</v>
      </c>
    </row>
    <row r="211" spans="2:8" x14ac:dyDescent="0.3">
      <c r="B211" s="32">
        <v>44864</v>
      </c>
      <c r="C211" s="31">
        <v>18117.150000000001</v>
      </c>
      <c r="D211" s="33">
        <f t="shared" si="8"/>
        <v>-1.2673231714959932E-2</v>
      </c>
      <c r="E211" s="31"/>
      <c r="F211" s="32">
        <v>44864</v>
      </c>
      <c r="G211" s="31">
        <v>4514.45</v>
      </c>
      <c r="H211" s="33">
        <f t="shared" si="9"/>
        <v>-5.0798898071625631E-3</v>
      </c>
    </row>
    <row r="212" spans="2:8" x14ac:dyDescent="0.3">
      <c r="B212" s="32">
        <v>44857</v>
      </c>
      <c r="C212" s="31">
        <v>17786.8</v>
      </c>
      <c r="D212" s="33">
        <f t="shared" si="8"/>
        <v>-1.8234104149935426E-2</v>
      </c>
      <c r="E212" s="31"/>
      <c r="F212" s="32">
        <v>44857</v>
      </c>
      <c r="G212" s="31">
        <v>4389.1499999999996</v>
      </c>
      <c r="H212" s="33">
        <f t="shared" si="9"/>
        <v>-2.7755319031111281E-2</v>
      </c>
    </row>
    <row r="213" spans="2:8" x14ac:dyDescent="0.3">
      <c r="B213" s="32">
        <v>44850</v>
      </c>
      <c r="C213" s="31">
        <v>17576.3</v>
      </c>
      <c r="D213" s="33">
        <f t="shared" si="8"/>
        <v>-1.1834618930892549E-2</v>
      </c>
      <c r="E213" s="31"/>
      <c r="F213" s="32">
        <v>44850</v>
      </c>
      <c r="G213" s="31">
        <v>4275</v>
      </c>
      <c r="H213" s="33">
        <f t="shared" si="9"/>
        <v>-2.600731348894425E-2</v>
      </c>
    </row>
    <row r="214" spans="2:8" x14ac:dyDescent="0.3">
      <c r="B214" s="32">
        <v>44843</v>
      </c>
      <c r="C214" s="31">
        <v>17185.7</v>
      </c>
      <c r="D214" s="33">
        <f t="shared" si="8"/>
        <v>-2.2223107252379526E-2</v>
      </c>
      <c r="E214" s="31"/>
      <c r="F214" s="32">
        <v>44843</v>
      </c>
      <c r="G214" s="31">
        <v>4249.05</v>
      </c>
      <c r="H214" s="33">
        <f t="shared" si="9"/>
        <v>-6.0701754385964479E-3</v>
      </c>
    </row>
    <row r="215" spans="2:8" x14ac:dyDescent="0.3">
      <c r="B215" s="32">
        <v>44836</v>
      </c>
      <c r="C215" s="31">
        <v>17314.650000000001</v>
      </c>
      <c r="D215" s="33">
        <f t="shared" si="8"/>
        <v>7.5033312579644296E-3</v>
      </c>
      <c r="E215" s="31"/>
      <c r="F215" s="32">
        <v>44836</v>
      </c>
      <c r="G215" s="31">
        <v>4314.55</v>
      </c>
      <c r="H215" s="33">
        <f t="shared" si="9"/>
        <v>1.5415210458808337E-2</v>
      </c>
    </row>
    <row r="216" spans="2:8" x14ac:dyDescent="0.3">
      <c r="B216" s="32">
        <v>44829</v>
      </c>
      <c r="C216" s="31">
        <v>17094.349999999999</v>
      </c>
      <c r="D216" s="33">
        <f t="shared" si="8"/>
        <v>-1.2723329665918937E-2</v>
      </c>
      <c r="E216" s="31"/>
      <c r="F216" s="32">
        <v>44829</v>
      </c>
      <c r="G216" s="31">
        <v>4371.6000000000004</v>
      </c>
      <c r="H216" s="33">
        <f t="shared" si="9"/>
        <v>1.3222699933944426E-2</v>
      </c>
    </row>
    <row r="217" spans="2:8" x14ac:dyDescent="0.3">
      <c r="B217" s="32">
        <v>44822</v>
      </c>
      <c r="C217" s="31">
        <v>17327.349999999999</v>
      </c>
      <c r="D217" s="33">
        <f t="shared" si="8"/>
        <v>1.3630234551182063E-2</v>
      </c>
      <c r="E217" s="31"/>
      <c r="F217" s="32">
        <v>44822</v>
      </c>
      <c r="G217" s="31">
        <v>4314.3500000000004</v>
      </c>
      <c r="H217" s="33">
        <f t="shared" si="9"/>
        <v>-1.3095891664379189E-2</v>
      </c>
    </row>
    <row r="218" spans="2:8" x14ac:dyDescent="0.3">
      <c r="B218" s="32">
        <v>44815</v>
      </c>
      <c r="C218" s="31">
        <v>17530.849999999999</v>
      </c>
      <c r="D218" s="33">
        <f t="shared" si="8"/>
        <v>1.1744438705283855E-2</v>
      </c>
      <c r="E218" s="31"/>
      <c r="F218" s="32">
        <v>44815</v>
      </c>
      <c r="G218" s="31">
        <v>4446.7</v>
      </c>
      <c r="H218" s="33">
        <f t="shared" si="9"/>
        <v>3.0676695214806315E-2</v>
      </c>
    </row>
    <row r="219" spans="2:8" x14ac:dyDescent="0.3">
      <c r="B219" s="32">
        <v>44808</v>
      </c>
      <c r="C219" s="31">
        <v>17833.349999999999</v>
      </c>
      <c r="D219" s="33">
        <f t="shared" si="8"/>
        <v>1.7255295664500014E-2</v>
      </c>
      <c r="E219" s="31"/>
      <c r="F219" s="32">
        <v>44808</v>
      </c>
      <c r="G219" s="31">
        <v>4540.05</v>
      </c>
      <c r="H219" s="33">
        <f t="shared" si="9"/>
        <v>2.0993096003778078E-2</v>
      </c>
    </row>
    <row r="220" spans="2:8" x14ac:dyDescent="0.3">
      <c r="B220" s="32">
        <v>44801</v>
      </c>
      <c r="C220" s="31">
        <v>17539.45</v>
      </c>
      <c r="D220" s="33">
        <f t="shared" si="8"/>
        <v>-1.6480358429571407E-2</v>
      </c>
      <c r="E220" s="31"/>
      <c r="F220" s="32">
        <v>44801</v>
      </c>
      <c r="G220" s="31">
        <v>4109.3</v>
      </c>
      <c r="H220" s="33">
        <f t="shared" si="9"/>
        <v>-9.4877809715751993E-2</v>
      </c>
    </row>
    <row r="221" spans="2:8" x14ac:dyDescent="0.3">
      <c r="B221" s="32">
        <v>44794</v>
      </c>
      <c r="C221" s="31">
        <v>17558.900000000001</v>
      </c>
      <c r="D221" s="33">
        <f t="shared" si="8"/>
        <v>1.1089287292360694E-3</v>
      </c>
      <c r="E221" s="31"/>
      <c r="F221" s="32">
        <v>44794</v>
      </c>
      <c r="G221" s="31">
        <v>4073.4</v>
      </c>
      <c r="H221" s="33">
        <f t="shared" si="9"/>
        <v>-8.7362811184387157E-3</v>
      </c>
    </row>
    <row r="222" spans="2:8" x14ac:dyDescent="0.3">
      <c r="B222" s="32">
        <v>44787</v>
      </c>
      <c r="C222" s="31">
        <v>17758.45</v>
      </c>
      <c r="D222" s="33">
        <f t="shared" si="8"/>
        <v>1.1364607122313908E-2</v>
      </c>
      <c r="E222" s="31"/>
      <c r="F222" s="32">
        <v>44787</v>
      </c>
      <c r="G222" s="31">
        <v>3989.95</v>
      </c>
      <c r="H222" s="33">
        <f t="shared" si="9"/>
        <v>-2.0486571414543242E-2</v>
      </c>
    </row>
    <row r="223" spans="2:8" x14ac:dyDescent="0.3">
      <c r="B223" s="32">
        <v>44780</v>
      </c>
      <c r="C223" s="31">
        <v>17698.150000000001</v>
      </c>
      <c r="D223" s="33">
        <f t="shared" si="8"/>
        <v>-3.3955666175820021E-3</v>
      </c>
      <c r="E223" s="31"/>
      <c r="F223" s="32">
        <v>44780</v>
      </c>
      <c r="G223" s="31">
        <v>3832.3</v>
      </c>
      <c r="H223" s="33">
        <f t="shared" si="9"/>
        <v>-3.9511773330492828E-2</v>
      </c>
    </row>
    <row r="224" spans="2:8" x14ac:dyDescent="0.3">
      <c r="B224" s="32">
        <v>44773</v>
      </c>
      <c r="C224" s="31">
        <v>17397.5</v>
      </c>
      <c r="D224" s="33">
        <f t="shared" si="8"/>
        <v>-1.6987651251684555E-2</v>
      </c>
      <c r="E224" s="31"/>
      <c r="F224" s="32">
        <v>44773</v>
      </c>
      <c r="G224" s="31">
        <v>3827.3</v>
      </c>
      <c r="H224" s="33">
        <f t="shared" si="9"/>
        <v>-1.3046995276987383E-3</v>
      </c>
    </row>
    <row r="225" spans="2:8" x14ac:dyDescent="0.3">
      <c r="B225" s="32">
        <v>44766</v>
      </c>
      <c r="C225" s="31">
        <v>17158.25</v>
      </c>
      <c r="D225" s="33">
        <f t="shared" si="8"/>
        <v>-1.3751975858600329E-2</v>
      </c>
      <c r="E225" s="31"/>
      <c r="F225" s="32">
        <v>44766</v>
      </c>
      <c r="G225" s="31">
        <v>3699.9</v>
      </c>
      <c r="H225" s="33">
        <f t="shared" si="9"/>
        <v>-3.328717372560297E-2</v>
      </c>
    </row>
    <row r="226" spans="2:8" x14ac:dyDescent="0.3">
      <c r="B226" s="32">
        <v>44759</v>
      </c>
      <c r="C226" s="31">
        <v>16719.45</v>
      </c>
      <c r="D226" s="33">
        <f t="shared" si="8"/>
        <v>-2.5573703611965093E-2</v>
      </c>
      <c r="E226" s="31"/>
      <c r="F226" s="32">
        <v>44759</v>
      </c>
      <c r="G226" s="31">
        <v>3856.65</v>
      </c>
      <c r="H226" s="33">
        <f t="shared" si="9"/>
        <v>4.2366009892159218E-2</v>
      </c>
    </row>
    <row r="227" spans="2:8" x14ac:dyDescent="0.3">
      <c r="B227" s="32">
        <v>44752</v>
      </c>
      <c r="C227" s="31">
        <v>16049.2</v>
      </c>
      <c r="D227" s="33">
        <f t="shared" si="8"/>
        <v>-4.0088041173603206E-2</v>
      </c>
      <c r="E227" s="31"/>
      <c r="F227" s="32">
        <v>44752</v>
      </c>
      <c r="G227" s="31">
        <v>3743.1</v>
      </c>
      <c r="H227" s="33">
        <f t="shared" si="9"/>
        <v>-2.9442651005406328E-2</v>
      </c>
    </row>
    <row r="228" spans="2:8" x14ac:dyDescent="0.3">
      <c r="B228" s="32">
        <v>44745</v>
      </c>
      <c r="C228" s="31">
        <v>16220.6</v>
      </c>
      <c r="D228" s="33">
        <f t="shared" si="8"/>
        <v>1.0679660045360473E-2</v>
      </c>
      <c r="E228" s="31"/>
      <c r="F228" s="32">
        <v>44745</v>
      </c>
      <c r="G228" s="31">
        <v>3657.9</v>
      </c>
      <c r="H228" s="33">
        <f t="shared" si="9"/>
        <v>-2.2761881862627176E-2</v>
      </c>
    </row>
    <row r="229" spans="2:8" x14ac:dyDescent="0.3">
      <c r="B229" s="32">
        <v>44738</v>
      </c>
      <c r="C229" s="31">
        <v>15752.05</v>
      </c>
      <c r="D229" s="33">
        <f t="shared" ref="D229:D292" si="10">C229/C228-1</f>
        <v>-2.8886107788861137E-2</v>
      </c>
      <c r="E229" s="31"/>
      <c r="F229" s="32">
        <v>44738</v>
      </c>
      <c r="G229" s="31">
        <v>3595.7</v>
      </c>
      <c r="H229" s="33">
        <f t="shared" ref="H229:H292" si="11">G229/G228-1</f>
        <v>-1.7004292080155303E-2</v>
      </c>
    </row>
    <row r="230" spans="2:8" x14ac:dyDescent="0.3">
      <c r="B230" s="32">
        <v>44731</v>
      </c>
      <c r="C230" s="31">
        <v>15699.25</v>
      </c>
      <c r="D230" s="33">
        <f t="shared" si="10"/>
        <v>-3.3519446675194242E-3</v>
      </c>
      <c r="E230" s="31"/>
      <c r="F230" s="32">
        <v>44731</v>
      </c>
      <c r="G230" s="31">
        <v>3527.35</v>
      </c>
      <c r="H230" s="33">
        <f t="shared" si="11"/>
        <v>-1.9008816085880342E-2</v>
      </c>
    </row>
    <row r="231" spans="2:8" x14ac:dyDescent="0.3">
      <c r="B231" s="32">
        <v>44724</v>
      </c>
      <c r="C231" s="31">
        <v>15293.5</v>
      </c>
      <c r="D231" s="33">
        <f t="shared" si="10"/>
        <v>-2.5845183687118856E-2</v>
      </c>
      <c r="E231" s="31"/>
      <c r="F231" s="32">
        <v>44724</v>
      </c>
      <c r="G231" s="31">
        <v>3360.3</v>
      </c>
      <c r="H231" s="33">
        <f t="shared" si="11"/>
        <v>-4.7358498589592624E-2</v>
      </c>
    </row>
    <row r="232" spans="2:8" x14ac:dyDescent="0.3">
      <c r="B232" s="32">
        <v>44717</v>
      </c>
      <c r="C232" s="31">
        <v>16201.8</v>
      </c>
      <c r="D232" s="33">
        <f t="shared" si="10"/>
        <v>5.9391244646418428E-2</v>
      </c>
      <c r="E232" s="31"/>
      <c r="F232" s="32">
        <v>44717</v>
      </c>
      <c r="G232" s="31">
        <v>3609.25</v>
      </c>
      <c r="H232" s="33">
        <f t="shared" si="11"/>
        <v>7.408564711484078E-2</v>
      </c>
    </row>
    <row r="233" spans="2:8" x14ac:dyDescent="0.3">
      <c r="B233" s="32">
        <v>44710</v>
      </c>
      <c r="C233" s="31">
        <v>16584.3</v>
      </c>
      <c r="D233" s="33">
        <f t="shared" si="10"/>
        <v>2.3608487945783851E-2</v>
      </c>
      <c r="E233" s="31"/>
      <c r="F233" s="32">
        <v>44710</v>
      </c>
      <c r="G233" s="31">
        <v>3644.45</v>
      </c>
      <c r="H233" s="33">
        <f t="shared" si="11"/>
        <v>9.7527187088730649E-3</v>
      </c>
    </row>
    <row r="234" spans="2:8" x14ac:dyDescent="0.3">
      <c r="B234" s="32">
        <v>44703</v>
      </c>
      <c r="C234" s="31">
        <v>16352.45</v>
      </c>
      <c r="D234" s="33">
        <f t="shared" si="10"/>
        <v>-1.3980089602817047E-2</v>
      </c>
      <c r="E234" s="31"/>
      <c r="F234" s="32">
        <v>44703</v>
      </c>
      <c r="G234" s="31">
        <v>3421.15</v>
      </c>
      <c r="H234" s="33">
        <f t="shared" si="11"/>
        <v>-6.1271248062121808E-2</v>
      </c>
    </row>
    <row r="235" spans="2:8" x14ac:dyDescent="0.3">
      <c r="B235" s="32">
        <v>44696</v>
      </c>
      <c r="C235" s="31">
        <v>16266.15</v>
      </c>
      <c r="D235" s="33">
        <f t="shared" si="10"/>
        <v>-5.2774966442338256E-3</v>
      </c>
      <c r="E235" s="31"/>
      <c r="F235" s="32">
        <v>44696</v>
      </c>
      <c r="G235" s="31">
        <v>3428.15</v>
      </c>
      <c r="H235" s="33">
        <f t="shared" si="11"/>
        <v>2.0460956111250095E-3</v>
      </c>
    </row>
    <row r="236" spans="2:8" x14ac:dyDescent="0.3">
      <c r="B236" s="32">
        <v>44689</v>
      </c>
      <c r="C236" s="31">
        <v>15782.15</v>
      </c>
      <c r="D236" s="33">
        <f t="shared" si="10"/>
        <v>-2.975504344912594E-2</v>
      </c>
      <c r="E236" s="31"/>
      <c r="F236" s="32">
        <v>44689</v>
      </c>
      <c r="G236" s="31">
        <v>3371.4</v>
      </c>
      <c r="H236" s="33">
        <f t="shared" si="11"/>
        <v>-1.6554118110351013E-2</v>
      </c>
    </row>
    <row r="237" spans="2:8" x14ac:dyDescent="0.3">
      <c r="B237" s="32">
        <v>44682</v>
      </c>
      <c r="C237" s="31">
        <v>16411.25</v>
      </c>
      <c r="D237" s="33">
        <f t="shared" si="10"/>
        <v>3.9861489087354984E-2</v>
      </c>
      <c r="E237" s="31"/>
      <c r="F237" s="32">
        <v>44682</v>
      </c>
      <c r="G237" s="31">
        <v>3909.6</v>
      </c>
      <c r="H237" s="33">
        <f t="shared" si="11"/>
        <v>0.15963694607581425</v>
      </c>
    </row>
    <row r="238" spans="2:8" x14ac:dyDescent="0.3">
      <c r="B238" s="32">
        <v>44675</v>
      </c>
      <c r="C238" s="31">
        <v>17102.55</v>
      </c>
      <c r="D238" s="33">
        <f t="shared" si="10"/>
        <v>4.2123543301089139E-2</v>
      </c>
      <c r="E238" s="31"/>
      <c r="F238" s="32">
        <v>44675</v>
      </c>
      <c r="G238" s="31">
        <v>4396.25</v>
      </c>
      <c r="H238" s="33">
        <f t="shared" si="11"/>
        <v>0.12447564968283209</v>
      </c>
    </row>
    <row r="239" spans="2:8" x14ac:dyDescent="0.3">
      <c r="B239" s="32">
        <v>44668</v>
      </c>
      <c r="C239" s="31">
        <v>17171.95</v>
      </c>
      <c r="D239" s="33">
        <f t="shared" si="10"/>
        <v>4.0578744105412845E-3</v>
      </c>
      <c r="E239" s="31"/>
      <c r="F239" s="32">
        <v>44668</v>
      </c>
      <c r="G239" s="31">
        <v>4298.6000000000004</v>
      </c>
      <c r="H239" s="33">
        <f t="shared" si="11"/>
        <v>-2.2212112595962341E-2</v>
      </c>
    </row>
    <row r="240" spans="2:8" x14ac:dyDescent="0.3">
      <c r="B240" s="32">
        <v>44661</v>
      </c>
      <c r="C240" s="31">
        <v>17475.650000000001</v>
      </c>
      <c r="D240" s="33">
        <f t="shared" si="10"/>
        <v>1.7685819024630289E-2</v>
      </c>
      <c r="E240" s="31"/>
      <c r="F240" s="32">
        <v>44661</v>
      </c>
      <c r="G240" s="31">
        <v>4431.8500000000004</v>
      </c>
      <c r="H240" s="33">
        <f t="shared" si="11"/>
        <v>3.0998464616386778E-2</v>
      </c>
    </row>
    <row r="241" spans="2:8" x14ac:dyDescent="0.3">
      <c r="B241" s="32">
        <v>44654</v>
      </c>
      <c r="C241" s="31">
        <v>17784.349999999999</v>
      </c>
      <c r="D241" s="33">
        <f t="shared" si="10"/>
        <v>1.7664578999922576E-2</v>
      </c>
      <c r="E241" s="31"/>
      <c r="F241" s="32">
        <v>44654</v>
      </c>
      <c r="G241" s="31">
        <v>4475.75</v>
      </c>
      <c r="H241" s="33">
        <f t="shared" si="11"/>
        <v>9.9055699087287064E-3</v>
      </c>
    </row>
    <row r="242" spans="2:8" x14ac:dyDescent="0.3">
      <c r="B242" s="32">
        <v>44647</v>
      </c>
      <c r="C242" s="31">
        <v>17670.45</v>
      </c>
      <c r="D242" s="33">
        <f t="shared" si="10"/>
        <v>-6.4045073336949088E-3</v>
      </c>
      <c r="E242" s="31"/>
      <c r="F242" s="32">
        <v>44647</v>
      </c>
      <c r="G242" s="31">
        <v>4361</v>
      </c>
      <c r="H242" s="33">
        <f t="shared" si="11"/>
        <v>-2.5638161202033216E-2</v>
      </c>
    </row>
    <row r="243" spans="2:8" x14ac:dyDescent="0.3">
      <c r="B243" s="32">
        <v>44640</v>
      </c>
      <c r="C243" s="31">
        <v>17153</v>
      </c>
      <c r="D243" s="33">
        <f t="shared" si="10"/>
        <v>-2.928335158414197E-2</v>
      </c>
      <c r="E243" s="31"/>
      <c r="F243" s="32">
        <v>44640</v>
      </c>
      <c r="G243" s="31">
        <v>4278.2</v>
      </c>
      <c r="H243" s="33">
        <f t="shared" si="11"/>
        <v>-1.8986470992891635E-2</v>
      </c>
    </row>
    <row r="244" spans="2:8" x14ac:dyDescent="0.3">
      <c r="B244" s="32">
        <v>44633</v>
      </c>
      <c r="C244" s="31">
        <v>17287.05</v>
      </c>
      <c r="D244" s="33">
        <f t="shared" si="10"/>
        <v>7.8149594823062607E-3</v>
      </c>
      <c r="E244" s="31"/>
      <c r="F244" s="32">
        <v>44633</v>
      </c>
      <c r="G244" s="31">
        <v>4478.6000000000004</v>
      </c>
      <c r="H244" s="33">
        <f t="shared" si="11"/>
        <v>4.6842129867701532E-2</v>
      </c>
    </row>
    <row r="245" spans="2:8" x14ac:dyDescent="0.3">
      <c r="B245" s="32">
        <v>44626</v>
      </c>
      <c r="C245" s="31">
        <v>16630.45</v>
      </c>
      <c r="D245" s="33">
        <f t="shared" si="10"/>
        <v>-3.7982188979611808E-2</v>
      </c>
      <c r="E245" s="31"/>
      <c r="F245" s="32">
        <v>44626</v>
      </c>
      <c r="G245" s="31">
        <v>4153.95</v>
      </c>
      <c r="H245" s="33">
        <f t="shared" si="11"/>
        <v>-7.2489170722993879E-2</v>
      </c>
    </row>
    <row r="246" spans="2:8" x14ac:dyDescent="0.3">
      <c r="B246" s="32">
        <v>44619</v>
      </c>
      <c r="C246" s="31">
        <v>16245.35</v>
      </c>
      <c r="D246" s="33">
        <f t="shared" si="10"/>
        <v>-2.3156318680492727E-2</v>
      </c>
      <c r="E246" s="31"/>
      <c r="F246" s="32">
        <v>44619</v>
      </c>
      <c r="G246" s="31">
        <v>4151.6499999999996</v>
      </c>
      <c r="H246" s="33">
        <f t="shared" si="11"/>
        <v>-5.5368986145720722E-4</v>
      </c>
    </row>
    <row r="247" spans="2:8" x14ac:dyDescent="0.3">
      <c r="B247" s="32">
        <v>44612</v>
      </c>
      <c r="C247" s="31">
        <v>16658.400000000001</v>
      </c>
      <c r="D247" s="33">
        <f t="shared" si="10"/>
        <v>2.5425737210955868E-2</v>
      </c>
      <c r="E247" s="31"/>
      <c r="F247" s="32">
        <v>44612</v>
      </c>
      <c r="G247" s="31">
        <v>4434.1499999999996</v>
      </c>
      <c r="H247" s="33">
        <f t="shared" si="11"/>
        <v>6.8045235027037521E-2</v>
      </c>
    </row>
    <row r="248" spans="2:8" x14ac:dyDescent="0.3">
      <c r="B248" s="32">
        <v>44605</v>
      </c>
      <c r="C248" s="31">
        <v>17276.3</v>
      </c>
      <c r="D248" s="33">
        <f t="shared" si="10"/>
        <v>3.7092397829323165E-2</v>
      </c>
      <c r="E248" s="31"/>
      <c r="F248" s="32">
        <v>44605</v>
      </c>
      <c r="G248" s="31">
        <v>4069.6</v>
      </c>
      <c r="H248" s="33">
        <f t="shared" si="11"/>
        <v>-8.2214178591161757E-2</v>
      </c>
    </row>
    <row r="249" spans="2:8" x14ac:dyDescent="0.3">
      <c r="B249" s="32">
        <v>44598</v>
      </c>
      <c r="C249" s="31">
        <v>17374.75</v>
      </c>
      <c r="D249" s="33">
        <f t="shared" si="10"/>
        <v>5.6985581403425911E-3</v>
      </c>
      <c r="E249" s="31"/>
      <c r="F249" s="32">
        <v>44598</v>
      </c>
      <c r="G249" s="31">
        <v>4364.55</v>
      </c>
      <c r="H249" s="33">
        <f t="shared" si="11"/>
        <v>7.2476410458030438E-2</v>
      </c>
    </row>
    <row r="250" spans="2:8" x14ac:dyDescent="0.3">
      <c r="B250" s="32">
        <v>44591</v>
      </c>
      <c r="C250" s="31">
        <v>17516.3</v>
      </c>
      <c r="D250" s="33">
        <f t="shared" si="10"/>
        <v>8.1468798112203089E-3</v>
      </c>
      <c r="E250" s="31"/>
      <c r="F250" s="32">
        <v>44591</v>
      </c>
      <c r="G250" s="31">
        <v>4492.55</v>
      </c>
      <c r="H250" s="33">
        <f t="shared" si="11"/>
        <v>2.93271929523089E-2</v>
      </c>
    </row>
    <row r="251" spans="2:8" x14ac:dyDescent="0.3">
      <c r="B251" s="32">
        <v>44584</v>
      </c>
      <c r="C251" s="31">
        <v>17101.95</v>
      </c>
      <c r="D251" s="33">
        <f t="shared" si="10"/>
        <v>-2.3655109812003583E-2</v>
      </c>
      <c r="E251" s="31"/>
      <c r="F251" s="32">
        <v>44584</v>
      </c>
      <c r="G251" s="31">
        <v>4392</v>
      </c>
      <c r="H251" s="33">
        <f t="shared" si="11"/>
        <v>-2.238149825822755E-2</v>
      </c>
    </row>
    <row r="252" spans="2:8" x14ac:dyDescent="0.3">
      <c r="B252" s="32">
        <v>44577</v>
      </c>
      <c r="C252" s="31">
        <v>17617.150000000001</v>
      </c>
      <c r="D252" s="33">
        <f t="shared" si="10"/>
        <v>3.0125219638696299E-2</v>
      </c>
      <c r="E252" s="31"/>
      <c r="F252" s="32">
        <v>44577</v>
      </c>
      <c r="G252" s="31">
        <v>4979.25</v>
      </c>
      <c r="H252" s="33">
        <f t="shared" si="11"/>
        <v>0.13370901639344268</v>
      </c>
    </row>
    <row r="253" spans="2:8" x14ac:dyDescent="0.3">
      <c r="B253" s="32">
        <v>44570</v>
      </c>
      <c r="C253" s="31">
        <v>18255.75</v>
      </c>
      <c r="D253" s="33">
        <f t="shared" si="10"/>
        <v>3.6248768955250865E-2</v>
      </c>
      <c r="E253" s="31"/>
      <c r="F253" s="32">
        <v>44570</v>
      </c>
      <c r="G253" s="31">
        <v>5268.35</v>
      </c>
      <c r="H253" s="33">
        <f t="shared" si="11"/>
        <v>5.8060952954762435E-2</v>
      </c>
    </row>
    <row r="254" spans="2:8" x14ac:dyDescent="0.3">
      <c r="B254" s="32">
        <v>44563</v>
      </c>
      <c r="C254" s="31">
        <v>17812.7</v>
      </c>
      <c r="D254" s="33">
        <f t="shared" si="10"/>
        <v>-2.4269065910740406E-2</v>
      </c>
      <c r="E254" s="31"/>
      <c r="F254" s="32">
        <v>44563</v>
      </c>
      <c r="G254" s="31">
        <v>5295.05</v>
      </c>
      <c r="H254" s="33">
        <f t="shared" si="11"/>
        <v>5.0680004175880367E-3</v>
      </c>
    </row>
    <row r="255" spans="2:8" x14ac:dyDescent="0.3">
      <c r="B255" s="32">
        <v>44556</v>
      </c>
      <c r="C255" s="31">
        <v>17354.05</v>
      </c>
      <c r="D255" s="33">
        <f t="shared" si="10"/>
        <v>-2.5748482824052621E-2</v>
      </c>
      <c r="E255" s="31"/>
      <c r="F255" s="32">
        <v>44556</v>
      </c>
      <c r="G255" s="31">
        <v>5509.55</v>
      </c>
      <c r="H255" s="33">
        <f t="shared" si="11"/>
        <v>4.0509532487889688E-2</v>
      </c>
    </row>
    <row r="256" spans="2:8" x14ac:dyDescent="0.3">
      <c r="B256" s="32">
        <v>44549</v>
      </c>
      <c r="C256" s="31">
        <v>17003.75</v>
      </c>
      <c r="D256" s="33">
        <f t="shared" si="10"/>
        <v>-2.0185489842428628E-2</v>
      </c>
      <c r="E256" s="31"/>
      <c r="F256" s="32">
        <v>44549</v>
      </c>
      <c r="G256" s="31">
        <v>5423.4</v>
      </c>
      <c r="H256" s="33">
        <f t="shared" si="11"/>
        <v>-1.5636485738399819E-2</v>
      </c>
    </row>
    <row r="257" spans="2:8" x14ac:dyDescent="0.3">
      <c r="B257" s="32">
        <v>44542</v>
      </c>
      <c r="C257" s="31">
        <v>16985.2</v>
      </c>
      <c r="D257" s="33">
        <f t="shared" si="10"/>
        <v>-1.0909358229801436E-3</v>
      </c>
      <c r="E257" s="31"/>
      <c r="F257" s="32">
        <v>44542</v>
      </c>
      <c r="G257" s="31">
        <v>5383.55</v>
      </c>
      <c r="H257" s="33">
        <f t="shared" si="11"/>
        <v>-7.3477892097207897E-3</v>
      </c>
    </row>
    <row r="258" spans="2:8" x14ac:dyDescent="0.3">
      <c r="B258" s="32">
        <v>44535</v>
      </c>
      <c r="C258" s="31">
        <v>17511.3</v>
      </c>
      <c r="D258" s="33">
        <f t="shared" si="10"/>
        <v>3.0974024444810677E-2</v>
      </c>
      <c r="E258" s="31"/>
      <c r="F258" s="32">
        <v>44535</v>
      </c>
      <c r="G258" s="31">
        <v>5544.45</v>
      </c>
      <c r="H258" s="33">
        <f t="shared" si="11"/>
        <v>2.9887341995523231E-2</v>
      </c>
    </row>
    <row r="259" spans="2:8" x14ac:dyDescent="0.3">
      <c r="B259" s="32">
        <v>44528</v>
      </c>
      <c r="C259" s="31">
        <v>17196.7</v>
      </c>
      <c r="D259" s="33">
        <f t="shared" si="10"/>
        <v>-1.7965542249861466E-2</v>
      </c>
      <c r="E259" s="31"/>
      <c r="F259" s="32">
        <v>44528</v>
      </c>
      <c r="G259" s="31">
        <v>5178.6499999999996</v>
      </c>
      <c r="H259" s="33">
        <f t="shared" si="11"/>
        <v>-6.597588579570568E-2</v>
      </c>
    </row>
    <row r="260" spans="2:8" x14ac:dyDescent="0.3">
      <c r="B260" s="32">
        <v>44521</v>
      </c>
      <c r="C260" s="31">
        <v>17026.45</v>
      </c>
      <c r="D260" s="33">
        <f t="shared" si="10"/>
        <v>-9.900155262346888E-3</v>
      </c>
      <c r="E260" s="31"/>
      <c r="F260" s="32">
        <v>44521</v>
      </c>
      <c r="G260" s="31">
        <v>5102.5</v>
      </c>
      <c r="H260" s="33">
        <f t="shared" si="11"/>
        <v>-1.4704604481862948E-2</v>
      </c>
    </row>
    <row r="261" spans="2:8" x14ac:dyDescent="0.3">
      <c r="B261" s="32">
        <v>44514</v>
      </c>
      <c r="C261" s="31">
        <v>17764.8</v>
      </c>
      <c r="D261" s="33">
        <f t="shared" si="10"/>
        <v>4.3364882286090145E-2</v>
      </c>
      <c r="E261" s="31"/>
      <c r="F261" s="32">
        <v>44514</v>
      </c>
      <c r="G261" s="31">
        <v>5388.45</v>
      </c>
      <c r="H261" s="33">
        <f t="shared" si="11"/>
        <v>5.6041156295933314E-2</v>
      </c>
    </row>
    <row r="262" spans="2:8" x14ac:dyDescent="0.3">
      <c r="B262" s="32">
        <v>44507</v>
      </c>
      <c r="C262" s="31">
        <v>18102.75</v>
      </c>
      <c r="D262" s="33">
        <f t="shared" si="10"/>
        <v>1.9023574709537971E-2</v>
      </c>
      <c r="E262" s="31"/>
      <c r="F262" s="32">
        <v>44507</v>
      </c>
      <c r="G262" s="31">
        <v>5405.85</v>
      </c>
      <c r="H262" s="33">
        <f t="shared" si="11"/>
        <v>3.2291289702977011E-3</v>
      </c>
    </row>
    <row r="263" spans="2:8" x14ac:dyDescent="0.3">
      <c r="B263" s="32">
        <v>44500</v>
      </c>
      <c r="C263" s="31">
        <v>17916.8</v>
      </c>
      <c r="D263" s="33">
        <f t="shared" si="10"/>
        <v>-1.0271920012152935E-2</v>
      </c>
      <c r="E263" s="31"/>
      <c r="F263" s="32">
        <v>44500</v>
      </c>
      <c r="G263" s="31">
        <v>5590.5</v>
      </c>
      <c r="H263" s="33">
        <f t="shared" si="11"/>
        <v>3.4157440550514728E-2</v>
      </c>
    </row>
    <row r="264" spans="2:8" x14ac:dyDescent="0.3">
      <c r="B264" s="32">
        <v>44493</v>
      </c>
      <c r="C264" s="31">
        <v>17671.650000000001</v>
      </c>
      <c r="D264" s="33">
        <f t="shared" si="10"/>
        <v>-1.3682688873012938E-2</v>
      </c>
      <c r="E264" s="31"/>
      <c r="F264" s="32">
        <v>44493</v>
      </c>
      <c r="G264" s="31">
        <v>4993.55</v>
      </c>
      <c r="H264" s="33">
        <f t="shared" si="11"/>
        <v>-0.10677935783919146</v>
      </c>
    </row>
    <row r="265" spans="2:8" x14ac:dyDescent="0.3">
      <c r="B265" s="32">
        <v>44486</v>
      </c>
      <c r="C265" s="31">
        <v>18114.900000000001</v>
      </c>
      <c r="D265" s="33">
        <f t="shared" si="10"/>
        <v>2.5082547470100414E-2</v>
      </c>
      <c r="E265" s="31"/>
      <c r="F265" s="32">
        <v>44486</v>
      </c>
      <c r="G265" s="31">
        <v>5112.05</v>
      </c>
      <c r="H265" s="33">
        <f t="shared" si="11"/>
        <v>2.3730612490112213E-2</v>
      </c>
    </row>
    <row r="266" spans="2:8" x14ac:dyDescent="0.3">
      <c r="B266" s="32">
        <v>44479</v>
      </c>
      <c r="C266" s="31">
        <v>18338.55</v>
      </c>
      <c r="D266" s="33">
        <f t="shared" si="10"/>
        <v>1.2346190152857428E-2</v>
      </c>
      <c r="E266" s="31"/>
      <c r="F266" s="32">
        <v>44479</v>
      </c>
      <c r="G266" s="31">
        <v>5511.3</v>
      </c>
      <c r="H266" s="33">
        <f t="shared" si="11"/>
        <v>7.8099783844054693E-2</v>
      </c>
    </row>
    <row r="267" spans="2:8" x14ac:dyDescent="0.3">
      <c r="B267" s="32">
        <v>44472</v>
      </c>
      <c r="C267" s="31">
        <v>17895.2</v>
      </c>
      <c r="D267" s="33">
        <f t="shared" si="10"/>
        <v>-2.4175848145027712E-2</v>
      </c>
      <c r="E267" s="31"/>
      <c r="F267" s="32">
        <v>44472</v>
      </c>
      <c r="G267" s="31">
        <v>5254.1</v>
      </c>
      <c r="H267" s="33">
        <f t="shared" si="11"/>
        <v>-4.666775533903067E-2</v>
      </c>
    </row>
    <row r="268" spans="2:8" x14ac:dyDescent="0.3">
      <c r="B268" s="32">
        <v>44465</v>
      </c>
      <c r="C268" s="31">
        <v>17532.05</v>
      </c>
      <c r="D268" s="33">
        <f t="shared" si="10"/>
        <v>-2.0293151236085771E-2</v>
      </c>
      <c r="E268" s="31"/>
      <c r="F268" s="32">
        <v>44465</v>
      </c>
      <c r="G268" s="31">
        <v>4844.6000000000004</v>
      </c>
      <c r="H268" s="33">
        <f t="shared" si="11"/>
        <v>-7.7939133248320358E-2</v>
      </c>
    </row>
    <row r="269" spans="2:8" x14ac:dyDescent="0.3">
      <c r="B269" s="32">
        <v>44458</v>
      </c>
      <c r="C269" s="31">
        <v>17853.2</v>
      </c>
      <c r="D269" s="33">
        <f t="shared" si="10"/>
        <v>1.8317880681380849E-2</v>
      </c>
      <c r="E269" s="31"/>
      <c r="F269" s="32">
        <v>44458</v>
      </c>
      <c r="G269" s="31">
        <v>4380.05</v>
      </c>
      <c r="H269" s="33">
        <f t="shared" si="11"/>
        <v>-9.5890269578499776E-2</v>
      </c>
    </row>
    <row r="270" spans="2:8" x14ac:dyDescent="0.3">
      <c r="B270" s="32">
        <v>44451</v>
      </c>
      <c r="C270" s="31">
        <v>17585.150000000001</v>
      </c>
      <c r="D270" s="33">
        <f t="shared" si="10"/>
        <v>-1.5014115116617655E-2</v>
      </c>
      <c r="E270" s="31"/>
      <c r="F270" s="32">
        <v>44451</v>
      </c>
      <c r="G270" s="31">
        <v>4245.1000000000004</v>
      </c>
      <c r="H270" s="33">
        <f t="shared" si="11"/>
        <v>-3.0810150569057337E-2</v>
      </c>
    </row>
    <row r="271" spans="2:8" x14ac:dyDescent="0.3">
      <c r="B271" s="32">
        <v>44444</v>
      </c>
      <c r="C271" s="31">
        <v>17369.25</v>
      </c>
      <c r="D271" s="33">
        <f t="shared" si="10"/>
        <v>-1.2277404514604684E-2</v>
      </c>
      <c r="E271" s="31"/>
      <c r="F271" s="32">
        <v>44444</v>
      </c>
      <c r="G271" s="31">
        <v>4317.2</v>
      </c>
      <c r="H271" s="33">
        <f t="shared" si="11"/>
        <v>1.6984287767072503E-2</v>
      </c>
    </row>
    <row r="272" spans="2:8" x14ac:dyDescent="0.3">
      <c r="B272" s="32">
        <v>44437</v>
      </c>
      <c r="C272" s="31">
        <v>17323.599999999999</v>
      </c>
      <c r="D272" s="33">
        <f t="shared" si="10"/>
        <v>-2.6282078961383792E-3</v>
      </c>
      <c r="E272" s="31"/>
      <c r="F272" s="32">
        <v>44437</v>
      </c>
      <c r="G272" s="31">
        <v>4240.2</v>
      </c>
      <c r="H272" s="33">
        <f t="shared" si="11"/>
        <v>-1.7835634207356565E-2</v>
      </c>
    </row>
    <row r="273" spans="2:8" x14ac:dyDescent="0.3">
      <c r="B273" s="32">
        <v>44430</v>
      </c>
      <c r="C273" s="31">
        <v>16705.2</v>
      </c>
      <c r="D273" s="33">
        <f t="shared" si="10"/>
        <v>-3.5696968297582399E-2</v>
      </c>
      <c r="E273" s="31"/>
      <c r="F273" s="32">
        <v>44430</v>
      </c>
      <c r="G273" s="31">
        <v>4046.25</v>
      </c>
      <c r="H273" s="33">
        <f t="shared" si="11"/>
        <v>-4.5740766944955435E-2</v>
      </c>
    </row>
    <row r="274" spans="2:8" x14ac:dyDescent="0.3">
      <c r="B274" s="32">
        <v>44423</v>
      </c>
      <c r="C274" s="31">
        <v>16450.5</v>
      </c>
      <c r="D274" s="33">
        <f t="shared" si="10"/>
        <v>-1.5246749515121061E-2</v>
      </c>
      <c r="E274" s="31"/>
      <c r="F274" s="32">
        <v>44423</v>
      </c>
      <c r="G274" s="31">
        <v>4043.3</v>
      </c>
      <c r="H274" s="33">
        <f t="shared" si="11"/>
        <v>-7.2907012666045823E-4</v>
      </c>
    </row>
    <row r="275" spans="2:8" x14ac:dyDescent="0.3">
      <c r="B275" s="32">
        <v>44416</v>
      </c>
      <c r="C275" s="31">
        <v>16529.099999999999</v>
      </c>
      <c r="D275" s="33">
        <f t="shared" si="10"/>
        <v>4.7779702744596975E-3</v>
      </c>
      <c r="E275" s="31"/>
      <c r="F275" s="32">
        <v>44416</v>
      </c>
      <c r="G275" s="31">
        <v>4214.25</v>
      </c>
      <c r="H275" s="33">
        <f t="shared" si="11"/>
        <v>4.2279820938342372E-2</v>
      </c>
    </row>
    <row r="276" spans="2:8" x14ac:dyDescent="0.3">
      <c r="B276" s="32">
        <v>44409</v>
      </c>
      <c r="C276" s="31">
        <v>16238.2</v>
      </c>
      <c r="D276" s="33">
        <f t="shared" si="10"/>
        <v>-1.7599264327761266E-2</v>
      </c>
      <c r="E276" s="31"/>
      <c r="F276" s="32">
        <v>44409</v>
      </c>
      <c r="G276" s="31">
        <v>4285.25</v>
      </c>
      <c r="H276" s="33">
        <f t="shared" si="11"/>
        <v>1.6847600403393281E-2</v>
      </c>
    </row>
    <row r="277" spans="2:8" x14ac:dyDescent="0.3">
      <c r="B277" s="32">
        <v>44402</v>
      </c>
      <c r="C277" s="31">
        <v>15763.05</v>
      </c>
      <c r="D277" s="33">
        <f t="shared" si="10"/>
        <v>-2.9261248167900433E-2</v>
      </c>
      <c r="E277" s="31"/>
      <c r="F277" s="32">
        <v>44402</v>
      </c>
      <c r="G277" s="31">
        <v>4304.6000000000004</v>
      </c>
      <c r="H277" s="33">
        <f t="shared" si="11"/>
        <v>4.5154891779943807E-3</v>
      </c>
    </row>
    <row r="278" spans="2:8" x14ac:dyDescent="0.3">
      <c r="B278" s="32">
        <v>44395</v>
      </c>
      <c r="C278" s="31">
        <v>15856.05</v>
      </c>
      <c r="D278" s="33">
        <f t="shared" si="10"/>
        <v>5.899873438198755E-3</v>
      </c>
      <c r="E278" s="31"/>
      <c r="F278" s="32">
        <v>44395</v>
      </c>
      <c r="G278" s="31">
        <v>4550.3999999999996</v>
      </c>
      <c r="H278" s="33">
        <f t="shared" si="11"/>
        <v>5.7101705152627247E-2</v>
      </c>
    </row>
    <row r="279" spans="2:8" x14ac:dyDescent="0.3">
      <c r="B279" s="32">
        <v>44388</v>
      </c>
      <c r="C279" s="31">
        <v>15923.4</v>
      </c>
      <c r="D279" s="33">
        <f t="shared" si="10"/>
        <v>4.2475900366105712E-3</v>
      </c>
      <c r="E279" s="31"/>
      <c r="F279" s="32">
        <v>44388</v>
      </c>
      <c r="G279" s="31">
        <v>4646.3</v>
      </c>
      <c r="H279" s="33">
        <f t="shared" si="11"/>
        <v>2.1075070323488099E-2</v>
      </c>
    </row>
    <row r="280" spans="2:8" x14ac:dyDescent="0.3">
      <c r="B280" s="32">
        <v>44381</v>
      </c>
      <c r="C280" s="31">
        <v>15689.8</v>
      </c>
      <c r="D280" s="33">
        <f t="shared" si="10"/>
        <v>-1.4670233744049632E-2</v>
      </c>
      <c r="E280" s="31"/>
      <c r="F280" s="32">
        <v>44381</v>
      </c>
      <c r="G280" s="31">
        <v>4585.6499999999996</v>
      </c>
      <c r="H280" s="33">
        <f t="shared" si="11"/>
        <v>-1.3053397326905358E-2</v>
      </c>
    </row>
    <row r="281" spans="2:8" x14ac:dyDescent="0.3">
      <c r="B281" s="32">
        <v>44374</v>
      </c>
      <c r="C281" s="31">
        <v>15722.2</v>
      </c>
      <c r="D281" s="33">
        <f t="shared" si="10"/>
        <v>2.0650358831852955E-3</v>
      </c>
      <c r="E281" s="31"/>
      <c r="F281" s="32">
        <v>44374</v>
      </c>
      <c r="G281" s="31">
        <v>4518.8500000000004</v>
      </c>
      <c r="H281" s="33">
        <f t="shared" si="11"/>
        <v>-1.4567182405983758E-2</v>
      </c>
    </row>
    <row r="282" spans="2:8" x14ac:dyDescent="0.3">
      <c r="B282" s="32">
        <v>44367</v>
      </c>
      <c r="C282" s="31">
        <v>15860.35</v>
      </c>
      <c r="D282" s="33">
        <f t="shared" si="10"/>
        <v>8.7869382147536257E-3</v>
      </c>
      <c r="E282" s="31"/>
      <c r="F282" s="32">
        <v>44367</v>
      </c>
      <c r="G282" s="31">
        <v>4499.1000000000004</v>
      </c>
      <c r="H282" s="33">
        <f t="shared" si="11"/>
        <v>-4.37058101065535E-3</v>
      </c>
    </row>
    <row r="283" spans="2:8" x14ac:dyDescent="0.3">
      <c r="B283" s="32">
        <v>44360</v>
      </c>
      <c r="C283" s="31">
        <v>15683.35</v>
      </c>
      <c r="D283" s="33">
        <f t="shared" si="10"/>
        <v>-1.1159905046231655E-2</v>
      </c>
      <c r="E283" s="31"/>
      <c r="F283" s="32">
        <v>44360</v>
      </c>
      <c r="G283" s="31">
        <v>4427.1499999999996</v>
      </c>
      <c r="H283" s="33">
        <f t="shared" si="11"/>
        <v>-1.5992087306350267E-2</v>
      </c>
    </row>
    <row r="284" spans="2:8" x14ac:dyDescent="0.3">
      <c r="B284" s="32">
        <v>44353</v>
      </c>
      <c r="C284" s="31">
        <v>15799.35</v>
      </c>
      <c r="D284" s="33">
        <f t="shared" si="10"/>
        <v>7.3963789624027498E-3</v>
      </c>
      <c r="E284" s="31"/>
      <c r="F284" s="32">
        <v>44353</v>
      </c>
      <c r="G284" s="31">
        <v>4189.5</v>
      </c>
      <c r="H284" s="33">
        <f t="shared" si="11"/>
        <v>-5.3680132816823378E-2</v>
      </c>
    </row>
    <row r="285" spans="2:8" x14ac:dyDescent="0.3">
      <c r="B285" s="32">
        <v>44346</v>
      </c>
      <c r="C285" s="31">
        <v>15670.25</v>
      </c>
      <c r="D285" s="33">
        <f t="shared" si="10"/>
        <v>-8.1712222338260476E-3</v>
      </c>
      <c r="E285" s="31"/>
      <c r="F285" s="32">
        <v>44346</v>
      </c>
      <c r="G285" s="31">
        <v>4287.25</v>
      </c>
      <c r="H285" s="33">
        <f t="shared" si="11"/>
        <v>2.3332139873493363E-2</v>
      </c>
    </row>
    <row r="286" spans="2:8" x14ac:dyDescent="0.3">
      <c r="B286" s="32">
        <v>44339</v>
      </c>
      <c r="C286" s="31">
        <v>15435.65</v>
      </c>
      <c r="D286" s="33">
        <f t="shared" si="10"/>
        <v>-1.4971043856990218E-2</v>
      </c>
      <c r="E286" s="31"/>
      <c r="F286" s="32">
        <v>44339</v>
      </c>
      <c r="G286" s="31">
        <v>3996.65</v>
      </c>
      <c r="H286" s="33">
        <f t="shared" si="11"/>
        <v>-6.778237798122333E-2</v>
      </c>
    </row>
    <row r="287" spans="2:8" x14ac:dyDescent="0.3">
      <c r="B287" s="32">
        <v>44332</v>
      </c>
      <c r="C287" s="31">
        <v>15175.3</v>
      </c>
      <c r="D287" s="33">
        <f t="shared" si="10"/>
        <v>-1.6866798612303335E-2</v>
      </c>
      <c r="E287" s="31"/>
      <c r="F287" s="32">
        <v>44332</v>
      </c>
      <c r="G287" s="31">
        <v>3944.85</v>
      </c>
      <c r="H287" s="33">
        <f t="shared" si="11"/>
        <v>-1.2960854715824532E-2</v>
      </c>
    </row>
    <row r="288" spans="2:8" x14ac:dyDescent="0.3">
      <c r="B288" s="32">
        <v>44325</v>
      </c>
      <c r="C288" s="31">
        <v>14677.8</v>
      </c>
      <c r="D288" s="33">
        <f t="shared" si="10"/>
        <v>-3.2783536404552116E-2</v>
      </c>
      <c r="E288" s="31"/>
      <c r="F288" s="32">
        <v>44325</v>
      </c>
      <c r="G288" s="31">
        <v>3954</v>
      </c>
      <c r="H288" s="33">
        <f t="shared" si="11"/>
        <v>2.3194798281302997E-3</v>
      </c>
    </row>
    <row r="289" spans="2:8" x14ac:dyDescent="0.3">
      <c r="B289" s="32">
        <v>44318</v>
      </c>
      <c r="C289" s="31">
        <v>14823.15</v>
      </c>
      <c r="D289" s="33">
        <f t="shared" si="10"/>
        <v>9.9027102154274349E-3</v>
      </c>
      <c r="E289" s="31"/>
      <c r="F289" s="32">
        <v>44318</v>
      </c>
      <c r="G289" s="31">
        <v>3954.75</v>
      </c>
      <c r="H289" s="33">
        <f t="shared" si="11"/>
        <v>1.8968133535657294E-4</v>
      </c>
    </row>
    <row r="290" spans="2:8" x14ac:dyDescent="0.3">
      <c r="B290" s="32">
        <v>44311</v>
      </c>
      <c r="C290" s="31">
        <v>14631.1</v>
      </c>
      <c r="D290" s="33">
        <f t="shared" si="10"/>
        <v>-1.2956085582349175E-2</v>
      </c>
      <c r="E290" s="31"/>
      <c r="F290" s="32">
        <v>44311</v>
      </c>
      <c r="G290" s="31">
        <v>4201.8</v>
      </c>
      <c r="H290" s="33">
        <f t="shared" si="11"/>
        <v>6.2469182628484887E-2</v>
      </c>
    </row>
    <row r="291" spans="2:8" x14ac:dyDescent="0.3">
      <c r="B291" s="32">
        <v>44304</v>
      </c>
      <c r="C291" s="31">
        <v>14341.35</v>
      </c>
      <c r="D291" s="33">
        <f t="shared" si="10"/>
        <v>-1.980370580475832E-2</v>
      </c>
      <c r="E291" s="31"/>
      <c r="F291" s="32">
        <v>44304</v>
      </c>
      <c r="G291" s="31">
        <v>3895.55</v>
      </c>
      <c r="H291" s="33">
        <f t="shared" si="11"/>
        <v>-7.2885430053786449E-2</v>
      </c>
    </row>
    <row r="292" spans="2:8" x14ac:dyDescent="0.3">
      <c r="B292" s="32">
        <v>44297</v>
      </c>
      <c r="C292" s="31">
        <v>14617.85</v>
      </c>
      <c r="D292" s="33">
        <f t="shared" si="10"/>
        <v>1.927991437347254E-2</v>
      </c>
      <c r="E292" s="31"/>
      <c r="F292" s="32">
        <v>44297</v>
      </c>
      <c r="G292" s="31">
        <v>3736.35</v>
      </c>
      <c r="H292" s="33">
        <f t="shared" si="11"/>
        <v>-4.0867143278869533E-2</v>
      </c>
    </row>
    <row r="293" spans="2:8" x14ac:dyDescent="0.3">
      <c r="B293" s="32">
        <v>44290</v>
      </c>
      <c r="C293" s="31">
        <v>14834.85</v>
      </c>
      <c r="D293" s="33">
        <f t="shared" ref="D293:D356" si="12">C293/C292-1</f>
        <v>1.4844864326833296E-2</v>
      </c>
      <c r="E293" s="31"/>
      <c r="F293" s="32">
        <v>44290</v>
      </c>
      <c r="G293" s="31">
        <v>3758.65</v>
      </c>
      <c r="H293" s="33">
        <f t="shared" ref="H293:H356" si="13">G293/G292-1</f>
        <v>5.9683916121349156E-3</v>
      </c>
    </row>
    <row r="294" spans="2:8" x14ac:dyDescent="0.3">
      <c r="B294" s="32">
        <v>44283</v>
      </c>
      <c r="C294" s="31">
        <v>14867.35</v>
      </c>
      <c r="D294" s="33">
        <f t="shared" si="12"/>
        <v>2.1907872341142554E-3</v>
      </c>
      <c r="E294" s="31"/>
      <c r="F294" s="32">
        <v>44283</v>
      </c>
      <c r="G294" s="31">
        <v>3588.05</v>
      </c>
      <c r="H294" s="33">
        <f t="shared" si="13"/>
        <v>-4.5388636877602306E-2</v>
      </c>
    </row>
    <row r="295" spans="2:8" x14ac:dyDescent="0.3">
      <c r="B295" s="32">
        <v>44276</v>
      </c>
      <c r="C295" s="31">
        <v>14507.3</v>
      </c>
      <c r="D295" s="33">
        <f t="shared" si="12"/>
        <v>-2.4217496729410537E-2</v>
      </c>
      <c r="E295" s="31"/>
      <c r="F295" s="32">
        <v>44276</v>
      </c>
      <c r="G295" s="31">
        <v>3624.6</v>
      </c>
      <c r="H295" s="33">
        <f t="shared" si="13"/>
        <v>1.0186591602681094E-2</v>
      </c>
    </row>
    <row r="296" spans="2:8" x14ac:dyDescent="0.3">
      <c r="B296" s="32">
        <v>44269</v>
      </c>
      <c r="C296" s="31">
        <v>14744</v>
      </c>
      <c r="D296" s="33">
        <f t="shared" si="12"/>
        <v>1.6315923707374891E-2</v>
      </c>
      <c r="E296" s="31"/>
      <c r="F296" s="32">
        <v>44269</v>
      </c>
      <c r="G296" s="31">
        <v>4267.25</v>
      </c>
      <c r="H296" s="33">
        <f t="shared" si="13"/>
        <v>0.1773023230149533</v>
      </c>
    </row>
    <row r="297" spans="2:8" x14ac:dyDescent="0.3">
      <c r="B297" s="32">
        <v>44262</v>
      </c>
      <c r="C297" s="31">
        <v>15030.95</v>
      </c>
      <c r="D297" s="33">
        <f t="shared" si="12"/>
        <v>1.9462154096581807E-2</v>
      </c>
      <c r="E297" s="31"/>
      <c r="F297" s="32">
        <v>44262</v>
      </c>
      <c r="G297" s="31">
        <v>4129.33</v>
      </c>
      <c r="H297" s="33">
        <f t="shared" si="13"/>
        <v>-3.232058117054315E-2</v>
      </c>
    </row>
    <row r="298" spans="2:8" x14ac:dyDescent="0.3">
      <c r="B298" s="32">
        <v>44255</v>
      </c>
      <c r="C298" s="31">
        <v>14938.1</v>
      </c>
      <c r="D298" s="33">
        <f t="shared" si="12"/>
        <v>-6.1772542653658613E-3</v>
      </c>
      <c r="E298" s="31"/>
      <c r="F298" s="32">
        <v>44255</v>
      </c>
      <c r="G298" s="31">
        <v>3826.18</v>
      </c>
      <c r="H298" s="33">
        <f t="shared" si="13"/>
        <v>-7.3413846798391025E-2</v>
      </c>
    </row>
    <row r="299" spans="2:8" x14ac:dyDescent="0.3">
      <c r="B299" s="32">
        <v>44248</v>
      </c>
      <c r="C299" s="31">
        <v>14529.15</v>
      </c>
      <c r="D299" s="33">
        <f t="shared" si="12"/>
        <v>-2.7376306223683144E-2</v>
      </c>
      <c r="E299" s="31"/>
      <c r="F299" s="32">
        <v>44248</v>
      </c>
      <c r="G299" s="31">
        <v>3969.78</v>
      </c>
      <c r="H299" s="33">
        <f t="shared" si="13"/>
        <v>3.7530905498434519E-2</v>
      </c>
    </row>
    <row r="300" spans="2:8" x14ac:dyDescent="0.3">
      <c r="B300" s="32">
        <v>44241</v>
      </c>
      <c r="C300" s="31">
        <v>14981.75</v>
      </c>
      <c r="D300" s="33">
        <f t="shared" si="12"/>
        <v>3.1151168512955074E-2</v>
      </c>
      <c r="E300" s="31"/>
      <c r="F300" s="32">
        <v>44241</v>
      </c>
      <c r="G300" s="31">
        <v>3895.85</v>
      </c>
      <c r="H300" s="33">
        <f t="shared" si="13"/>
        <v>-1.8623198262876062E-2</v>
      </c>
    </row>
    <row r="301" spans="2:8" x14ac:dyDescent="0.3">
      <c r="B301" s="32">
        <v>44234</v>
      </c>
      <c r="C301" s="31">
        <v>15163.3</v>
      </c>
      <c r="D301" s="33">
        <f t="shared" si="12"/>
        <v>1.2118076993675508E-2</v>
      </c>
      <c r="E301" s="31"/>
      <c r="F301" s="32">
        <v>44234</v>
      </c>
      <c r="G301" s="31">
        <v>3734.62</v>
      </c>
      <c r="H301" s="33">
        <f t="shared" si="13"/>
        <v>-4.1385063593310845E-2</v>
      </c>
    </row>
    <row r="302" spans="2:8" x14ac:dyDescent="0.3">
      <c r="B302" s="32">
        <v>44227</v>
      </c>
      <c r="C302" s="31">
        <v>14924.25</v>
      </c>
      <c r="D302" s="33">
        <f t="shared" si="12"/>
        <v>-1.5765037953479721E-2</v>
      </c>
      <c r="E302" s="31"/>
      <c r="F302" s="32">
        <v>44227</v>
      </c>
      <c r="G302" s="31">
        <v>3262.03</v>
      </c>
      <c r="H302" s="33">
        <f t="shared" si="13"/>
        <v>-0.12654299500350763</v>
      </c>
    </row>
    <row r="303" spans="2:8" x14ac:dyDescent="0.3">
      <c r="B303" s="32">
        <v>44220</v>
      </c>
      <c r="C303" s="31">
        <v>13634.6</v>
      </c>
      <c r="D303" s="33">
        <f t="shared" si="12"/>
        <v>-8.6413052582206773E-2</v>
      </c>
      <c r="E303" s="31"/>
      <c r="F303" s="32">
        <v>44220</v>
      </c>
      <c r="G303" s="31">
        <v>2825.5</v>
      </c>
      <c r="H303" s="33">
        <f t="shared" si="13"/>
        <v>-0.13382157736133637</v>
      </c>
    </row>
    <row r="304" spans="2:8" x14ac:dyDescent="0.3">
      <c r="B304" s="32">
        <v>44213</v>
      </c>
      <c r="C304" s="31">
        <v>14371.9</v>
      </c>
      <c r="D304" s="33">
        <f t="shared" si="12"/>
        <v>5.4075660452085117E-2</v>
      </c>
      <c r="E304" s="31"/>
      <c r="F304" s="32">
        <v>44213</v>
      </c>
      <c r="G304" s="31">
        <v>2818.51</v>
      </c>
      <c r="H304" s="33">
        <f t="shared" si="13"/>
        <v>-2.4738984250574081E-3</v>
      </c>
    </row>
    <row r="305" spans="2:8" x14ac:dyDescent="0.3">
      <c r="B305" s="32">
        <v>44206</v>
      </c>
      <c r="C305" s="31">
        <v>14433.7</v>
      </c>
      <c r="D305" s="33">
        <f t="shared" si="12"/>
        <v>4.3000577515848182E-3</v>
      </c>
      <c r="E305" s="31"/>
      <c r="F305" s="32">
        <v>44206</v>
      </c>
      <c r="G305" s="31">
        <v>2979.49</v>
      </c>
      <c r="H305" s="33">
        <f t="shared" si="13"/>
        <v>5.7115284316890724E-2</v>
      </c>
    </row>
    <row r="306" spans="2:8" x14ac:dyDescent="0.3">
      <c r="B306" s="32">
        <v>44199</v>
      </c>
      <c r="C306" s="31">
        <v>14347.25</v>
      </c>
      <c r="D306" s="33">
        <f t="shared" si="12"/>
        <v>-5.9894552332389051E-3</v>
      </c>
      <c r="E306" s="31"/>
      <c r="F306" s="32">
        <v>44199</v>
      </c>
      <c r="G306" s="31">
        <v>3073.81</v>
      </c>
      <c r="H306" s="33">
        <f t="shared" si="13"/>
        <v>3.1656424421629303E-2</v>
      </c>
    </row>
    <row r="307" spans="2:8" x14ac:dyDescent="0.3">
      <c r="B307" s="32">
        <v>44192</v>
      </c>
      <c r="C307" s="31">
        <v>14018.5</v>
      </c>
      <c r="D307" s="33">
        <f t="shared" si="12"/>
        <v>-2.2913798811618924E-2</v>
      </c>
      <c r="E307" s="31"/>
      <c r="F307" s="32">
        <v>44192</v>
      </c>
      <c r="G307" s="31">
        <v>2724.38</v>
      </c>
      <c r="H307" s="33">
        <f t="shared" si="13"/>
        <v>-0.11367976550274739</v>
      </c>
    </row>
    <row r="308" spans="2:8" x14ac:dyDescent="0.3">
      <c r="B308" s="32">
        <v>44185</v>
      </c>
      <c r="C308" s="31">
        <v>13749.25</v>
      </c>
      <c r="D308" s="33">
        <f t="shared" si="12"/>
        <v>-1.9206762492420704E-2</v>
      </c>
      <c r="E308" s="31"/>
      <c r="F308" s="32">
        <v>44185</v>
      </c>
      <c r="G308" s="31">
        <v>2543.6</v>
      </c>
      <c r="H308" s="33">
        <f t="shared" si="13"/>
        <v>-6.6356382002510705E-2</v>
      </c>
    </row>
    <row r="309" spans="2:8" x14ac:dyDescent="0.3">
      <c r="B309" s="32">
        <v>44178</v>
      </c>
      <c r="C309" s="31">
        <v>13760.55</v>
      </c>
      <c r="D309" s="33">
        <f t="shared" si="12"/>
        <v>8.2186301070952261E-4</v>
      </c>
      <c r="E309" s="31"/>
      <c r="F309" s="32">
        <v>44178</v>
      </c>
      <c r="G309" s="31">
        <v>2670.54</v>
      </c>
      <c r="H309" s="33">
        <f t="shared" si="13"/>
        <v>4.990564554175192E-2</v>
      </c>
    </row>
    <row r="310" spans="2:8" x14ac:dyDescent="0.3">
      <c r="B310" s="32">
        <v>44171</v>
      </c>
      <c r="C310" s="31">
        <v>13513.85</v>
      </c>
      <c r="D310" s="33">
        <f t="shared" si="12"/>
        <v>-1.7928062468433259E-2</v>
      </c>
      <c r="E310" s="31"/>
      <c r="F310" s="32">
        <v>44171</v>
      </c>
      <c r="G310" s="31">
        <v>2526.12</v>
      </c>
      <c r="H310" s="33">
        <f t="shared" si="13"/>
        <v>-5.4078950324653485E-2</v>
      </c>
    </row>
    <row r="311" spans="2:8" x14ac:dyDescent="0.3">
      <c r="B311" s="32">
        <v>44164</v>
      </c>
      <c r="C311" s="31">
        <v>13258.55</v>
      </c>
      <c r="D311" s="33">
        <f t="shared" si="12"/>
        <v>-1.8891729595933104E-2</v>
      </c>
      <c r="E311" s="31"/>
      <c r="F311" s="32">
        <v>44164</v>
      </c>
      <c r="G311" s="31">
        <v>2276.4299999999998</v>
      </c>
      <c r="H311" s="33">
        <f t="shared" si="13"/>
        <v>-9.8843285354615062E-2</v>
      </c>
    </row>
    <row r="312" spans="2:8" x14ac:dyDescent="0.3">
      <c r="B312" s="32">
        <v>44157</v>
      </c>
      <c r="C312" s="31">
        <v>12968.95</v>
      </c>
      <c r="D312" s="33">
        <f t="shared" si="12"/>
        <v>-2.1842509173325753E-2</v>
      </c>
      <c r="E312" s="31"/>
      <c r="F312" s="32">
        <v>44157</v>
      </c>
      <c r="G312" s="31">
        <v>2375.9699999999998</v>
      </c>
      <c r="H312" s="33">
        <f t="shared" si="13"/>
        <v>4.372636101263816E-2</v>
      </c>
    </row>
    <row r="313" spans="2:8" x14ac:dyDescent="0.3">
      <c r="B313" s="32">
        <v>44150</v>
      </c>
      <c r="C313" s="31">
        <v>12859.05</v>
      </c>
      <c r="D313" s="33">
        <f t="shared" si="12"/>
        <v>-8.4740861827674596E-3</v>
      </c>
      <c r="E313" s="31"/>
      <c r="F313" s="32">
        <v>44150</v>
      </c>
      <c r="G313" s="31">
        <v>2070.79</v>
      </c>
      <c r="H313" s="33">
        <f t="shared" si="13"/>
        <v>-0.12844438271526992</v>
      </c>
    </row>
    <row r="314" spans="2:8" x14ac:dyDescent="0.3">
      <c r="B314" s="32">
        <v>44143</v>
      </c>
      <c r="C314" s="31">
        <v>12719.95</v>
      </c>
      <c r="D314" s="33">
        <f t="shared" si="12"/>
        <v>-1.0817284325047249E-2</v>
      </c>
      <c r="E314" s="31"/>
      <c r="F314" s="32">
        <v>44143</v>
      </c>
      <c r="G314" s="31">
        <v>2119.7600000000002</v>
      </c>
      <c r="H314" s="33">
        <f t="shared" si="13"/>
        <v>2.3647979756518112E-2</v>
      </c>
    </row>
    <row r="315" spans="2:8" x14ac:dyDescent="0.3">
      <c r="B315" s="32">
        <v>44136</v>
      </c>
      <c r="C315" s="31">
        <v>12263.55</v>
      </c>
      <c r="D315" s="33">
        <f t="shared" si="12"/>
        <v>-3.5880644184922206E-2</v>
      </c>
      <c r="E315" s="31"/>
      <c r="F315" s="32">
        <v>44136</v>
      </c>
      <c r="G315" s="31">
        <v>2003.01</v>
      </c>
      <c r="H315" s="33">
        <f t="shared" si="13"/>
        <v>-5.5076989847907432E-2</v>
      </c>
    </row>
    <row r="316" spans="2:8" x14ac:dyDescent="0.3">
      <c r="B316" s="32">
        <v>44129</v>
      </c>
      <c r="C316" s="31">
        <v>11642.4</v>
      </c>
      <c r="D316" s="33">
        <f t="shared" si="12"/>
        <v>-5.0650097239380076E-2</v>
      </c>
      <c r="E316" s="31"/>
      <c r="F316" s="32">
        <v>44129</v>
      </c>
      <c r="G316" s="31">
        <v>1859.86</v>
      </c>
      <c r="H316" s="33">
        <f t="shared" si="13"/>
        <v>-7.146744150054174E-2</v>
      </c>
    </row>
    <row r="317" spans="2:8" x14ac:dyDescent="0.3">
      <c r="B317" s="32">
        <v>44122</v>
      </c>
      <c r="C317" s="31">
        <v>11930.35</v>
      </c>
      <c r="D317" s="33">
        <f t="shared" si="12"/>
        <v>2.4732872947158757E-2</v>
      </c>
      <c r="E317" s="31"/>
      <c r="F317" s="32">
        <v>44122</v>
      </c>
      <c r="G317" s="31">
        <v>1961.84</v>
      </c>
      <c r="H317" s="33">
        <f t="shared" si="13"/>
        <v>5.4832084135365111E-2</v>
      </c>
    </row>
    <row r="318" spans="2:8" x14ac:dyDescent="0.3">
      <c r="B318" s="32">
        <v>44115</v>
      </c>
      <c r="C318" s="31">
        <v>11762.45</v>
      </c>
      <c r="D318" s="33">
        <f t="shared" si="12"/>
        <v>-1.4073350739919555E-2</v>
      </c>
      <c r="E318" s="31"/>
      <c r="F318" s="32">
        <v>44115</v>
      </c>
      <c r="G318" s="31">
        <v>1852.34</v>
      </c>
      <c r="H318" s="33">
        <f t="shared" si="13"/>
        <v>-5.5814949231333899E-2</v>
      </c>
    </row>
    <row r="319" spans="2:8" x14ac:dyDescent="0.3">
      <c r="B319" s="32">
        <v>44108</v>
      </c>
      <c r="C319" s="31">
        <v>11914.2</v>
      </c>
      <c r="D319" s="33">
        <f t="shared" si="12"/>
        <v>1.2901223809665519E-2</v>
      </c>
      <c r="E319" s="31"/>
      <c r="F319" s="32">
        <v>44108</v>
      </c>
      <c r="G319" s="31">
        <v>1698.07</v>
      </c>
      <c r="H319" s="33">
        <f t="shared" si="13"/>
        <v>-8.3283846378094717E-2</v>
      </c>
    </row>
    <row r="320" spans="2:8" x14ac:dyDescent="0.3">
      <c r="B320" s="32">
        <v>44101</v>
      </c>
      <c r="C320" s="31">
        <v>11416.95</v>
      </c>
      <c r="D320" s="33">
        <f t="shared" si="12"/>
        <v>-4.173591176914937E-2</v>
      </c>
      <c r="E320" s="31"/>
      <c r="F320" s="32">
        <v>44101</v>
      </c>
      <c r="G320" s="31">
        <v>1770.04</v>
      </c>
      <c r="H320" s="33">
        <f t="shared" si="13"/>
        <v>4.2383411755699152E-2</v>
      </c>
    </row>
    <row r="321" spans="2:8" x14ac:dyDescent="0.3">
      <c r="B321" s="32">
        <v>44094</v>
      </c>
      <c r="C321" s="31">
        <v>11050.25</v>
      </c>
      <c r="D321" s="33">
        <f t="shared" si="12"/>
        <v>-3.2118910917539378E-2</v>
      </c>
      <c r="E321" s="31"/>
      <c r="F321" s="32">
        <v>44094</v>
      </c>
      <c r="G321" s="31">
        <v>1758.68</v>
      </c>
      <c r="H321" s="33">
        <f t="shared" si="13"/>
        <v>-6.4179340579872957E-3</v>
      </c>
    </row>
    <row r="322" spans="2:8" x14ac:dyDescent="0.3">
      <c r="B322" s="32">
        <v>44087</v>
      </c>
      <c r="C322" s="31">
        <v>11504.95</v>
      </c>
      <c r="D322" s="33">
        <f t="shared" si="12"/>
        <v>4.1148390307911731E-2</v>
      </c>
      <c r="E322" s="31"/>
      <c r="F322" s="32">
        <v>44087</v>
      </c>
      <c r="G322" s="31">
        <v>1880.11</v>
      </c>
      <c r="H322" s="33">
        <f t="shared" si="13"/>
        <v>6.904610275888734E-2</v>
      </c>
    </row>
    <row r="323" spans="2:8" x14ac:dyDescent="0.3">
      <c r="B323" s="32">
        <v>44080</v>
      </c>
      <c r="C323" s="31">
        <v>11464.45</v>
      </c>
      <c r="D323" s="33">
        <f t="shared" si="12"/>
        <v>-3.5202239036240535E-3</v>
      </c>
      <c r="E323" s="31"/>
      <c r="F323" s="32">
        <v>44080</v>
      </c>
      <c r="G323" s="31">
        <v>1848</v>
      </c>
      <c r="H323" s="33">
        <f t="shared" si="13"/>
        <v>-1.7078787943258567E-2</v>
      </c>
    </row>
    <row r="324" spans="2:8" x14ac:dyDescent="0.3">
      <c r="B324" s="32">
        <v>44073</v>
      </c>
      <c r="C324" s="31">
        <v>11333.85</v>
      </c>
      <c r="D324" s="33">
        <f t="shared" si="12"/>
        <v>-1.1391737065450158E-2</v>
      </c>
      <c r="E324" s="31"/>
      <c r="F324" s="32">
        <v>44073</v>
      </c>
      <c r="G324" s="31">
        <v>1717.3</v>
      </c>
      <c r="H324" s="33">
        <f t="shared" si="13"/>
        <v>-7.0725108225108246E-2</v>
      </c>
    </row>
    <row r="325" spans="2:8" x14ac:dyDescent="0.3">
      <c r="B325" s="32">
        <v>44066</v>
      </c>
      <c r="C325" s="31">
        <v>11647.6</v>
      </c>
      <c r="D325" s="33">
        <f t="shared" si="12"/>
        <v>2.7682561530283145E-2</v>
      </c>
      <c r="E325" s="31"/>
      <c r="F325" s="32">
        <v>44066</v>
      </c>
      <c r="G325" s="31">
        <v>1662.6</v>
      </c>
      <c r="H325" s="33">
        <f t="shared" si="13"/>
        <v>-3.1852326326209823E-2</v>
      </c>
    </row>
    <row r="326" spans="2:8" x14ac:dyDescent="0.3">
      <c r="B326" s="32">
        <v>44059</v>
      </c>
      <c r="C326" s="31">
        <v>11371.6</v>
      </c>
      <c r="D326" s="33">
        <f t="shared" si="12"/>
        <v>-2.3695868676808951E-2</v>
      </c>
      <c r="E326" s="31"/>
      <c r="F326" s="32">
        <v>44059</v>
      </c>
      <c r="G326" s="31">
        <v>1615.77</v>
      </c>
      <c r="H326" s="33">
        <f t="shared" si="13"/>
        <v>-2.8166726813424692E-2</v>
      </c>
    </row>
    <row r="327" spans="2:8" x14ac:dyDescent="0.3">
      <c r="B327" s="32">
        <v>44052</v>
      </c>
      <c r="C327" s="31">
        <v>11178.4</v>
      </c>
      <c r="D327" s="33">
        <f t="shared" si="12"/>
        <v>-1.6989693622709301E-2</v>
      </c>
      <c r="E327" s="31"/>
      <c r="F327" s="32">
        <v>44052</v>
      </c>
      <c r="G327" s="31">
        <v>1587.88</v>
      </c>
      <c r="H327" s="33">
        <f t="shared" si="13"/>
        <v>-1.7261120085160564E-2</v>
      </c>
    </row>
    <row r="328" spans="2:8" x14ac:dyDescent="0.3">
      <c r="B328" s="32">
        <v>44045</v>
      </c>
      <c r="C328" s="31">
        <v>11214.05</v>
      </c>
      <c r="D328" s="33">
        <f t="shared" si="12"/>
        <v>3.1891862878408173E-3</v>
      </c>
      <c r="E328" s="31"/>
      <c r="F328" s="32">
        <v>44045</v>
      </c>
      <c r="G328" s="31">
        <v>1557.31</v>
      </c>
      <c r="H328" s="33">
        <f t="shared" si="13"/>
        <v>-1.9252084540393621E-2</v>
      </c>
    </row>
    <row r="329" spans="2:8" x14ac:dyDescent="0.3">
      <c r="B329" s="32">
        <v>44038</v>
      </c>
      <c r="C329" s="31">
        <v>11073.45</v>
      </c>
      <c r="D329" s="33">
        <f t="shared" si="12"/>
        <v>-1.2537843152117034E-2</v>
      </c>
      <c r="E329" s="31"/>
      <c r="F329" s="32">
        <v>44038</v>
      </c>
      <c r="G329" s="31">
        <v>1526.74</v>
      </c>
      <c r="H329" s="33">
        <f t="shared" si="13"/>
        <v>-1.9630003018024644E-2</v>
      </c>
    </row>
    <row r="330" spans="2:8" x14ac:dyDescent="0.3">
      <c r="B330" s="32">
        <v>44031</v>
      </c>
      <c r="C330" s="31">
        <v>11194.15</v>
      </c>
      <c r="D330" s="33">
        <f t="shared" si="12"/>
        <v>1.0899945364813979E-2</v>
      </c>
      <c r="E330" s="31"/>
      <c r="F330" s="32">
        <v>44031</v>
      </c>
      <c r="G330" s="31">
        <v>1537.35</v>
      </c>
      <c r="H330" s="33">
        <f t="shared" si="13"/>
        <v>6.9494478431166851E-3</v>
      </c>
    </row>
    <row r="331" spans="2:8" x14ac:dyDescent="0.3">
      <c r="B331" s="32">
        <v>44024</v>
      </c>
      <c r="C331" s="31">
        <v>10901.7</v>
      </c>
      <c r="D331" s="33">
        <f t="shared" si="12"/>
        <v>-2.612525292228518E-2</v>
      </c>
      <c r="E331" s="31"/>
      <c r="F331" s="32">
        <v>44024</v>
      </c>
      <c r="G331" s="31">
        <v>1293.8499999999999</v>
      </c>
      <c r="H331" s="33">
        <f t="shared" si="13"/>
        <v>-0.15838943636777569</v>
      </c>
    </row>
    <row r="332" spans="2:8" x14ac:dyDescent="0.3">
      <c r="B332" s="32">
        <v>44017</v>
      </c>
      <c r="C332" s="31">
        <v>10768.05</v>
      </c>
      <c r="D332" s="33">
        <f t="shared" si="12"/>
        <v>-1.2259555849087889E-2</v>
      </c>
      <c r="E332" s="31"/>
      <c r="F332" s="32">
        <v>44017</v>
      </c>
      <c r="G332" s="31">
        <v>1246.02</v>
      </c>
      <c r="H332" s="33">
        <f t="shared" si="13"/>
        <v>-3.6967190941762929E-2</v>
      </c>
    </row>
    <row r="333" spans="2:8" x14ac:dyDescent="0.3">
      <c r="B333" s="32">
        <v>44010</v>
      </c>
      <c r="C333" s="31">
        <v>10607.35</v>
      </c>
      <c r="D333" s="33">
        <f t="shared" si="12"/>
        <v>-1.4923779142927307E-2</v>
      </c>
      <c r="E333" s="31"/>
      <c r="F333" s="32">
        <v>44010</v>
      </c>
      <c r="G333" s="31">
        <v>1196.68</v>
      </c>
      <c r="H333" s="33">
        <f t="shared" si="13"/>
        <v>-3.9598080287635784E-2</v>
      </c>
    </row>
    <row r="334" spans="2:8" x14ac:dyDescent="0.3">
      <c r="B334" s="32">
        <v>44003</v>
      </c>
      <c r="C334" s="31">
        <v>10383</v>
      </c>
      <c r="D334" s="33">
        <f t="shared" si="12"/>
        <v>-2.1150428712166547E-2</v>
      </c>
      <c r="E334" s="31"/>
      <c r="F334" s="32">
        <v>44003</v>
      </c>
      <c r="G334" s="31">
        <v>1115.72</v>
      </c>
      <c r="H334" s="33">
        <f t="shared" si="13"/>
        <v>-6.765384229702176E-2</v>
      </c>
    </row>
    <row r="335" spans="2:8" x14ac:dyDescent="0.3">
      <c r="B335" s="32">
        <v>43996</v>
      </c>
      <c r="C335" s="31">
        <v>10244.4</v>
      </c>
      <c r="D335" s="33">
        <f t="shared" si="12"/>
        <v>-1.3348743137821528E-2</v>
      </c>
      <c r="E335" s="31"/>
      <c r="F335" s="32">
        <v>43996</v>
      </c>
      <c r="G335" s="31">
        <v>1137.45</v>
      </c>
      <c r="H335" s="33">
        <f t="shared" si="13"/>
        <v>1.9476212669845561E-2</v>
      </c>
    </row>
    <row r="336" spans="2:8" x14ac:dyDescent="0.3">
      <c r="B336" s="32">
        <v>43989</v>
      </c>
      <c r="C336" s="31">
        <v>9972.9</v>
      </c>
      <c r="D336" s="33">
        <f t="shared" si="12"/>
        <v>-2.6502284174768631E-2</v>
      </c>
      <c r="E336" s="31"/>
      <c r="F336" s="32">
        <v>43989</v>
      </c>
      <c r="G336">
        <v>995.14</v>
      </c>
      <c r="H336" s="33">
        <f t="shared" si="13"/>
        <v>-0.1251131917886501</v>
      </c>
    </row>
    <row r="337" spans="2:8" x14ac:dyDescent="0.3">
      <c r="B337" s="32">
        <v>43982</v>
      </c>
      <c r="C337" s="31">
        <v>10142.15</v>
      </c>
      <c r="D337" s="33">
        <f t="shared" si="12"/>
        <v>1.6970991386657808E-2</v>
      </c>
      <c r="E337" s="31"/>
      <c r="F337" s="32">
        <v>43982</v>
      </c>
      <c r="G337" s="31">
        <v>1001.25</v>
      </c>
      <c r="H337" s="33">
        <f t="shared" si="13"/>
        <v>6.1398396205558647E-3</v>
      </c>
    </row>
    <row r="338" spans="2:8" x14ac:dyDescent="0.3">
      <c r="B338" s="32">
        <v>43975</v>
      </c>
      <c r="C338" s="31">
        <v>9580.2999999999993</v>
      </c>
      <c r="D338" s="33">
        <f t="shared" si="12"/>
        <v>-5.5397524193588232E-2</v>
      </c>
      <c r="E338" s="31"/>
      <c r="F338" s="32">
        <v>43975</v>
      </c>
      <c r="G338">
        <v>975.16</v>
      </c>
      <c r="H338" s="33">
        <f t="shared" si="13"/>
        <v>-2.605742821473167E-2</v>
      </c>
    </row>
    <row r="339" spans="2:8" x14ac:dyDescent="0.3">
      <c r="B339" s="32">
        <v>43968</v>
      </c>
      <c r="C339" s="31">
        <v>9039.25</v>
      </c>
      <c r="D339" s="33">
        <f t="shared" si="12"/>
        <v>-5.6475266954061909E-2</v>
      </c>
      <c r="E339" s="31"/>
      <c r="F339" s="32">
        <v>43968</v>
      </c>
      <c r="G339">
        <v>868.48</v>
      </c>
      <c r="H339" s="33">
        <f t="shared" si="13"/>
        <v>-0.10939743221625164</v>
      </c>
    </row>
    <row r="340" spans="2:8" x14ac:dyDescent="0.3">
      <c r="B340" s="32">
        <v>43961</v>
      </c>
      <c r="C340" s="31">
        <v>9136.85</v>
      </c>
      <c r="D340" s="33">
        <f t="shared" si="12"/>
        <v>1.0797355975329825E-2</v>
      </c>
      <c r="E340" s="31"/>
      <c r="F340" s="32">
        <v>43961</v>
      </c>
      <c r="G340">
        <v>881.27</v>
      </c>
      <c r="H340" s="33">
        <f t="shared" si="13"/>
        <v>1.4726879145173122E-2</v>
      </c>
    </row>
    <row r="341" spans="2:8" x14ac:dyDescent="0.3">
      <c r="B341" s="32">
        <v>43954</v>
      </c>
      <c r="C341" s="31">
        <v>9251.5</v>
      </c>
      <c r="D341" s="33">
        <f t="shared" si="12"/>
        <v>1.2548088236098875E-2</v>
      </c>
      <c r="E341" s="31"/>
      <c r="F341" s="32">
        <v>43954</v>
      </c>
      <c r="G341">
        <v>851.16</v>
      </c>
      <c r="H341" s="33">
        <f t="shared" si="13"/>
        <v>-3.4166600474315523E-2</v>
      </c>
    </row>
    <row r="342" spans="2:8" x14ac:dyDescent="0.3">
      <c r="B342" s="32">
        <v>43947</v>
      </c>
      <c r="C342" s="31">
        <v>9859.9</v>
      </c>
      <c r="D342" s="33">
        <f t="shared" si="12"/>
        <v>6.576230881478673E-2</v>
      </c>
      <c r="E342" s="31"/>
      <c r="F342" s="32">
        <v>43947</v>
      </c>
      <c r="G342">
        <v>914.28</v>
      </c>
      <c r="H342" s="33">
        <f t="shared" si="13"/>
        <v>7.4157620188918694E-2</v>
      </c>
    </row>
    <row r="343" spans="2:8" x14ac:dyDescent="0.3">
      <c r="B343" s="32">
        <v>43940</v>
      </c>
      <c r="C343" s="31">
        <v>9154.4</v>
      </c>
      <c r="D343" s="33">
        <f t="shared" si="12"/>
        <v>-7.1552449822006259E-2</v>
      </c>
      <c r="E343" s="31"/>
      <c r="F343" s="32">
        <v>43940</v>
      </c>
      <c r="G343">
        <v>840.48</v>
      </c>
      <c r="H343" s="33">
        <f t="shared" si="13"/>
        <v>-8.0719254495340564E-2</v>
      </c>
    </row>
    <row r="344" spans="2:8" x14ac:dyDescent="0.3">
      <c r="B344" s="32">
        <v>43933</v>
      </c>
      <c r="C344" s="31">
        <v>9266.75</v>
      </c>
      <c r="D344" s="33">
        <f t="shared" si="12"/>
        <v>1.2272786856593498E-2</v>
      </c>
      <c r="E344" s="31"/>
      <c r="F344" s="32">
        <v>43933</v>
      </c>
      <c r="G344">
        <v>779.36</v>
      </c>
      <c r="H344" s="33">
        <f t="shared" si="13"/>
        <v>-7.2720350276032741E-2</v>
      </c>
    </row>
    <row r="345" spans="2:8" x14ac:dyDescent="0.3">
      <c r="B345" s="32">
        <v>43926</v>
      </c>
      <c r="C345" s="31">
        <v>9111.9</v>
      </c>
      <c r="D345" s="33">
        <f t="shared" si="12"/>
        <v>-1.6710281382361747E-2</v>
      </c>
      <c r="E345" s="31"/>
      <c r="F345" s="32">
        <v>43926</v>
      </c>
      <c r="G345">
        <v>767.31</v>
      </c>
      <c r="H345" s="33">
        <f t="shared" si="13"/>
        <v>-1.5461404229111131E-2</v>
      </c>
    </row>
    <row r="346" spans="2:8" x14ac:dyDescent="0.3">
      <c r="B346" s="32">
        <v>43919</v>
      </c>
      <c r="C346" s="31">
        <v>8083.8</v>
      </c>
      <c r="D346" s="33">
        <f t="shared" si="12"/>
        <v>-0.11283047443453065</v>
      </c>
      <c r="E346" s="31"/>
      <c r="F346" s="32">
        <v>43919</v>
      </c>
      <c r="G346">
        <v>685.87</v>
      </c>
      <c r="H346" s="33">
        <f t="shared" si="13"/>
        <v>-0.10613702414930071</v>
      </c>
    </row>
    <row r="347" spans="2:8" x14ac:dyDescent="0.3">
      <c r="B347" s="32">
        <v>43912</v>
      </c>
      <c r="C347" s="31">
        <v>8660.25</v>
      </c>
      <c r="D347" s="33">
        <f t="shared" si="12"/>
        <v>7.1309285237140863E-2</v>
      </c>
      <c r="E347" s="31"/>
      <c r="F347" s="32">
        <v>43912</v>
      </c>
      <c r="G347">
        <v>678.27</v>
      </c>
      <c r="H347" s="33">
        <f t="shared" si="13"/>
        <v>-1.1080817064458293E-2</v>
      </c>
    </row>
    <row r="348" spans="2:8" x14ac:dyDescent="0.3">
      <c r="B348" s="32">
        <v>43905</v>
      </c>
      <c r="C348" s="31">
        <v>8745.4500000000007</v>
      </c>
      <c r="D348" s="33">
        <f t="shared" si="12"/>
        <v>9.8380531739845622E-3</v>
      </c>
      <c r="E348" s="31"/>
      <c r="F348" s="32">
        <v>43905</v>
      </c>
      <c r="G348">
        <v>714</v>
      </c>
      <c r="H348" s="33">
        <f t="shared" si="13"/>
        <v>5.267813702507862E-2</v>
      </c>
    </row>
    <row r="349" spans="2:8" x14ac:dyDescent="0.3">
      <c r="B349" s="32">
        <v>43898</v>
      </c>
      <c r="C349" s="31">
        <v>9955.2000000000007</v>
      </c>
      <c r="D349" s="33">
        <f t="shared" si="12"/>
        <v>0.13832907397561023</v>
      </c>
      <c r="E349" s="31"/>
      <c r="F349" s="32">
        <v>43898</v>
      </c>
      <c r="G349">
        <v>783.97</v>
      </c>
      <c r="H349" s="33">
        <f t="shared" si="13"/>
        <v>9.7997198879551828E-2</v>
      </c>
    </row>
    <row r="350" spans="2:8" x14ac:dyDescent="0.3">
      <c r="B350" s="32">
        <v>43891</v>
      </c>
      <c r="C350" s="31">
        <v>10989.45</v>
      </c>
      <c r="D350" s="33">
        <f t="shared" si="12"/>
        <v>0.10389042912246871</v>
      </c>
      <c r="E350" s="31"/>
      <c r="F350" s="32">
        <v>43891</v>
      </c>
      <c r="G350">
        <v>886.12</v>
      </c>
      <c r="H350" s="33">
        <f t="shared" si="13"/>
        <v>0.13029835325331329</v>
      </c>
    </row>
    <row r="351" spans="2:8" x14ac:dyDescent="0.3">
      <c r="B351" s="32">
        <v>43884</v>
      </c>
      <c r="C351" s="31">
        <v>11201.75</v>
      </c>
      <c r="D351" s="33">
        <f t="shared" si="12"/>
        <v>1.9318528224797404E-2</v>
      </c>
      <c r="E351" s="31"/>
      <c r="F351" s="32">
        <v>43884</v>
      </c>
      <c r="G351">
        <v>765.61</v>
      </c>
      <c r="H351" s="33">
        <f t="shared" si="13"/>
        <v>-0.13599738184444543</v>
      </c>
    </row>
    <row r="352" spans="2:8" x14ac:dyDescent="0.3">
      <c r="B352" s="32">
        <v>43877</v>
      </c>
      <c r="C352" s="31">
        <v>12080.85</v>
      </c>
      <c r="D352" s="33">
        <f t="shared" si="12"/>
        <v>7.847880911464733E-2</v>
      </c>
      <c r="E352" s="31"/>
      <c r="F352" s="32">
        <v>43877</v>
      </c>
      <c r="G352">
        <v>870.44</v>
      </c>
      <c r="H352" s="33">
        <f t="shared" si="13"/>
        <v>0.13692349890936639</v>
      </c>
    </row>
    <row r="353" spans="2:8" x14ac:dyDescent="0.3">
      <c r="B353" s="32">
        <v>43870</v>
      </c>
      <c r="C353" s="31">
        <v>12113.45</v>
      </c>
      <c r="D353" s="33">
        <f t="shared" si="12"/>
        <v>2.698485619803348E-3</v>
      </c>
      <c r="E353" s="31"/>
      <c r="F353" s="32">
        <v>43870</v>
      </c>
      <c r="G353">
        <v>897.94</v>
      </c>
      <c r="H353" s="33">
        <f t="shared" si="13"/>
        <v>3.1593217223473191E-2</v>
      </c>
    </row>
    <row r="354" spans="2:8" x14ac:dyDescent="0.3">
      <c r="B354" s="32">
        <v>43863</v>
      </c>
      <c r="C354" s="31">
        <v>12098.35</v>
      </c>
      <c r="D354" s="33">
        <f t="shared" si="12"/>
        <v>-1.2465482583409182E-3</v>
      </c>
      <c r="E354" s="31"/>
      <c r="F354" s="32">
        <v>43863</v>
      </c>
      <c r="G354">
        <v>919.47</v>
      </c>
      <c r="H354" s="33">
        <f t="shared" si="13"/>
        <v>2.3977103147203582E-2</v>
      </c>
    </row>
    <row r="355" spans="2:8" x14ac:dyDescent="0.3">
      <c r="B355" s="32">
        <v>43856</v>
      </c>
      <c r="C355" s="31">
        <v>11962.1</v>
      </c>
      <c r="D355" s="33">
        <f t="shared" si="12"/>
        <v>-1.1261866287551658E-2</v>
      </c>
      <c r="E355" s="31"/>
      <c r="F355" s="32">
        <v>43856</v>
      </c>
      <c r="G355">
        <v>930.85</v>
      </c>
      <c r="H355" s="33">
        <f t="shared" si="13"/>
        <v>1.2376695270101212E-2</v>
      </c>
    </row>
    <row r="356" spans="2:8" x14ac:dyDescent="0.3">
      <c r="B356" s="32">
        <v>43849</v>
      </c>
      <c r="C356" s="31">
        <v>12248.25</v>
      </c>
      <c r="D356" s="33">
        <f t="shared" si="12"/>
        <v>2.3921385041087984E-2</v>
      </c>
      <c r="E356" s="31"/>
      <c r="F356" s="32">
        <v>43849</v>
      </c>
      <c r="G356">
        <v>844.14</v>
      </c>
      <c r="H356" s="33">
        <f t="shared" si="13"/>
        <v>-9.3151420744480906E-2</v>
      </c>
    </row>
    <row r="357" spans="2:8" x14ac:dyDescent="0.3">
      <c r="B357" s="32">
        <v>43842</v>
      </c>
      <c r="C357" s="31">
        <v>12352.35</v>
      </c>
      <c r="D357" s="33">
        <f t="shared" ref="D357:D420" si="14">C357/C356-1</f>
        <v>8.4991733512951306E-3</v>
      </c>
      <c r="E357" s="31"/>
      <c r="F357" s="32">
        <v>43842</v>
      </c>
      <c r="G357">
        <v>833.13</v>
      </c>
      <c r="H357" s="33">
        <f t="shared" ref="H357:H420" si="15">G357/G356-1</f>
        <v>-1.3042860189068195E-2</v>
      </c>
    </row>
    <row r="358" spans="2:8" x14ac:dyDescent="0.3">
      <c r="B358" s="32">
        <v>43835</v>
      </c>
      <c r="C358" s="31">
        <v>12256.8</v>
      </c>
      <c r="D358" s="33">
        <f t="shared" si="14"/>
        <v>-7.7353701927164176E-3</v>
      </c>
      <c r="E358" s="31"/>
      <c r="F358" s="32">
        <v>43835</v>
      </c>
      <c r="G358">
        <v>837.78</v>
      </c>
      <c r="H358" s="33">
        <f t="shared" si="15"/>
        <v>5.5813618522919661E-3</v>
      </c>
    </row>
    <row r="359" spans="2:8" x14ac:dyDescent="0.3">
      <c r="B359" s="32">
        <v>43828</v>
      </c>
      <c r="C359" s="31">
        <v>12226.65</v>
      </c>
      <c r="D359" s="33">
        <f t="shared" si="14"/>
        <v>-2.4598590170353818E-3</v>
      </c>
      <c r="E359" s="31"/>
      <c r="F359" s="32">
        <v>43828</v>
      </c>
      <c r="G359">
        <v>790.46</v>
      </c>
      <c r="H359" s="33">
        <f t="shared" si="15"/>
        <v>-5.648260879944611E-2</v>
      </c>
    </row>
    <row r="360" spans="2:8" x14ac:dyDescent="0.3">
      <c r="B360" s="32">
        <v>43821</v>
      </c>
      <c r="C360" s="31">
        <v>12245.8</v>
      </c>
      <c r="D360" s="33">
        <f t="shared" si="14"/>
        <v>1.5662507718794405E-3</v>
      </c>
      <c r="E360" s="31"/>
      <c r="F360" s="32">
        <v>43821</v>
      </c>
      <c r="G360">
        <v>781.3</v>
      </c>
      <c r="H360" s="33">
        <f t="shared" si="15"/>
        <v>-1.1588189155681605E-2</v>
      </c>
    </row>
    <row r="361" spans="2:8" x14ac:dyDescent="0.3">
      <c r="B361" s="32">
        <v>43814</v>
      </c>
      <c r="C361" s="31">
        <v>12271.8</v>
      </c>
      <c r="D361" s="33">
        <f t="shared" si="14"/>
        <v>2.123176925966419E-3</v>
      </c>
      <c r="E361" s="31"/>
      <c r="F361" s="32">
        <v>43814</v>
      </c>
      <c r="G361">
        <v>742.35</v>
      </c>
      <c r="H361" s="33">
        <f t="shared" si="15"/>
        <v>-4.9852809420196986E-2</v>
      </c>
    </row>
    <row r="362" spans="2:8" x14ac:dyDescent="0.3">
      <c r="B362" s="32">
        <v>43807</v>
      </c>
      <c r="C362" s="31">
        <v>12086.7</v>
      </c>
      <c r="D362" s="33">
        <f t="shared" si="14"/>
        <v>-1.5083361854006605E-2</v>
      </c>
      <c r="E362" s="31"/>
      <c r="F362" s="32">
        <v>43807</v>
      </c>
      <c r="G362">
        <v>709.69</v>
      </c>
      <c r="H362" s="33">
        <f t="shared" si="15"/>
        <v>-4.399541995015821E-2</v>
      </c>
    </row>
    <row r="363" spans="2:8" x14ac:dyDescent="0.3">
      <c r="B363" s="32">
        <v>43800</v>
      </c>
      <c r="C363" s="31">
        <v>11921.5</v>
      </c>
      <c r="D363" s="33">
        <f t="shared" si="14"/>
        <v>-1.3667915973756384E-2</v>
      </c>
      <c r="E363" s="31"/>
      <c r="F363" s="32">
        <v>43800</v>
      </c>
      <c r="G363">
        <v>690.07</v>
      </c>
      <c r="H363" s="33">
        <f t="shared" si="15"/>
        <v>-2.7645873550423472E-2</v>
      </c>
    </row>
    <row r="364" spans="2:8" x14ac:dyDescent="0.3">
      <c r="B364" s="32">
        <v>43793</v>
      </c>
      <c r="C364" s="31">
        <v>12056.05</v>
      </c>
      <c r="D364" s="33">
        <f t="shared" si="14"/>
        <v>1.1286331418026263E-2</v>
      </c>
      <c r="E364" s="31"/>
      <c r="F364" s="32">
        <v>43793</v>
      </c>
      <c r="G364">
        <v>661.49</v>
      </c>
      <c r="H364" s="33">
        <f t="shared" si="15"/>
        <v>-4.1416088222933967E-2</v>
      </c>
    </row>
    <row r="365" spans="2:8" x14ac:dyDescent="0.3">
      <c r="B365" s="32">
        <v>43786</v>
      </c>
      <c r="C365" s="31">
        <v>11914.4</v>
      </c>
      <c r="D365" s="33">
        <f t="shared" si="14"/>
        <v>-1.1749287702025102E-2</v>
      </c>
      <c r="E365" s="31"/>
      <c r="F365" s="32">
        <v>43786</v>
      </c>
      <c r="G365">
        <v>635.4</v>
      </c>
      <c r="H365" s="33">
        <f t="shared" si="15"/>
        <v>-3.9441261394730143E-2</v>
      </c>
    </row>
    <row r="366" spans="2:8" x14ac:dyDescent="0.3">
      <c r="B366" s="32">
        <v>43779</v>
      </c>
      <c r="C366" s="31">
        <v>11895.45</v>
      </c>
      <c r="D366" s="33">
        <f t="shared" si="14"/>
        <v>-1.5905123212246464E-3</v>
      </c>
      <c r="E366" s="31"/>
      <c r="F366" s="32">
        <v>43779</v>
      </c>
      <c r="G366">
        <v>656.22</v>
      </c>
      <c r="H366" s="33">
        <f t="shared" si="15"/>
        <v>3.276676109537302E-2</v>
      </c>
    </row>
    <row r="367" spans="2:8" x14ac:dyDescent="0.3">
      <c r="B367" s="32">
        <v>43772</v>
      </c>
      <c r="C367" s="31">
        <v>11908.15</v>
      </c>
      <c r="D367" s="33">
        <f t="shared" si="14"/>
        <v>1.0676351041782883E-3</v>
      </c>
      <c r="E367" s="31"/>
      <c r="F367" s="32">
        <v>43772</v>
      </c>
      <c r="G367">
        <v>545.82000000000005</v>
      </c>
      <c r="H367" s="33">
        <f t="shared" si="15"/>
        <v>-0.16823626222913046</v>
      </c>
    </row>
    <row r="368" spans="2:8" x14ac:dyDescent="0.3">
      <c r="B368" s="32">
        <v>43765</v>
      </c>
      <c r="C368" s="31">
        <v>11890.6</v>
      </c>
      <c r="D368" s="33">
        <f t="shared" si="14"/>
        <v>-1.4737805620519406E-3</v>
      </c>
      <c r="E368" s="31"/>
      <c r="F368" s="32">
        <v>43765</v>
      </c>
      <c r="G368">
        <v>602.66999999999996</v>
      </c>
      <c r="H368" s="33">
        <f t="shared" si="15"/>
        <v>0.10415521600527633</v>
      </c>
    </row>
    <row r="369" spans="2:8" x14ac:dyDescent="0.3">
      <c r="B369" s="32">
        <v>43758</v>
      </c>
      <c r="C369" s="31">
        <v>11583.9</v>
      </c>
      <c r="D369" s="33">
        <f t="shared" si="14"/>
        <v>-2.5793483928481353E-2</v>
      </c>
      <c r="E369" s="31"/>
      <c r="F369" s="32">
        <v>43758</v>
      </c>
      <c r="G369">
        <v>596.36</v>
      </c>
      <c r="H369" s="33">
        <f t="shared" si="15"/>
        <v>-1.0470074833656806E-2</v>
      </c>
    </row>
    <row r="370" spans="2:8" x14ac:dyDescent="0.3">
      <c r="B370" s="32">
        <v>43751</v>
      </c>
      <c r="C370" s="31">
        <v>11661.85</v>
      </c>
      <c r="D370" s="33">
        <f t="shared" si="14"/>
        <v>6.7291672062086416E-3</v>
      </c>
      <c r="E370" s="31"/>
      <c r="F370" s="32">
        <v>43751</v>
      </c>
      <c r="G370">
        <v>617.04</v>
      </c>
      <c r="H370" s="33">
        <f t="shared" si="15"/>
        <v>3.4677040713662732E-2</v>
      </c>
    </row>
    <row r="371" spans="2:8" x14ac:dyDescent="0.3">
      <c r="B371" s="32">
        <v>43744</v>
      </c>
      <c r="C371" s="31">
        <v>11305.05</v>
      </c>
      <c r="D371" s="33">
        <f t="shared" si="14"/>
        <v>-3.0595488708909935E-2</v>
      </c>
      <c r="E371" s="31"/>
      <c r="F371" s="32">
        <v>43744</v>
      </c>
      <c r="G371">
        <v>611.39</v>
      </c>
      <c r="H371" s="33">
        <f t="shared" si="15"/>
        <v>-9.1566186957084961E-3</v>
      </c>
    </row>
    <row r="372" spans="2:8" x14ac:dyDescent="0.3">
      <c r="B372" s="32">
        <v>43737</v>
      </c>
      <c r="C372" s="31">
        <v>11174.75</v>
      </c>
      <c r="D372" s="33">
        <f t="shared" si="14"/>
        <v>-1.1525822530638941E-2</v>
      </c>
      <c r="E372" s="31"/>
      <c r="F372" s="32">
        <v>43737</v>
      </c>
      <c r="G372">
        <v>600.33000000000004</v>
      </c>
      <c r="H372" s="33">
        <f t="shared" si="15"/>
        <v>-1.8089926233664233E-2</v>
      </c>
    </row>
    <row r="373" spans="2:8" x14ac:dyDescent="0.3">
      <c r="B373" s="32">
        <v>43730</v>
      </c>
      <c r="C373" s="31">
        <v>11512.4</v>
      </c>
      <c r="D373" s="33">
        <f t="shared" si="14"/>
        <v>3.0215441061321346E-2</v>
      </c>
      <c r="E373" s="31"/>
      <c r="F373" s="32">
        <v>43730</v>
      </c>
      <c r="G373">
        <v>571.44000000000005</v>
      </c>
      <c r="H373" s="33">
        <f t="shared" si="15"/>
        <v>-4.8123532057368412E-2</v>
      </c>
    </row>
    <row r="374" spans="2:8" x14ac:dyDescent="0.3">
      <c r="B374" s="32">
        <v>43723</v>
      </c>
      <c r="C374" s="31">
        <v>11274.2</v>
      </c>
      <c r="D374" s="33">
        <f t="shared" si="14"/>
        <v>-2.0690733469997502E-2</v>
      </c>
      <c r="E374" s="31"/>
      <c r="F374" s="32">
        <v>43723</v>
      </c>
      <c r="G374">
        <v>528.59</v>
      </c>
      <c r="H374" s="33">
        <f t="shared" si="15"/>
        <v>-7.4986000279994469E-2</v>
      </c>
    </row>
    <row r="375" spans="2:8" x14ac:dyDescent="0.3">
      <c r="B375" s="32">
        <v>43716</v>
      </c>
      <c r="C375" s="31">
        <v>11075.9</v>
      </c>
      <c r="D375" s="33">
        <f t="shared" si="14"/>
        <v>-1.7588831136577388E-2</v>
      </c>
      <c r="E375" s="31"/>
      <c r="F375" s="32">
        <v>43716</v>
      </c>
      <c r="G375">
        <v>504.37</v>
      </c>
      <c r="H375" s="33">
        <f t="shared" si="15"/>
        <v>-4.5820011729317711E-2</v>
      </c>
    </row>
    <row r="376" spans="2:8" x14ac:dyDescent="0.3">
      <c r="B376" s="32">
        <v>43709</v>
      </c>
      <c r="C376" s="31">
        <v>10946.2</v>
      </c>
      <c r="D376" s="33">
        <f t="shared" si="14"/>
        <v>-1.1710109336487196E-2</v>
      </c>
      <c r="E376" s="31"/>
      <c r="F376" s="32">
        <v>43709</v>
      </c>
      <c r="G376">
        <v>503.34</v>
      </c>
      <c r="H376" s="33">
        <f t="shared" si="15"/>
        <v>-2.0421515950592717E-3</v>
      </c>
    </row>
    <row r="377" spans="2:8" x14ac:dyDescent="0.3">
      <c r="B377" s="32">
        <v>43702</v>
      </c>
      <c r="C377" s="31">
        <v>11023.25</v>
      </c>
      <c r="D377" s="33">
        <f t="shared" si="14"/>
        <v>7.0389724287880373E-3</v>
      </c>
      <c r="E377" s="31"/>
      <c r="F377" s="32">
        <v>43702</v>
      </c>
      <c r="G377">
        <v>532.04</v>
      </c>
      <c r="H377" s="33">
        <f t="shared" si="15"/>
        <v>5.7019112329637966E-2</v>
      </c>
    </row>
    <row r="378" spans="2:8" x14ac:dyDescent="0.3">
      <c r="B378" s="32">
        <v>43695</v>
      </c>
      <c r="C378" s="31">
        <v>10829.35</v>
      </c>
      <c r="D378" s="33">
        <f t="shared" si="14"/>
        <v>-1.7590093665661222E-2</v>
      </c>
      <c r="E378" s="31"/>
      <c r="F378" s="32">
        <v>43695</v>
      </c>
      <c r="G378">
        <v>464.19</v>
      </c>
      <c r="H378" s="33">
        <f t="shared" si="15"/>
        <v>-0.12752800541312681</v>
      </c>
    </row>
    <row r="379" spans="2:8" x14ac:dyDescent="0.3">
      <c r="B379" s="32">
        <v>43688</v>
      </c>
      <c r="C379" s="31">
        <v>11047.8</v>
      </c>
      <c r="D379" s="33">
        <f t="shared" si="14"/>
        <v>2.0172032485790803E-2</v>
      </c>
      <c r="E379" s="31"/>
      <c r="F379" s="32">
        <v>43688</v>
      </c>
      <c r="G379">
        <v>472.98</v>
      </c>
      <c r="H379" s="33">
        <f t="shared" si="15"/>
        <v>1.8936211465132802E-2</v>
      </c>
    </row>
    <row r="380" spans="2:8" x14ac:dyDescent="0.3">
      <c r="B380" s="32">
        <v>43681</v>
      </c>
      <c r="C380" s="31">
        <v>11109.65</v>
      </c>
      <c r="D380" s="33">
        <f t="shared" si="14"/>
        <v>5.5983996813846471E-3</v>
      </c>
      <c r="E380" s="31"/>
      <c r="F380" s="32">
        <v>43681</v>
      </c>
      <c r="G380">
        <v>388.16</v>
      </c>
      <c r="H380" s="33">
        <f t="shared" si="15"/>
        <v>-0.17933104993868665</v>
      </c>
    </row>
    <row r="381" spans="2:8" x14ac:dyDescent="0.3">
      <c r="B381" s="32">
        <v>43674</v>
      </c>
      <c r="C381" s="31">
        <v>10997.35</v>
      </c>
      <c r="D381" s="33">
        <f t="shared" si="14"/>
        <v>-1.01083292452957E-2</v>
      </c>
      <c r="E381" s="31"/>
      <c r="F381" s="32">
        <v>43674</v>
      </c>
      <c r="G381">
        <v>392.72</v>
      </c>
      <c r="H381" s="33">
        <f t="shared" si="15"/>
        <v>1.1747732893652163E-2</v>
      </c>
    </row>
    <row r="382" spans="2:8" x14ac:dyDescent="0.3">
      <c r="B382" s="32">
        <v>43667</v>
      </c>
      <c r="C382" s="31">
        <v>11284.3</v>
      </c>
      <c r="D382" s="33">
        <f t="shared" si="14"/>
        <v>2.6092649592856398E-2</v>
      </c>
      <c r="E382" s="31"/>
      <c r="F382" s="32">
        <v>43667</v>
      </c>
      <c r="G382">
        <v>439.56</v>
      </c>
      <c r="H382" s="33">
        <f t="shared" si="15"/>
        <v>0.11927072723568943</v>
      </c>
    </row>
    <row r="383" spans="2:8" x14ac:dyDescent="0.3">
      <c r="B383" s="32">
        <v>43660</v>
      </c>
      <c r="C383" s="31">
        <v>11419.25</v>
      </c>
      <c r="D383" s="33">
        <f t="shared" si="14"/>
        <v>1.1959093607933236E-2</v>
      </c>
      <c r="E383" s="31"/>
      <c r="F383" s="32">
        <v>43660</v>
      </c>
      <c r="G383">
        <v>441.59</v>
      </c>
      <c r="H383" s="33">
        <f t="shared" si="15"/>
        <v>4.6182546182544915E-3</v>
      </c>
    </row>
    <row r="384" spans="2:8" x14ac:dyDescent="0.3">
      <c r="B384" s="32">
        <v>43653</v>
      </c>
      <c r="C384" s="31">
        <v>11552.5</v>
      </c>
      <c r="D384" s="33">
        <f t="shared" si="14"/>
        <v>1.1668892440396705E-2</v>
      </c>
      <c r="E384" s="31"/>
      <c r="F384" s="32">
        <v>43653</v>
      </c>
      <c r="G384">
        <v>443.96</v>
      </c>
      <c r="H384" s="33">
        <f t="shared" si="15"/>
        <v>5.3669693607192315E-3</v>
      </c>
    </row>
    <row r="385" spans="2:8" x14ac:dyDescent="0.3">
      <c r="B385" s="32">
        <v>43646</v>
      </c>
      <c r="C385" s="31">
        <v>11811.15</v>
      </c>
      <c r="D385" s="33">
        <f t="shared" si="14"/>
        <v>2.2389093269854943E-2</v>
      </c>
      <c r="E385" s="31"/>
      <c r="F385" s="32">
        <v>43646</v>
      </c>
      <c r="G385">
        <v>461.44</v>
      </c>
      <c r="H385" s="33">
        <f t="shared" si="15"/>
        <v>3.9372916478962017E-2</v>
      </c>
    </row>
    <row r="386" spans="2:8" x14ac:dyDescent="0.3">
      <c r="B386" s="32">
        <v>43639</v>
      </c>
      <c r="C386" s="31">
        <v>11788.85</v>
      </c>
      <c r="D386" s="33">
        <f t="shared" si="14"/>
        <v>-1.8880464645694151E-3</v>
      </c>
      <c r="E386" s="31"/>
      <c r="F386" s="32">
        <v>43639</v>
      </c>
      <c r="G386">
        <v>453.73</v>
      </c>
      <c r="H386" s="33">
        <f t="shared" si="15"/>
        <v>-1.6708564493758571E-2</v>
      </c>
    </row>
    <row r="387" spans="2:8" x14ac:dyDescent="0.3">
      <c r="B387" s="32">
        <v>43632</v>
      </c>
      <c r="C387" s="31">
        <v>11724.1</v>
      </c>
      <c r="D387" s="33">
        <f t="shared" si="14"/>
        <v>-5.4924780618974545E-3</v>
      </c>
      <c r="E387" s="31"/>
      <c r="F387" s="32">
        <v>43632</v>
      </c>
      <c r="G387">
        <v>442.94</v>
      </c>
      <c r="H387" s="33">
        <f t="shared" si="15"/>
        <v>-2.3780662508540384E-2</v>
      </c>
    </row>
    <row r="388" spans="2:8" x14ac:dyDescent="0.3">
      <c r="B388" s="32">
        <v>43625</v>
      </c>
      <c r="C388" s="31">
        <v>11823.3</v>
      </c>
      <c r="D388" s="33">
        <f t="shared" si="14"/>
        <v>8.4612038450710969E-3</v>
      </c>
      <c r="E388" s="31"/>
      <c r="F388" s="32">
        <v>43625</v>
      </c>
      <c r="G388">
        <v>441.66</v>
      </c>
      <c r="H388" s="33">
        <f t="shared" si="15"/>
        <v>-2.8897819117712498E-3</v>
      </c>
    </row>
    <row r="389" spans="2:8" x14ac:dyDescent="0.3">
      <c r="B389" s="32">
        <v>43618</v>
      </c>
      <c r="C389" s="31">
        <v>11870.65</v>
      </c>
      <c r="D389" s="33">
        <f t="shared" si="14"/>
        <v>4.0048040733129397E-3</v>
      </c>
      <c r="E389" s="31"/>
      <c r="F389" s="32">
        <v>43618</v>
      </c>
      <c r="G389">
        <v>482.03</v>
      </c>
      <c r="H389" s="33">
        <f t="shared" si="15"/>
        <v>9.1405153285332386E-2</v>
      </c>
    </row>
    <row r="390" spans="2:8" x14ac:dyDescent="0.3">
      <c r="B390" s="32">
        <v>43611</v>
      </c>
      <c r="C390" s="31">
        <v>11922.8</v>
      </c>
      <c r="D390" s="33">
        <f t="shared" si="14"/>
        <v>4.3931882415875201E-3</v>
      </c>
      <c r="E390" s="31"/>
      <c r="F390" s="32">
        <v>43611</v>
      </c>
      <c r="G390">
        <v>489.66</v>
      </c>
      <c r="H390" s="33">
        <f t="shared" si="15"/>
        <v>1.5828890318030142E-2</v>
      </c>
    </row>
    <row r="391" spans="2:8" x14ac:dyDescent="0.3">
      <c r="B391" s="32">
        <v>43604</v>
      </c>
      <c r="C391" s="31">
        <v>11844.1</v>
      </c>
      <c r="D391" s="33">
        <f t="shared" si="14"/>
        <v>-6.6007984701579314E-3</v>
      </c>
      <c r="E391" s="31"/>
      <c r="F391" s="32">
        <v>43604</v>
      </c>
      <c r="G391">
        <v>485.37</v>
      </c>
      <c r="H391" s="33">
        <f t="shared" si="15"/>
        <v>-8.761181227790793E-3</v>
      </c>
    </row>
    <row r="392" spans="2:8" x14ac:dyDescent="0.3">
      <c r="B392" s="32">
        <v>43597</v>
      </c>
      <c r="C392" s="31">
        <v>11407.15</v>
      </c>
      <c r="D392" s="33">
        <f t="shared" si="14"/>
        <v>-3.6891785783639164E-2</v>
      </c>
      <c r="E392" s="31"/>
      <c r="F392" s="32">
        <v>43597</v>
      </c>
      <c r="G392">
        <v>452.96</v>
      </c>
      <c r="H392" s="33">
        <f t="shared" si="15"/>
        <v>-6.6773801429837132E-2</v>
      </c>
    </row>
    <row r="393" spans="2:8" x14ac:dyDescent="0.3">
      <c r="B393" s="32">
        <v>43590</v>
      </c>
      <c r="C393" s="31">
        <v>11278.9</v>
      </c>
      <c r="D393" s="33">
        <f t="shared" si="14"/>
        <v>-1.1242948501597683E-2</v>
      </c>
      <c r="E393" s="31"/>
      <c r="F393" s="32">
        <v>43590</v>
      </c>
      <c r="G393">
        <v>455.64</v>
      </c>
      <c r="H393" s="33">
        <f t="shared" si="15"/>
        <v>5.9166372306604931E-3</v>
      </c>
    </row>
    <row r="394" spans="2:8" x14ac:dyDescent="0.3">
      <c r="B394" s="32">
        <v>43583</v>
      </c>
      <c r="C394" s="31">
        <v>11712.25</v>
      </c>
      <c r="D394" s="33">
        <f t="shared" si="14"/>
        <v>3.8421299949463084E-2</v>
      </c>
      <c r="E394" s="31"/>
      <c r="F394" s="32">
        <v>43583</v>
      </c>
      <c r="G394">
        <v>470.58</v>
      </c>
      <c r="H394" s="33">
        <f t="shared" si="15"/>
        <v>3.2789043982091037E-2</v>
      </c>
    </row>
    <row r="395" spans="2:8" x14ac:dyDescent="0.3">
      <c r="B395" s="32">
        <v>43576</v>
      </c>
      <c r="C395" s="31">
        <v>11754.65</v>
      </c>
      <c r="D395" s="33">
        <f t="shared" si="14"/>
        <v>3.6201413050438447E-3</v>
      </c>
      <c r="E395" s="31"/>
      <c r="F395" s="32">
        <v>43576</v>
      </c>
      <c r="G395">
        <v>470.79</v>
      </c>
      <c r="H395" s="33">
        <f t="shared" si="15"/>
        <v>4.4625780951168537E-4</v>
      </c>
    </row>
    <row r="396" spans="2:8" x14ac:dyDescent="0.3">
      <c r="B396" s="32">
        <v>43569</v>
      </c>
      <c r="C396" s="31">
        <v>11752.8</v>
      </c>
      <c r="D396" s="33">
        <f t="shared" si="14"/>
        <v>-1.5738452442226603E-4</v>
      </c>
      <c r="E396" s="31"/>
      <c r="F396" s="32">
        <v>43569</v>
      </c>
      <c r="G396">
        <v>466.07</v>
      </c>
      <c r="H396" s="33">
        <f t="shared" si="15"/>
        <v>-1.0025701480490312E-2</v>
      </c>
    </row>
    <row r="397" spans="2:8" x14ac:dyDescent="0.3">
      <c r="B397" s="32">
        <v>43562</v>
      </c>
      <c r="C397" s="31">
        <v>11643.45</v>
      </c>
      <c r="D397" s="33">
        <f t="shared" si="14"/>
        <v>-9.3041658158055096E-3</v>
      </c>
      <c r="E397" s="31"/>
      <c r="F397" s="32">
        <v>43562</v>
      </c>
      <c r="G397">
        <v>482.17</v>
      </c>
      <c r="H397" s="33">
        <f t="shared" si="15"/>
        <v>3.4544167185186714E-2</v>
      </c>
    </row>
    <row r="398" spans="2:8" x14ac:dyDescent="0.3">
      <c r="B398" s="32">
        <v>43555</v>
      </c>
      <c r="C398" s="31">
        <v>11665.95</v>
      </c>
      <c r="D398" s="33">
        <f t="shared" si="14"/>
        <v>1.9324169382786138E-3</v>
      </c>
      <c r="E398" s="31"/>
      <c r="F398" s="32">
        <v>43555</v>
      </c>
      <c r="G398">
        <v>477.41</v>
      </c>
      <c r="H398" s="33">
        <f t="shared" si="15"/>
        <v>-9.8720368334819231E-3</v>
      </c>
    </row>
    <row r="399" spans="2:8" x14ac:dyDescent="0.3">
      <c r="B399" s="32">
        <v>43548</v>
      </c>
      <c r="C399" s="31">
        <v>11623.9</v>
      </c>
      <c r="D399" s="33">
        <f t="shared" si="14"/>
        <v>-3.6045071340097268E-3</v>
      </c>
      <c r="E399" s="31"/>
      <c r="F399" s="32">
        <v>43548</v>
      </c>
      <c r="G399">
        <v>470.2</v>
      </c>
      <c r="H399" s="33">
        <f t="shared" si="15"/>
        <v>-1.5102322950922731E-2</v>
      </c>
    </row>
    <row r="400" spans="2:8" x14ac:dyDescent="0.3">
      <c r="B400" s="32">
        <v>43541</v>
      </c>
      <c r="C400" s="31">
        <v>11456.9</v>
      </c>
      <c r="D400" s="33">
        <f t="shared" si="14"/>
        <v>-1.4366950851263383E-2</v>
      </c>
      <c r="E400" s="31"/>
      <c r="F400" s="32">
        <v>43541</v>
      </c>
      <c r="G400">
        <v>494.18</v>
      </c>
      <c r="H400" s="33">
        <f t="shared" si="15"/>
        <v>5.0999574649085444E-2</v>
      </c>
    </row>
    <row r="401" spans="2:8" x14ac:dyDescent="0.3">
      <c r="B401" s="32">
        <v>43534</v>
      </c>
      <c r="C401" s="31">
        <v>11426.85</v>
      </c>
      <c r="D401" s="33">
        <f t="shared" si="14"/>
        <v>-2.622873552182492E-3</v>
      </c>
      <c r="E401" s="31"/>
      <c r="F401" s="32">
        <v>43534</v>
      </c>
      <c r="G401">
        <v>502.06</v>
      </c>
      <c r="H401" s="33">
        <f t="shared" si="15"/>
        <v>1.5945606863895678E-2</v>
      </c>
    </row>
    <row r="402" spans="2:8" x14ac:dyDescent="0.3">
      <c r="B402" s="32">
        <v>43527</v>
      </c>
      <c r="C402" s="31">
        <v>11035.4</v>
      </c>
      <c r="D402" s="33">
        <f t="shared" si="14"/>
        <v>-3.4257034965891831E-2</v>
      </c>
      <c r="E402" s="31"/>
      <c r="F402" s="32">
        <v>43527</v>
      </c>
      <c r="G402">
        <v>494.91</v>
      </c>
      <c r="H402" s="33">
        <f t="shared" si="15"/>
        <v>-1.4241325737959554E-2</v>
      </c>
    </row>
    <row r="403" spans="2:8" x14ac:dyDescent="0.3">
      <c r="B403" s="32">
        <v>43520</v>
      </c>
      <c r="C403" s="31">
        <v>10863.5</v>
      </c>
      <c r="D403" s="33">
        <f t="shared" si="14"/>
        <v>-1.5577142650017195E-2</v>
      </c>
      <c r="E403" s="31"/>
      <c r="F403" s="32">
        <v>43520</v>
      </c>
      <c r="G403">
        <v>450.41</v>
      </c>
      <c r="H403" s="33">
        <f t="shared" si="15"/>
        <v>-8.991533814228847E-2</v>
      </c>
    </row>
    <row r="404" spans="2:8" x14ac:dyDescent="0.3">
      <c r="B404" s="32">
        <v>43513</v>
      </c>
      <c r="C404" s="31">
        <v>10791.65</v>
      </c>
      <c r="D404" s="33">
        <f t="shared" si="14"/>
        <v>-6.6138905509274259E-3</v>
      </c>
      <c r="E404" s="31"/>
      <c r="F404" s="32">
        <v>43513</v>
      </c>
      <c r="G404">
        <v>450.77</v>
      </c>
      <c r="H404" s="33">
        <f t="shared" si="15"/>
        <v>7.9927177460525911E-4</v>
      </c>
    </row>
    <row r="405" spans="2:8" x14ac:dyDescent="0.3">
      <c r="B405" s="32">
        <v>43506</v>
      </c>
      <c r="C405" s="31">
        <v>10724.4</v>
      </c>
      <c r="D405" s="33">
        <f t="shared" si="14"/>
        <v>-6.2316698558607664E-3</v>
      </c>
      <c r="E405" s="31"/>
      <c r="F405" s="32">
        <v>43506</v>
      </c>
      <c r="G405">
        <v>432.37</v>
      </c>
      <c r="H405" s="33">
        <f t="shared" si="15"/>
        <v>-4.081904297091643E-2</v>
      </c>
    </row>
    <row r="406" spans="2:8" x14ac:dyDescent="0.3">
      <c r="B406" s="32">
        <v>43499</v>
      </c>
      <c r="C406" s="31">
        <v>10943.6</v>
      </c>
      <c r="D406" s="33">
        <f t="shared" si="14"/>
        <v>2.0439371899593439E-2</v>
      </c>
      <c r="E406" s="31"/>
      <c r="F406" s="32">
        <v>43499</v>
      </c>
      <c r="G406">
        <v>435.99</v>
      </c>
      <c r="H406" s="33">
        <f t="shared" si="15"/>
        <v>8.3724587737354916E-3</v>
      </c>
    </row>
    <row r="407" spans="2:8" x14ac:dyDescent="0.3">
      <c r="B407" s="32">
        <v>43492</v>
      </c>
      <c r="C407" s="31">
        <v>10893.65</v>
      </c>
      <c r="D407" s="33">
        <f t="shared" si="14"/>
        <v>-4.5643115610951579E-3</v>
      </c>
      <c r="E407" s="31"/>
      <c r="F407" s="32">
        <v>43492</v>
      </c>
      <c r="G407">
        <v>458.13</v>
      </c>
      <c r="H407" s="33">
        <f t="shared" si="15"/>
        <v>5.0780981215165388E-2</v>
      </c>
    </row>
    <row r="408" spans="2:8" x14ac:dyDescent="0.3">
      <c r="B408" s="32">
        <v>43485</v>
      </c>
      <c r="C408" s="31">
        <v>10780.55</v>
      </c>
      <c r="D408" s="33">
        <f t="shared" si="14"/>
        <v>-1.0382195132026539E-2</v>
      </c>
      <c r="E408" s="31"/>
      <c r="F408" s="32">
        <v>43485</v>
      </c>
      <c r="G408">
        <v>449.2</v>
      </c>
      <c r="H408" s="33">
        <f t="shared" si="15"/>
        <v>-1.9492283849562364E-2</v>
      </c>
    </row>
    <row r="409" spans="2:8" x14ac:dyDescent="0.3">
      <c r="B409" s="32">
        <v>43478</v>
      </c>
      <c r="C409" s="31">
        <v>10906.95</v>
      </c>
      <c r="D409" s="33">
        <f t="shared" si="14"/>
        <v>1.1724819234640194E-2</v>
      </c>
      <c r="E409" s="31"/>
      <c r="F409" s="32">
        <v>43478</v>
      </c>
      <c r="G409">
        <v>435.18</v>
      </c>
      <c r="H409" s="33">
        <f t="shared" si="15"/>
        <v>-3.1211041852181598E-2</v>
      </c>
    </row>
    <row r="410" spans="2:8" x14ac:dyDescent="0.3">
      <c r="B410" s="32">
        <v>43471</v>
      </c>
      <c r="C410" s="31">
        <v>10794.95</v>
      </c>
      <c r="D410" s="33">
        <f t="shared" si="14"/>
        <v>-1.0268681895488685E-2</v>
      </c>
      <c r="E410" s="31"/>
      <c r="F410" s="32">
        <v>43471</v>
      </c>
      <c r="G410">
        <v>412.39</v>
      </c>
      <c r="H410" s="33">
        <f t="shared" si="15"/>
        <v>-5.2369134610965595E-2</v>
      </c>
    </row>
    <row r="411" spans="2:8" x14ac:dyDescent="0.3">
      <c r="B411" s="32">
        <v>43464</v>
      </c>
      <c r="C411" s="31">
        <v>10727.35</v>
      </c>
      <c r="D411" s="33">
        <f t="shared" si="14"/>
        <v>-6.2621874117064769E-3</v>
      </c>
      <c r="E411" s="31"/>
      <c r="F411" s="32">
        <v>43464</v>
      </c>
      <c r="G411">
        <v>408.84</v>
      </c>
      <c r="H411" s="33">
        <f t="shared" si="15"/>
        <v>-8.6083561677053888E-3</v>
      </c>
    </row>
    <row r="412" spans="2:8" x14ac:dyDescent="0.3">
      <c r="B412" s="32">
        <v>43457</v>
      </c>
      <c r="C412" s="31">
        <v>10859.9</v>
      </c>
      <c r="D412" s="33">
        <f t="shared" si="14"/>
        <v>1.2356266925195758E-2</v>
      </c>
      <c r="E412" s="31"/>
      <c r="F412" s="32">
        <v>43457</v>
      </c>
      <c r="G412">
        <v>412.42</v>
      </c>
      <c r="H412" s="33">
        <f t="shared" si="15"/>
        <v>8.7564817532532757E-3</v>
      </c>
    </row>
    <row r="413" spans="2:8" x14ac:dyDescent="0.3">
      <c r="B413" s="32">
        <v>43450</v>
      </c>
      <c r="C413" s="31">
        <v>10754</v>
      </c>
      <c r="D413" s="33">
        <f t="shared" si="14"/>
        <v>-9.7514710080203182E-3</v>
      </c>
      <c r="E413" s="31"/>
      <c r="F413" s="32">
        <v>43450</v>
      </c>
      <c r="G413">
        <v>428.99</v>
      </c>
      <c r="H413" s="33">
        <f t="shared" si="15"/>
        <v>4.017748896755724E-2</v>
      </c>
    </row>
    <row r="414" spans="2:8" x14ac:dyDescent="0.3">
      <c r="B414" s="32">
        <v>43443</v>
      </c>
      <c r="C414" s="31">
        <v>10805.45</v>
      </c>
      <c r="D414" s="33">
        <f t="shared" si="14"/>
        <v>4.7842663195090118E-3</v>
      </c>
      <c r="E414" s="31"/>
      <c r="F414" s="32">
        <v>43443</v>
      </c>
      <c r="G414">
        <v>392.08</v>
      </c>
      <c r="H414" s="33">
        <f t="shared" si="15"/>
        <v>-8.6039301615422281E-2</v>
      </c>
    </row>
    <row r="415" spans="2:8" x14ac:dyDescent="0.3">
      <c r="B415" s="32">
        <v>43436</v>
      </c>
      <c r="C415" s="31">
        <v>10693.7</v>
      </c>
      <c r="D415" s="33">
        <f t="shared" si="14"/>
        <v>-1.0342003340906625E-2</v>
      </c>
      <c r="E415" s="31"/>
      <c r="F415" s="32">
        <v>43436</v>
      </c>
      <c r="G415">
        <v>391.46</v>
      </c>
      <c r="H415" s="33">
        <f t="shared" si="15"/>
        <v>-1.5813099367476546E-3</v>
      </c>
    </row>
    <row r="416" spans="2:8" x14ac:dyDescent="0.3">
      <c r="B416" s="32">
        <v>43429</v>
      </c>
      <c r="C416" s="31">
        <v>10876.75</v>
      </c>
      <c r="D416" s="33">
        <f t="shared" si="14"/>
        <v>1.711755519604985E-2</v>
      </c>
      <c r="E416" s="31"/>
      <c r="F416" s="32">
        <v>43429</v>
      </c>
      <c r="G416">
        <v>407.61</v>
      </c>
      <c r="H416" s="33">
        <f t="shared" si="15"/>
        <v>4.1255811577172619E-2</v>
      </c>
    </row>
    <row r="417" spans="2:8" x14ac:dyDescent="0.3">
      <c r="B417" s="32">
        <v>43422</v>
      </c>
      <c r="C417" s="31">
        <v>10526.75</v>
      </c>
      <c r="D417" s="33">
        <f t="shared" si="14"/>
        <v>-3.2178729859562827E-2</v>
      </c>
      <c r="E417" s="31"/>
      <c r="F417" s="32">
        <v>43422</v>
      </c>
      <c r="G417">
        <v>411.96</v>
      </c>
      <c r="H417" s="33">
        <f t="shared" si="15"/>
        <v>1.0671965849709197E-2</v>
      </c>
    </row>
    <row r="418" spans="2:8" x14ac:dyDescent="0.3">
      <c r="B418" s="32">
        <v>43415</v>
      </c>
      <c r="C418" s="31">
        <v>10682.2</v>
      </c>
      <c r="D418" s="33">
        <f t="shared" si="14"/>
        <v>1.4767140855439731E-2</v>
      </c>
      <c r="E418" s="31"/>
      <c r="F418" s="32">
        <v>43415</v>
      </c>
      <c r="G418">
        <v>398.82</v>
      </c>
      <c r="H418" s="33">
        <f t="shared" si="15"/>
        <v>-3.1896300611709894E-2</v>
      </c>
    </row>
    <row r="419" spans="2:8" x14ac:dyDescent="0.3">
      <c r="B419" s="32">
        <v>43408</v>
      </c>
      <c r="C419" s="31">
        <v>10585.2</v>
      </c>
      <c r="D419" s="33">
        <f t="shared" si="14"/>
        <v>-9.080526483308704E-3</v>
      </c>
      <c r="E419" s="31"/>
      <c r="F419" s="32">
        <v>43408</v>
      </c>
      <c r="G419">
        <v>428.12</v>
      </c>
      <c r="H419" s="33">
        <f t="shared" si="15"/>
        <v>7.3466726844190422E-2</v>
      </c>
    </row>
    <row r="420" spans="2:8" x14ac:dyDescent="0.3">
      <c r="B420" s="32">
        <v>43401</v>
      </c>
      <c r="C420" s="31">
        <v>10553</v>
      </c>
      <c r="D420" s="33">
        <f t="shared" si="14"/>
        <v>-3.0419831462797919E-3</v>
      </c>
      <c r="E420" s="31"/>
      <c r="F420" s="32">
        <v>43401</v>
      </c>
      <c r="G420">
        <v>428.06</v>
      </c>
      <c r="H420" s="33">
        <f t="shared" si="15"/>
        <v>-1.4014762216196797E-4</v>
      </c>
    </row>
    <row r="421" spans="2:8" x14ac:dyDescent="0.3">
      <c r="B421" s="32">
        <v>43394</v>
      </c>
      <c r="C421" s="31">
        <v>10030</v>
      </c>
      <c r="D421" s="33">
        <f t="shared" ref="D421:D477" si="16">C421/C420-1</f>
        <v>-4.9559367004643251E-2</v>
      </c>
      <c r="E421" s="31"/>
      <c r="F421" s="32">
        <v>43394</v>
      </c>
      <c r="G421">
        <v>416.85</v>
      </c>
      <c r="H421" s="33">
        <f t="shared" ref="H421:H477" si="17">G421/G420-1</f>
        <v>-2.6187917581647402E-2</v>
      </c>
    </row>
    <row r="422" spans="2:8" x14ac:dyDescent="0.3">
      <c r="B422" s="32">
        <v>43387</v>
      </c>
      <c r="C422" s="31">
        <v>10303.549999999999</v>
      </c>
      <c r="D422" s="33">
        <f t="shared" si="16"/>
        <v>2.7273180458624147E-2</v>
      </c>
      <c r="E422" s="31"/>
      <c r="F422" s="32">
        <v>43387</v>
      </c>
      <c r="G422">
        <v>451.94</v>
      </c>
      <c r="H422" s="33">
        <f t="shared" si="17"/>
        <v>8.4178961257046936E-2</v>
      </c>
    </row>
    <row r="423" spans="2:8" x14ac:dyDescent="0.3">
      <c r="B423" s="32">
        <v>43380</v>
      </c>
      <c r="C423" s="31">
        <v>10472.5</v>
      </c>
      <c r="D423" s="33">
        <f t="shared" si="16"/>
        <v>1.6397261138151542E-2</v>
      </c>
      <c r="E423" s="31"/>
      <c r="F423" s="32">
        <v>43380</v>
      </c>
      <c r="G423">
        <v>485.86</v>
      </c>
      <c r="H423" s="33">
        <f t="shared" si="17"/>
        <v>7.5054210735938431E-2</v>
      </c>
    </row>
    <row r="424" spans="2:8" x14ac:dyDescent="0.3">
      <c r="B424" s="32">
        <v>43373</v>
      </c>
      <c r="C424" s="31">
        <v>10316.450000000001</v>
      </c>
      <c r="D424" s="33">
        <f t="shared" si="16"/>
        <v>-1.490093100978751E-2</v>
      </c>
      <c r="E424" s="31"/>
      <c r="F424" s="32">
        <v>43373</v>
      </c>
      <c r="G424">
        <v>491.04</v>
      </c>
      <c r="H424" s="33">
        <f t="shared" si="17"/>
        <v>1.0661507430123951E-2</v>
      </c>
    </row>
    <row r="425" spans="2:8" x14ac:dyDescent="0.3">
      <c r="B425" s="32">
        <v>43366</v>
      </c>
      <c r="C425" s="31">
        <v>10930.45</v>
      </c>
      <c r="D425" s="33">
        <f t="shared" si="16"/>
        <v>5.9516597279102745E-2</v>
      </c>
      <c r="E425" s="31"/>
      <c r="F425" s="32">
        <v>43366</v>
      </c>
      <c r="G425">
        <v>522.36</v>
      </c>
      <c r="H425" s="33">
        <f t="shared" si="17"/>
        <v>6.3782991202345984E-2</v>
      </c>
    </row>
    <row r="426" spans="2:8" x14ac:dyDescent="0.3">
      <c r="B426" s="32">
        <v>43359</v>
      </c>
      <c r="C426" s="31">
        <v>11143.1</v>
      </c>
      <c r="D426" s="33">
        <f t="shared" si="16"/>
        <v>1.9454825739104953E-2</v>
      </c>
      <c r="E426" s="31"/>
      <c r="F426" s="32">
        <v>43359</v>
      </c>
      <c r="G426">
        <v>530.9</v>
      </c>
      <c r="H426" s="33">
        <f t="shared" si="17"/>
        <v>1.6348878168312986E-2</v>
      </c>
    </row>
    <row r="427" spans="2:8" x14ac:dyDescent="0.3">
      <c r="B427" s="32">
        <v>43352</v>
      </c>
      <c r="C427" s="31">
        <v>11515.2</v>
      </c>
      <c r="D427" s="33">
        <f t="shared" si="16"/>
        <v>3.3392861950444663E-2</v>
      </c>
      <c r="E427" s="31"/>
      <c r="F427" s="32">
        <v>43352</v>
      </c>
      <c r="G427">
        <v>548.63</v>
      </c>
      <c r="H427" s="33">
        <f t="shared" si="17"/>
        <v>3.3396119796571977E-2</v>
      </c>
    </row>
    <row r="428" spans="2:8" x14ac:dyDescent="0.3">
      <c r="B428" s="32">
        <v>43345</v>
      </c>
      <c r="C428" s="31">
        <v>11589.1</v>
      </c>
      <c r="D428" s="33">
        <f t="shared" si="16"/>
        <v>6.4176045574544371E-3</v>
      </c>
      <c r="E428" s="31"/>
      <c r="F428" s="32">
        <v>43345</v>
      </c>
      <c r="G428">
        <v>555.47</v>
      </c>
      <c r="H428" s="33">
        <f t="shared" si="17"/>
        <v>1.2467418843300715E-2</v>
      </c>
    </row>
    <row r="429" spans="2:8" x14ac:dyDescent="0.3">
      <c r="B429" s="32">
        <v>43338</v>
      </c>
      <c r="C429" s="31">
        <v>11680.5</v>
      </c>
      <c r="D429" s="33">
        <f t="shared" si="16"/>
        <v>7.8867211431430384E-3</v>
      </c>
      <c r="E429" s="31"/>
      <c r="F429" s="32">
        <v>43338</v>
      </c>
      <c r="G429">
        <v>601.72</v>
      </c>
      <c r="H429" s="33">
        <f t="shared" si="17"/>
        <v>8.3262822474660991E-2</v>
      </c>
    </row>
    <row r="430" spans="2:8" x14ac:dyDescent="0.3">
      <c r="B430" s="32">
        <v>43331</v>
      </c>
      <c r="C430" s="31">
        <v>11557.1</v>
      </c>
      <c r="D430" s="33">
        <f t="shared" si="16"/>
        <v>-1.0564616240743119E-2</v>
      </c>
      <c r="E430" s="31"/>
      <c r="F430" s="32">
        <v>43331</v>
      </c>
      <c r="G430">
        <v>519.05999999999995</v>
      </c>
      <c r="H430" s="33">
        <f t="shared" si="17"/>
        <v>-0.13737286445522845</v>
      </c>
    </row>
    <row r="431" spans="2:8" x14ac:dyDescent="0.3">
      <c r="B431" s="32">
        <v>43324</v>
      </c>
      <c r="C431" s="31">
        <v>11470.75</v>
      </c>
      <c r="D431" s="33">
        <f t="shared" si="16"/>
        <v>-7.471597546097275E-3</v>
      </c>
      <c r="E431" s="31"/>
      <c r="F431" s="32">
        <v>43324</v>
      </c>
      <c r="G431">
        <v>505.75</v>
      </c>
      <c r="H431" s="33">
        <f t="shared" si="17"/>
        <v>-2.5642507609910159E-2</v>
      </c>
    </row>
    <row r="432" spans="2:8" x14ac:dyDescent="0.3">
      <c r="B432" s="32">
        <v>43317</v>
      </c>
      <c r="C432" s="31">
        <v>11429.5</v>
      </c>
      <c r="D432" s="33">
        <f t="shared" si="16"/>
        <v>-3.5961031318788583E-3</v>
      </c>
      <c r="E432" s="31"/>
      <c r="F432" s="32">
        <v>43317</v>
      </c>
      <c r="G432">
        <v>500.41</v>
      </c>
      <c r="H432" s="33">
        <f t="shared" si="17"/>
        <v>-1.0558576371725081E-2</v>
      </c>
    </row>
    <row r="433" spans="2:8" x14ac:dyDescent="0.3">
      <c r="B433" s="32">
        <v>43310</v>
      </c>
      <c r="C433" s="31">
        <v>11360.8</v>
      </c>
      <c r="D433" s="33">
        <f t="shared" si="16"/>
        <v>-6.0107616256179774E-3</v>
      </c>
      <c r="E433" s="31"/>
      <c r="F433" s="32">
        <v>43310</v>
      </c>
      <c r="G433">
        <v>563.24</v>
      </c>
      <c r="H433" s="33">
        <f t="shared" si="17"/>
        <v>0.12555704322455585</v>
      </c>
    </row>
    <row r="434" spans="2:8" x14ac:dyDescent="0.3">
      <c r="B434" s="32">
        <v>43303</v>
      </c>
      <c r="C434" s="31">
        <v>11278.35</v>
      </c>
      <c r="D434" s="33">
        <f t="shared" si="16"/>
        <v>-7.2574114498977771E-3</v>
      </c>
      <c r="E434" s="31"/>
      <c r="F434" s="32">
        <v>43303</v>
      </c>
      <c r="G434">
        <v>566.45000000000005</v>
      </c>
      <c r="H434" s="33">
        <f t="shared" si="17"/>
        <v>5.699169093104306E-3</v>
      </c>
    </row>
    <row r="435" spans="2:8" x14ac:dyDescent="0.3">
      <c r="B435" s="32">
        <v>43296</v>
      </c>
      <c r="C435" s="31">
        <v>11010.2</v>
      </c>
      <c r="D435" s="33">
        <f t="shared" si="16"/>
        <v>-2.3775640940385756E-2</v>
      </c>
      <c r="E435" s="31"/>
      <c r="F435" s="32">
        <v>43296</v>
      </c>
      <c r="G435">
        <v>560.98</v>
      </c>
      <c r="H435" s="33">
        <f t="shared" si="17"/>
        <v>-9.6566334186600766E-3</v>
      </c>
    </row>
    <row r="436" spans="2:8" x14ac:dyDescent="0.3">
      <c r="B436" s="32">
        <v>43289</v>
      </c>
      <c r="C436" s="31">
        <v>11018.9</v>
      </c>
      <c r="D436" s="33">
        <f t="shared" si="16"/>
        <v>7.9017638190026496E-4</v>
      </c>
      <c r="E436" s="31"/>
      <c r="F436" s="32">
        <v>43289</v>
      </c>
      <c r="G436">
        <v>583.39</v>
      </c>
      <c r="H436" s="33">
        <f t="shared" si="17"/>
        <v>3.9947948233448605E-2</v>
      </c>
    </row>
    <row r="437" spans="2:8" x14ac:dyDescent="0.3">
      <c r="B437" s="32">
        <v>43282</v>
      </c>
      <c r="C437" s="31">
        <v>10772.65</v>
      </c>
      <c r="D437" s="33">
        <f t="shared" si="16"/>
        <v>-2.2347965767907874E-2</v>
      </c>
      <c r="E437" s="31"/>
      <c r="F437" s="32">
        <v>43282</v>
      </c>
      <c r="G437">
        <v>577.52</v>
      </c>
      <c r="H437" s="33">
        <f t="shared" si="17"/>
        <v>-1.0061879703114562E-2</v>
      </c>
    </row>
    <row r="438" spans="2:8" x14ac:dyDescent="0.3">
      <c r="B438" s="32">
        <v>43275</v>
      </c>
      <c r="C438" s="31">
        <v>10714.3</v>
      </c>
      <c r="D438" s="33">
        <f t="shared" si="16"/>
        <v>-5.4164945486950833E-3</v>
      </c>
      <c r="E438" s="31"/>
      <c r="F438" s="32">
        <v>43275</v>
      </c>
      <c r="G438">
        <v>586.01</v>
      </c>
      <c r="H438" s="33">
        <f t="shared" si="17"/>
        <v>1.470078958304466E-2</v>
      </c>
    </row>
    <row r="439" spans="2:8" x14ac:dyDescent="0.3">
      <c r="B439" s="32">
        <v>43268</v>
      </c>
      <c r="C439" s="31">
        <v>10821.85</v>
      </c>
      <c r="D439" s="33">
        <f t="shared" si="16"/>
        <v>1.0037986616017847E-2</v>
      </c>
      <c r="E439" s="31"/>
      <c r="F439" s="32">
        <v>43268</v>
      </c>
      <c r="G439">
        <v>585.39</v>
      </c>
      <c r="H439" s="33">
        <f t="shared" si="17"/>
        <v>-1.0580024231668927E-3</v>
      </c>
    </row>
    <row r="440" spans="2:8" x14ac:dyDescent="0.3">
      <c r="B440" s="32">
        <v>43261</v>
      </c>
      <c r="C440" s="31">
        <v>10817.7</v>
      </c>
      <c r="D440" s="33">
        <f t="shared" si="16"/>
        <v>-3.8348341549732101E-4</v>
      </c>
      <c r="E440" s="31"/>
      <c r="F440" s="32">
        <v>43261</v>
      </c>
      <c r="G440">
        <v>624.61</v>
      </c>
      <c r="H440" s="33">
        <f t="shared" si="17"/>
        <v>6.6998069662959736E-2</v>
      </c>
    </row>
    <row r="441" spans="2:8" x14ac:dyDescent="0.3">
      <c r="B441" s="32">
        <v>43254</v>
      </c>
      <c r="C441" s="31">
        <v>10767.65</v>
      </c>
      <c r="D441" s="33">
        <f t="shared" si="16"/>
        <v>-4.6266766503046952E-3</v>
      </c>
      <c r="E441" s="31"/>
      <c r="F441" s="32">
        <v>43254</v>
      </c>
      <c r="G441">
        <v>639.21</v>
      </c>
      <c r="H441" s="33">
        <f t="shared" si="17"/>
        <v>2.337458574150264E-2</v>
      </c>
    </row>
    <row r="442" spans="2:8" x14ac:dyDescent="0.3">
      <c r="B442" s="32">
        <v>43247</v>
      </c>
      <c r="C442" s="31">
        <v>10696.2</v>
      </c>
      <c r="D442" s="33">
        <f t="shared" si="16"/>
        <v>-6.6356168709048591E-3</v>
      </c>
      <c r="E442" s="31"/>
      <c r="F442" s="32">
        <v>43247</v>
      </c>
      <c r="G442">
        <v>654.44000000000005</v>
      </c>
      <c r="H442" s="33">
        <f t="shared" si="17"/>
        <v>2.3826285571252104E-2</v>
      </c>
    </row>
    <row r="443" spans="2:8" x14ac:dyDescent="0.3">
      <c r="B443" s="32">
        <v>43240</v>
      </c>
      <c r="C443" s="31">
        <v>10605.15</v>
      </c>
      <c r="D443" s="33">
        <f t="shared" si="16"/>
        <v>-8.5123688786672425E-3</v>
      </c>
      <c r="E443" s="31"/>
      <c r="F443" s="32">
        <v>43240</v>
      </c>
      <c r="G443">
        <v>683.23</v>
      </c>
      <c r="H443" s="33">
        <f t="shared" si="17"/>
        <v>4.3991809791577463E-2</v>
      </c>
    </row>
    <row r="444" spans="2:8" x14ac:dyDescent="0.3">
      <c r="B444" s="32">
        <v>43233</v>
      </c>
      <c r="C444" s="31">
        <v>10596.4</v>
      </c>
      <c r="D444" s="33">
        <f t="shared" si="16"/>
        <v>-8.250708382248062E-4</v>
      </c>
      <c r="E444" s="31"/>
      <c r="F444" s="32">
        <v>43233</v>
      </c>
      <c r="G444">
        <v>710.06</v>
      </c>
      <c r="H444" s="33">
        <f t="shared" si="17"/>
        <v>3.9269352926539991E-2</v>
      </c>
    </row>
    <row r="445" spans="2:8" x14ac:dyDescent="0.3">
      <c r="B445" s="32">
        <v>43226</v>
      </c>
      <c r="C445" s="31">
        <v>10806.5</v>
      </c>
      <c r="D445" s="33">
        <f t="shared" si="16"/>
        <v>1.9827488581027453E-2</v>
      </c>
      <c r="E445" s="31"/>
      <c r="F445" s="32">
        <v>43226</v>
      </c>
      <c r="G445">
        <v>721.77</v>
      </c>
      <c r="H445" s="33">
        <f t="shared" si="17"/>
        <v>1.6491564093175315E-2</v>
      </c>
    </row>
    <row r="446" spans="2:8" x14ac:dyDescent="0.3">
      <c r="B446" s="32">
        <v>43219</v>
      </c>
      <c r="C446" s="31">
        <v>10618.25</v>
      </c>
      <c r="D446" s="33">
        <f t="shared" si="16"/>
        <v>-1.7420071253412273E-2</v>
      </c>
      <c r="E446" s="31"/>
      <c r="F446" s="32">
        <v>43219</v>
      </c>
      <c r="G446">
        <v>725.14</v>
      </c>
      <c r="H446" s="33">
        <f t="shared" si="17"/>
        <v>4.6690774069302332E-3</v>
      </c>
    </row>
    <row r="447" spans="2:8" x14ac:dyDescent="0.3">
      <c r="B447" s="32">
        <v>43212</v>
      </c>
      <c r="C447" s="31">
        <v>10692.3</v>
      </c>
      <c r="D447" s="33">
        <f t="shared" si="16"/>
        <v>6.9738422056364602E-3</v>
      </c>
      <c r="E447" s="31"/>
      <c r="F447" s="32">
        <v>43212</v>
      </c>
      <c r="G447">
        <v>692.64</v>
      </c>
      <c r="H447" s="33">
        <f t="shared" si="17"/>
        <v>-4.48189315166726E-2</v>
      </c>
    </row>
    <row r="448" spans="2:8" x14ac:dyDescent="0.3">
      <c r="B448" s="32">
        <v>43205</v>
      </c>
      <c r="C448" s="31">
        <v>10564.05</v>
      </c>
      <c r="D448" s="33">
        <f t="shared" si="16"/>
        <v>-1.199461294576476E-2</v>
      </c>
      <c r="E448" s="31"/>
      <c r="F448" s="32">
        <v>43205</v>
      </c>
      <c r="G448">
        <v>678.93</v>
      </c>
      <c r="H448" s="33">
        <f t="shared" si="17"/>
        <v>-1.9793832293832359E-2</v>
      </c>
    </row>
    <row r="449" spans="2:8" x14ac:dyDescent="0.3">
      <c r="B449" s="32">
        <v>43198</v>
      </c>
      <c r="C449" s="31">
        <v>10480.6</v>
      </c>
      <c r="D449" s="33">
        <f t="shared" si="16"/>
        <v>-7.899432509312132E-3</v>
      </c>
      <c r="E449" s="31"/>
      <c r="F449" s="32">
        <v>43198</v>
      </c>
      <c r="G449">
        <v>719.47</v>
      </c>
      <c r="H449" s="33">
        <f t="shared" si="17"/>
        <v>5.9711605025555059E-2</v>
      </c>
    </row>
    <row r="450" spans="2:8" x14ac:dyDescent="0.3">
      <c r="B450" s="32">
        <v>43191</v>
      </c>
      <c r="C450" s="31">
        <v>10331.6</v>
      </c>
      <c r="D450" s="33">
        <f t="shared" si="16"/>
        <v>-1.4216743316222358E-2</v>
      </c>
      <c r="E450" s="31"/>
      <c r="F450" s="32">
        <v>43191</v>
      </c>
      <c r="G450">
        <v>709.07</v>
      </c>
      <c r="H450" s="33">
        <f t="shared" si="17"/>
        <v>-1.4455084993119871E-2</v>
      </c>
    </row>
    <row r="451" spans="2:8" x14ac:dyDescent="0.3">
      <c r="B451" s="32">
        <v>43184</v>
      </c>
      <c r="C451" s="31">
        <v>10113.700000000001</v>
      </c>
      <c r="D451" s="33">
        <f t="shared" si="16"/>
        <v>-2.1090634558054822E-2</v>
      </c>
      <c r="E451" s="31"/>
      <c r="F451" s="32">
        <v>43184</v>
      </c>
      <c r="G451">
        <v>658.21</v>
      </c>
      <c r="H451" s="33">
        <f t="shared" si="17"/>
        <v>-7.1727756074858595E-2</v>
      </c>
    </row>
    <row r="452" spans="2:8" x14ac:dyDescent="0.3">
      <c r="B452" s="32">
        <v>43177</v>
      </c>
      <c r="C452" s="31">
        <v>9998.0499999999993</v>
      </c>
      <c r="D452" s="33">
        <f t="shared" si="16"/>
        <v>-1.1434984229312883E-2</v>
      </c>
      <c r="E452" s="31"/>
      <c r="F452" s="32">
        <v>43177</v>
      </c>
      <c r="G452">
        <v>640.86</v>
      </c>
      <c r="H452" s="33">
        <f t="shared" si="17"/>
        <v>-2.6359368590571419E-2</v>
      </c>
    </row>
    <row r="453" spans="2:8" x14ac:dyDescent="0.3">
      <c r="B453" s="32">
        <v>43170</v>
      </c>
      <c r="C453" s="31">
        <v>10195.15</v>
      </c>
      <c r="D453" s="33">
        <f t="shared" si="16"/>
        <v>1.9713844199618968E-2</v>
      </c>
      <c r="E453" s="31"/>
      <c r="F453" s="32">
        <v>43170</v>
      </c>
      <c r="G453">
        <v>689.51</v>
      </c>
      <c r="H453" s="33">
        <f t="shared" si="17"/>
        <v>7.5913616078394641E-2</v>
      </c>
    </row>
    <row r="454" spans="2:8" x14ac:dyDescent="0.3">
      <c r="B454" s="32">
        <v>43163</v>
      </c>
      <c r="C454" s="31">
        <v>10226.85</v>
      </c>
      <c r="D454" s="33">
        <f t="shared" si="16"/>
        <v>3.1093215891870862E-3</v>
      </c>
      <c r="E454" s="31"/>
      <c r="F454" s="32">
        <v>43163</v>
      </c>
      <c r="G454">
        <v>690.35</v>
      </c>
      <c r="H454" s="33">
        <f t="shared" si="17"/>
        <v>1.2182564429812359E-3</v>
      </c>
    </row>
    <row r="455" spans="2:8" x14ac:dyDescent="0.3">
      <c r="B455" s="32">
        <v>43156</v>
      </c>
      <c r="C455" s="31">
        <v>10458.35</v>
      </c>
      <c r="D455" s="33">
        <f t="shared" si="16"/>
        <v>2.2636491197191688E-2</v>
      </c>
      <c r="E455" s="31"/>
      <c r="F455" s="32">
        <v>43156</v>
      </c>
      <c r="G455">
        <v>708.69</v>
      </c>
      <c r="H455" s="33">
        <f t="shared" si="17"/>
        <v>2.6566234518722531E-2</v>
      </c>
    </row>
    <row r="456" spans="2:8" x14ac:dyDescent="0.3">
      <c r="B456" s="32">
        <v>43149</v>
      </c>
      <c r="C456" s="31">
        <v>10491.05</v>
      </c>
      <c r="D456" s="33">
        <f t="shared" si="16"/>
        <v>3.1266882443214961E-3</v>
      </c>
      <c r="E456" s="31"/>
      <c r="F456" s="32">
        <v>43149</v>
      </c>
      <c r="G456">
        <v>657.09</v>
      </c>
      <c r="H456" s="33">
        <f t="shared" si="17"/>
        <v>-7.281039664733524E-2</v>
      </c>
    </row>
    <row r="457" spans="2:8" x14ac:dyDescent="0.3">
      <c r="B457" s="32">
        <v>43142</v>
      </c>
      <c r="C457" s="31">
        <v>10452.299999999999</v>
      </c>
      <c r="D457" s="33">
        <f t="shared" si="16"/>
        <v>-3.6936245657012146E-3</v>
      </c>
      <c r="E457" s="31"/>
      <c r="F457" s="32">
        <v>43142</v>
      </c>
      <c r="G457">
        <v>643.03</v>
      </c>
      <c r="H457" s="33">
        <f t="shared" si="17"/>
        <v>-2.1397373266980213E-2</v>
      </c>
    </row>
    <row r="458" spans="2:8" x14ac:dyDescent="0.3">
      <c r="B458" s="32">
        <v>43135</v>
      </c>
      <c r="C458" s="31">
        <v>10454.950000000001</v>
      </c>
      <c r="D458" s="33">
        <f t="shared" si="16"/>
        <v>2.535327152877187E-4</v>
      </c>
      <c r="E458" s="31"/>
      <c r="F458" s="32">
        <v>43135</v>
      </c>
      <c r="G458">
        <v>691.66</v>
      </c>
      <c r="H458" s="33">
        <f t="shared" si="17"/>
        <v>7.5626331586395645E-2</v>
      </c>
    </row>
    <row r="459" spans="2:8" x14ac:dyDescent="0.3">
      <c r="B459" s="32">
        <v>43128</v>
      </c>
      <c r="C459" s="31">
        <v>10760.6</v>
      </c>
      <c r="D459" s="33">
        <f t="shared" si="16"/>
        <v>2.9234955690844888E-2</v>
      </c>
      <c r="E459" s="31"/>
      <c r="F459" s="32">
        <v>43128</v>
      </c>
      <c r="G459">
        <v>737.55</v>
      </c>
      <c r="H459" s="33">
        <f t="shared" si="17"/>
        <v>6.6347627447011615E-2</v>
      </c>
    </row>
    <row r="460" spans="2:8" x14ac:dyDescent="0.3">
      <c r="B460" s="32">
        <v>43121</v>
      </c>
      <c r="C460" s="31">
        <v>11069.65</v>
      </c>
      <c r="D460" s="33">
        <f t="shared" si="16"/>
        <v>2.8720517443265203E-2</v>
      </c>
      <c r="E460" s="31"/>
      <c r="F460" s="32">
        <v>43121</v>
      </c>
      <c r="G460">
        <v>762.73</v>
      </c>
      <c r="H460" s="33">
        <f t="shared" si="17"/>
        <v>3.4140058301132203E-2</v>
      </c>
    </row>
    <row r="461" spans="2:8" x14ac:dyDescent="0.3">
      <c r="B461" s="32">
        <v>43114</v>
      </c>
      <c r="C461" s="31">
        <v>10894.7</v>
      </c>
      <c r="D461" s="33">
        <f t="shared" si="16"/>
        <v>-1.5804474396209356E-2</v>
      </c>
      <c r="E461" s="31"/>
      <c r="F461" s="32">
        <v>43114</v>
      </c>
      <c r="G461">
        <v>766.03</v>
      </c>
      <c r="H461" s="33">
        <f t="shared" si="17"/>
        <v>4.3265637905942622E-3</v>
      </c>
    </row>
    <row r="462" spans="2:8" x14ac:dyDescent="0.3">
      <c r="B462" s="32">
        <v>43107</v>
      </c>
      <c r="C462" s="31">
        <v>10681.25</v>
      </c>
      <c r="D462" s="33">
        <f t="shared" si="16"/>
        <v>-1.9592095238969431E-2</v>
      </c>
      <c r="E462" s="31"/>
      <c r="F462" s="32">
        <v>43107</v>
      </c>
      <c r="G462">
        <v>768.93</v>
      </c>
      <c r="H462" s="33">
        <f t="shared" si="17"/>
        <v>3.7857525162199313E-3</v>
      </c>
    </row>
    <row r="463" spans="2:8" x14ac:dyDescent="0.3">
      <c r="B463" s="32">
        <v>43100</v>
      </c>
      <c r="C463" s="31">
        <v>10558.85</v>
      </c>
      <c r="D463" s="33">
        <f t="shared" si="16"/>
        <v>-1.145933294324164E-2</v>
      </c>
      <c r="E463" s="31"/>
      <c r="F463" s="32">
        <v>43100</v>
      </c>
      <c r="G463">
        <v>813.64</v>
      </c>
      <c r="H463" s="33">
        <f t="shared" si="17"/>
        <v>5.8145734982378183E-2</v>
      </c>
    </row>
    <row r="464" spans="2:8" x14ac:dyDescent="0.3">
      <c r="B464" s="32">
        <v>43093</v>
      </c>
      <c r="C464" s="31">
        <v>10530.7</v>
      </c>
      <c r="D464" s="33">
        <f t="shared" si="16"/>
        <v>-2.6660100295012867E-3</v>
      </c>
      <c r="E464" s="31"/>
      <c r="F464" s="32">
        <v>43093</v>
      </c>
      <c r="G464">
        <v>838.19</v>
      </c>
      <c r="H464" s="33">
        <f t="shared" si="17"/>
        <v>3.0173049505924032E-2</v>
      </c>
    </row>
    <row r="465" spans="2:8" x14ac:dyDescent="0.3">
      <c r="B465" s="32">
        <v>43086</v>
      </c>
      <c r="C465" s="31">
        <v>10493</v>
      </c>
      <c r="D465" s="33">
        <f t="shared" si="16"/>
        <v>-3.5800089262822965E-3</v>
      </c>
      <c r="E465" s="31"/>
      <c r="F465" s="32">
        <v>43086</v>
      </c>
      <c r="G465">
        <v>807.41</v>
      </c>
      <c r="H465" s="33">
        <f t="shared" si="17"/>
        <v>-3.6721984275641661E-2</v>
      </c>
    </row>
    <row r="466" spans="2:8" x14ac:dyDescent="0.3">
      <c r="B466" s="32">
        <v>43079</v>
      </c>
      <c r="C466" s="31">
        <v>10333.25</v>
      </c>
      <c r="D466" s="33">
        <f t="shared" si="16"/>
        <v>-1.5224435337844233E-2</v>
      </c>
      <c r="E466" s="31"/>
      <c r="F466" s="32">
        <v>43079</v>
      </c>
      <c r="G466">
        <v>639.05999999999995</v>
      </c>
      <c r="H466" s="33">
        <f t="shared" si="17"/>
        <v>-0.20850621121858781</v>
      </c>
    </row>
    <row r="467" spans="2:8" x14ac:dyDescent="0.3">
      <c r="B467" s="32">
        <v>43072</v>
      </c>
      <c r="C467" s="31">
        <v>10265.65</v>
      </c>
      <c r="D467" s="33">
        <f t="shared" si="16"/>
        <v>-6.5419882418407127E-3</v>
      </c>
      <c r="E467" s="31"/>
      <c r="F467" s="32">
        <v>43072</v>
      </c>
      <c r="G467">
        <v>704.37</v>
      </c>
      <c r="H467" s="33">
        <f t="shared" si="17"/>
        <v>0.10219697680968931</v>
      </c>
    </row>
    <row r="468" spans="2:8" x14ac:dyDescent="0.3">
      <c r="B468" s="32">
        <v>43065</v>
      </c>
      <c r="C468" s="31">
        <v>10121.799999999999</v>
      </c>
      <c r="D468" s="33">
        <f t="shared" si="16"/>
        <v>-1.4012751262706291E-2</v>
      </c>
      <c r="E468" s="31"/>
      <c r="F468" s="32">
        <v>43065</v>
      </c>
      <c r="G468">
        <v>680.46</v>
      </c>
      <c r="H468" s="33">
        <f t="shared" si="17"/>
        <v>-3.394522765024055E-2</v>
      </c>
    </row>
    <row r="469" spans="2:8" x14ac:dyDescent="0.3">
      <c r="B469" s="32">
        <v>43058</v>
      </c>
      <c r="C469" s="31">
        <v>10389.700000000001</v>
      </c>
      <c r="D469" s="33">
        <f t="shared" si="16"/>
        <v>2.6467624335592577E-2</v>
      </c>
      <c r="E469" s="31"/>
      <c r="F469" s="32">
        <v>43058</v>
      </c>
      <c r="G469">
        <v>647.02</v>
      </c>
      <c r="H469" s="33">
        <f t="shared" si="17"/>
        <v>-4.914322664080184E-2</v>
      </c>
    </row>
    <row r="470" spans="2:8" x14ac:dyDescent="0.3">
      <c r="B470" s="32">
        <v>43051</v>
      </c>
      <c r="C470" s="31">
        <v>10283.6</v>
      </c>
      <c r="D470" s="33">
        <f t="shared" si="16"/>
        <v>-1.0212036921181555E-2</v>
      </c>
      <c r="E470" s="31"/>
      <c r="F470" s="32">
        <v>43051</v>
      </c>
      <c r="G470">
        <v>578.80999999999995</v>
      </c>
      <c r="H470" s="33">
        <f t="shared" si="17"/>
        <v>-0.10542177985224577</v>
      </c>
    </row>
    <row r="471" spans="2:8" x14ac:dyDescent="0.3">
      <c r="B471" s="32">
        <v>43044</v>
      </c>
      <c r="C471" s="31">
        <v>10321.75</v>
      </c>
      <c r="D471" s="33">
        <f t="shared" si="16"/>
        <v>3.709790345793218E-3</v>
      </c>
      <c r="E471" s="31"/>
      <c r="F471" s="32">
        <v>43044</v>
      </c>
      <c r="G471">
        <v>539.05999999999995</v>
      </c>
      <c r="H471" s="33">
        <f t="shared" si="17"/>
        <v>-6.8675385705153635E-2</v>
      </c>
    </row>
    <row r="472" spans="2:8" x14ac:dyDescent="0.3">
      <c r="B472" s="32">
        <v>43037</v>
      </c>
      <c r="C472" s="31">
        <v>10452.5</v>
      </c>
      <c r="D472" s="33">
        <f t="shared" si="16"/>
        <v>1.266742558190237E-2</v>
      </c>
      <c r="E472" s="31"/>
      <c r="F472" s="32">
        <v>43037</v>
      </c>
      <c r="G472">
        <v>537.66999999999996</v>
      </c>
      <c r="H472" s="33">
        <f t="shared" si="17"/>
        <v>-2.5785626831892339E-3</v>
      </c>
    </row>
    <row r="473" spans="2:8" x14ac:dyDescent="0.3">
      <c r="B473" s="32">
        <v>43030</v>
      </c>
      <c r="C473" s="31">
        <v>10323.049999999999</v>
      </c>
      <c r="D473" s="33">
        <f t="shared" si="16"/>
        <v>-1.2384596986366958E-2</v>
      </c>
      <c r="E473" s="31"/>
      <c r="F473" s="32">
        <v>43030</v>
      </c>
      <c r="G473">
        <v>547.46</v>
      </c>
      <c r="H473" s="33">
        <f t="shared" si="17"/>
        <v>1.8208194617516549E-2</v>
      </c>
    </row>
    <row r="474" spans="2:8" x14ac:dyDescent="0.3">
      <c r="B474" s="32">
        <v>43023</v>
      </c>
      <c r="C474" s="31">
        <v>10146.549999999999</v>
      </c>
      <c r="D474" s="33">
        <f t="shared" si="16"/>
        <v>-1.7097660090767741E-2</v>
      </c>
      <c r="E474" s="31"/>
      <c r="F474" s="32">
        <v>43023</v>
      </c>
      <c r="G474">
        <v>530.97</v>
      </c>
      <c r="H474" s="33">
        <f t="shared" si="17"/>
        <v>-3.0120922076498746E-2</v>
      </c>
    </row>
    <row r="475" spans="2:8" x14ac:dyDescent="0.3">
      <c r="B475" s="32">
        <v>43016</v>
      </c>
      <c r="C475" s="31">
        <v>10167.450000000001</v>
      </c>
      <c r="D475" s="33">
        <f t="shared" si="16"/>
        <v>2.0598134341229812E-3</v>
      </c>
      <c r="E475" s="31"/>
      <c r="F475" s="32">
        <v>43016</v>
      </c>
      <c r="G475">
        <v>546.80999999999995</v>
      </c>
      <c r="H475" s="33">
        <f t="shared" si="17"/>
        <v>2.9832193909260285E-2</v>
      </c>
    </row>
    <row r="476" spans="2:8" x14ac:dyDescent="0.3">
      <c r="B476" s="32">
        <v>43009</v>
      </c>
      <c r="C476" s="31">
        <v>9979.7000000000007</v>
      </c>
      <c r="D476" s="33">
        <f t="shared" si="16"/>
        <v>-1.8465790340744248E-2</v>
      </c>
      <c r="E476" s="31"/>
      <c r="F476" s="32">
        <v>43009</v>
      </c>
      <c r="G476">
        <v>535.44000000000005</v>
      </c>
      <c r="H476" s="33">
        <f t="shared" si="17"/>
        <v>-2.0793328578482262E-2</v>
      </c>
    </row>
    <row r="477" spans="2:8" x14ac:dyDescent="0.3">
      <c r="B477" s="32">
        <v>43002</v>
      </c>
      <c r="C477" s="31">
        <v>9788.6</v>
      </c>
      <c r="D477" s="33">
        <f t="shared" si="16"/>
        <v>-1.9148872210587475E-2</v>
      </c>
      <c r="E477" s="31"/>
      <c r="F477" s="32">
        <v>43002</v>
      </c>
      <c r="G477">
        <v>529.75</v>
      </c>
      <c r="H477" s="33">
        <f t="shared" si="17"/>
        <v>-1.0626774241745185E-2</v>
      </c>
    </row>
  </sheetData>
  <mergeCells count="1"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DCF_Model</vt:lpstr>
      <vt:lpstr>WACC</vt:lpstr>
      <vt:lpstr>Data</vt:lpstr>
      <vt:lpstr>DCF_Model!Print_Area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cp:lastPrinted>2026-03-25T11:36:33Z</cp:lastPrinted>
  <dcterms:created xsi:type="dcterms:W3CDTF">2026-03-14T14:05:41Z</dcterms:created>
  <dcterms:modified xsi:type="dcterms:W3CDTF">2026-03-25T11:36:42Z</dcterms:modified>
</cp:coreProperties>
</file>