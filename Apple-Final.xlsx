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esume projects\DCF\"/>
    </mc:Choice>
  </mc:AlternateContent>
  <xr:revisionPtr revIDLastSave="0" documentId="13_ncr:1_{DED392DC-EFC6-4B28-8C89-930AD1D65A34}" xr6:coauthVersionLast="47" xr6:coauthVersionMax="47" xr10:uidLastSave="{00000000-0000-0000-0000-000000000000}"/>
  <bookViews>
    <workbookView xWindow="-108" yWindow="-108" windowWidth="23256" windowHeight="13176" tabRatio="827" activeTab="3" xr2:uid="{BCF9BFF9-BCF9-4F21-9E9B-4DD4BB09ACFB}"/>
  </bookViews>
  <sheets>
    <sheet name="Dashboard" sheetId="1" r:id="rId1"/>
    <sheet name="Report" sheetId="15" r:id="rId2"/>
    <sheet name="Financials-&gt;" sheetId="4" r:id="rId3"/>
    <sheet name="Statements" sheetId="8" r:id="rId4"/>
    <sheet name="Scenario" sheetId="9" r:id="rId5"/>
    <sheet name="Assumptions" sheetId="2" r:id="rId6"/>
    <sheet name="Schedule" sheetId="3" r:id="rId7"/>
    <sheet name="Valuation-&gt;" sheetId="5" r:id="rId8"/>
    <sheet name="Beta" sheetId="6" r:id="rId9"/>
    <sheet name="WACC" sheetId="10" r:id="rId10"/>
    <sheet name="FCFF" sheetId="11" r:id="rId11"/>
    <sheet name="Ratio Analysis" sheetId="13" r:id="rId12"/>
    <sheet name="Analysis" sheetId="14" r:id="rId13"/>
  </sheets>
  <definedNames>
    <definedName name="Analysis">Analysis!$B$8</definedName>
    <definedName name="BS">Statements!$B$57</definedName>
    <definedName name="CF">Statements!$B$101</definedName>
    <definedName name="days">Dashboard!$G$18</definedName>
    <definedName name="Debt">Schedule!$B$78</definedName>
    <definedName name="EF">Scenario!$B$51</definedName>
    <definedName name="IS">Statements!$B$17</definedName>
    <definedName name="PPE">Schedule!$B$13</definedName>
    <definedName name="_xlnm.Print_Area" localSheetId="1">Report!$B$3:$L$51</definedName>
    <definedName name="RE">Schedule!$B$107</definedName>
    <definedName name="RF">Scenario!$B$13</definedName>
    <definedName name="tax_rate">FCFF!$E$14</definedName>
    <definedName name="Terminal_rate">FCFF!$E$13</definedName>
    <definedName name="WACC">FCFF!$E$12</definedName>
    <definedName name="WC">Schedule!$B$42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8" i="11" l="1"/>
  <c r="C47" i="11" s="1"/>
  <c r="C45" i="11" s="1"/>
  <c r="E43" i="11"/>
  <c r="F43" i="11" s="1"/>
  <c r="G43" i="11" s="1"/>
  <c r="H43" i="11" s="1"/>
  <c r="C44" i="11" l="1"/>
  <c r="B2" i="15" l="1"/>
  <c r="K44" i="15"/>
  <c r="S42" i="9"/>
  <c r="S37" i="9"/>
  <c r="S32" i="9"/>
  <c r="S27" i="9"/>
  <c r="S21" i="9"/>
  <c r="L21" i="15"/>
  <c r="L20" i="15"/>
  <c r="L18" i="15"/>
  <c r="E27" i="15"/>
  <c r="D27" i="15"/>
  <c r="E26" i="15"/>
  <c r="D26" i="15"/>
  <c r="R8" i="15"/>
  <c r="S8" i="15"/>
  <c r="T8" i="15"/>
  <c r="Q8" i="15"/>
  <c r="R7" i="15"/>
  <c r="Q7" i="15"/>
  <c r="Q6" i="15"/>
  <c r="R6" i="15"/>
  <c r="E15" i="15"/>
  <c r="D15" i="15"/>
  <c r="E13" i="15"/>
  <c r="D13" i="15"/>
  <c r="E12" i="15"/>
  <c r="D12" i="15"/>
  <c r="E10" i="15"/>
  <c r="E23" i="15" s="1"/>
  <c r="F10" i="15"/>
  <c r="F23" i="15" s="1"/>
  <c r="G10" i="15"/>
  <c r="G23" i="15" s="1"/>
  <c r="D10" i="15"/>
  <c r="D23" i="15" s="1"/>
  <c r="E54" i="14"/>
  <c r="F7" i="13"/>
  <c r="G7" i="13"/>
  <c r="H7" i="13"/>
  <c r="I7" i="13"/>
  <c r="J7" i="13"/>
  <c r="K7" i="13"/>
  <c r="L7" i="13"/>
  <c r="E7" i="13"/>
  <c r="H38" i="13"/>
  <c r="L38" i="13"/>
  <c r="E41" i="14"/>
  <c r="F41" i="14"/>
  <c r="G41" i="14"/>
  <c r="H41" i="14"/>
  <c r="E42" i="14"/>
  <c r="F42" i="14"/>
  <c r="G42" i="14"/>
  <c r="H42" i="14"/>
  <c r="E45" i="14"/>
  <c r="F45" i="14"/>
  <c r="G45" i="14"/>
  <c r="H45" i="14"/>
  <c r="E46" i="14"/>
  <c r="F46" i="14"/>
  <c r="G46" i="14"/>
  <c r="H46" i="14"/>
  <c r="E47" i="14"/>
  <c r="F47" i="14"/>
  <c r="G47" i="14"/>
  <c r="H47" i="14"/>
  <c r="E49" i="14"/>
  <c r="F49" i="14"/>
  <c r="G49" i="14"/>
  <c r="H49" i="14"/>
  <c r="E52" i="14"/>
  <c r="F52" i="14"/>
  <c r="G52" i="14"/>
  <c r="H52" i="14"/>
  <c r="E53" i="14"/>
  <c r="F53" i="14"/>
  <c r="G53" i="14"/>
  <c r="H53" i="14"/>
  <c r="F54" i="14"/>
  <c r="G54" i="14"/>
  <c r="H54" i="14"/>
  <c r="E56" i="14"/>
  <c r="F56" i="14"/>
  <c r="G56" i="14"/>
  <c r="H56" i="14"/>
  <c r="E59" i="14"/>
  <c r="F59" i="14"/>
  <c r="G59" i="14"/>
  <c r="H59" i="14"/>
  <c r="E60" i="14"/>
  <c r="F60" i="14"/>
  <c r="G60" i="14"/>
  <c r="H60" i="14"/>
  <c r="E62" i="14"/>
  <c r="F62" i="14"/>
  <c r="G62" i="14"/>
  <c r="H62" i="14"/>
  <c r="E63" i="14"/>
  <c r="F63" i="14"/>
  <c r="G63" i="14"/>
  <c r="H63" i="14"/>
  <c r="F40" i="14"/>
  <c r="G40" i="14"/>
  <c r="H40" i="14"/>
  <c r="E40" i="14"/>
  <c r="G40" i="8"/>
  <c r="F13" i="14"/>
  <c r="G13" i="14"/>
  <c r="H13" i="14"/>
  <c r="F14" i="14"/>
  <c r="G14" i="14"/>
  <c r="H14" i="14"/>
  <c r="F17" i="14"/>
  <c r="G17" i="14"/>
  <c r="H17" i="14"/>
  <c r="F18" i="14"/>
  <c r="G18" i="14"/>
  <c r="H18" i="14"/>
  <c r="F19" i="14"/>
  <c r="G19" i="14"/>
  <c r="H19" i="14"/>
  <c r="F21" i="14"/>
  <c r="G21" i="14"/>
  <c r="H21" i="14"/>
  <c r="F24" i="14"/>
  <c r="G24" i="14"/>
  <c r="H24" i="14"/>
  <c r="F25" i="14"/>
  <c r="G25" i="14"/>
  <c r="H25" i="14"/>
  <c r="F26" i="14"/>
  <c r="G26" i="14"/>
  <c r="H26" i="14"/>
  <c r="F28" i="14"/>
  <c r="G28" i="14"/>
  <c r="H28" i="14"/>
  <c r="F31" i="14"/>
  <c r="G31" i="14"/>
  <c r="H31" i="14"/>
  <c r="F32" i="14"/>
  <c r="G32" i="14"/>
  <c r="H32" i="14"/>
  <c r="F34" i="14"/>
  <c r="G34" i="14"/>
  <c r="H34" i="14"/>
  <c r="F35" i="14"/>
  <c r="G35" i="14"/>
  <c r="H35" i="14"/>
  <c r="G12" i="14"/>
  <c r="H12" i="14"/>
  <c r="F12" i="14"/>
  <c r="F7" i="14"/>
  <c r="G7" i="14" s="1"/>
  <c r="H7" i="14" s="1"/>
  <c r="I7" i="14" s="1"/>
  <c r="J7" i="14" s="1"/>
  <c r="K7" i="14" s="1"/>
  <c r="L7" i="14" s="1"/>
  <c r="I6" i="14"/>
  <c r="E6" i="14"/>
  <c r="D5" i="14"/>
  <c r="B4" i="14"/>
  <c r="B2" i="14"/>
  <c r="B2" i="13"/>
  <c r="B4" i="13"/>
  <c r="E33" i="11"/>
  <c r="K41" i="15" s="1"/>
  <c r="L17" i="15" l="1"/>
  <c r="R9" i="15"/>
  <c r="E25" i="15" s="1"/>
  <c r="Q9" i="15"/>
  <c r="D25" i="15" s="1"/>
  <c r="E34" i="11"/>
  <c r="K42" i="15" s="1"/>
  <c r="E32" i="11"/>
  <c r="K40" i="15" s="1"/>
  <c r="E28" i="11"/>
  <c r="F28" i="11" s="1"/>
  <c r="G28" i="11" s="1"/>
  <c r="H28" i="11" s="1"/>
  <c r="I28" i="11" s="1"/>
  <c r="F16" i="11"/>
  <c r="G16" i="11"/>
  <c r="H16" i="11"/>
  <c r="I16" i="11"/>
  <c r="E16" i="11"/>
  <c r="F19" i="11"/>
  <c r="G19" i="11"/>
  <c r="H19" i="11"/>
  <c r="I19" i="11"/>
  <c r="E19" i="11"/>
  <c r="K17" i="9" l="1"/>
  <c r="H6" i="13" l="1"/>
  <c r="E6" i="13"/>
  <c r="H7" i="3"/>
  <c r="I7" i="3" s="1"/>
  <c r="J7" i="3" s="1"/>
  <c r="K7" i="3" s="1"/>
  <c r="L7" i="3" s="1"/>
  <c r="M7" i="3" s="1"/>
  <c r="N7" i="3" s="1"/>
  <c r="O7" i="3" s="1"/>
  <c r="K6" i="3"/>
  <c r="G6" i="3"/>
  <c r="H7" i="2"/>
  <c r="I7" i="2" s="1"/>
  <c r="J7" i="2" s="1"/>
  <c r="K7" i="2" s="1"/>
  <c r="L7" i="2" s="1"/>
  <c r="M7" i="2" s="1"/>
  <c r="N7" i="2" s="1"/>
  <c r="O7" i="2" s="1"/>
  <c r="H7" i="9"/>
  <c r="I7" i="9" s="1"/>
  <c r="J7" i="9" s="1"/>
  <c r="K7" i="9" s="1"/>
  <c r="L7" i="9" s="1"/>
  <c r="M7" i="9" s="1"/>
  <c r="N7" i="9" s="1"/>
  <c r="O7" i="9" s="1"/>
  <c r="K6" i="2"/>
  <c r="G6" i="2"/>
  <c r="K6" i="9"/>
  <c r="G6" i="9"/>
  <c r="F37" i="13"/>
  <c r="G37" i="13"/>
  <c r="E37" i="13"/>
  <c r="E36" i="13"/>
  <c r="F36" i="13"/>
  <c r="G36" i="13"/>
  <c r="H12" i="10"/>
  <c r="D23" i="10"/>
  <c r="D25" i="10" s="1"/>
  <c r="D21" i="15" l="1"/>
  <c r="D20" i="15"/>
  <c r="E19" i="15"/>
  <c r="E18" i="15"/>
  <c r="D19" i="15"/>
  <c r="D18" i="15"/>
  <c r="E21" i="15"/>
  <c r="E20" i="15"/>
  <c r="H13" i="10"/>
  <c r="H15" i="10" s="1"/>
  <c r="D28" i="10"/>
  <c r="L23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H15" i="6"/>
  <c r="K38" i="8"/>
  <c r="K128" i="8" s="1"/>
  <c r="K93" i="3"/>
  <c r="I21" i="3"/>
  <c r="I22" i="3" s="1"/>
  <c r="J21" i="3"/>
  <c r="H21" i="3"/>
  <c r="H22" i="3" s="1"/>
  <c r="L25" i="3"/>
  <c r="M25" i="3"/>
  <c r="N25" i="3" s="1"/>
  <c r="O25" i="3" s="1"/>
  <c r="K25" i="3"/>
  <c r="I25" i="3"/>
  <c r="J25" i="3"/>
  <c r="H25" i="3"/>
  <c r="J32" i="3"/>
  <c r="I32" i="3"/>
  <c r="J29" i="3" s="1"/>
  <c r="H32" i="3"/>
  <c r="I29" i="3" s="1"/>
  <c r="H72" i="3"/>
  <c r="I72" i="3"/>
  <c r="J72" i="3"/>
  <c r="G72" i="3"/>
  <c r="K85" i="3"/>
  <c r="K86" i="8" s="1"/>
  <c r="L124" i="8"/>
  <c r="M124" i="8"/>
  <c r="N124" i="8"/>
  <c r="O124" i="8"/>
  <c r="K124" i="8"/>
  <c r="L123" i="8"/>
  <c r="M123" i="8"/>
  <c r="N123" i="8"/>
  <c r="O123" i="8"/>
  <c r="K123" i="8"/>
  <c r="K94" i="8"/>
  <c r="L94" i="8" s="1"/>
  <c r="M94" i="8" s="1"/>
  <c r="N94" i="8" s="1"/>
  <c r="O94" i="8" s="1"/>
  <c r="K82" i="8"/>
  <c r="L82" i="8" s="1"/>
  <c r="M82" i="8" s="1"/>
  <c r="N82" i="8" s="1"/>
  <c r="O82" i="8" s="1"/>
  <c r="K70" i="8"/>
  <c r="L70" i="8" s="1"/>
  <c r="M70" i="8" s="1"/>
  <c r="N70" i="8" s="1"/>
  <c r="O70" i="8" s="1"/>
  <c r="K62" i="8"/>
  <c r="L62" i="8" s="1"/>
  <c r="M62" i="8" s="1"/>
  <c r="N62" i="8" s="1"/>
  <c r="O62" i="8" s="1"/>
  <c r="K115" i="3"/>
  <c r="J20" i="3"/>
  <c r="H20" i="3"/>
  <c r="H53" i="3"/>
  <c r="I53" i="3"/>
  <c r="J53" i="3"/>
  <c r="G53" i="3"/>
  <c r="J22" i="3" l="1"/>
  <c r="K22" i="3" s="1"/>
  <c r="K36" i="3"/>
  <c r="H16" i="10"/>
  <c r="H20" i="10"/>
  <c r="L24" i="6"/>
  <c r="L13" i="6"/>
  <c r="L15" i="6" s="1"/>
  <c r="L18" i="6"/>
  <c r="L21" i="6" s="1"/>
  <c r="D15" i="10" s="1"/>
  <c r="K109" i="8"/>
  <c r="K29" i="3"/>
  <c r="K88" i="3"/>
  <c r="K133" i="8"/>
  <c r="D16" i="10" l="1"/>
  <c r="H19" i="10" s="1"/>
  <c r="L23" i="2"/>
  <c r="K105" i="3"/>
  <c r="M23" i="2" l="1"/>
  <c r="I38" i="13"/>
  <c r="L82" i="3"/>
  <c r="N23" i="2" l="1"/>
  <c r="K38" i="13" s="1"/>
  <c r="J38" i="13"/>
  <c r="L85" i="3"/>
  <c r="L86" i="8" s="1"/>
  <c r="L88" i="3"/>
  <c r="M82" i="3"/>
  <c r="M85" i="3" l="1"/>
  <c r="M86" i="8" s="1"/>
  <c r="M88" i="3" l="1"/>
  <c r="N82" i="3"/>
  <c r="N85" i="3" l="1"/>
  <c r="N86" i="8" s="1"/>
  <c r="H71" i="3"/>
  <c r="I71" i="3"/>
  <c r="J71" i="3"/>
  <c r="G71" i="3"/>
  <c r="H51" i="3"/>
  <c r="I51" i="3"/>
  <c r="J51" i="3"/>
  <c r="H52" i="3"/>
  <c r="I52" i="3"/>
  <c r="J52" i="3"/>
  <c r="G52" i="3"/>
  <c r="G51" i="3"/>
  <c r="H48" i="3"/>
  <c r="I48" i="3"/>
  <c r="J48" i="3"/>
  <c r="G48" i="3"/>
  <c r="H45" i="3"/>
  <c r="I45" i="3"/>
  <c r="J45" i="3"/>
  <c r="H46" i="3"/>
  <c r="I46" i="3"/>
  <c r="J46" i="3"/>
  <c r="H47" i="3"/>
  <c r="I47" i="3"/>
  <c r="J47" i="3"/>
  <c r="G46" i="3"/>
  <c r="G47" i="3"/>
  <c r="G45" i="3"/>
  <c r="G56" i="3" l="1"/>
  <c r="N88" i="3"/>
  <c r="J56" i="3"/>
  <c r="I56" i="3"/>
  <c r="H56" i="3"/>
  <c r="G55" i="3"/>
  <c r="H55" i="3"/>
  <c r="J55" i="3"/>
  <c r="I55" i="3"/>
  <c r="O82" i="3"/>
  <c r="J57" i="3" l="1"/>
  <c r="O85" i="3"/>
  <c r="O86" i="8" s="1"/>
  <c r="I20" i="3"/>
  <c r="O88" i="3" l="1"/>
  <c r="P47" i="8"/>
  <c r="P46" i="8"/>
  <c r="P47" i="9"/>
  <c r="P42" i="9"/>
  <c r="P37" i="9"/>
  <c r="P32" i="9"/>
  <c r="P27" i="9"/>
  <c r="P22" i="9"/>
  <c r="P16" i="9"/>
  <c r="O17" i="9"/>
  <c r="K16" i="9"/>
  <c r="L25" i="9"/>
  <c r="L17" i="9" s="1"/>
  <c r="L16" i="9" l="1"/>
  <c r="M25" i="9"/>
  <c r="N25" i="9" s="1"/>
  <c r="N17" i="9" s="1"/>
  <c r="M17" i="9" l="1"/>
  <c r="M16" i="9"/>
  <c r="N16" i="9" s="1"/>
  <c r="O16" i="9" s="1"/>
  <c r="Q16" i="9" s="1"/>
  <c r="H16" i="2"/>
  <c r="I16" i="2"/>
  <c r="J16" i="2"/>
  <c r="G16" i="2"/>
  <c r="H34" i="8"/>
  <c r="I34" i="8"/>
  <c r="J34" i="8"/>
  <c r="G34" i="8"/>
  <c r="H13" i="2"/>
  <c r="I13" i="2"/>
  <c r="J13" i="2"/>
  <c r="G13" i="2"/>
  <c r="K51" i="8"/>
  <c r="L51" i="8" s="1"/>
  <c r="M51" i="8" s="1"/>
  <c r="N51" i="8" s="1"/>
  <c r="O51" i="8" s="1"/>
  <c r="K50" i="8"/>
  <c r="L50" i="8" s="1"/>
  <c r="M50" i="8" s="1"/>
  <c r="N50" i="8" s="1"/>
  <c r="O50" i="8" s="1"/>
  <c r="O79" i="9"/>
  <c r="O77" i="9"/>
  <c r="O74" i="9"/>
  <c r="O72" i="9"/>
  <c r="H70" i="9"/>
  <c r="I70" i="9"/>
  <c r="J70" i="9"/>
  <c r="H75" i="9"/>
  <c r="H80" i="9" s="1"/>
  <c r="I75" i="9"/>
  <c r="J75" i="9"/>
  <c r="G75" i="9"/>
  <c r="G70" i="9"/>
  <c r="O64" i="9"/>
  <c r="O62" i="9"/>
  <c r="O59" i="9"/>
  <c r="O57" i="9"/>
  <c r="H60" i="9"/>
  <c r="I60" i="9"/>
  <c r="J60" i="9"/>
  <c r="G60" i="9"/>
  <c r="H55" i="9"/>
  <c r="I55" i="9"/>
  <c r="J55" i="9"/>
  <c r="G55" i="9"/>
  <c r="L35" i="9"/>
  <c r="M35" i="9" s="1"/>
  <c r="N35" i="9" s="1"/>
  <c r="H48" i="9"/>
  <c r="I48" i="9"/>
  <c r="J48" i="9"/>
  <c r="O46" i="9"/>
  <c r="O44" i="9"/>
  <c r="J43" i="9"/>
  <c r="I43" i="9"/>
  <c r="H43" i="9"/>
  <c r="O41" i="9"/>
  <c r="O39" i="9"/>
  <c r="J38" i="9"/>
  <c r="I38" i="9"/>
  <c r="H38" i="9"/>
  <c r="O36" i="9"/>
  <c r="O34" i="9"/>
  <c r="J33" i="9"/>
  <c r="I33" i="9"/>
  <c r="H33" i="9"/>
  <c r="I28" i="9"/>
  <c r="J28" i="9"/>
  <c r="H28" i="9"/>
  <c r="O31" i="9"/>
  <c r="O29" i="9"/>
  <c r="L26" i="9"/>
  <c r="M26" i="9"/>
  <c r="N26" i="9"/>
  <c r="O26" i="9"/>
  <c r="K26" i="9"/>
  <c r="L24" i="9"/>
  <c r="M24" i="9"/>
  <c r="N24" i="9"/>
  <c r="O24" i="9"/>
  <c r="K24" i="9"/>
  <c r="H22" i="9"/>
  <c r="I22" i="9"/>
  <c r="J22" i="9"/>
  <c r="G22" i="9"/>
  <c r="I17" i="9"/>
  <c r="J17" i="9"/>
  <c r="H17" i="9"/>
  <c r="I95" i="8"/>
  <c r="H95" i="8"/>
  <c r="G95" i="8"/>
  <c r="J95" i="8"/>
  <c r="I88" i="8"/>
  <c r="H88" i="8"/>
  <c r="G88" i="8"/>
  <c r="J88" i="8"/>
  <c r="I83" i="8"/>
  <c r="H83" i="8"/>
  <c r="G83" i="8"/>
  <c r="J83" i="8"/>
  <c r="I73" i="8"/>
  <c r="H73" i="8"/>
  <c r="G73" i="8"/>
  <c r="J73" i="8"/>
  <c r="I67" i="8"/>
  <c r="H67" i="8"/>
  <c r="G67" i="8"/>
  <c r="J67" i="8"/>
  <c r="G22" i="8"/>
  <c r="I27" i="8"/>
  <c r="H27" i="8"/>
  <c r="G27" i="8"/>
  <c r="J27" i="8"/>
  <c r="I22" i="8"/>
  <c r="I75" i="3" s="1"/>
  <c r="H22" i="8"/>
  <c r="H75" i="3" s="1"/>
  <c r="J22" i="8"/>
  <c r="J75" i="3" s="1"/>
  <c r="I61" i="9" l="1"/>
  <c r="G69" i="3"/>
  <c r="G75" i="3"/>
  <c r="K75" i="3" s="1"/>
  <c r="G61" i="3"/>
  <c r="I69" i="3"/>
  <c r="I20" i="2"/>
  <c r="P55" i="9"/>
  <c r="J69" i="3"/>
  <c r="J20" i="2"/>
  <c r="H69" i="3"/>
  <c r="H20" i="2"/>
  <c r="I71" i="9"/>
  <c r="J16" i="3"/>
  <c r="J74" i="3"/>
  <c r="I16" i="3"/>
  <c r="I74" i="3"/>
  <c r="G74" i="3"/>
  <c r="H16" i="3"/>
  <c r="H74" i="3"/>
  <c r="P13" i="2"/>
  <c r="J56" i="9"/>
  <c r="J89" i="8"/>
  <c r="J96" i="8" s="1"/>
  <c r="P34" i="8"/>
  <c r="P70" i="9"/>
  <c r="J74" i="8"/>
  <c r="H29" i="8"/>
  <c r="H61" i="3"/>
  <c r="H64" i="3"/>
  <c r="H63" i="3"/>
  <c r="H62" i="3"/>
  <c r="J63" i="3"/>
  <c r="K63" i="3" s="1"/>
  <c r="L63" i="3" s="1"/>
  <c r="M63" i="3" s="1"/>
  <c r="N63" i="3" s="1"/>
  <c r="O63" i="3" s="1"/>
  <c r="J62" i="3"/>
  <c r="K62" i="3" s="1"/>
  <c r="L62" i="3" s="1"/>
  <c r="M62" i="3" s="1"/>
  <c r="N62" i="3" s="1"/>
  <c r="O62" i="3" s="1"/>
  <c r="J61" i="3"/>
  <c r="K61" i="3" s="1"/>
  <c r="L61" i="3" s="1"/>
  <c r="M61" i="3" s="1"/>
  <c r="N61" i="3" s="1"/>
  <c r="O61" i="3" s="1"/>
  <c r="J64" i="3"/>
  <c r="K64" i="3" s="1"/>
  <c r="L64" i="3" s="1"/>
  <c r="M64" i="3" s="1"/>
  <c r="N64" i="3" s="1"/>
  <c r="O64" i="3" s="1"/>
  <c r="J80" i="9"/>
  <c r="I61" i="3"/>
  <c r="I63" i="3"/>
  <c r="I62" i="3"/>
  <c r="I64" i="3"/>
  <c r="P60" i="9"/>
  <c r="G66" i="3"/>
  <c r="G67" i="3"/>
  <c r="P27" i="8"/>
  <c r="H66" i="3"/>
  <c r="H67" i="3"/>
  <c r="J66" i="3"/>
  <c r="K66" i="3" s="1"/>
  <c r="L66" i="3" s="1"/>
  <c r="M66" i="3" s="1"/>
  <c r="N66" i="3" s="1"/>
  <c r="O66" i="3" s="1"/>
  <c r="J67" i="3"/>
  <c r="K67" i="3" s="1"/>
  <c r="L67" i="3" s="1"/>
  <c r="M67" i="3" s="1"/>
  <c r="N67" i="3" s="1"/>
  <c r="O67" i="3" s="1"/>
  <c r="I67" i="3"/>
  <c r="I66" i="3"/>
  <c r="G64" i="3"/>
  <c r="G63" i="3"/>
  <c r="G62" i="3"/>
  <c r="P22" i="8"/>
  <c r="P16" i="2"/>
  <c r="J76" i="9"/>
  <c r="G80" i="9"/>
  <c r="P75" i="9"/>
  <c r="H76" i="9"/>
  <c r="I80" i="9"/>
  <c r="I81" i="9" s="1"/>
  <c r="I76" i="9"/>
  <c r="G65" i="9"/>
  <c r="J65" i="9"/>
  <c r="I65" i="9"/>
  <c r="H65" i="9"/>
  <c r="H56" i="9"/>
  <c r="J71" i="9"/>
  <c r="L45" i="9"/>
  <c r="M45" i="9" s="1"/>
  <c r="N45" i="9" s="1"/>
  <c r="I56" i="9"/>
  <c r="H71" i="9"/>
  <c r="H61" i="9"/>
  <c r="J61" i="9"/>
  <c r="L40" i="9"/>
  <c r="M40" i="9" s="1"/>
  <c r="N40" i="9" s="1"/>
  <c r="K34" i="9"/>
  <c r="K36" i="9"/>
  <c r="K29" i="9"/>
  <c r="J23" i="9"/>
  <c r="H23" i="9"/>
  <c r="I23" i="9"/>
  <c r="H74" i="8"/>
  <c r="G74" i="8"/>
  <c r="H89" i="8"/>
  <c r="H96" i="8" s="1"/>
  <c r="I74" i="8"/>
  <c r="I89" i="8"/>
  <c r="I96" i="8" s="1"/>
  <c r="G89" i="8"/>
  <c r="G96" i="8" s="1"/>
  <c r="I29" i="8"/>
  <c r="J29" i="8"/>
  <c r="G29" i="8"/>
  <c r="D5" i="13"/>
  <c r="D5" i="11"/>
  <c r="D5" i="10"/>
  <c r="D5" i="6"/>
  <c r="D5" i="3"/>
  <c r="D5" i="2"/>
  <c r="I36" i="8" l="1"/>
  <c r="I17" i="2" s="1"/>
  <c r="F19" i="13"/>
  <c r="D14" i="15" s="1"/>
  <c r="J36" i="8"/>
  <c r="J40" i="8" s="1"/>
  <c r="G19" i="13"/>
  <c r="E14" i="15" s="1"/>
  <c r="H36" i="8"/>
  <c r="E19" i="13"/>
  <c r="L75" i="3"/>
  <c r="M75" i="3" s="1"/>
  <c r="K69" i="3"/>
  <c r="L69" i="3" s="1"/>
  <c r="K20" i="2"/>
  <c r="L20" i="2" s="1"/>
  <c r="J98" i="8"/>
  <c r="L16" i="3"/>
  <c r="M16" i="3" s="1"/>
  <c r="N16" i="3" s="1"/>
  <c r="H17" i="2"/>
  <c r="K74" i="3"/>
  <c r="I53" i="8"/>
  <c r="K74" i="9"/>
  <c r="I98" i="8"/>
  <c r="H66" i="9"/>
  <c r="P29" i="8"/>
  <c r="I40" i="8"/>
  <c r="F21" i="13" s="1"/>
  <c r="G98" i="8"/>
  <c r="H40" i="8"/>
  <c r="E21" i="13" s="1"/>
  <c r="P80" i="9"/>
  <c r="I66" i="9"/>
  <c r="J66" i="9"/>
  <c r="P65" i="9"/>
  <c r="K79" i="9"/>
  <c r="J81" i="9"/>
  <c r="H81" i="9"/>
  <c r="K46" i="9"/>
  <c r="K44" i="9"/>
  <c r="L63" i="9"/>
  <c r="L62" i="9" s="1"/>
  <c r="K41" i="9"/>
  <c r="K39" i="9"/>
  <c r="K31" i="9"/>
  <c r="L30" i="9"/>
  <c r="L31" i="9" s="1"/>
  <c r="L46" i="9"/>
  <c r="L44" i="9"/>
  <c r="L39" i="9"/>
  <c r="L41" i="9"/>
  <c r="L36" i="9"/>
  <c r="L34" i="9"/>
  <c r="H98" i="8"/>
  <c r="G36" i="8"/>
  <c r="J53" i="8" l="1"/>
  <c r="H53" i="8"/>
  <c r="E14" i="13"/>
  <c r="E20" i="13"/>
  <c r="E24" i="13"/>
  <c r="I54" i="8"/>
  <c r="F13" i="13"/>
  <c r="D24" i="15" s="1"/>
  <c r="J14" i="2"/>
  <c r="G21" i="13"/>
  <c r="J54" i="8"/>
  <c r="G13" i="13"/>
  <c r="E24" i="15" s="1"/>
  <c r="G14" i="13"/>
  <c r="G15" i="13" s="1"/>
  <c r="G20" i="13"/>
  <c r="E16" i="15" s="1"/>
  <c r="G24" i="13"/>
  <c r="J17" i="2"/>
  <c r="F24" i="13"/>
  <c r="F20" i="13"/>
  <c r="D16" i="15" s="1"/>
  <c r="F14" i="13"/>
  <c r="F15" i="13" s="1"/>
  <c r="N75" i="3"/>
  <c r="O75" i="3"/>
  <c r="M20" i="2"/>
  <c r="N20" i="2" s="1"/>
  <c r="M69" i="3"/>
  <c r="N69" i="3" s="1"/>
  <c r="O69" i="3" s="1"/>
  <c r="K72" i="9"/>
  <c r="L73" i="9"/>
  <c r="L72" i="9" s="1"/>
  <c r="L74" i="3"/>
  <c r="K62" i="9"/>
  <c r="I14" i="2"/>
  <c r="I43" i="8"/>
  <c r="J43" i="8"/>
  <c r="H43" i="8"/>
  <c r="H14" i="2"/>
  <c r="P36" i="8"/>
  <c r="G17" i="2"/>
  <c r="K17" i="2" s="1"/>
  <c r="L17" i="2" s="1"/>
  <c r="K64" i="9"/>
  <c r="L78" i="9"/>
  <c r="L79" i="9" s="1"/>
  <c r="K77" i="9"/>
  <c r="P40" i="8"/>
  <c r="L58" i="9"/>
  <c r="K59" i="9"/>
  <c r="K57" i="9"/>
  <c r="M30" i="9"/>
  <c r="M29" i="9" s="1"/>
  <c r="M63" i="9"/>
  <c r="M64" i="9" s="1"/>
  <c r="L64" i="9"/>
  <c r="L29" i="9"/>
  <c r="M46" i="9"/>
  <c r="M44" i="9"/>
  <c r="M41" i="9"/>
  <c r="M39" i="9"/>
  <c r="M36" i="9"/>
  <c r="M34" i="9"/>
  <c r="B4" i="11"/>
  <c r="B2" i="11"/>
  <c r="B4" i="10"/>
  <c r="B2" i="10"/>
  <c r="B4" i="6"/>
  <c r="B2" i="6"/>
  <c r="L74" i="9" l="1"/>
  <c r="M73" i="9"/>
  <c r="M74" i="9" s="1"/>
  <c r="E22" i="13"/>
  <c r="E16" i="13"/>
  <c r="E23" i="13"/>
  <c r="J26" i="2"/>
  <c r="G22" i="13"/>
  <c r="E17" i="15" s="1"/>
  <c r="G16" i="13"/>
  <c r="G23" i="13"/>
  <c r="I23" i="2"/>
  <c r="F38" i="13" s="1"/>
  <c r="F23" i="13"/>
  <c r="F22" i="13"/>
  <c r="D17" i="15" s="1"/>
  <c r="F16" i="13"/>
  <c r="E15" i="13"/>
  <c r="E13" i="13"/>
  <c r="H54" i="8"/>
  <c r="O20" i="2"/>
  <c r="M78" i="9"/>
  <c r="N78" i="9" s="1"/>
  <c r="N77" i="9" s="1"/>
  <c r="M74" i="3"/>
  <c r="N74" i="3" s="1"/>
  <c r="J23" i="2"/>
  <c r="G38" i="13" s="1"/>
  <c r="L77" i="9"/>
  <c r="I26" i="2"/>
  <c r="M17" i="2"/>
  <c r="N17" i="2" s="1"/>
  <c r="G43" i="8"/>
  <c r="P43" i="8" s="1"/>
  <c r="H26" i="2"/>
  <c r="H23" i="2"/>
  <c r="E38" i="13" s="1"/>
  <c r="G14" i="2"/>
  <c r="M58" i="9"/>
  <c r="L57" i="9"/>
  <c r="L59" i="9"/>
  <c r="M62" i="9"/>
  <c r="N63" i="9"/>
  <c r="N64" i="9" s="1"/>
  <c r="M31" i="9"/>
  <c r="N30" i="9"/>
  <c r="N31" i="9" s="1"/>
  <c r="N73" i="9"/>
  <c r="M72" i="9"/>
  <c r="N46" i="9"/>
  <c r="N44" i="9"/>
  <c r="N39" i="9"/>
  <c r="N41" i="9"/>
  <c r="N36" i="9"/>
  <c r="N34" i="9"/>
  <c r="H21" i="10"/>
  <c r="E12" i="11" l="1"/>
  <c r="K26" i="2"/>
  <c r="L26" i="2" s="1"/>
  <c r="N79" i="9"/>
  <c r="M79" i="9"/>
  <c r="M77" i="9"/>
  <c r="O74" i="3"/>
  <c r="O17" i="2"/>
  <c r="N29" i="9"/>
  <c r="N62" i="9"/>
  <c r="N58" i="9"/>
  <c r="M59" i="9"/>
  <c r="M57" i="9"/>
  <c r="N72" i="9"/>
  <c r="N74" i="9"/>
  <c r="G9" i="1"/>
  <c r="D5" i="9"/>
  <c r="B4" i="9"/>
  <c r="B2" i="9"/>
  <c r="M26" i="2" l="1"/>
  <c r="N26" i="2" s="1"/>
  <c r="O26" i="2" s="1"/>
  <c r="N57" i="9"/>
  <c r="N59" i="9"/>
  <c r="O76" i="9"/>
  <c r="O71" i="9"/>
  <c r="K76" i="9"/>
  <c r="K75" i="9" s="1"/>
  <c r="K71" i="9"/>
  <c r="K70" i="9" s="1"/>
  <c r="L76" i="9"/>
  <c r="L71" i="9"/>
  <c r="M76" i="9"/>
  <c r="M71" i="9"/>
  <c r="N76" i="9"/>
  <c r="N71" i="9"/>
  <c r="O61" i="9"/>
  <c r="O56" i="9"/>
  <c r="K61" i="9"/>
  <c r="K60" i="9" s="1"/>
  <c r="K56" i="9"/>
  <c r="K55" i="9" s="1"/>
  <c r="L61" i="9"/>
  <c r="L56" i="9"/>
  <c r="M61" i="9"/>
  <c r="M56" i="9"/>
  <c r="N61" i="9"/>
  <c r="N56" i="9"/>
  <c r="O43" i="9"/>
  <c r="O38" i="9"/>
  <c r="O33" i="9"/>
  <c r="K38" i="9"/>
  <c r="K37" i="9" s="1"/>
  <c r="K33" i="9"/>
  <c r="K32" i="9" s="1"/>
  <c r="K43" i="9"/>
  <c r="K42" i="9" s="1"/>
  <c r="L43" i="9"/>
  <c r="L38" i="9"/>
  <c r="L33" i="9"/>
  <c r="M38" i="9"/>
  <c r="M33" i="9"/>
  <c r="M43" i="9"/>
  <c r="N38" i="9"/>
  <c r="N33" i="9"/>
  <c r="N43" i="9"/>
  <c r="O28" i="9"/>
  <c r="K28" i="9"/>
  <c r="K27" i="9" s="1"/>
  <c r="L28" i="9"/>
  <c r="M28" i="9"/>
  <c r="N28" i="9"/>
  <c r="L23" i="9"/>
  <c r="M23" i="9"/>
  <c r="N23" i="9"/>
  <c r="O23" i="9"/>
  <c r="K23" i="9"/>
  <c r="K22" i="9" s="1"/>
  <c r="B4" i="3"/>
  <c r="B2" i="3"/>
  <c r="B4" i="2"/>
  <c r="B2" i="2"/>
  <c r="D5" i="8"/>
  <c r="B4" i="8"/>
  <c r="B2" i="8"/>
  <c r="H7" i="8"/>
  <c r="I7" i="8" s="1"/>
  <c r="J7" i="8" s="1"/>
  <c r="K7" i="8" s="1"/>
  <c r="K33" i="8" l="1"/>
  <c r="K32" i="8"/>
  <c r="K26" i="8"/>
  <c r="K25" i="8"/>
  <c r="K21" i="8"/>
  <c r="K80" i="9"/>
  <c r="L70" i="9"/>
  <c r="L32" i="8" s="1"/>
  <c r="L75" i="9"/>
  <c r="L60" i="9"/>
  <c r="K65" i="9"/>
  <c r="L55" i="9"/>
  <c r="L42" i="9"/>
  <c r="L32" i="9"/>
  <c r="M32" i="9" s="1"/>
  <c r="N32" i="9" s="1"/>
  <c r="O32" i="9" s="1"/>
  <c r="Q32" i="9" s="1"/>
  <c r="L37" i="9"/>
  <c r="M37" i="9" s="1"/>
  <c r="N37" i="9" s="1"/>
  <c r="O37" i="9" s="1"/>
  <c r="Q37" i="9" s="1"/>
  <c r="L27" i="9"/>
  <c r="M27" i="9" s="1"/>
  <c r="N27" i="9" s="1"/>
  <c r="O27" i="9" s="1"/>
  <c r="Q27" i="9" s="1"/>
  <c r="L22" i="9"/>
  <c r="M22" i="9" s="1"/>
  <c r="N22" i="9" s="1"/>
  <c r="O22" i="9" s="1"/>
  <c r="Q22" i="9" s="1"/>
  <c r="K21" i="9"/>
  <c r="L7" i="8"/>
  <c r="M7" i="8" s="1"/>
  <c r="N7" i="8" s="1"/>
  <c r="O7" i="8" s="1"/>
  <c r="G16" i="1" s="1"/>
  <c r="G11" i="1"/>
  <c r="G15" i="1"/>
  <c r="J24" i="14" l="1"/>
  <c r="I13" i="14"/>
  <c r="I17" i="14"/>
  <c r="I18" i="14"/>
  <c r="I24" i="14"/>
  <c r="I25" i="14"/>
  <c r="K27" i="8"/>
  <c r="K34" i="8"/>
  <c r="M75" i="9"/>
  <c r="L33" i="8"/>
  <c r="M60" i="9"/>
  <c r="L26" i="8"/>
  <c r="M55" i="9"/>
  <c r="M25" i="8" s="1"/>
  <c r="L25" i="8"/>
  <c r="M42" i="9"/>
  <c r="L21" i="8"/>
  <c r="K47" i="9"/>
  <c r="K20" i="8"/>
  <c r="K81" i="9"/>
  <c r="K66" i="9"/>
  <c r="M70" i="9"/>
  <c r="M32" i="8" s="1"/>
  <c r="L80" i="9"/>
  <c r="L81" i="9" s="1"/>
  <c r="L65" i="9"/>
  <c r="L66" i="9" s="1"/>
  <c r="L21" i="9"/>
  <c r="G17" i="1"/>
  <c r="J18" i="14" l="1"/>
  <c r="K24" i="14"/>
  <c r="J13" i="14"/>
  <c r="J17" i="14"/>
  <c r="I26" i="14"/>
  <c r="I19" i="14"/>
  <c r="K17" i="14"/>
  <c r="L34" i="8"/>
  <c r="J25" i="14"/>
  <c r="K22" i="8"/>
  <c r="I12" i="14"/>
  <c r="K51" i="3"/>
  <c r="K78" i="8" s="1"/>
  <c r="K52" i="3"/>
  <c r="K79" i="8" s="1"/>
  <c r="K48" i="9"/>
  <c r="F13" i="15" s="1"/>
  <c r="L27" i="8"/>
  <c r="N75" i="9"/>
  <c r="M33" i="8"/>
  <c r="N55" i="9"/>
  <c r="N25" i="8" s="1"/>
  <c r="N60" i="9"/>
  <c r="M26" i="8"/>
  <c r="M65" i="9"/>
  <c r="M66" i="9" s="1"/>
  <c r="N42" i="9"/>
  <c r="M21" i="8"/>
  <c r="L47" i="9"/>
  <c r="L48" i="9" s="1"/>
  <c r="G13" i="15" s="1"/>
  <c r="L20" i="8"/>
  <c r="N70" i="9"/>
  <c r="N32" i="8" s="1"/>
  <c r="M80" i="9"/>
  <c r="M81" i="9" s="1"/>
  <c r="M21" i="9"/>
  <c r="I47" i="14" l="1"/>
  <c r="F12" i="15"/>
  <c r="I54" i="14"/>
  <c r="J19" i="14"/>
  <c r="L24" i="14"/>
  <c r="K13" i="14"/>
  <c r="K48" i="3"/>
  <c r="K66" i="8" s="1"/>
  <c r="I42" i="14"/>
  <c r="I58" i="14"/>
  <c r="I45" i="14"/>
  <c r="I53" i="14"/>
  <c r="I41" i="14"/>
  <c r="I46" i="14"/>
  <c r="I52" i="14"/>
  <c r="J26" i="14"/>
  <c r="L17" i="14"/>
  <c r="I40" i="14"/>
  <c r="K15" i="3"/>
  <c r="K24" i="3" s="1"/>
  <c r="K31" i="3" s="1"/>
  <c r="K53" i="3"/>
  <c r="K80" i="8" s="1"/>
  <c r="K112" i="8" s="1"/>
  <c r="K71" i="3"/>
  <c r="K21" i="3" s="1"/>
  <c r="K72" i="3"/>
  <c r="K87" i="8" s="1"/>
  <c r="K88" i="8" s="1"/>
  <c r="K19" i="2"/>
  <c r="K107" i="8" s="1"/>
  <c r="E23" i="11" s="1"/>
  <c r="K29" i="8"/>
  <c r="M27" i="8"/>
  <c r="K18" i="14"/>
  <c r="M34" i="8"/>
  <c r="K25" i="14"/>
  <c r="H43" i="13"/>
  <c r="I14" i="14"/>
  <c r="K47" i="3"/>
  <c r="K65" i="8" s="1"/>
  <c r="K46" i="3"/>
  <c r="K64" i="8" s="1"/>
  <c r="K45" i="3"/>
  <c r="K63" i="8" s="1"/>
  <c r="L22" i="8"/>
  <c r="J12" i="14"/>
  <c r="L51" i="3"/>
  <c r="L78" i="8" s="1"/>
  <c r="L52" i="3"/>
  <c r="L79" i="8" s="1"/>
  <c r="O55" i="9"/>
  <c r="O75" i="9"/>
  <c r="Q75" i="9" s="1"/>
  <c r="N33" i="8"/>
  <c r="O60" i="9"/>
  <c r="Q60" i="9" s="1"/>
  <c r="N26" i="8"/>
  <c r="N65" i="9"/>
  <c r="N66" i="9" s="1"/>
  <c r="O42" i="9"/>
  <c r="Q42" i="9" s="1"/>
  <c r="N21" i="8"/>
  <c r="M47" i="9"/>
  <c r="M48" i="9" s="1"/>
  <c r="M20" i="8"/>
  <c r="O70" i="9"/>
  <c r="N80" i="9"/>
  <c r="N81" i="9" s="1"/>
  <c r="N21" i="9"/>
  <c r="G12" i="15" l="1"/>
  <c r="K19" i="14"/>
  <c r="I21" i="14"/>
  <c r="I49" i="14"/>
  <c r="J14" i="14"/>
  <c r="J42" i="14"/>
  <c r="J52" i="14"/>
  <c r="J53" i="14"/>
  <c r="J41" i="14"/>
  <c r="J45" i="14"/>
  <c r="J46" i="14"/>
  <c r="L13" i="14"/>
  <c r="J47" i="14"/>
  <c r="K26" i="14"/>
  <c r="J54" i="14"/>
  <c r="J40" i="14"/>
  <c r="K116" i="3"/>
  <c r="K30" i="3"/>
  <c r="K32" i="3" s="1"/>
  <c r="K71" i="8" s="1"/>
  <c r="H19" i="13"/>
  <c r="F14" i="15" s="1"/>
  <c r="K117" i="8"/>
  <c r="E24" i="11" s="1"/>
  <c r="K36" i="8"/>
  <c r="K113" i="8"/>
  <c r="M52" i="3"/>
  <c r="M79" i="8" s="1"/>
  <c r="K53" i="8"/>
  <c r="H13" i="13" s="1"/>
  <c r="K56" i="3"/>
  <c r="M51" i="3"/>
  <c r="M78" i="8" s="1"/>
  <c r="K111" i="8"/>
  <c r="L45" i="3"/>
  <c r="L63" i="8" s="1"/>
  <c r="N27" i="8"/>
  <c r="L18" i="14"/>
  <c r="L19" i="2"/>
  <c r="L107" i="8" s="1"/>
  <c r="F23" i="11" s="1"/>
  <c r="N34" i="8"/>
  <c r="L25" i="14"/>
  <c r="L71" i="3"/>
  <c r="L21" i="3" s="1"/>
  <c r="L39" i="3" s="1"/>
  <c r="L15" i="3"/>
  <c r="L24" i="3" s="1"/>
  <c r="L31" i="3" s="1"/>
  <c r="L72" i="3"/>
  <c r="L87" i="8" s="1"/>
  <c r="L88" i="8" s="1"/>
  <c r="L29" i="8"/>
  <c r="J49" i="14" s="1"/>
  <c r="K55" i="3"/>
  <c r="L48" i="3"/>
  <c r="L66" i="8" s="1"/>
  <c r="L47" i="3"/>
  <c r="L65" i="8" s="1"/>
  <c r="L53" i="3"/>
  <c r="L80" i="8" s="1"/>
  <c r="L112" i="8" s="1"/>
  <c r="L46" i="3"/>
  <c r="L64" i="8" s="1"/>
  <c r="M22" i="8"/>
  <c r="K47" i="14" s="1"/>
  <c r="K12" i="14"/>
  <c r="K39" i="3"/>
  <c r="K72" i="8" s="1"/>
  <c r="K20" i="3"/>
  <c r="O32" i="8"/>
  <c r="Q70" i="9"/>
  <c r="O25" i="8"/>
  <c r="Q55" i="9"/>
  <c r="O65" i="9"/>
  <c r="Q65" i="9" s="1"/>
  <c r="O33" i="8"/>
  <c r="O26" i="8"/>
  <c r="O21" i="8"/>
  <c r="N47" i="9"/>
  <c r="N48" i="9" s="1"/>
  <c r="N20" i="8"/>
  <c r="O80" i="9"/>
  <c r="Q80" i="9" s="1"/>
  <c r="O21" i="9"/>
  <c r="K54" i="14" l="1"/>
  <c r="K14" i="14"/>
  <c r="K42" i="14"/>
  <c r="K52" i="14"/>
  <c r="K45" i="14"/>
  <c r="K53" i="14"/>
  <c r="K46" i="14"/>
  <c r="K41" i="14"/>
  <c r="L19" i="14"/>
  <c r="I28" i="14"/>
  <c r="I56" i="14"/>
  <c r="L26" i="14"/>
  <c r="K40" i="14"/>
  <c r="K54" i="8"/>
  <c r="F15" i="15" s="1"/>
  <c r="E18" i="11"/>
  <c r="E20" i="11" s="1"/>
  <c r="E25" i="11"/>
  <c r="H14" i="13"/>
  <c r="H15" i="13" s="1"/>
  <c r="H20" i="13"/>
  <c r="F16" i="15" s="1"/>
  <c r="L56" i="3"/>
  <c r="K57" i="3"/>
  <c r="K58" i="3" s="1"/>
  <c r="N51" i="3"/>
  <c r="N78" i="8" s="1"/>
  <c r="N52" i="3"/>
  <c r="N79" i="8" s="1"/>
  <c r="M72" i="3"/>
  <c r="M87" i="8" s="1"/>
  <c r="M88" i="8" s="1"/>
  <c r="M15" i="3"/>
  <c r="M24" i="3" s="1"/>
  <c r="M31" i="3" s="1"/>
  <c r="M29" i="8"/>
  <c r="M48" i="3"/>
  <c r="M66" i="8" s="1"/>
  <c r="M45" i="3"/>
  <c r="M63" i="8" s="1"/>
  <c r="L113" i="8"/>
  <c r="L116" i="3"/>
  <c r="L117" i="8"/>
  <c r="F24" i="11" s="1"/>
  <c r="L30" i="3"/>
  <c r="M71" i="3"/>
  <c r="M21" i="3" s="1"/>
  <c r="M39" i="3" s="1"/>
  <c r="L111" i="8"/>
  <c r="I43" i="13"/>
  <c r="I19" i="13"/>
  <c r="G14" i="15" s="1"/>
  <c r="J21" i="14"/>
  <c r="L36" i="8"/>
  <c r="L53" i="8"/>
  <c r="L54" i="8" s="1"/>
  <c r="G15" i="15" s="1"/>
  <c r="L55" i="3"/>
  <c r="M47" i="3"/>
  <c r="M65" i="8" s="1"/>
  <c r="M19" i="2"/>
  <c r="M116" i="3" s="1"/>
  <c r="M46" i="3"/>
  <c r="M64" i="8" s="1"/>
  <c r="M53" i="3"/>
  <c r="M80" i="8" s="1"/>
  <c r="M112" i="8" s="1"/>
  <c r="N22" i="8"/>
  <c r="L54" i="14" s="1"/>
  <c r="L12" i="14"/>
  <c r="H41" i="13"/>
  <c r="L36" i="3"/>
  <c r="L72" i="8"/>
  <c r="K117" i="3"/>
  <c r="K92" i="8" s="1"/>
  <c r="M36" i="3"/>
  <c r="O27" i="8"/>
  <c r="O52" i="3" s="1"/>
  <c r="O79" i="8" s="1"/>
  <c r="O34" i="8"/>
  <c r="Q34" i="8" s="1"/>
  <c r="O66" i="9"/>
  <c r="O47" i="9"/>
  <c r="O20" i="8"/>
  <c r="O22" i="8" s="1"/>
  <c r="O81" i="9"/>
  <c r="M30" i="3" l="1"/>
  <c r="L14" i="14"/>
  <c r="L42" i="14"/>
  <c r="L45" i="14"/>
  <c r="L52" i="14"/>
  <c r="L41" i="14"/>
  <c r="L53" i="14"/>
  <c r="L46" i="14"/>
  <c r="J28" i="14"/>
  <c r="J56" i="14"/>
  <c r="M36" i="8"/>
  <c r="K56" i="14" s="1"/>
  <c r="K49" i="14"/>
  <c r="L47" i="14"/>
  <c r="M117" i="8"/>
  <c r="G24" i="11" s="1"/>
  <c r="L57" i="3"/>
  <c r="L58" i="3" s="1"/>
  <c r="L40" i="14"/>
  <c r="J19" i="13"/>
  <c r="K21" i="14"/>
  <c r="M113" i="8"/>
  <c r="M53" i="8"/>
  <c r="M54" i="8" s="1"/>
  <c r="F25" i="11"/>
  <c r="M111" i="8"/>
  <c r="N15" i="3"/>
  <c r="N24" i="3" s="1"/>
  <c r="N31" i="3" s="1"/>
  <c r="F18" i="11"/>
  <c r="F20" i="11" s="1"/>
  <c r="N46" i="3"/>
  <c r="N64" i="8" s="1"/>
  <c r="N48" i="3"/>
  <c r="N66" i="8" s="1"/>
  <c r="N71" i="3"/>
  <c r="N21" i="3" s="1"/>
  <c r="N39" i="3" s="1"/>
  <c r="M56" i="3"/>
  <c r="N19" i="2"/>
  <c r="N116" i="3" s="1"/>
  <c r="I13" i="13"/>
  <c r="N45" i="3"/>
  <c r="N63" i="8" s="1"/>
  <c r="J43" i="13"/>
  <c r="N53" i="3"/>
  <c r="N80" i="8" s="1"/>
  <c r="N112" i="8" s="1"/>
  <c r="I14" i="13"/>
  <c r="I15" i="13" s="1"/>
  <c r="N29" i="8"/>
  <c r="N72" i="3"/>
  <c r="N87" i="8" s="1"/>
  <c r="N88" i="8" s="1"/>
  <c r="N47" i="3"/>
  <c r="N65" i="8" s="1"/>
  <c r="I20" i="13"/>
  <c r="G16" i="15" s="1"/>
  <c r="M107" i="8"/>
  <c r="G23" i="11" s="1"/>
  <c r="M55" i="3"/>
  <c r="O72" i="3"/>
  <c r="O87" i="8" s="1"/>
  <c r="O88" i="8" s="1"/>
  <c r="M72" i="8"/>
  <c r="L115" i="3"/>
  <c r="L117" i="3" s="1"/>
  <c r="L92" i="8" s="1"/>
  <c r="N36" i="3"/>
  <c r="L22" i="3"/>
  <c r="O53" i="3"/>
  <c r="O80" i="8" s="1"/>
  <c r="O19" i="2"/>
  <c r="O116" i="3" s="1"/>
  <c r="O15" i="3"/>
  <c r="O71" i="3"/>
  <c r="Q27" i="8"/>
  <c r="O51" i="3"/>
  <c r="O78" i="8" s="1"/>
  <c r="O46" i="3"/>
  <c r="O64" i="8" s="1"/>
  <c r="O47" i="3"/>
  <c r="O65" i="8" s="1"/>
  <c r="O48" i="3"/>
  <c r="O66" i="8" s="1"/>
  <c r="Q22" i="8"/>
  <c r="O45" i="3"/>
  <c r="O63" i="8" s="1"/>
  <c r="O48" i="9"/>
  <c r="Q47" i="9"/>
  <c r="O29" i="8"/>
  <c r="L19" i="13" s="1"/>
  <c r="G18" i="11" l="1"/>
  <c r="G20" i="11" s="1"/>
  <c r="G25" i="11"/>
  <c r="K28" i="14"/>
  <c r="K19" i="13"/>
  <c r="L49" i="14"/>
  <c r="J14" i="13"/>
  <c r="J15" i="13" s="1"/>
  <c r="J20" i="13"/>
  <c r="N117" i="8"/>
  <c r="H24" i="11" s="1"/>
  <c r="N30" i="3"/>
  <c r="J13" i="13"/>
  <c r="M57" i="3"/>
  <c r="M58" i="3" s="1"/>
  <c r="K43" i="13"/>
  <c r="N107" i="8"/>
  <c r="H23" i="11" s="1"/>
  <c r="N56" i="3"/>
  <c r="N111" i="8"/>
  <c r="N36" i="8"/>
  <c r="N113" i="8"/>
  <c r="N53" i="8"/>
  <c r="K13" i="13" s="1"/>
  <c r="N55" i="3"/>
  <c r="L21" i="14"/>
  <c r="N72" i="8"/>
  <c r="O117" i="8"/>
  <c r="I24" i="11" s="1"/>
  <c r="O24" i="3"/>
  <c r="O31" i="3" s="1"/>
  <c r="M115" i="3"/>
  <c r="M117" i="3" s="1"/>
  <c r="M92" i="8" s="1"/>
  <c r="O113" i="8"/>
  <c r="O112" i="8"/>
  <c r="O111" i="8"/>
  <c r="O107" i="8"/>
  <c r="I23" i="11" s="1"/>
  <c r="Q19" i="2"/>
  <c r="O36" i="3"/>
  <c r="O21" i="3"/>
  <c r="O39" i="3" s="1"/>
  <c r="L20" i="3"/>
  <c r="L38" i="3" s="1"/>
  <c r="L37" i="3" s="1"/>
  <c r="L118" i="8" s="1"/>
  <c r="K38" i="3"/>
  <c r="K37" i="3" s="1"/>
  <c r="K118" i="8" s="1"/>
  <c r="M22" i="3"/>
  <c r="M20" i="3" s="1"/>
  <c r="M38" i="3" s="1"/>
  <c r="M37" i="3" s="1"/>
  <c r="M118" i="8" s="1"/>
  <c r="O30" i="3"/>
  <c r="O56" i="3"/>
  <c r="O55" i="3"/>
  <c r="O53" i="8"/>
  <c r="O36" i="8"/>
  <c r="Q29" i="8"/>
  <c r="H25" i="11" l="1"/>
  <c r="L28" i="14"/>
  <c r="L56" i="14"/>
  <c r="N54" i="8"/>
  <c r="N57" i="3"/>
  <c r="N58" i="3" s="1"/>
  <c r="L43" i="13"/>
  <c r="K20" i="13"/>
  <c r="K14" i="13"/>
  <c r="K15" i="13" s="1"/>
  <c r="H18" i="11"/>
  <c r="H20" i="11" s="1"/>
  <c r="I18" i="11"/>
  <c r="I20" i="11" s="1"/>
  <c r="I25" i="11"/>
  <c r="L20" i="13"/>
  <c r="L14" i="13"/>
  <c r="L15" i="13" s="1"/>
  <c r="O54" i="8"/>
  <c r="L13" i="13"/>
  <c r="O72" i="8"/>
  <c r="N115" i="3"/>
  <c r="N117" i="3" s="1"/>
  <c r="N92" i="8" s="1"/>
  <c r="N22" i="3"/>
  <c r="N20" i="3" s="1"/>
  <c r="N38" i="3" s="1"/>
  <c r="N37" i="3" s="1"/>
  <c r="N118" i="8" s="1"/>
  <c r="O57" i="3"/>
  <c r="O58" i="3" l="1"/>
  <c r="O115" i="3"/>
  <c r="O117" i="3" s="1"/>
  <c r="O92" i="8" s="1"/>
  <c r="O22" i="3"/>
  <c r="O20" i="3" s="1"/>
  <c r="O38" i="3" s="1"/>
  <c r="O37" i="3" s="1"/>
  <c r="O118" i="8" s="1"/>
  <c r="L16" i="2" l="1"/>
  <c r="L39" i="8" s="1"/>
  <c r="J59" i="14" s="1"/>
  <c r="L108" i="8" l="1"/>
  <c r="L119" i="8"/>
  <c r="L120" i="8" s="1"/>
  <c r="K16" i="2" l="1"/>
  <c r="K39" i="8" s="1"/>
  <c r="I59" i="14" s="1"/>
  <c r="M16" i="2"/>
  <c r="M39" i="8" s="1"/>
  <c r="K31" i="14" l="1"/>
  <c r="K59" i="14"/>
  <c r="K40" i="8"/>
  <c r="I31" i="14"/>
  <c r="J31" i="14"/>
  <c r="K108" i="8"/>
  <c r="M108" i="8"/>
  <c r="M119" i="8"/>
  <c r="M120" i="8" s="1"/>
  <c r="K119" i="8"/>
  <c r="K120" i="8" s="1"/>
  <c r="I32" i="14" l="1"/>
  <c r="I60" i="14"/>
  <c r="H21" i="13"/>
  <c r="K13" i="2"/>
  <c r="K42" i="8" s="1"/>
  <c r="I62" i="14" s="1"/>
  <c r="K43" i="8" l="1"/>
  <c r="I34" i="14"/>
  <c r="N16" i="2"/>
  <c r="N39" i="8" s="1"/>
  <c r="L31" i="14" l="1"/>
  <c r="L59" i="14"/>
  <c r="I35" i="14"/>
  <c r="I63" i="14"/>
  <c r="K110" i="3"/>
  <c r="K22" i="2"/>
  <c r="H37" i="13" s="1"/>
  <c r="K25" i="2"/>
  <c r="K112" i="3" s="1"/>
  <c r="H22" i="13"/>
  <c r="K104" i="8"/>
  <c r="H16" i="13"/>
  <c r="H23" i="13"/>
  <c r="F26" i="15" s="1"/>
  <c r="N108" i="8"/>
  <c r="N119" i="8"/>
  <c r="N120" i="8" s="1"/>
  <c r="O16" i="2"/>
  <c r="O39" i="8" s="1"/>
  <c r="F20" i="15" l="1"/>
  <c r="F21" i="15"/>
  <c r="H46" i="13"/>
  <c r="F17" i="15"/>
  <c r="K126" i="8"/>
  <c r="K47" i="8"/>
  <c r="S6" i="15" s="1"/>
  <c r="K46" i="8"/>
  <c r="K127" i="8"/>
  <c r="K111" i="3"/>
  <c r="K113" i="3" s="1"/>
  <c r="K93" i="8" s="1"/>
  <c r="K95" i="8" s="1"/>
  <c r="O108" i="8"/>
  <c r="O119" i="8"/>
  <c r="O120" i="8" s="1"/>
  <c r="Q36" i="8"/>
  <c r="Q16" i="2"/>
  <c r="H36" i="13" l="1"/>
  <c r="L109" i="3"/>
  <c r="F18" i="15" l="1"/>
  <c r="F19" i="15"/>
  <c r="K73" i="8"/>
  <c r="L29" i="3"/>
  <c r="L32" i="3" s="1"/>
  <c r="L71" i="8" l="1"/>
  <c r="M29" i="3"/>
  <c r="M32" i="3" s="1"/>
  <c r="I41" i="13" l="1"/>
  <c r="L73" i="8"/>
  <c r="M71" i="8"/>
  <c r="N29" i="3"/>
  <c r="N32" i="3" s="1"/>
  <c r="O18" i="3"/>
  <c r="O106" i="8" s="1"/>
  <c r="I22" i="11" s="1"/>
  <c r="I26" i="11" s="1"/>
  <c r="N18" i="3"/>
  <c r="N106" i="8" s="1"/>
  <c r="H22" i="11" s="1"/>
  <c r="H26" i="11" s="1"/>
  <c r="H30" i="11" s="1"/>
  <c r="M18" i="3"/>
  <c r="M106" i="8" s="1"/>
  <c r="G22" i="11" s="1"/>
  <c r="G26" i="11" s="1"/>
  <c r="G30" i="11" s="1"/>
  <c r="L18" i="3"/>
  <c r="L106" i="8" s="1"/>
  <c r="F22" i="11" s="1"/>
  <c r="F26" i="11" s="1"/>
  <c r="F30" i="11" s="1"/>
  <c r="K18" i="3"/>
  <c r="K106" i="8" s="1"/>
  <c r="E22" i="11" s="1"/>
  <c r="E26" i="11" s="1"/>
  <c r="E30" i="11" s="1"/>
  <c r="I29" i="11" l="1"/>
  <c r="J41" i="13"/>
  <c r="M73" i="8"/>
  <c r="K114" i="8"/>
  <c r="K92" i="3" s="1"/>
  <c r="K95" i="3" s="1"/>
  <c r="N71" i="8"/>
  <c r="O29" i="3"/>
  <c r="O32" i="3" s="1"/>
  <c r="I30" i="11" l="1"/>
  <c r="E31" i="11" s="1"/>
  <c r="K38" i="15"/>
  <c r="K41" i="13"/>
  <c r="N73" i="8"/>
  <c r="K100" i="3"/>
  <c r="K102" i="3" s="1"/>
  <c r="K81" i="8" s="1"/>
  <c r="O71" i="8"/>
  <c r="L41" i="13" s="1"/>
  <c r="E35" i="11" l="1"/>
  <c r="K39" i="15"/>
  <c r="O73" i="8"/>
  <c r="K125" i="8"/>
  <c r="K129" i="8" s="1"/>
  <c r="K131" i="8" s="1"/>
  <c r="K134" i="8" s="1"/>
  <c r="H25" i="13"/>
  <c r="K83" i="8"/>
  <c r="L99" i="3"/>
  <c r="E37" i="11" l="1"/>
  <c r="K43" i="15"/>
  <c r="L105" i="3"/>
  <c r="L38" i="8" s="1"/>
  <c r="J58" i="14" s="1"/>
  <c r="L133" i="8"/>
  <c r="K61" i="8"/>
  <c r="S7" i="15" s="1"/>
  <c r="S9" i="15" s="1"/>
  <c r="K89" i="8"/>
  <c r="H29" i="13" s="1"/>
  <c r="L45" i="15" l="1"/>
  <c r="C43" i="11"/>
  <c r="I10" i="11"/>
  <c r="F24" i="15"/>
  <c r="F25" i="15"/>
  <c r="L128" i="8"/>
  <c r="J30" i="14"/>
  <c r="H32" i="13"/>
  <c r="H33" i="13"/>
  <c r="L40" i="8"/>
  <c r="L109" i="8"/>
  <c r="L93" i="3"/>
  <c r="K96" i="8"/>
  <c r="K67" i="8"/>
  <c r="L19" i="15" l="1"/>
  <c r="I12" i="11"/>
  <c r="J32" i="14"/>
  <c r="J60" i="14"/>
  <c r="K74" i="8"/>
  <c r="H48" i="13" s="1"/>
  <c r="H31" i="13"/>
  <c r="I21" i="13"/>
  <c r="L13" i="2"/>
  <c r="L42" i="8" s="1"/>
  <c r="J62" i="14" s="1"/>
  <c r="L43" i="8" l="1"/>
  <c r="J63" i="14" s="1"/>
  <c r="J34" i="14"/>
  <c r="H42" i="13"/>
  <c r="H30" i="13"/>
  <c r="H26" i="13"/>
  <c r="K98" i="8"/>
  <c r="H24" i="13"/>
  <c r="F27" i="15" s="1"/>
  <c r="L25" i="2" l="1"/>
  <c r="L127" i="8" s="1"/>
  <c r="L110" i="3"/>
  <c r="L22" i="2"/>
  <c r="I37" i="13" s="1"/>
  <c r="L104" i="8"/>
  <c r="L114" i="8" s="1"/>
  <c r="I22" i="13"/>
  <c r="I16" i="13"/>
  <c r="I23" i="13"/>
  <c r="G26" i="15" s="1"/>
  <c r="J35" i="14"/>
  <c r="H47" i="13"/>
  <c r="H49" i="13" s="1"/>
  <c r="G20" i="15" l="1"/>
  <c r="G21" i="15"/>
  <c r="I46" i="13"/>
  <c r="G17" i="15"/>
  <c r="L46" i="8"/>
  <c r="L47" i="8"/>
  <c r="T6" i="15" s="1"/>
  <c r="L126" i="8"/>
  <c r="L92" i="3" s="1"/>
  <c r="L95" i="3" s="1"/>
  <c r="L100" i="3" s="1"/>
  <c r="L102" i="3" s="1"/>
  <c r="M99" i="3" s="1"/>
  <c r="M105" i="3" s="1"/>
  <c r="M38" i="8" s="1"/>
  <c r="K58" i="14" s="1"/>
  <c r="L111" i="3"/>
  <c r="L112" i="3"/>
  <c r="I36" i="13" l="1"/>
  <c r="L81" i="8"/>
  <c r="L83" i="8" s="1"/>
  <c r="M109" i="8"/>
  <c r="K30" i="14"/>
  <c r="M40" i="8"/>
  <c r="K32" i="14" s="1"/>
  <c r="M128" i="8"/>
  <c r="L113" i="3"/>
  <c r="M109" i="3" s="1"/>
  <c r="G18" i="15" l="1"/>
  <c r="G19" i="15"/>
  <c r="M13" i="2"/>
  <c r="M42" i="8" s="1"/>
  <c r="K62" i="14" s="1"/>
  <c r="J21" i="13"/>
  <c r="K60" i="14"/>
  <c r="L125" i="8"/>
  <c r="L129" i="8" s="1"/>
  <c r="L131" i="8" s="1"/>
  <c r="L134" i="8" s="1"/>
  <c r="L93" i="8"/>
  <c r="L95" i="8" s="1"/>
  <c r="I25" i="13" s="1"/>
  <c r="L89" i="8"/>
  <c r="K34" i="14" l="1"/>
  <c r="M43" i="8"/>
  <c r="J16" i="13" s="1"/>
  <c r="I29" i="13"/>
  <c r="L61" i="8"/>
  <c r="M133" i="8"/>
  <c r="L96" i="8"/>
  <c r="I33" i="13" l="1"/>
  <c r="T7" i="15"/>
  <c r="T9" i="15" s="1"/>
  <c r="K35" i="14"/>
  <c r="J23" i="13"/>
  <c r="J22" i="13"/>
  <c r="J46" i="13" s="1"/>
  <c r="M104" i="8"/>
  <c r="M114" i="8" s="1"/>
  <c r="M25" i="2"/>
  <c r="M127" i="8" s="1"/>
  <c r="M110" i="3"/>
  <c r="M22" i="2"/>
  <c r="J37" i="13" s="1"/>
  <c r="K63" i="14"/>
  <c r="L67" i="8"/>
  <c r="L74" i="8" s="1"/>
  <c r="I48" i="13" s="1"/>
  <c r="I32" i="13"/>
  <c r="M93" i="3"/>
  <c r="G24" i="15" l="1"/>
  <c r="G25" i="15"/>
  <c r="M112" i="3"/>
  <c r="M111" i="3"/>
  <c r="M46" i="8"/>
  <c r="J36" i="13" s="1"/>
  <c r="M47" i="8"/>
  <c r="M126" i="8"/>
  <c r="M92" i="3" s="1"/>
  <c r="M95" i="3" s="1"/>
  <c r="M100" i="3" s="1"/>
  <c r="M102" i="3" s="1"/>
  <c r="M81" i="8" s="1"/>
  <c r="M125" i="8" s="1"/>
  <c r="M129" i="8" s="1"/>
  <c r="M131" i="8" s="1"/>
  <c r="M134" i="8" s="1"/>
  <c r="L98" i="8"/>
  <c r="I42" i="13"/>
  <c r="I47" i="13" s="1"/>
  <c r="I49" i="13" s="1"/>
  <c r="I31" i="13"/>
  <c r="I30" i="13"/>
  <c r="I26" i="13"/>
  <c r="I24" i="13"/>
  <c r="G27" i="15" s="1"/>
  <c r="M113" i="3" l="1"/>
  <c r="M93" i="8" s="1"/>
  <c r="M95" i="8" s="1"/>
  <c r="J25" i="13" s="1"/>
  <c r="M83" i="8"/>
  <c r="M89" i="8" s="1"/>
  <c r="N99" i="3"/>
  <c r="N105" i="3" s="1"/>
  <c r="N38" i="8" s="1"/>
  <c r="L58" i="14" s="1"/>
  <c r="M61" i="8"/>
  <c r="N133" i="8"/>
  <c r="N109" i="3" l="1"/>
  <c r="J33" i="13"/>
  <c r="N40" i="8"/>
  <c r="L60" i="14" s="1"/>
  <c r="N109" i="8"/>
  <c r="L30" i="14"/>
  <c r="N128" i="8"/>
  <c r="N93" i="3"/>
  <c r="J32" i="13"/>
  <c r="J29" i="13"/>
  <c r="M67" i="8"/>
  <c r="M96" i="8"/>
  <c r="N13" i="2" l="1"/>
  <c r="N42" i="8" s="1"/>
  <c r="L62" i="14" s="1"/>
  <c r="L32" i="14"/>
  <c r="K21" i="13"/>
  <c r="M74" i="8"/>
  <c r="J48" i="13" s="1"/>
  <c r="J31" i="13"/>
  <c r="L34" i="14" l="1"/>
  <c r="N43" i="8"/>
  <c r="K16" i="13" s="1"/>
  <c r="M98" i="8"/>
  <c r="J42" i="13"/>
  <c r="J47" i="13" s="1"/>
  <c r="J49" i="13" s="1"/>
  <c r="J30" i="13"/>
  <c r="J24" i="13"/>
  <c r="J26" i="13"/>
  <c r="L35" i="14" l="1"/>
  <c r="K23" i="13"/>
  <c r="K22" i="13"/>
  <c r="K46" i="13" s="1"/>
  <c r="N110" i="3"/>
  <c r="N22" i="2"/>
  <c r="K37" i="13" s="1"/>
  <c r="N104" i="8"/>
  <c r="N114" i="8" s="1"/>
  <c r="N25" i="2"/>
  <c r="N112" i="3" s="1"/>
  <c r="L63" i="14"/>
  <c r="N111" i="3" l="1"/>
  <c r="N113" i="3" s="1"/>
  <c r="N93" i="8" s="1"/>
  <c r="N95" i="8" s="1"/>
  <c r="N46" i="8"/>
  <c r="K36" i="13" s="1"/>
  <c r="N126" i="8"/>
  <c r="N127" i="8"/>
  <c r="N47" i="8"/>
  <c r="N92" i="3" l="1"/>
  <c r="N95" i="3" s="1"/>
  <c r="N100" i="3" s="1"/>
  <c r="N102" i="3" s="1"/>
  <c r="O99" i="3" s="1"/>
  <c r="O105" i="3" s="1"/>
  <c r="O38" i="8" s="1"/>
  <c r="O109" i="8" s="1"/>
  <c r="O109" i="3"/>
  <c r="O40" i="8" l="1"/>
  <c r="L21" i="13" s="1"/>
  <c r="N81" i="8"/>
  <c r="N83" i="8" s="1"/>
  <c r="N89" i="8" s="1"/>
  <c r="O128" i="8"/>
  <c r="Q40" i="8" l="1"/>
  <c r="O13" i="2"/>
  <c r="O42" i="8" s="1"/>
  <c r="O43" i="8" s="1"/>
  <c r="L23" i="13" s="1"/>
  <c r="N125" i="8"/>
  <c r="N129" i="8" s="1"/>
  <c r="N131" i="8" s="1"/>
  <c r="N134" i="8" s="1"/>
  <c r="N61" i="8" s="1"/>
  <c r="O93" i="3" s="1"/>
  <c r="K25" i="13"/>
  <c r="K29" i="13"/>
  <c r="N96" i="8"/>
  <c r="Q13" i="2" l="1"/>
  <c r="K32" i="13"/>
  <c r="O133" i="8"/>
  <c r="N67" i="8"/>
  <c r="N74" i="8" s="1"/>
  <c r="K48" i="13" s="1"/>
  <c r="K33" i="13"/>
  <c r="L16" i="13"/>
  <c r="L22" i="13"/>
  <c r="L46" i="13" s="1"/>
  <c r="O22" i="2"/>
  <c r="L37" i="13" s="1"/>
  <c r="Q43" i="8"/>
  <c r="O104" i="8"/>
  <c r="O114" i="8" s="1"/>
  <c r="O25" i="2"/>
  <c r="O110" i="3"/>
  <c r="K42" i="13" l="1"/>
  <c r="K47" i="13" s="1"/>
  <c r="K49" i="13" s="1"/>
  <c r="K30" i="13"/>
  <c r="K26" i="13"/>
  <c r="K24" i="13"/>
  <c r="K31" i="13"/>
  <c r="N98" i="8"/>
  <c r="O46" i="8"/>
  <c r="Q46" i="8" s="1"/>
  <c r="O47" i="8"/>
  <c r="Q47" i="8" s="1"/>
  <c r="O127" i="8"/>
  <c r="O112" i="3"/>
  <c r="Q25" i="2"/>
  <c r="O111" i="3"/>
  <c r="Q22" i="2"/>
  <c r="O126" i="8"/>
  <c r="L36" i="13" l="1"/>
  <c r="O113" i="3"/>
  <c r="O93" i="8" s="1"/>
  <c r="O95" i="8" s="1"/>
  <c r="O92" i="3"/>
  <c r="O95" i="3" s="1"/>
  <c r="O100" i="3" s="1"/>
  <c r="O102" i="3" s="1"/>
  <c r="O81" i="8" s="1"/>
  <c r="O125" i="8" l="1"/>
  <c r="O129" i="8" s="1"/>
  <c r="O131" i="8" s="1"/>
  <c r="O134" i="8" s="1"/>
  <c r="O61" i="8" s="1"/>
  <c r="O67" i="8" s="1"/>
  <c r="O74" i="8" s="1"/>
  <c r="L48" i="13" s="1"/>
  <c r="L25" i="13"/>
  <c r="O83" i="8"/>
  <c r="L42" i="13" l="1"/>
  <c r="L47" i="13" s="1"/>
  <c r="L31" i="13"/>
  <c r="L26" i="13"/>
  <c r="L30" i="13"/>
  <c r="L33" i="13"/>
  <c r="L32" i="13"/>
  <c r="L24" i="13"/>
  <c r="O89" i="8"/>
  <c r="O96" i="8" l="1"/>
  <c r="O98" i="8" s="1"/>
  <c r="L29" i="13"/>
  <c r="L49" i="13"/>
</calcChain>
</file>

<file path=xl/sharedStrings.xml><?xml version="1.0" encoding="utf-8"?>
<sst xmlns="http://schemas.openxmlformats.org/spreadsheetml/2006/main" count="612" uniqueCount="407">
  <si>
    <t>Company Name</t>
  </si>
  <si>
    <t>Date</t>
  </si>
  <si>
    <t>\</t>
  </si>
  <si>
    <t>Units:</t>
  </si>
  <si>
    <t>Ticker</t>
  </si>
  <si>
    <t>Last Historical</t>
  </si>
  <si>
    <t>Selected Scenario</t>
  </si>
  <si>
    <t>Model Start Date</t>
  </si>
  <si>
    <t>Model End Date</t>
  </si>
  <si>
    <t>No. of Years Projected</t>
  </si>
  <si>
    <t>Years</t>
  </si>
  <si>
    <t>Days</t>
  </si>
  <si>
    <t>Days in an Year</t>
  </si>
  <si>
    <t xml:space="preserve">Hardcode </t>
  </si>
  <si>
    <t>Calculation</t>
  </si>
  <si>
    <t>Reference</t>
  </si>
  <si>
    <t>Assumptions</t>
  </si>
  <si>
    <t>Notes</t>
  </si>
  <si>
    <t>Caution</t>
  </si>
  <si>
    <t>Cell Reference</t>
  </si>
  <si>
    <t>Model Assumption</t>
  </si>
  <si>
    <t>Templete:</t>
  </si>
  <si>
    <t>Period type:</t>
  </si>
  <si>
    <t>Source:</t>
  </si>
  <si>
    <t xml:space="preserve">Decimals: </t>
  </si>
  <si>
    <t>Standard</t>
  </si>
  <si>
    <t>Annual</t>
  </si>
  <si>
    <t>Currency:</t>
  </si>
  <si>
    <t>Company Website</t>
  </si>
  <si>
    <t>Default</t>
  </si>
  <si>
    <t>CAGR</t>
  </si>
  <si>
    <t>Dashboard</t>
  </si>
  <si>
    <t>#</t>
  </si>
  <si>
    <t>Property, plant and equipment</t>
  </si>
  <si>
    <t>Cash flow statement</t>
  </si>
  <si>
    <t>Income statement</t>
  </si>
  <si>
    <t>Financial statements</t>
  </si>
  <si>
    <t>Scenario</t>
  </si>
  <si>
    <t xml:space="preserve">Revenue Forecast </t>
  </si>
  <si>
    <t>Active Scenario</t>
  </si>
  <si>
    <t>Street</t>
  </si>
  <si>
    <t>22A - 25A</t>
  </si>
  <si>
    <t>26E - 30E</t>
  </si>
  <si>
    <t>Expenses forecast</t>
  </si>
  <si>
    <t>Schedule</t>
  </si>
  <si>
    <t>CapEx on PPE and intangibles</t>
  </si>
  <si>
    <t>Property, plant, and equipment and Intangible schedule</t>
  </si>
  <si>
    <t>Additions to PPE</t>
  </si>
  <si>
    <t>Closing balance of Net PPE block</t>
  </si>
  <si>
    <t>Working capital schedule</t>
  </si>
  <si>
    <t>Financials</t>
  </si>
  <si>
    <t>Statements</t>
  </si>
  <si>
    <t>&lt;-Back to dashboard</t>
  </si>
  <si>
    <t>Valuation</t>
  </si>
  <si>
    <t>FCFF</t>
  </si>
  <si>
    <t>WACC</t>
  </si>
  <si>
    <t>Beta</t>
  </si>
  <si>
    <t>&lt;- Go back to the top</t>
  </si>
  <si>
    <t>Go to -&gt;</t>
  </si>
  <si>
    <t>Balance statement</t>
  </si>
  <si>
    <t>Revenue forecast</t>
  </si>
  <si>
    <t>Expense forecast</t>
  </si>
  <si>
    <t>PPE and intangibles</t>
  </si>
  <si>
    <t>Working capital</t>
  </si>
  <si>
    <t>Price</t>
  </si>
  <si>
    <t>Returns</t>
  </si>
  <si>
    <t>Beta Drifting</t>
  </si>
  <si>
    <t>Levered beta</t>
  </si>
  <si>
    <t xml:space="preserve">Raw beta weight </t>
  </si>
  <si>
    <t>Market beta</t>
  </si>
  <si>
    <t>Raw beta weight</t>
  </si>
  <si>
    <t>Calculated beta</t>
  </si>
  <si>
    <t>Adjusted beta</t>
  </si>
  <si>
    <t>Cost of Equity</t>
  </si>
  <si>
    <t>Risk free rate</t>
  </si>
  <si>
    <t>Total years</t>
  </si>
  <si>
    <r>
      <t xml:space="preserve">Market returns </t>
    </r>
    <r>
      <rPr>
        <b/>
        <i/>
        <sz val="10"/>
        <color theme="1"/>
        <rFont val="Arial"/>
        <family val="2"/>
      </rPr>
      <t>(%)</t>
    </r>
  </si>
  <si>
    <t>Cost of equity</t>
  </si>
  <si>
    <t>Cost of Debt</t>
  </si>
  <si>
    <t>Post-tax cost of debt</t>
  </si>
  <si>
    <t>Capital Structure</t>
  </si>
  <si>
    <t>Market Cap</t>
  </si>
  <si>
    <t>Debt</t>
  </si>
  <si>
    <t>Total Capital</t>
  </si>
  <si>
    <t xml:space="preserve">Cost of Equity </t>
  </si>
  <si>
    <t>EBIT</t>
  </si>
  <si>
    <t>NOPAT</t>
  </si>
  <si>
    <t>Free Cash Flow to Firm</t>
  </si>
  <si>
    <t>Discount Factor</t>
  </si>
  <si>
    <t>Valuation parameters</t>
  </si>
  <si>
    <t>Valuation as on specified date</t>
  </si>
  <si>
    <t>Date of year ending</t>
  </si>
  <si>
    <t xml:space="preserve">Terminal growth rate </t>
  </si>
  <si>
    <t>Less: Debt</t>
  </si>
  <si>
    <t>Current Share Price</t>
  </si>
  <si>
    <t>Table of Contents</t>
  </si>
  <si>
    <t>Particulars</t>
  </si>
  <si>
    <t>Ratio Analysis</t>
  </si>
  <si>
    <t>EBITDA</t>
  </si>
  <si>
    <t>Profitability ratio</t>
  </si>
  <si>
    <t>PBT Margin</t>
  </si>
  <si>
    <t>PAT Margin</t>
  </si>
  <si>
    <t xml:space="preserve">ROE </t>
  </si>
  <si>
    <t>ROCE</t>
  </si>
  <si>
    <t>ROIC</t>
  </si>
  <si>
    <t>ROA</t>
  </si>
  <si>
    <t>Operating Margin (OPM)</t>
  </si>
  <si>
    <t>Gross Margin (GM)</t>
  </si>
  <si>
    <t>PAT</t>
  </si>
  <si>
    <t>Leverage Ratio</t>
  </si>
  <si>
    <t>Debt to Equity</t>
  </si>
  <si>
    <t>Debt to Asset</t>
  </si>
  <si>
    <t>Valuation Ratio</t>
  </si>
  <si>
    <t>EPS (₹)</t>
  </si>
  <si>
    <t>DPS (₹)</t>
  </si>
  <si>
    <t>Current Ratio</t>
  </si>
  <si>
    <t>Quick Ratio</t>
  </si>
  <si>
    <t>Cash Ratio</t>
  </si>
  <si>
    <t>Operating Ratio</t>
  </si>
  <si>
    <t>Fixed Asset Turnover</t>
  </si>
  <si>
    <t>Total Asset Turnover</t>
  </si>
  <si>
    <t>Working Capital Turnover</t>
  </si>
  <si>
    <t>Dupoint Analysis</t>
  </si>
  <si>
    <t>Profit Margin</t>
  </si>
  <si>
    <t>Asset Turnover</t>
  </si>
  <si>
    <t>Asset Leverage</t>
  </si>
  <si>
    <t>Dupont ROE</t>
  </si>
  <si>
    <t>Equity Report</t>
  </si>
  <si>
    <t>CMP</t>
  </si>
  <si>
    <t>Net sales:</t>
  </si>
  <si>
    <t>Products</t>
  </si>
  <si>
    <t>Services</t>
  </si>
  <si>
    <t>Total net sales</t>
  </si>
  <si>
    <t>Cost of sales:</t>
  </si>
  <si>
    <t>Total cost of sales</t>
  </si>
  <si>
    <t>Gross margin</t>
  </si>
  <si>
    <t>Operating expenses:</t>
  </si>
  <si>
    <t>Research and development</t>
  </si>
  <si>
    <t>Selling, general and administrative</t>
  </si>
  <si>
    <t>Total operating expenses</t>
  </si>
  <si>
    <t>Operating income (EBIT)</t>
  </si>
  <si>
    <t>Other income/(expense), net</t>
  </si>
  <si>
    <t>Income before provision for income taxes</t>
  </si>
  <si>
    <t>Provision for income taxes</t>
  </si>
  <si>
    <t>Net income</t>
  </si>
  <si>
    <t>Earnings per share:</t>
  </si>
  <si>
    <t>Basic</t>
  </si>
  <si>
    <t>Diluted</t>
  </si>
  <si>
    <t>Shares used in computing earnings per share:</t>
  </si>
  <si>
    <t>EBITDA Margin</t>
  </si>
  <si>
    <t>Balance sheet</t>
  </si>
  <si>
    <t>ASSETS:</t>
  </si>
  <si>
    <t>Current assets:</t>
  </si>
  <si>
    <t>Cash and cash equivalents</t>
  </si>
  <si>
    <t>Marketable securities</t>
  </si>
  <si>
    <t>Accounts receivable, net</t>
  </si>
  <si>
    <t>Vendor non-trade receivables</t>
  </si>
  <si>
    <t>Inventories</t>
  </si>
  <si>
    <t>Other current assets</t>
  </si>
  <si>
    <t>Total current assets</t>
  </si>
  <si>
    <t>Non-current assets:</t>
  </si>
  <si>
    <t>Property, plant and equipment, net</t>
  </si>
  <si>
    <t>Other non-current assets</t>
  </si>
  <si>
    <t>Total non-current assets</t>
  </si>
  <si>
    <t>Total assets</t>
  </si>
  <si>
    <t>LIABILITIES AND SHAREHOLDERS' EQUITY:</t>
  </si>
  <si>
    <t>Current liabilities:</t>
  </si>
  <si>
    <t>Accounts payable</t>
  </si>
  <si>
    <t>Other current liabilities</t>
  </si>
  <si>
    <t>Deferred revenue</t>
  </si>
  <si>
    <t>Commercial paper</t>
  </si>
  <si>
    <t>Term debt</t>
  </si>
  <si>
    <t>Total current liabilities</t>
  </si>
  <si>
    <t>Non-current liabilities:</t>
  </si>
  <si>
    <t>Other non-current liabilities</t>
  </si>
  <si>
    <t>Total non-current liabilities</t>
  </si>
  <si>
    <t>Total liabilities</t>
  </si>
  <si>
    <t>Shareholders' equity:</t>
  </si>
  <si>
    <t>Common stock &amp; APIC</t>
  </si>
  <si>
    <t>Accumulated deficit</t>
  </si>
  <si>
    <t>Accumulated other comprehensive loss</t>
  </si>
  <si>
    <t>Total shareholders' equity</t>
  </si>
  <si>
    <t>Total liabilities and shareholders' equity</t>
  </si>
  <si>
    <t>B.S Check</t>
  </si>
  <si>
    <t>AAPL</t>
  </si>
  <si>
    <t>(Except for dashboard)</t>
  </si>
  <si>
    <t>(In Billions)</t>
  </si>
  <si>
    <t>Number of iPhone users worldwide projected</t>
  </si>
  <si>
    <t>yoy iPhone users growth (%)</t>
  </si>
  <si>
    <t>iPhone</t>
  </si>
  <si>
    <t>Mac</t>
  </si>
  <si>
    <t>iPad</t>
  </si>
  <si>
    <t>Wearables, Home and Accessories</t>
  </si>
  <si>
    <t xml:space="preserve">Services </t>
  </si>
  <si>
    <t>Total Revenue</t>
  </si>
  <si>
    <t>iPhone revenue per user</t>
  </si>
  <si>
    <t>(In millions, except number of shares, which are reflected in thousands, and per-share amounts)</t>
  </si>
  <si>
    <t>yoy iPhone revenue growth per user (%)</t>
  </si>
  <si>
    <t>Optimistic</t>
  </si>
  <si>
    <t>Pessimestic</t>
  </si>
  <si>
    <t>yoy WHA revenue growth (%)</t>
  </si>
  <si>
    <t>yoy iPad revenue growth (%)</t>
  </si>
  <si>
    <t>yoy Mac revenue growth (%)</t>
  </si>
  <si>
    <t>yoy Services revenue growth (%)</t>
  </si>
  <si>
    <t>yoy total revenue growth (%)</t>
  </si>
  <si>
    <t>Revenue Products and Service Wise:</t>
  </si>
  <si>
    <t>Cost of Sales:</t>
  </si>
  <si>
    <t>Total Cost of Sales</t>
  </si>
  <si>
    <t>yoy products cost growth (%)</t>
  </si>
  <si>
    <t>yoy services cost growth (%)</t>
  </si>
  <si>
    <t>yoy R&amp;D expenses growth (%)</t>
  </si>
  <si>
    <t>yoy SG&amp;A expenses growth (%)</t>
  </si>
  <si>
    <t>yoy total operating expense growth (%)</t>
  </si>
  <si>
    <t>yoy total cost of sales growth (%)</t>
  </si>
  <si>
    <t>Income taxes as a % of PBT</t>
  </si>
  <si>
    <t>Income taxes</t>
  </si>
  <si>
    <t>Dividends Paid</t>
  </si>
  <si>
    <t>Share Buy-back</t>
  </si>
  <si>
    <t>Other Income / (Expenses)</t>
  </si>
  <si>
    <t>Others as a % of EBIT</t>
  </si>
  <si>
    <t>USD</t>
  </si>
  <si>
    <t>Depreciation and Amortisation</t>
  </si>
  <si>
    <t>Current assets</t>
  </si>
  <si>
    <t>Current liabilities</t>
  </si>
  <si>
    <t>Turnover Ratio</t>
  </si>
  <si>
    <t>Other NCA as a % of Revenue</t>
  </si>
  <si>
    <t>Other NCL as a % of Revenue</t>
  </si>
  <si>
    <t>Debt schedule</t>
  </si>
  <si>
    <t>Long-Term Debt</t>
  </si>
  <si>
    <t>Avg Interest Rate</t>
  </si>
  <si>
    <t>Issuance of new debt</t>
  </si>
  <si>
    <t>Repayment of debt</t>
  </si>
  <si>
    <t>Finance costs</t>
  </si>
  <si>
    <t>Opening balance of Commercial paper</t>
  </si>
  <si>
    <t>Opening balance of Long-term debt</t>
  </si>
  <si>
    <t>Closing balance of Long-term debt</t>
  </si>
  <si>
    <t>Closing balance of commercial paper</t>
  </si>
  <si>
    <t>Net income for the year</t>
  </si>
  <si>
    <t>Issuance of dividends for the year</t>
  </si>
  <si>
    <t>Share buy-back</t>
  </si>
  <si>
    <t>Dividends paid as a % of Net income</t>
  </si>
  <si>
    <t>Share Buy-back as a % of Net income</t>
  </si>
  <si>
    <t>CapEx as a % of revenue</t>
  </si>
  <si>
    <t>Operating activities</t>
  </si>
  <si>
    <t>Net Income</t>
  </si>
  <si>
    <t>Add/Less: Non-cash items</t>
  </si>
  <si>
    <t>Changes in working capital</t>
  </si>
  <si>
    <t>Cash flow from opearating activities</t>
  </si>
  <si>
    <t>Investing Activities</t>
  </si>
  <si>
    <t>Proceeds from purchase of PPE</t>
  </si>
  <si>
    <t>Cash flow from investing activities</t>
  </si>
  <si>
    <t>Financing Activities</t>
  </si>
  <si>
    <t>Issuance of Long-term debt</t>
  </si>
  <si>
    <t>Repayment of Long-term debt</t>
  </si>
  <si>
    <t>Payments for dividends issued</t>
  </si>
  <si>
    <t>Cash flow from Financing Activities</t>
  </si>
  <si>
    <t>Net cash flow for the year</t>
  </si>
  <si>
    <t>Cash for the beginning of the year</t>
  </si>
  <si>
    <t>Cash for the end of the year</t>
  </si>
  <si>
    <t>Revolver</t>
  </si>
  <si>
    <t>Proceeds from share buy-back issued</t>
  </si>
  <si>
    <t>Add: Cash from beginning of the year</t>
  </si>
  <si>
    <t>Minimum cash balance</t>
  </si>
  <si>
    <t>Cash available for repayment of debt</t>
  </si>
  <si>
    <t>Total working capital</t>
  </si>
  <si>
    <t>Change in working capital</t>
  </si>
  <si>
    <t>Deferred revenue as a % of revenue</t>
  </si>
  <si>
    <t>Depreciation and Ammortisation</t>
  </si>
  <si>
    <t xml:space="preserve">Share based compensation </t>
  </si>
  <si>
    <t>Share based compensation</t>
  </si>
  <si>
    <t>Share based compensation as a % of revenue</t>
  </si>
  <si>
    <t>Depreciation and Ammortisation related to NCA</t>
  </si>
  <si>
    <t>Dep and Ammort related to NCA as a % of  NCA</t>
  </si>
  <si>
    <t>Opening balance of NCA</t>
  </si>
  <si>
    <t>Less: Depreciation related to NCA</t>
  </si>
  <si>
    <t>Closing balance of NCA (net)</t>
  </si>
  <si>
    <t>Additions/ (Disposal) to NCA</t>
  </si>
  <si>
    <t>Addition/(Disposal) of non-current assets</t>
  </si>
  <si>
    <t>Cash flow generated during the year</t>
  </si>
  <si>
    <t>Commercial paper to be paid/(drawn)</t>
  </si>
  <si>
    <t>Commercial paper drawn/(Paid)</t>
  </si>
  <si>
    <t>Issuance of commercial paper</t>
  </si>
  <si>
    <t>Equity schedule</t>
  </si>
  <si>
    <t>Opening balance of accumulated deficit</t>
  </si>
  <si>
    <t>Closing balance of accumulated deficit</t>
  </si>
  <si>
    <t>Opening balance of CS and APIC</t>
  </si>
  <si>
    <t>Closing balance of CS and APIC</t>
  </si>
  <si>
    <t>Change in working capital assets</t>
  </si>
  <si>
    <t>Change in working capital liabilities</t>
  </si>
  <si>
    <t>Change in non-working capital liablities</t>
  </si>
  <si>
    <t>Opening balance of Net PPE</t>
  </si>
  <si>
    <t>Less: Depreciation on PPE</t>
  </si>
  <si>
    <t>Depreciation on PPE</t>
  </si>
  <si>
    <t>Depreciation as a % of CapEx</t>
  </si>
  <si>
    <t>Other Income/(Expenses)</t>
  </si>
  <si>
    <t>Other income/(Expenses)</t>
  </si>
  <si>
    <t>Finance costs (Fixed + Variable)</t>
  </si>
  <si>
    <t>APPLE Inc.</t>
  </si>
  <si>
    <t>NYSE</t>
  </si>
  <si>
    <t>Face value</t>
  </si>
  <si>
    <t>Maturity year</t>
  </si>
  <si>
    <t>YTM</t>
  </si>
  <si>
    <t>Tax rate</t>
  </si>
  <si>
    <t>Coupon rate</t>
  </si>
  <si>
    <t>Sl.No</t>
  </si>
  <si>
    <t>Apple, Inc.</t>
  </si>
  <si>
    <t>FY 22 - FY 25</t>
  </si>
  <si>
    <t>FY 26 - FY 30</t>
  </si>
  <si>
    <t>Historical / Projections</t>
  </si>
  <si>
    <t>Historicals</t>
  </si>
  <si>
    <t>Projections</t>
  </si>
  <si>
    <t>Year</t>
  </si>
  <si>
    <t>(Data is the daily closing price from 3/26 to 3/25)</t>
  </si>
  <si>
    <t>Equity risk premium</t>
  </si>
  <si>
    <t>Country risk premium</t>
  </si>
  <si>
    <t>(Using yield of Apple bond)</t>
  </si>
  <si>
    <t>Debt / Total Cap</t>
  </si>
  <si>
    <t>Equity / Total Cap</t>
  </si>
  <si>
    <t>Adj. Default Spread</t>
  </si>
  <si>
    <t>Tax Rate</t>
  </si>
  <si>
    <t>Add: Depreciaton &amp; Amortization</t>
  </si>
  <si>
    <t>Add: Share-based Compensation</t>
  </si>
  <si>
    <t>Less: CapEx</t>
  </si>
  <si>
    <t>Add|Less: Change in NWC</t>
  </si>
  <si>
    <t>PV of Firm</t>
  </si>
  <si>
    <t>Terminal Value</t>
  </si>
  <si>
    <t xml:space="preserve">Add: Cash </t>
  </si>
  <si>
    <t>Enterprise Value</t>
  </si>
  <si>
    <t>PV of Equity</t>
  </si>
  <si>
    <t>Shares Outstanding</t>
  </si>
  <si>
    <t>Price per Share</t>
  </si>
  <si>
    <t>Implied Share Price</t>
  </si>
  <si>
    <t>Premium / (Discount)</t>
  </si>
  <si>
    <t>Add: Investments &amp; Securities</t>
  </si>
  <si>
    <t>Analysis</t>
  </si>
  <si>
    <t>-</t>
  </si>
  <si>
    <t>Income Statement (Common-size Analysis)</t>
  </si>
  <si>
    <t>Income Statement (Trend Analysis)</t>
  </si>
  <si>
    <t>Company Overview</t>
  </si>
  <si>
    <t>Dividend Yield</t>
  </si>
  <si>
    <t xml:space="preserve">Apple, Inc </t>
  </si>
  <si>
    <t>(USD 'Millions)</t>
  </si>
  <si>
    <t>EBIT Margins (%)</t>
  </si>
  <si>
    <r>
      <t xml:space="preserve">EBITDA Margins </t>
    </r>
    <r>
      <rPr>
        <i/>
        <sz val="11"/>
        <color theme="1"/>
        <rFont val="Calibri"/>
        <family val="2"/>
      </rPr>
      <t>(%)</t>
    </r>
  </si>
  <si>
    <r>
      <t xml:space="preserve">Gross Profit Margins </t>
    </r>
    <r>
      <rPr>
        <i/>
        <sz val="11"/>
        <color theme="1"/>
        <rFont val="Calibri"/>
        <family val="2"/>
      </rPr>
      <t>(%)</t>
    </r>
  </si>
  <si>
    <r>
      <t>Net Profit Margins</t>
    </r>
    <r>
      <rPr>
        <i/>
        <sz val="11"/>
        <color theme="1"/>
        <rFont val="Calibri"/>
        <family val="2"/>
      </rPr>
      <t xml:space="preserve"> (%)</t>
    </r>
  </si>
  <si>
    <r>
      <t xml:space="preserve">EPS </t>
    </r>
    <r>
      <rPr>
        <i/>
        <sz val="11"/>
        <color theme="1"/>
        <rFont val="Calibri"/>
        <family val="2"/>
      </rPr>
      <t>(in $)</t>
    </r>
  </si>
  <si>
    <r>
      <t xml:space="preserve">EPS Growth </t>
    </r>
    <r>
      <rPr>
        <i/>
        <sz val="11"/>
        <color theme="1"/>
        <rFont val="Calibri"/>
        <family val="2"/>
      </rPr>
      <t>(YoY %)</t>
    </r>
  </si>
  <si>
    <r>
      <t xml:space="preserve">Dividend Per Share </t>
    </r>
    <r>
      <rPr>
        <i/>
        <sz val="11"/>
        <color theme="1"/>
        <rFont val="Calibri"/>
        <family val="2"/>
      </rPr>
      <t>(YoY %)</t>
    </r>
  </si>
  <si>
    <r>
      <t xml:space="preserve">DPS Growth </t>
    </r>
    <r>
      <rPr>
        <i/>
        <sz val="11"/>
        <color theme="1"/>
        <rFont val="Calibri"/>
        <family val="2"/>
      </rPr>
      <t>(YoY %)</t>
    </r>
  </si>
  <si>
    <t xml:space="preserve">Market Cap </t>
  </si>
  <si>
    <t>Cash</t>
  </si>
  <si>
    <t>EV</t>
  </si>
  <si>
    <t>Sales</t>
  </si>
  <si>
    <r>
      <t>Sales Growth</t>
    </r>
    <r>
      <rPr>
        <i/>
        <sz val="11"/>
        <color theme="1"/>
        <rFont val="Calibri"/>
        <family val="2"/>
      </rPr>
      <t xml:space="preserve"> (YoY %)</t>
    </r>
  </si>
  <si>
    <t>Key Financial Ratios</t>
  </si>
  <si>
    <r>
      <t xml:space="preserve">ROE </t>
    </r>
    <r>
      <rPr>
        <i/>
        <sz val="11"/>
        <color theme="1"/>
        <rFont val="Calibri"/>
        <family val="2"/>
      </rPr>
      <t>(%)</t>
    </r>
  </si>
  <si>
    <r>
      <t xml:space="preserve">ROCE </t>
    </r>
    <r>
      <rPr>
        <i/>
        <sz val="11"/>
        <color theme="1"/>
        <rFont val="Calibri"/>
        <family val="2"/>
      </rPr>
      <t>(%)</t>
    </r>
  </si>
  <si>
    <t>EV/EBITDA (x)</t>
  </si>
  <si>
    <t>EV/Sales (x)</t>
  </si>
  <si>
    <t>Financial Summary</t>
  </si>
  <si>
    <t>Key Financial Data</t>
  </si>
  <si>
    <t>Technology</t>
  </si>
  <si>
    <t>Investment Overview</t>
  </si>
  <si>
    <t xml:space="preserve">benchmarks in the smartphone market. Android manufacturers will likely follow suit, </t>
  </si>
  <si>
    <t>Apple Inc. (Apple) designs, manufactures, and markets smartphones, personal computers, tablets, wearables, and and accessories  and sells a</t>
  </si>
  <si>
    <t>accelerating their own specification upgrades. We expect the users of iPhone to increase</t>
  </si>
  <si>
    <r>
      <t>from 1.56B FY25 to 1.62B FY26, that’s an increase of 4%</t>
    </r>
    <r>
      <rPr>
        <i/>
        <sz val="11"/>
        <color theme="1"/>
        <rFont val="Calibri"/>
        <family val="2"/>
      </rPr>
      <t xml:space="preserve"> YoY</t>
    </r>
    <r>
      <rPr>
        <sz val="11"/>
        <color theme="1"/>
        <rFont val="Calibri"/>
        <family val="2"/>
      </rPr>
      <t>.</t>
    </r>
  </si>
  <si>
    <t xml:space="preserve">range of related services. The company’s
products include iPhone (50% of FY25 revenue),  Mac (8%), iPad (7%), wearables,  home, and </t>
  </si>
  <si>
    <t>accessories (9%) like AirPods, Apple TV, Apple Watch, HomePod, and an online services business (26%).</t>
  </si>
  <si>
    <t>by 10% YoY FY25. The decline in sales growth in China was offset by higher Net sales of Mac.</t>
  </si>
  <si>
    <t>Risks</t>
  </si>
  <si>
    <r>
      <t xml:space="preserve">Share Price - </t>
    </r>
    <r>
      <rPr>
        <b/>
        <i/>
        <sz val="11"/>
        <color theme="0"/>
        <rFont val="Calibri"/>
        <family val="2"/>
      </rPr>
      <t>(5M)</t>
    </r>
  </si>
  <si>
    <t xml:space="preserve">As of early 2026, Apple is diversifying its manufacturing, with China still producing the majority </t>
  </si>
  <si>
    <t xml:space="preserve">of products while India and Vietnam grow rapidly. Approximately 25% of iPhones are now </t>
  </si>
  <si>
    <t xml:space="preserve">manufactured in India, while China remains the primary base for iPhones, Macs, and iPads. </t>
  </si>
  <si>
    <t>Vietnam serves as a key hub for wearables like AirPods. </t>
  </si>
  <si>
    <t>Apple Inc. faces significant risks from proposed and existing tariffs, primarily due to its heavy</t>
  </si>
  <si>
    <t xml:space="preserve"> reliance on Chinese manufacturing (approx. 80–90% of iPhones), threatening annual cost </t>
  </si>
  <si>
    <t>increases of $8–18 billion. Potential impacts include severe pressure on profit margins,</t>
  </si>
  <si>
    <t xml:space="preserve"> significantly higher U.S. consumer prices for devices, and stock volatility.</t>
  </si>
  <si>
    <r>
      <rPr>
        <b/>
        <sz val="11"/>
        <color theme="1"/>
        <rFont val="Calibri"/>
        <family val="2"/>
      </rPr>
      <t>iPhone specification upgrades to drive premium model mix higher</t>
    </r>
    <r>
      <rPr>
        <sz val="11"/>
        <color theme="1"/>
        <rFont val="Calibri"/>
        <family val="2"/>
      </rPr>
      <t>. We expect the launches</t>
    </r>
  </si>
  <si>
    <t xml:space="preserve"> of the ultra-thin iPhone 17 Air in 2025 and Apple's first foldable iPhone in 2026 to set new </t>
  </si>
  <si>
    <r>
      <rPr>
        <b/>
        <sz val="11"/>
        <color theme="1"/>
        <rFont val="Calibri"/>
        <family val="2"/>
      </rPr>
      <t>Sales growth in China</t>
    </r>
    <r>
      <rPr>
        <sz val="11"/>
        <color theme="1"/>
        <rFont val="Calibri"/>
        <family val="2"/>
      </rPr>
      <t xml:space="preserve"> fell by 4% Yoy FY25, whereas iPhone sales in Rest of Aisa Pacific increa-</t>
    </r>
  </si>
  <si>
    <t>DCF - (Forecast upto year FY29)</t>
  </si>
  <si>
    <t>USA | Technology | Technology Equipment</t>
  </si>
  <si>
    <t>Technology Equipment</t>
  </si>
  <si>
    <t>Ticker:</t>
  </si>
  <si>
    <t>Sector:</t>
  </si>
  <si>
    <t>Rating:</t>
  </si>
  <si>
    <t>Market Cap (USDb):</t>
  </si>
  <si>
    <t>Share Price (USD):</t>
  </si>
  <si>
    <t>Implied Price (USD):</t>
  </si>
  <si>
    <t>Volume (m.Share):</t>
  </si>
  <si>
    <t>Debt / Equity (x):</t>
  </si>
  <si>
    <t>Terminal Value:</t>
  </si>
  <si>
    <t>Enterprise Value:</t>
  </si>
  <si>
    <t>Add: Cash:</t>
  </si>
  <si>
    <t>Add: Invest. &amp; Sec.:</t>
  </si>
  <si>
    <t>Less: Debt:</t>
  </si>
  <si>
    <t>PV of Equity:</t>
  </si>
  <si>
    <t>Shares Outstanding:</t>
  </si>
  <si>
    <t>Price per Share (USD):</t>
  </si>
  <si>
    <t>Sensitivity Analysis</t>
  </si>
  <si>
    <t>Terminal Growth %</t>
  </si>
  <si>
    <t>Overvalued</t>
  </si>
  <si>
    <t>Millions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</si>
</sst>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 * #,##0.00_ ;_ * \-#,##0.00_ ;_ * &quot;-&quot;??_ ;_ @_ "/>
    <numFmt numFmtId="164" formatCode="_ * #,##0.0_ ;_ * \-#,##0.0_ ;_ * &quot;-&quot;??_ ;_ @_ "/>
    <numFmt numFmtId="165" formatCode="mmm/yy\ \A"/>
    <numFmt numFmtId="166" formatCode="#,##0.0"/>
    <numFmt numFmtId="167" formatCode="#,##0;\(#,##0\);\ \-"/>
    <numFmt numFmtId="168" formatCode="#,##0.00;\(#,##0.00\);\ \-"/>
    <numFmt numFmtId="169" formatCode="0.0%"/>
    <numFmt numFmtId="170" formatCode="#,##0.0;\(#,##0.0\);\ \-"/>
    <numFmt numFmtId="171" formatCode="0.0"/>
    <numFmt numFmtId="172" formatCode="0.00\x"/>
    <numFmt numFmtId="173" formatCode="0.000%"/>
    <numFmt numFmtId="174" formatCode="_-[$$-409]* #,##0.00_ ;_-[$$-409]* \-#,##0.00\ ;_-[$$-409]* &quot;-&quot;??_ ;_-@_ "/>
    <numFmt numFmtId="175" formatCode="&quot;FY&quot;\ yyyy\ &quot;A&quot;"/>
    <numFmt numFmtId="176" formatCode="&quot;FY&quot;\ yyyy\ &quot;E&quot;"/>
    <numFmt numFmtId="177" formatCode="mmm/yy\ \E"/>
    <numFmt numFmtId="178" formatCode="_-[$$-409]* #,##0.0_ ;_-[$$-409]* \-#,##0.0\ ;_-[$$-409]* &quot;-&quot;??_ ;_-@_ "/>
    <numFmt numFmtId="179" formatCode="_-[$$-409]* #,##0_ ;_-[$$-409]* \-#,##0\ ;_-[$$-409]* &quot;-&quot;??_ ;_-@_ "/>
    <numFmt numFmtId="180" formatCode="_ * #,##0_ ;_ * \-#,##0_ ;_ * &quot;-&quot;??_ ;_ @_ "/>
  </numFmts>
  <fonts count="4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  <font>
      <sz val="11"/>
      <color rgb="FFFF0000"/>
      <name val="Calibri"/>
      <family val="2"/>
    </font>
    <font>
      <sz val="10"/>
      <color rgb="FF0000FF"/>
      <name val="Arial"/>
      <family val="2"/>
    </font>
    <font>
      <sz val="10"/>
      <color rgb="FF00B000"/>
      <name val="Arial"/>
      <family val="2"/>
    </font>
    <font>
      <b/>
      <u/>
      <sz val="10"/>
      <color theme="1"/>
      <name val="Arial"/>
      <family val="2"/>
    </font>
    <font>
      <b/>
      <sz val="9"/>
      <color theme="0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rgb="FF0000FF"/>
      <name val="Arial"/>
      <family val="2"/>
    </font>
    <font>
      <u/>
      <sz val="11"/>
      <color theme="10"/>
      <name val="Calibri"/>
      <family val="2"/>
    </font>
    <font>
      <sz val="11"/>
      <color rgb="FF232526"/>
      <name val="Inter"/>
      <family val="2"/>
    </font>
    <font>
      <b/>
      <sz val="11"/>
      <color rgb="FFD91400"/>
      <name val="Inter"/>
      <family val="2"/>
    </font>
    <font>
      <b/>
      <sz val="11"/>
      <color rgb="FF007C32"/>
      <name val="Inter"/>
      <family val="2"/>
    </font>
    <font>
      <sz val="10"/>
      <color rgb="FF232526"/>
      <name val="Arial"/>
      <family val="2"/>
    </font>
    <font>
      <sz val="9"/>
      <color theme="0"/>
      <name val="Arial"/>
      <family val="2"/>
    </font>
    <font>
      <b/>
      <sz val="11"/>
      <color theme="3"/>
      <name val="Calibri"/>
      <family val="2"/>
    </font>
    <font>
      <u/>
      <sz val="10"/>
      <color theme="10"/>
      <name val="Arial"/>
      <family val="2"/>
    </font>
    <font>
      <sz val="18"/>
      <color rgb="FF001440"/>
      <name val="Arial Black"/>
      <family val="2"/>
    </font>
    <font>
      <i/>
      <sz val="10"/>
      <color theme="0" tint="-0.249977111117893"/>
      <name val="Arial"/>
      <family val="2"/>
    </font>
    <font>
      <b/>
      <sz val="10"/>
      <color rgb="FF00B000"/>
      <name val="Arial"/>
      <family val="2"/>
    </font>
    <font>
      <sz val="10"/>
      <color theme="2" tint="-0.89999084444715716"/>
      <name val="Arial"/>
      <family val="2"/>
    </font>
    <font>
      <i/>
      <sz val="10"/>
      <color theme="2" tint="-0.89999084444715716"/>
      <name val="Arial"/>
      <family val="2"/>
    </font>
    <font>
      <i/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rgb="FF0000FF"/>
      <name val="Arial"/>
      <family val="2"/>
    </font>
    <font>
      <sz val="11"/>
      <color rgb="FF0000FF"/>
      <name val="Calibri"/>
      <family val="2"/>
    </font>
    <font>
      <u/>
      <sz val="10"/>
      <color theme="1"/>
      <name val="Arial"/>
      <family val="2"/>
    </font>
    <font>
      <u/>
      <sz val="9"/>
      <color theme="10"/>
      <name val="Arial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i/>
      <sz val="10"/>
      <color theme="1"/>
      <name val="Calibri"/>
      <family val="2"/>
    </font>
    <font>
      <i/>
      <sz val="9"/>
      <color theme="1"/>
      <name val="Calibri"/>
      <family val="2"/>
    </font>
    <font>
      <b/>
      <i/>
      <sz val="11"/>
      <color theme="0"/>
      <name val="Calibri"/>
      <family val="2"/>
    </font>
    <font>
      <b/>
      <sz val="12"/>
      <color theme="1"/>
      <name val="Calibri"/>
      <family val="2"/>
    </font>
    <font>
      <sz val="10"/>
      <color theme="0" tint="-4.9989318521683403E-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1440"/>
        <bgColor indexed="64"/>
      </patternFill>
    </fill>
    <fill>
      <patternFill patternType="solid">
        <fgColor rgb="FF00004D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4FFAF"/>
        <bgColor rgb="FFF4FFAF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theme="1"/>
      </right>
      <top style="thin">
        <color rgb="FFB2B2B2"/>
      </top>
      <bottom style="thin">
        <color rgb="FFB2B2B2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rgb="FFB2B2B2"/>
      </right>
      <top style="thin">
        <color theme="1"/>
      </top>
      <bottom style="thin">
        <color rgb="FFB2B2B2"/>
      </bottom>
      <diagonal/>
    </border>
    <border>
      <left style="thin">
        <color rgb="FFB2B2B2"/>
      </left>
      <right style="thin">
        <color theme="1"/>
      </right>
      <top style="thin">
        <color theme="1"/>
      </top>
      <bottom style="thin">
        <color rgb="FFB2B2B2"/>
      </bottom>
      <diagonal/>
    </border>
    <border>
      <left style="thin">
        <color theme="1"/>
      </left>
      <right style="thin">
        <color rgb="FFB2B2B2"/>
      </right>
      <top style="thin">
        <color rgb="FFB2B2B2"/>
      </top>
      <bottom style="thin">
        <color theme="1"/>
      </bottom>
      <diagonal/>
    </border>
    <border>
      <left style="thin">
        <color rgb="FFB2B2B2"/>
      </left>
      <right style="thin">
        <color theme="1"/>
      </right>
      <top style="thin">
        <color rgb="FFB2B2B2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rgb="FFB2B2B2"/>
      </bottom>
      <diagonal/>
    </border>
    <border>
      <left style="thin">
        <color theme="1"/>
      </left>
      <right style="thin">
        <color theme="1"/>
      </right>
      <top style="thin">
        <color rgb="FFB2B2B2"/>
      </top>
      <bottom style="thin">
        <color rgb="FFB2B2B2"/>
      </bottom>
      <diagonal/>
    </border>
    <border>
      <left style="thin">
        <color theme="1"/>
      </left>
      <right style="thin">
        <color theme="1"/>
      </right>
      <top style="thin">
        <color rgb="FFB2B2B2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</borders>
  <cellStyleXfs count="10">
    <xf numFmtId="0" fontId="0" fillId="0" borderId="0"/>
    <xf numFmtId="0" fontId="1" fillId="2" borderId="3" applyNumberFormat="0" applyFont="0" applyAlignment="0" applyProtection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166" fontId="11" fillId="6" borderId="0"/>
    <xf numFmtId="0" fontId="18" fillId="0" borderId="0" applyNumberFormat="0" applyFill="0" applyBorder="0" applyAlignment="0" applyProtection="0"/>
    <xf numFmtId="0" fontId="24" fillId="0" borderId="17" applyNumberFormat="0" applyFill="0" applyAlignment="0" applyProtection="0"/>
    <xf numFmtId="0" fontId="26" fillId="0" borderId="0"/>
    <xf numFmtId="0" fontId="5" fillId="0" borderId="0"/>
    <xf numFmtId="43" fontId="1" fillId="0" borderId="0" applyFont="0" applyFill="0" applyBorder="0" applyAlignment="0" applyProtection="0"/>
  </cellStyleXfs>
  <cellXfs count="463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4" xfId="0" applyFont="1" applyBorder="1"/>
    <xf numFmtId="0" fontId="7" fillId="0" borderId="0" xfId="0" applyFont="1" applyAlignment="1">
      <alignment wrapText="1"/>
    </xf>
    <xf numFmtId="0" fontId="7" fillId="0" borderId="0" xfId="0" applyFont="1"/>
    <xf numFmtId="0" fontId="8" fillId="3" borderId="0" xfId="0" applyFont="1" applyFill="1"/>
    <xf numFmtId="0" fontId="9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8" fillId="4" borderId="0" xfId="0" applyFont="1" applyFill="1"/>
    <xf numFmtId="0" fontId="9" fillId="4" borderId="0" xfId="0" applyFont="1" applyFill="1"/>
    <xf numFmtId="0" fontId="3" fillId="4" borderId="0" xfId="0" applyFont="1" applyFill="1"/>
    <xf numFmtId="0" fontId="4" fillId="4" borderId="0" xfId="0" applyFont="1" applyFill="1"/>
    <xf numFmtId="0" fontId="14" fillId="3" borderId="0" xfId="0" applyFont="1" applyFill="1"/>
    <xf numFmtId="0" fontId="4" fillId="3" borderId="7" xfId="0" applyFont="1" applyFill="1" applyBorder="1"/>
    <xf numFmtId="0" fontId="9" fillId="3" borderId="1" xfId="0" applyFont="1" applyFill="1" applyBorder="1"/>
    <xf numFmtId="0" fontId="6" fillId="0" borderId="0" xfId="0" applyFont="1"/>
    <xf numFmtId="0" fontId="6" fillId="5" borderId="0" xfId="0" applyFont="1" applyFill="1"/>
    <xf numFmtId="0" fontId="5" fillId="0" borderId="15" xfId="0" applyFont="1" applyBorder="1"/>
    <xf numFmtId="0" fontId="5" fillId="0" borderId="7" xfId="0" applyFont="1" applyBorder="1"/>
    <xf numFmtId="167" fontId="5" fillId="0" borderId="0" xfId="0" applyNumberFormat="1" applyFont="1"/>
    <xf numFmtId="0" fontId="4" fillId="5" borderId="0" xfId="0" applyFont="1" applyFill="1"/>
    <xf numFmtId="0" fontId="5" fillId="5" borderId="0" xfId="0" applyFont="1" applyFill="1"/>
    <xf numFmtId="169" fontId="15" fillId="0" borderId="0" xfId="2" applyNumberFormat="1" applyFont="1"/>
    <xf numFmtId="0" fontId="5" fillId="0" borderId="0" xfId="0" applyFont="1" applyAlignment="1">
      <alignment horizontal="left" indent="1"/>
    </xf>
    <xf numFmtId="0" fontId="3" fillId="3" borderId="8" xfId="0" applyFont="1" applyFill="1" applyBorder="1" applyAlignment="1">
      <alignment horizontal="right"/>
    </xf>
    <xf numFmtId="15" fontId="3" fillId="3" borderId="14" xfId="0" applyNumberFormat="1" applyFont="1" applyFill="1" applyBorder="1" applyAlignment="1">
      <alignment horizontal="right"/>
    </xf>
    <xf numFmtId="169" fontId="16" fillId="0" borderId="0" xfId="2" applyNumberFormat="1" applyFont="1"/>
    <xf numFmtId="0" fontId="13" fillId="0" borderId="0" xfId="0" applyFont="1"/>
    <xf numFmtId="0" fontId="13" fillId="0" borderId="0" xfId="0" applyFont="1" applyAlignment="1">
      <alignment horizontal="center"/>
    </xf>
    <xf numFmtId="169" fontId="15" fillId="0" borderId="0" xfId="0" applyNumberFormat="1" applyFont="1"/>
    <xf numFmtId="0" fontId="5" fillId="0" borderId="0" xfId="0" applyFont="1" applyAlignment="1">
      <alignment horizontal="left"/>
    </xf>
    <xf numFmtId="1" fontId="5" fillId="0" borderId="0" xfId="0" applyNumberFormat="1" applyFont="1"/>
    <xf numFmtId="0" fontId="6" fillId="0" borderId="0" xfId="0" applyFont="1" applyAlignment="1">
      <alignment horizontal="left"/>
    </xf>
    <xf numFmtId="0" fontId="18" fillId="0" borderId="0" xfId="5"/>
    <xf numFmtId="167" fontId="6" fillId="0" borderId="4" xfId="0" applyNumberFormat="1" applyFont="1" applyBorder="1"/>
    <xf numFmtId="0" fontId="18" fillId="0" borderId="0" xfId="5" applyAlignment="1">
      <alignment horizontal="left" indent="1"/>
    </xf>
    <xf numFmtId="167" fontId="11" fillId="0" borderId="0" xfId="0" applyNumberFormat="1" applyFont="1"/>
    <xf numFmtId="169" fontId="17" fillId="0" borderId="0" xfId="0" applyNumberFormat="1" applyFont="1"/>
    <xf numFmtId="167" fontId="12" fillId="0" borderId="0" xfId="0" applyNumberFormat="1" applyFont="1"/>
    <xf numFmtId="4" fontId="5" fillId="0" borderId="0" xfId="0" applyNumberFormat="1" applyFont="1"/>
    <xf numFmtId="10" fontId="5" fillId="0" borderId="0" xfId="0" applyNumberFormat="1" applyFont="1"/>
    <xf numFmtId="4" fontId="19" fillId="7" borderId="0" xfId="0" applyNumberFormat="1" applyFont="1" applyFill="1" applyAlignment="1">
      <alignment horizontal="right" vertical="center" wrapText="1"/>
    </xf>
    <xf numFmtId="0" fontId="19" fillId="7" borderId="0" xfId="0" applyFont="1" applyFill="1" applyAlignment="1">
      <alignment horizontal="right" vertical="center" wrapText="1"/>
    </xf>
    <xf numFmtId="10" fontId="20" fillId="7" borderId="0" xfId="0" applyNumberFormat="1" applyFont="1" applyFill="1" applyAlignment="1">
      <alignment horizontal="right" vertical="center" readingOrder="1"/>
    </xf>
    <xf numFmtId="10" fontId="21" fillId="7" borderId="0" xfId="0" applyNumberFormat="1" applyFont="1" applyFill="1" applyAlignment="1">
      <alignment horizontal="right" vertical="center" readingOrder="1"/>
    </xf>
    <xf numFmtId="14" fontId="22" fillId="7" borderId="0" xfId="0" applyNumberFormat="1" applyFont="1" applyFill="1" applyAlignment="1">
      <alignment horizontal="left" vertical="center"/>
    </xf>
    <xf numFmtId="169" fontId="22" fillId="7" borderId="0" xfId="2" applyNumberFormat="1" applyFont="1" applyFill="1" applyAlignment="1">
      <alignment horizontal="right" vertical="center" wrapText="1"/>
    </xf>
    <xf numFmtId="0" fontId="13" fillId="0" borderId="0" xfId="0" applyFont="1" applyAlignment="1">
      <alignment horizontal="left"/>
    </xf>
    <xf numFmtId="4" fontId="5" fillId="7" borderId="0" xfId="0" applyNumberFormat="1" applyFont="1" applyFill="1" applyAlignment="1">
      <alignment horizontal="left" vertical="center" wrapText="1" readingOrder="1"/>
    </xf>
    <xf numFmtId="4" fontId="19" fillId="7" borderId="0" xfId="0" applyNumberFormat="1" applyFont="1" applyFill="1" applyAlignment="1">
      <alignment horizontal="left" vertical="center" wrapText="1"/>
    </xf>
    <xf numFmtId="0" fontId="5" fillId="7" borderId="0" xfId="0" applyFont="1" applyFill="1" applyAlignment="1">
      <alignment horizontal="left" vertical="center" wrapText="1" readingOrder="1"/>
    </xf>
    <xf numFmtId="2" fontId="5" fillId="0" borderId="0" xfId="0" applyNumberFormat="1" applyFont="1"/>
    <xf numFmtId="10" fontId="5" fillId="0" borderId="0" xfId="2" applyNumberFormat="1" applyFont="1"/>
    <xf numFmtId="0" fontId="15" fillId="0" borderId="0" xfId="0" applyFont="1"/>
    <xf numFmtId="10" fontId="5" fillId="2" borderId="3" xfId="1" applyNumberFormat="1" applyFont="1"/>
    <xf numFmtId="0" fontId="23" fillId="3" borderId="0" xfId="0" applyFont="1" applyFill="1"/>
    <xf numFmtId="0" fontId="18" fillId="5" borderId="0" xfId="5" applyFill="1"/>
    <xf numFmtId="0" fontId="25" fillId="0" borderId="0" xfId="5" applyFont="1"/>
    <xf numFmtId="169" fontId="5" fillId="0" borderId="0" xfId="2" applyNumberFormat="1" applyFont="1"/>
    <xf numFmtId="0" fontId="5" fillId="0" borderId="18" xfId="0" applyFont="1" applyBorder="1"/>
    <xf numFmtId="0" fontId="5" fillId="0" borderId="0" xfId="8"/>
    <xf numFmtId="0" fontId="6" fillId="0" borderId="0" xfId="0" applyFont="1" applyAlignment="1">
      <alignment horizontal="left" indent="1"/>
    </xf>
    <xf numFmtId="9" fontId="5" fillId="0" borderId="0" xfId="2" applyFont="1"/>
    <xf numFmtId="0" fontId="6" fillId="0" borderId="0" xfId="8" applyFont="1"/>
    <xf numFmtId="167" fontId="5" fillId="0" borderId="0" xfId="8" applyNumberFormat="1"/>
    <xf numFmtId="167" fontId="6" fillId="0" borderId="0" xfId="8" applyNumberFormat="1" applyFont="1"/>
    <xf numFmtId="9" fontId="15" fillId="0" borderId="0" xfId="2" applyFont="1"/>
    <xf numFmtId="169" fontId="6" fillId="0" borderId="0" xfId="2" applyNumberFormat="1" applyFont="1"/>
    <xf numFmtId="0" fontId="15" fillId="0" borderId="0" xfId="8" applyFont="1"/>
    <xf numFmtId="0" fontId="5" fillId="0" borderId="0" xfId="8" applyAlignment="1">
      <alignment horizontal="left" indent="1"/>
    </xf>
    <xf numFmtId="0" fontId="6" fillId="0" borderId="0" xfId="8" applyFont="1" applyAlignment="1">
      <alignment horizontal="left" indent="1"/>
    </xf>
    <xf numFmtId="10" fontId="27" fillId="0" borderId="0" xfId="8" applyNumberFormat="1" applyFont="1"/>
    <xf numFmtId="0" fontId="27" fillId="0" borderId="0" xfId="8" applyFont="1"/>
    <xf numFmtId="9" fontId="27" fillId="0" borderId="0" xfId="8" applyNumberFormat="1" applyFont="1"/>
    <xf numFmtId="0" fontId="15" fillId="0" borderId="0" xfId="8" applyFont="1" applyAlignment="1">
      <alignment horizontal="left" indent="1"/>
    </xf>
    <xf numFmtId="169" fontId="15" fillId="2" borderId="3" xfId="1" applyNumberFormat="1" applyFont="1"/>
    <xf numFmtId="169" fontId="5" fillId="0" borderId="0" xfId="8" applyNumberFormat="1"/>
    <xf numFmtId="3" fontId="5" fillId="0" borderId="0" xfId="8" applyNumberFormat="1"/>
    <xf numFmtId="1" fontId="5" fillId="0" borderId="0" xfId="8" applyNumberFormat="1"/>
    <xf numFmtId="0" fontId="18" fillId="0" borderId="0" xfId="5" applyFill="1"/>
    <xf numFmtId="167" fontId="6" fillId="0" borderId="4" xfId="8" applyNumberFormat="1" applyFont="1" applyBorder="1"/>
    <xf numFmtId="0" fontId="29" fillId="0" borderId="0" xfId="0" applyFont="1"/>
    <xf numFmtId="167" fontId="29" fillId="0" borderId="0" xfId="0" applyNumberFormat="1" applyFont="1"/>
    <xf numFmtId="169" fontId="30" fillId="0" borderId="0" xfId="2" applyNumberFormat="1" applyFont="1"/>
    <xf numFmtId="0" fontId="13" fillId="0" borderId="0" xfId="8" applyFont="1"/>
    <xf numFmtId="0" fontId="5" fillId="0" borderId="0" xfId="8" applyAlignment="1">
      <alignment horizontal="left"/>
    </xf>
    <xf numFmtId="14" fontId="5" fillId="0" borderId="0" xfId="0" applyNumberFormat="1" applyFont="1"/>
    <xf numFmtId="173" fontId="5" fillId="0" borderId="0" xfId="0" applyNumberFormat="1" applyFont="1"/>
    <xf numFmtId="0" fontId="15" fillId="0" borderId="0" xfId="0" applyFont="1" applyAlignment="1">
      <alignment horizontal="left"/>
    </xf>
    <xf numFmtId="0" fontId="6" fillId="9" borderId="0" xfId="0" applyFont="1" applyFill="1"/>
    <xf numFmtId="0" fontId="5" fillId="9" borderId="0" xfId="0" applyFont="1" applyFill="1"/>
    <xf numFmtId="0" fontId="31" fillId="4" borderId="0" xfId="0" applyFont="1" applyFill="1"/>
    <xf numFmtId="0" fontId="31" fillId="3" borderId="0" xfId="0" applyFont="1" applyFill="1"/>
    <xf numFmtId="0" fontId="2" fillId="3" borderId="0" xfId="0" applyFont="1" applyFill="1"/>
    <xf numFmtId="0" fontId="25" fillId="0" borderId="0" xfId="5" applyFont="1" applyAlignment="1">
      <alignment horizontal="left" indent="1"/>
    </xf>
    <xf numFmtId="0" fontId="32" fillId="0" borderId="0" xfId="3" applyFont="1" applyAlignment="1">
      <alignment horizontal="left"/>
    </xf>
    <xf numFmtId="167" fontId="32" fillId="0" borderId="0" xfId="3" applyNumberFormat="1" applyFont="1" applyAlignment="1">
      <alignment horizontal="center"/>
    </xf>
    <xf numFmtId="0" fontId="25" fillId="5" borderId="0" xfId="5" applyFont="1" applyFill="1"/>
    <xf numFmtId="0" fontId="6" fillId="5" borderId="16" xfId="0" applyFont="1" applyFill="1" applyBorder="1"/>
    <xf numFmtId="0" fontId="4" fillId="5" borderId="4" xfId="0" applyFont="1" applyFill="1" applyBorder="1"/>
    <xf numFmtId="0" fontId="6" fillId="8" borderId="0" xfId="0" applyFont="1" applyFill="1"/>
    <xf numFmtId="0" fontId="4" fillId="9" borderId="0" xfId="0" applyFont="1" applyFill="1"/>
    <xf numFmtId="0" fontId="6" fillId="9" borderId="16" xfId="0" applyFont="1" applyFill="1" applyBorder="1"/>
    <xf numFmtId="0" fontId="4" fillId="9" borderId="4" xfId="0" applyFont="1" applyFill="1" applyBorder="1"/>
    <xf numFmtId="0" fontId="5" fillId="0" borderId="23" xfId="0" applyFont="1" applyBorder="1"/>
    <xf numFmtId="0" fontId="5" fillId="0" borderId="18" xfId="0" applyFont="1" applyBorder="1" applyAlignment="1">
      <alignment horizontal="left" indent="1"/>
    </xf>
    <xf numFmtId="0" fontId="5" fillId="0" borderId="24" xfId="8" applyBorder="1"/>
    <xf numFmtId="0" fontId="6" fillId="0" borderId="18" xfId="0" applyFont="1" applyBorder="1" applyAlignment="1">
      <alignment horizontal="left" indent="1"/>
    </xf>
    <xf numFmtId="0" fontId="5" fillId="0" borderId="18" xfId="0" applyFont="1" applyBorder="1" applyAlignment="1">
      <alignment horizontal="left" indent="2"/>
    </xf>
    <xf numFmtId="0" fontId="5" fillId="0" borderId="20" xfId="8" applyBorder="1" applyAlignment="1">
      <alignment horizontal="left" indent="1"/>
    </xf>
    <xf numFmtId="0" fontId="6" fillId="0" borderId="24" xfId="8" applyFont="1" applyBorder="1"/>
    <xf numFmtId="0" fontId="6" fillId="0" borderId="18" xfId="8" applyFont="1" applyBorder="1" applyAlignment="1">
      <alignment horizontal="left" indent="1"/>
    </xf>
    <xf numFmtId="0" fontId="5" fillId="0" borderId="18" xfId="8" applyBorder="1" applyAlignment="1">
      <alignment horizontal="left" indent="1"/>
    </xf>
    <xf numFmtId="0" fontId="6" fillId="0" borderId="20" xfId="8" applyFont="1" applyBorder="1" applyAlignment="1">
      <alignment horizontal="left" indent="1"/>
    </xf>
    <xf numFmtId="0" fontId="5" fillId="0" borderId="18" xfId="8" applyBorder="1" applyAlignment="1">
      <alignment horizontal="left" indent="2"/>
    </xf>
    <xf numFmtId="0" fontId="5" fillId="0" borderId="24" xfId="0" applyFont="1" applyBorder="1"/>
    <xf numFmtId="0" fontId="13" fillId="0" borderId="18" xfId="0" applyFont="1" applyBorder="1" applyAlignment="1">
      <alignment horizontal="left" indent="1"/>
    </xf>
    <xf numFmtId="0" fontId="6" fillId="0" borderId="20" xfId="0" applyFont="1" applyBorder="1" applyAlignment="1">
      <alignment horizontal="left" indent="1"/>
    </xf>
    <xf numFmtId="167" fontId="5" fillId="0" borderId="0" xfId="0" applyNumberFormat="1" applyFont="1" applyAlignment="1">
      <alignment horizontal="center"/>
    </xf>
    <xf numFmtId="167" fontId="5" fillId="0" borderId="18" xfId="0" applyNumberFormat="1" applyFont="1" applyBorder="1" applyAlignment="1">
      <alignment horizontal="center"/>
    </xf>
    <xf numFmtId="167" fontId="5" fillId="0" borderId="23" xfId="0" applyNumberFormat="1" applyFont="1" applyBorder="1" applyAlignment="1">
      <alignment horizontal="center"/>
    </xf>
    <xf numFmtId="167" fontId="6" fillId="0" borderId="0" xfId="0" applyNumberFormat="1" applyFont="1" applyAlignment="1">
      <alignment horizontal="center"/>
    </xf>
    <xf numFmtId="167" fontId="6" fillId="0" borderId="18" xfId="0" applyNumberFormat="1" applyFont="1" applyBorder="1" applyAlignment="1">
      <alignment horizontal="center"/>
    </xf>
    <xf numFmtId="167" fontId="6" fillId="0" borderId="23" xfId="0" applyNumberFormat="1" applyFont="1" applyBorder="1" applyAlignment="1">
      <alignment horizontal="center"/>
    </xf>
    <xf numFmtId="168" fontId="5" fillId="0" borderId="0" xfId="0" applyNumberFormat="1" applyFont="1" applyAlignment="1">
      <alignment horizontal="center"/>
    </xf>
    <xf numFmtId="168" fontId="5" fillId="0" borderId="18" xfId="0" applyNumberFormat="1" applyFont="1" applyBorder="1" applyAlignment="1">
      <alignment horizontal="center"/>
    </xf>
    <xf numFmtId="168" fontId="5" fillId="0" borderId="23" xfId="0" applyNumberFormat="1" applyFont="1" applyBorder="1" applyAlignment="1">
      <alignment horizontal="center"/>
    </xf>
    <xf numFmtId="170" fontId="5" fillId="0" borderId="0" xfId="0" applyNumberFormat="1" applyFont="1" applyAlignment="1">
      <alignment horizontal="center"/>
    </xf>
    <xf numFmtId="170" fontId="5" fillId="0" borderId="18" xfId="0" applyNumberFormat="1" applyFont="1" applyBorder="1" applyAlignment="1">
      <alignment horizontal="center"/>
    </xf>
    <xf numFmtId="170" fontId="5" fillId="0" borderId="23" xfId="0" applyNumberFormat="1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169" fontId="5" fillId="0" borderId="24" xfId="2" applyNumberFormat="1" applyFont="1" applyBorder="1" applyAlignment="1">
      <alignment horizontal="center"/>
    </xf>
    <xf numFmtId="169" fontId="5" fillId="0" borderId="20" xfId="2" applyNumberFormat="1" applyFont="1" applyBorder="1" applyAlignment="1">
      <alignment horizontal="center"/>
    </xf>
    <xf numFmtId="169" fontId="5" fillId="0" borderId="25" xfId="2" applyNumberFormat="1" applyFont="1" applyBorder="1" applyAlignment="1">
      <alignment horizontal="center"/>
    </xf>
    <xf numFmtId="167" fontId="5" fillId="0" borderId="0" xfId="8" applyNumberFormat="1" applyAlignment="1">
      <alignment horizontal="center"/>
    </xf>
    <xf numFmtId="167" fontId="6" fillId="0" borderId="22" xfId="0" applyNumberFormat="1" applyFont="1" applyBorder="1" applyAlignment="1">
      <alignment horizontal="center"/>
    </xf>
    <xf numFmtId="167" fontId="6" fillId="0" borderId="21" xfId="0" applyNumberFormat="1" applyFont="1" applyBorder="1" applyAlignment="1">
      <alignment horizontal="center"/>
    </xf>
    <xf numFmtId="167" fontId="6" fillId="0" borderId="26" xfId="0" applyNumberFormat="1" applyFont="1" applyBorder="1" applyAlignment="1">
      <alignment horizontal="center"/>
    </xf>
    <xf numFmtId="167" fontId="6" fillId="0" borderId="24" xfId="0" applyNumberFormat="1" applyFont="1" applyBorder="1" applyAlignment="1">
      <alignment horizontal="center"/>
    </xf>
    <xf numFmtId="167" fontId="6" fillId="0" borderId="20" xfId="0" applyNumberFormat="1" applyFont="1" applyBorder="1" applyAlignment="1">
      <alignment horizontal="center"/>
    </xf>
    <xf numFmtId="167" fontId="6" fillId="0" borderId="25" xfId="0" applyNumberFormat="1" applyFont="1" applyBorder="1" applyAlignment="1">
      <alignment horizontal="center"/>
    </xf>
    <xf numFmtId="167" fontId="6" fillId="0" borderId="4" xfId="0" applyNumberFormat="1" applyFont="1" applyBorder="1" applyAlignment="1">
      <alignment horizontal="center"/>
    </xf>
    <xf numFmtId="167" fontId="6" fillId="0" borderId="16" xfId="0" applyNumberFormat="1" applyFont="1" applyBorder="1" applyAlignment="1">
      <alignment horizontal="center"/>
    </xf>
    <xf numFmtId="167" fontId="6" fillId="0" borderId="19" xfId="0" applyNumberFormat="1" applyFont="1" applyBorder="1" applyAlignment="1">
      <alignment horizontal="center"/>
    </xf>
    <xf numFmtId="167" fontId="6" fillId="0" borderId="22" xfId="8" applyNumberFormat="1" applyFont="1" applyBorder="1" applyAlignment="1">
      <alignment horizontal="center"/>
    </xf>
    <xf numFmtId="167" fontId="6" fillId="0" borderId="21" xfId="8" applyNumberFormat="1" applyFont="1" applyBorder="1" applyAlignment="1">
      <alignment horizontal="center"/>
    </xf>
    <xf numFmtId="167" fontId="6" fillId="0" borderId="26" xfId="8" applyNumberFormat="1" applyFont="1" applyBorder="1" applyAlignment="1">
      <alignment horizontal="center"/>
    </xf>
    <xf numFmtId="167" fontId="6" fillId="0" borderId="4" xfId="8" applyNumberFormat="1" applyFont="1" applyBorder="1" applyAlignment="1">
      <alignment horizontal="center"/>
    </xf>
    <xf numFmtId="167" fontId="6" fillId="0" borderId="16" xfId="8" applyNumberFormat="1" applyFont="1" applyBorder="1" applyAlignment="1">
      <alignment horizontal="center"/>
    </xf>
    <xf numFmtId="167" fontId="6" fillId="0" borderId="19" xfId="8" applyNumberFormat="1" applyFont="1" applyBorder="1" applyAlignment="1">
      <alignment horizontal="center"/>
    </xf>
    <xf numFmtId="175" fontId="3" fillId="3" borderId="14" xfId="0" applyNumberFormat="1" applyFont="1" applyFill="1" applyBorder="1"/>
    <xf numFmtId="176" fontId="3" fillId="3" borderId="14" xfId="0" applyNumberFormat="1" applyFont="1" applyFill="1" applyBorder="1"/>
    <xf numFmtId="168" fontId="5" fillId="0" borderId="0" xfId="8" applyNumberFormat="1"/>
    <xf numFmtId="0" fontId="5" fillId="0" borderId="0" xfId="8" applyAlignment="1">
      <alignment horizontal="left" indent="2"/>
    </xf>
    <xf numFmtId="0" fontId="5" fillId="5" borderId="0" xfId="8" applyFill="1"/>
    <xf numFmtId="0" fontId="9" fillId="9" borderId="0" xfId="0" applyFont="1" applyFill="1"/>
    <xf numFmtId="0" fontId="28" fillId="0" borderId="0" xfId="0" applyFont="1"/>
    <xf numFmtId="169" fontId="15" fillId="0" borderId="0" xfId="2" applyNumberFormat="1" applyFont="1" applyFill="1"/>
    <xf numFmtId="0" fontId="18" fillId="9" borderId="0" xfId="5" applyFill="1"/>
    <xf numFmtId="0" fontId="6" fillId="2" borderId="5" xfId="1" applyFont="1" applyBorder="1" applyAlignment="1">
      <alignment horizontal="center"/>
    </xf>
    <xf numFmtId="167" fontId="12" fillId="0" borderId="0" xfId="8" applyNumberFormat="1" applyFont="1"/>
    <xf numFmtId="168" fontId="11" fillId="0" borderId="0" xfId="8" applyNumberFormat="1" applyFont="1"/>
    <xf numFmtId="167" fontId="11" fillId="0" borderId="0" xfId="8" applyNumberFormat="1" applyFont="1"/>
    <xf numFmtId="10" fontId="17" fillId="0" borderId="0" xfId="8" applyNumberFormat="1" applyFont="1"/>
    <xf numFmtId="169" fontId="17" fillId="2" borderId="3" xfId="1" applyNumberFormat="1" applyFont="1"/>
    <xf numFmtId="167" fontId="33" fillId="0" borderId="0" xfId="8" applyNumberFormat="1" applyFont="1"/>
    <xf numFmtId="169" fontId="17" fillId="0" borderId="0" xfId="8" applyNumberFormat="1" applyFont="1"/>
    <xf numFmtId="3" fontId="11" fillId="0" borderId="0" xfId="8" applyNumberFormat="1" applyFont="1"/>
    <xf numFmtId="169" fontId="11" fillId="0" borderId="0" xfId="8" applyNumberFormat="1" applyFont="1"/>
    <xf numFmtId="169" fontId="34" fillId="0" borderId="0" xfId="3" applyNumberFormat="1" applyFont="1"/>
    <xf numFmtId="0" fontId="12" fillId="0" borderId="0" xfId="0" applyFont="1"/>
    <xf numFmtId="0" fontId="5" fillId="10" borderId="0" xfId="0" applyFont="1" applyFill="1"/>
    <xf numFmtId="4" fontId="6" fillId="9" borderId="0" xfId="0" applyNumberFormat="1" applyFont="1" applyFill="1"/>
    <xf numFmtId="2" fontId="6" fillId="9" borderId="0" xfId="0" applyNumberFormat="1" applyFont="1" applyFill="1"/>
    <xf numFmtId="171" fontId="6" fillId="9" borderId="0" xfId="0" applyNumberFormat="1" applyFont="1" applyFill="1"/>
    <xf numFmtId="10" fontId="6" fillId="9" borderId="0" xfId="0" applyNumberFormat="1" applyFont="1" applyFill="1"/>
    <xf numFmtId="4" fontId="5" fillId="10" borderId="0" xfId="0" applyNumberFormat="1" applyFont="1" applyFill="1"/>
    <xf numFmtId="2" fontId="5" fillId="10" borderId="0" xfId="0" applyNumberFormat="1" applyFont="1" applyFill="1"/>
    <xf numFmtId="10" fontId="5" fillId="10" borderId="0" xfId="0" applyNumberFormat="1" applyFont="1" applyFill="1"/>
    <xf numFmtId="2" fontId="5" fillId="10" borderId="0" xfId="2" applyNumberFormat="1" applyFont="1" applyFill="1"/>
    <xf numFmtId="0" fontId="5" fillId="0" borderId="5" xfId="0" applyFont="1" applyBorder="1"/>
    <xf numFmtId="0" fontId="12" fillId="0" borderId="5" xfId="0" applyFont="1" applyBorder="1"/>
    <xf numFmtId="0" fontId="11" fillId="0" borderId="5" xfId="0" applyFont="1" applyBorder="1"/>
    <xf numFmtId="3" fontId="5" fillId="0" borderId="0" xfId="0" applyNumberFormat="1" applyFont="1"/>
    <xf numFmtId="173" fontId="5" fillId="7" borderId="0" xfId="2" applyNumberFormat="1" applyFont="1" applyFill="1" applyAlignment="1">
      <alignment horizontal="right" vertical="center" wrapText="1" readingOrder="1"/>
    </xf>
    <xf numFmtId="173" fontId="5" fillId="0" borderId="0" xfId="8" applyNumberFormat="1"/>
    <xf numFmtId="0" fontId="6" fillId="0" borderId="24" xfId="0" applyFont="1" applyBorder="1"/>
    <xf numFmtId="0" fontId="35" fillId="0" borderId="24" xfId="0" applyFont="1" applyBorder="1"/>
    <xf numFmtId="0" fontId="6" fillId="8" borderId="4" xfId="0" applyFont="1" applyFill="1" applyBorder="1"/>
    <xf numFmtId="0" fontId="5" fillId="8" borderId="4" xfId="0" applyFont="1" applyFill="1" applyBorder="1"/>
    <xf numFmtId="10" fontId="6" fillId="8" borderId="4" xfId="2" applyNumberFormat="1" applyFont="1" applyFill="1" applyBorder="1"/>
    <xf numFmtId="10" fontId="6" fillId="8" borderId="4" xfId="0" applyNumberFormat="1" applyFont="1" applyFill="1" applyBorder="1"/>
    <xf numFmtId="3" fontId="6" fillId="8" borderId="4" xfId="0" applyNumberFormat="1" applyFont="1" applyFill="1" applyBorder="1"/>
    <xf numFmtId="0" fontId="36" fillId="0" borderId="0" xfId="5" applyFont="1"/>
    <xf numFmtId="0" fontId="5" fillId="0" borderId="22" xfId="0" applyFont="1" applyBorder="1"/>
    <xf numFmtId="0" fontId="32" fillId="0" borderId="30" xfId="3" applyFont="1" applyBorder="1"/>
    <xf numFmtId="0" fontId="32" fillId="0" borderId="31" xfId="3" applyFont="1" applyBorder="1"/>
    <xf numFmtId="166" fontId="11" fillId="6" borderId="32" xfId="4" applyBorder="1"/>
    <xf numFmtId="166" fontId="11" fillId="6" borderId="33" xfId="4" applyBorder="1"/>
    <xf numFmtId="0" fontId="5" fillId="2" borderId="28" xfId="1" applyFont="1" applyBorder="1" applyAlignment="1"/>
    <xf numFmtId="0" fontId="5" fillId="2" borderId="29" xfId="1" applyFont="1" applyBorder="1" applyAlignment="1"/>
    <xf numFmtId="169" fontId="15" fillId="0" borderId="0" xfId="2" applyNumberFormat="1" applyFont="1" applyBorder="1" applyAlignment="1">
      <alignment horizontal="center"/>
    </xf>
    <xf numFmtId="169" fontId="15" fillId="0" borderId="23" xfId="2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69" fontId="16" fillId="0" borderId="0" xfId="2" applyNumberFormat="1" applyFont="1" applyBorder="1" applyAlignment="1">
      <alignment horizontal="center"/>
    </xf>
    <xf numFmtId="169" fontId="16" fillId="0" borderId="23" xfId="2" applyNumberFormat="1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169" fontId="16" fillId="0" borderId="24" xfId="2" applyNumberFormat="1" applyFont="1" applyBorder="1" applyAlignment="1">
      <alignment horizontal="center"/>
    </xf>
    <xf numFmtId="169" fontId="16" fillId="0" borderId="25" xfId="2" applyNumberFormat="1" applyFont="1" applyBorder="1" applyAlignment="1">
      <alignment horizontal="center"/>
    </xf>
    <xf numFmtId="0" fontId="5" fillId="5" borderId="4" xfId="0" applyFont="1" applyFill="1" applyBorder="1"/>
    <xf numFmtId="0" fontId="5" fillId="5" borderId="19" xfId="0" applyFont="1" applyFill="1" applyBorder="1"/>
    <xf numFmtId="169" fontId="15" fillId="0" borderId="24" xfId="2" applyNumberFormat="1" applyFont="1" applyBorder="1" applyAlignment="1">
      <alignment horizontal="center"/>
    </xf>
    <xf numFmtId="169" fontId="15" fillId="0" borderId="25" xfId="2" applyNumberFormat="1" applyFont="1" applyBorder="1" applyAlignment="1">
      <alignment horizontal="center"/>
    </xf>
    <xf numFmtId="175" fontId="3" fillId="3" borderId="14" xfId="0" applyNumberFormat="1" applyFont="1" applyFill="1" applyBorder="1" applyAlignment="1">
      <alignment horizontal="center"/>
    </xf>
    <xf numFmtId="176" fontId="3" fillId="3" borderId="14" xfId="0" applyNumberFormat="1" applyFont="1" applyFill="1" applyBorder="1" applyAlignment="1">
      <alignment horizontal="center"/>
    </xf>
    <xf numFmtId="167" fontId="5" fillId="0" borderId="22" xfId="0" applyNumberFormat="1" applyFont="1" applyBorder="1" applyAlignment="1">
      <alignment horizontal="center"/>
    </xf>
    <xf numFmtId="167" fontId="5" fillId="0" borderId="34" xfId="0" applyNumberFormat="1" applyFont="1" applyBorder="1" applyAlignment="1">
      <alignment horizontal="center"/>
    </xf>
    <xf numFmtId="167" fontId="5" fillId="0" borderId="13" xfId="0" applyNumberFormat="1" applyFont="1" applyBorder="1" applyAlignment="1">
      <alignment horizontal="center"/>
    </xf>
    <xf numFmtId="167" fontId="5" fillId="0" borderId="24" xfId="0" applyNumberFormat="1" applyFont="1" applyBorder="1" applyAlignment="1">
      <alignment horizontal="center"/>
    </xf>
    <xf numFmtId="167" fontId="5" fillId="0" borderId="35" xfId="0" applyNumberFormat="1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169" fontId="5" fillId="0" borderId="0" xfId="2" applyNumberFormat="1" applyFont="1" applyAlignment="1">
      <alignment horizontal="center"/>
    </xf>
    <xf numFmtId="169" fontId="5" fillId="0" borderId="13" xfId="2" applyNumberFormat="1" applyFont="1" applyBorder="1" applyAlignment="1">
      <alignment horizontal="center"/>
    </xf>
    <xf numFmtId="172" fontId="5" fillId="0" borderId="13" xfId="0" applyNumberFormat="1" applyFont="1" applyBorder="1" applyAlignment="1">
      <alignment horizontal="center"/>
    </xf>
    <xf numFmtId="172" fontId="5" fillId="0" borderId="0" xfId="0" applyNumberFormat="1" applyFont="1" applyAlignment="1">
      <alignment horizontal="center"/>
    </xf>
    <xf numFmtId="174" fontId="5" fillId="0" borderId="0" xfId="0" applyNumberFormat="1" applyFont="1" applyAlignment="1">
      <alignment horizontal="center"/>
    </xf>
    <xf numFmtId="174" fontId="5" fillId="0" borderId="13" xfId="0" applyNumberFormat="1" applyFont="1" applyBorder="1" applyAlignment="1">
      <alignment horizontal="center"/>
    </xf>
    <xf numFmtId="9" fontId="5" fillId="0" borderId="0" xfId="2" applyFont="1" applyAlignment="1">
      <alignment horizontal="center"/>
    </xf>
    <xf numFmtId="9" fontId="5" fillId="0" borderId="13" xfId="2" applyFont="1" applyBorder="1" applyAlignment="1">
      <alignment horizontal="center"/>
    </xf>
    <xf numFmtId="169" fontId="5" fillId="0" borderId="13" xfId="0" applyNumberFormat="1" applyFont="1" applyBorder="1" applyAlignment="1">
      <alignment horizontal="center"/>
    </xf>
    <xf numFmtId="169" fontId="5" fillId="0" borderId="0" xfId="0" applyNumberFormat="1" applyFont="1" applyAlignment="1">
      <alignment horizontal="center"/>
    </xf>
    <xf numFmtId="169" fontId="6" fillId="0" borderId="36" xfId="2" applyNumberFormat="1" applyFont="1" applyBorder="1" applyAlignment="1">
      <alignment horizontal="center"/>
    </xf>
    <xf numFmtId="169" fontId="6" fillId="0" borderId="27" xfId="2" applyNumberFormat="1" applyFont="1" applyBorder="1" applyAlignment="1">
      <alignment horizontal="center"/>
    </xf>
    <xf numFmtId="0" fontId="5" fillId="0" borderId="41" xfId="0" applyFont="1" applyBorder="1"/>
    <xf numFmtId="0" fontId="5" fillId="0" borderId="41" xfId="0" applyFont="1" applyBorder="1" applyAlignment="1">
      <alignment horizontal="center"/>
    </xf>
    <xf numFmtId="167" fontId="5" fillId="0" borderId="41" xfId="0" applyNumberFormat="1" applyFont="1" applyBorder="1" applyAlignment="1">
      <alignment horizontal="center"/>
    </xf>
    <xf numFmtId="169" fontId="15" fillId="0" borderId="41" xfId="2" applyNumberFormat="1" applyFont="1" applyBorder="1" applyAlignment="1">
      <alignment horizontal="center"/>
    </xf>
    <xf numFmtId="167" fontId="6" fillId="0" borderId="41" xfId="0" applyNumberFormat="1" applyFont="1" applyBorder="1" applyAlignment="1">
      <alignment horizontal="center"/>
    </xf>
    <xf numFmtId="167" fontId="6" fillId="0" borderId="42" xfId="0" applyNumberFormat="1" applyFont="1" applyBorder="1" applyAlignment="1">
      <alignment horizontal="center"/>
    </xf>
    <xf numFmtId="2" fontId="5" fillId="0" borderId="41" xfId="0" applyNumberFormat="1" applyFont="1" applyBorder="1" applyAlignment="1">
      <alignment horizontal="center"/>
    </xf>
    <xf numFmtId="167" fontId="5" fillId="0" borderId="42" xfId="0" applyNumberFormat="1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8" fillId="3" borderId="43" xfId="0" applyFont="1" applyFill="1" applyBorder="1"/>
    <xf numFmtId="0" fontId="9" fillId="3" borderId="37" xfId="0" applyFont="1" applyFill="1" applyBorder="1"/>
    <xf numFmtId="0" fontId="9" fillId="3" borderId="45" xfId="0" applyFont="1" applyFill="1" applyBorder="1"/>
    <xf numFmtId="0" fontId="2" fillId="3" borderId="41" xfId="0" applyFont="1" applyFill="1" applyBorder="1"/>
    <xf numFmtId="0" fontId="9" fillId="3" borderId="46" xfId="0" applyFont="1" applyFill="1" applyBorder="1"/>
    <xf numFmtId="0" fontId="31" fillId="3" borderId="41" xfId="0" applyFont="1" applyFill="1" applyBorder="1"/>
    <xf numFmtId="0" fontId="3" fillId="3" borderId="41" xfId="0" applyFont="1" applyFill="1" applyBorder="1"/>
    <xf numFmtId="0" fontId="5" fillId="0" borderId="46" xfId="0" applyFont="1" applyBorder="1"/>
    <xf numFmtId="0" fontId="36" fillId="0" borderId="41" xfId="5" applyFont="1" applyBorder="1"/>
    <xf numFmtId="0" fontId="18" fillId="0" borderId="41" xfId="5" applyBorder="1"/>
    <xf numFmtId="14" fontId="5" fillId="2" borderId="3" xfId="1" applyNumberFormat="1" applyFont="1"/>
    <xf numFmtId="0" fontId="5" fillId="0" borderId="46" xfId="0" applyFont="1" applyBorder="1" applyAlignment="1">
      <alignment horizontal="center"/>
    </xf>
    <xf numFmtId="0" fontId="5" fillId="0" borderId="39" xfId="0" applyFont="1" applyBorder="1"/>
    <xf numFmtId="0" fontId="5" fillId="0" borderId="50" xfId="0" applyFont="1" applyBorder="1"/>
    <xf numFmtId="0" fontId="5" fillId="0" borderId="51" xfId="0" applyFont="1" applyBorder="1"/>
    <xf numFmtId="167" fontId="5" fillId="0" borderId="46" xfId="0" applyNumberFormat="1" applyFont="1" applyBorder="1" applyAlignment="1">
      <alignment horizontal="center"/>
    </xf>
    <xf numFmtId="169" fontId="15" fillId="0" borderId="46" xfId="2" applyNumberFormat="1" applyFont="1" applyBorder="1" applyAlignment="1">
      <alignment horizontal="center"/>
    </xf>
    <xf numFmtId="167" fontId="6" fillId="0" borderId="46" xfId="0" applyNumberFormat="1" applyFont="1" applyBorder="1" applyAlignment="1">
      <alignment horizontal="center"/>
    </xf>
    <xf numFmtId="167" fontId="6" fillId="10" borderId="42" xfId="0" applyNumberFormat="1" applyFont="1" applyFill="1" applyBorder="1" applyAlignment="1">
      <alignment horizontal="center"/>
    </xf>
    <xf numFmtId="167" fontId="6" fillId="10" borderId="22" xfId="0" applyNumberFormat="1" applyFont="1" applyFill="1" applyBorder="1" applyAlignment="1">
      <alignment horizontal="center"/>
    </xf>
    <xf numFmtId="167" fontId="6" fillId="10" borderId="49" xfId="0" applyNumberFormat="1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2" fontId="5" fillId="0" borderId="46" xfId="0" applyNumberFormat="1" applyFont="1" applyBorder="1" applyAlignment="1">
      <alignment horizontal="center"/>
    </xf>
    <xf numFmtId="0" fontId="5" fillId="0" borderId="49" xfId="0" applyFont="1" applyBorder="1" applyAlignment="1">
      <alignment horizontal="center"/>
    </xf>
    <xf numFmtId="174" fontId="6" fillId="10" borderId="44" xfId="0" applyNumberFormat="1" applyFont="1" applyFill="1" applyBorder="1" applyAlignment="1">
      <alignment horizontal="center"/>
    </xf>
    <xf numFmtId="0" fontId="5" fillId="0" borderId="41" xfId="0" applyFont="1" applyBorder="1" applyAlignment="1">
      <alignment horizontal="left" indent="1"/>
    </xf>
    <xf numFmtId="0" fontId="6" fillId="0" borderId="41" xfId="0" applyFont="1" applyBorder="1" applyAlignment="1">
      <alignment horizontal="left" indent="1"/>
    </xf>
    <xf numFmtId="0" fontId="6" fillId="10" borderId="41" xfId="0" applyFont="1" applyFill="1" applyBorder="1" applyAlignment="1">
      <alignment horizontal="left" indent="1"/>
    </xf>
    <xf numFmtId="174" fontId="5" fillId="2" borderId="48" xfId="1" applyNumberFormat="1" applyFont="1" applyBorder="1" applyAlignment="1">
      <alignment horizontal="center"/>
    </xf>
    <xf numFmtId="169" fontId="5" fillId="2" borderId="48" xfId="2" applyNumberFormat="1" applyFont="1" applyFill="1" applyBorder="1" applyAlignment="1">
      <alignment horizontal="right"/>
    </xf>
    <xf numFmtId="0" fontId="6" fillId="10" borderId="20" xfId="0" applyFont="1" applyFill="1" applyBorder="1" applyAlignment="1">
      <alignment horizontal="left"/>
    </xf>
    <xf numFmtId="0" fontId="5" fillId="0" borderId="18" xfId="0" applyFont="1" applyBorder="1" applyAlignment="1">
      <alignment horizontal="left"/>
    </xf>
    <xf numFmtId="167" fontId="6" fillId="0" borderId="52" xfId="0" applyNumberFormat="1" applyFont="1" applyBorder="1" applyAlignment="1">
      <alignment horizontal="center"/>
    </xf>
    <xf numFmtId="167" fontId="6" fillId="0" borderId="40" xfId="0" applyNumberFormat="1" applyFont="1" applyBorder="1" applyAlignment="1">
      <alignment horizontal="center"/>
    </xf>
    <xf numFmtId="168" fontId="5" fillId="0" borderId="41" xfId="0" applyNumberFormat="1" applyFont="1" applyBorder="1" applyAlignment="1">
      <alignment horizontal="center"/>
    </xf>
    <xf numFmtId="170" fontId="5" fillId="0" borderId="41" xfId="0" applyNumberFormat="1" applyFont="1" applyBorder="1" applyAlignment="1">
      <alignment horizontal="center"/>
    </xf>
    <xf numFmtId="169" fontId="5" fillId="0" borderId="40" xfId="2" applyNumberFormat="1" applyFont="1" applyBorder="1" applyAlignment="1">
      <alignment horizontal="center"/>
    </xf>
    <xf numFmtId="175" fontId="6" fillId="9" borderId="52" xfId="0" applyNumberFormat="1" applyFont="1" applyFill="1" applyBorder="1" applyAlignment="1">
      <alignment horizontal="center"/>
    </xf>
    <xf numFmtId="175" fontId="6" fillId="9" borderId="4" xfId="0" applyNumberFormat="1" applyFont="1" applyFill="1" applyBorder="1" applyAlignment="1">
      <alignment horizontal="center"/>
    </xf>
    <xf numFmtId="176" fontId="6" fillId="9" borderId="4" xfId="0" applyNumberFormat="1" applyFont="1" applyFill="1" applyBorder="1" applyAlignment="1">
      <alignment horizontal="center"/>
    </xf>
    <xf numFmtId="176" fontId="6" fillId="9" borderId="19" xfId="0" applyNumberFormat="1" applyFont="1" applyFill="1" applyBorder="1" applyAlignment="1">
      <alignment horizontal="center"/>
    </xf>
    <xf numFmtId="176" fontId="6" fillId="9" borderId="52" xfId="0" applyNumberFormat="1" applyFont="1" applyFill="1" applyBorder="1" applyAlignment="1">
      <alignment horizontal="center"/>
    </xf>
    <xf numFmtId="167" fontId="5" fillId="0" borderId="41" xfId="8" applyNumberFormat="1" applyBorder="1" applyAlignment="1">
      <alignment horizontal="center"/>
    </xf>
    <xf numFmtId="167" fontId="6" fillId="0" borderId="42" xfId="8" applyNumberFormat="1" applyFont="1" applyBorder="1" applyAlignment="1">
      <alignment horizontal="center"/>
    </xf>
    <xf numFmtId="167" fontId="6" fillId="0" borderId="52" xfId="8" applyNumberFormat="1" applyFont="1" applyBorder="1" applyAlignment="1">
      <alignment horizontal="center"/>
    </xf>
    <xf numFmtId="175" fontId="6" fillId="5" borderId="52" xfId="0" applyNumberFormat="1" applyFont="1" applyFill="1" applyBorder="1" applyAlignment="1">
      <alignment horizontal="center"/>
    </xf>
    <xf numFmtId="175" fontId="6" fillId="5" borderId="4" xfId="0" applyNumberFormat="1" applyFont="1" applyFill="1" applyBorder="1" applyAlignment="1">
      <alignment horizontal="center"/>
    </xf>
    <xf numFmtId="176" fontId="6" fillId="5" borderId="52" xfId="0" applyNumberFormat="1" applyFont="1" applyFill="1" applyBorder="1" applyAlignment="1">
      <alignment horizontal="center"/>
    </xf>
    <xf numFmtId="176" fontId="6" fillId="5" borderId="4" xfId="0" applyNumberFormat="1" applyFont="1" applyFill="1" applyBorder="1" applyAlignment="1">
      <alignment horizontal="center"/>
    </xf>
    <xf numFmtId="176" fontId="6" fillId="5" borderId="19" xfId="0" applyNumberFormat="1" applyFont="1" applyFill="1" applyBorder="1" applyAlignment="1">
      <alignment horizontal="center"/>
    </xf>
    <xf numFmtId="0" fontId="5" fillId="0" borderId="41" xfId="8" applyBorder="1" applyAlignment="1">
      <alignment horizontal="center"/>
    </xf>
    <xf numFmtId="0" fontId="5" fillId="0" borderId="0" xfId="8" applyAlignment="1">
      <alignment horizontal="center"/>
    </xf>
    <xf numFmtId="0" fontId="5" fillId="8" borderId="41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5" fillId="8" borderId="40" xfId="0" applyFont="1" applyFill="1" applyBorder="1" applyAlignment="1">
      <alignment horizontal="center"/>
    </xf>
    <xf numFmtId="0" fontId="5" fillId="8" borderId="24" xfId="0" applyFont="1" applyFill="1" applyBorder="1" applyAlignment="1">
      <alignment horizontal="center"/>
    </xf>
    <xf numFmtId="15" fontId="3" fillId="3" borderId="14" xfId="0" applyNumberFormat="1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169" fontId="15" fillId="0" borderId="18" xfId="2" applyNumberFormat="1" applyFont="1" applyBorder="1"/>
    <xf numFmtId="169" fontId="16" fillId="0" borderId="18" xfId="2" applyNumberFormat="1" applyFont="1" applyBorder="1"/>
    <xf numFmtId="169" fontId="6" fillId="0" borderId="18" xfId="2" applyNumberFormat="1" applyFont="1" applyBorder="1" applyAlignment="1">
      <alignment horizontal="center"/>
    </xf>
    <xf numFmtId="169" fontId="15" fillId="0" borderId="18" xfId="2" applyNumberFormat="1" applyFont="1" applyBorder="1" applyAlignment="1">
      <alignment horizontal="center"/>
    </xf>
    <xf numFmtId="169" fontId="16" fillId="0" borderId="18" xfId="2" applyNumberFormat="1" applyFont="1" applyBorder="1" applyAlignment="1">
      <alignment horizontal="center"/>
    </xf>
    <xf numFmtId="0" fontId="5" fillId="0" borderId="53" xfId="0" applyFont="1" applyBorder="1"/>
    <xf numFmtId="169" fontId="16" fillId="0" borderId="53" xfId="2" applyNumberFormat="1" applyFont="1" applyBorder="1"/>
    <xf numFmtId="169" fontId="6" fillId="0" borderId="53" xfId="2" applyNumberFormat="1" applyFont="1" applyBorder="1" applyAlignment="1">
      <alignment horizontal="center"/>
    </xf>
    <xf numFmtId="169" fontId="15" fillId="0" borderId="53" xfId="2" applyNumberFormat="1" applyFont="1" applyBorder="1" applyAlignment="1">
      <alignment horizontal="center"/>
    </xf>
    <xf numFmtId="169" fontId="16" fillId="0" borderId="53" xfId="2" applyNumberFormat="1" applyFont="1" applyBorder="1" applyAlignment="1">
      <alignment horizontal="center"/>
    </xf>
    <xf numFmtId="0" fontId="5" fillId="0" borderId="53" xfId="0" applyFont="1" applyBorder="1" applyAlignment="1">
      <alignment horizontal="center"/>
    </xf>
    <xf numFmtId="0" fontId="5" fillId="0" borderId="0" xfId="0" quotePrefix="1" applyFont="1"/>
    <xf numFmtId="0" fontId="5" fillId="4" borderId="0" xfId="0" applyFont="1" applyFill="1"/>
    <xf numFmtId="0" fontId="0" fillId="0" borderId="0" xfId="0" applyAlignment="1">
      <alignment vertical="center"/>
    </xf>
    <xf numFmtId="0" fontId="40" fillId="0" borderId="0" xfId="0" applyFont="1"/>
    <xf numFmtId="9" fontId="0" fillId="0" borderId="0" xfId="2" applyFont="1"/>
    <xf numFmtId="1" fontId="37" fillId="4" borderId="0" xfId="0" applyNumberFormat="1" applyFont="1" applyFill="1"/>
    <xf numFmtId="1" fontId="0" fillId="0" borderId="0" xfId="0" applyNumberFormat="1"/>
    <xf numFmtId="0" fontId="6" fillId="8" borderId="54" xfId="0" applyFont="1" applyFill="1" applyBorder="1"/>
    <xf numFmtId="0" fontId="5" fillId="8" borderId="27" xfId="0" applyFont="1" applyFill="1" applyBorder="1"/>
    <xf numFmtId="15" fontId="6" fillId="8" borderId="54" xfId="0" applyNumberFormat="1" applyFont="1" applyFill="1" applyBorder="1" applyAlignment="1">
      <alignment horizontal="center"/>
    </xf>
    <xf numFmtId="15" fontId="6" fillId="8" borderId="27" xfId="0" applyNumberFormat="1" applyFont="1" applyFill="1" applyBorder="1" applyAlignment="1">
      <alignment horizontal="center"/>
    </xf>
    <xf numFmtId="15" fontId="6" fillId="8" borderId="55" xfId="0" applyNumberFormat="1" applyFont="1" applyFill="1" applyBorder="1" applyAlignment="1">
      <alignment horizontal="center"/>
    </xf>
    <xf numFmtId="0" fontId="38" fillId="10" borderId="38" xfId="0" applyFont="1" applyFill="1" applyBorder="1"/>
    <xf numFmtId="0" fontId="38" fillId="10" borderId="43" xfId="0" applyFont="1" applyFill="1" applyBorder="1"/>
    <xf numFmtId="0" fontId="0" fillId="10" borderId="37" xfId="0" applyFill="1" applyBorder="1"/>
    <xf numFmtId="0" fontId="0" fillId="10" borderId="45" xfId="0" applyFill="1" applyBorder="1" applyAlignment="1">
      <alignment horizontal="right"/>
    </xf>
    <xf numFmtId="0" fontId="38" fillId="10" borderId="41" xfId="0" applyFont="1" applyFill="1" applyBorder="1"/>
    <xf numFmtId="0" fontId="0" fillId="10" borderId="0" xfId="0" applyFill="1"/>
    <xf numFmtId="0" fontId="0" fillId="10" borderId="46" xfId="0" applyFill="1" applyBorder="1" applyAlignment="1">
      <alignment horizontal="right"/>
    </xf>
    <xf numFmtId="0" fontId="0" fillId="10" borderId="46" xfId="0" applyFill="1" applyBorder="1"/>
    <xf numFmtId="180" fontId="0" fillId="10" borderId="46" xfId="9" applyNumberFormat="1" applyFont="1" applyFill="1" applyBorder="1" applyAlignment="1">
      <alignment horizontal="right"/>
    </xf>
    <xf numFmtId="178" fontId="0" fillId="10" borderId="46" xfId="0" applyNumberFormat="1" applyFill="1" applyBorder="1" applyAlignment="1">
      <alignment horizontal="right"/>
    </xf>
    <xf numFmtId="0" fontId="38" fillId="10" borderId="0" xfId="0" applyFont="1" applyFill="1"/>
    <xf numFmtId="0" fontId="38" fillId="10" borderId="39" xfId="0" applyFont="1" applyFill="1" applyBorder="1"/>
    <xf numFmtId="0" fontId="0" fillId="10" borderId="50" xfId="0" applyFill="1" applyBorder="1"/>
    <xf numFmtId="172" fontId="0" fillId="10" borderId="51" xfId="0" applyNumberFormat="1" applyFill="1" applyBorder="1" applyAlignment="1">
      <alignment horizontal="right"/>
    </xf>
    <xf numFmtId="0" fontId="0" fillId="0" borderId="43" xfId="0" applyBorder="1"/>
    <xf numFmtId="0" fontId="0" fillId="0" borderId="37" xfId="0" applyBorder="1"/>
    <xf numFmtId="0" fontId="0" fillId="0" borderId="41" xfId="0" applyBorder="1"/>
    <xf numFmtId="0" fontId="38" fillId="10" borderId="44" xfId="0" applyFont="1" applyFill="1" applyBorder="1"/>
    <xf numFmtId="0" fontId="41" fillId="0" borderId="41" xfId="0" applyFont="1" applyBorder="1"/>
    <xf numFmtId="0" fontId="0" fillId="0" borderId="46" xfId="0" applyBorder="1"/>
    <xf numFmtId="179" fontId="0" fillId="0" borderId="0" xfId="0" applyNumberFormat="1"/>
    <xf numFmtId="179" fontId="0" fillId="0" borderId="46" xfId="0" applyNumberFormat="1" applyBorder="1"/>
    <xf numFmtId="169" fontId="39" fillId="0" borderId="0" xfId="2" applyNumberFormat="1" applyFont="1" applyBorder="1"/>
    <xf numFmtId="169" fontId="39" fillId="0" borderId="46" xfId="2" applyNumberFormat="1" applyFont="1" applyBorder="1"/>
    <xf numFmtId="174" fontId="0" fillId="0" borderId="0" xfId="0" applyNumberFormat="1"/>
    <xf numFmtId="174" fontId="0" fillId="0" borderId="46" xfId="0" applyNumberFormat="1" applyBorder="1"/>
    <xf numFmtId="0" fontId="0" fillId="0" borderId="39" xfId="0" applyBorder="1"/>
    <xf numFmtId="0" fontId="0" fillId="0" borderId="50" xfId="0" applyBorder="1"/>
    <xf numFmtId="169" fontId="39" fillId="0" borderId="50" xfId="2" applyNumberFormat="1" applyFont="1" applyBorder="1"/>
    <xf numFmtId="169" fontId="39" fillId="0" borderId="51" xfId="2" applyNumberFormat="1" applyFont="1" applyBorder="1"/>
    <xf numFmtId="172" fontId="0" fillId="0" borderId="0" xfId="0" applyNumberFormat="1"/>
    <xf numFmtId="172" fontId="0" fillId="0" borderId="46" xfId="0" applyNumberFormat="1" applyBorder="1"/>
    <xf numFmtId="0" fontId="37" fillId="4" borderId="44" xfId="0" applyFont="1" applyFill="1" applyBorder="1"/>
    <xf numFmtId="0" fontId="37" fillId="4" borderId="38" xfId="0" applyFont="1" applyFill="1" applyBorder="1"/>
    <xf numFmtId="165" fontId="37" fillId="4" borderId="38" xfId="0" applyNumberFormat="1" applyFont="1" applyFill="1" applyBorder="1"/>
    <xf numFmtId="177" fontId="37" fillId="4" borderId="38" xfId="0" applyNumberFormat="1" applyFont="1" applyFill="1" applyBorder="1"/>
    <xf numFmtId="177" fontId="37" fillId="4" borderId="33" xfId="0" applyNumberFormat="1" applyFont="1" applyFill="1" applyBorder="1"/>
    <xf numFmtId="165" fontId="37" fillId="4" borderId="33" xfId="0" applyNumberFormat="1" applyFont="1" applyFill="1" applyBorder="1"/>
    <xf numFmtId="174" fontId="38" fillId="10" borderId="38" xfId="2" applyNumberFormat="1" applyFont="1" applyFill="1" applyBorder="1" applyAlignment="1"/>
    <xf numFmtId="174" fontId="38" fillId="10" borderId="33" xfId="2" applyNumberFormat="1" applyFont="1" applyFill="1" applyBorder="1" applyAlignment="1">
      <alignment horizontal="right"/>
    </xf>
    <xf numFmtId="0" fontId="43" fillId="0" borderId="0" xfId="0" applyFont="1"/>
    <xf numFmtId="0" fontId="43" fillId="0" borderId="0" xfId="0" applyFont="1" applyAlignment="1">
      <alignment vertical="center"/>
    </xf>
    <xf numFmtId="0" fontId="43" fillId="0" borderId="0" xfId="0" applyFont="1" applyAlignment="1">
      <alignment horizontal="right" vertical="center"/>
    </xf>
    <xf numFmtId="14" fontId="5" fillId="2" borderId="60" xfId="1" applyNumberFormat="1" applyFont="1" applyBorder="1" applyAlignment="1">
      <alignment horizontal="right"/>
    </xf>
    <xf numFmtId="14" fontId="5" fillId="2" borderId="61" xfId="1" applyNumberFormat="1" applyFont="1" applyBorder="1" applyAlignment="1">
      <alignment horizontal="right"/>
    </xf>
    <xf numFmtId="164" fontId="5" fillId="2" borderId="61" xfId="1" applyNumberFormat="1" applyFont="1" applyBorder="1" applyAlignment="1">
      <alignment horizontal="left"/>
    </xf>
    <xf numFmtId="0" fontId="5" fillId="0" borderId="63" xfId="0" applyFont="1" applyBorder="1" applyAlignment="1">
      <alignment horizontal="left"/>
    </xf>
    <xf numFmtId="174" fontId="5" fillId="0" borderId="0" xfId="0" applyNumberFormat="1" applyFont="1"/>
    <xf numFmtId="174" fontId="5" fillId="0" borderId="23" xfId="0" applyNumberFormat="1" applyFont="1" applyBorder="1"/>
    <xf numFmtId="174" fontId="5" fillId="0" borderId="24" xfId="0" applyNumberFormat="1" applyFont="1" applyBorder="1"/>
    <xf numFmtId="174" fontId="5" fillId="0" borderId="25" xfId="0" applyNumberFormat="1" applyFont="1" applyBorder="1"/>
    <xf numFmtId="174" fontId="5" fillId="0" borderId="21" xfId="0" applyNumberFormat="1" applyFont="1" applyBorder="1"/>
    <xf numFmtId="174" fontId="5" fillId="0" borderId="22" xfId="0" applyNumberFormat="1" applyFont="1" applyBorder="1"/>
    <xf numFmtId="174" fontId="5" fillId="0" borderId="26" xfId="0" applyNumberFormat="1" applyFont="1" applyBorder="1"/>
    <xf numFmtId="174" fontId="5" fillId="0" borderId="18" xfId="0" applyNumberFormat="1" applyFont="1" applyBorder="1"/>
    <xf numFmtId="174" fontId="5" fillId="0" borderId="20" xfId="0" applyNumberFormat="1" applyFont="1" applyBorder="1"/>
    <xf numFmtId="0" fontId="4" fillId="4" borderId="21" xfId="0" applyFont="1" applyFill="1" applyBorder="1"/>
    <xf numFmtId="0" fontId="4" fillId="4" borderId="18" xfId="0" applyFont="1" applyFill="1" applyBorder="1"/>
    <xf numFmtId="0" fontId="4" fillId="4" borderId="22" xfId="0" applyFont="1" applyFill="1" applyBorder="1"/>
    <xf numFmtId="10" fontId="5" fillId="10" borderId="22" xfId="0" applyNumberFormat="1" applyFont="1" applyFill="1" applyBorder="1"/>
    <xf numFmtId="10" fontId="5" fillId="10" borderId="26" xfId="0" applyNumberFormat="1" applyFont="1" applyFill="1" applyBorder="1"/>
    <xf numFmtId="10" fontId="5" fillId="10" borderId="18" xfId="0" applyNumberFormat="1" applyFont="1" applyFill="1" applyBorder="1"/>
    <xf numFmtId="10" fontId="5" fillId="10" borderId="20" xfId="0" applyNumberFormat="1" applyFont="1" applyFill="1" applyBorder="1"/>
    <xf numFmtId="174" fontId="44" fillId="10" borderId="5" xfId="0" applyNumberFormat="1" applyFont="1" applyFill="1" applyBorder="1"/>
    <xf numFmtId="10" fontId="6" fillId="10" borderId="18" xfId="0" applyNumberFormat="1" applyFont="1" applyFill="1" applyBorder="1"/>
    <xf numFmtId="174" fontId="6" fillId="0" borderId="18" xfId="0" applyNumberFormat="1" applyFont="1" applyBorder="1"/>
    <xf numFmtId="174" fontId="6" fillId="0" borderId="0" xfId="0" applyNumberFormat="1" applyFont="1"/>
    <xf numFmtId="10" fontId="6" fillId="10" borderId="22" xfId="0" applyNumberFormat="1" applyFont="1" applyFill="1" applyBorder="1"/>
    <xf numFmtId="174" fontId="6" fillId="0" borderId="22" xfId="0" applyNumberFormat="1" applyFont="1" applyBorder="1"/>
    <xf numFmtId="174" fontId="6" fillId="0" borderId="23" xfId="0" applyNumberFormat="1" applyFont="1" applyBorder="1"/>
    <xf numFmtId="174" fontId="6" fillId="0" borderId="24" xfId="0" applyNumberFormat="1" applyFont="1" applyBorder="1"/>
    <xf numFmtId="0" fontId="6" fillId="5" borderId="24" xfId="0" applyFont="1" applyFill="1" applyBorder="1"/>
    <xf numFmtId="0" fontId="4" fillId="5" borderId="24" xfId="0" applyFont="1" applyFill="1" applyBorder="1"/>
    <xf numFmtId="0" fontId="4" fillId="5" borderId="24" xfId="0" applyFont="1" applyFill="1" applyBorder="1" applyAlignment="1">
      <alignment horizontal="center"/>
    </xf>
    <xf numFmtId="0" fontId="6" fillId="0" borderId="0" xfId="0" applyFont="1" applyAlignment="1">
      <alignment wrapText="1"/>
    </xf>
    <xf numFmtId="0" fontId="37" fillId="4" borderId="0" xfId="0" applyFont="1" applyFill="1" applyAlignment="1">
      <alignment horizontal="center"/>
    </xf>
    <xf numFmtId="0" fontId="43" fillId="0" borderId="0" xfId="0" applyFont="1" applyAlignment="1">
      <alignment horizontal="right" vertical="center"/>
    </xf>
    <xf numFmtId="177" fontId="37" fillId="4" borderId="44" xfId="0" applyNumberFormat="1" applyFont="1" applyFill="1" applyBorder="1" applyAlignment="1">
      <alignment horizontal="left"/>
    </xf>
    <xf numFmtId="177" fontId="37" fillId="4" borderId="38" xfId="0" applyNumberFormat="1" applyFont="1" applyFill="1" applyBorder="1" applyAlignment="1">
      <alignment horizontal="left"/>
    </xf>
    <xf numFmtId="177" fontId="37" fillId="4" borderId="33" xfId="0" applyNumberFormat="1" applyFont="1" applyFill="1" applyBorder="1" applyAlignment="1">
      <alignment horizontal="left"/>
    </xf>
    <xf numFmtId="167" fontId="0" fillId="0" borderId="0" xfId="9" applyNumberFormat="1" applyFont="1" applyBorder="1" applyAlignment="1"/>
    <xf numFmtId="167" fontId="0" fillId="0" borderId="46" xfId="9" applyNumberFormat="1" applyFont="1" applyBorder="1" applyAlignment="1"/>
    <xf numFmtId="180" fontId="0" fillId="0" borderId="0" xfId="9" applyNumberFormat="1" applyFont="1" applyBorder="1" applyAlignment="1"/>
    <xf numFmtId="180" fontId="0" fillId="0" borderId="46" xfId="9" applyNumberFormat="1" applyFont="1" applyBorder="1" applyAlignment="1"/>
    <xf numFmtId="180" fontId="0" fillId="0" borderId="37" xfId="9" applyNumberFormat="1" applyFont="1" applyBorder="1" applyAlignment="1"/>
    <xf numFmtId="180" fontId="0" fillId="0" borderId="45" xfId="9" applyNumberFormat="1" applyFont="1" applyBorder="1" applyAlignment="1"/>
    <xf numFmtId="0" fontId="3" fillId="4" borderId="0" xfId="0" applyFont="1" applyFill="1" applyAlignment="1">
      <alignment horizontal="center"/>
    </xf>
    <xf numFmtId="14" fontId="5" fillId="2" borderId="58" xfId="1" applyNumberFormat="1" applyFont="1" applyBorder="1" applyAlignment="1">
      <alignment horizontal="right"/>
    </xf>
    <xf numFmtId="14" fontId="5" fillId="2" borderId="59" xfId="1" applyNumberFormat="1" applyFont="1" applyBorder="1" applyAlignment="1">
      <alignment horizontal="right"/>
    </xf>
    <xf numFmtId="0" fontId="5" fillId="0" borderId="18" xfId="5" applyFont="1" applyBorder="1" applyAlignment="1">
      <alignment horizontal="left" indent="2"/>
    </xf>
    <xf numFmtId="0" fontId="5" fillId="0" borderId="0" xfId="5" applyFont="1" applyBorder="1" applyAlignment="1">
      <alignment horizontal="left" indent="2"/>
    </xf>
    <xf numFmtId="0" fontId="5" fillId="0" borderId="23" xfId="5" applyFont="1" applyBorder="1" applyAlignment="1">
      <alignment horizontal="left" indent="2"/>
    </xf>
    <xf numFmtId="0" fontId="5" fillId="0" borderId="20" xfId="5" applyFont="1" applyBorder="1" applyAlignment="1">
      <alignment horizontal="left" indent="2"/>
    </xf>
    <xf numFmtId="0" fontId="5" fillId="0" borderId="24" xfId="5" applyFont="1" applyBorder="1" applyAlignment="1">
      <alignment horizontal="left" indent="2"/>
    </xf>
    <xf numFmtId="0" fontId="5" fillId="0" borderId="25" xfId="5" applyFont="1" applyBorder="1" applyAlignment="1">
      <alignment horizontal="left" indent="2"/>
    </xf>
    <xf numFmtId="0" fontId="6" fillId="9" borderId="44" xfId="0" applyFont="1" applyFill="1" applyBorder="1" applyAlignment="1">
      <alignment horizontal="center"/>
    </xf>
    <xf numFmtId="0" fontId="6" fillId="9" borderId="38" xfId="0" applyFont="1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5" fillId="0" borderId="18" xfId="5" applyFont="1" applyBorder="1" applyAlignment="1">
      <alignment horizontal="left" indent="1"/>
    </xf>
    <xf numFmtId="0" fontId="5" fillId="0" borderId="0" xfId="5" applyFont="1" applyBorder="1" applyAlignment="1">
      <alignment horizontal="left" indent="1"/>
    </xf>
    <xf numFmtId="0" fontId="5" fillId="0" borderId="23" xfId="5" applyFont="1" applyBorder="1" applyAlignment="1">
      <alignment horizontal="left" indent="1"/>
    </xf>
    <xf numFmtId="0" fontId="6" fillId="0" borderId="18" xfId="6" applyFont="1" applyBorder="1" applyAlignment="1">
      <alignment horizontal="left" indent="1"/>
    </xf>
    <xf numFmtId="0" fontId="6" fillId="0" borderId="0" xfId="6" applyFont="1" applyBorder="1" applyAlignment="1">
      <alignment horizontal="left" indent="1"/>
    </xf>
    <xf numFmtId="0" fontId="6" fillId="0" borderId="23" xfId="6" applyFont="1" applyBorder="1" applyAlignment="1">
      <alignment horizontal="left" indent="1"/>
    </xf>
    <xf numFmtId="0" fontId="6" fillId="10" borderId="20" xfId="0" applyFont="1" applyFill="1" applyBorder="1"/>
    <xf numFmtId="0" fontId="6" fillId="10" borderId="24" xfId="0" applyFont="1" applyFill="1" applyBorder="1"/>
    <xf numFmtId="0" fontId="6" fillId="10" borderId="25" xfId="0" applyFont="1" applyFill="1" applyBorder="1"/>
    <xf numFmtId="0" fontId="3" fillId="3" borderId="1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/>
    </xf>
    <xf numFmtId="165" fontId="3" fillId="3" borderId="12" xfId="0" applyNumberFormat="1" applyFont="1" applyFill="1" applyBorder="1" applyAlignment="1">
      <alignment horizontal="center"/>
    </xf>
    <xf numFmtId="165" fontId="3" fillId="3" borderId="8" xfId="0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22" xfId="0" applyFont="1" applyFill="1" applyBorder="1" applyAlignment="1">
      <alignment horizontal="center"/>
    </xf>
    <xf numFmtId="0" fontId="3" fillId="4" borderId="26" xfId="0" applyFont="1" applyFill="1" applyBorder="1" applyAlignment="1">
      <alignment horizontal="center"/>
    </xf>
    <xf numFmtId="0" fontId="3" fillId="4" borderId="18" xfId="0" applyFont="1" applyFill="1" applyBorder="1" applyAlignment="1">
      <alignment horizontal="center" vertical="center" textRotation="90"/>
    </xf>
    <xf numFmtId="0" fontId="3" fillId="4" borderId="20" xfId="0" applyFont="1" applyFill="1" applyBorder="1" applyAlignment="1">
      <alignment horizontal="center" vertical="center" textRotation="90"/>
    </xf>
    <xf numFmtId="0" fontId="5" fillId="2" borderId="47" xfId="1" applyFont="1" applyBorder="1" applyAlignment="1">
      <alignment horizontal="left" indent="1"/>
    </xf>
    <xf numFmtId="0" fontId="5" fillId="2" borderId="3" xfId="1" applyFont="1" applyAlignment="1">
      <alignment horizontal="left" indent="1"/>
    </xf>
    <xf numFmtId="165" fontId="3" fillId="3" borderId="9" xfId="0" applyNumberFormat="1" applyFont="1" applyFill="1" applyBorder="1" applyAlignment="1">
      <alignment horizontal="center"/>
    </xf>
    <xf numFmtId="165" fontId="3" fillId="3" borderId="10" xfId="0" applyNumberFormat="1" applyFont="1" applyFill="1" applyBorder="1" applyAlignment="1">
      <alignment horizontal="center"/>
    </xf>
    <xf numFmtId="165" fontId="3" fillId="3" borderId="11" xfId="0" applyNumberFormat="1" applyFont="1" applyFill="1" applyBorder="1" applyAlignment="1">
      <alignment horizontal="center"/>
    </xf>
    <xf numFmtId="0" fontId="5" fillId="2" borderId="56" xfId="1" applyFont="1" applyBorder="1" applyAlignment="1">
      <alignment horizontal="right"/>
    </xf>
    <xf numFmtId="0" fontId="5" fillId="2" borderId="57" xfId="1" applyFont="1" applyBorder="1" applyAlignment="1">
      <alignment horizontal="right"/>
    </xf>
    <xf numFmtId="0" fontId="5" fillId="2" borderId="47" xfId="1" applyFont="1" applyBorder="1" applyAlignment="1">
      <alignment horizontal="right"/>
    </xf>
    <xf numFmtId="0" fontId="5" fillId="2" borderId="48" xfId="1" applyFont="1" applyBorder="1" applyAlignment="1">
      <alignment horizontal="right"/>
    </xf>
    <xf numFmtId="180" fontId="5" fillId="2" borderId="62" xfId="1" applyNumberFormat="1" applyFont="1" applyBorder="1"/>
  </cellXfs>
  <cellStyles count="10">
    <cellStyle name="Assumption" xfId="4" xr:uid="{13E0F060-244A-4114-804B-D04C2B579D70}"/>
    <cellStyle name="Comma" xfId="9" builtinId="3"/>
    <cellStyle name="Heading 3" xfId="6" builtinId="18"/>
    <cellStyle name="Hyperlink" xfId="5" builtinId="8"/>
    <cellStyle name="Normal" xfId="0" builtinId="0"/>
    <cellStyle name="Normal_1" xfId="8" xr:uid="{84F30508-1BA6-480D-880A-10F79C0DAE3A}"/>
    <cellStyle name="Note" xfId="1" builtinId="10"/>
    <cellStyle name="Percent" xfId="2" builtinId="5"/>
    <cellStyle name="Title ERP" xfId="7" xr:uid="{77A82A11-F05B-46F3-BC2E-2128335B1F29}"/>
    <cellStyle name="Warning Text" xfId="3" builtinId="11"/>
  </cellStyles>
  <dxfs count="0"/>
  <tableStyles count="0" defaultTableStyle="TableStyleMedium2" defaultPivotStyle="PivotStyleLight16"/>
  <colors>
    <mruColors>
      <color rgb="FF00004D"/>
      <color rgb="FF00006C"/>
      <color rgb="FF0000FF"/>
      <color rgb="FF00B000"/>
      <color rgb="FF001440"/>
      <color rgb="FFF4FFAF"/>
      <color rgb="FF6666CC"/>
      <color rgb="FF8DA9DB"/>
      <color rgb="FF008000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Apple, Inc.</c:v>
          </c:tx>
          <c:spPr>
            <a:ln w="28575" cap="rnd">
              <a:solidFill>
                <a:srgbClr val="00006C"/>
              </a:solidFill>
              <a:round/>
            </a:ln>
            <a:effectLst/>
          </c:spPr>
          <c:marker>
            <c:symbol val="none"/>
          </c:marker>
          <c:cat>
            <c:numRef>
              <c:f>Beta!$B$14:$B$96</c:f>
              <c:numCache>
                <c:formatCode>m/d/yyyy</c:formatCode>
                <c:ptCount val="83"/>
                <c:pt idx="0">
                  <c:v>46085</c:v>
                </c:pt>
                <c:pt idx="1">
                  <c:v>46084</c:v>
                </c:pt>
                <c:pt idx="2">
                  <c:v>46083</c:v>
                </c:pt>
                <c:pt idx="3">
                  <c:v>46080</c:v>
                </c:pt>
                <c:pt idx="4">
                  <c:v>46079</c:v>
                </c:pt>
                <c:pt idx="5">
                  <c:v>46078</c:v>
                </c:pt>
                <c:pt idx="6">
                  <c:v>46077</c:v>
                </c:pt>
                <c:pt idx="7">
                  <c:v>46076</c:v>
                </c:pt>
                <c:pt idx="8">
                  <c:v>46073</c:v>
                </c:pt>
                <c:pt idx="9">
                  <c:v>46072</c:v>
                </c:pt>
                <c:pt idx="10">
                  <c:v>46071</c:v>
                </c:pt>
                <c:pt idx="11">
                  <c:v>46070</c:v>
                </c:pt>
                <c:pt idx="12">
                  <c:v>46066</c:v>
                </c:pt>
                <c:pt idx="13">
                  <c:v>46065</c:v>
                </c:pt>
                <c:pt idx="14">
                  <c:v>46064</c:v>
                </c:pt>
                <c:pt idx="15">
                  <c:v>46063</c:v>
                </c:pt>
                <c:pt idx="16">
                  <c:v>46062</c:v>
                </c:pt>
                <c:pt idx="17">
                  <c:v>46059</c:v>
                </c:pt>
                <c:pt idx="18">
                  <c:v>46058</c:v>
                </c:pt>
                <c:pt idx="19">
                  <c:v>46057</c:v>
                </c:pt>
                <c:pt idx="20">
                  <c:v>46056</c:v>
                </c:pt>
                <c:pt idx="21">
                  <c:v>46055</c:v>
                </c:pt>
                <c:pt idx="22">
                  <c:v>46052</c:v>
                </c:pt>
                <c:pt idx="23">
                  <c:v>46051</c:v>
                </c:pt>
                <c:pt idx="24">
                  <c:v>46050</c:v>
                </c:pt>
                <c:pt idx="25">
                  <c:v>46049</c:v>
                </c:pt>
                <c:pt idx="26">
                  <c:v>46048</c:v>
                </c:pt>
                <c:pt idx="27">
                  <c:v>46045</c:v>
                </c:pt>
                <c:pt idx="28">
                  <c:v>46044</c:v>
                </c:pt>
                <c:pt idx="29">
                  <c:v>46043</c:v>
                </c:pt>
                <c:pt idx="30">
                  <c:v>46042</c:v>
                </c:pt>
                <c:pt idx="31">
                  <c:v>46038</c:v>
                </c:pt>
                <c:pt idx="32">
                  <c:v>46037</c:v>
                </c:pt>
                <c:pt idx="33">
                  <c:v>46036</c:v>
                </c:pt>
                <c:pt idx="34">
                  <c:v>46035</c:v>
                </c:pt>
                <c:pt idx="35">
                  <c:v>46034</c:v>
                </c:pt>
                <c:pt idx="36">
                  <c:v>46031</c:v>
                </c:pt>
                <c:pt idx="37">
                  <c:v>46030</c:v>
                </c:pt>
                <c:pt idx="38">
                  <c:v>46029</c:v>
                </c:pt>
                <c:pt idx="39">
                  <c:v>46028</c:v>
                </c:pt>
                <c:pt idx="40">
                  <c:v>46027</c:v>
                </c:pt>
                <c:pt idx="41">
                  <c:v>46024</c:v>
                </c:pt>
                <c:pt idx="42">
                  <c:v>46022</c:v>
                </c:pt>
                <c:pt idx="43">
                  <c:v>46021</c:v>
                </c:pt>
                <c:pt idx="44">
                  <c:v>46020</c:v>
                </c:pt>
                <c:pt idx="45">
                  <c:v>46017</c:v>
                </c:pt>
                <c:pt idx="46">
                  <c:v>46015</c:v>
                </c:pt>
                <c:pt idx="47">
                  <c:v>46014</c:v>
                </c:pt>
                <c:pt idx="48">
                  <c:v>46013</c:v>
                </c:pt>
                <c:pt idx="49">
                  <c:v>46010</c:v>
                </c:pt>
                <c:pt idx="50">
                  <c:v>46009</c:v>
                </c:pt>
                <c:pt idx="51">
                  <c:v>46008</c:v>
                </c:pt>
                <c:pt idx="52">
                  <c:v>46007</c:v>
                </c:pt>
                <c:pt idx="53">
                  <c:v>46006</c:v>
                </c:pt>
                <c:pt idx="54">
                  <c:v>46003</c:v>
                </c:pt>
                <c:pt idx="55">
                  <c:v>46002</c:v>
                </c:pt>
                <c:pt idx="56">
                  <c:v>46001</c:v>
                </c:pt>
                <c:pt idx="57">
                  <c:v>46000</c:v>
                </c:pt>
                <c:pt idx="58">
                  <c:v>45999</c:v>
                </c:pt>
                <c:pt idx="59">
                  <c:v>45996</c:v>
                </c:pt>
                <c:pt idx="60">
                  <c:v>45995</c:v>
                </c:pt>
                <c:pt idx="61">
                  <c:v>45994</c:v>
                </c:pt>
                <c:pt idx="62">
                  <c:v>45993</c:v>
                </c:pt>
                <c:pt idx="63">
                  <c:v>45992</c:v>
                </c:pt>
                <c:pt idx="64">
                  <c:v>45989</c:v>
                </c:pt>
                <c:pt idx="65">
                  <c:v>45987</c:v>
                </c:pt>
                <c:pt idx="66">
                  <c:v>45986</c:v>
                </c:pt>
                <c:pt idx="67">
                  <c:v>45985</c:v>
                </c:pt>
                <c:pt idx="68">
                  <c:v>45982</c:v>
                </c:pt>
                <c:pt idx="69">
                  <c:v>45981</c:v>
                </c:pt>
                <c:pt idx="70">
                  <c:v>45980</c:v>
                </c:pt>
                <c:pt idx="71">
                  <c:v>45979</c:v>
                </c:pt>
                <c:pt idx="72">
                  <c:v>45978</c:v>
                </c:pt>
                <c:pt idx="73">
                  <c:v>45975</c:v>
                </c:pt>
                <c:pt idx="74">
                  <c:v>45974</c:v>
                </c:pt>
                <c:pt idx="75">
                  <c:v>45973</c:v>
                </c:pt>
                <c:pt idx="76">
                  <c:v>45972</c:v>
                </c:pt>
                <c:pt idx="77">
                  <c:v>45971</c:v>
                </c:pt>
                <c:pt idx="78">
                  <c:v>45968</c:v>
                </c:pt>
                <c:pt idx="79">
                  <c:v>45967</c:v>
                </c:pt>
                <c:pt idx="80">
                  <c:v>45966</c:v>
                </c:pt>
                <c:pt idx="81">
                  <c:v>45965</c:v>
                </c:pt>
                <c:pt idx="82">
                  <c:v>45964</c:v>
                </c:pt>
              </c:numCache>
            </c:numRef>
          </c:cat>
          <c:val>
            <c:numRef>
              <c:f>Beta!$C$14:$C$96</c:f>
              <c:numCache>
                <c:formatCode>General</c:formatCode>
                <c:ptCount val="83"/>
                <c:pt idx="0">
                  <c:v>262.52</c:v>
                </c:pt>
                <c:pt idx="1">
                  <c:v>263.75</c:v>
                </c:pt>
                <c:pt idx="2">
                  <c:v>264.72000000000003</c:v>
                </c:pt>
                <c:pt idx="3">
                  <c:v>264.18</c:v>
                </c:pt>
                <c:pt idx="4">
                  <c:v>272.95</c:v>
                </c:pt>
                <c:pt idx="5">
                  <c:v>274.23</c:v>
                </c:pt>
                <c:pt idx="6">
                  <c:v>272.14</c:v>
                </c:pt>
                <c:pt idx="7">
                  <c:v>266.18</c:v>
                </c:pt>
                <c:pt idx="8">
                  <c:v>264.58</c:v>
                </c:pt>
                <c:pt idx="9">
                  <c:v>260.58</c:v>
                </c:pt>
                <c:pt idx="10">
                  <c:v>264.35000000000002</c:v>
                </c:pt>
                <c:pt idx="11">
                  <c:v>263.88</c:v>
                </c:pt>
                <c:pt idx="12">
                  <c:v>255.78</c:v>
                </c:pt>
                <c:pt idx="13">
                  <c:v>261.73</c:v>
                </c:pt>
                <c:pt idx="14">
                  <c:v>275.5</c:v>
                </c:pt>
                <c:pt idx="15">
                  <c:v>273.68</c:v>
                </c:pt>
                <c:pt idx="16">
                  <c:v>274.62</c:v>
                </c:pt>
                <c:pt idx="17">
                  <c:v>278.12</c:v>
                </c:pt>
                <c:pt idx="18">
                  <c:v>275.91000000000003</c:v>
                </c:pt>
                <c:pt idx="19">
                  <c:v>276.49</c:v>
                </c:pt>
                <c:pt idx="20">
                  <c:v>269.48</c:v>
                </c:pt>
                <c:pt idx="21">
                  <c:v>270.01</c:v>
                </c:pt>
                <c:pt idx="22">
                  <c:v>259.48</c:v>
                </c:pt>
                <c:pt idx="23">
                  <c:v>258.27999999999997</c:v>
                </c:pt>
                <c:pt idx="24">
                  <c:v>256.44</c:v>
                </c:pt>
                <c:pt idx="25">
                  <c:v>258.27</c:v>
                </c:pt>
                <c:pt idx="26">
                  <c:v>255.41</c:v>
                </c:pt>
                <c:pt idx="27">
                  <c:v>248.04</c:v>
                </c:pt>
                <c:pt idx="28">
                  <c:v>248.35</c:v>
                </c:pt>
                <c:pt idx="29">
                  <c:v>247.65</c:v>
                </c:pt>
                <c:pt idx="30">
                  <c:v>246.7</c:v>
                </c:pt>
                <c:pt idx="31">
                  <c:v>255.53</c:v>
                </c:pt>
                <c:pt idx="32">
                  <c:v>258.20999999999998</c:v>
                </c:pt>
                <c:pt idx="33">
                  <c:v>259.95999999999998</c:v>
                </c:pt>
                <c:pt idx="34">
                  <c:v>261.05</c:v>
                </c:pt>
                <c:pt idx="35">
                  <c:v>260.25</c:v>
                </c:pt>
                <c:pt idx="36">
                  <c:v>259.37</c:v>
                </c:pt>
                <c:pt idx="37">
                  <c:v>259.04000000000002</c:v>
                </c:pt>
                <c:pt idx="38">
                  <c:v>260.33</c:v>
                </c:pt>
                <c:pt idx="39">
                  <c:v>262.36</c:v>
                </c:pt>
                <c:pt idx="40">
                  <c:v>267.26</c:v>
                </c:pt>
                <c:pt idx="41">
                  <c:v>271.01</c:v>
                </c:pt>
                <c:pt idx="42">
                  <c:v>271.86</c:v>
                </c:pt>
                <c:pt idx="43">
                  <c:v>273.08</c:v>
                </c:pt>
                <c:pt idx="44">
                  <c:v>273.76</c:v>
                </c:pt>
                <c:pt idx="45">
                  <c:v>273.39999999999998</c:v>
                </c:pt>
                <c:pt idx="46">
                  <c:v>273.81</c:v>
                </c:pt>
                <c:pt idx="47">
                  <c:v>272.36</c:v>
                </c:pt>
                <c:pt idx="48">
                  <c:v>270.97000000000003</c:v>
                </c:pt>
                <c:pt idx="49">
                  <c:v>273.67</c:v>
                </c:pt>
                <c:pt idx="50">
                  <c:v>272.19</c:v>
                </c:pt>
                <c:pt idx="51">
                  <c:v>271.83999999999997</c:v>
                </c:pt>
                <c:pt idx="52">
                  <c:v>274.61</c:v>
                </c:pt>
                <c:pt idx="53">
                  <c:v>274.11</c:v>
                </c:pt>
                <c:pt idx="54">
                  <c:v>278.27999999999997</c:v>
                </c:pt>
                <c:pt idx="55">
                  <c:v>278.02999999999997</c:v>
                </c:pt>
                <c:pt idx="56">
                  <c:v>278.77999999999997</c:v>
                </c:pt>
                <c:pt idx="57">
                  <c:v>277.18</c:v>
                </c:pt>
                <c:pt idx="58">
                  <c:v>277.89</c:v>
                </c:pt>
                <c:pt idx="59">
                  <c:v>278.77999999999997</c:v>
                </c:pt>
                <c:pt idx="60">
                  <c:v>280.7</c:v>
                </c:pt>
                <c:pt idx="61">
                  <c:v>284.14999999999998</c:v>
                </c:pt>
                <c:pt idx="62">
                  <c:v>286.19</c:v>
                </c:pt>
                <c:pt idx="63">
                  <c:v>283.10000000000002</c:v>
                </c:pt>
                <c:pt idx="64">
                  <c:v>278.85000000000002</c:v>
                </c:pt>
                <c:pt idx="65">
                  <c:v>277.55</c:v>
                </c:pt>
                <c:pt idx="66">
                  <c:v>276.97000000000003</c:v>
                </c:pt>
                <c:pt idx="67">
                  <c:v>275.92</c:v>
                </c:pt>
                <c:pt idx="68">
                  <c:v>271.49</c:v>
                </c:pt>
                <c:pt idx="69">
                  <c:v>266.25</c:v>
                </c:pt>
                <c:pt idx="70">
                  <c:v>268.56</c:v>
                </c:pt>
                <c:pt idx="71">
                  <c:v>267.44</c:v>
                </c:pt>
                <c:pt idx="72">
                  <c:v>267.45999999999998</c:v>
                </c:pt>
                <c:pt idx="73">
                  <c:v>272.41000000000003</c:v>
                </c:pt>
                <c:pt idx="74">
                  <c:v>272.95</c:v>
                </c:pt>
                <c:pt idx="75">
                  <c:v>273.47000000000003</c:v>
                </c:pt>
                <c:pt idx="76">
                  <c:v>275.25</c:v>
                </c:pt>
                <c:pt idx="77">
                  <c:v>269.43</c:v>
                </c:pt>
                <c:pt idx="78">
                  <c:v>268.47000000000003</c:v>
                </c:pt>
                <c:pt idx="79">
                  <c:v>269.77</c:v>
                </c:pt>
                <c:pt idx="80">
                  <c:v>270.14</c:v>
                </c:pt>
                <c:pt idx="81">
                  <c:v>270.04000000000002</c:v>
                </c:pt>
                <c:pt idx="82">
                  <c:v>269.05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6A-4B90-81BF-0BAC149D8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2442160"/>
        <c:axId val="722442640"/>
      </c:lineChart>
      <c:dateAx>
        <c:axId val="722442160"/>
        <c:scaling>
          <c:orientation val="minMax"/>
        </c:scaling>
        <c:delete val="0"/>
        <c:axPos val="b"/>
        <c:numFmt formatCode="mmm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442640"/>
        <c:crossesAt val="230"/>
        <c:auto val="1"/>
        <c:lblOffset val="100"/>
        <c:baseTimeUnit val="days"/>
      </c:dateAx>
      <c:valAx>
        <c:axId val="722442640"/>
        <c:scaling>
          <c:orientation val="minMax"/>
          <c:min val="240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442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</xdr:colOff>
      <xdr:row>3</xdr:row>
      <xdr:rowOff>53340</xdr:rowOff>
    </xdr:from>
    <xdr:to>
      <xdr:col>1</xdr:col>
      <xdr:colOff>403860</xdr:colOff>
      <xdr:row>3</xdr:row>
      <xdr:rowOff>373380</xdr:rowOff>
    </xdr:to>
    <xdr:pic>
      <xdr:nvPicPr>
        <xdr:cNvPr id="3" name="Picture 2" descr="Apple logo - Free logo icons">
          <a:extLst>
            <a:ext uri="{FF2B5EF4-FFF2-40B4-BE49-F238E27FC236}">
              <a16:creationId xmlns:a16="http://schemas.microsoft.com/office/drawing/2014/main" id="{B56CA575-B2C3-54C5-0744-F1D0DC0C8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" y="601980"/>
          <a:ext cx="32004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15240</xdr:colOff>
      <xdr:row>23</xdr:row>
      <xdr:rowOff>167640</xdr:rowOff>
    </xdr:from>
    <xdr:to>
      <xdr:col>11</xdr:col>
      <xdr:colOff>586740</xdr:colOff>
      <xdr:row>33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63AA04-9B5B-4312-8616-AC283DC6B0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826EC-05B6-4765-9112-E5A4EA942541}">
  <dimension ref="B1:U42"/>
  <sheetViews>
    <sheetView showGridLines="0" zoomScaleNormal="100" workbookViewId="0">
      <selection activeCell="G18" sqref="G18"/>
    </sheetView>
  </sheetViews>
  <sheetFormatPr defaultRowHeight="13.2" x14ac:dyDescent="0.25"/>
  <cols>
    <col min="1" max="1" width="2.88671875" style="1" customWidth="1"/>
    <col min="2" max="5" width="8.88671875" style="1"/>
    <col min="6" max="6" width="9.77734375" style="1" customWidth="1"/>
    <col min="7" max="7" width="14.21875" style="1" customWidth="1"/>
    <col min="8" max="8" width="5.44140625" style="1" customWidth="1"/>
    <col min="9" max="9" width="9.21875" style="1" customWidth="1"/>
    <col min="10" max="10" width="11.33203125" style="1" customWidth="1"/>
    <col min="11" max="11" width="7.88671875" style="1" customWidth="1"/>
    <col min="12" max="12" width="8.44140625" style="1" customWidth="1"/>
    <col min="13" max="13" width="11.33203125" style="1" customWidth="1"/>
    <col min="14" max="14" width="6" style="1" customWidth="1"/>
    <col min="15" max="15" width="9.21875" style="1" bestFit="1" customWidth="1"/>
    <col min="16" max="16384" width="8.88671875" style="1"/>
  </cols>
  <sheetData>
    <row r="1" spans="2:21" x14ac:dyDescent="0.25">
      <c r="K1" s="2"/>
      <c r="L1" s="2"/>
      <c r="M1" s="2"/>
      <c r="N1" s="2"/>
      <c r="O1" s="2"/>
      <c r="P1" s="2"/>
    </row>
    <row r="2" spans="2:21" ht="15.6" x14ac:dyDescent="0.3">
      <c r="B2" s="10" t="s">
        <v>305</v>
      </c>
      <c r="C2" s="11"/>
      <c r="D2" s="11"/>
      <c r="E2" s="11"/>
      <c r="F2" s="11"/>
      <c r="G2" s="11"/>
      <c r="H2" s="11"/>
      <c r="I2" s="11"/>
      <c r="J2" s="11"/>
      <c r="K2" s="2"/>
      <c r="L2" s="2"/>
      <c r="M2" s="2"/>
      <c r="N2" s="2"/>
      <c r="O2" s="2"/>
      <c r="P2" s="2"/>
    </row>
    <row r="3" spans="2:21" ht="13.8" x14ac:dyDescent="0.25">
      <c r="B3" s="8" t="s">
        <v>31</v>
      </c>
      <c r="C3" s="11"/>
      <c r="D3" s="11"/>
      <c r="E3" s="11"/>
      <c r="F3" s="11"/>
      <c r="G3" s="11"/>
      <c r="H3" s="11"/>
      <c r="I3" s="11"/>
      <c r="J3" s="11"/>
      <c r="K3" s="2"/>
      <c r="L3" s="2"/>
      <c r="M3" s="2"/>
      <c r="N3" s="2"/>
      <c r="O3" s="2"/>
      <c r="P3" s="2"/>
    </row>
    <row r="4" spans="2:21" ht="13.8" x14ac:dyDescent="0.25">
      <c r="B4" s="93" t="s">
        <v>196</v>
      </c>
      <c r="C4" s="11"/>
      <c r="D4" s="11"/>
      <c r="E4" s="11"/>
      <c r="F4" s="11"/>
      <c r="G4" s="11"/>
      <c r="H4" s="11"/>
      <c r="I4" s="11"/>
      <c r="J4" s="11"/>
      <c r="K4" s="2"/>
      <c r="L4" s="2"/>
      <c r="M4" s="2"/>
      <c r="N4" s="2"/>
      <c r="O4" s="2"/>
      <c r="P4" s="2"/>
    </row>
    <row r="5" spans="2:21" x14ac:dyDescent="0.25">
      <c r="B5" s="12"/>
      <c r="C5" s="13"/>
      <c r="D5" s="13"/>
      <c r="E5" s="13"/>
      <c r="F5" s="13"/>
      <c r="G5" s="414"/>
      <c r="H5" s="414"/>
      <c r="I5" s="414"/>
      <c r="J5" s="414"/>
      <c r="K5" s="2"/>
      <c r="L5" s="2"/>
      <c r="M5" s="2"/>
      <c r="N5" s="2"/>
      <c r="O5" s="2"/>
      <c r="P5" s="2"/>
    </row>
    <row r="6" spans="2:21" x14ac:dyDescent="0.25">
      <c r="K6" s="2"/>
      <c r="L6" s="2"/>
      <c r="M6" s="2"/>
      <c r="N6" s="2"/>
      <c r="O6" s="2"/>
      <c r="P6" s="2"/>
    </row>
    <row r="7" spans="2:21" x14ac:dyDescent="0.25">
      <c r="B7" s="91" t="s">
        <v>20</v>
      </c>
      <c r="C7" s="91"/>
      <c r="D7" s="91"/>
      <c r="E7" s="91"/>
      <c r="F7" s="91" t="s">
        <v>3</v>
      </c>
      <c r="G7" s="91"/>
      <c r="H7" s="92"/>
      <c r="I7" s="92"/>
      <c r="J7" s="92"/>
      <c r="K7" s="2"/>
      <c r="L7" s="2"/>
      <c r="M7" s="2"/>
      <c r="N7" s="2"/>
      <c r="O7" s="2"/>
      <c r="P7" s="2"/>
    </row>
    <row r="8" spans="2:21" x14ac:dyDescent="0.25">
      <c r="K8" s="2"/>
      <c r="L8" s="2"/>
      <c r="M8" s="2"/>
      <c r="N8" s="2"/>
      <c r="O8" s="2"/>
      <c r="P8" s="2"/>
    </row>
    <row r="9" spans="2:21" x14ac:dyDescent="0.25">
      <c r="B9" s="1" t="s">
        <v>0</v>
      </c>
      <c r="G9" s="458" t="str">
        <f>B2</f>
        <v>Apple, Inc.</v>
      </c>
      <c r="H9" s="459"/>
      <c r="K9" s="2"/>
      <c r="L9" s="2"/>
      <c r="M9" s="2"/>
      <c r="N9" s="2"/>
      <c r="O9" s="2"/>
      <c r="P9" s="2"/>
    </row>
    <row r="10" spans="2:21" x14ac:dyDescent="0.25">
      <c r="B10" s="1" t="s">
        <v>4</v>
      </c>
      <c r="G10" s="460" t="s">
        <v>184</v>
      </c>
      <c r="H10" s="46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25">
      <c r="B11" s="1" t="s">
        <v>5</v>
      </c>
      <c r="F11" s="55" t="s">
        <v>1</v>
      </c>
      <c r="G11" s="415">
        <f>Statements!J7</f>
        <v>45961</v>
      </c>
      <c r="H11" s="41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x14ac:dyDescent="0.25"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2:21" x14ac:dyDescent="0.25">
      <c r="B13" s="3" t="s">
        <v>6</v>
      </c>
      <c r="C13" s="3"/>
      <c r="D13" s="3"/>
      <c r="E13" s="3"/>
      <c r="F13" s="3"/>
      <c r="G13" s="162" t="s">
        <v>40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2:21" x14ac:dyDescent="0.25"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2:21" x14ac:dyDescent="0.25">
      <c r="B15" s="1" t="s">
        <v>7</v>
      </c>
      <c r="F15" s="55" t="s">
        <v>1</v>
      </c>
      <c r="G15" s="371">
        <f>Statements!J7</f>
        <v>45961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2:21" x14ac:dyDescent="0.25">
      <c r="B16" s="1" t="s">
        <v>8</v>
      </c>
      <c r="F16" s="55" t="s">
        <v>1</v>
      </c>
      <c r="G16" s="372">
        <f>Statements!O7</f>
        <v>47787</v>
      </c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2:21" x14ac:dyDescent="0.25">
      <c r="B17" s="1" t="s">
        <v>9</v>
      </c>
      <c r="F17" s="55" t="s">
        <v>10</v>
      </c>
      <c r="G17" s="373">
        <f>YEARFRAC(G15,G16,1)</f>
        <v>5.0004564125969875</v>
      </c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2:21" x14ac:dyDescent="0.25">
      <c r="B18" s="1" t="s">
        <v>12</v>
      </c>
      <c r="F18" s="55" t="s">
        <v>11</v>
      </c>
      <c r="G18" s="462">
        <v>365</v>
      </c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2:21" x14ac:dyDescent="0.25">
      <c r="L19" s="2"/>
      <c r="M19" s="2"/>
      <c r="N19" s="2"/>
      <c r="O19" s="2"/>
      <c r="P19" s="2"/>
      <c r="Q19" s="2"/>
      <c r="R19" s="2"/>
      <c r="S19" s="2"/>
      <c r="T19" s="2"/>
      <c r="U19" s="2"/>
    </row>
    <row r="21" spans="2:21" ht="13.05" customHeight="1" x14ac:dyDescent="0.25">
      <c r="B21" s="423" t="s">
        <v>95</v>
      </c>
      <c r="C21" s="424"/>
      <c r="D21" s="424"/>
      <c r="E21" s="425"/>
    </row>
    <row r="22" spans="2:21" x14ac:dyDescent="0.25">
      <c r="B22" s="277" t="s">
        <v>304</v>
      </c>
      <c r="C22" s="432" t="s">
        <v>96</v>
      </c>
      <c r="D22" s="433"/>
      <c r="E22" s="434"/>
    </row>
    <row r="23" spans="2:21" x14ac:dyDescent="0.25">
      <c r="B23" s="278">
        <v>1</v>
      </c>
      <c r="C23" s="426" t="s">
        <v>31</v>
      </c>
      <c r="D23" s="427"/>
      <c r="E23" s="428"/>
    </row>
    <row r="24" spans="2:21" x14ac:dyDescent="0.25">
      <c r="B24" s="278">
        <v>2</v>
      </c>
      <c r="C24" s="426" t="s">
        <v>127</v>
      </c>
      <c r="D24" s="427"/>
      <c r="E24" s="428"/>
    </row>
    <row r="25" spans="2:21" x14ac:dyDescent="0.25">
      <c r="B25" s="278">
        <v>3</v>
      </c>
      <c r="C25" s="429" t="s">
        <v>50</v>
      </c>
      <c r="D25" s="430"/>
      <c r="E25" s="431"/>
    </row>
    <row r="26" spans="2:21" x14ac:dyDescent="0.25">
      <c r="B26" s="278">
        <v>4</v>
      </c>
      <c r="C26" s="417" t="s">
        <v>51</v>
      </c>
      <c r="D26" s="418"/>
      <c r="E26" s="419"/>
    </row>
    <row r="27" spans="2:21" x14ac:dyDescent="0.25">
      <c r="B27" s="278">
        <v>5</v>
      </c>
      <c r="C27" s="417" t="s">
        <v>37</v>
      </c>
      <c r="D27" s="418"/>
      <c r="E27" s="419"/>
    </row>
    <row r="28" spans="2:21" x14ac:dyDescent="0.25">
      <c r="B28" s="278">
        <v>6</v>
      </c>
      <c r="C28" s="417" t="s">
        <v>16</v>
      </c>
      <c r="D28" s="418"/>
      <c r="E28" s="419"/>
    </row>
    <row r="29" spans="2:21" x14ac:dyDescent="0.25">
      <c r="B29" s="278">
        <v>7</v>
      </c>
      <c r="C29" s="417" t="s">
        <v>44</v>
      </c>
      <c r="D29" s="418"/>
      <c r="E29" s="419"/>
    </row>
    <row r="30" spans="2:21" x14ac:dyDescent="0.25">
      <c r="B30" s="278">
        <v>8</v>
      </c>
      <c r="C30" s="429" t="s">
        <v>53</v>
      </c>
      <c r="D30" s="430"/>
      <c r="E30" s="431"/>
      <c r="G30" s="49" t="s">
        <v>19</v>
      </c>
      <c r="I30" s="30"/>
    </row>
    <row r="31" spans="2:21" x14ac:dyDescent="0.25">
      <c r="B31" s="278">
        <v>9</v>
      </c>
      <c r="C31" s="417" t="s">
        <v>56</v>
      </c>
      <c r="D31" s="418"/>
      <c r="E31" s="419"/>
    </row>
    <row r="32" spans="2:21" x14ac:dyDescent="0.25">
      <c r="B32" s="278">
        <v>10</v>
      </c>
      <c r="C32" s="417" t="s">
        <v>55</v>
      </c>
      <c r="D32" s="418"/>
      <c r="E32" s="419"/>
      <c r="G32" s="185" t="s">
        <v>13</v>
      </c>
      <c r="H32" s="198" t="s">
        <v>18</v>
      </c>
      <c r="I32" s="199"/>
    </row>
    <row r="33" spans="2:10" x14ac:dyDescent="0.25">
      <c r="B33" s="278">
        <v>11</v>
      </c>
      <c r="C33" s="417" t="s">
        <v>54</v>
      </c>
      <c r="D33" s="418"/>
      <c r="E33" s="419"/>
      <c r="G33" s="183" t="s">
        <v>14</v>
      </c>
      <c r="H33" s="200" t="s">
        <v>16</v>
      </c>
      <c r="I33" s="201"/>
    </row>
    <row r="34" spans="2:10" x14ac:dyDescent="0.25">
      <c r="B34" s="278">
        <v>12</v>
      </c>
      <c r="C34" s="417" t="s">
        <v>97</v>
      </c>
      <c r="D34" s="418"/>
      <c r="E34" s="419"/>
      <c r="G34" s="184" t="s">
        <v>15</v>
      </c>
      <c r="H34" s="202" t="s">
        <v>17</v>
      </c>
      <c r="I34" s="203"/>
    </row>
    <row r="35" spans="2:10" x14ac:dyDescent="0.25">
      <c r="B35" s="374">
        <v>13</v>
      </c>
      <c r="C35" s="420" t="s">
        <v>334</v>
      </c>
      <c r="D35" s="421"/>
      <c r="E35" s="422"/>
      <c r="G35" s="90" t="s">
        <v>185</v>
      </c>
    </row>
    <row r="36" spans="2:10" ht="13.8" x14ac:dyDescent="0.25">
      <c r="B36" s="2"/>
      <c r="D36" s="5"/>
      <c r="E36" s="5"/>
    </row>
    <row r="37" spans="2:10" x14ac:dyDescent="0.25">
      <c r="B37" s="18"/>
      <c r="C37" s="23"/>
      <c r="D37" s="23"/>
      <c r="E37" s="23"/>
      <c r="F37" s="23"/>
      <c r="G37" s="23"/>
      <c r="H37" s="23"/>
      <c r="I37" s="23"/>
      <c r="J37" s="23"/>
    </row>
    <row r="42" spans="2:10" x14ac:dyDescent="0.25">
      <c r="B42" s="17"/>
    </row>
  </sheetData>
  <mergeCells count="19">
    <mergeCell ref="C34:E34"/>
    <mergeCell ref="C35:E35"/>
    <mergeCell ref="B21:E21"/>
    <mergeCell ref="C24:E24"/>
    <mergeCell ref="C28:E28"/>
    <mergeCell ref="C29:E29"/>
    <mergeCell ref="C30:E30"/>
    <mergeCell ref="C31:E31"/>
    <mergeCell ref="C32:E32"/>
    <mergeCell ref="C22:E22"/>
    <mergeCell ref="C23:E23"/>
    <mergeCell ref="C25:E25"/>
    <mergeCell ref="C26:E26"/>
    <mergeCell ref="C27:E27"/>
    <mergeCell ref="G5:J5"/>
    <mergeCell ref="G9:H9"/>
    <mergeCell ref="G10:H10"/>
    <mergeCell ref="G11:H11"/>
    <mergeCell ref="C33:E33"/>
  </mergeCells>
  <hyperlinks>
    <hyperlink ref="C23" location="Dashboard!A1" display="Dashboard" xr:uid="{9C73C154-C68B-454C-852F-D91427F3C438}"/>
    <hyperlink ref="C25" location="'Financials-&gt;'!A1" display="Financials" xr:uid="{9EB1F29F-EE24-4AE6-AFF2-F1CBF4F8C1DE}"/>
    <hyperlink ref="C26" location="Statements!A1" display="Statements" xr:uid="{FF406334-9291-44BC-A10D-46BA488F313D}"/>
    <hyperlink ref="C27" location="Scenario!A1" display="Scenario" xr:uid="{627DCDE0-0927-4D09-AABB-133D7D82A9AD}"/>
    <hyperlink ref="C28" location="Assumptions!A1" display="Assumptions" xr:uid="{B0546597-0306-49E6-8CA2-46F168078804}"/>
    <hyperlink ref="C29" location="Schedule!A1" display="Schedule" xr:uid="{F8C637A0-EADC-4EA0-984D-A00DB590DF2C}"/>
    <hyperlink ref="C30" location="'Valuation-&gt;'!A1" display="Valuation" xr:uid="{285E0536-6BC2-46FA-8BAF-2F6A42DB5126}"/>
    <hyperlink ref="C31" location="Beta!A1" display="Beta" xr:uid="{9EFBD76D-E381-42AC-BD1F-8C26DC615ED0}"/>
    <hyperlink ref="C32" location="WACC!A1" display="WACC" xr:uid="{0415E4CF-6814-493D-A057-79F7E9E7D99F}"/>
    <hyperlink ref="C33" location="FCFF!A1" display="FCFF" xr:uid="{B5AD4E4D-210D-4829-927E-24383B87FBCF}"/>
    <hyperlink ref="C34" location="'Ratio Analysis'!A1" display="Ratio Analysis" xr:uid="{71B97E50-971D-4837-A6B4-58EF43AF1C7C}"/>
    <hyperlink ref="C35" location="Analysis!A1" display="Analysis" xr:uid="{8D041EEC-14CF-4E78-BFDD-2C7314F425D5}"/>
    <hyperlink ref="C24" location="Report!A1" display="Equity Report" xr:uid="{AE1EC0CD-2B3D-4F0E-B834-0306381A169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Title="Scenario" prompt="Optimestic - &quot;Best&quot;_x000a_Street - &quot;Market&quot;_x000a_Pessimestic - &quot;Worst&quot;" xr:uid="{D8C8D7D8-48EB-49CE-BD5A-11487FC86F41}">
          <x14:formula1>
            <xm:f>Scenario!$B$24:$B$26</xm:f>
          </x14:formula1>
          <xm:sqref>G13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FFF21-6F35-40B0-B5AF-97C2541DA1DC}">
  <sheetPr>
    <pageSetUpPr fitToPage="1"/>
  </sheetPr>
  <dimension ref="A2:T51"/>
  <sheetViews>
    <sheetView showGridLines="0" zoomScaleNormal="100" workbookViewId="0">
      <selection activeCell="L15" sqref="L15"/>
    </sheetView>
  </sheetViews>
  <sheetFormatPr defaultColWidth="0" defaultRowHeight="14.4" x14ac:dyDescent="0.3"/>
  <cols>
    <col min="1" max="1" width="2.88671875" customWidth="1"/>
    <col min="2" max="2" width="18.109375" customWidth="1"/>
    <col min="3" max="3" width="8.88671875" customWidth="1"/>
    <col min="4" max="6" width="12.5546875" bestFit="1" customWidth="1"/>
    <col min="7" max="7" width="12.5546875" customWidth="1"/>
    <col min="8" max="8" width="2.77734375" customWidth="1"/>
    <col min="9" max="10" width="8.88671875" customWidth="1"/>
    <col min="11" max="11" width="9" customWidth="1"/>
    <col min="12" max="12" width="9.77734375" customWidth="1"/>
    <col min="13" max="13" width="8.88671875" customWidth="1"/>
    <col min="14" max="15" width="8.88671875" hidden="1" customWidth="1"/>
    <col min="16" max="16" width="11.5546875" hidden="1" customWidth="1"/>
    <col min="17" max="20" width="9.109375" hidden="1" customWidth="1"/>
    <col min="21" max="16384" width="8.88671875" hidden="1"/>
  </cols>
  <sheetData>
    <row r="2" spans="2:20" x14ac:dyDescent="0.3">
      <c r="B2" s="403" t="str">
        <f>Dashboard!B2&amp;" - Equity Research Report"</f>
        <v>Apple, Inc. - Equity Research Report</v>
      </c>
      <c r="C2" s="403"/>
      <c r="D2" s="403"/>
      <c r="E2" s="403"/>
      <c r="F2" s="403"/>
      <c r="G2" s="403"/>
      <c r="H2" s="403"/>
      <c r="I2" s="403"/>
      <c r="J2" s="403"/>
      <c r="K2" s="403"/>
      <c r="L2" s="403"/>
    </row>
    <row r="4" spans="2:20" ht="34.950000000000003" customHeight="1" x14ac:dyDescent="0.3">
      <c r="B4" s="370" t="s">
        <v>340</v>
      </c>
      <c r="C4" s="404" t="s">
        <v>385</v>
      </c>
      <c r="D4" s="404"/>
      <c r="E4" s="404"/>
      <c r="F4" s="404"/>
      <c r="G4" s="404"/>
      <c r="H4" s="404"/>
      <c r="I4" s="404"/>
      <c r="J4" s="404"/>
      <c r="K4" s="404"/>
      <c r="L4" s="404"/>
    </row>
    <row r="5" spans="2:20" s="318" customFormat="1" ht="25.05" customHeight="1" x14ac:dyDescent="0.3">
      <c r="B5" s="369" t="s">
        <v>338</v>
      </c>
      <c r="Q5" s="321">
        <v>24</v>
      </c>
      <c r="R5" s="321">
        <v>25</v>
      </c>
      <c r="S5" s="321">
        <v>26</v>
      </c>
      <c r="T5" s="321">
        <v>27</v>
      </c>
    </row>
    <row r="6" spans="2:20" x14ac:dyDescent="0.3">
      <c r="B6" t="s">
        <v>365</v>
      </c>
      <c r="P6" t="s">
        <v>350</v>
      </c>
      <c r="Q6" s="322">
        <f>Statements!I47*Statements!I51</f>
        <v>93681.217600000004</v>
      </c>
      <c r="R6" s="322">
        <f>Statements!J47*Statements!J51</f>
        <v>111935.03962</v>
      </c>
      <c r="S6" s="322">
        <f ca="1">Statements!K47*Statements!K51</f>
        <v>101530.46169251874</v>
      </c>
      <c r="T6" s="322">
        <f ca="1">Statements!L47*Statements!L51</f>
        <v>114881.79926773222</v>
      </c>
    </row>
    <row r="7" spans="2:20" x14ac:dyDescent="0.3">
      <c r="B7" t="s">
        <v>368</v>
      </c>
      <c r="P7" t="s">
        <v>351</v>
      </c>
      <c r="Q7" s="322">
        <f>Statements!I61</f>
        <v>29943</v>
      </c>
      <c r="R7" s="322">
        <f>Statements!J61</f>
        <v>35934</v>
      </c>
      <c r="S7" s="322">
        <f ca="1">Statements!K61</f>
        <v>50346.588710595359</v>
      </c>
      <c r="T7" s="322">
        <f ca="1">Statements!L61</f>
        <v>39765.200643146498</v>
      </c>
    </row>
    <row r="8" spans="2:20" x14ac:dyDescent="0.3">
      <c r="B8" t="s">
        <v>369</v>
      </c>
      <c r="P8" t="s">
        <v>82</v>
      </c>
      <c r="Q8" s="322">
        <f>Statements!I82+Statements!I86</f>
        <v>96662</v>
      </c>
      <c r="R8" s="322">
        <f>Statements!J82+Statements!J86</f>
        <v>90678</v>
      </c>
      <c r="S8" s="322">
        <f>Statements!K82+Statements!K86</f>
        <v>78285</v>
      </c>
      <c r="T8" s="322">
        <f>Statements!L82+Statements!L86</f>
        <v>68207</v>
      </c>
    </row>
    <row r="9" spans="2:20" x14ac:dyDescent="0.3">
      <c r="P9" t="s">
        <v>352</v>
      </c>
      <c r="Q9" s="322">
        <f>Q6+Q8-Q7</f>
        <v>160400.2176</v>
      </c>
      <c r="R9" s="322">
        <f t="shared" ref="R9:T9" si="0">R6+R8-R7</f>
        <v>166679.03962</v>
      </c>
      <c r="S9" s="322">
        <f t="shared" ca="1" si="0"/>
        <v>129468.87298192337</v>
      </c>
      <c r="T9" s="322">
        <f t="shared" ca="1" si="0"/>
        <v>143323.59862458572</v>
      </c>
    </row>
    <row r="10" spans="2:20" x14ac:dyDescent="0.3">
      <c r="B10" s="360" t="s">
        <v>360</v>
      </c>
      <c r="C10" s="361"/>
      <c r="D10" s="362">
        <f>Statements!I7</f>
        <v>45596</v>
      </c>
      <c r="E10" s="362">
        <f>Statements!J7</f>
        <v>45961</v>
      </c>
      <c r="F10" s="363">
        <f>Statements!K7</f>
        <v>46326</v>
      </c>
      <c r="G10" s="364">
        <f>Statements!L7</f>
        <v>46691</v>
      </c>
      <c r="I10" s="405" t="s">
        <v>361</v>
      </c>
      <c r="J10" s="406"/>
      <c r="K10" s="406"/>
      <c r="L10" s="407"/>
    </row>
    <row r="11" spans="2:20" x14ac:dyDescent="0.3">
      <c r="B11" s="346" t="s">
        <v>341</v>
      </c>
      <c r="G11" s="347"/>
    </row>
    <row r="12" spans="2:20" x14ac:dyDescent="0.3">
      <c r="B12" s="344" t="s">
        <v>353</v>
      </c>
      <c r="D12" s="348">
        <f>Statements!I22</f>
        <v>391035</v>
      </c>
      <c r="E12" s="348">
        <f>Statements!J22</f>
        <v>416161</v>
      </c>
      <c r="F12" s="348">
        <f ca="1">Statements!K22</f>
        <v>443442.18400000007</v>
      </c>
      <c r="G12" s="349">
        <f ca="1">Statements!L22</f>
        <v>473669.39513950003</v>
      </c>
      <c r="I12" s="329" t="s">
        <v>387</v>
      </c>
      <c r="J12" s="330"/>
      <c r="K12" s="330"/>
      <c r="L12" s="331" t="s">
        <v>184</v>
      </c>
    </row>
    <row r="13" spans="2:20" x14ac:dyDescent="0.3">
      <c r="B13" s="344" t="s">
        <v>354</v>
      </c>
      <c r="D13" s="350">
        <f>Scenario!I48</f>
        <v>2.021994077514111E-2</v>
      </c>
      <c r="E13" s="350">
        <f>Scenario!J48</f>
        <v>6.425511782832749E-2</v>
      </c>
      <c r="F13" s="350">
        <f ca="1">Scenario!K48</f>
        <v>6.5554398417920101E-2</v>
      </c>
      <c r="G13" s="351">
        <f ca="1">Scenario!L48</f>
        <v>6.8164942872236844E-2</v>
      </c>
      <c r="I13" s="332" t="s">
        <v>388</v>
      </c>
      <c r="J13" s="333"/>
      <c r="K13" s="333"/>
      <c r="L13" s="334" t="s">
        <v>362</v>
      </c>
      <c r="Q13" s="320"/>
    </row>
    <row r="14" spans="2:20" x14ac:dyDescent="0.3">
      <c r="B14" s="344" t="s">
        <v>344</v>
      </c>
      <c r="D14" s="350">
        <f>'Ratio Analysis'!F19</f>
        <v>0.46206349815233932</v>
      </c>
      <c r="E14" s="350">
        <f>'Ratio Analysis'!G19</f>
        <v>0.46905164107160452</v>
      </c>
      <c r="F14" s="350">
        <f ca="1">'Ratio Analysis'!H19</f>
        <v>0.47561943272406404</v>
      </c>
      <c r="G14" s="351">
        <f ca="1">'Ratio Analysis'!I19</f>
        <v>0.49017946015937974</v>
      </c>
      <c r="I14" s="332"/>
      <c r="J14" s="333"/>
      <c r="K14" s="333"/>
      <c r="L14" s="334" t="s">
        <v>386</v>
      </c>
      <c r="Q14" s="320"/>
    </row>
    <row r="15" spans="2:20" x14ac:dyDescent="0.3">
      <c r="B15" s="344" t="s">
        <v>343</v>
      </c>
      <c r="D15" s="350">
        <f>Statements!I54</f>
        <v>0.34437070850435381</v>
      </c>
      <c r="E15" s="350">
        <f>Statements!J54</f>
        <v>0.34781731108873731</v>
      </c>
      <c r="F15" s="350">
        <f ca="1">Statements!K54</f>
        <v>0.37274544904370216</v>
      </c>
      <c r="G15" s="351">
        <f ca="1">Statements!L54</f>
        <v>0.35715954876539202</v>
      </c>
      <c r="I15" s="332" t="s">
        <v>389</v>
      </c>
      <c r="J15" s="333"/>
      <c r="K15" s="333"/>
      <c r="L15" s="334" t="s">
        <v>405</v>
      </c>
      <c r="Q15" s="320"/>
    </row>
    <row r="16" spans="2:20" x14ac:dyDescent="0.3">
      <c r="B16" s="344" t="s">
        <v>342</v>
      </c>
      <c r="D16" s="350">
        <f>'Ratio Analysis'!F20</f>
        <v>0.31510222870075566</v>
      </c>
      <c r="E16" s="350">
        <f>'Ratio Analysis'!G20</f>
        <v>0.31970799762591884</v>
      </c>
      <c r="F16" s="350">
        <f ca="1">'Ratio Analysis'!H20</f>
        <v>0.32398431449183024</v>
      </c>
      <c r="G16" s="351">
        <f ca="1">'Ratio Analysis'!I20</f>
        <v>0.33751846908415145</v>
      </c>
      <c r="I16" s="332"/>
      <c r="J16" s="333"/>
      <c r="K16" s="333"/>
      <c r="L16" s="335"/>
      <c r="Q16" s="320"/>
    </row>
    <row r="17" spans="2:17" x14ac:dyDescent="0.3">
      <c r="B17" s="344" t="s">
        <v>345</v>
      </c>
      <c r="D17" s="350">
        <f>'Ratio Analysis'!F22</f>
        <v>0.23971255769943867</v>
      </c>
      <c r="E17" s="350">
        <f>'Ratio Analysis'!G22</f>
        <v>0.26915064121818238</v>
      </c>
      <c r="F17" s="350">
        <f ca="1">'Ratio Analysis'!H22</f>
        <v>0.26561469024333789</v>
      </c>
      <c r="G17" s="351">
        <f ca="1">'Ratio Analysis'!I22</f>
        <v>0.27829699216767556</v>
      </c>
      <c r="I17" s="332" t="s">
        <v>390</v>
      </c>
      <c r="J17" s="333"/>
      <c r="K17" s="333"/>
      <c r="L17" s="336">
        <f>L18*L20</f>
        <v>4009935</v>
      </c>
      <c r="Q17" s="320"/>
    </row>
    <row r="18" spans="2:17" x14ac:dyDescent="0.3">
      <c r="B18" s="344" t="s">
        <v>346</v>
      </c>
      <c r="D18" s="352">
        <f>'Ratio Analysis'!F36</f>
        <v>6.11</v>
      </c>
      <c r="E18" s="352">
        <f>'Ratio Analysis'!G36</f>
        <v>7.49</v>
      </c>
      <c r="F18" s="352">
        <f ca="1">'Ratio Analysis'!H36</f>
        <v>6.7920167035166568</v>
      </c>
      <c r="G18" s="353">
        <f ca="1">'Ratio Analysis'!I36</f>
        <v>7.6851723763409181</v>
      </c>
      <c r="I18" s="332" t="s">
        <v>391</v>
      </c>
      <c r="J18" s="333"/>
      <c r="K18" s="333"/>
      <c r="L18" s="337">
        <f>FCFF!I11</f>
        <v>271.86</v>
      </c>
      <c r="Q18" s="320"/>
    </row>
    <row r="19" spans="2:17" x14ac:dyDescent="0.3">
      <c r="B19" s="344" t="s">
        <v>347</v>
      </c>
      <c r="D19" s="350">
        <f>'Ratio Analysis'!F36/'Ratio Analysis'!E36-1</f>
        <v>-8.116883116883078E-3</v>
      </c>
      <c r="E19" s="350">
        <f>'Ratio Analysis'!G36/'Ratio Analysis'!F36-1</f>
        <v>0.22585924713584293</v>
      </c>
      <c r="F19" s="350">
        <f ca="1">'Ratio Analysis'!H36/'Ratio Analysis'!G36-1</f>
        <v>-9.3188691119271527E-2</v>
      </c>
      <c r="G19" s="351">
        <f ca="1">'Ratio Analysis'!I36/'Ratio Analysis'!H36-1</f>
        <v>0.13150080628656546</v>
      </c>
      <c r="I19" s="332" t="s">
        <v>392</v>
      </c>
      <c r="J19" s="338"/>
      <c r="K19" s="333"/>
      <c r="L19" s="337">
        <f ca="1">FCFF!I10</f>
        <v>173.91743532798586</v>
      </c>
      <c r="Q19" s="320"/>
    </row>
    <row r="20" spans="2:17" x14ac:dyDescent="0.3">
      <c r="B20" s="344" t="s">
        <v>348</v>
      </c>
      <c r="D20" s="350">
        <f>'Ratio Analysis'!F37</f>
        <v>0.99180234756969654</v>
      </c>
      <c r="E20" s="350">
        <f>'Ratio Analysis'!G37</f>
        <v>1.0310733518413218</v>
      </c>
      <c r="F20" s="350">
        <f ca="1">'Ratio Analysis'!H37</f>
        <v>1.0873530221407177</v>
      </c>
      <c r="G20" s="351">
        <f ca="1">'Ratio Analysis'!I37</f>
        <v>1.1331550778655284</v>
      </c>
      <c r="I20" s="332" t="s">
        <v>393</v>
      </c>
      <c r="J20" s="333"/>
      <c r="K20" s="333"/>
      <c r="L20" s="336">
        <f>FCFF!E36</f>
        <v>14750</v>
      </c>
      <c r="Q20" s="320"/>
    </row>
    <row r="21" spans="2:17" x14ac:dyDescent="0.3">
      <c r="B21" s="354" t="s">
        <v>349</v>
      </c>
      <c r="C21" s="355"/>
      <c r="D21" s="356">
        <f>'Ratio Analysis'!F37/'Ratio Analysis'!E37-1</f>
        <v>4.1288694750572841E-2</v>
      </c>
      <c r="E21" s="356">
        <f>'Ratio Analysis'!G37/'Ratio Analysis'!F37-1</f>
        <v>3.9595595198836264E-2</v>
      </c>
      <c r="F21" s="356">
        <f ca="1">'Ratio Analysis'!H37/'Ratio Analysis'!G37-1</f>
        <v>5.4583575648512239E-2</v>
      </c>
      <c r="G21" s="357">
        <f ca="1">'Ratio Analysis'!I37/'Ratio Analysis'!H37-1</f>
        <v>4.2122525796303156E-2</v>
      </c>
      <c r="I21" s="339" t="s">
        <v>394</v>
      </c>
      <c r="J21" s="340"/>
      <c r="K21" s="340"/>
      <c r="L21" s="341">
        <f>(Statements!J82+Statements!J86)/Statements!J95</f>
        <v>1.2298156863276959</v>
      </c>
      <c r="Q21" s="320"/>
    </row>
    <row r="22" spans="2:17" x14ac:dyDescent="0.3">
      <c r="Q22" s="320"/>
    </row>
    <row r="23" spans="2:17" x14ac:dyDescent="0.3">
      <c r="B23" s="360" t="s">
        <v>355</v>
      </c>
      <c r="C23" s="361"/>
      <c r="D23" s="362">
        <f>D10</f>
        <v>45596</v>
      </c>
      <c r="E23" s="362">
        <f t="shared" ref="E23:G23" si="1">E10</f>
        <v>45961</v>
      </c>
      <c r="F23" s="362">
        <f t="shared" si="1"/>
        <v>46326</v>
      </c>
      <c r="G23" s="365">
        <f t="shared" si="1"/>
        <v>46691</v>
      </c>
      <c r="I23" s="405" t="s">
        <v>372</v>
      </c>
      <c r="J23" s="406"/>
      <c r="K23" s="406"/>
      <c r="L23" s="407"/>
      <c r="Q23" s="320"/>
    </row>
    <row r="24" spans="2:17" x14ac:dyDescent="0.3">
      <c r="B24" s="344" t="s">
        <v>358</v>
      </c>
      <c r="D24" s="358">
        <f>Q9/'Ratio Analysis'!F13</f>
        <v>1.1911408470158398</v>
      </c>
      <c r="E24" s="358">
        <f>R9/'Ratio Analysis'!G13</f>
        <v>1.1515118662779451</v>
      </c>
      <c r="F24" s="358">
        <f ca="1">S9/'Ratio Analysis'!H13</f>
        <v>0.78327815258148847</v>
      </c>
      <c r="G24" s="359">
        <f ca="1">T9/'Ratio Analysis'!I13</f>
        <v>0.84718862034239639</v>
      </c>
      <c r="Q24" s="320"/>
    </row>
    <row r="25" spans="2:17" x14ac:dyDescent="0.3">
      <c r="B25" s="344" t="s">
        <v>359</v>
      </c>
      <c r="D25" s="358">
        <f>Q9/D12</f>
        <v>0.41019401741532091</v>
      </c>
      <c r="E25" s="358">
        <f>R9/E12</f>
        <v>0.40051576101556846</v>
      </c>
      <c r="F25" s="358">
        <f ca="1">S9/F12</f>
        <v>0.29196336671010836</v>
      </c>
      <c r="G25" s="359">
        <f ca="1">T9/G12</f>
        <v>0.3025815053606653</v>
      </c>
      <c r="Q25" s="320"/>
    </row>
    <row r="26" spans="2:17" x14ac:dyDescent="0.3">
      <c r="B26" s="344" t="s">
        <v>356</v>
      </c>
      <c r="D26" s="350">
        <f>'Ratio Analysis'!F23</f>
        <v>0.60303626986271941</v>
      </c>
      <c r="E26" s="350">
        <f>'Ratio Analysis'!G23</f>
        <v>0.73952828183996555</v>
      </c>
      <c r="F26" s="350">
        <f ca="1">'Ratio Analysis'!H23</f>
        <v>0.78793697256573747</v>
      </c>
      <c r="G26" s="351">
        <f ca="1">'Ratio Analysis'!I23</f>
        <v>0.8818327454206446</v>
      </c>
      <c r="Q26" s="320"/>
    </row>
    <row r="27" spans="2:17" x14ac:dyDescent="0.3">
      <c r="B27" s="354" t="s">
        <v>357</v>
      </c>
      <c r="C27" s="355"/>
      <c r="D27" s="356">
        <f>'Ratio Analysis'!F24</f>
        <v>0.65336076526608267</v>
      </c>
      <c r="E27" s="356">
        <f>'Ratio Analysis'!G24</f>
        <v>0.6872062393471412</v>
      </c>
      <c r="F27" s="356">
        <f ca="1">'Ratio Analysis'!H24</f>
        <v>0.70502544124490019</v>
      </c>
      <c r="G27" s="357">
        <f ca="1">'Ratio Analysis'!I24</f>
        <v>0.77231531655096486</v>
      </c>
      <c r="Q27" s="320"/>
    </row>
    <row r="28" spans="2:17" x14ac:dyDescent="0.3">
      <c r="O28" s="164"/>
      <c r="P28" s="155"/>
      <c r="Q28" s="320"/>
    </row>
    <row r="29" spans="2:17" ht="15.6" x14ac:dyDescent="0.3">
      <c r="B29" s="368" t="s">
        <v>363</v>
      </c>
      <c r="Q29" s="320"/>
    </row>
    <row r="30" spans="2:17" x14ac:dyDescent="0.3">
      <c r="Q30" s="320"/>
    </row>
    <row r="31" spans="2:17" x14ac:dyDescent="0.3">
      <c r="B31" t="s">
        <v>381</v>
      </c>
      <c r="Q31" s="320"/>
    </row>
    <row r="32" spans="2:17" x14ac:dyDescent="0.3">
      <c r="B32" t="s">
        <v>382</v>
      </c>
      <c r="Q32" s="320"/>
    </row>
    <row r="33" spans="2:17" x14ac:dyDescent="0.3">
      <c r="B33" t="s">
        <v>364</v>
      </c>
      <c r="Q33" s="320"/>
    </row>
    <row r="34" spans="2:17" x14ac:dyDescent="0.3">
      <c r="B34" t="s">
        <v>366</v>
      </c>
      <c r="Q34" s="320"/>
    </row>
    <row r="35" spans="2:17" x14ac:dyDescent="0.3">
      <c r="B35" t="s">
        <v>367</v>
      </c>
    </row>
    <row r="36" spans="2:17" x14ac:dyDescent="0.3">
      <c r="I36" s="405" t="s">
        <v>384</v>
      </c>
      <c r="J36" s="406"/>
      <c r="K36" s="406"/>
      <c r="L36" s="407"/>
    </row>
    <row r="37" spans="2:17" x14ac:dyDescent="0.3">
      <c r="B37" t="s">
        <v>383</v>
      </c>
    </row>
    <row r="38" spans="2:17" x14ac:dyDescent="0.3">
      <c r="B38" t="s">
        <v>370</v>
      </c>
      <c r="I38" s="342" t="s">
        <v>395</v>
      </c>
      <c r="J38" s="343"/>
      <c r="K38" s="412">
        <f ca="1">FCFF!I29</f>
        <v>2788331.8553820639</v>
      </c>
      <c r="L38" s="413"/>
    </row>
    <row r="39" spans="2:17" x14ac:dyDescent="0.3">
      <c r="I39" s="344" t="s">
        <v>396</v>
      </c>
      <c r="K39" s="410">
        <f ca="1">FCFF!E31</f>
        <v>2523540.1710877912</v>
      </c>
      <c r="L39" s="411"/>
    </row>
    <row r="40" spans="2:17" ht="15.6" x14ac:dyDescent="0.3">
      <c r="B40" s="368" t="s">
        <v>371</v>
      </c>
      <c r="I40" s="344" t="s">
        <v>397</v>
      </c>
      <c r="K40" s="410">
        <f>FCFF!E32</f>
        <v>35934</v>
      </c>
      <c r="L40" s="411"/>
    </row>
    <row r="41" spans="2:17" x14ac:dyDescent="0.3">
      <c r="B41" t="s">
        <v>377</v>
      </c>
      <c r="I41" s="344" t="s">
        <v>398</v>
      </c>
      <c r="K41" s="410">
        <f>FCFF!E33</f>
        <v>96486</v>
      </c>
      <c r="L41" s="411"/>
    </row>
    <row r="42" spans="2:17" x14ac:dyDescent="0.3">
      <c r="B42" t="s">
        <v>378</v>
      </c>
      <c r="I42" s="344" t="s">
        <v>399</v>
      </c>
      <c r="K42" s="408">
        <f>FCFF!E34</f>
        <v>-90678</v>
      </c>
      <c r="L42" s="409"/>
    </row>
    <row r="43" spans="2:17" x14ac:dyDescent="0.3">
      <c r="B43" t="s">
        <v>379</v>
      </c>
      <c r="I43" s="344" t="s">
        <v>400</v>
      </c>
      <c r="K43" s="410">
        <f ca="1">FCFF!E35</f>
        <v>2565282.1710877912</v>
      </c>
      <c r="L43" s="411"/>
    </row>
    <row r="44" spans="2:17" x14ac:dyDescent="0.3">
      <c r="B44" t="s">
        <v>380</v>
      </c>
      <c r="I44" s="344" t="s">
        <v>401</v>
      </c>
      <c r="K44" s="410">
        <f>FCFF!E36</f>
        <v>14750</v>
      </c>
      <c r="L44" s="411"/>
    </row>
    <row r="45" spans="2:17" x14ac:dyDescent="0.3">
      <c r="I45" s="345" t="s">
        <v>402</v>
      </c>
      <c r="J45" s="328"/>
      <c r="K45" s="366"/>
      <c r="L45" s="367">
        <f ca="1">FCFF!E37</f>
        <v>173.91743532798586</v>
      </c>
    </row>
    <row r="46" spans="2:17" x14ac:dyDescent="0.3">
      <c r="B46" t="s">
        <v>373</v>
      </c>
    </row>
    <row r="47" spans="2:17" x14ac:dyDescent="0.3">
      <c r="B47" t="s">
        <v>374</v>
      </c>
    </row>
    <row r="48" spans="2:17" x14ac:dyDescent="0.3">
      <c r="B48" t="s">
        <v>375</v>
      </c>
    </row>
    <row r="49" spans="2:2" x14ac:dyDescent="0.3">
      <c r="B49" t="s">
        <v>376</v>
      </c>
    </row>
    <row r="51" spans="2:2" x14ac:dyDescent="0.3">
      <c r="B51" s="319"/>
    </row>
  </sheetData>
  <mergeCells count="12">
    <mergeCell ref="K44:L44"/>
    <mergeCell ref="I23:L23"/>
    <mergeCell ref="I36:L36"/>
    <mergeCell ref="K38:L38"/>
    <mergeCell ref="K39:L39"/>
    <mergeCell ref="K40:L40"/>
    <mergeCell ref="K41:L41"/>
    <mergeCell ref="B2:L2"/>
    <mergeCell ref="C4:L4"/>
    <mergeCell ref="I10:L10"/>
    <mergeCell ref="K42:L42"/>
    <mergeCell ref="K43:L43"/>
  </mergeCells>
  <pageMargins left="0.19685039370078741" right="0.19685039370078741" top="0.19685039370078741" bottom="0.19685039370078741" header="0.19685039370078741" footer="0.19685039370078741"/>
  <pageSetup scale="88" orientation="portrait" r:id="rId1"/>
  <headerFooter>
    <oddFooter xml:space="preserve">&amp;LDisclaimer: The information contained in this document is intended only for educational purposes&amp;C
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4CFEF-B378-4225-B4E0-924531738075}">
  <sheetPr>
    <tabColor rgb="FF00004D"/>
  </sheetPr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86AC-83E4-4BFE-86DE-94869AE10D6C}">
  <dimension ref="A1:T137"/>
  <sheetViews>
    <sheetView showGridLines="0" tabSelected="1" zoomScaleNormal="100" workbookViewId="0">
      <selection activeCell="F14" sqref="F14"/>
    </sheetView>
  </sheetViews>
  <sheetFormatPr defaultRowHeight="13.2" x14ac:dyDescent="0.25"/>
  <cols>
    <col min="1" max="1" width="2.88671875" style="1" customWidth="1"/>
    <col min="2" max="2" width="12.21875" style="1" customWidth="1"/>
    <col min="3" max="4" width="8.88671875" style="1"/>
    <col min="5" max="5" width="9.77734375" style="1" customWidth="1"/>
    <col min="6" max="6" width="9.44140625" style="1" customWidth="1"/>
    <col min="7" max="15" width="12.109375" style="1" customWidth="1"/>
    <col min="16" max="17" width="14.109375" style="1" customWidth="1"/>
    <col min="18" max="20" width="16" style="1" customWidth="1"/>
    <col min="21" max="16384" width="8.88671875" style="1"/>
  </cols>
  <sheetData>
    <row r="1" spans="1:20" s="5" customFormat="1" ht="13.8" x14ac:dyDescent="0.25"/>
    <row r="2" spans="1:20" s="5" customFormat="1" ht="15.6" x14ac:dyDescent="0.3">
      <c r="A2" s="4"/>
      <c r="B2" s="6" t="str">
        <f>Dashboard!B2</f>
        <v>Apple, Inc.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s="5" customFormat="1" ht="13.8" x14ac:dyDescent="0.25">
      <c r="B3" s="95" t="s">
        <v>36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s="5" customFormat="1" ht="13.8" x14ac:dyDescent="0.25">
      <c r="B4" s="94" t="str">
        <f>Dashboard!B4</f>
        <v>(In millions, except number of shares, which are reflected in thousands, and per-share amounts)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 s="5" customFormat="1" ht="13.8" x14ac:dyDescent="0.25">
      <c r="B5" s="8" t="s">
        <v>39</v>
      </c>
      <c r="C5" s="9"/>
      <c r="D5" s="8" t="str">
        <f>Dashboard!G13</f>
        <v>Street</v>
      </c>
      <c r="E5" s="7"/>
      <c r="F5" s="7"/>
      <c r="G5" s="16"/>
      <c r="H5" s="16"/>
      <c r="I5" s="16"/>
      <c r="J5" s="16"/>
      <c r="K5" s="16"/>
      <c r="L5" s="16"/>
      <c r="M5" s="16"/>
      <c r="N5" s="16"/>
      <c r="O5" s="16"/>
      <c r="P5" s="7"/>
      <c r="Q5" s="7"/>
      <c r="R5" s="7"/>
      <c r="S5" s="7"/>
      <c r="T5" s="7"/>
    </row>
    <row r="6" spans="1:20" s="5" customFormat="1" ht="13.8" x14ac:dyDescent="0.25">
      <c r="B6" s="8" t="s">
        <v>308</v>
      </c>
      <c r="C6" s="9"/>
      <c r="D6" s="9"/>
      <c r="E6" s="9"/>
      <c r="F6" s="15"/>
      <c r="G6" s="435" t="s">
        <v>309</v>
      </c>
      <c r="H6" s="435"/>
      <c r="I6" s="435"/>
      <c r="J6" s="436"/>
      <c r="K6" s="437" t="s">
        <v>310</v>
      </c>
      <c r="L6" s="438"/>
      <c r="M6" s="438"/>
      <c r="N6" s="438"/>
      <c r="O6" s="438"/>
      <c r="P6" s="439" t="s">
        <v>30</v>
      </c>
      <c r="Q6" s="440"/>
      <c r="R6" s="441" t="s">
        <v>17</v>
      </c>
      <c r="S6" s="442"/>
      <c r="T6" s="442"/>
    </row>
    <row r="7" spans="1:20" s="5" customFormat="1" ht="13.8" x14ac:dyDescent="0.25">
      <c r="B7" s="8" t="s">
        <v>311</v>
      </c>
      <c r="C7" s="9"/>
      <c r="D7" s="9"/>
      <c r="E7" s="9"/>
      <c r="F7" s="15"/>
      <c r="G7" s="216">
        <v>44865</v>
      </c>
      <c r="H7" s="216">
        <f>EDATE(G7,12)</f>
        <v>45230</v>
      </c>
      <c r="I7" s="216">
        <f t="shared" ref="I7:O7" si="0">EDATE(H7,12)</f>
        <v>45596</v>
      </c>
      <c r="J7" s="216">
        <f t="shared" si="0"/>
        <v>45961</v>
      </c>
      <c r="K7" s="217">
        <f t="shared" si="0"/>
        <v>46326</v>
      </c>
      <c r="L7" s="217">
        <f t="shared" si="0"/>
        <v>46691</v>
      </c>
      <c r="M7" s="217">
        <f t="shared" si="0"/>
        <v>47057</v>
      </c>
      <c r="N7" s="217">
        <f t="shared" si="0"/>
        <v>47422</v>
      </c>
      <c r="O7" s="217">
        <f t="shared" si="0"/>
        <v>47787</v>
      </c>
      <c r="P7" s="303" t="s">
        <v>306</v>
      </c>
      <c r="Q7" s="304" t="s">
        <v>307</v>
      </c>
      <c r="R7" s="443"/>
      <c r="S7" s="444"/>
      <c r="T7" s="444"/>
    </row>
    <row r="8" spans="1:20" x14ac:dyDescent="0.25">
      <c r="H8" s="19"/>
      <c r="I8" s="19"/>
      <c r="M8" s="20"/>
    </row>
    <row r="9" spans="1:20" x14ac:dyDescent="0.25">
      <c r="B9" s="59" t="s">
        <v>52</v>
      </c>
    </row>
    <row r="10" spans="1:20" x14ac:dyDescent="0.25">
      <c r="B10" s="59"/>
    </row>
    <row r="11" spans="1:20" x14ac:dyDescent="0.25">
      <c r="B11" s="59" t="s">
        <v>58</v>
      </c>
      <c r="C11" s="96" t="s">
        <v>35</v>
      </c>
      <c r="E11" s="96" t="s">
        <v>59</v>
      </c>
      <c r="G11" s="96" t="s">
        <v>34</v>
      </c>
    </row>
    <row r="12" spans="1:20" x14ac:dyDescent="0.25">
      <c r="B12" s="59"/>
      <c r="C12" s="96"/>
      <c r="E12" s="96"/>
      <c r="G12" s="96"/>
    </row>
    <row r="13" spans="1:20" x14ac:dyDescent="0.25">
      <c r="B13" s="17" t="s">
        <v>21</v>
      </c>
      <c r="C13" s="1" t="s">
        <v>25</v>
      </c>
      <c r="E13" s="17" t="s">
        <v>27</v>
      </c>
      <c r="F13" s="1" t="s">
        <v>220</v>
      </c>
    </row>
    <row r="14" spans="1:20" x14ac:dyDescent="0.25">
      <c r="B14" s="17" t="s">
        <v>22</v>
      </c>
      <c r="C14" s="1" t="s">
        <v>26</v>
      </c>
      <c r="E14" s="17" t="s">
        <v>3</v>
      </c>
      <c r="F14" s="316" t="s">
        <v>406</v>
      </c>
    </row>
    <row r="15" spans="1:20" x14ac:dyDescent="0.25">
      <c r="B15" s="17" t="s">
        <v>23</v>
      </c>
      <c r="C15" s="1" t="s">
        <v>28</v>
      </c>
      <c r="E15" s="17" t="s">
        <v>24</v>
      </c>
      <c r="F15" s="1" t="s">
        <v>29</v>
      </c>
    </row>
    <row r="17" spans="1:17" x14ac:dyDescent="0.25">
      <c r="A17" s="1" t="s">
        <v>32</v>
      </c>
      <c r="B17" s="104" t="s">
        <v>35</v>
      </c>
      <c r="C17" s="105"/>
      <c r="D17" s="105"/>
      <c r="E17" s="105"/>
      <c r="F17" s="105"/>
      <c r="G17" s="284">
        <v>44865</v>
      </c>
      <c r="H17" s="285">
        <v>45230</v>
      </c>
      <c r="I17" s="285">
        <v>45596</v>
      </c>
      <c r="J17" s="285">
        <v>45961</v>
      </c>
      <c r="K17" s="288">
        <v>46326</v>
      </c>
      <c r="L17" s="286">
        <v>46691</v>
      </c>
      <c r="M17" s="286">
        <v>47057</v>
      </c>
      <c r="N17" s="286">
        <v>47422</v>
      </c>
      <c r="O17" s="287">
        <v>47787</v>
      </c>
      <c r="P17" s="61"/>
      <c r="Q17" s="310"/>
    </row>
    <row r="18" spans="1:17" x14ac:dyDescent="0.25">
      <c r="B18" s="61"/>
      <c r="G18" s="239"/>
      <c r="H18" s="2"/>
      <c r="I18" s="2"/>
      <c r="J18" s="2"/>
      <c r="K18" s="239"/>
      <c r="L18" s="2"/>
      <c r="M18" s="2"/>
      <c r="N18" s="2"/>
      <c r="O18" s="133"/>
      <c r="P18" s="61"/>
      <c r="Q18" s="310"/>
    </row>
    <row r="19" spans="1:17" x14ac:dyDescent="0.25">
      <c r="B19" s="109" t="s">
        <v>129</v>
      </c>
      <c r="G19" s="240"/>
      <c r="H19" s="120"/>
      <c r="I19" s="120"/>
      <c r="J19" s="120"/>
      <c r="K19" s="240"/>
      <c r="L19" s="120"/>
      <c r="M19" s="120"/>
      <c r="N19" s="120"/>
      <c r="O19" s="122"/>
      <c r="P19" s="61"/>
      <c r="Q19" s="310"/>
    </row>
    <row r="20" spans="1:17" x14ac:dyDescent="0.25">
      <c r="B20" s="110" t="s">
        <v>130</v>
      </c>
      <c r="G20" s="240">
        <v>316199</v>
      </c>
      <c r="H20" s="120">
        <v>298085</v>
      </c>
      <c r="I20" s="120">
        <v>294866</v>
      </c>
      <c r="J20" s="120">
        <v>307003</v>
      </c>
      <c r="K20" s="240">
        <f ca="1">Scenario!K21+Scenario!K27+Scenario!K32+Scenario!K37</f>
        <v>319547.85400000005</v>
      </c>
      <c r="L20" s="120">
        <f ca="1">Scenario!L21+Scenario!L27+Scenario!L32+Scenario!L37</f>
        <v>331655.51937700005</v>
      </c>
      <c r="M20" s="120">
        <f ca="1">Scenario!M21+Scenario!M27+Scenario!M32+Scenario!M37</f>
        <v>343035.13471672905</v>
      </c>
      <c r="N20" s="120">
        <f ca="1">Scenario!N21+Scenario!N27+Scenario!N32+Scenario!N37</f>
        <v>353409.87792139553</v>
      </c>
      <c r="O20" s="122">
        <f ca="1">Scenario!O21+Scenario!O27+Scenario!O32+Scenario!O37</f>
        <v>362529.28013135248</v>
      </c>
      <c r="P20" s="305"/>
      <c r="Q20" s="310"/>
    </row>
    <row r="21" spans="1:17" x14ac:dyDescent="0.25">
      <c r="B21" s="110" t="s">
        <v>131</v>
      </c>
      <c r="G21" s="240">
        <v>78129</v>
      </c>
      <c r="H21" s="120">
        <v>85200</v>
      </c>
      <c r="I21" s="120">
        <v>96169</v>
      </c>
      <c r="J21" s="120">
        <v>109158</v>
      </c>
      <c r="K21" s="121">
        <f ca="1">Scenario!K42</f>
        <v>123894.33</v>
      </c>
      <c r="L21" s="120">
        <f ca="1">Scenario!L42</f>
        <v>142013.87576250001</v>
      </c>
      <c r="M21" s="120">
        <f ca="1">Scenario!M42</f>
        <v>164381.06119509376</v>
      </c>
      <c r="N21" s="120">
        <f ca="1">Scenario!N42</f>
        <v>192120.36527176583</v>
      </c>
      <c r="O21" s="122">
        <f ca="1">Scenario!O42</f>
        <v>226702.03102068367</v>
      </c>
      <c r="P21" s="306"/>
      <c r="Q21" s="311"/>
    </row>
    <row r="22" spans="1:17" x14ac:dyDescent="0.25">
      <c r="B22" s="109" t="s">
        <v>132</v>
      </c>
      <c r="C22" s="17"/>
      <c r="D22" s="17"/>
      <c r="E22" s="17"/>
      <c r="F22" s="17"/>
      <c r="G22" s="243">
        <f>SUM(G20:G21)</f>
        <v>394328</v>
      </c>
      <c r="H22" s="138">
        <f t="shared" ref="H22:I22" si="1">SUM(H20:H21)</f>
        <v>383285</v>
      </c>
      <c r="I22" s="138">
        <f t="shared" si="1"/>
        <v>391035</v>
      </c>
      <c r="J22" s="138">
        <f t="shared" ref="J22:O22" si="2">SUM(J20:J21)</f>
        <v>416161</v>
      </c>
      <c r="K22" s="139">
        <f t="shared" ca="1" si="2"/>
        <v>443442.18400000007</v>
      </c>
      <c r="L22" s="138">
        <f t="shared" ca="1" si="2"/>
        <v>473669.39513950003</v>
      </c>
      <c r="M22" s="138">
        <f t="shared" ca="1" si="2"/>
        <v>507416.19591182284</v>
      </c>
      <c r="N22" s="138">
        <f t="shared" ca="1" si="2"/>
        <v>545530.24319316132</v>
      </c>
      <c r="O22" s="140">
        <f t="shared" ca="1" si="2"/>
        <v>589231.31115203619</v>
      </c>
      <c r="P22" s="307">
        <f>_xlfn.RRI(3,G22,J22)</f>
        <v>1.8125357434793932E-2</v>
      </c>
      <c r="Q22" s="312">
        <f ca="1">_xlfn.RRI(4,K22,O22)</f>
        <v>7.3648701160258234E-2</v>
      </c>
    </row>
    <row r="23" spans="1:17" x14ac:dyDescent="0.25">
      <c r="B23" s="110"/>
      <c r="G23" s="240"/>
      <c r="H23" s="120"/>
      <c r="I23" s="120"/>
      <c r="J23" s="120"/>
      <c r="K23" s="121"/>
      <c r="L23" s="120"/>
      <c r="M23" s="120"/>
      <c r="N23" s="120"/>
      <c r="O23" s="122"/>
      <c r="P23" s="308"/>
      <c r="Q23" s="313"/>
    </row>
    <row r="24" spans="1:17" x14ac:dyDescent="0.25">
      <c r="B24" s="109" t="s">
        <v>133</v>
      </c>
      <c r="G24" s="240"/>
      <c r="H24" s="120"/>
      <c r="I24" s="120"/>
      <c r="J24" s="120"/>
      <c r="K24" s="121"/>
      <c r="L24" s="120"/>
      <c r="M24" s="120"/>
      <c r="N24" s="120"/>
      <c r="O24" s="122"/>
      <c r="P24" s="308"/>
      <c r="Q24" s="313"/>
    </row>
    <row r="25" spans="1:17" x14ac:dyDescent="0.25">
      <c r="B25" s="110" t="s">
        <v>130</v>
      </c>
      <c r="G25" s="240">
        <v>201471</v>
      </c>
      <c r="H25" s="120">
        <v>189282</v>
      </c>
      <c r="I25" s="120">
        <v>185233</v>
      </c>
      <c r="J25" s="120">
        <v>194116</v>
      </c>
      <c r="K25" s="121">
        <f ca="1">Scenario!K55</f>
        <v>203433.568</v>
      </c>
      <c r="L25" s="120">
        <f ca="1">Scenario!L55</f>
        <v>210146.87574399999</v>
      </c>
      <c r="M25" s="120">
        <f ca="1">Scenario!M55</f>
        <v>213929.51950739199</v>
      </c>
      <c r="N25" s="120">
        <f ca="1">Scenario!N55</f>
        <v>214571.3080659142</v>
      </c>
      <c r="O25" s="122">
        <f ca="1">Scenario!O55</f>
        <v>211996.45236912323</v>
      </c>
      <c r="P25" s="308"/>
      <c r="Q25" s="313"/>
    </row>
    <row r="26" spans="1:17" x14ac:dyDescent="0.25">
      <c r="B26" s="110" t="s">
        <v>131</v>
      </c>
      <c r="G26" s="240">
        <v>22075</v>
      </c>
      <c r="H26" s="120">
        <v>24855</v>
      </c>
      <c r="I26" s="120">
        <v>25119</v>
      </c>
      <c r="J26" s="120">
        <v>26844</v>
      </c>
      <c r="K26" s="121">
        <f ca="1">Scenario!K60</f>
        <v>29098.896000000001</v>
      </c>
      <c r="L26" s="120">
        <f ca="1">Scenario!L60</f>
        <v>31339.510992</v>
      </c>
      <c r="M26" s="120">
        <f ca="1">Scenario!M60</f>
        <v>34105.222837043999</v>
      </c>
      <c r="N26" s="120">
        <f ca="1">Scenario!N60</f>
        <v>37498.692509329871</v>
      </c>
      <c r="O26" s="122">
        <f ca="1">Scenario!O60</f>
        <v>39598.619289852344</v>
      </c>
      <c r="P26" s="308"/>
      <c r="Q26" s="313"/>
    </row>
    <row r="27" spans="1:17" x14ac:dyDescent="0.25">
      <c r="B27" s="109" t="s">
        <v>134</v>
      </c>
      <c r="C27" s="17"/>
      <c r="D27" s="17"/>
      <c r="E27" s="17"/>
      <c r="F27" s="17"/>
      <c r="G27" s="243">
        <f t="shared" ref="G27:I27" si="3">SUM(G25:G26)</f>
        <v>223546</v>
      </c>
      <c r="H27" s="138">
        <f t="shared" si="3"/>
        <v>214137</v>
      </c>
      <c r="I27" s="138">
        <f t="shared" si="3"/>
        <v>210352</v>
      </c>
      <c r="J27" s="138">
        <f t="shared" ref="J27:O27" si="4">SUM(J25:J26)</f>
        <v>220960</v>
      </c>
      <c r="K27" s="139">
        <f t="shared" ca="1" si="4"/>
        <v>232532.46400000001</v>
      </c>
      <c r="L27" s="138">
        <f t="shared" ca="1" si="4"/>
        <v>241486.38673599999</v>
      </c>
      <c r="M27" s="138">
        <f t="shared" ca="1" si="4"/>
        <v>248034.742344436</v>
      </c>
      <c r="N27" s="138">
        <f t="shared" ca="1" si="4"/>
        <v>252070.00057524408</v>
      </c>
      <c r="O27" s="140">
        <f t="shared" ca="1" si="4"/>
        <v>251595.07165897556</v>
      </c>
      <c r="P27" s="307">
        <f>_xlfn.RRI(3,G27,J27)</f>
        <v>-3.8709948978793429E-3</v>
      </c>
      <c r="Q27" s="312">
        <f ca="1">_xlfn.RRI(4,K27,O27)</f>
        <v>1.9893054032602775E-2</v>
      </c>
    </row>
    <row r="28" spans="1:17" x14ac:dyDescent="0.25">
      <c r="B28" s="109"/>
      <c r="C28" s="17"/>
      <c r="D28" s="17"/>
      <c r="E28" s="17"/>
      <c r="F28" s="17"/>
      <c r="G28" s="243"/>
      <c r="H28" s="138"/>
      <c r="I28" s="138"/>
      <c r="J28" s="138"/>
      <c r="K28" s="139"/>
      <c r="L28" s="138"/>
      <c r="M28" s="138"/>
      <c r="N28" s="138"/>
      <c r="O28" s="140"/>
      <c r="P28" s="307"/>
      <c r="Q28" s="312"/>
    </row>
    <row r="29" spans="1:17" x14ac:dyDescent="0.25">
      <c r="B29" s="109" t="s">
        <v>135</v>
      </c>
      <c r="C29" s="17"/>
      <c r="D29" s="17"/>
      <c r="E29" s="17"/>
      <c r="F29" s="17"/>
      <c r="G29" s="279">
        <f>G22-G27</f>
        <v>170782</v>
      </c>
      <c r="H29" s="144">
        <f t="shared" ref="H29:I29" si="5">H22-H27</f>
        <v>169148</v>
      </c>
      <c r="I29" s="144">
        <f t="shared" si="5"/>
        <v>180683</v>
      </c>
      <c r="J29" s="144">
        <f t="shared" ref="J29:O29" si="6">J22-J27</f>
        <v>195201</v>
      </c>
      <c r="K29" s="145">
        <f t="shared" ca="1" si="6"/>
        <v>210909.72000000006</v>
      </c>
      <c r="L29" s="144">
        <f t="shared" ca="1" si="6"/>
        <v>232183.00840350005</v>
      </c>
      <c r="M29" s="144">
        <f t="shared" ca="1" si="6"/>
        <v>259381.45356738684</v>
      </c>
      <c r="N29" s="144">
        <f t="shared" ca="1" si="6"/>
        <v>293460.24261791725</v>
      </c>
      <c r="O29" s="146">
        <f t="shared" ca="1" si="6"/>
        <v>337636.23949306062</v>
      </c>
      <c r="P29" s="307">
        <f>_xlfn.RRI(3,G29,J29)</f>
        <v>4.5554432890676289E-2</v>
      </c>
      <c r="Q29" s="312">
        <f ca="1">_xlfn.RRI(4,K29,O29)</f>
        <v>0.12483317042422493</v>
      </c>
    </row>
    <row r="30" spans="1:17" x14ac:dyDescent="0.25">
      <c r="B30" s="110"/>
      <c r="G30" s="240"/>
      <c r="H30" s="120"/>
      <c r="I30" s="120"/>
      <c r="J30" s="120"/>
      <c r="K30" s="121"/>
      <c r="L30" s="120"/>
      <c r="M30" s="120"/>
      <c r="N30" s="120"/>
      <c r="O30" s="122"/>
      <c r="P30" s="308"/>
      <c r="Q30" s="313"/>
    </row>
    <row r="31" spans="1:17" x14ac:dyDescent="0.25">
      <c r="B31" s="109" t="s">
        <v>136</v>
      </c>
      <c r="G31" s="240"/>
      <c r="H31" s="120"/>
      <c r="I31" s="120"/>
      <c r="J31" s="120"/>
      <c r="K31" s="121"/>
      <c r="L31" s="120"/>
      <c r="M31" s="120"/>
      <c r="N31" s="120"/>
      <c r="O31" s="122"/>
      <c r="P31" s="308"/>
      <c r="Q31" s="313"/>
    </row>
    <row r="32" spans="1:17" x14ac:dyDescent="0.25">
      <c r="B32" s="110" t="s">
        <v>137</v>
      </c>
      <c r="G32" s="240">
        <v>26251</v>
      </c>
      <c r="H32" s="120">
        <v>29915</v>
      </c>
      <c r="I32" s="120">
        <v>31370</v>
      </c>
      <c r="J32" s="120">
        <v>34550</v>
      </c>
      <c r="K32" s="121">
        <f ca="1">Scenario!K70</f>
        <v>38039.549999999996</v>
      </c>
      <c r="L32" s="120">
        <f ca="1">Scenario!L70</f>
        <v>41634.287474999997</v>
      </c>
      <c r="M32" s="120">
        <f ca="1">Scenario!M70</f>
        <v>45298.104772799998</v>
      </c>
      <c r="N32" s="120">
        <f ca="1">Scenario!N70</f>
        <v>48989.900311783196</v>
      </c>
      <c r="O32" s="122">
        <f ca="1">Scenario!O70</f>
        <v>52664.142835166931</v>
      </c>
      <c r="P32" s="308"/>
      <c r="Q32" s="313"/>
    </row>
    <row r="33" spans="2:17" x14ac:dyDescent="0.25">
      <c r="B33" s="110" t="s">
        <v>138</v>
      </c>
      <c r="G33" s="240">
        <v>25094</v>
      </c>
      <c r="H33" s="120">
        <v>24932</v>
      </c>
      <c r="I33" s="120">
        <v>26097</v>
      </c>
      <c r="J33" s="120">
        <v>27601</v>
      </c>
      <c r="K33" s="121">
        <f ca="1">Scenario!K75</f>
        <v>29201.858</v>
      </c>
      <c r="L33" s="120">
        <f ca="1">Scenario!L75</f>
        <v>30676.551829</v>
      </c>
      <c r="M33" s="120">
        <f ca="1">Scenario!M75</f>
        <v>31995.643557646999</v>
      </c>
      <c r="N33" s="120">
        <f ca="1">Scenario!N75</f>
        <v>33131.488903943471</v>
      </c>
      <c r="O33" s="122">
        <f ca="1">Scenario!O75</f>
        <v>34059.17059325389</v>
      </c>
      <c r="P33" s="309"/>
      <c r="Q33" s="314"/>
    </row>
    <row r="34" spans="2:17" x14ac:dyDescent="0.25">
      <c r="B34" s="109" t="s">
        <v>139</v>
      </c>
      <c r="C34" s="17"/>
      <c r="D34" s="17"/>
      <c r="E34" s="17"/>
      <c r="F34" s="17"/>
      <c r="G34" s="280">
        <f>SUM(G32:G33)</f>
        <v>51345</v>
      </c>
      <c r="H34" s="141">
        <f t="shared" ref="H34:J34" si="7">SUM(H32:H33)</f>
        <v>54847</v>
      </c>
      <c r="I34" s="141">
        <f t="shared" si="7"/>
        <v>57467</v>
      </c>
      <c r="J34" s="141">
        <f t="shared" si="7"/>
        <v>62151</v>
      </c>
      <c r="K34" s="142">
        <f ca="1">SUM(K32:K33)</f>
        <v>67241.407999999996</v>
      </c>
      <c r="L34" s="141">
        <f ca="1">SUM(L32:L33)</f>
        <v>72310.839303999994</v>
      </c>
      <c r="M34" s="141">
        <f ca="1">SUM(M32:M33)</f>
        <v>77293.748330446993</v>
      </c>
      <c r="N34" s="141">
        <f ca="1">SUM(N32:N33)</f>
        <v>82121.389215726667</v>
      </c>
      <c r="O34" s="143">
        <f ca="1">SUM(O32:O33)</f>
        <v>86723.313428420821</v>
      </c>
      <c r="P34" s="307">
        <f>_xlfn.RRI(3,G34,J34)</f>
        <v>6.5736861973982652E-2</v>
      </c>
      <c r="Q34" s="312">
        <f ca="1">_xlfn.RRI(4,K34,O34)</f>
        <v>6.5674971289819695E-2</v>
      </c>
    </row>
    <row r="35" spans="2:17" x14ac:dyDescent="0.25">
      <c r="B35" s="109"/>
      <c r="C35" s="17"/>
      <c r="D35" s="17"/>
      <c r="E35" s="17"/>
      <c r="F35" s="17"/>
      <c r="G35" s="242"/>
      <c r="H35" s="123"/>
      <c r="I35" s="123"/>
      <c r="J35" s="123"/>
      <c r="K35" s="124"/>
      <c r="L35" s="123"/>
      <c r="M35" s="123"/>
      <c r="N35" s="123"/>
      <c r="O35" s="125"/>
      <c r="P35" s="307"/>
      <c r="Q35" s="312"/>
    </row>
    <row r="36" spans="2:17" x14ac:dyDescent="0.25">
      <c r="B36" s="109" t="s">
        <v>140</v>
      </c>
      <c r="G36" s="279">
        <f>G29-G34</f>
        <v>119437</v>
      </c>
      <c r="H36" s="144">
        <f>H29-H34</f>
        <v>114301</v>
      </c>
      <c r="I36" s="144">
        <f>I29-I34</f>
        <v>123216</v>
      </c>
      <c r="J36" s="144">
        <f>J29-J34</f>
        <v>133050</v>
      </c>
      <c r="K36" s="145">
        <f t="shared" ref="K36:O36" ca="1" si="8">K29-K34</f>
        <v>143668.31200000006</v>
      </c>
      <c r="L36" s="144">
        <f t="shared" ca="1" si="8"/>
        <v>159872.16909950005</v>
      </c>
      <c r="M36" s="144">
        <f t="shared" ca="1" si="8"/>
        <v>182087.70523693983</v>
      </c>
      <c r="N36" s="144">
        <f t="shared" ca="1" si="8"/>
        <v>211338.85340219058</v>
      </c>
      <c r="O36" s="146">
        <f t="shared" ca="1" si="8"/>
        <v>250912.92606463982</v>
      </c>
      <c r="P36" s="307">
        <f>_xlfn.RRI(3,G36,J36)</f>
        <v>3.6633718175293373E-2</v>
      </c>
      <c r="Q36" s="312">
        <f ca="1">_xlfn.RRI(4,K36,O36)</f>
        <v>0.14958347286545304</v>
      </c>
    </row>
    <row r="37" spans="2:17" x14ac:dyDescent="0.25">
      <c r="B37" s="110"/>
      <c r="G37" s="240"/>
      <c r="H37" s="120"/>
      <c r="I37" s="120"/>
      <c r="J37" s="120"/>
      <c r="K37" s="121"/>
      <c r="L37" s="120"/>
      <c r="M37" s="120"/>
      <c r="N37" s="120"/>
      <c r="O37" s="122"/>
      <c r="P37" s="309"/>
      <c r="Q37" s="314"/>
    </row>
    <row r="38" spans="2:17" x14ac:dyDescent="0.25">
      <c r="B38" s="110" t="s">
        <v>232</v>
      </c>
      <c r="G38" s="240">
        <v>0</v>
      </c>
      <c r="H38" s="120">
        <v>0</v>
      </c>
      <c r="I38" s="120">
        <v>0</v>
      </c>
      <c r="J38" s="120">
        <v>0</v>
      </c>
      <c r="K38" s="121">
        <f>-Schedule!K88+Schedule!K105</f>
        <v>-3162.1379999999999</v>
      </c>
      <c r="L38" s="120">
        <f ca="1">-Schedule!L88+Schedule!L105</f>
        <v>-2656.3199999999997</v>
      </c>
      <c r="M38" s="120">
        <f ca="1">-Schedule!M88+Schedule!M105</f>
        <v>-2220.3150000000001</v>
      </c>
      <c r="N38" s="120">
        <f ca="1">-Schedule!N88+Schedule!N105</f>
        <v>-1893.2774999999999</v>
      </c>
      <c r="O38" s="122">
        <f ca="1">-Schedule!O88+Schedule!O105</f>
        <v>-1663.62</v>
      </c>
      <c r="P38" s="309"/>
      <c r="Q38" s="314"/>
    </row>
    <row r="39" spans="2:17" x14ac:dyDescent="0.25">
      <c r="B39" s="110" t="s">
        <v>141</v>
      </c>
      <c r="G39" s="240">
        <v>-334</v>
      </c>
      <c r="H39" s="120">
        <v>-565</v>
      </c>
      <c r="I39" s="120">
        <v>269</v>
      </c>
      <c r="J39" s="120">
        <v>-321</v>
      </c>
      <c r="K39" s="121">
        <f ca="1">Assumptions!K16</f>
        <v>-286.22359048902769</v>
      </c>
      <c r="L39" s="120">
        <f ca="1">Assumptions!L16</f>
        <v>-286.3634456844872</v>
      </c>
      <c r="M39" s="120">
        <f ca="1">Assumptions!M16</f>
        <v>-182.67603793409668</v>
      </c>
      <c r="N39" s="120">
        <f ca="1">Assumptions!N16</f>
        <v>-380.37365095828915</v>
      </c>
      <c r="O39" s="122">
        <f ca="1">Assumptions!O16</f>
        <v>-413.16041952363724</v>
      </c>
      <c r="P39" s="132"/>
      <c r="Q39" s="315"/>
    </row>
    <row r="40" spans="2:17" x14ac:dyDescent="0.25">
      <c r="B40" s="109" t="s">
        <v>142</v>
      </c>
      <c r="C40" s="17"/>
      <c r="D40" s="17"/>
      <c r="E40" s="17"/>
      <c r="F40" s="17"/>
      <c r="G40" s="243">
        <f>G36+G39</f>
        <v>119103</v>
      </c>
      <c r="H40" s="138">
        <f t="shared" ref="H40:I40" si="9">H36+H39</f>
        <v>113736</v>
      </c>
      <c r="I40" s="138">
        <f t="shared" si="9"/>
        <v>123485</v>
      </c>
      <c r="J40" s="138">
        <f t="shared" ref="J40" si="10">J36+J39</f>
        <v>132729</v>
      </c>
      <c r="K40" s="139">
        <f ca="1">K36+K39+K38</f>
        <v>140219.95040951102</v>
      </c>
      <c r="L40" s="138">
        <f t="shared" ref="L40:O40" ca="1" si="11">L36+L39+L38</f>
        <v>156929.48565381556</v>
      </c>
      <c r="M40" s="138">
        <f t="shared" ca="1" si="11"/>
        <v>179684.71419900574</v>
      </c>
      <c r="N40" s="138">
        <f t="shared" ca="1" si="11"/>
        <v>209065.20225123229</v>
      </c>
      <c r="O40" s="140">
        <f t="shared" ca="1" si="11"/>
        <v>248836.14564511619</v>
      </c>
      <c r="P40" s="307">
        <f>_xlfn.RRI(3,G40,J40)</f>
        <v>3.6766702219891423E-2</v>
      </c>
      <c r="Q40" s="312">
        <f ca="1">_xlfn.RRI(4,K40,O40)</f>
        <v>0.15418629769056702</v>
      </c>
    </row>
    <row r="41" spans="2:17" x14ac:dyDescent="0.25">
      <c r="B41" s="109"/>
      <c r="C41" s="17"/>
      <c r="D41" s="17"/>
      <c r="E41" s="17"/>
      <c r="F41" s="17"/>
      <c r="G41" s="242"/>
      <c r="H41" s="123"/>
      <c r="I41" s="123"/>
      <c r="J41" s="123"/>
      <c r="K41" s="121"/>
      <c r="L41" s="123"/>
      <c r="M41" s="123"/>
      <c r="N41" s="123"/>
      <c r="O41" s="125"/>
      <c r="P41" s="309"/>
      <c r="Q41" s="314"/>
    </row>
    <row r="42" spans="2:17" x14ac:dyDescent="0.25">
      <c r="B42" s="110" t="s">
        <v>143</v>
      </c>
      <c r="G42" s="240">
        <v>19300</v>
      </c>
      <c r="H42" s="120">
        <v>16741</v>
      </c>
      <c r="I42" s="120">
        <v>29749</v>
      </c>
      <c r="J42" s="120">
        <v>20719</v>
      </c>
      <c r="K42" s="121">
        <f ca="1">Assumptions!K13</f>
        <v>22435.192065521762</v>
      </c>
      <c r="L42" s="120">
        <f ca="1">Assumptions!L13</f>
        <v>25108.717704610492</v>
      </c>
      <c r="M42" s="120">
        <f ca="1">Assumptions!M13</f>
        <v>28749.55427184092</v>
      </c>
      <c r="N42" s="120">
        <f ca="1">Assumptions!N13</f>
        <v>33450.43236019717</v>
      </c>
      <c r="O42" s="122">
        <f ca="1">Assumptions!O13</f>
        <v>39813.783303218595</v>
      </c>
      <c r="P42" s="132"/>
      <c r="Q42" s="315"/>
    </row>
    <row r="43" spans="2:17" x14ac:dyDescent="0.25">
      <c r="B43" s="109" t="s">
        <v>144</v>
      </c>
      <c r="G43" s="279">
        <f t="shared" ref="G43:I43" si="12">G40-G42</f>
        <v>99803</v>
      </c>
      <c r="H43" s="144">
        <f t="shared" si="12"/>
        <v>96995</v>
      </c>
      <c r="I43" s="144">
        <f t="shared" si="12"/>
        <v>93736</v>
      </c>
      <c r="J43" s="144">
        <f t="shared" ref="J43" si="13">J40-J42</f>
        <v>112010</v>
      </c>
      <c r="K43" s="145">
        <f ca="1">K40-K42</f>
        <v>117784.75834398926</v>
      </c>
      <c r="L43" s="144">
        <f t="shared" ref="L43" ca="1" si="14">L40-L42</f>
        <v>131820.76794920507</v>
      </c>
      <c r="M43" s="144">
        <f t="shared" ref="M43" ca="1" si="15">M40-M42</f>
        <v>150935.15992716482</v>
      </c>
      <c r="N43" s="144">
        <f t="shared" ref="N43" ca="1" si="16">N40-N42</f>
        <v>175614.7698910351</v>
      </c>
      <c r="O43" s="146">
        <f t="shared" ref="O43" ca="1" si="17">O40-O42</f>
        <v>209022.36234189759</v>
      </c>
      <c r="P43" s="307">
        <f>_xlfn.RRI(3,G43,J43)</f>
        <v>3.9212592033254001E-2</v>
      </c>
      <c r="Q43" s="312">
        <f ca="1">_xlfn.RRI(4,K43,O43)</f>
        <v>0.15418629769056702</v>
      </c>
    </row>
    <row r="44" spans="2:17" x14ac:dyDescent="0.25">
      <c r="B44" s="110"/>
      <c r="G44" s="240"/>
      <c r="H44" s="120"/>
      <c r="I44" s="120"/>
      <c r="J44" s="120"/>
      <c r="K44" s="121"/>
      <c r="L44" s="120"/>
      <c r="M44" s="120"/>
      <c r="N44" s="120"/>
      <c r="O44" s="122"/>
      <c r="P44" s="132"/>
      <c r="Q44" s="315"/>
    </row>
    <row r="45" spans="2:17" x14ac:dyDescent="0.25">
      <c r="B45" s="109" t="s">
        <v>145</v>
      </c>
      <c r="G45" s="240"/>
      <c r="H45" s="120"/>
      <c r="I45" s="120"/>
      <c r="J45" s="120"/>
      <c r="K45" s="121"/>
      <c r="L45" s="120"/>
      <c r="M45" s="120"/>
      <c r="N45" s="120"/>
      <c r="O45" s="122"/>
      <c r="P45" s="132"/>
      <c r="Q45" s="315"/>
    </row>
    <row r="46" spans="2:17" x14ac:dyDescent="0.25">
      <c r="B46" s="110" t="s">
        <v>146</v>
      </c>
      <c r="G46" s="281">
        <v>6.15</v>
      </c>
      <c r="H46" s="126">
        <v>6.16</v>
      </c>
      <c r="I46" s="126">
        <v>6.11</v>
      </c>
      <c r="J46" s="126">
        <v>7.49</v>
      </c>
      <c r="K46" s="127">
        <f ca="1">(K$43-Assumptions!K$22)/K50</f>
        <v>6.7920167035166568</v>
      </c>
      <c r="L46" s="126">
        <f ca="1">(L$43-Assumptions!L$22)/L50</f>
        <v>7.6851723763409181</v>
      </c>
      <c r="M46" s="126">
        <f ca="1">(M$43-Assumptions!M$22)/M50</f>
        <v>8.8954661602055189</v>
      </c>
      <c r="N46" s="126">
        <f ca="1">(N$43-Assumptions!N$22)/N50</f>
        <v>10.461581602700388</v>
      </c>
      <c r="O46" s="128">
        <f ca="1">(O$43-Assumptions!O$22)/O50</f>
        <v>12.584548691019689</v>
      </c>
      <c r="P46" s="307">
        <f>_xlfn.RRI(3,G46,J46)</f>
        <v>6.7912247503723266E-2</v>
      </c>
      <c r="Q46" s="312">
        <f ca="1">_xlfn.RRI(4,K46,O46)</f>
        <v>0.16670141619679724</v>
      </c>
    </row>
    <row r="47" spans="2:17" x14ac:dyDescent="0.25">
      <c r="B47" s="110" t="s">
        <v>147</v>
      </c>
      <c r="G47" s="281">
        <v>6.11</v>
      </c>
      <c r="H47" s="126">
        <v>6.13</v>
      </c>
      <c r="I47" s="126">
        <v>6.08</v>
      </c>
      <c r="J47" s="126">
        <v>7.46</v>
      </c>
      <c r="K47" s="127">
        <f ca="1">(K$43-Assumptions!K$22)/K51</f>
        <v>6.7665786048541161</v>
      </c>
      <c r="L47" s="126">
        <f ca="1">(L$43-Assumptions!L$22)/L51</f>
        <v>7.6563891471938561</v>
      </c>
      <c r="M47" s="126">
        <f ca="1">(M$43-Assumptions!M$22)/M51</f>
        <v>8.8621500251442722</v>
      </c>
      <c r="N47" s="126">
        <f ca="1">(N$43-Assumptions!N$22)/N51</f>
        <v>10.422399905040852</v>
      </c>
      <c r="O47" s="128">
        <f ca="1">(O$43-Assumptions!O$22)/O51</f>
        <v>12.537415857694949</v>
      </c>
      <c r="P47" s="307">
        <f>_xlfn.RRI(3,G47,J47)</f>
        <v>6.8806793895618057E-2</v>
      </c>
      <c r="Q47" s="312">
        <f ca="1">_xlfn.RRI(4,K47,O47)</f>
        <v>0.16670141619679724</v>
      </c>
    </row>
    <row r="48" spans="2:17" x14ac:dyDescent="0.25">
      <c r="B48" s="110"/>
      <c r="G48" s="282"/>
      <c r="H48" s="129"/>
      <c r="I48" s="129"/>
      <c r="J48" s="129"/>
      <c r="K48" s="130"/>
      <c r="L48" s="129"/>
      <c r="M48" s="129"/>
      <c r="N48" s="129"/>
      <c r="O48" s="131"/>
      <c r="P48" s="309"/>
      <c r="Q48" s="314"/>
    </row>
    <row r="49" spans="1:17" x14ac:dyDescent="0.25">
      <c r="B49" s="109" t="s">
        <v>148</v>
      </c>
      <c r="G49" s="281"/>
      <c r="H49" s="126"/>
      <c r="I49" s="126"/>
      <c r="J49" s="126"/>
      <c r="K49" s="121"/>
      <c r="L49" s="120"/>
      <c r="M49" s="120"/>
      <c r="N49" s="120"/>
      <c r="O49" s="122"/>
      <c r="P49" s="132"/>
      <c r="Q49" s="315"/>
    </row>
    <row r="50" spans="1:17" x14ac:dyDescent="0.25">
      <c r="B50" s="110" t="s">
        <v>146</v>
      </c>
      <c r="G50" s="240">
        <v>16215.963</v>
      </c>
      <c r="H50" s="120">
        <v>15744.231</v>
      </c>
      <c r="I50" s="120">
        <v>15343.782999999999</v>
      </c>
      <c r="J50" s="120">
        <v>14948.5</v>
      </c>
      <c r="K50" s="121">
        <f>J50</f>
        <v>14948.5</v>
      </c>
      <c r="L50" s="120">
        <f t="shared" ref="L50:O50" si="18">K50</f>
        <v>14948.5</v>
      </c>
      <c r="M50" s="120">
        <f t="shared" si="18"/>
        <v>14948.5</v>
      </c>
      <c r="N50" s="120">
        <f t="shared" si="18"/>
        <v>14948.5</v>
      </c>
      <c r="O50" s="122">
        <f t="shared" si="18"/>
        <v>14948.5</v>
      </c>
      <c r="P50" s="132"/>
      <c r="Q50" s="315"/>
    </row>
    <row r="51" spans="1:17" x14ac:dyDescent="0.25">
      <c r="B51" s="110" t="s">
        <v>147</v>
      </c>
      <c r="G51" s="240">
        <v>16325.819</v>
      </c>
      <c r="H51" s="120">
        <v>15812.547</v>
      </c>
      <c r="I51" s="120">
        <v>15408.094999999999</v>
      </c>
      <c r="J51" s="120">
        <v>15004.697</v>
      </c>
      <c r="K51" s="121">
        <f>J51</f>
        <v>15004.697</v>
      </c>
      <c r="L51" s="120">
        <f t="shared" ref="L51:O51" si="19">K51</f>
        <v>15004.697</v>
      </c>
      <c r="M51" s="120">
        <f t="shared" si="19"/>
        <v>15004.697</v>
      </c>
      <c r="N51" s="120">
        <f t="shared" si="19"/>
        <v>15004.697</v>
      </c>
      <c r="O51" s="122">
        <f t="shared" si="19"/>
        <v>15004.697</v>
      </c>
      <c r="P51" s="132"/>
      <c r="Q51" s="315"/>
    </row>
    <row r="52" spans="1:17" x14ac:dyDescent="0.25">
      <c r="B52" s="107"/>
      <c r="G52" s="239"/>
      <c r="H52" s="2"/>
      <c r="I52" s="2"/>
      <c r="J52" s="2"/>
      <c r="K52" s="132"/>
      <c r="L52" s="2"/>
      <c r="M52" s="2"/>
      <c r="N52" s="2"/>
      <c r="O52" s="133"/>
      <c r="P52" s="132"/>
      <c r="Q52" s="315"/>
    </row>
    <row r="53" spans="1:17" x14ac:dyDescent="0.25">
      <c r="B53" s="107" t="s">
        <v>98</v>
      </c>
      <c r="G53" s="240"/>
      <c r="H53" s="120">
        <f>H36+Schedule!H18</f>
        <v>125820</v>
      </c>
      <c r="I53" s="120">
        <f>I36+Schedule!I18</f>
        <v>134661</v>
      </c>
      <c r="J53" s="120">
        <f>J36+Schedule!J18</f>
        <v>144748</v>
      </c>
      <c r="K53" s="121">
        <f ca="1">K22-K29-K34</f>
        <v>165291.05600000001</v>
      </c>
      <c r="L53" s="120">
        <f ca="1">L22-L29-L34</f>
        <v>169175.54743199999</v>
      </c>
      <c r="M53" s="120">
        <f ca="1">M22-M29-M34</f>
        <v>170740.99401398899</v>
      </c>
      <c r="N53" s="120">
        <f ca="1">N22-N29-N34</f>
        <v>169948.61135951741</v>
      </c>
      <c r="O53" s="122">
        <f ca="1">O22-O29-O34</f>
        <v>164871.75823055475</v>
      </c>
      <c r="P53" s="132"/>
      <c r="Q53" s="315"/>
    </row>
    <row r="54" spans="1:17" x14ac:dyDescent="0.25">
      <c r="B54" s="111" t="s">
        <v>149</v>
      </c>
      <c r="C54" s="108"/>
      <c r="D54" s="108"/>
      <c r="E54" s="108"/>
      <c r="F54" s="108"/>
      <c r="G54" s="283"/>
      <c r="H54" s="134">
        <f t="shared" ref="H54:O54" si="20">H53/H22</f>
        <v>0.32826747720364741</v>
      </c>
      <c r="I54" s="134">
        <f t="shared" si="20"/>
        <v>0.34437070850435381</v>
      </c>
      <c r="J54" s="134">
        <f t="shared" si="20"/>
        <v>0.34781731108873731</v>
      </c>
      <c r="K54" s="135">
        <f t="shared" ca="1" si="20"/>
        <v>0.37274544904370216</v>
      </c>
      <c r="L54" s="134">
        <f t="shared" ca="1" si="20"/>
        <v>0.35715954876539202</v>
      </c>
      <c r="M54" s="134">
        <f t="shared" ca="1" si="20"/>
        <v>0.33649102135411502</v>
      </c>
      <c r="N54" s="134">
        <f t="shared" ca="1" si="20"/>
        <v>0.31152922038703912</v>
      </c>
      <c r="O54" s="136">
        <f t="shared" ca="1" si="20"/>
        <v>0.27980820962858471</v>
      </c>
      <c r="P54" s="132"/>
      <c r="Q54" s="315"/>
    </row>
    <row r="55" spans="1:17" x14ac:dyDescent="0.25">
      <c r="B55" s="62"/>
      <c r="C55" s="62"/>
      <c r="D55" s="62"/>
      <c r="E55" s="62"/>
      <c r="F55" s="62"/>
      <c r="G55" s="60"/>
      <c r="H55" s="60"/>
      <c r="I55" s="60"/>
      <c r="J55" s="60"/>
      <c r="P55" s="2"/>
      <c r="Q55" s="2"/>
    </row>
    <row r="56" spans="1:17" x14ac:dyDescent="0.25">
      <c r="P56" s="2"/>
      <c r="Q56" s="2"/>
    </row>
    <row r="57" spans="1:17" x14ac:dyDescent="0.25">
      <c r="A57" s="1" t="s">
        <v>32</v>
      </c>
      <c r="B57" s="100" t="s">
        <v>150</v>
      </c>
      <c r="C57" s="101"/>
      <c r="D57" s="101"/>
      <c r="E57" s="101"/>
      <c r="F57" s="101"/>
      <c r="G57" s="292">
        <v>44865</v>
      </c>
      <c r="H57" s="293">
        <v>45230</v>
      </c>
      <c r="I57" s="293">
        <v>45596</v>
      </c>
      <c r="J57" s="293">
        <v>45961</v>
      </c>
      <c r="K57" s="294">
        <v>46326</v>
      </c>
      <c r="L57" s="295">
        <v>46691</v>
      </c>
      <c r="M57" s="295">
        <v>47057</v>
      </c>
      <c r="N57" s="295">
        <v>47422</v>
      </c>
      <c r="O57" s="296">
        <v>47787</v>
      </c>
      <c r="P57" s="2"/>
      <c r="Q57" s="2"/>
    </row>
    <row r="58" spans="1:17" x14ac:dyDescent="0.25">
      <c r="B58" s="61"/>
      <c r="G58" s="239"/>
      <c r="H58" s="2"/>
      <c r="I58" s="2"/>
      <c r="J58" s="2"/>
      <c r="K58" s="239"/>
      <c r="L58" s="2"/>
      <c r="M58" s="2"/>
      <c r="N58" s="2"/>
      <c r="O58" s="133"/>
      <c r="P58" s="2"/>
      <c r="Q58" s="2"/>
    </row>
    <row r="59" spans="1:17" x14ac:dyDescent="0.25">
      <c r="B59" s="113" t="s">
        <v>151</v>
      </c>
      <c r="C59" s="62"/>
      <c r="D59" s="62"/>
      <c r="E59" s="62"/>
      <c r="F59" s="62"/>
      <c r="G59" s="297"/>
      <c r="H59" s="298"/>
      <c r="I59" s="298"/>
      <c r="J59" s="298"/>
      <c r="K59" s="239"/>
      <c r="L59" s="2"/>
      <c r="M59" s="2"/>
      <c r="N59" s="2"/>
      <c r="O59" s="133"/>
      <c r="P59" s="2"/>
      <c r="Q59" s="2"/>
    </row>
    <row r="60" spans="1:17" x14ac:dyDescent="0.25">
      <c r="B60" s="113" t="s">
        <v>152</v>
      </c>
      <c r="C60" s="62"/>
      <c r="D60" s="62"/>
      <c r="E60" s="62"/>
      <c r="F60" s="62"/>
      <c r="G60" s="297"/>
      <c r="H60" s="298"/>
      <c r="I60" s="298"/>
      <c r="J60" s="298"/>
      <c r="K60" s="240"/>
      <c r="L60" s="120"/>
      <c r="M60" s="120"/>
      <c r="N60" s="120"/>
      <c r="O60" s="122"/>
      <c r="P60" s="2"/>
      <c r="Q60" s="2"/>
    </row>
    <row r="61" spans="1:17" x14ac:dyDescent="0.25">
      <c r="B61" s="116" t="s">
        <v>153</v>
      </c>
      <c r="C61" s="62"/>
      <c r="D61" s="62"/>
      <c r="E61" s="62"/>
      <c r="F61" s="62"/>
      <c r="G61" s="289">
        <v>23646</v>
      </c>
      <c r="H61" s="137">
        <v>29965</v>
      </c>
      <c r="I61" s="137">
        <v>29943</v>
      </c>
      <c r="J61" s="137">
        <v>35934</v>
      </c>
      <c r="K61" s="121">
        <f ca="1">K134</f>
        <v>50346.588710595359</v>
      </c>
      <c r="L61" s="120">
        <f t="shared" ref="L61:O61" ca="1" si="21">L134</f>
        <v>39765.200643146498</v>
      </c>
      <c r="M61" s="120">
        <f t="shared" ca="1" si="21"/>
        <v>35704.455213688576</v>
      </c>
      <c r="N61" s="120">
        <f t="shared" ca="1" si="21"/>
        <v>36234.143690486177</v>
      </c>
      <c r="O61" s="122">
        <f t="shared" ca="1" si="21"/>
        <v>39450.342208631744</v>
      </c>
      <c r="P61" s="2"/>
      <c r="Q61" s="2"/>
    </row>
    <row r="62" spans="1:17" x14ac:dyDescent="0.25">
      <c r="B62" s="116" t="s">
        <v>154</v>
      </c>
      <c r="C62" s="62"/>
      <c r="D62" s="62"/>
      <c r="E62" s="62"/>
      <c r="F62" s="62"/>
      <c r="G62" s="289">
        <v>24658</v>
      </c>
      <c r="H62" s="137">
        <v>31590</v>
      </c>
      <c r="I62" s="137">
        <v>35228</v>
      </c>
      <c r="J62" s="137">
        <v>18763</v>
      </c>
      <c r="K62" s="121">
        <f>J62</f>
        <v>18763</v>
      </c>
      <c r="L62" s="120">
        <f t="shared" ref="L62:O62" si="22">K62</f>
        <v>18763</v>
      </c>
      <c r="M62" s="120">
        <f t="shared" si="22"/>
        <v>18763</v>
      </c>
      <c r="N62" s="120">
        <f t="shared" si="22"/>
        <v>18763</v>
      </c>
      <c r="O62" s="122">
        <f t="shared" si="22"/>
        <v>18763</v>
      </c>
      <c r="P62" s="2"/>
      <c r="Q62" s="2"/>
    </row>
    <row r="63" spans="1:17" x14ac:dyDescent="0.25">
      <c r="B63" s="116" t="s">
        <v>155</v>
      </c>
      <c r="C63" s="62"/>
      <c r="D63" s="62"/>
      <c r="E63" s="62"/>
      <c r="F63" s="62"/>
      <c r="G63" s="289">
        <v>28184</v>
      </c>
      <c r="H63" s="137">
        <v>29508</v>
      </c>
      <c r="I63" s="137">
        <v>33410</v>
      </c>
      <c r="J63" s="137">
        <v>39777</v>
      </c>
      <c r="K63" s="121">
        <f ca="1">Schedule!K45</f>
        <v>42384.55730586961</v>
      </c>
      <c r="L63" s="120">
        <f ca="1">Schedule!L45</f>
        <v>45273.698233289266</v>
      </c>
      <c r="M63" s="120">
        <f ca="1">Schedule!M45</f>
        <v>48499.244342416947</v>
      </c>
      <c r="N63" s="120">
        <f ca="1">Schedule!N45</f>
        <v>52142.215352938838</v>
      </c>
      <c r="O63" s="122">
        <f ca="1">Schedule!O45</f>
        <v>56319.198251865375</v>
      </c>
      <c r="P63" s="2"/>
      <c r="Q63" s="2"/>
    </row>
    <row r="64" spans="1:17" x14ac:dyDescent="0.25">
      <c r="B64" s="116" t="s">
        <v>156</v>
      </c>
      <c r="C64" s="62"/>
      <c r="D64" s="62"/>
      <c r="E64" s="62"/>
      <c r="F64" s="62"/>
      <c r="G64" s="289">
        <v>32748</v>
      </c>
      <c r="H64" s="137">
        <v>31477</v>
      </c>
      <c r="I64" s="137">
        <v>32833</v>
      </c>
      <c r="J64" s="137">
        <v>33180</v>
      </c>
      <c r="K64" s="121">
        <f ca="1">Schedule!K46</f>
        <v>35355.094939506591</v>
      </c>
      <c r="L64" s="120">
        <f ca="1">Schedule!L46</f>
        <v>37765.07296630057</v>
      </c>
      <c r="M64" s="120">
        <f ca="1">Schedule!M46</f>
        <v>40455.663506081255</v>
      </c>
      <c r="N64" s="120">
        <f ca="1">Schedule!N46</f>
        <v>43494.449189494197</v>
      </c>
      <c r="O64" s="122">
        <f ca="1">Schedule!O46</f>
        <v>46978.681097038301</v>
      </c>
      <c r="P64" s="2"/>
      <c r="Q64" s="2"/>
    </row>
    <row r="65" spans="2:17" x14ac:dyDescent="0.25">
      <c r="B65" s="116" t="s">
        <v>157</v>
      </c>
      <c r="C65" s="62"/>
      <c r="D65" s="62"/>
      <c r="E65" s="62"/>
      <c r="F65" s="62"/>
      <c r="G65" s="289">
        <v>4946</v>
      </c>
      <c r="H65" s="137">
        <v>6331</v>
      </c>
      <c r="I65" s="137">
        <v>7286</v>
      </c>
      <c r="J65" s="137">
        <v>5718</v>
      </c>
      <c r="K65" s="121">
        <f ca="1">Schedule!K47</f>
        <v>6092.840050153668</v>
      </c>
      <c r="L65" s="120">
        <f ca="1">Schedule!L47</f>
        <v>6508.1581441020699</v>
      </c>
      <c r="M65" s="120">
        <f ca="1">Schedule!M47</f>
        <v>6971.8349586429367</v>
      </c>
      <c r="N65" s="120">
        <f ca="1">Schedule!N47</f>
        <v>7495.5171930538818</v>
      </c>
      <c r="O65" s="122">
        <f ca="1">Schedule!O47</f>
        <v>8095.9643915872539</v>
      </c>
      <c r="P65" s="2"/>
      <c r="Q65" s="2"/>
    </row>
    <row r="66" spans="2:17" x14ac:dyDescent="0.25">
      <c r="B66" s="116" t="s">
        <v>158</v>
      </c>
      <c r="C66" s="62"/>
      <c r="D66" s="62"/>
      <c r="E66" s="62"/>
      <c r="F66" s="62"/>
      <c r="G66" s="289">
        <v>21223</v>
      </c>
      <c r="H66" s="137">
        <v>14695</v>
      </c>
      <c r="I66" s="137">
        <v>14287</v>
      </c>
      <c r="J66" s="137">
        <v>14585</v>
      </c>
      <c r="K66" s="121">
        <f ca="1">Schedule!K48</f>
        <v>15541.110900925365</v>
      </c>
      <c r="L66" s="120">
        <f ca="1">Schedule!L48</f>
        <v>16600.469837658042</v>
      </c>
      <c r="M66" s="120">
        <f ca="1">Schedule!M48</f>
        <v>17783.178186744881</v>
      </c>
      <c r="N66" s="120">
        <f ca="1">Schedule!N48</f>
        <v>19118.943382422323</v>
      </c>
      <c r="O66" s="122">
        <f ca="1">Schedule!O48</f>
        <v>20650.514279695712</v>
      </c>
      <c r="P66" s="2"/>
      <c r="Q66" s="2"/>
    </row>
    <row r="67" spans="2:17" x14ac:dyDescent="0.25">
      <c r="B67" s="113" t="s">
        <v>159</v>
      </c>
      <c r="C67" s="65"/>
      <c r="D67" s="65"/>
      <c r="E67" s="65"/>
      <c r="F67" s="65"/>
      <c r="G67" s="290">
        <f t="shared" ref="G67:I67" si="23">SUM(G61:G66)</f>
        <v>135405</v>
      </c>
      <c r="H67" s="147">
        <f t="shared" si="23"/>
        <v>143566</v>
      </c>
      <c r="I67" s="147">
        <f t="shared" si="23"/>
        <v>152987</v>
      </c>
      <c r="J67" s="147">
        <f t="shared" ref="J67" si="24">SUM(J61:J66)</f>
        <v>147957</v>
      </c>
      <c r="K67" s="148">
        <f ca="1">SUM(K61:K66)</f>
        <v>168483.19190705058</v>
      </c>
      <c r="L67" s="147">
        <f t="shared" ref="L67:O67" ca="1" si="25">SUM(L61:L66)</f>
        <v>164675.59982449646</v>
      </c>
      <c r="M67" s="147">
        <f t="shared" ca="1" si="25"/>
        <v>168177.37620757459</v>
      </c>
      <c r="N67" s="147">
        <f t="shared" ca="1" si="25"/>
        <v>177248.2688083954</v>
      </c>
      <c r="O67" s="149">
        <f t="shared" ca="1" si="25"/>
        <v>190257.70022881837</v>
      </c>
      <c r="P67" s="2"/>
      <c r="Q67" s="2"/>
    </row>
    <row r="68" spans="2:17" x14ac:dyDescent="0.25">
      <c r="B68" s="114"/>
      <c r="C68" s="62"/>
      <c r="D68" s="62"/>
      <c r="E68" s="62"/>
      <c r="F68" s="62"/>
      <c r="G68" s="289"/>
      <c r="H68" s="137"/>
      <c r="I68" s="137"/>
      <c r="J68" s="137"/>
      <c r="K68" s="121"/>
      <c r="L68" s="120"/>
      <c r="M68" s="120"/>
      <c r="N68" s="120"/>
      <c r="O68" s="122"/>
      <c r="P68" s="2"/>
      <c r="Q68" s="2"/>
    </row>
    <row r="69" spans="2:17" x14ac:dyDescent="0.25">
      <c r="B69" s="113" t="s">
        <v>160</v>
      </c>
      <c r="C69" s="62"/>
      <c r="D69" s="62"/>
      <c r="E69" s="62"/>
      <c r="F69" s="62"/>
      <c r="G69" s="289"/>
      <c r="H69" s="137"/>
      <c r="I69" s="137"/>
      <c r="J69" s="137"/>
      <c r="K69" s="121"/>
      <c r="L69" s="120"/>
      <c r="M69" s="120"/>
      <c r="N69" s="120"/>
      <c r="O69" s="122"/>
      <c r="P69" s="2"/>
      <c r="Q69" s="2"/>
    </row>
    <row r="70" spans="2:17" x14ac:dyDescent="0.25">
      <c r="B70" s="116" t="s">
        <v>154</v>
      </c>
      <c r="C70" s="62"/>
      <c r="D70" s="62"/>
      <c r="E70" s="62"/>
      <c r="F70" s="62"/>
      <c r="G70" s="289">
        <v>120805</v>
      </c>
      <c r="H70" s="137">
        <v>100544</v>
      </c>
      <c r="I70" s="137">
        <v>91479</v>
      </c>
      <c r="J70" s="137">
        <v>77723</v>
      </c>
      <c r="K70" s="121">
        <f>J70</f>
        <v>77723</v>
      </c>
      <c r="L70" s="120">
        <f t="shared" ref="L70:O70" si="26">K70</f>
        <v>77723</v>
      </c>
      <c r="M70" s="120">
        <f t="shared" si="26"/>
        <v>77723</v>
      </c>
      <c r="N70" s="120">
        <f t="shared" si="26"/>
        <v>77723</v>
      </c>
      <c r="O70" s="122">
        <f t="shared" si="26"/>
        <v>77723</v>
      </c>
      <c r="P70" s="2"/>
      <c r="Q70" s="2"/>
    </row>
    <row r="71" spans="2:17" x14ac:dyDescent="0.25">
      <c r="B71" s="116" t="s">
        <v>161</v>
      </c>
      <c r="C71" s="62"/>
      <c r="D71" s="62"/>
      <c r="E71" s="62"/>
      <c r="F71" s="62"/>
      <c r="G71" s="289">
        <v>42117</v>
      </c>
      <c r="H71" s="137">
        <v>43715</v>
      </c>
      <c r="I71" s="137">
        <v>45680</v>
      </c>
      <c r="J71" s="137">
        <v>49834</v>
      </c>
      <c r="K71" s="121">
        <f ca="1">Schedule!K32</f>
        <v>53058.725872746552</v>
      </c>
      <c r="L71" s="120">
        <f ca="1">Schedule!L32</f>
        <v>56706.279890767924</v>
      </c>
      <c r="M71" s="120">
        <f ca="1">Schedule!M32</f>
        <v>61369.802479861588</v>
      </c>
      <c r="N71" s="120">
        <f ca="1">Schedule!N32</f>
        <v>66038.56269375376</v>
      </c>
      <c r="O71" s="122">
        <f ca="1">Schedule!O32</f>
        <v>71347.251192992451</v>
      </c>
      <c r="P71" s="2"/>
      <c r="Q71" s="2"/>
    </row>
    <row r="72" spans="2:17" x14ac:dyDescent="0.25">
      <c r="B72" s="116" t="s">
        <v>162</v>
      </c>
      <c r="C72" s="62"/>
      <c r="D72" s="62"/>
      <c r="E72" s="62"/>
      <c r="F72" s="62"/>
      <c r="G72" s="289">
        <v>54428</v>
      </c>
      <c r="H72" s="137">
        <v>64758</v>
      </c>
      <c r="I72" s="137">
        <v>74834</v>
      </c>
      <c r="J72" s="137">
        <v>83727</v>
      </c>
      <c r="K72" s="121">
        <f ca="1">Schedule!K39</f>
        <v>77552.004812199622</v>
      </c>
      <c r="L72" s="120">
        <f ca="1">Schedule!L39</f>
        <v>87203.097816493129</v>
      </c>
      <c r="M72" s="120">
        <f ca="1">Schedule!M39</f>
        <v>95337.251606274905</v>
      </c>
      <c r="N72" s="120">
        <f ca="1">Schedule!N39</f>
        <v>102022.91450896564</v>
      </c>
      <c r="O72" s="122">
        <f ca="1">Schedule!O39</f>
        <v>108107.93574838985</v>
      </c>
      <c r="P72" s="2"/>
      <c r="Q72" s="2"/>
    </row>
    <row r="73" spans="2:17" x14ac:dyDescent="0.25">
      <c r="B73" s="113" t="s">
        <v>163</v>
      </c>
      <c r="C73" s="65"/>
      <c r="D73" s="65"/>
      <c r="E73" s="65"/>
      <c r="F73" s="65"/>
      <c r="G73" s="290">
        <f t="shared" ref="G73:I73" si="27">SUM(G70:G72)</f>
        <v>217350</v>
      </c>
      <c r="H73" s="147">
        <f t="shared" si="27"/>
        <v>209017</v>
      </c>
      <c r="I73" s="147">
        <f t="shared" si="27"/>
        <v>211993</v>
      </c>
      <c r="J73" s="147">
        <f t="shared" ref="J73" si="28">SUM(J70:J72)</f>
        <v>211284</v>
      </c>
      <c r="K73" s="148">
        <f ca="1">SUM(K70:K72)</f>
        <v>208333.73068494617</v>
      </c>
      <c r="L73" s="147">
        <f t="shared" ref="L73:O73" ca="1" si="29">SUM(L70:L72)</f>
        <v>221632.37770726107</v>
      </c>
      <c r="M73" s="147">
        <f t="shared" ca="1" si="29"/>
        <v>234430.05408613652</v>
      </c>
      <c r="N73" s="147">
        <f t="shared" ca="1" si="29"/>
        <v>245784.47720271937</v>
      </c>
      <c r="O73" s="149">
        <f t="shared" ca="1" si="29"/>
        <v>257178.1869413823</v>
      </c>
      <c r="P73" s="2"/>
      <c r="Q73" s="2"/>
    </row>
    <row r="74" spans="2:17" x14ac:dyDescent="0.25">
      <c r="B74" s="113" t="s">
        <v>164</v>
      </c>
      <c r="C74" s="65"/>
      <c r="D74" s="65"/>
      <c r="E74" s="65"/>
      <c r="F74" s="65"/>
      <c r="G74" s="290">
        <f t="shared" ref="G74:I74" si="30">G73+G67</f>
        <v>352755</v>
      </c>
      <c r="H74" s="147">
        <f t="shared" si="30"/>
        <v>352583</v>
      </c>
      <c r="I74" s="147">
        <f t="shared" si="30"/>
        <v>364980</v>
      </c>
      <c r="J74" s="147">
        <f t="shared" ref="J74" si="31">J73+J67</f>
        <v>359241</v>
      </c>
      <c r="K74" s="148">
        <f ca="1">SUM(K67,K73)</f>
        <v>376816.92259199673</v>
      </c>
      <c r="L74" s="147">
        <f t="shared" ref="L74:O74" ca="1" si="32">SUM(L67,L73)</f>
        <v>386307.97753175755</v>
      </c>
      <c r="M74" s="147">
        <f t="shared" ca="1" si="32"/>
        <v>402607.43029371114</v>
      </c>
      <c r="N74" s="147">
        <f t="shared" ca="1" si="32"/>
        <v>423032.7460111148</v>
      </c>
      <c r="O74" s="149">
        <f t="shared" ca="1" si="32"/>
        <v>447435.8871702007</v>
      </c>
      <c r="P74" s="2"/>
      <c r="Q74" s="2"/>
    </row>
    <row r="75" spans="2:17" x14ac:dyDescent="0.25">
      <c r="B75" s="114"/>
      <c r="C75" s="62"/>
      <c r="D75" s="62"/>
      <c r="E75" s="62"/>
      <c r="F75" s="62"/>
      <c r="G75" s="289"/>
      <c r="H75" s="137"/>
      <c r="I75" s="137"/>
      <c r="J75" s="137"/>
      <c r="K75" s="121"/>
      <c r="L75" s="120"/>
      <c r="M75" s="120"/>
      <c r="N75" s="120"/>
      <c r="O75" s="122"/>
      <c r="P75" s="2"/>
      <c r="Q75" s="2"/>
    </row>
    <row r="76" spans="2:17" x14ac:dyDescent="0.25">
      <c r="B76" s="113" t="s">
        <v>165</v>
      </c>
      <c r="C76" s="62"/>
      <c r="D76" s="62"/>
      <c r="E76" s="62"/>
      <c r="F76" s="62"/>
      <c r="G76" s="289"/>
      <c r="H76" s="137"/>
      <c r="I76" s="137"/>
      <c r="J76" s="137"/>
      <c r="K76" s="121"/>
      <c r="L76" s="120"/>
      <c r="M76" s="120"/>
      <c r="N76" s="120"/>
      <c r="O76" s="122"/>
      <c r="P76" s="2"/>
      <c r="Q76" s="2"/>
    </row>
    <row r="77" spans="2:17" x14ac:dyDescent="0.25">
      <c r="B77" s="113" t="s">
        <v>166</v>
      </c>
      <c r="C77" s="62"/>
      <c r="D77" s="62"/>
      <c r="E77" s="62"/>
      <c r="F77" s="62"/>
      <c r="G77" s="289"/>
      <c r="H77" s="137"/>
      <c r="I77" s="137"/>
      <c r="J77" s="137"/>
      <c r="K77" s="121"/>
      <c r="L77" s="120"/>
      <c r="M77" s="120"/>
      <c r="N77" s="120"/>
      <c r="O77" s="122"/>
      <c r="P77" s="2"/>
      <c r="Q77" s="2"/>
    </row>
    <row r="78" spans="2:17" x14ac:dyDescent="0.25">
      <c r="B78" s="116" t="s">
        <v>167</v>
      </c>
      <c r="C78" s="62"/>
      <c r="D78" s="62"/>
      <c r="E78" s="62"/>
      <c r="F78" s="62"/>
      <c r="G78" s="289">
        <v>64115</v>
      </c>
      <c r="H78" s="137">
        <v>62611</v>
      </c>
      <c r="I78" s="137">
        <v>68960</v>
      </c>
      <c r="J78" s="137">
        <v>69860</v>
      </c>
      <c r="K78" s="121">
        <f ca="1">Schedule!K51</f>
        <v>73518.817591600295</v>
      </c>
      <c r="L78" s="120">
        <f ca="1">Schedule!L51</f>
        <v>76349.741932372184</v>
      </c>
      <c r="M78" s="120">
        <f ca="1">Schedule!M51</f>
        <v>78420.108165198675</v>
      </c>
      <c r="N78" s="120">
        <f ca="1">Schedule!N51</f>
        <v>79695.918900192584</v>
      </c>
      <c r="O78" s="122">
        <f ca="1">Schedule!O51</f>
        <v>79545.76260905157</v>
      </c>
      <c r="P78" s="2"/>
      <c r="Q78" s="2"/>
    </row>
    <row r="79" spans="2:17" x14ac:dyDescent="0.25">
      <c r="B79" s="116" t="s">
        <v>168</v>
      </c>
      <c r="C79" s="62"/>
      <c r="D79" s="62"/>
      <c r="E79" s="62"/>
      <c r="F79" s="62"/>
      <c r="G79" s="289">
        <v>60845</v>
      </c>
      <c r="H79" s="137">
        <v>58829</v>
      </c>
      <c r="I79" s="137">
        <v>78304</v>
      </c>
      <c r="J79" s="137">
        <v>66387</v>
      </c>
      <c r="K79" s="121">
        <f ca="1">Schedule!K52</f>
        <v>69863.92418341781</v>
      </c>
      <c r="L79" s="120">
        <f ca="1">Schedule!L52</f>
        <v>72554.112763589932</v>
      </c>
      <c r="M79" s="120">
        <f ca="1">Schedule!M52</f>
        <v>74521.553403421771</v>
      </c>
      <c r="N79" s="120">
        <f ca="1">Schedule!N52</f>
        <v>75733.938849514525</v>
      </c>
      <c r="O79" s="122">
        <f ca="1">Schedule!O52</f>
        <v>75591.247385157549</v>
      </c>
      <c r="P79" s="2"/>
      <c r="Q79" s="2"/>
    </row>
    <row r="80" spans="2:17" x14ac:dyDescent="0.25">
      <c r="B80" s="116" t="s">
        <v>169</v>
      </c>
      <c r="C80" s="62"/>
      <c r="D80" s="62"/>
      <c r="E80" s="62"/>
      <c r="F80" s="62"/>
      <c r="G80" s="289">
        <v>7912</v>
      </c>
      <c r="H80" s="137">
        <v>8061</v>
      </c>
      <c r="I80" s="137">
        <v>8249</v>
      </c>
      <c r="J80" s="137">
        <v>9055</v>
      </c>
      <c r="K80" s="121">
        <f ca="1">Schedule!K53</f>
        <v>9306.694792761642</v>
      </c>
      <c r="L80" s="120">
        <f ca="1">Schedule!L53</f>
        <v>10050.369739892514</v>
      </c>
      <c r="M80" s="120">
        <f ca="1">Schedule!M53</f>
        <v>10790.104798010419</v>
      </c>
      <c r="N80" s="120">
        <f ca="1">Schedule!N53</f>
        <v>11623.709757308781</v>
      </c>
      <c r="O80" s="122">
        <f ca="1">Schedule!O53</f>
        <v>12488.386690748071</v>
      </c>
      <c r="P80" s="2"/>
      <c r="Q80" s="2"/>
    </row>
    <row r="81" spans="2:17" x14ac:dyDescent="0.25">
      <c r="B81" s="116" t="s">
        <v>170</v>
      </c>
      <c r="C81" s="62"/>
      <c r="D81" s="62"/>
      <c r="E81" s="62"/>
      <c r="F81" s="62"/>
      <c r="G81" s="289">
        <v>9982</v>
      </c>
      <c r="H81" s="137">
        <v>5985</v>
      </c>
      <c r="I81" s="137">
        <v>9967</v>
      </c>
      <c r="J81" s="137">
        <v>7979</v>
      </c>
      <c r="K81" s="121">
        <f ca="1">Schedule!K102</f>
        <v>8000</v>
      </c>
      <c r="L81" s="120">
        <f ca="1">Schedule!L102</f>
        <v>8000</v>
      </c>
      <c r="M81" s="120">
        <f ca="1">Schedule!M102</f>
        <v>8000</v>
      </c>
      <c r="N81" s="120">
        <f ca="1">Schedule!N102</f>
        <v>8000</v>
      </c>
      <c r="O81" s="122">
        <f ca="1">Schedule!O102</f>
        <v>8000</v>
      </c>
      <c r="P81" s="2"/>
      <c r="Q81" s="2"/>
    </row>
    <row r="82" spans="2:17" x14ac:dyDescent="0.25">
      <c r="B82" s="116" t="s">
        <v>171</v>
      </c>
      <c r="C82" s="62"/>
      <c r="D82" s="62"/>
      <c r="E82" s="62"/>
      <c r="F82" s="62"/>
      <c r="G82" s="289">
        <v>11128</v>
      </c>
      <c r="H82" s="137">
        <v>9822</v>
      </c>
      <c r="I82" s="137">
        <v>10912</v>
      </c>
      <c r="J82" s="137">
        <v>12350</v>
      </c>
      <c r="K82" s="121">
        <f>J82</f>
        <v>12350</v>
      </c>
      <c r="L82" s="120">
        <f t="shared" ref="L82:O82" si="33">K82</f>
        <v>12350</v>
      </c>
      <c r="M82" s="120">
        <f t="shared" si="33"/>
        <v>12350</v>
      </c>
      <c r="N82" s="120">
        <f t="shared" si="33"/>
        <v>12350</v>
      </c>
      <c r="O82" s="122">
        <f t="shared" si="33"/>
        <v>12350</v>
      </c>
      <c r="P82" s="2"/>
      <c r="Q82" s="2"/>
    </row>
    <row r="83" spans="2:17" x14ac:dyDescent="0.25">
      <c r="B83" s="113" t="s">
        <v>172</v>
      </c>
      <c r="C83" s="65"/>
      <c r="D83" s="65"/>
      <c r="E83" s="65"/>
      <c r="F83" s="65"/>
      <c r="G83" s="290">
        <f t="shared" ref="G83:I83" si="34">SUM(G78:G82)</f>
        <v>153982</v>
      </c>
      <c r="H83" s="147">
        <f t="shared" si="34"/>
        <v>145308</v>
      </c>
      <c r="I83" s="147">
        <f t="shared" si="34"/>
        <v>176392</v>
      </c>
      <c r="J83" s="147">
        <f t="shared" ref="J83" si="35">SUM(J78:J82)</f>
        <v>165631</v>
      </c>
      <c r="K83" s="148">
        <f ca="1">SUM(K78:K82)</f>
        <v>173039.43656777975</v>
      </c>
      <c r="L83" s="147">
        <f t="shared" ref="L83:O83" ca="1" si="36">SUM(L78:L82)</f>
        <v>179304.22443585462</v>
      </c>
      <c r="M83" s="147">
        <f t="shared" ca="1" si="36"/>
        <v>184081.76636663085</v>
      </c>
      <c r="N83" s="147">
        <f t="shared" ca="1" si="36"/>
        <v>187403.56750701589</v>
      </c>
      <c r="O83" s="149">
        <f t="shared" ca="1" si="36"/>
        <v>187975.39668495717</v>
      </c>
      <c r="P83" s="2"/>
      <c r="Q83" s="2"/>
    </row>
    <row r="84" spans="2:17" x14ac:dyDescent="0.25">
      <c r="B84" s="114"/>
      <c r="C84" s="62"/>
      <c r="D84" s="62"/>
      <c r="E84" s="62"/>
      <c r="F84" s="62"/>
      <c r="G84" s="289"/>
      <c r="H84" s="137"/>
      <c r="I84" s="137"/>
      <c r="J84" s="137"/>
      <c r="K84" s="121"/>
      <c r="L84" s="120"/>
      <c r="M84" s="120"/>
      <c r="N84" s="120"/>
      <c r="O84" s="122"/>
      <c r="P84" s="2"/>
      <c r="Q84" s="2"/>
    </row>
    <row r="85" spans="2:17" x14ac:dyDescent="0.25">
      <c r="B85" s="113" t="s">
        <v>173</v>
      </c>
      <c r="C85" s="62"/>
      <c r="D85" s="62"/>
      <c r="E85" s="62"/>
      <c r="F85" s="62"/>
      <c r="G85" s="289"/>
      <c r="H85" s="137"/>
      <c r="I85" s="137"/>
      <c r="J85" s="137"/>
      <c r="K85" s="121"/>
      <c r="L85" s="120"/>
      <c r="M85" s="120"/>
      <c r="N85" s="120"/>
      <c r="O85" s="122"/>
      <c r="P85" s="2"/>
      <c r="Q85" s="2"/>
    </row>
    <row r="86" spans="2:17" x14ac:dyDescent="0.25">
      <c r="B86" s="116" t="s">
        <v>171</v>
      </c>
      <c r="C86" s="62"/>
      <c r="D86" s="62"/>
      <c r="E86" s="62"/>
      <c r="F86" s="62"/>
      <c r="G86" s="289">
        <v>98959</v>
      </c>
      <c r="H86" s="137">
        <v>95281</v>
      </c>
      <c r="I86" s="137">
        <v>85750</v>
      </c>
      <c r="J86" s="137">
        <v>78328</v>
      </c>
      <c r="K86" s="121">
        <f>Schedule!K85</f>
        <v>65935</v>
      </c>
      <c r="L86" s="120">
        <f>Schedule!L85</f>
        <v>55857</v>
      </c>
      <c r="M86" s="120">
        <f>Schedule!M85</f>
        <v>46557</v>
      </c>
      <c r="N86" s="120">
        <f>Schedule!N85</f>
        <v>41322</v>
      </c>
      <c r="O86" s="122">
        <f>Schedule!O85</f>
        <v>36350</v>
      </c>
      <c r="P86" s="2"/>
      <c r="Q86" s="2"/>
    </row>
    <row r="87" spans="2:17" x14ac:dyDescent="0.25">
      <c r="B87" s="116" t="s">
        <v>174</v>
      </c>
      <c r="C87" s="62"/>
      <c r="D87" s="62"/>
      <c r="E87" s="62"/>
      <c r="F87" s="62"/>
      <c r="G87" s="289">
        <v>49142</v>
      </c>
      <c r="H87" s="137">
        <v>49848</v>
      </c>
      <c r="I87" s="137">
        <v>45888</v>
      </c>
      <c r="J87" s="137">
        <v>41549</v>
      </c>
      <c r="K87" s="121">
        <f ca="1">Schedule!K72</f>
        <v>52311.286334628188</v>
      </c>
      <c r="L87" s="120">
        <f ca="1">Schedule!L72</f>
        <v>55088.929071645456</v>
      </c>
      <c r="M87" s="120">
        <f ca="1">Schedule!M72</f>
        <v>57269.247356991342</v>
      </c>
      <c r="N87" s="120">
        <f ca="1">Schedule!N72</f>
        <v>60959.201769900552</v>
      </c>
      <c r="O87" s="122">
        <f ca="1">Schedule!O72</f>
        <v>67596.08283947302</v>
      </c>
      <c r="P87" s="2"/>
      <c r="Q87" s="2"/>
    </row>
    <row r="88" spans="2:17" x14ac:dyDescent="0.25">
      <c r="B88" s="113" t="s">
        <v>175</v>
      </c>
      <c r="C88" s="65"/>
      <c r="D88" s="65"/>
      <c r="E88" s="65"/>
      <c r="F88" s="65"/>
      <c r="G88" s="291">
        <f t="shared" ref="G88:I88" si="37">SUM(G86:G87)</f>
        <v>148101</v>
      </c>
      <c r="H88" s="150">
        <f t="shared" si="37"/>
        <v>145129</v>
      </c>
      <c r="I88" s="150">
        <f t="shared" si="37"/>
        <v>131638</v>
      </c>
      <c r="J88" s="150">
        <f t="shared" ref="J88" si="38">SUM(J86:J87)</f>
        <v>119877</v>
      </c>
      <c r="K88" s="151">
        <f ca="1">SUM(K86:K87)</f>
        <v>118246.28633462818</v>
      </c>
      <c r="L88" s="150">
        <f t="shared" ref="L88:O88" ca="1" si="39">SUM(L86:L87)</f>
        <v>110945.92907164546</v>
      </c>
      <c r="M88" s="150">
        <f t="shared" ca="1" si="39"/>
        <v>103826.24735699134</v>
      </c>
      <c r="N88" s="150">
        <f t="shared" ca="1" si="39"/>
        <v>102281.20176990055</v>
      </c>
      <c r="O88" s="152">
        <f t="shared" ca="1" si="39"/>
        <v>103946.08283947302</v>
      </c>
      <c r="P88" s="2"/>
      <c r="Q88" s="2"/>
    </row>
    <row r="89" spans="2:17" x14ac:dyDescent="0.25">
      <c r="B89" s="113" t="s">
        <v>176</v>
      </c>
      <c r="C89" s="65"/>
      <c r="D89" s="65"/>
      <c r="E89" s="65"/>
      <c r="F89" s="65"/>
      <c r="G89" s="290">
        <f t="shared" ref="G89:I89" si="40">G83+G88</f>
        <v>302083</v>
      </c>
      <c r="H89" s="147">
        <f t="shared" si="40"/>
        <v>290437</v>
      </c>
      <c r="I89" s="147">
        <f t="shared" si="40"/>
        <v>308030</v>
      </c>
      <c r="J89" s="147">
        <f t="shared" ref="J89" si="41">J83+J88</f>
        <v>285508</v>
      </c>
      <c r="K89" s="148">
        <f ca="1">SUM(K83,K88)</f>
        <v>291285.72290240793</v>
      </c>
      <c r="L89" s="147">
        <f t="shared" ref="L89:O89" ca="1" si="42">SUM(L83,L88)</f>
        <v>290250.15350750007</v>
      </c>
      <c r="M89" s="147">
        <f t="shared" ca="1" si="42"/>
        <v>287908.01372362219</v>
      </c>
      <c r="N89" s="147">
        <f t="shared" ca="1" si="42"/>
        <v>289684.76927691646</v>
      </c>
      <c r="O89" s="149">
        <f t="shared" ca="1" si="42"/>
        <v>291921.47952443018</v>
      </c>
      <c r="P89" s="2"/>
      <c r="Q89" s="2"/>
    </row>
    <row r="90" spans="2:17" x14ac:dyDescent="0.25">
      <c r="B90" s="114"/>
      <c r="C90" s="62"/>
      <c r="D90" s="62"/>
      <c r="E90" s="62"/>
      <c r="F90" s="62"/>
      <c r="G90" s="289"/>
      <c r="H90" s="137"/>
      <c r="I90" s="137"/>
      <c r="J90" s="137"/>
      <c r="K90" s="121"/>
      <c r="L90" s="120"/>
      <c r="M90" s="120"/>
      <c r="N90" s="120"/>
      <c r="O90" s="122"/>
      <c r="P90" s="2"/>
      <c r="Q90" s="2"/>
    </row>
    <row r="91" spans="2:17" x14ac:dyDescent="0.25">
      <c r="B91" s="113" t="s">
        <v>177</v>
      </c>
      <c r="C91" s="62"/>
      <c r="D91" s="62"/>
      <c r="E91" s="62"/>
      <c r="F91" s="62"/>
      <c r="G91" s="289"/>
      <c r="H91" s="137"/>
      <c r="I91" s="137"/>
      <c r="J91" s="137"/>
      <c r="K91" s="121"/>
      <c r="L91" s="120"/>
      <c r="M91" s="120"/>
      <c r="N91" s="120"/>
      <c r="O91" s="122"/>
      <c r="P91" s="2"/>
      <c r="Q91" s="2"/>
    </row>
    <row r="92" spans="2:17" x14ac:dyDescent="0.25">
      <c r="B92" s="116" t="s">
        <v>178</v>
      </c>
      <c r="C92" s="62"/>
      <c r="D92" s="62"/>
      <c r="E92" s="62"/>
      <c r="F92" s="62"/>
      <c r="G92" s="289">
        <v>64849</v>
      </c>
      <c r="H92" s="137">
        <v>73812</v>
      </c>
      <c r="I92" s="137">
        <v>83276</v>
      </c>
      <c r="J92" s="137">
        <v>93568</v>
      </c>
      <c r="K92" s="121">
        <f ca="1">Schedule!K117</f>
        <v>106732.64283723975</v>
      </c>
      <c r="L92" s="120">
        <f ca="1">Schedule!L117</f>
        <v>121019.46108730338</v>
      </c>
      <c r="M92" s="120">
        <f ca="1">Schedule!M117</f>
        <v>136370.17255061487</v>
      </c>
      <c r="N92" s="120">
        <f ca="1">Schedule!N117</f>
        <v>152754.64626225186</v>
      </c>
      <c r="O92" s="122">
        <f ca="1">Schedule!O117</f>
        <v>170519.72297603576</v>
      </c>
      <c r="P92" s="2"/>
      <c r="Q92" s="2"/>
    </row>
    <row r="93" spans="2:17" x14ac:dyDescent="0.25">
      <c r="B93" s="116" t="s">
        <v>179</v>
      </c>
      <c r="C93" s="62"/>
      <c r="D93" s="62"/>
      <c r="E93" s="62"/>
      <c r="F93" s="62"/>
      <c r="G93" s="289">
        <v>-3068</v>
      </c>
      <c r="H93" s="137">
        <v>-214</v>
      </c>
      <c r="I93" s="137">
        <v>-19154</v>
      </c>
      <c r="J93" s="137">
        <v>-14264</v>
      </c>
      <c r="K93" s="121">
        <f ca="1">Schedule!K113</f>
        <v>-15630.443147650934</v>
      </c>
      <c r="L93" s="120">
        <f ca="1">Schedule!L113</f>
        <v>-19390.637063046001</v>
      </c>
      <c r="M93" s="120">
        <f ca="1">Schedule!M113</f>
        <v>-16099.755980525981</v>
      </c>
      <c r="N93" s="120">
        <f ca="1">Schedule!N113</f>
        <v>-13835.66952805352</v>
      </c>
      <c r="O93" s="122">
        <f ca="1">Schedule!O113</f>
        <v>-9434.3153302652936</v>
      </c>
      <c r="P93" s="2"/>
      <c r="Q93" s="2"/>
    </row>
    <row r="94" spans="2:17" x14ac:dyDescent="0.25">
      <c r="B94" s="116" t="s">
        <v>180</v>
      </c>
      <c r="C94" s="62"/>
      <c r="D94" s="62"/>
      <c r="E94" s="62"/>
      <c r="F94" s="62"/>
      <c r="G94" s="289">
        <v>-11109</v>
      </c>
      <c r="H94" s="137">
        <v>-11452</v>
      </c>
      <c r="I94" s="137">
        <v>-7172</v>
      </c>
      <c r="J94" s="137">
        <v>-5571</v>
      </c>
      <c r="K94" s="121">
        <f>J94</f>
        <v>-5571</v>
      </c>
      <c r="L94" s="120">
        <f t="shared" ref="L94:O94" si="43">K94</f>
        <v>-5571</v>
      </c>
      <c r="M94" s="120">
        <f t="shared" si="43"/>
        <v>-5571</v>
      </c>
      <c r="N94" s="120">
        <f t="shared" si="43"/>
        <v>-5571</v>
      </c>
      <c r="O94" s="122">
        <f t="shared" si="43"/>
        <v>-5571</v>
      </c>
      <c r="P94" s="2"/>
      <c r="Q94" s="2"/>
    </row>
    <row r="95" spans="2:17" x14ac:dyDescent="0.25">
      <c r="B95" s="113" t="s">
        <v>181</v>
      </c>
      <c r="C95" s="65"/>
      <c r="D95" s="65"/>
      <c r="E95" s="65"/>
      <c r="F95" s="65"/>
      <c r="G95" s="290">
        <f t="shared" ref="G95:I95" si="44">SUM(G92:G94)</f>
        <v>50672</v>
      </c>
      <c r="H95" s="147">
        <f t="shared" si="44"/>
        <v>62146</v>
      </c>
      <c r="I95" s="147">
        <f t="shared" si="44"/>
        <v>56950</v>
      </c>
      <c r="J95" s="147">
        <f>SUM(J92:J94)</f>
        <v>73733</v>
      </c>
      <c r="K95" s="148">
        <f ca="1">SUM(K92:K94)</f>
        <v>85531.199689588815</v>
      </c>
      <c r="L95" s="147">
        <f t="shared" ref="L95:O95" ca="1" si="45">SUM(L92:L94)</f>
        <v>96057.824024257381</v>
      </c>
      <c r="M95" s="147">
        <f t="shared" ca="1" si="45"/>
        <v>114699.41657008888</v>
      </c>
      <c r="N95" s="147">
        <f t="shared" ca="1" si="45"/>
        <v>133347.97673419834</v>
      </c>
      <c r="O95" s="149">
        <f t="shared" ca="1" si="45"/>
        <v>155514.40764577047</v>
      </c>
      <c r="P95" s="2"/>
      <c r="Q95" s="2"/>
    </row>
    <row r="96" spans="2:17" x14ac:dyDescent="0.25">
      <c r="B96" s="115" t="s">
        <v>182</v>
      </c>
      <c r="C96" s="112"/>
      <c r="D96" s="112"/>
      <c r="E96" s="112"/>
      <c r="F96" s="112"/>
      <c r="G96" s="291">
        <f t="shared" ref="G96:I96" si="46">G95+G89</f>
        <v>352755</v>
      </c>
      <c r="H96" s="150">
        <f t="shared" si="46"/>
        <v>352583</v>
      </c>
      <c r="I96" s="150">
        <f t="shared" si="46"/>
        <v>364980</v>
      </c>
      <c r="J96" s="150">
        <f t="shared" ref="J96" si="47">J95+J89</f>
        <v>359241</v>
      </c>
      <c r="K96" s="151">
        <f ca="1">SUM(K89,K95)</f>
        <v>376816.92259199673</v>
      </c>
      <c r="L96" s="150">
        <f t="shared" ref="L96:O96" ca="1" si="48">SUM(L89,L95)</f>
        <v>386307.97753175744</v>
      </c>
      <c r="M96" s="150">
        <f t="shared" ca="1" si="48"/>
        <v>402607.43029371108</v>
      </c>
      <c r="N96" s="150">
        <f t="shared" ca="1" si="48"/>
        <v>423032.7460111148</v>
      </c>
      <c r="O96" s="152">
        <f t="shared" ca="1" si="48"/>
        <v>447435.88717020064</v>
      </c>
      <c r="P96" s="2"/>
      <c r="Q96" s="2"/>
    </row>
    <row r="97" spans="1:17" x14ac:dyDescent="0.25">
      <c r="B97" s="17"/>
      <c r="G97" s="21"/>
      <c r="H97" s="21"/>
      <c r="I97" s="21"/>
      <c r="J97" s="21"/>
      <c r="K97" s="21"/>
      <c r="L97" s="21"/>
      <c r="M97" s="21"/>
      <c r="N97" s="21"/>
      <c r="O97" s="21"/>
      <c r="P97" s="2"/>
      <c r="Q97" s="2"/>
    </row>
    <row r="98" spans="1:17" x14ac:dyDescent="0.25">
      <c r="B98" s="97" t="s">
        <v>183</v>
      </c>
      <c r="G98" s="98" t="str">
        <f>IF(G96=G74,"TRUE",G74-G96)</f>
        <v>TRUE</v>
      </c>
      <c r="H98" s="98" t="str">
        <f t="shared" ref="H98:J98" si="49">IF(H96=H74,"TRUE",H74-H96)</f>
        <v>TRUE</v>
      </c>
      <c r="I98" s="98" t="str">
        <f t="shared" si="49"/>
        <v>TRUE</v>
      </c>
      <c r="J98" s="98" t="str">
        <f t="shared" si="49"/>
        <v>TRUE</v>
      </c>
      <c r="K98" s="98" t="str">
        <f ca="1">IF(K96=K74,"TRUE",K74-K96)</f>
        <v>TRUE</v>
      </c>
      <c r="L98" s="98">
        <f ca="1">IF(L96=L74,"TRUE",L74-L96)</f>
        <v>1.1641532182693481E-10</v>
      </c>
      <c r="M98" s="98" t="str">
        <f ca="1">IF(M96=M74,"TRUE",M74-M96)</f>
        <v>TRUE</v>
      </c>
      <c r="N98" s="98" t="str">
        <f ca="1">IF(N96=N74,"TRUE",N74-N96)</f>
        <v>TRUE</v>
      </c>
      <c r="O98" s="98" t="str">
        <f ca="1">IF(O96=O74,"TRUE",O74-O96)</f>
        <v>TRUE</v>
      </c>
      <c r="P98" s="2"/>
      <c r="Q98" s="2"/>
    </row>
    <row r="99" spans="1:17" x14ac:dyDescent="0.25">
      <c r="P99" s="2"/>
      <c r="Q99" s="2"/>
    </row>
    <row r="100" spans="1:17" x14ac:dyDescent="0.25">
      <c r="P100" s="2"/>
      <c r="Q100" s="2"/>
    </row>
    <row r="101" spans="1:17" x14ac:dyDescent="0.25">
      <c r="A101" s="1" t="s">
        <v>32</v>
      </c>
      <c r="B101" s="100" t="s">
        <v>34</v>
      </c>
      <c r="C101" s="101"/>
      <c r="D101" s="101"/>
      <c r="E101" s="101"/>
      <c r="F101" s="101"/>
      <c r="G101" s="292"/>
      <c r="H101" s="293"/>
      <c r="I101" s="293"/>
      <c r="J101" s="293"/>
      <c r="K101" s="294">
        <v>46326</v>
      </c>
      <c r="L101" s="295">
        <v>46691</v>
      </c>
      <c r="M101" s="295">
        <v>47057</v>
      </c>
      <c r="N101" s="295">
        <v>47422</v>
      </c>
      <c r="O101" s="296">
        <v>47787</v>
      </c>
      <c r="P101" s="2"/>
      <c r="Q101" s="2"/>
    </row>
    <row r="102" spans="1:17" x14ac:dyDescent="0.25">
      <c r="B102" s="61"/>
      <c r="G102" s="239"/>
      <c r="H102" s="2"/>
      <c r="I102" s="2"/>
      <c r="J102" s="2"/>
      <c r="K102" s="239"/>
      <c r="L102" s="2"/>
      <c r="M102" s="2"/>
      <c r="N102" s="2"/>
      <c r="O102" s="133"/>
      <c r="P102" s="2"/>
      <c r="Q102" s="2"/>
    </row>
    <row r="103" spans="1:17" x14ac:dyDescent="0.25">
      <c r="B103" s="118" t="s">
        <v>243</v>
      </c>
      <c r="G103" s="238"/>
      <c r="K103" s="239"/>
      <c r="L103" s="2"/>
      <c r="M103" s="2"/>
      <c r="N103" s="2"/>
      <c r="O103" s="133"/>
      <c r="P103" s="2"/>
      <c r="Q103" s="2"/>
    </row>
    <row r="104" spans="1:17" x14ac:dyDescent="0.25">
      <c r="B104" s="107" t="s">
        <v>244</v>
      </c>
      <c r="G104" s="299"/>
      <c r="H104" s="300"/>
      <c r="I104" s="300"/>
      <c r="J104" s="300"/>
      <c r="K104" s="121">
        <f ca="1">K43</f>
        <v>117784.75834398926</v>
      </c>
      <c r="L104" s="120">
        <f t="shared" ref="L104:O104" ca="1" si="50">L43</f>
        <v>131820.76794920507</v>
      </c>
      <c r="M104" s="120">
        <f t="shared" ca="1" si="50"/>
        <v>150935.15992716482</v>
      </c>
      <c r="N104" s="120">
        <f t="shared" ca="1" si="50"/>
        <v>175614.7698910351</v>
      </c>
      <c r="O104" s="122">
        <f t="shared" ca="1" si="50"/>
        <v>209022.36234189759</v>
      </c>
      <c r="P104" s="2"/>
      <c r="Q104" s="2"/>
    </row>
    <row r="105" spans="1:17" x14ac:dyDescent="0.25">
      <c r="B105" s="109" t="s">
        <v>245</v>
      </c>
      <c r="G105" s="299"/>
      <c r="H105" s="300"/>
      <c r="I105" s="300"/>
      <c r="J105" s="300"/>
      <c r="K105" s="121"/>
      <c r="L105" s="120"/>
      <c r="M105" s="120"/>
      <c r="N105" s="120"/>
      <c r="O105" s="122"/>
      <c r="P105" s="2"/>
      <c r="Q105" s="2"/>
    </row>
    <row r="106" spans="1:17" x14ac:dyDescent="0.25">
      <c r="B106" s="107" t="s">
        <v>267</v>
      </c>
      <c r="G106" s="299"/>
      <c r="H106" s="300"/>
      <c r="I106" s="300"/>
      <c r="J106" s="300"/>
      <c r="K106" s="121">
        <f ca="1">Schedule!K18</f>
        <v>13546.399524787008</v>
      </c>
      <c r="L106" s="120">
        <f ca="1">Schedule!L18</f>
        <v>14880.300728244845</v>
      </c>
      <c r="M106" s="120">
        <f ca="1">Schedule!M18</f>
        <v>15799.33703194464</v>
      </c>
      <c r="N106" s="120">
        <f ca="1">Schedule!N18</f>
        <v>17860.861852755199</v>
      </c>
      <c r="O106" s="122">
        <f ca="1">Schedule!O18</f>
        <v>19509.955072566609</v>
      </c>
      <c r="P106" s="2"/>
      <c r="Q106" s="2"/>
    </row>
    <row r="107" spans="1:17" x14ac:dyDescent="0.25">
      <c r="B107" s="107" t="s">
        <v>268</v>
      </c>
      <c r="G107" s="299"/>
      <c r="H107" s="300"/>
      <c r="I107" s="300"/>
      <c r="J107" s="300"/>
      <c r="K107" s="121">
        <f ca="1">Assumptions!K19</f>
        <v>13164.642837239749</v>
      </c>
      <c r="L107" s="120">
        <f ca="1">Assumptions!L19</f>
        <v>14286.818250063625</v>
      </c>
      <c r="M107" s="120">
        <f ca="1">Assumptions!M19</f>
        <v>15350.711463311472</v>
      </c>
      <c r="N107" s="120">
        <f ca="1">Assumptions!N19</f>
        <v>16384.473711636987</v>
      </c>
      <c r="O107" s="122">
        <f ca="1">Assumptions!O19</f>
        <v>17765.076713783903</v>
      </c>
      <c r="P107" s="2"/>
      <c r="Q107" s="2"/>
    </row>
    <row r="108" spans="1:17" x14ac:dyDescent="0.25">
      <c r="B108" s="107" t="s">
        <v>294</v>
      </c>
      <c r="G108" s="299"/>
      <c r="H108" s="300"/>
      <c r="I108" s="300"/>
      <c r="J108" s="300"/>
      <c r="K108" s="121">
        <f ca="1">-K39</f>
        <v>286.22359048902769</v>
      </c>
      <c r="L108" s="120">
        <f t="shared" ref="L108:O108" ca="1" si="51">-L39</f>
        <v>286.3634456844872</v>
      </c>
      <c r="M108" s="120">
        <f t="shared" ca="1" si="51"/>
        <v>182.67603793409668</v>
      </c>
      <c r="N108" s="120">
        <f t="shared" ca="1" si="51"/>
        <v>380.37365095828915</v>
      </c>
      <c r="O108" s="122">
        <f t="shared" ca="1" si="51"/>
        <v>413.16041952363724</v>
      </c>
      <c r="P108" s="2"/>
      <c r="Q108" s="2"/>
    </row>
    <row r="109" spans="1:17" x14ac:dyDescent="0.25">
      <c r="B109" s="107" t="s">
        <v>232</v>
      </c>
      <c r="G109" s="299"/>
      <c r="H109" s="300"/>
      <c r="I109" s="300"/>
      <c r="J109" s="300"/>
      <c r="K109" s="121">
        <f>-K38</f>
        <v>3162.1379999999999</v>
      </c>
      <c r="L109" s="120">
        <f t="shared" ref="L109:O109" ca="1" si="52">-L38</f>
        <v>2656.3199999999997</v>
      </c>
      <c r="M109" s="120">
        <f t="shared" ca="1" si="52"/>
        <v>2220.3150000000001</v>
      </c>
      <c r="N109" s="120">
        <f t="shared" ca="1" si="52"/>
        <v>1893.2774999999999</v>
      </c>
      <c r="O109" s="122">
        <f t="shared" ca="1" si="52"/>
        <v>1663.62</v>
      </c>
      <c r="P109" s="2"/>
      <c r="Q109" s="2"/>
    </row>
    <row r="110" spans="1:17" x14ac:dyDescent="0.25">
      <c r="B110" s="109" t="s">
        <v>246</v>
      </c>
      <c r="G110" s="299"/>
      <c r="H110" s="300"/>
      <c r="I110" s="300"/>
      <c r="J110" s="300"/>
      <c r="K110" s="132"/>
      <c r="L110" s="2"/>
      <c r="M110" s="2"/>
      <c r="N110" s="2"/>
      <c r="O110" s="133"/>
      <c r="P110" s="2"/>
      <c r="Q110" s="2"/>
    </row>
    <row r="111" spans="1:17" x14ac:dyDescent="0.25">
      <c r="B111" s="110" t="s">
        <v>287</v>
      </c>
      <c r="G111" s="299"/>
      <c r="H111" s="300"/>
      <c r="I111" s="300"/>
      <c r="J111" s="300"/>
      <c r="K111" s="121">
        <f ca="1">SUM(J62:J66)-SUM(K62:K66)</f>
        <v>-6113.6031964552385</v>
      </c>
      <c r="L111" s="120">
        <f ca="1">SUM(K62:K66)-SUM(L62:L66)</f>
        <v>-6773.7959848946921</v>
      </c>
      <c r="M111" s="120">
        <f ca="1">SUM(L62:L66)-SUM(M62:M66)</f>
        <v>-7562.5218125360843</v>
      </c>
      <c r="N111" s="120">
        <f ca="1">SUM(M62:M66)-SUM(N62:N66)</f>
        <v>-8541.2041240232065</v>
      </c>
      <c r="O111" s="122">
        <f ca="1">SUM(N62:N66)-SUM(O62:O66)</f>
        <v>-9793.2329022774065</v>
      </c>
      <c r="P111" s="120"/>
      <c r="Q111" s="120"/>
    </row>
    <row r="112" spans="1:17" x14ac:dyDescent="0.25">
      <c r="B112" s="110" t="s">
        <v>288</v>
      </c>
      <c r="G112" s="299"/>
      <c r="H112" s="300"/>
      <c r="I112" s="300"/>
      <c r="J112" s="300"/>
      <c r="K112" s="121">
        <f ca="1">SUM(K78:K80)-SUM(J78:J80)</f>
        <v>7387.4365677797468</v>
      </c>
      <c r="L112" s="120">
        <f ca="1">SUM(L78:L80)-SUM(K78:K80)</f>
        <v>6264.787868074869</v>
      </c>
      <c r="M112" s="120">
        <f ca="1">SUM(M78:M80)-SUM(L78:L80)</f>
        <v>4777.5419307762349</v>
      </c>
      <c r="N112" s="120">
        <f ca="1">SUM(N78:N80)-SUM(M78:M80)</f>
        <v>3321.8011403850396</v>
      </c>
      <c r="O112" s="122">
        <f ca="1">SUM(O78:O80)-SUM(N78:N80)</f>
        <v>571.82917794128298</v>
      </c>
      <c r="P112" s="120"/>
      <c r="Q112" s="120"/>
    </row>
    <row r="113" spans="2:17" x14ac:dyDescent="0.25">
      <c r="B113" s="110" t="s">
        <v>289</v>
      </c>
      <c r="G113" s="299"/>
      <c r="H113" s="300"/>
      <c r="I113" s="300"/>
      <c r="J113" s="300"/>
      <c r="K113" s="121">
        <f ca="1">K87-J87</f>
        <v>10762.286334628188</v>
      </c>
      <c r="L113" s="120">
        <f ca="1">L87-K87</f>
        <v>2777.6427370172678</v>
      </c>
      <c r="M113" s="120">
        <f ca="1">M87-L87</f>
        <v>2180.3182853458857</v>
      </c>
      <c r="N113" s="120">
        <f ca="1">N87-M87</f>
        <v>3689.9544129092101</v>
      </c>
      <c r="O113" s="122">
        <f ca="1">O87-N87</f>
        <v>6636.8810695724678</v>
      </c>
      <c r="P113" s="120"/>
      <c r="Q113" s="120"/>
    </row>
    <row r="114" spans="2:17" x14ac:dyDescent="0.25">
      <c r="B114" s="109" t="s">
        <v>247</v>
      </c>
      <c r="G114" s="299"/>
      <c r="H114" s="300"/>
      <c r="I114" s="300"/>
      <c r="J114" s="300"/>
      <c r="K114" s="139">
        <f ca="1">SUM(K104:K113)</f>
        <v>159980.28200245777</v>
      </c>
      <c r="L114" s="138">
        <f ca="1">SUM(L104:L113)</f>
        <v>166199.20499339548</v>
      </c>
      <c r="M114" s="138">
        <f ca="1">SUM(M104:M113)</f>
        <v>183883.53786394105</v>
      </c>
      <c r="N114" s="138">
        <f ca="1">SUM(N104:N113)</f>
        <v>210604.30803565664</v>
      </c>
      <c r="O114" s="140">
        <f ca="1">SUM(O104:O113)</f>
        <v>245789.65189300806</v>
      </c>
      <c r="P114" s="120"/>
      <c r="Q114" s="2"/>
    </row>
    <row r="115" spans="2:17" x14ac:dyDescent="0.25">
      <c r="B115" s="107"/>
      <c r="G115" s="299"/>
      <c r="H115" s="300"/>
      <c r="I115" s="300"/>
      <c r="J115" s="300"/>
      <c r="K115" s="121"/>
      <c r="L115" s="120"/>
      <c r="M115" s="120"/>
      <c r="N115" s="120"/>
      <c r="O115" s="122"/>
      <c r="P115" s="2"/>
      <c r="Q115" s="2"/>
    </row>
    <row r="116" spans="2:17" x14ac:dyDescent="0.25">
      <c r="B116" s="118" t="s">
        <v>248</v>
      </c>
      <c r="G116" s="299"/>
      <c r="H116" s="300"/>
      <c r="I116" s="300"/>
      <c r="J116" s="300"/>
      <c r="K116" s="124"/>
      <c r="L116" s="123"/>
      <c r="M116" s="123"/>
      <c r="N116" s="123"/>
      <c r="O116" s="125"/>
      <c r="P116" s="2"/>
      <c r="Q116" s="2"/>
    </row>
    <row r="117" spans="2:17" x14ac:dyDescent="0.25">
      <c r="B117" s="107" t="s">
        <v>249</v>
      </c>
      <c r="G117" s="299"/>
      <c r="H117" s="300"/>
      <c r="I117" s="300"/>
      <c r="J117" s="300"/>
      <c r="K117" s="121">
        <f ca="1">-Schedule!K15</f>
        <v>-13303.265520000001</v>
      </c>
      <c r="L117" s="120">
        <f ca="1">-Schedule!L15</f>
        <v>-14683.751249324501</v>
      </c>
      <c r="M117" s="120">
        <f ca="1">-Schedule!M15</f>
        <v>-16237.318269178331</v>
      </c>
      <c r="N117" s="120">
        <f ca="1">-Schedule!N15</f>
        <v>-18002.498025374323</v>
      </c>
      <c r="O117" s="122">
        <f ca="1">-Schedule!O15</f>
        <v>-20033.864579169232</v>
      </c>
      <c r="P117" s="120"/>
      <c r="Q117" s="120"/>
    </row>
    <row r="118" spans="2:17" x14ac:dyDescent="0.25">
      <c r="B118" s="107" t="s">
        <v>277</v>
      </c>
      <c r="G118" s="299"/>
      <c r="H118" s="300"/>
      <c r="I118" s="300"/>
      <c r="J118" s="300"/>
      <c r="K118" s="121">
        <f ca="1">-Schedule!K37</f>
        <v>2707.1353102668158</v>
      </c>
      <c r="L118" s="120">
        <f ca="1">-Schedule!L37</f>
        <v>-13495.196501235223</v>
      </c>
      <c r="M118" s="120">
        <f ca="1">-Schedule!M37</f>
        <v>-12359.695141641749</v>
      </c>
      <c r="N118" s="120">
        <f ca="1">-Schedule!N37</f>
        <v>-11212.78694396378</v>
      </c>
      <c r="O118" s="122">
        <f ca="1">-Schedule!O37</f>
        <v>-10869.800232060268</v>
      </c>
      <c r="P118" s="120"/>
      <c r="Q118" s="120"/>
    </row>
    <row r="119" spans="2:17" x14ac:dyDescent="0.25">
      <c r="B119" s="107" t="s">
        <v>295</v>
      </c>
      <c r="G119" s="299"/>
      <c r="H119" s="300"/>
      <c r="I119" s="300"/>
      <c r="J119" s="300"/>
      <c r="K119" s="121">
        <f ca="1">K39</f>
        <v>-286.22359048902769</v>
      </c>
      <c r="L119" s="120">
        <f t="shared" ref="L119:O119" ca="1" si="53">L39</f>
        <v>-286.3634456844872</v>
      </c>
      <c r="M119" s="120">
        <f t="shared" ca="1" si="53"/>
        <v>-182.67603793409668</v>
      </c>
      <c r="N119" s="120">
        <f t="shared" ca="1" si="53"/>
        <v>-380.37365095828915</v>
      </c>
      <c r="O119" s="122">
        <f t="shared" ca="1" si="53"/>
        <v>-413.16041952363724</v>
      </c>
      <c r="P119" s="120"/>
      <c r="Q119" s="120"/>
    </row>
    <row r="120" spans="2:17" x14ac:dyDescent="0.25">
      <c r="B120" s="109" t="s">
        <v>250</v>
      </c>
      <c r="G120" s="299"/>
      <c r="H120" s="300"/>
      <c r="I120" s="300"/>
      <c r="J120" s="300"/>
      <c r="K120" s="139">
        <f ca="1">SUM(K117:K119)</f>
        <v>-10882.353800222212</v>
      </c>
      <c r="L120" s="138">
        <f t="shared" ref="L120:O120" ca="1" si="54">SUM(L117:L119)</f>
        <v>-28465.311196244213</v>
      </c>
      <c r="M120" s="138">
        <f t="shared" ca="1" si="54"/>
        <v>-28779.689448754176</v>
      </c>
      <c r="N120" s="138">
        <f t="shared" ca="1" si="54"/>
        <v>-29595.658620296392</v>
      </c>
      <c r="O120" s="140">
        <f t="shared" ca="1" si="54"/>
        <v>-31316.825230753137</v>
      </c>
      <c r="P120" s="2"/>
      <c r="Q120" s="2"/>
    </row>
    <row r="121" spans="2:17" x14ac:dyDescent="0.25">
      <c r="B121" s="107"/>
      <c r="G121" s="299"/>
      <c r="H121" s="300"/>
      <c r="I121" s="300"/>
      <c r="J121" s="300"/>
      <c r="K121" s="121"/>
      <c r="L121" s="120"/>
      <c r="M121" s="120"/>
      <c r="N121" s="120"/>
      <c r="O121" s="122"/>
      <c r="P121" s="2"/>
      <c r="Q121" s="2"/>
    </row>
    <row r="122" spans="2:17" x14ac:dyDescent="0.25">
      <c r="B122" s="118" t="s">
        <v>251</v>
      </c>
      <c r="G122" s="299"/>
      <c r="H122" s="300"/>
      <c r="I122" s="300"/>
      <c r="J122" s="300"/>
      <c r="K122" s="121"/>
      <c r="L122" s="120"/>
      <c r="M122" s="120"/>
      <c r="N122" s="120"/>
      <c r="O122" s="122"/>
      <c r="P122" s="2"/>
      <c r="Q122" s="2"/>
    </row>
    <row r="123" spans="2:17" x14ac:dyDescent="0.25">
      <c r="B123" s="107" t="s">
        <v>252</v>
      </c>
      <c r="G123" s="299"/>
      <c r="H123" s="300"/>
      <c r="I123" s="300"/>
      <c r="J123" s="300"/>
      <c r="K123" s="121">
        <f>Schedule!K83</f>
        <v>0</v>
      </c>
      <c r="L123" s="120">
        <f>Schedule!L83</f>
        <v>0</v>
      </c>
      <c r="M123" s="120">
        <f>Schedule!M83</f>
        <v>0</v>
      </c>
      <c r="N123" s="120">
        <f>Schedule!N83</f>
        <v>0</v>
      </c>
      <c r="O123" s="122">
        <f>Schedule!O83</f>
        <v>0</v>
      </c>
      <c r="P123" s="120"/>
      <c r="Q123" s="120"/>
    </row>
    <row r="124" spans="2:17" x14ac:dyDescent="0.25">
      <c r="B124" s="107" t="s">
        <v>253</v>
      </c>
      <c r="G124" s="299"/>
      <c r="H124" s="300"/>
      <c r="I124" s="300"/>
      <c r="J124" s="300"/>
      <c r="K124" s="121">
        <f>-Schedule!K84</f>
        <v>-12393</v>
      </c>
      <c r="L124" s="120">
        <f>-Schedule!L84</f>
        <v>-10078</v>
      </c>
      <c r="M124" s="120">
        <f>-Schedule!M84</f>
        <v>-9300</v>
      </c>
      <c r="N124" s="120">
        <f>-Schedule!N84</f>
        <v>-5235</v>
      </c>
      <c r="O124" s="122">
        <f>-Schedule!O84</f>
        <v>-4972</v>
      </c>
      <c r="P124" s="120"/>
      <c r="Q124" s="120"/>
    </row>
    <row r="125" spans="2:17" x14ac:dyDescent="0.25">
      <c r="B125" s="107" t="s">
        <v>280</v>
      </c>
      <c r="G125" s="299"/>
      <c r="H125" s="300"/>
      <c r="I125" s="300"/>
      <c r="J125" s="300"/>
      <c r="K125" s="121">
        <f ca="1">K81-J81</f>
        <v>21</v>
      </c>
      <c r="L125" s="120">
        <f ca="1">L81-K81</f>
        <v>0</v>
      </c>
      <c r="M125" s="120">
        <f ca="1">M81-L81</f>
        <v>0</v>
      </c>
      <c r="N125" s="120">
        <f ca="1">N81-M81</f>
        <v>0</v>
      </c>
      <c r="O125" s="122">
        <f ca="1">O81-N81</f>
        <v>0</v>
      </c>
      <c r="P125" s="120"/>
      <c r="Q125" s="120"/>
    </row>
    <row r="126" spans="2:17" x14ac:dyDescent="0.25">
      <c r="B126" s="107" t="s">
        <v>254</v>
      </c>
      <c r="G126" s="299"/>
      <c r="H126" s="300"/>
      <c r="I126" s="300"/>
      <c r="J126" s="300"/>
      <c r="K126" s="121">
        <f ca="1">-Assumptions!K22</f>
        <v>-16254.29665147052</v>
      </c>
      <c r="L126" s="120">
        <f ca="1">-Assumptions!L22</f>
        <v>-16938.968681472852</v>
      </c>
      <c r="M126" s="120">
        <f ca="1">-Assumptions!M22</f>
        <v>-17961.284031332612</v>
      </c>
      <c r="N126" s="120">
        <f ca="1">-Assumptions!N22</f>
        <v>-19229.817303068343</v>
      </c>
      <c r="O126" s="122">
        <f ca="1">-Assumptions!O22</f>
        <v>-20902.236234189761</v>
      </c>
      <c r="P126" s="120"/>
      <c r="Q126" s="120"/>
    </row>
    <row r="127" spans="2:17" x14ac:dyDescent="0.25">
      <c r="B127" s="107" t="s">
        <v>260</v>
      </c>
      <c r="G127" s="299"/>
      <c r="H127" s="300"/>
      <c r="I127" s="300"/>
      <c r="J127" s="300"/>
      <c r="K127" s="121">
        <f ca="1">-Assumptions!K25</f>
        <v>-102896.90484016968</v>
      </c>
      <c r="L127" s="120">
        <f ca="1">-Assumptions!L25</f>
        <v>-118641.99318312728</v>
      </c>
      <c r="M127" s="120">
        <f ca="1">-Assumptions!M25</f>
        <v>-129682.99481331217</v>
      </c>
      <c r="N127" s="120">
        <f ca="1">-Assumptions!N25</f>
        <v>-154120.86613549429</v>
      </c>
      <c r="O127" s="122">
        <f ca="1">-Assumptions!O25</f>
        <v>-183718.7719099196</v>
      </c>
      <c r="P127" s="120"/>
      <c r="Q127" s="120"/>
    </row>
    <row r="128" spans="2:17" x14ac:dyDescent="0.25">
      <c r="B128" s="107" t="s">
        <v>296</v>
      </c>
      <c r="G128" s="299"/>
      <c r="H128" s="300"/>
      <c r="I128" s="300"/>
      <c r="J128" s="300"/>
      <c r="K128" s="121">
        <f>K38</f>
        <v>-3162.1379999999999</v>
      </c>
      <c r="L128" s="120">
        <f t="shared" ref="L128:O128" ca="1" si="55">L38</f>
        <v>-2656.3199999999997</v>
      </c>
      <c r="M128" s="120">
        <f t="shared" ca="1" si="55"/>
        <v>-2220.3150000000001</v>
      </c>
      <c r="N128" s="120">
        <f t="shared" ca="1" si="55"/>
        <v>-1893.2774999999999</v>
      </c>
      <c r="O128" s="122">
        <f t="shared" ca="1" si="55"/>
        <v>-1663.62</v>
      </c>
      <c r="P128" s="120"/>
      <c r="Q128" s="120"/>
    </row>
    <row r="129" spans="2:17" x14ac:dyDescent="0.25">
      <c r="B129" s="109" t="s">
        <v>255</v>
      </c>
      <c r="G129" s="299"/>
      <c r="H129" s="300"/>
      <c r="I129" s="300"/>
      <c r="J129" s="300"/>
      <c r="K129" s="139">
        <f ca="1">SUM(K123:K128)</f>
        <v>-134685.33949164019</v>
      </c>
      <c r="L129" s="138">
        <f t="shared" ref="L129:O129" ca="1" si="56">SUM(L123:L128)</f>
        <v>-148315.28186460014</v>
      </c>
      <c r="M129" s="138">
        <f t="shared" ca="1" si="56"/>
        <v>-159164.59384464478</v>
      </c>
      <c r="N129" s="138">
        <f t="shared" ca="1" si="56"/>
        <v>-180478.96093856264</v>
      </c>
      <c r="O129" s="140">
        <f t="shared" ca="1" si="56"/>
        <v>-211256.62814410936</v>
      </c>
      <c r="P129" s="2"/>
      <c r="Q129" s="2"/>
    </row>
    <row r="130" spans="2:17" x14ac:dyDescent="0.25">
      <c r="B130" s="107"/>
      <c r="G130" s="299"/>
      <c r="H130" s="300"/>
      <c r="I130" s="300"/>
      <c r="J130" s="300"/>
      <c r="K130" s="121"/>
      <c r="L130" s="120"/>
      <c r="M130" s="120"/>
      <c r="N130" s="120"/>
      <c r="O130" s="122"/>
      <c r="P130" s="2"/>
      <c r="Q130" s="2"/>
    </row>
    <row r="131" spans="2:17" x14ac:dyDescent="0.25">
      <c r="B131" s="109" t="s">
        <v>256</v>
      </c>
      <c r="G131" s="299"/>
      <c r="H131" s="300"/>
      <c r="I131" s="300"/>
      <c r="J131" s="300"/>
      <c r="K131" s="145">
        <f ca="1">K114+K120+K129</f>
        <v>14412.588710595359</v>
      </c>
      <c r="L131" s="144">
        <f t="shared" ref="L131:O131" ca="1" si="57">L114+L120+L129</f>
        <v>-10581.388067448861</v>
      </c>
      <c r="M131" s="144">
        <f t="shared" ca="1" si="57"/>
        <v>-4060.745429457922</v>
      </c>
      <c r="N131" s="144">
        <f t="shared" ca="1" si="57"/>
        <v>529.68847679760074</v>
      </c>
      <c r="O131" s="146">
        <f t="shared" ca="1" si="57"/>
        <v>3216.1985181455675</v>
      </c>
      <c r="P131" s="2"/>
      <c r="Q131" s="2"/>
    </row>
    <row r="132" spans="2:17" x14ac:dyDescent="0.25">
      <c r="B132" s="107"/>
      <c r="G132" s="299"/>
      <c r="H132" s="300"/>
      <c r="I132" s="300"/>
      <c r="J132" s="300"/>
      <c r="K132" s="132"/>
      <c r="L132" s="2"/>
      <c r="M132" s="2"/>
      <c r="N132" s="2"/>
      <c r="O132" s="133"/>
      <c r="P132" s="2"/>
      <c r="Q132" s="2"/>
    </row>
    <row r="133" spans="2:17" x14ac:dyDescent="0.25">
      <c r="B133" s="107" t="s">
        <v>257</v>
      </c>
      <c r="G133" s="299"/>
      <c r="H133" s="300"/>
      <c r="I133" s="300"/>
      <c r="J133" s="300"/>
      <c r="K133" s="121">
        <f>J61</f>
        <v>35934</v>
      </c>
      <c r="L133" s="120">
        <f ca="1">K134</f>
        <v>50346.588710595359</v>
      </c>
      <c r="M133" s="120">
        <f t="shared" ref="M133:O133" ca="1" si="58">L134</f>
        <v>39765.200643146498</v>
      </c>
      <c r="N133" s="120">
        <f t="shared" ca="1" si="58"/>
        <v>35704.455213688576</v>
      </c>
      <c r="O133" s="122">
        <f t="shared" ca="1" si="58"/>
        <v>36234.143690486177</v>
      </c>
      <c r="P133" s="2"/>
      <c r="Q133" s="2"/>
    </row>
    <row r="134" spans="2:17" x14ac:dyDescent="0.25">
      <c r="B134" s="119" t="s">
        <v>258</v>
      </c>
      <c r="C134" s="117"/>
      <c r="D134" s="117"/>
      <c r="E134" s="117"/>
      <c r="F134" s="117"/>
      <c r="G134" s="301"/>
      <c r="H134" s="302"/>
      <c r="I134" s="302"/>
      <c r="J134" s="302"/>
      <c r="K134" s="145">
        <f ca="1">K133+K131</f>
        <v>50346.588710595359</v>
      </c>
      <c r="L134" s="144">
        <f t="shared" ref="L134:O134" ca="1" si="59">L133+L131</f>
        <v>39765.200643146498</v>
      </c>
      <c r="M134" s="144">
        <f t="shared" ca="1" si="59"/>
        <v>35704.455213688576</v>
      </c>
      <c r="N134" s="144">
        <f t="shared" ca="1" si="59"/>
        <v>36234.143690486177</v>
      </c>
      <c r="O134" s="146">
        <f t="shared" ca="1" si="59"/>
        <v>39450.342208631744</v>
      </c>
      <c r="P134" s="2"/>
      <c r="Q134" s="2"/>
    </row>
    <row r="135" spans="2:17" x14ac:dyDescent="0.25">
      <c r="K135" s="21"/>
      <c r="L135" s="21"/>
      <c r="M135" s="21"/>
      <c r="N135" s="21"/>
      <c r="O135" s="21"/>
      <c r="P135" s="2"/>
      <c r="Q135" s="2"/>
    </row>
    <row r="137" spans="2:17" x14ac:dyDescent="0.25">
      <c r="B137" s="99" t="s">
        <v>57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</row>
  </sheetData>
  <mergeCells count="4">
    <mergeCell ref="G6:J6"/>
    <mergeCell ref="K6:O6"/>
    <mergeCell ref="P6:Q6"/>
    <mergeCell ref="R6:T7"/>
  </mergeCells>
  <hyperlinks>
    <hyperlink ref="B9" location="Dashboard!A1" display="&lt;-Back to dashboard" xr:uid="{344A16CC-67D3-41F6-BC16-98B2BE8FE9C8}"/>
    <hyperlink ref="C11" location="IS" display="Income statement" xr:uid="{D38B6B31-CE04-4CD4-9AD4-16C97AFD996F}"/>
    <hyperlink ref="E11" location="BS" display="Balance statement" xr:uid="{4D342354-E44F-4C26-B18E-5323D72A4B93}"/>
    <hyperlink ref="G11" location="CF" display="Cash flow statement" xr:uid="{28C0E052-FDCD-414B-8DF5-0788FD7F92E2}"/>
    <hyperlink ref="B137" location="Statements!A8" display="&lt;- Go back to the top" xr:uid="{01C862AD-BBFF-44E1-A1C3-BBE9E7A273DE}"/>
  </hyperlinks>
  <pageMargins left="0.7" right="0.7" top="0.75" bottom="0.75" header="0.3" footer="0.3"/>
  <ignoredErrors>
    <ignoredError sqref="K111:O112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0C779-B767-4076-B300-FA107F1CBF6C}">
  <sheetPr>
    <pageSetUpPr autoPageBreaks="0"/>
  </sheetPr>
  <dimension ref="A1:T84"/>
  <sheetViews>
    <sheetView showGridLines="0" zoomScaleNormal="100" workbookViewId="0">
      <pane xSplit="6" ySplit="7" topLeftCell="G28" activePane="bottomRight" state="frozen"/>
      <selection pane="topRight" activeCell="G1" sqref="G1"/>
      <selection pane="bottomLeft" activeCell="A8" sqref="A8"/>
      <selection pane="bottomRight" sqref="A1:A1048576"/>
    </sheetView>
  </sheetViews>
  <sheetFormatPr defaultRowHeight="13.2" x14ac:dyDescent="0.25"/>
  <cols>
    <col min="1" max="1" width="2.88671875" style="62" customWidth="1"/>
    <col min="2" max="2" width="8.88671875" style="62"/>
    <col min="3" max="3" width="7.109375" style="62" customWidth="1"/>
    <col min="4" max="4" width="12.5546875" style="62" bestFit="1" customWidth="1"/>
    <col min="5" max="6" width="8.88671875" style="62"/>
    <col min="7" max="15" width="11.6640625" style="62" customWidth="1"/>
    <col min="16" max="17" width="10" style="62" customWidth="1"/>
    <col min="18" max="20" width="13.88671875" style="62" customWidth="1"/>
    <col min="21" max="16384" width="8.88671875" style="62"/>
  </cols>
  <sheetData>
    <row r="1" spans="1:20" s="5" customFormat="1" ht="13.8" x14ac:dyDescent="0.25"/>
    <row r="2" spans="1:20" s="5" customFormat="1" ht="15.6" x14ac:dyDescent="0.3">
      <c r="A2" s="4"/>
      <c r="B2" s="6" t="str">
        <f>Dashboard!B2</f>
        <v>Apple, Inc.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s="5" customFormat="1" ht="13.8" x14ac:dyDescent="0.25">
      <c r="B3" s="95" t="s">
        <v>37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s="5" customFormat="1" ht="13.8" x14ac:dyDescent="0.25">
      <c r="B4" s="94" t="str">
        <f>Dashboard!B4</f>
        <v>(In millions, except number of shares, which are reflected in thousands, and per-share amounts)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 s="5" customFormat="1" ht="13.8" x14ac:dyDescent="0.25">
      <c r="B5" s="8" t="s">
        <v>39</v>
      </c>
      <c r="C5" s="9"/>
      <c r="D5" s="8" t="str">
        <f>Dashboard!G13</f>
        <v>Street</v>
      </c>
      <c r="E5" s="7"/>
      <c r="F5" s="7"/>
      <c r="G5" s="16"/>
      <c r="H5" s="16"/>
      <c r="I5" s="16"/>
      <c r="J5" s="16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s="5" customFormat="1" ht="13.8" x14ac:dyDescent="0.25">
      <c r="B6" s="8" t="s">
        <v>308</v>
      </c>
      <c r="C6" s="9"/>
      <c r="D6" s="9"/>
      <c r="E6" s="9"/>
      <c r="F6" s="15"/>
      <c r="G6" s="435" t="str">
        <f>Statements!G6</f>
        <v>Historicals</v>
      </c>
      <c r="H6" s="435"/>
      <c r="I6" s="435"/>
      <c r="J6" s="436"/>
      <c r="K6" s="437" t="str">
        <f>Statements!K6</f>
        <v>Projections</v>
      </c>
      <c r="L6" s="438"/>
      <c r="M6" s="438"/>
      <c r="N6" s="438"/>
      <c r="O6" s="438"/>
      <c r="P6" s="439" t="s">
        <v>30</v>
      </c>
      <c r="Q6" s="440"/>
      <c r="R6" s="441" t="s">
        <v>17</v>
      </c>
      <c r="S6" s="442"/>
      <c r="T6" s="442"/>
    </row>
    <row r="7" spans="1:20" s="5" customFormat="1" ht="13.8" x14ac:dyDescent="0.25">
      <c r="B7" s="8" t="s">
        <v>311</v>
      </c>
      <c r="C7" s="9"/>
      <c r="D7" s="9"/>
      <c r="E7" s="9"/>
      <c r="F7" s="9"/>
      <c r="G7" s="153">
        <v>44865</v>
      </c>
      <c r="H7" s="153">
        <f>EDATE(G7,12)</f>
        <v>45230</v>
      </c>
      <c r="I7" s="153">
        <f t="shared" ref="I7:O7" si="0">EDATE(H7,12)</f>
        <v>45596</v>
      </c>
      <c r="J7" s="153">
        <f t="shared" si="0"/>
        <v>45961</v>
      </c>
      <c r="K7" s="154">
        <f t="shared" si="0"/>
        <v>46326</v>
      </c>
      <c r="L7" s="154">
        <f t="shared" si="0"/>
        <v>46691</v>
      </c>
      <c r="M7" s="154">
        <f t="shared" si="0"/>
        <v>47057</v>
      </c>
      <c r="N7" s="154">
        <f t="shared" si="0"/>
        <v>47422</v>
      </c>
      <c r="O7" s="154">
        <f t="shared" si="0"/>
        <v>47787</v>
      </c>
      <c r="P7" s="27" t="s">
        <v>41</v>
      </c>
      <c r="Q7" s="26" t="s">
        <v>42</v>
      </c>
      <c r="R7" s="443"/>
      <c r="S7" s="444"/>
      <c r="T7" s="444"/>
    </row>
    <row r="8" spans="1:20" s="1" customFormat="1" x14ac:dyDescent="0.25"/>
    <row r="9" spans="1:20" s="1" customFormat="1" x14ac:dyDescent="0.25">
      <c r="B9" s="59" t="s">
        <v>52</v>
      </c>
    </row>
    <row r="10" spans="1:20" s="1" customFormat="1" x14ac:dyDescent="0.25">
      <c r="B10" s="59"/>
    </row>
    <row r="11" spans="1:20" s="1" customFormat="1" x14ac:dyDescent="0.25">
      <c r="B11" s="59" t="s">
        <v>58</v>
      </c>
      <c r="C11" s="96" t="s">
        <v>60</v>
      </c>
      <c r="E11" s="96" t="s">
        <v>61</v>
      </c>
    </row>
    <row r="12" spans="1:20" s="1" customFormat="1" x14ac:dyDescent="0.25"/>
    <row r="13" spans="1:20" s="1" customFormat="1" x14ac:dyDescent="0.25">
      <c r="A13" s="1" t="s">
        <v>32</v>
      </c>
      <c r="B13" s="18" t="s">
        <v>38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</row>
    <row r="14" spans="1:20" s="1" customFormat="1" x14ac:dyDescent="0.25"/>
    <row r="15" spans="1:20" x14ac:dyDescent="0.25">
      <c r="B15" s="62" t="s">
        <v>187</v>
      </c>
    </row>
    <row r="16" spans="1:20" x14ac:dyDescent="0.25">
      <c r="B16" s="68" t="s">
        <v>186</v>
      </c>
      <c r="G16" s="164">
        <v>1.33</v>
      </c>
      <c r="H16" s="164">
        <v>1.38</v>
      </c>
      <c r="I16" s="164">
        <v>1.46</v>
      </c>
      <c r="J16" s="164">
        <v>1.56</v>
      </c>
      <c r="K16" s="155">
        <f>J16*(1+K17)</f>
        <v>1.6224000000000001</v>
      </c>
      <c r="L16" s="155">
        <f t="shared" ref="L16:O16" si="1">K16*(1+L17)</f>
        <v>1.6808064</v>
      </c>
      <c r="M16" s="155">
        <f t="shared" si="1"/>
        <v>1.7345922048</v>
      </c>
      <c r="N16" s="155">
        <f t="shared" si="1"/>
        <v>1.7831607865344001</v>
      </c>
      <c r="O16" s="155">
        <f t="shared" si="1"/>
        <v>1.8259566454112257</v>
      </c>
      <c r="P16" s="69">
        <f>_xlfn.RRI(3,G16,J16)</f>
        <v>5.4607816261929232E-2</v>
      </c>
      <c r="Q16" s="69">
        <f>_xlfn.RRI(4,K16,O16)</f>
        <v>2.9990291157807603E-2</v>
      </c>
    </row>
    <row r="17" spans="2:19" x14ac:dyDescent="0.25">
      <c r="B17" s="70" t="s">
        <v>188</v>
      </c>
      <c r="H17" s="28">
        <f>H16/G16-1</f>
        <v>3.7593984962405846E-2</v>
      </c>
      <c r="I17" s="28">
        <f t="shared" ref="I17:J17" si="2">I16/H16-1</f>
        <v>5.7971014492753659E-2</v>
      </c>
      <c r="J17" s="28">
        <f t="shared" si="2"/>
        <v>6.8493150684931559E-2</v>
      </c>
      <c r="K17" s="28">
        <f>K25</f>
        <v>0.04</v>
      </c>
      <c r="L17" s="28">
        <f t="shared" ref="L17:O17" si="3">L25</f>
        <v>3.6000000000000004E-2</v>
      </c>
      <c r="M17" s="28">
        <f t="shared" si="3"/>
        <v>3.2000000000000001E-2</v>
      </c>
      <c r="N17" s="28">
        <f t="shared" si="3"/>
        <v>2.8000000000000001E-2</v>
      </c>
      <c r="O17" s="28">
        <f t="shared" si="3"/>
        <v>2.4E-2</v>
      </c>
    </row>
    <row r="19" spans="2:19" x14ac:dyDescent="0.25">
      <c r="B19" s="65" t="s">
        <v>205</v>
      </c>
    </row>
    <row r="20" spans="2:19" x14ac:dyDescent="0.25">
      <c r="B20" s="65"/>
    </row>
    <row r="21" spans="2:19" x14ac:dyDescent="0.25">
      <c r="B21" s="72" t="s">
        <v>189</v>
      </c>
      <c r="G21" s="165">
        <v>205489</v>
      </c>
      <c r="H21" s="165">
        <v>200583</v>
      </c>
      <c r="I21" s="165">
        <v>201183</v>
      </c>
      <c r="J21" s="165">
        <v>209586</v>
      </c>
      <c r="K21" s="66">
        <f ca="1">(K$22/$J$22)*$J$21</f>
        <v>217969.44</v>
      </c>
      <c r="L21" s="66">
        <f t="shared" ref="L21:N21" ca="1" si="4">(L$22/$J$22)*$J$21</f>
        <v>225816.33984000003</v>
      </c>
      <c r="M21" s="66">
        <f t="shared" ca="1" si="4"/>
        <v>233042.46271488004</v>
      </c>
      <c r="N21" s="66">
        <f t="shared" ca="1" si="4"/>
        <v>239567.65167089665</v>
      </c>
      <c r="O21" s="66">
        <f ca="1">(O$22/$J$22)*$J$21</f>
        <v>245317.2753109982</v>
      </c>
      <c r="S21" s="64">
        <f>J21/J$47</f>
        <v>0.50361759030759734</v>
      </c>
    </row>
    <row r="22" spans="2:19" x14ac:dyDescent="0.25">
      <c r="B22" s="71" t="s">
        <v>195</v>
      </c>
      <c r="G22" s="66">
        <f>G21/(G16*100)</f>
        <v>1545.0300751879699</v>
      </c>
      <c r="H22" s="66">
        <f t="shared" ref="H22:J22" si="5">H21/(H16*100)</f>
        <v>1453.5</v>
      </c>
      <c r="I22" s="66">
        <f t="shared" si="5"/>
        <v>1377.9657534246576</v>
      </c>
      <c r="J22" s="66">
        <f t="shared" si="5"/>
        <v>1343.5</v>
      </c>
      <c r="K22" s="66">
        <f ca="1">J22*(1+K23)</f>
        <v>1397.24</v>
      </c>
      <c r="L22" s="66">
        <f t="shared" ref="L22:O22" ca="1" si="6">K22*(1+L23)</f>
        <v>1447.5406400000002</v>
      </c>
      <c r="M22" s="66">
        <f t="shared" ca="1" si="6"/>
        <v>1493.8619404800002</v>
      </c>
      <c r="N22" s="66">
        <f t="shared" ca="1" si="6"/>
        <v>1535.6900748134401</v>
      </c>
      <c r="O22" s="66">
        <f t="shared" ca="1" si="6"/>
        <v>1572.5466366089627</v>
      </c>
      <c r="P22" s="69">
        <f>_xlfn.RRI(3,G22,J22)</f>
        <v>-4.5519827870378893E-2</v>
      </c>
      <c r="Q22" s="69">
        <f ca="1">_xlfn.RRI(4,K22,O22)</f>
        <v>2.9990291157807603E-2</v>
      </c>
    </row>
    <row r="23" spans="2:19" x14ac:dyDescent="0.25">
      <c r="B23" s="76" t="s">
        <v>197</v>
      </c>
      <c r="H23" s="24">
        <f>H22/G22-1</f>
        <v>-5.9241613906340529E-2</v>
      </c>
      <c r="I23" s="24">
        <f t="shared" ref="I23:J23" si="7">I22/H22-1</f>
        <v>-5.1967145906668288E-2</v>
      </c>
      <c r="J23" s="24">
        <f t="shared" si="7"/>
        <v>-2.5012053702350601E-2</v>
      </c>
      <c r="K23" s="24">
        <f ca="1">OFFSET(K23,MATCH($D$5,$B24:$B26,0),0)</f>
        <v>0.04</v>
      </c>
      <c r="L23" s="24">
        <f t="shared" ref="L23:O23" ca="1" si="8">OFFSET(L23,MATCH($D$5,$B24:$B26,0),0)</f>
        <v>3.6000000000000004E-2</v>
      </c>
      <c r="M23" s="24">
        <f t="shared" ca="1" si="8"/>
        <v>3.2000000000000001E-2</v>
      </c>
      <c r="N23" s="24">
        <f t="shared" ca="1" si="8"/>
        <v>2.8000000000000001E-2</v>
      </c>
      <c r="O23" s="24">
        <f t="shared" ca="1" si="8"/>
        <v>2.4E-2</v>
      </c>
    </row>
    <row r="24" spans="2:19" x14ac:dyDescent="0.25">
      <c r="B24" s="156" t="s">
        <v>198</v>
      </c>
      <c r="H24" s="60"/>
      <c r="I24" s="60"/>
      <c r="J24" s="60"/>
      <c r="K24" s="77">
        <f>K25+$R$24</f>
        <v>5.9499999999999997E-2</v>
      </c>
      <c r="L24" s="77">
        <f t="shared" ref="L24:O24" si="9">L25+$R$24</f>
        <v>5.5500000000000008E-2</v>
      </c>
      <c r="M24" s="77">
        <f t="shared" si="9"/>
        <v>5.1500000000000004E-2</v>
      </c>
      <c r="N24" s="77">
        <f t="shared" si="9"/>
        <v>4.7500000000000001E-2</v>
      </c>
      <c r="O24" s="77">
        <f t="shared" si="9"/>
        <v>4.3499999999999997E-2</v>
      </c>
      <c r="R24" s="166">
        <v>1.95E-2</v>
      </c>
    </row>
    <row r="25" spans="2:19" x14ac:dyDescent="0.25">
      <c r="B25" s="156" t="s">
        <v>40</v>
      </c>
      <c r="H25" s="60"/>
      <c r="I25" s="60"/>
      <c r="J25" s="60"/>
      <c r="K25" s="167">
        <v>0.04</v>
      </c>
      <c r="L25" s="77">
        <f>K25+($O$25-$K$25)/4</f>
        <v>3.6000000000000004E-2</v>
      </c>
      <c r="M25" s="77">
        <f t="shared" ref="M25:N25" si="10">L25+($O$25-$K$25)/4</f>
        <v>3.2000000000000001E-2</v>
      </c>
      <c r="N25" s="77">
        <f t="shared" si="10"/>
        <v>2.8000000000000001E-2</v>
      </c>
      <c r="O25" s="167">
        <v>2.4E-2</v>
      </c>
      <c r="R25" s="74"/>
    </row>
    <row r="26" spans="2:19" x14ac:dyDescent="0.25">
      <c r="B26" s="156" t="s">
        <v>199</v>
      </c>
      <c r="H26" s="60"/>
      <c r="I26" s="60"/>
      <c r="J26" s="60"/>
      <c r="K26" s="77">
        <f>K25+$R$26</f>
        <v>7.4999999999999997E-3</v>
      </c>
      <c r="L26" s="77">
        <f t="shared" ref="L26:O26" si="11">L25+$R$26</f>
        <v>3.5000000000000031E-3</v>
      </c>
      <c r="M26" s="77">
        <f t="shared" si="11"/>
        <v>-5.0000000000000044E-4</v>
      </c>
      <c r="N26" s="77">
        <f t="shared" si="11"/>
        <v>-4.5000000000000005E-3</v>
      </c>
      <c r="O26" s="77">
        <f t="shared" si="11"/>
        <v>-8.5000000000000006E-3</v>
      </c>
      <c r="R26" s="166">
        <v>-3.2500000000000001E-2</v>
      </c>
    </row>
    <row r="27" spans="2:19" x14ac:dyDescent="0.25">
      <c r="B27" s="72" t="s">
        <v>190</v>
      </c>
      <c r="G27" s="165">
        <v>40177</v>
      </c>
      <c r="H27" s="165">
        <v>29357</v>
      </c>
      <c r="I27" s="165">
        <v>29984</v>
      </c>
      <c r="J27" s="165">
        <v>33708</v>
      </c>
      <c r="K27" s="66">
        <f ca="1">J27*(1+K28)</f>
        <v>37752.960000000006</v>
      </c>
      <c r="L27" s="66">
        <f t="shared" ref="L27:O27" ca="1" si="12">K27*(1+L28)</f>
        <v>41603.761920000012</v>
      </c>
      <c r="M27" s="66">
        <f t="shared" ca="1" si="12"/>
        <v>45098.477921280013</v>
      </c>
      <c r="N27" s="66">
        <f t="shared" ca="1" si="12"/>
        <v>48074.977464084499</v>
      </c>
      <c r="O27" s="66">
        <f t="shared" ca="1" si="12"/>
        <v>50382.576382360559</v>
      </c>
      <c r="P27" s="69">
        <f>_xlfn.RRI(3,G27,J27)</f>
        <v>-5.68404641098601E-2</v>
      </c>
      <c r="Q27" s="69">
        <f ca="1">_xlfn.RRI(4,K27,O27)</f>
        <v>7.4811590263381023E-2</v>
      </c>
      <c r="S27" s="64">
        <f>J27/J$47</f>
        <v>8.0997498564257586E-2</v>
      </c>
    </row>
    <row r="28" spans="2:19" x14ac:dyDescent="0.25">
      <c r="B28" s="76" t="s">
        <v>202</v>
      </c>
      <c r="G28" s="66"/>
      <c r="H28" s="24">
        <f>H27/G27-1</f>
        <v>-0.26930831072504169</v>
      </c>
      <c r="I28" s="24">
        <f t="shared" ref="I28:J28" si="13">I27/H27-1</f>
        <v>2.1357768164322E-2</v>
      </c>
      <c r="J28" s="24">
        <f t="shared" si="13"/>
        <v>0.12419957310565644</v>
      </c>
      <c r="K28" s="24">
        <f ca="1">OFFSET(K28,MATCH($D$5,$B29:$B31,0),0)</f>
        <v>0.12</v>
      </c>
      <c r="L28" s="24">
        <f t="shared" ref="L28:O28" ca="1" si="14">OFFSET(L28,MATCH($D$5,$B29:$B31,0),0)</f>
        <v>0.10199999999999999</v>
      </c>
      <c r="M28" s="24">
        <f t="shared" ca="1" si="14"/>
        <v>8.3999999999999991E-2</v>
      </c>
      <c r="N28" s="24">
        <f t="shared" ca="1" si="14"/>
        <v>6.5999999999999989E-2</v>
      </c>
      <c r="O28" s="24">
        <f t="shared" ca="1" si="14"/>
        <v>4.8000000000000001E-2</v>
      </c>
    </row>
    <row r="29" spans="2:19" x14ac:dyDescent="0.25">
      <c r="B29" s="156" t="s">
        <v>198</v>
      </c>
      <c r="G29" s="66"/>
      <c r="H29" s="66"/>
      <c r="I29" s="66"/>
      <c r="J29" s="66"/>
      <c r="K29" s="77">
        <f>K30+$R$24</f>
        <v>0.13949999999999999</v>
      </c>
      <c r="L29" s="77">
        <f t="shared" ref="L29" si="15">L30+$R$24</f>
        <v>0.1215</v>
      </c>
      <c r="M29" s="77">
        <f t="shared" ref="M29" si="16">M30+$R$24</f>
        <v>0.10349999999999999</v>
      </c>
      <c r="N29" s="77">
        <f t="shared" ref="N29" si="17">N30+$R$24</f>
        <v>8.5499999999999993E-2</v>
      </c>
      <c r="O29" s="77">
        <f t="shared" ref="O29" si="18">O30+$R$24</f>
        <v>6.7500000000000004E-2</v>
      </c>
      <c r="R29" s="73"/>
    </row>
    <row r="30" spans="2:19" x14ac:dyDescent="0.25">
      <c r="B30" s="156" t="s">
        <v>40</v>
      </c>
      <c r="G30" s="66"/>
      <c r="H30" s="66"/>
      <c r="I30" s="66"/>
      <c r="J30" s="66"/>
      <c r="K30" s="167">
        <v>0.12</v>
      </c>
      <c r="L30" s="77">
        <f>K30+($O$30-$K$30)/4</f>
        <v>0.10199999999999999</v>
      </c>
      <c r="M30" s="77">
        <f t="shared" ref="M30:N30" si="19">L30+($O$30-$K$30)/4</f>
        <v>8.3999999999999991E-2</v>
      </c>
      <c r="N30" s="77">
        <f t="shared" si="19"/>
        <v>6.5999999999999989E-2</v>
      </c>
      <c r="O30" s="167">
        <v>4.8000000000000001E-2</v>
      </c>
      <c r="R30" s="74"/>
    </row>
    <row r="31" spans="2:19" x14ac:dyDescent="0.25">
      <c r="B31" s="156" t="s">
        <v>199</v>
      </c>
      <c r="G31" s="66"/>
      <c r="H31" s="66"/>
      <c r="I31" s="66"/>
      <c r="J31" s="66"/>
      <c r="K31" s="77">
        <f>K30+$R$26</f>
        <v>8.7499999999999994E-2</v>
      </c>
      <c r="L31" s="77">
        <f t="shared" ref="L31" si="20">L30+$R$26</f>
        <v>6.9499999999999992E-2</v>
      </c>
      <c r="M31" s="77">
        <f t="shared" ref="M31" si="21">M30+$R$26</f>
        <v>5.149999999999999E-2</v>
      </c>
      <c r="N31" s="77">
        <f t="shared" ref="N31" si="22">N30+$R$26</f>
        <v>3.3499999999999988E-2</v>
      </c>
      <c r="O31" s="77">
        <f t="shared" ref="O31" si="23">O30+$R$26</f>
        <v>1.55E-2</v>
      </c>
      <c r="R31" s="75"/>
    </row>
    <row r="32" spans="2:19" x14ac:dyDescent="0.25">
      <c r="B32" s="72" t="s">
        <v>191</v>
      </c>
      <c r="G32" s="165">
        <v>29292</v>
      </c>
      <c r="H32" s="165">
        <v>28300</v>
      </c>
      <c r="I32" s="165">
        <v>26694</v>
      </c>
      <c r="J32" s="165">
        <v>28023</v>
      </c>
      <c r="K32" s="66">
        <f ca="1">J32*(1+K33)</f>
        <v>29424.15</v>
      </c>
      <c r="L32" s="66">
        <f t="shared" ref="L32" ca="1" si="24">K32*(1+L33)</f>
        <v>30762.948825000003</v>
      </c>
      <c r="M32" s="66">
        <f t="shared" ref="M32" ca="1" si="25">L32*(1+M33)</f>
        <v>32024.229726825</v>
      </c>
      <c r="N32" s="66">
        <f t="shared" ref="N32" ca="1" si="26">M32*(1+N33)</f>
        <v>33193.114111854113</v>
      </c>
      <c r="O32" s="66">
        <f t="shared" ref="O32" ca="1" si="27">N32*(1+O33)</f>
        <v>34255.293763433445</v>
      </c>
      <c r="P32" s="69">
        <f>_xlfn.RRI(3,G32,J32)</f>
        <v>-1.4654508528690435E-2</v>
      </c>
      <c r="Q32" s="69">
        <f ca="1">_xlfn.RRI(4,K32,O32)</f>
        <v>3.8737815721549662E-2</v>
      </c>
      <c r="S32" s="64">
        <f>J32/J$47</f>
        <v>6.7336920086216626E-2</v>
      </c>
    </row>
    <row r="33" spans="2:19" x14ac:dyDescent="0.25">
      <c r="B33" s="76" t="s">
        <v>201</v>
      </c>
      <c r="G33" s="66"/>
      <c r="H33" s="24">
        <f>H32/G32-1</f>
        <v>-3.3865901952751631E-2</v>
      </c>
      <c r="I33" s="24">
        <f t="shared" ref="I33" si="28">I32/H32-1</f>
        <v>-5.674911660777382E-2</v>
      </c>
      <c r="J33" s="24">
        <f t="shared" ref="J33" si="29">J32/I32-1</f>
        <v>4.9786468869408962E-2</v>
      </c>
      <c r="K33" s="24">
        <f ca="1">OFFSET(K33,MATCH($D$5,$B34:$B36,0),0)</f>
        <v>0.05</v>
      </c>
      <c r="L33" s="24">
        <f t="shared" ref="L33" ca="1" si="30">OFFSET(L33,MATCH($D$5,$B34:$B36,0),0)</f>
        <v>4.5499999999999999E-2</v>
      </c>
      <c r="M33" s="24">
        <f t="shared" ref="M33" ca="1" si="31">OFFSET(M33,MATCH($D$5,$B34:$B36,0),0)</f>
        <v>4.0999999999999995E-2</v>
      </c>
      <c r="N33" s="24">
        <f t="shared" ref="N33" ca="1" si="32">OFFSET(N33,MATCH($D$5,$B34:$B36,0),0)</f>
        <v>3.6499999999999991E-2</v>
      </c>
      <c r="O33" s="24">
        <f t="shared" ref="O33" ca="1" si="33">OFFSET(O33,MATCH($D$5,$B34:$B36,0),0)</f>
        <v>3.2000000000000001E-2</v>
      </c>
    </row>
    <row r="34" spans="2:19" x14ac:dyDescent="0.25">
      <c r="B34" s="156" t="s">
        <v>198</v>
      </c>
      <c r="G34" s="66"/>
      <c r="H34" s="66"/>
      <c r="I34" s="66"/>
      <c r="J34" s="66"/>
      <c r="K34" s="77">
        <f>K35+$R$24</f>
        <v>6.9500000000000006E-2</v>
      </c>
      <c r="L34" s="77">
        <f t="shared" ref="L34" si="34">L35+$R$24</f>
        <v>6.5000000000000002E-2</v>
      </c>
      <c r="M34" s="77">
        <f t="shared" ref="M34" si="35">M35+$R$24</f>
        <v>6.0499999999999998E-2</v>
      </c>
      <c r="N34" s="77">
        <f t="shared" ref="N34" si="36">N35+$R$24</f>
        <v>5.5999999999999994E-2</v>
      </c>
      <c r="O34" s="77">
        <f t="shared" ref="O34" si="37">O35+$R$24</f>
        <v>5.1500000000000004E-2</v>
      </c>
    </row>
    <row r="35" spans="2:19" x14ac:dyDescent="0.25">
      <c r="B35" s="156" t="s">
        <v>40</v>
      </c>
      <c r="G35" s="66"/>
      <c r="H35" s="66"/>
      <c r="I35" s="66"/>
      <c r="J35" s="66"/>
      <c r="K35" s="167">
        <v>0.05</v>
      </c>
      <c r="L35" s="77">
        <f>K35+($O$35-$K$35)/4</f>
        <v>4.5499999999999999E-2</v>
      </c>
      <c r="M35" s="77">
        <f t="shared" ref="M35:N35" si="38">L35+($O$35-$K$35)/4</f>
        <v>4.0999999999999995E-2</v>
      </c>
      <c r="N35" s="77">
        <f t="shared" si="38"/>
        <v>3.6499999999999991E-2</v>
      </c>
      <c r="O35" s="167">
        <v>3.2000000000000001E-2</v>
      </c>
    </row>
    <row r="36" spans="2:19" x14ac:dyDescent="0.25">
      <c r="B36" s="156" t="s">
        <v>199</v>
      </c>
      <c r="G36" s="66"/>
      <c r="H36" s="66"/>
      <c r="I36" s="66"/>
      <c r="J36" s="66"/>
      <c r="K36" s="77">
        <f>K35+$R$26</f>
        <v>1.7500000000000002E-2</v>
      </c>
      <c r="L36" s="77">
        <f t="shared" ref="L36" si="39">L35+$R$26</f>
        <v>1.2999999999999998E-2</v>
      </c>
      <c r="M36" s="77">
        <f t="shared" ref="M36" si="40">M35+$R$26</f>
        <v>8.4999999999999937E-3</v>
      </c>
      <c r="N36" s="77">
        <f t="shared" ref="N36" si="41">N35+$R$26</f>
        <v>3.9999999999999897E-3</v>
      </c>
      <c r="O36" s="77">
        <f t="shared" ref="O36" si="42">O35+$R$26</f>
        <v>-5.0000000000000044E-4</v>
      </c>
    </row>
    <row r="37" spans="2:19" x14ac:dyDescent="0.25">
      <c r="B37" s="72" t="s">
        <v>192</v>
      </c>
      <c r="G37" s="165">
        <v>41241</v>
      </c>
      <c r="H37" s="165">
        <v>39845</v>
      </c>
      <c r="I37" s="165">
        <v>37005</v>
      </c>
      <c r="J37" s="165">
        <v>35686</v>
      </c>
      <c r="K37" s="66">
        <f ca="1">J37*(1+K38)</f>
        <v>34401.303999999996</v>
      </c>
      <c r="L37" s="66">
        <f t="shared" ref="L37" ca="1" si="43">K37*(1+L38)</f>
        <v>33472.468791999992</v>
      </c>
      <c r="M37" s="66">
        <f t="shared" ref="M37" ca="1" si="44">L37*(1+M38)</f>
        <v>32869.964353743992</v>
      </c>
      <c r="N37" s="66">
        <f t="shared" ref="N37" ca="1" si="45">M37*(1+N38)</f>
        <v>32574.134674560297</v>
      </c>
      <c r="O37" s="66">
        <f t="shared" ref="O37" ca="1" si="46">N37*(1+O38)</f>
        <v>32574.134674560297</v>
      </c>
      <c r="P37" s="69">
        <f>_xlfn.RRI(3,G37,J37)</f>
        <v>-4.7080469880639964E-2</v>
      </c>
      <c r="Q37" s="69">
        <f ca="1">_xlfn.RRI(4,K37,O37)</f>
        <v>-1.3551320833795621E-2</v>
      </c>
      <c r="S37" s="64">
        <f>J37/J$47</f>
        <v>8.5750466766467789E-2</v>
      </c>
    </row>
    <row r="38" spans="2:19" x14ac:dyDescent="0.25">
      <c r="B38" s="76" t="s">
        <v>200</v>
      </c>
      <c r="G38" s="66"/>
      <c r="H38" s="24">
        <f>H37/G37-1</f>
        <v>-3.3849809655439933E-2</v>
      </c>
      <c r="I38" s="24">
        <f t="shared" ref="I38" si="47">I37/H37-1</f>
        <v>-7.1276195256619435E-2</v>
      </c>
      <c r="J38" s="24">
        <f t="shared" ref="J38" si="48">J37/I37-1</f>
        <v>-3.5643831914606183E-2</v>
      </c>
      <c r="K38" s="24">
        <f ca="1">OFFSET(K38,MATCH($D$5,$B39:$B41,0),0)</f>
        <v>-3.5999999999999997E-2</v>
      </c>
      <c r="L38" s="24">
        <f t="shared" ref="L38" ca="1" si="49">OFFSET(L38,MATCH($D$5,$B39:$B41,0),0)</f>
        <v>-2.6999999999999996E-2</v>
      </c>
      <c r="M38" s="24">
        <f t="shared" ref="M38" ca="1" si="50">OFFSET(M38,MATCH($D$5,$B39:$B41,0),0)</f>
        <v>-1.7999999999999995E-2</v>
      </c>
      <c r="N38" s="24">
        <f t="shared" ref="N38" ca="1" si="51">OFFSET(N38,MATCH($D$5,$B39:$B41,0),0)</f>
        <v>-8.9999999999999959E-3</v>
      </c>
      <c r="O38" s="24">
        <f t="shared" ref="O38" ca="1" si="52">OFFSET(O38,MATCH($D$5,$B39:$B41,0),0)</f>
        <v>0</v>
      </c>
    </row>
    <row r="39" spans="2:19" x14ac:dyDescent="0.25">
      <c r="B39" s="156" t="s">
        <v>198</v>
      </c>
      <c r="G39" s="66"/>
      <c r="H39" s="66"/>
      <c r="I39" s="66"/>
      <c r="J39" s="66"/>
      <c r="K39" s="77">
        <f>K40+$R$24</f>
        <v>-1.6499999999999997E-2</v>
      </c>
      <c r="L39" s="77">
        <f t="shared" ref="L39" si="53">L40+$R$24</f>
        <v>-7.4999999999999963E-3</v>
      </c>
      <c r="M39" s="77">
        <f t="shared" ref="M39" si="54">M40+$R$24</f>
        <v>1.5000000000000048E-3</v>
      </c>
      <c r="N39" s="77">
        <f t="shared" ref="N39" si="55">N40+$R$24</f>
        <v>1.0500000000000004E-2</v>
      </c>
      <c r="O39" s="77">
        <f t="shared" ref="O39" si="56">O40+$R$24</f>
        <v>1.95E-2</v>
      </c>
    </row>
    <row r="40" spans="2:19" x14ac:dyDescent="0.25">
      <c r="B40" s="156" t="s">
        <v>40</v>
      </c>
      <c r="G40" s="66"/>
      <c r="H40" s="66"/>
      <c r="I40" s="66"/>
      <c r="J40" s="66"/>
      <c r="K40" s="167">
        <v>-3.5999999999999997E-2</v>
      </c>
      <c r="L40" s="77">
        <f>K40+($O$40-$K$40)/4</f>
        <v>-2.6999999999999996E-2</v>
      </c>
      <c r="M40" s="77">
        <f t="shared" ref="M40:N40" si="57">L40+($O$40-$K$40)/4</f>
        <v>-1.7999999999999995E-2</v>
      </c>
      <c r="N40" s="77">
        <f t="shared" si="57"/>
        <v>-8.9999999999999959E-3</v>
      </c>
      <c r="O40" s="167">
        <v>0</v>
      </c>
    </row>
    <row r="41" spans="2:19" x14ac:dyDescent="0.25">
      <c r="B41" s="156" t="s">
        <v>199</v>
      </c>
      <c r="G41" s="66"/>
      <c r="H41" s="66"/>
      <c r="I41" s="66"/>
      <c r="J41" s="66"/>
      <c r="K41" s="77">
        <f>K40+$R$26</f>
        <v>-6.8500000000000005E-2</v>
      </c>
      <c r="L41" s="77">
        <f t="shared" ref="L41" si="58">L40+$R$26</f>
        <v>-5.9499999999999997E-2</v>
      </c>
      <c r="M41" s="77">
        <f t="shared" ref="M41" si="59">M40+$R$26</f>
        <v>-5.0499999999999996E-2</v>
      </c>
      <c r="N41" s="77">
        <f t="shared" ref="N41" si="60">N40+$R$26</f>
        <v>-4.1499999999999995E-2</v>
      </c>
      <c r="O41" s="77">
        <f t="shared" ref="O41" si="61">O40+$R$26</f>
        <v>-3.2500000000000001E-2</v>
      </c>
    </row>
    <row r="42" spans="2:19" x14ac:dyDescent="0.25">
      <c r="B42" s="72" t="s">
        <v>193</v>
      </c>
      <c r="G42" s="165">
        <v>78129</v>
      </c>
      <c r="H42" s="165">
        <v>85200</v>
      </c>
      <c r="I42" s="165">
        <v>96169</v>
      </c>
      <c r="J42" s="165">
        <v>109158</v>
      </c>
      <c r="K42" s="66">
        <f ca="1">J42*(1+K43)</f>
        <v>123894.33</v>
      </c>
      <c r="L42" s="66">
        <f t="shared" ref="L42" ca="1" si="62">K42*(1+L43)</f>
        <v>142013.87576250001</v>
      </c>
      <c r="M42" s="66">
        <f t="shared" ref="M42" ca="1" si="63">L42*(1+M43)</f>
        <v>164381.06119509376</v>
      </c>
      <c r="N42" s="66">
        <f t="shared" ref="N42" ca="1" si="64">M42*(1+N43)</f>
        <v>192120.36527176583</v>
      </c>
      <c r="O42" s="66">
        <f t="shared" ref="O42" ca="1" si="65">N42*(1+O43)</f>
        <v>226702.03102068367</v>
      </c>
      <c r="P42" s="69">
        <f>_xlfn.RRI(3,G42,J42)</f>
        <v>0.1179295469772581</v>
      </c>
      <c r="Q42" s="69">
        <f ca="1">_xlfn.RRI(4,K42,O42)</f>
        <v>0.16305698767482202</v>
      </c>
      <c r="S42" s="64">
        <f>J42/J$47</f>
        <v>0.26229752427546071</v>
      </c>
    </row>
    <row r="43" spans="2:19" x14ac:dyDescent="0.25">
      <c r="B43" s="76" t="s">
        <v>203</v>
      </c>
      <c r="G43" s="66"/>
      <c r="H43" s="24">
        <f>H42/G42-1</f>
        <v>9.0504166186691215E-2</v>
      </c>
      <c r="I43" s="24">
        <f t="shared" ref="I43" si="66">I42/H42-1</f>
        <v>0.12874413145539898</v>
      </c>
      <c r="J43" s="24">
        <f t="shared" ref="J43" si="67">J42/I42-1</f>
        <v>0.13506431386413498</v>
      </c>
      <c r="K43" s="24">
        <f ca="1">OFFSET(K43,MATCH($D$5,$B44:$B46,0),0)</f>
        <v>0.13500000000000001</v>
      </c>
      <c r="L43" s="24">
        <f t="shared" ref="L43" ca="1" si="68">OFFSET(L43,MATCH($D$5,$B44:$B46,0),0)</f>
        <v>0.14624999999999999</v>
      </c>
      <c r="M43" s="24">
        <f t="shared" ref="M43" ca="1" si="69">OFFSET(M43,MATCH($D$5,$B44:$B46,0),0)</f>
        <v>0.15749999999999997</v>
      </c>
      <c r="N43" s="24">
        <f t="shared" ref="N43" ca="1" si="70">OFFSET(N43,MATCH($D$5,$B44:$B46,0),0)</f>
        <v>0.16874999999999996</v>
      </c>
      <c r="O43" s="24">
        <f t="shared" ref="O43" ca="1" si="71">OFFSET(O43,MATCH($D$5,$B44:$B46,0),0)</f>
        <v>0.18</v>
      </c>
    </row>
    <row r="44" spans="2:19" x14ac:dyDescent="0.25">
      <c r="B44" s="156" t="s">
        <v>198</v>
      </c>
      <c r="G44" s="66"/>
      <c r="H44" s="66"/>
      <c r="I44" s="66"/>
      <c r="J44" s="66"/>
      <c r="K44" s="77">
        <f>K45+$R$24</f>
        <v>0.1545</v>
      </c>
      <c r="L44" s="77">
        <f t="shared" ref="L44" si="72">L45+$R$24</f>
        <v>0.16574999999999998</v>
      </c>
      <c r="M44" s="77">
        <f t="shared" ref="M44" si="73">M45+$R$24</f>
        <v>0.17699999999999996</v>
      </c>
      <c r="N44" s="77">
        <f t="shared" ref="N44" si="74">N45+$R$24</f>
        <v>0.18824999999999995</v>
      </c>
      <c r="O44" s="77">
        <f t="shared" ref="O44" si="75">O45+$R$24</f>
        <v>0.19949999999999998</v>
      </c>
    </row>
    <row r="45" spans="2:19" x14ac:dyDescent="0.25">
      <c r="B45" s="156" t="s">
        <v>40</v>
      </c>
      <c r="G45" s="66"/>
      <c r="H45" s="66"/>
      <c r="I45" s="66"/>
      <c r="J45" s="66"/>
      <c r="K45" s="167">
        <v>0.13500000000000001</v>
      </c>
      <c r="L45" s="77">
        <f>K45+($O$45-$K$45)/4</f>
        <v>0.14624999999999999</v>
      </c>
      <c r="M45" s="77">
        <f t="shared" ref="M45:N45" si="76">L45+($O$45-$K$45)/4</f>
        <v>0.15749999999999997</v>
      </c>
      <c r="N45" s="77">
        <f t="shared" si="76"/>
        <v>0.16874999999999996</v>
      </c>
      <c r="O45" s="167">
        <v>0.18</v>
      </c>
    </row>
    <row r="46" spans="2:19" x14ac:dyDescent="0.25">
      <c r="B46" s="156" t="s">
        <v>199</v>
      </c>
      <c r="G46" s="66"/>
      <c r="H46" s="66"/>
      <c r="I46" s="66"/>
      <c r="J46" s="66"/>
      <c r="K46" s="77">
        <f>K45+$R$26</f>
        <v>0.10250000000000001</v>
      </c>
      <c r="L46" s="77">
        <f t="shared" ref="L46" si="77">L45+$R$26</f>
        <v>0.11374999999999999</v>
      </c>
      <c r="M46" s="77">
        <f t="shared" ref="M46" si="78">M45+$R$26</f>
        <v>0.12499999999999997</v>
      </c>
      <c r="N46" s="77">
        <f t="shared" ref="N46" si="79">N45+$R$26</f>
        <v>0.13624999999999995</v>
      </c>
      <c r="O46" s="77">
        <f t="shared" ref="O46" si="80">O45+$R$26</f>
        <v>0.14749999999999999</v>
      </c>
    </row>
    <row r="47" spans="2:19" x14ac:dyDescent="0.25">
      <c r="B47" s="65" t="s">
        <v>194</v>
      </c>
      <c r="C47" s="65"/>
      <c r="D47" s="65"/>
      <c r="E47" s="65"/>
      <c r="F47" s="65"/>
      <c r="G47" s="168">
        <v>394328</v>
      </c>
      <c r="H47" s="168">
        <v>383285</v>
      </c>
      <c r="I47" s="168">
        <v>391035</v>
      </c>
      <c r="J47" s="168">
        <v>416161</v>
      </c>
      <c r="K47" s="67">
        <f ca="1">K21+K27+K32+K37+K42</f>
        <v>443442.18400000007</v>
      </c>
      <c r="L47" s="67">
        <f t="shared" ref="L47:O47" ca="1" si="81">L21+L27+L32+L37+L42</f>
        <v>473669.39513950003</v>
      </c>
      <c r="M47" s="67">
        <f t="shared" ca="1" si="81"/>
        <v>507416.19591182284</v>
      </c>
      <c r="N47" s="67">
        <f t="shared" ca="1" si="81"/>
        <v>545530.24319316132</v>
      </c>
      <c r="O47" s="67">
        <f t="shared" ca="1" si="81"/>
        <v>589231.31115203619</v>
      </c>
      <c r="P47" s="69">
        <f>_xlfn.RRI(3,G47,J47)</f>
        <v>1.8125357434793932E-2</v>
      </c>
      <c r="Q47" s="69">
        <f ca="1">_xlfn.RRI(4,K47,O47)</f>
        <v>7.3648701160258234E-2</v>
      </c>
    </row>
    <row r="48" spans="2:19" x14ac:dyDescent="0.25">
      <c r="B48" s="76" t="s">
        <v>204</v>
      </c>
      <c r="H48" s="24">
        <f>H47/G47-1</f>
        <v>-2.800460530319937E-2</v>
      </c>
      <c r="I48" s="24">
        <f t="shared" ref="I48:O48" si="82">I47/H47-1</f>
        <v>2.021994077514111E-2</v>
      </c>
      <c r="J48" s="24">
        <f t="shared" si="82"/>
        <v>6.425511782832749E-2</v>
      </c>
      <c r="K48" s="24">
        <f t="shared" ca="1" si="82"/>
        <v>6.5554398417920101E-2</v>
      </c>
      <c r="L48" s="24">
        <f t="shared" ca="1" si="82"/>
        <v>6.8164942872236844E-2</v>
      </c>
      <c r="M48" s="24">
        <f t="shared" ca="1" si="82"/>
        <v>7.1245474414457499E-2</v>
      </c>
      <c r="N48" s="24">
        <f t="shared" ca="1" si="82"/>
        <v>7.5113974659101856E-2</v>
      </c>
      <c r="O48" s="24">
        <f t="shared" ca="1" si="82"/>
        <v>8.0107507336492745E-2</v>
      </c>
    </row>
    <row r="51" spans="1:20" s="1" customFormat="1" x14ac:dyDescent="0.25">
      <c r="A51" s="1" t="s">
        <v>32</v>
      </c>
      <c r="B51" s="18" t="s">
        <v>43</v>
      </c>
      <c r="C51" s="22"/>
      <c r="D51" s="23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</row>
    <row r="52" spans="1:20" s="1" customFormat="1" x14ac:dyDescent="0.25"/>
    <row r="53" spans="1:20" s="1" customFormat="1" x14ac:dyDescent="0.25">
      <c r="B53" s="17" t="s">
        <v>206</v>
      </c>
    </row>
    <row r="55" spans="1:20" x14ac:dyDescent="0.25">
      <c r="B55" s="72" t="s">
        <v>130</v>
      </c>
      <c r="G55" s="163">
        <f>Statements!G25</f>
        <v>201471</v>
      </c>
      <c r="H55" s="163">
        <f>Statements!H25</f>
        <v>189282</v>
      </c>
      <c r="I55" s="163">
        <f>Statements!I25</f>
        <v>185233</v>
      </c>
      <c r="J55" s="163">
        <f>Statements!J25</f>
        <v>194116</v>
      </c>
      <c r="K55" s="66">
        <f ca="1">J55*(1+K56)</f>
        <v>203433.568</v>
      </c>
      <c r="L55" s="66">
        <f t="shared" ref="L55" ca="1" si="83">K55*(1+L56)</f>
        <v>210146.87574399999</v>
      </c>
      <c r="M55" s="66">
        <f t="shared" ref="M55" ca="1" si="84">L55*(1+M56)</f>
        <v>213929.51950739199</v>
      </c>
      <c r="N55" s="66">
        <f t="shared" ref="N55" ca="1" si="85">M55*(1+N56)</f>
        <v>214571.3080659142</v>
      </c>
      <c r="O55" s="66">
        <f t="shared" ref="O55" ca="1" si="86">N55*(1+O56)</f>
        <v>211996.45236912323</v>
      </c>
      <c r="P55" s="69">
        <f>_xlfn.RRI(3,G55,J55)</f>
        <v>-1.2319990422833604E-2</v>
      </c>
      <c r="Q55" s="69">
        <f ca="1">_xlfn.RRI(4,K55,O55)</f>
        <v>1.0360814364836823E-2</v>
      </c>
    </row>
    <row r="56" spans="1:20" x14ac:dyDescent="0.25">
      <c r="B56" s="71" t="s">
        <v>208</v>
      </c>
      <c r="H56" s="24">
        <f>H55/G55-1</f>
        <v>-6.0500022335720827E-2</v>
      </c>
      <c r="I56" s="24">
        <f t="shared" ref="I56:J56" si="87">I55/H55-1</f>
        <v>-2.1391363151276876E-2</v>
      </c>
      <c r="J56" s="24">
        <f t="shared" si="87"/>
        <v>4.7955817807842083E-2</v>
      </c>
      <c r="K56" s="24">
        <f ca="1">OFFSET(K56,MATCH($D$5,$B57:$B59,0),0)</f>
        <v>4.8000000000000001E-2</v>
      </c>
      <c r="L56" s="24">
        <f t="shared" ref="L56" ca="1" si="88">OFFSET(L56,MATCH($D$5,$B57:$B59,0),0)</f>
        <v>3.3000000000000002E-2</v>
      </c>
      <c r="M56" s="24">
        <f t="shared" ref="M56" ca="1" si="89">OFFSET(M56,MATCH($D$5,$B57:$B59,0),0)</f>
        <v>1.8000000000000002E-2</v>
      </c>
      <c r="N56" s="24">
        <f t="shared" ref="N56" ca="1" si="90">OFFSET(N56,MATCH($D$5,$B57:$B59,0),0)</f>
        <v>3.0000000000000027E-3</v>
      </c>
      <c r="O56" s="24">
        <f t="shared" ref="O56" ca="1" si="91">OFFSET(O56,MATCH($D$5,$B57:$B59,0),0)</f>
        <v>-1.2E-2</v>
      </c>
    </row>
    <row r="57" spans="1:20" x14ac:dyDescent="0.25">
      <c r="B57" s="156" t="s">
        <v>198</v>
      </c>
      <c r="K57" s="77">
        <f>K58+$R$24</f>
        <v>6.7500000000000004E-2</v>
      </c>
      <c r="L57" s="77">
        <f t="shared" ref="L57" si="92">L58+$R$24</f>
        <v>5.2500000000000005E-2</v>
      </c>
      <c r="M57" s="77">
        <f t="shared" ref="M57" si="93">M58+$R$24</f>
        <v>3.7500000000000006E-2</v>
      </c>
      <c r="N57" s="77">
        <f t="shared" ref="N57" si="94">N58+$R$24</f>
        <v>2.2500000000000003E-2</v>
      </c>
      <c r="O57" s="77">
        <f t="shared" ref="O57" si="95">O58+$R$24</f>
        <v>7.4999999999999997E-3</v>
      </c>
    </row>
    <row r="58" spans="1:20" x14ac:dyDescent="0.25">
      <c r="B58" s="156" t="s">
        <v>40</v>
      </c>
      <c r="K58" s="77">
        <v>4.8000000000000001E-2</v>
      </c>
      <c r="L58" s="77">
        <f>K58+($O$58-$K$58)/4</f>
        <v>3.3000000000000002E-2</v>
      </c>
      <c r="M58" s="77">
        <f t="shared" ref="M58:N58" si="96">L58+($O$58-$K$58)/4</f>
        <v>1.8000000000000002E-2</v>
      </c>
      <c r="N58" s="77">
        <f t="shared" si="96"/>
        <v>3.0000000000000027E-3</v>
      </c>
      <c r="O58" s="167">
        <v>-1.2E-2</v>
      </c>
    </row>
    <row r="59" spans="1:20" x14ac:dyDescent="0.25">
      <c r="B59" s="156" t="s">
        <v>199</v>
      </c>
      <c r="K59" s="77">
        <f>K58+$R$26</f>
        <v>1.55E-2</v>
      </c>
      <c r="L59" s="77">
        <f t="shared" ref="L59" si="97">L58+$R$26</f>
        <v>5.0000000000000044E-4</v>
      </c>
      <c r="M59" s="77">
        <f t="shared" ref="M59" si="98">M58+$R$26</f>
        <v>-1.4499999999999999E-2</v>
      </c>
      <c r="N59" s="77">
        <f t="shared" ref="N59" si="99">N58+$R$26</f>
        <v>-2.9499999999999998E-2</v>
      </c>
      <c r="O59" s="77">
        <f t="shared" ref="O59" si="100">O58+$R$26</f>
        <v>-4.4499999999999998E-2</v>
      </c>
    </row>
    <row r="60" spans="1:20" x14ac:dyDescent="0.25">
      <c r="B60" s="72" t="s">
        <v>131</v>
      </c>
      <c r="G60" s="163">
        <f>Statements!G26</f>
        <v>22075</v>
      </c>
      <c r="H60" s="163">
        <f>Statements!H26</f>
        <v>24855</v>
      </c>
      <c r="I60" s="163">
        <f>Statements!I26</f>
        <v>25119</v>
      </c>
      <c r="J60" s="163">
        <f>Statements!J26</f>
        <v>26844</v>
      </c>
      <c r="K60" s="66">
        <f ca="1">J60*(1+K61)</f>
        <v>29098.896000000001</v>
      </c>
      <c r="L60" s="66">
        <f t="shared" ref="L60" ca="1" si="101">K60*(1+L61)</f>
        <v>31339.510992</v>
      </c>
      <c r="M60" s="66">
        <f t="shared" ref="M60" ca="1" si="102">L60*(1+M61)</f>
        <v>34105.222837043999</v>
      </c>
      <c r="N60" s="66">
        <f t="shared" ref="N60" ca="1" si="103">M60*(1+N61)</f>
        <v>37498.692509329871</v>
      </c>
      <c r="O60" s="66">
        <f t="shared" ref="O60" ca="1" si="104">N60*(1+O61)</f>
        <v>39598.619289852344</v>
      </c>
      <c r="P60" s="69">
        <f>_xlfn.RRI(3,G60,J60)</f>
        <v>6.737126279545036E-2</v>
      </c>
      <c r="Q60" s="69">
        <f ca="1">_xlfn.RRI(4,K60,O60)</f>
        <v>8.0067461978635901E-2</v>
      </c>
    </row>
    <row r="61" spans="1:20" x14ac:dyDescent="0.25">
      <c r="B61" s="71" t="s">
        <v>209</v>
      </c>
      <c r="H61" s="24">
        <f>H60/G60-1</f>
        <v>0.12593431483578699</v>
      </c>
      <c r="I61" s="24">
        <f t="shared" ref="I61" si="105">I60/H60-1</f>
        <v>1.0621605310802584E-2</v>
      </c>
      <c r="J61" s="24">
        <f t="shared" ref="J61" si="106">J60/I60-1</f>
        <v>6.8673115967992304E-2</v>
      </c>
      <c r="K61" s="24">
        <f ca="1">OFFSET(K61,MATCH($D$5,$B62:$B64,0),0)</f>
        <v>8.4000000000000005E-2</v>
      </c>
      <c r="L61" s="24">
        <f t="shared" ref="L61" ca="1" si="107">OFFSET(L61,MATCH($D$5,$B62:$B64,0),0)</f>
        <v>7.6999999999999999E-2</v>
      </c>
      <c r="M61" s="24">
        <f t="shared" ref="M61" ca="1" si="108">OFFSET(M61,MATCH($D$5,$B62:$B64,0),0)</f>
        <v>8.8249999999999995E-2</v>
      </c>
      <c r="N61" s="24">
        <f t="shared" ref="N61" ca="1" si="109">OFFSET(N61,MATCH($D$5,$B62:$B64,0),0)</f>
        <v>9.9499999999999991E-2</v>
      </c>
      <c r="O61" s="24">
        <f t="shared" ref="O61" ca="1" si="110">OFFSET(O61,MATCH($D$5,$B62:$B64,0),0)</f>
        <v>5.6000000000000001E-2</v>
      </c>
    </row>
    <row r="62" spans="1:20" x14ac:dyDescent="0.25">
      <c r="B62" s="156" t="s">
        <v>198</v>
      </c>
      <c r="K62" s="77">
        <f>K63+$R$24</f>
        <v>0.10350000000000001</v>
      </c>
      <c r="L62" s="77">
        <f t="shared" ref="L62" si="111">L63+$R$24</f>
        <v>9.6500000000000002E-2</v>
      </c>
      <c r="M62" s="77">
        <f t="shared" ref="M62" si="112">M63+$R$24</f>
        <v>0.10775</v>
      </c>
      <c r="N62" s="77">
        <f t="shared" ref="N62" si="113">N63+$R$24</f>
        <v>0.11899999999999999</v>
      </c>
      <c r="O62" s="77">
        <f t="shared" ref="O62" si="114">O63+$R$24</f>
        <v>7.5499999999999998E-2</v>
      </c>
    </row>
    <row r="63" spans="1:20" x14ac:dyDescent="0.25">
      <c r="B63" s="156" t="s">
        <v>40</v>
      </c>
      <c r="K63" s="77">
        <v>8.4000000000000005E-2</v>
      </c>
      <c r="L63" s="77">
        <f>K63+($O$63-$K$63)/4</f>
        <v>7.6999999999999999E-2</v>
      </c>
      <c r="M63" s="77">
        <f t="shared" ref="M63:N63" si="115">L63+($O$45-$K$45)/4</f>
        <v>8.8249999999999995E-2</v>
      </c>
      <c r="N63" s="77">
        <f t="shared" si="115"/>
        <v>9.9499999999999991E-2</v>
      </c>
      <c r="O63" s="167">
        <v>5.6000000000000001E-2</v>
      </c>
    </row>
    <row r="64" spans="1:20" x14ac:dyDescent="0.25">
      <c r="B64" s="156" t="s">
        <v>199</v>
      </c>
      <c r="K64" s="77">
        <f>K63+$R$26</f>
        <v>5.1500000000000004E-2</v>
      </c>
      <c r="L64" s="77">
        <f t="shared" ref="L64" si="116">L63+$R$26</f>
        <v>4.4499999999999998E-2</v>
      </c>
      <c r="M64" s="77">
        <f t="shared" ref="M64" si="117">M63+$R$26</f>
        <v>5.5749999999999994E-2</v>
      </c>
      <c r="N64" s="77">
        <f t="shared" ref="N64" si="118">N63+$R$26</f>
        <v>6.699999999999999E-2</v>
      </c>
      <c r="O64" s="77">
        <f t="shared" ref="O64" si="119">O63+$R$26</f>
        <v>2.35E-2</v>
      </c>
    </row>
    <row r="65" spans="2:17" x14ac:dyDescent="0.25">
      <c r="B65" s="65" t="s">
        <v>207</v>
      </c>
      <c r="G65" s="67">
        <f>G55+G60</f>
        <v>223546</v>
      </c>
      <c r="H65" s="67">
        <f t="shared" ref="H65:O65" si="120">H55+H60</f>
        <v>214137</v>
      </c>
      <c r="I65" s="67">
        <f t="shared" si="120"/>
        <v>210352</v>
      </c>
      <c r="J65" s="67">
        <f t="shared" si="120"/>
        <v>220960</v>
      </c>
      <c r="K65" s="67">
        <f t="shared" ca="1" si="120"/>
        <v>232532.46400000001</v>
      </c>
      <c r="L65" s="67">
        <f t="shared" ca="1" si="120"/>
        <v>241486.38673599999</v>
      </c>
      <c r="M65" s="67">
        <f t="shared" ca="1" si="120"/>
        <v>248034.742344436</v>
      </c>
      <c r="N65" s="67">
        <f t="shared" ca="1" si="120"/>
        <v>252070.00057524408</v>
      </c>
      <c r="O65" s="67">
        <f t="shared" ca="1" si="120"/>
        <v>251595.07165897556</v>
      </c>
      <c r="P65" s="69">
        <f>_xlfn.RRI(3,G65,J65)</f>
        <v>-3.8709948978793429E-3</v>
      </c>
      <c r="Q65" s="69">
        <f ca="1">_xlfn.RRI(4,K65,O65)</f>
        <v>1.9893054032602775E-2</v>
      </c>
    </row>
    <row r="66" spans="2:17" x14ac:dyDescent="0.25">
      <c r="B66" s="76" t="s">
        <v>213</v>
      </c>
      <c r="H66" s="24">
        <f>H65/G65-1</f>
        <v>-4.208977123276636E-2</v>
      </c>
      <c r="I66" s="24">
        <f t="shared" ref="I66" si="121">I65/H65-1</f>
        <v>-1.7675600199872021E-2</v>
      </c>
      <c r="J66" s="24">
        <f t="shared" ref="J66" si="122">J65/I65-1</f>
        <v>5.0429755837833712E-2</v>
      </c>
      <c r="K66" s="24">
        <f t="shared" ref="K66" ca="1" si="123">K65/J65-1</f>
        <v>5.2373569876900783E-2</v>
      </c>
      <c r="L66" s="24">
        <f t="shared" ref="L66" ca="1" si="124">L65/K65-1</f>
        <v>3.8506119025169649E-2</v>
      </c>
      <c r="M66" s="24">
        <f t="shared" ref="M66" ca="1" si="125">M65/L65-1</f>
        <v>2.7116872702206862E-2</v>
      </c>
      <c r="N66" s="24">
        <f t="shared" ref="N66" ca="1" si="126">N65/M65-1</f>
        <v>1.626892342849473E-2</v>
      </c>
      <c r="O66" s="24">
        <f t="shared" ref="O66" ca="1" si="127">O65/N65-1</f>
        <v>-1.8841151869904982E-3</v>
      </c>
    </row>
    <row r="68" spans="2:17" x14ac:dyDescent="0.25">
      <c r="B68" s="34" t="s">
        <v>136</v>
      </c>
      <c r="C68" s="1"/>
      <c r="D68" s="1"/>
    </row>
    <row r="69" spans="2:17" x14ac:dyDescent="0.25">
      <c r="C69" s="1"/>
      <c r="D69" s="1"/>
    </row>
    <row r="70" spans="2:17" x14ac:dyDescent="0.25">
      <c r="B70" s="63" t="s">
        <v>137</v>
      </c>
      <c r="C70" s="1"/>
      <c r="D70" s="1"/>
      <c r="G70" s="163">
        <f>Statements!G32</f>
        <v>26251</v>
      </c>
      <c r="H70" s="163">
        <f>Statements!H32</f>
        <v>29915</v>
      </c>
      <c r="I70" s="163">
        <f>Statements!I32</f>
        <v>31370</v>
      </c>
      <c r="J70" s="163">
        <f>Statements!J32</f>
        <v>34550</v>
      </c>
      <c r="K70" s="66">
        <f ca="1">J70*(1+K71)</f>
        <v>38039.549999999996</v>
      </c>
      <c r="L70" s="66">
        <f t="shared" ref="L70" ca="1" si="128">K70*(1+L71)</f>
        <v>41634.287474999997</v>
      </c>
      <c r="M70" s="66">
        <f t="shared" ref="M70" ca="1" si="129">L70*(1+M71)</f>
        <v>45298.104772799998</v>
      </c>
      <c r="N70" s="66">
        <f t="shared" ref="N70" ca="1" si="130">M70*(1+N71)</f>
        <v>48989.900311783196</v>
      </c>
      <c r="O70" s="66">
        <f t="shared" ref="O70" ca="1" si="131">N70*(1+O71)</f>
        <v>52664.142835166931</v>
      </c>
      <c r="P70" s="69">
        <f>_xlfn.RRI(3,G70,J70)</f>
        <v>9.5891099940704105E-2</v>
      </c>
      <c r="Q70" s="69">
        <f ca="1">_xlfn.RRI(4,K70,O70)</f>
        <v>8.47256562105696E-2</v>
      </c>
    </row>
    <row r="71" spans="2:17" x14ac:dyDescent="0.25">
      <c r="B71" s="71" t="s">
        <v>210</v>
      </c>
      <c r="C71" s="17"/>
      <c r="D71" s="17"/>
      <c r="H71" s="24">
        <f>H70/G70-1</f>
        <v>0.1395756352138966</v>
      </c>
      <c r="I71" s="24">
        <f t="shared" ref="I71" si="132">I70/H70-1</f>
        <v>4.8637807120173848E-2</v>
      </c>
      <c r="J71" s="24">
        <f t="shared" ref="J71" si="133">J70/I70-1</f>
        <v>0.10137073637233018</v>
      </c>
      <c r="K71" s="24">
        <f ca="1">OFFSET(K71,MATCH($D$5,$B72:$B74,0),0)</f>
        <v>0.10100000000000001</v>
      </c>
      <c r="L71" s="24">
        <f t="shared" ref="L71" ca="1" si="134">OFFSET(L71,MATCH($D$5,$B72:$B74,0),0)</f>
        <v>9.4500000000000001E-2</v>
      </c>
      <c r="M71" s="24">
        <f t="shared" ref="M71" ca="1" si="135">OFFSET(M71,MATCH($D$5,$B72:$B74,0),0)</f>
        <v>8.7999999999999995E-2</v>
      </c>
      <c r="N71" s="24">
        <f t="shared" ref="N71" ca="1" si="136">OFFSET(N71,MATCH($D$5,$B72:$B74,0),0)</f>
        <v>8.1499999999999989E-2</v>
      </c>
      <c r="O71" s="24">
        <f t="shared" ref="O71" ca="1" si="137">OFFSET(O71,MATCH($D$5,$B72:$B74,0),0)</f>
        <v>7.4999999999999997E-2</v>
      </c>
    </row>
    <row r="72" spans="2:17" x14ac:dyDescent="0.25">
      <c r="B72" s="156" t="s">
        <v>198</v>
      </c>
      <c r="C72" s="1"/>
      <c r="D72" s="1"/>
      <c r="K72" s="77">
        <f>K73-$R$24</f>
        <v>8.1500000000000003E-2</v>
      </c>
      <c r="L72" s="77">
        <f t="shared" ref="L72:O72" si="138">L73-$R$24</f>
        <v>7.4999999999999997E-2</v>
      </c>
      <c r="M72" s="77">
        <f t="shared" si="138"/>
        <v>6.8499999999999991E-2</v>
      </c>
      <c r="N72" s="77">
        <f t="shared" si="138"/>
        <v>6.1999999999999986E-2</v>
      </c>
      <c r="O72" s="77">
        <f t="shared" si="138"/>
        <v>5.5499999999999994E-2</v>
      </c>
    </row>
    <row r="73" spans="2:17" x14ac:dyDescent="0.25">
      <c r="B73" s="156" t="s">
        <v>40</v>
      </c>
      <c r="K73" s="77">
        <v>0.10100000000000001</v>
      </c>
      <c r="L73" s="77">
        <f>K73+($O$73-$K$73)/4</f>
        <v>9.4500000000000001E-2</v>
      </c>
      <c r="M73" s="77">
        <f t="shared" ref="M73:N73" si="139">L73+($O$73-$K$73)/4</f>
        <v>8.7999999999999995E-2</v>
      </c>
      <c r="N73" s="77">
        <f t="shared" si="139"/>
        <v>8.1499999999999989E-2</v>
      </c>
      <c r="O73" s="167">
        <v>7.4999999999999997E-2</v>
      </c>
    </row>
    <row r="74" spans="2:17" x14ac:dyDescent="0.25">
      <c r="B74" s="156" t="s">
        <v>199</v>
      </c>
      <c r="K74" s="77">
        <f>K73-$R$26</f>
        <v>0.13350000000000001</v>
      </c>
      <c r="L74" s="77">
        <f t="shared" ref="L74:O74" si="140">L73-$R$26</f>
        <v>0.127</v>
      </c>
      <c r="M74" s="77">
        <f t="shared" si="140"/>
        <v>0.1205</v>
      </c>
      <c r="N74" s="77">
        <f t="shared" si="140"/>
        <v>0.11399999999999999</v>
      </c>
      <c r="O74" s="77">
        <f t="shared" si="140"/>
        <v>0.1075</v>
      </c>
    </row>
    <row r="75" spans="2:17" x14ac:dyDescent="0.25">
      <c r="B75" s="63" t="s">
        <v>138</v>
      </c>
      <c r="G75" s="163">
        <f>Statements!G33</f>
        <v>25094</v>
      </c>
      <c r="H75" s="163">
        <f>Statements!H33</f>
        <v>24932</v>
      </c>
      <c r="I75" s="163">
        <f>Statements!I33</f>
        <v>26097</v>
      </c>
      <c r="J75" s="163">
        <f>Statements!J33</f>
        <v>27601</v>
      </c>
      <c r="K75" s="66">
        <f ca="1">J75*(1+K76)</f>
        <v>29201.858</v>
      </c>
      <c r="L75" s="66">
        <f t="shared" ref="L75" ca="1" si="141">K75*(1+L76)</f>
        <v>30676.551829</v>
      </c>
      <c r="M75" s="66">
        <f t="shared" ref="M75" ca="1" si="142">L75*(1+M76)</f>
        <v>31995.643557646999</v>
      </c>
      <c r="N75" s="66">
        <f t="shared" ref="N75" ca="1" si="143">M75*(1+N76)</f>
        <v>33131.488903943471</v>
      </c>
      <c r="O75" s="66">
        <f t="shared" ref="O75" ca="1" si="144">N75*(1+O76)</f>
        <v>34059.17059325389</v>
      </c>
      <c r="P75" s="69">
        <f>_xlfn.RRI(3,G75,J75)</f>
        <v>3.2250197111978407E-2</v>
      </c>
      <c r="Q75" s="69">
        <f ca="1">_xlfn.RRI(4,K75,O75)</f>
        <v>3.9216170262528216E-2</v>
      </c>
    </row>
    <row r="76" spans="2:17" x14ac:dyDescent="0.25">
      <c r="B76" s="71" t="s">
        <v>211</v>
      </c>
      <c r="H76" s="24">
        <f>H75/G75-1</f>
        <v>-6.4557264684784732E-3</v>
      </c>
      <c r="I76" s="24">
        <f t="shared" ref="I76" si="145">I75/H75-1</f>
        <v>4.6727097705759668E-2</v>
      </c>
      <c r="J76" s="24">
        <f t="shared" ref="J76" si="146">J75/I75-1</f>
        <v>5.7631145342376566E-2</v>
      </c>
      <c r="K76" s="24">
        <f ca="1">OFFSET(K76,MATCH($D$5,$B77:$B79,0),0)</f>
        <v>5.8000000000000003E-2</v>
      </c>
      <c r="L76" s="24">
        <f t="shared" ref="L76" ca="1" si="147">OFFSET(L76,MATCH($D$5,$B77:$B79,0),0)</f>
        <v>5.0500000000000003E-2</v>
      </c>
      <c r="M76" s="24">
        <f t="shared" ref="M76" ca="1" si="148">OFFSET(M76,MATCH($D$5,$B77:$B79,0),0)</f>
        <v>4.3000000000000003E-2</v>
      </c>
      <c r="N76" s="24">
        <f t="shared" ref="N76" ca="1" si="149">OFFSET(N76,MATCH($D$5,$B77:$B79,0),0)</f>
        <v>3.5500000000000004E-2</v>
      </c>
      <c r="O76" s="24">
        <f t="shared" ref="O76" ca="1" si="150">OFFSET(O76,MATCH($D$5,$B77:$B79,0),0)</f>
        <v>2.8000000000000001E-2</v>
      </c>
    </row>
    <row r="77" spans="2:17" x14ac:dyDescent="0.25">
      <c r="B77" s="156" t="s">
        <v>198</v>
      </c>
      <c r="K77" s="77">
        <f>K78-$R$24</f>
        <v>3.8500000000000006E-2</v>
      </c>
      <c r="L77" s="77">
        <f t="shared" ref="L77:O77" si="151">L78-$R$24</f>
        <v>3.1000000000000003E-2</v>
      </c>
      <c r="M77" s="77">
        <f t="shared" si="151"/>
        <v>2.3500000000000004E-2</v>
      </c>
      <c r="N77" s="77">
        <f t="shared" si="151"/>
        <v>1.6000000000000004E-2</v>
      </c>
      <c r="O77" s="77">
        <f t="shared" si="151"/>
        <v>8.5000000000000006E-3</v>
      </c>
    </row>
    <row r="78" spans="2:17" x14ac:dyDescent="0.25">
      <c r="B78" s="156" t="s">
        <v>40</v>
      </c>
      <c r="K78" s="77">
        <v>5.8000000000000003E-2</v>
      </c>
      <c r="L78" s="77">
        <f>K78+($O$78-$K$78)/4</f>
        <v>5.0500000000000003E-2</v>
      </c>
      <c r="M78" s="77">
        <f t="shared" ref="M78:N78" si="152">L78+($O$78-$K$78)/4</f>
        <v>4.3000000000000003E-2</v>
      </c>
      <c r="N78" s="77">
        <f t="shared" si="152"/>
        <v>3.5500000000000004E-2</v>
      </c>
      <c r="O78" s="167">
        <v>2.8000000000000001E-2</v>
      </c>
    </row>
    <row r="79" spans="2:17" x14ac:dyDescent="0.25">
      <c r="B79" s="156" t="s">
        <v>199</v>
      </c>
      <c r="K79" s="77">
        <f>K78-$R$26</f>
        <v>9.0499999999999997E-2</v>
      </c>
      <c r="L79" s="77">
        <f t="shared" ref="L79:O79" si="153">L78-$R$26</f>
        <v>8.3000000000000004E-2</v>
      </c>
      <c r="M79" s="77">
        <f t="shared" si="153"/>
        <v>7.5500000000000012E-2</v>
      </c>
      <c r="N79" s="77">
        <f t="shared" si="153"/>
        <v>6.8000000000000005E-2</v>
      </c>
      <c r="O79" s="77">
        <f t="shared" si="153"/>
        <v>6.0499999999999998E-2</v>
      </c>
    </row>
    <row r="80" spans="2:17" x14ac:dyDescent="0.25">
      <c r="B80" s="34" t="s">
        <v>139</v>
      </c>
      <c r="G80" s="67">
        <f>G70+G75</f>
        <v>51345</v>
      </c>
      <c r="H80" s="67">
        <f t="shared" ref="H80:O80" si="154">H70+H75</f>
        <v>54847</v>
      </c>
      <c r="I80" s="67">
        <f t="shared" si="154"/>
        <v>57467</v>
      </c>
      <c r="J80" s="67">
        <f t="shared" si="154"/>
        <v>62151</v>
      </c>
      <c r="K80" s="67">
        <f t="shared" ca="1" si="154"/>
        <v>67241.407999999996</v>
      </c>
      <c r="L80" s="67">
        <f t="shared" ca="1" si="154"/>
        <v>72310.839303999994</v>
      </c>
      <c r="M80" s="67">
        <f t="shared" ca="1" si="154"/>
        <v>77293.748330446993</v>
      </c>
      <c r="N80" s="67">
        <f t="shared" ca="1" si="154"/>
        <v>82121.389215726667</v>
      </c>
      <c r="O80" s="67">
        <f t="shared" ca="1" si="154"/>
        <v>86723.313428420821</v>
      </c>
      <c r="P80" s="69">
        <f>_xlfn.RRI(3,G80,J80)</f>
        <v>6.5736861973982652E-2</v>
      </c>
      <c r="Q80" s="69">
        <f ca="1">_xlfn.RRI(4,K80,O80)</f>
        <v>6.5674971289819695E-2</v>
      </c>
    </row>
    <row r="81" spans="2:20" x14ac:dyDescent="0.25">
      <c r="B81" s="76" t="s">
        <v>212</v>
      </c>
      <c r="H81" s="24">
        <f>H80/G80-1</f>
        <v>6.8205278021228999E-2</v>
      </c>
      <c r="I81" s="24">
        <f t="shared" ref="I81" si="155">I80/H80-1</f>
        <v>4.7769249001768488E-2</v>
      </c>
      <c r="J81" s="24">
        <f t="shared" ref="J81" si="156">J80/I80-1</f>
        <v>8.1507647867471666E-2</v>
      </c>
      <c r="K81" s="24">
        <f t="shared" ref="K81" ca="1" si="157">K80/J80-1</f>
        <v>8.1903879261797874E-2</v>
      </c>
      <c r="L81" s="24">
        <f t="shared" ref="L81" ca="1" si="158">L80/K80-1</f>
        <v>7.5391510302699194E-2</v>
      </c>
      <c r="M81" s="24">
        <f t="shared" ref="M81" ca="1" si="159">M80/L80-1</f>
        <v>6.8909572539996189E-2</v>
      </c>
      <c r="N81" s="24">
        <f t="shared" ref="N81" ca="1" si="160">N80/M80-1</f>
        <v>6.2458361634119441E-2</v>
      </c>
      <c r="O81" s="24">
        <f ca="1">O80/N80-1</f>
        <v>5.603807067371025E-2</v>
      </c>
    </row>
    <row r="82" spans="2:20" x14ac:dyDescent="0.25">
      <c r="B82" s="34"/>
    </row>
    <row r="84" spans="2:20" ht="14.4" x14ac:dyDescent="0.3">
      <c r="B84" s="58" t="s">
        <v>57</v>
      </c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</row>
  </sheetData>
  <mergeCells count="4">
    <mergeCell ref="G6:J6"/>
    <mergeCell ref="K6:O6"/>
    <mergeCell ref="P6:Q6"/>
    <mergeCell ref="R6:T7"/>
  </mergeCells>
  <hyperlinks>
    <hyperlink ref="B9" location="Dashboard!A1" display="&lt;-Back to dashboard" xr:uid="{DCD15C9F-E496-4456-ADAB-79454FB5E8D0}"/>
    <hyperlink ref="C11" location="RF" display="Revenue forecast" xr:uid="{5BAF0C24-AF17-4DA4-B045-76E495DC16BB}"/>
    <hyperlink ref="E11" location="EF" display="Expense forecast" xr:uid="{21E33396-1534-48CA-B03D-06AFB818AA72}"/>
    <hyperlink ref="B84" location="Scenario!A8" display="&lt;- Go back to the top" xr:uid="{A12DDDAB-D9CA-432D-8C9D-4006ABCBCFAA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29DCA-4D1C-4402-96E5-93D1A5CE7238}">
  <dimension ref="A1:V37"/>
  <sheetViews>
    <sheetView showGridLines="0" zoomScaleNormal="100" workbookViewId="0">
      <pane xSplit="6" ySplit="7" topLeftCell="G9" activePane="bottomRight" state="frozen"/>
      <selection pane="topRight" activeCell="G1" sqref="G1"/>
      <selection pane="bottomLeft" activeCell="A8" sqref="A8"/>
      <selection pane="bottomRight" activeCell="A31" sqref="A31"/>
    </sheetView>
  </sheetViews>
  <sheetFormatPr defaultRowHeight="13.2" x14ac:dyDescent="0.25"/>
  <cols>
    <col min="1" max="1" width="2.88671875" style="1" customWidth="1"/>
    <col min="2" max="6" width="8.88671875" style="1"/>
    <col min="7" max="15" width="11.6640625" style="1" customWidth="1"/>
    <col min="16" max="17" width="10.6640625" style="1" customWidth="1"/>
    <col min="18" max="20" width="12.5546875" style="1" customWidth="1"/>
    <col min="21" max="16384" width="8.88671875" style="1"/>
  </cols>
  <sheetData>
    <row r="1" spans="1:22" s="5" customFormat="1" ht="13.8" x14ac:dyDescent="0.25"/>
    <row r="2" spans="1:22" s="5" customFormat="1" ht="15.6" x14ac:dyDescent="0.3">
      <c r="A2" s="4"/>
      <c r="B2" s="6" t="str">
        <f>Dashboard!B2</f>
        <v>Apple, Inc.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2" s="5" customFormat="1" ht="13.8" x14ac:dyDescent="0.25">
      <c r="B3" s="95" t="s">
        <v>16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2" s="5" customFormat="1" ht="13.8" x14ac:dyDescent="0.25">
      <c r="B4" s="94" t="str">
        <f>Dashboard!B4</f>
        <v>(In millions, except number of shares, which are reflected in thousands, and per-share amounts)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2" s="5" customFormat="1" ht="13.8" x14ac:dyDescent="0.25">
      <c r="B5" s="8" t="s">
        <v>39</v>
      </c>
      <c r="C5" s="7"/>
      <c r="D5" s="8" t="str">
        <f>Dashboard!G13</f>
        <v>Street</v>
      </c>
      <c r="E5" s="7"/>
      <c r="F5" s="7"/>
      <c r="G5" s="16"/>
      <c r="H5" s="16"/>
      <c r="I5" s="16"/>
      <c r="J5" s="16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2" s="5" customFormat="1" ht="13.8" x14ac:dyDescent="0.25">
      <c r="B6" s="8" t="s">
        <v>308</v>
      </c>
      <c r="C6" s="9"/>
      <c r="D6" s="9"/>
      <c r="E6" s="9"/>
      <c r="F6" s="9"/>
      <c r="G6" s="435" t="str">
        <f>Statements!G6</f>
        <v>Historicals</v>
      </c>
      <c r="H6" s="435"/>
      <c r="I6" s="435"/>
      <c r="J6" s="436"/>
      <c r="K6" s="437" t="str">
        <f>Statements!K6</f>
        <v>Projections</v>
      </c>
      <c r="L6" s="438"/>
      <c r="M6" s="438"/>
      <c r="N6" s="438"/>
      <c r="O6" s="438"/>
      <c r="P6" s="439" t="s">
        <v>30</v>
      </c>
      <c r="Q6" s="440"/>
      <c r="R6" s="441" t="s">
        <v>17</v>
      </c>
      <c r="S6" s="442"/>
      <c r="T6" s="442"/>
    </row>
    <row r="7" spans="1:22" s="5" customFormat="1" ht="13.8" x14ac:dyDescent="0.25">
      <c r="B7" s="8" t="s">
        <v>311</v>
      </c>
      <c r="C7" s="9"/>
      <c r="D7" s="9"/>
      <c r="E7" s="9"/>
      <c r="F7" s="9"/>
      <c r="G7" s="153">
        <v>44865</v>
      </c>
      <c r="H7" s="153">
        <f>EDATE(G7,12)</f>
        <v>45230</v>
      </c>
      <c r="I7" s="153">
        <f t="shared" ref="I7:O7" si="0">EDATE(H7,12)</f>
        <v>45596</v>
      </c>
      <c r="J7" s="153">
        <f t="shared" si="0"/>
        <v>45961</v>
      </c>
      <c r="K7" s="154">
        <f t="shared" si="0"/>
        <v>46326</v>
      </c>
      <c r="L7" s="154">
        <f t="shared" si="0"/>
        <v>46691</v>
      </c>
      <c r="M7" s="154">
        <f t="shared" si="0"/>
        <v>47057</v>
      </c>
      <c r="N7" s="154">
        <f t="shared" si="0"/>
        <v>47422</v>
      </c>
      <c r="O7" s="154">
        <f t="shared" si="0"/>
        <v>47787</v>
      </c>
      <c r="P7" s="27" t="s">
        <v>41</v>
      </c>
      <c r="Q7" s="26" t="s">
        <v>42</v>
      </c>
      <c r="R7" s="443"/>
      <c r="S7" s="444"/>
      <c r="T7" s="444"/>
    </row>
    <row r="8" spans="1:22" customFormat="1" ht="14.4" x14ac:dyDescent="0.3"/>
    <row r="9" spans="1:22" customFormat="1" ht="14.4" x14ac:dyDescent="0.3">
      <c r="B9" s="35" t="s">
        <v>52</v>
      </c>
      <c r="R9" s="62"/>
      <c r="S9" s="62"/>
      <c r="T9" s="62"/>
      <c r="U9" s="62"/>
      <c r="V9" s="62"/>
    </row>
    <row r="10" spans="1:22" customFormat="1" ht="14.4" x14ac:dyDescent="0.3">
      <c r="R10" s="62"/>
      <c r="S10" s="62"/>
      <c r="T10" s="62"/>
      <c r="U10" s="62"/>
      <c r="V10" s="62"/>
    </row>
    <row r="11" spans="1:22" s="5" customFormat="1" ht="13.8" x14ac:dyDescent="0.25">
      <c r="A11" s="5" t="s">
        <v>32</v>
      </c>
      <c r="B11" s="91" t="s">
        <v>16</v>
      </c>
      <c r="C11" s="158"/>
      <c r="D11" s="158"/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62"/>
      <c r="S11" s="62"/>
      <c r="T11" s="62"/>
      <c r="U11" s="62"/>
      <c r="V11" s="62"/>
    </row>
    <row r="12" spans="1:22" x14ac:dyDescent="0.25">
      <c r="R12" s="62"/>
      <c r="S12" s="62"/>
      <c r="T12" s="62"/>
      <c r="U12" s="62"/>
      <c r="V12" s="62"/>
    </row>
    <row r="13" spans="1:22" x14ac:dyDescent="0.25">
      <c r="B13" s="62" t="s">
        <v>215</v>
      </c>
      <c r="C13" s="62"/>
      <c r="D13" s="62"/>
      <c r="E13" s="62"/>
      <c r="F13" s="62"/>
      <c r="G13" s="163">
        <f>Statements!G42</f>
        <v>19300</v>
      </c>
      <c r="H13" s="163">
        <f>Statements!H42</f>
        <v>16741</v>
      </c>
      <c r="I13" s="163">
        <f>Statements!I42</f>
        <v>29749</v>
      </c>
      <c r="J13" s="163">
        <f>Statements!J42</f>
        <v>20719</v>
      </c>
      <c r="K13" s="66">
        <f ca="1">K14*Statements!K40</f>
        <v>22435.192065521762</v>
      </c>
      <c r="L13" s="66">
        <f ca="1">L14*Statements!L40</f>
        <v>25108.717704610492</v>
      </c>
      <c r="M13" s="66">
        <f ca="1">M14*Statements!M40</f>
        <v>28749.55427184092</v>
      </c>
      <c r="N13" s="66">
        <f ca="1">N14*Statements!N40</f>
        <v>33450.43236019717</v>
      </c>
      <c r="O13" s="66">
        <f ca="1">O14*Statements!O40</f>
        <v>39813.783303218595</v>
      </c>
      <c r="P13" s="69">
        <f>_xlfn.RRI(3,G13,J13)</f>
        <v>2.393053348486518E-2</v>
      </c>
      <c r="Q13" s="69">
        <f ca="1">_xlfn.RRI(4,K13,O13)</f>
        <v>0.15418629769056702</v>
      </c>
      <c r="R13" s="62"/>
      <c r="S13" s="62"/>
      <c r="T13" s="62"/>
      <c r="U13" s="62"/>
      <c r="V13" s="62"/>
    </row>
    <row r="14" spans="1:22" x14ac:dyDescent="0.25">
      <c r="B14" s="62" t="s">
        <v>214</v>
      </c>
      <c r="C14" s="62"/>
      <c r="D14" s="62"/>
      <c r="E14" s="62"/>
      <c r="F14" s="62"/>
      <c r="G14" s="24">
        <f>G13/Statements!G40</f>
        <v>0.16204461684424407</v>
      </c>
      <c r="H14" s="24">
        <f>H13/Statements!H40</f>
        <v>0.14719174228036858</v>
      </c>
      <c r="I14" s="24">
        <f>I13/Statements!I40</f>
        <v>0.24091185164189982</v>
      </c>
      <c r="J14" s="24">
        <f>J13/Statements!J40</f>
        <v>0.15610002335586043</v>
      </c>
      <c r="K14" s="169">
        <v>0.16</v>
      </c>
      <c r="L14" s="169">
        <v>0.16</v>
      </c>
      <c r="M14" s="169">
        <v>0.16</v>
      </c>
      <c r="N14" s="169">
        <v>0.16</v>
      </c>
      <c r="O14" s="169">
        <v>0.16</v>
      </c>
      <c r="P14" s="62"/>
      <c r="Q14" s="62"/>
      <c r="R14" s="62"/>
      <c r="S14" s="62"/>
      <c r="T14" s="62"/>
      <c r="U14" s="62"/>
      <c r="V14" s="62"/>
    </row>
    <row r="15" spans="1:22" x14ac:dyDescent="0.25"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4"/>
      <c r="R15" s="62"/>
      <c r="S15" s="62"/>
      <c r="T15" s="62"/>
      <c r="U15" s="62"/>
      <c r="V15" s="62"/>
    </row>
    <row r="16" spans="1:22" x14ac:dyDescent="0.25">
      <c r="B16" s="1" t="s">
        <v>218</v>
      </c>
      <c r="C16" s="62"/>
      <c r="D16" s="62"/>
      <c r="E16" s="62"/>
      <c r="F16" s="62"/>
      <c r="G16" s="163">
        <f>Statements!G39</f>
        <v>-334</v>
      </c>
      <c r="H16" s="163">
        <f>Statements!H39</f>
        <v>-565</v>
      </c>
      <c r="I16" s="163">
        <f>Statements!I39</f>
        <v>269</v>
      </c>
      <c r="J16" s="163">
        <f>Statements!J39</f>
        <v>-321</v>
      </c>
      <c r="K16" s="66">
        <f ca="1">Statements!K36*Assumptions!K17</f>
        <v>-286.22359048902769</v>
      </c>
      <c r="L16" s="66">
        <f ca="1">Statements!L36*Assumptions!L17</f>
        <v>-286.3634456844872</v>
      </c>
      <c r="M16" s="66">
        <f ca="1">Statements!M36*Assumptions!M17</f>
        <v>-182.67603793409668</v>
      </c>
      <c r="N16" s="66">
        <f ca="1">Statements!N36*Assumptions!N17</f>
        <v>-380.37365095828915</v>
      </c>
      <c r="O16" s="66">
        <f ca="1">Statements!O36*Assumptions!O17</f>
        <v>-413.16041952363724</v>
      </c>
      <c r="P16" s="69">
        <f>_xlfn.RRI(3,G16,J16)</f>
        <v>-1.3146114928582531E-2</v>
      </c>
      <c r="Q16" s="69">
        <f ca="1">_xlfn.RRI(4,K16,O16)</f>
        <v>9.6107933400538803E-2</v>
      </c>
      <c r="R16" s="62"/>
      <c r="S16" s="62"/>
      <c r="T16" s="62"/>
      <c r="U16" s="62"/>
      <c r="V16" s="62"/>
    </row>
    <row r="17" spans="2:22" x14ac:dyDescent="0.25">
      <c r="B17" s="1" t="s">
        <v>219</v>
      </c>
      <c r="C17" s="62"/>
      <c r="D17" s="62"/>
      <c r="E17" s="62"/>
      <c r="F17" s="62"/>
      <c r="G17" s="60">
        <f>G16/Statements!G36</f>
        <v>-2.7964533603489707E-3</v>
      </c>
      <c r="H17" s="60">
        <f>H16/Statements!H36</f>
        <v>-4.9430888618647254E-3</v>
      </c>
      <c r="I17" s="60">
        <f>I16/Statements!I36</f>
        <v>2.1831580314244903E-3</v>
      </c>
      <c r="J17" s="60">
        <f>J16/Statements!J36</f>
        <v>-2.4126268320180384E-3</v>
      </c>
      <c r="K17" s="78">
        <f>AVERAGE(G17:J17)</f>
        <v>-1.9922527557018109E-3</v>
      </c>
      <c r="L17" s="78">
        <f t="shared" ref="L17:O17" si="1">AVERAGE(H17:K17)</f>
        <v>-1.7912026045400211E-3</v>
      </c>
      <c r="M17" s="78">
        <f t="shared" si="1"/>
        <v>-1.003231040208845E-3</v>
      </c>
      <c r="N17" s="78">
        <f t="shared" si="1"/>
        <v>-1.7998283081171788E-3</v>
      </c>
      <c r="O17" s="78">
        <f t="shared" si="1"/>
        <v>-1.6466286771419638E-3</v>
      </c>
      <c r="P17" s="62"/>
      <c r="Q17" s="62"/>
      <c r="R17" s="62"/>
      <c r="S17" s="62"/>
      <c r="T17" s="62"/>
      <c r="U17" s="62"/>
      <c r="V17" s="62"/>
    </row>
    <row r="18" spans="2:22" x14ac:dyDescent="0.25">
      <c r="C18" s="62"/>
      <c r="D18" s="62"/>
      <c r="E18" s="62"/>
      <c r="F18" s="62"/>
      <c r="G18" s="60"/>
      <c r="H18" s="60"/>
      <c r="I18" s="60"/>
      <c r="J18" s="60"/>
      <c r="K18" s="78"/>
      <c r="L18" s="78"/>
      <c r="M18" s="78"/>
      <c r="N18" s="78"/>
      <c r="O18" s="78"/>
      <c r="P18" s="62"/>
      <c r="Q18" s="62"/>
      <c r="R18" s="62"/>
      <c r="S18" s="62"/>
      <c r="T18" s="62"/>
      <c r="U18" s="62"/>
      <c r="V18" s="62"/>
    </row>
    <row r="19" spans="2:22" x14ac:dyDescent="0.25">
      <c r="B19" s="1" t="s">
        <v>269</v>
      </c>
      <c r="C19" s="62"/>
      <c r="D19" s="62"/>
      <c r="E19" s="62"/>
      <c r="F19" s="62"/>
      <c r="G19" s="60"/>
      <c r="H19" s="165">
        <v>10833</v>
      </c>
      <c r="I19" s="165">
        <v>11688</v>
      </c>
      <c r="J19" s="165">
        <v>12863</v>
      </c>
      <c r="K19" s="66">
        <f ca="1">K20*Statements!K22</f>
        <v>13164.642837239749</v>
      </c>
      <c r="L19" s="66">
        <f ca="1">L20*Statements!L22</f>
        <v>14286.818250063625</v>
      </c>
      <c r="M19" s="66">
        <f ca="1">M20*Statements!M22</f>
        <v>15350.711463311472</v>
      </c>
      <c r="N19" s="66">
        <f ca="1">N20*Statements!N22</f>
        <v>16384.473711636987</v>
      </c>
      <c r="O19" s="66">
        <f ca="1">O20*Statements!O22</f>
        <v>17765.076713783903</v>
      </c>
      <c r="P19" s="69"/>
      <c r="Q19" s="69">
        <f ca="1">_xlfn.RRI(4,K19,O19)</f>
        <v>7.7803281579474692E-2</v>
      </c>
      <c r="R19" s="62"/>
      <c r="S19" s="62"/>
      <c r="T19" s="62"/>
      <c r="U19" s="62"/>
      <c r="V19" s="62"/>
    </row>
    <row r="20" spans="2:22" x14ac:dyDescent="0.25">
      <c r="B20" s="1" t="s">
        <v>270</v>
      </c>
      <c r="C20" s="62"/>
      <c r="D20" s="62"/>
      <c r="E20" s="62"/>
      <c r="F20" s="62"/>
      <c r="G20" s="60"/>
      <c r="H20" s="60">
        <f>H19/Statements!H22</f>
        <v>2.8263563666723196E-2</v>
      </c>
      <c r="I20" s="60">
        <f>I19/Statements!I22</f>
        <v>2.9889907553032339E-2</v>
      </c>
      <c r="J20" s="60">
        <f>J19/Statements!J22</f>
        <v>3.0908710811440764E-2</v>
      </c>
      <c r="K20" s="78">
        <f>AVERAGE(H20:J20)</f>
        <v>2.9687394010398768E-2</v>
      </c>
      <c r="L20" s="78">
        <f t="shared" ref="L20:O20" si="2">AVERAGE(I20:K20)</f>
        <v>3.016200412495729E-2</v>
      </c>
      <c r="M20" s="78">
        <f t="shared" si="2"/>
        <v>3.0252702982265609E-2</v>
      </c>
      <c r="N20" s="78">
        <f t="shared" si="2"/>
        <v>3.0034033705873889E-2</v>
      </c>
      <c r="O20" s="78">
        <f t="shared" si="2"/>
        <v>3.0149580271032261E-2</v>
      </c>
      <c r="P20" s="62"/>
      <c r="Q20" s="62"/>
      <c r="R20" s="62"/>
      <c r="S20" s="62"/>
      <c r="T20" s="62"/>
      <c r="U20" s="62"/>
      <c r="V20" s="62"/>
    </row>
    <row r="21" spans="2:22" x14ac:dyDescent="0.25"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</row>
    <row r="22" spans="2:22" x14ac:dyDescent="0.25">
      <c r="B22" s="62" t="s">
        <v>216</v>
      </c>
      <c r="C22" s="62"/>
      <c r="D22" s="62"/>
      <c r="E22" s="62"/>
      <c r="F22" s="62"/>
      <c r="G22" s="62"/>
      <c r="H22" s="170">
        <v>14996</v>
      </c>
      <c r="I22" s="170">
        <v>15218</v>
      </c>
      <c r="J22" s="170">
        <v>15413</v>
      </c>
      <c r="K22" s="79">
        <f ca="1">K23*Statements!K$43</f>
        <v>16254.29665147052</v>
      </c>
      <c r="L22" s="79">
        <f ca="1">L23*Statements!L$43</f>
        <v>16938.968681472852</v>
      </c>
      <c r="M22" s="79">
        <f ca="1">M23*Statements!M$43</f>
        <v>17961.284031332612</v>
      </c>
      <c r="N22" s="79">
        <f ca="1">N23*Statements!N$43</f>
        <v>19229.817303068343</v>
      </c>
      <c r="O22" s="79">
        <f ca="1">O23*Statements!O$43</f>
        <v>20902.236234189761</v>
      </c>
      <c r="P22" s="62"/>
      <c r="Q22" s="69">
        <f ca="1">_xlfn.RRI(4,K22,O22)</f>
        <v>6.489341755247402E-2</v>
      </c>
      <c r="R22" s="62"/>
      <c r="S22" s="62"/>
      <c r="T22" s="62"/>
      <c r="U22" s="62"/>
      <c r="V22" s="62"/>
    </row>
    <row r="23" spans="2:22" x14ac:dyDescent="0.25">
      <c r="B23" s="62" t="s">
        <v>240</v>
      </c>
      <c r="C23" s="62"/>
      <c r="D23" s="62"/>
      <c r="E23" s="62"/>
      <c r="F23" s="62"/>
      <c r="G23" s="62"/>
      <c r="H23" s="24">
        <f>H22/Statements!H$43</f>
        <v>0.15460590752100623</v>
      </c>
      <c r="I23" s="24">
        <f>I22/Statements!I$43</f>
        <v>0.16234957753691218</v>
      </c>
      <c r="J23" s="24">
        <f>J22/Statements!J$43</f>
        <v>0.13760378537630569</v>
      </c>
      <c r="K23" s="171">
        <v>0.13800000000000001</v>
      </c>
      <c r="L23" s="78">
        <f>K23+($O$23-$K$23)/4</f>
        <v>0.1285</v>
      </c>
      <c r="M23" s="78">
        <f t="shared" ref="M23:N23" si="3">L23+($O$23-$K$23)/4</f>
        <v>0.11899999999999999</v>
      </c>
      <c r="N23" s="78">
        <f t="shared" si="3"/>
        <v>0.10949999999999999</v>
      </c>
      <c r="O23" s="171">
        <v>0.1</v>
      </c>
      <c r="P23" s="62"/>
      <c r="Q23" s="62"/>
      <c r="R23" s="62"/>
      <c r="S23" s="62"/>
      <c r="T23" s="62"/>
      <c r="U23" s="62"/>
      <c r="V23" s="62"/>
    </row>
    <row r="24" spans="2:22" x14ac:dyDescent="0.25"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</row>
    <row r="25" spans="2:22" x14ac:dyDescent="0.25">
      <c r="B25" s="62" t="s">
        <v>217</v>
      </c>
      <c r="C25" s="62"/>
      <c r="D25" s="62"/>
      <c r="E25" s="62"/>
      <c r="F25" s="62"/>
      <c r="G25" s="62"/>
      <c r="H25" s="170">
        <v>77046</v>
      </c>
      <c r="I25" s="170">
        <v>95846</v>
      </c>
      <c r="J25" s="170">
        <v>90052</v>
      </c>
      <c r="K25" s="79">
        <f ca="1">K26*Statements!K$43</f>
        <v>102896.90484016968</v>
      </c>
      <c r="L25" s="79">
        <f ca="1">L26*Statements!L$43</f>
        <v>118641.99318312728</v>
      </c>
      <c r="M25" s="79">
        <f ca="1">M26*Statements!M$43</f>
        <v>129682.99481331217</v>
      </c>
      <c r="N25" s="79">
        <f ca="1">N26*Statements!N$43</f>
        <v>154120.86613549429</v>
      </c>
      <c r="O25" s="79">
        <f ca="1">O26*Statements!O$43</f>
        <v>183718.7719099196</v>
      </c>
      <c r="P25" s="62"/>
      <c r="Q25" s="69">
        <f ca="1">_xlfn.RRI(4,K25,O25)</f>
        <v>0.15594668962202118</v>
      </c>
      <c r="R25" s="62"/>
      <c r="S25" s="62"/>
      <c r="T25" s="62"/>
      <c r="U25" s="62"/>
      <c r="V25" s="62"/>
    </row>
    <row r="26" spans="2:22" x14ac:dyDescent="0.25">
      <c r="B26" s="62" t="s">
        <v>241</v>
      </c>
      <c r="C26" s="62"/>
      <c r="D26" s="62"/>
      <c r="E26" s="62"/>
      <c r="F26" s="62"/>
      <c r="G26" s="62"/>
      <c r="H26" s="24">
        <f>H25/Statements!H$43</f>
        <v>0.79432960461879476</v>
      </c>
      <c r="I26" s="24">
        <f>I25/Statements!I$43</f>
        <v>1.0225100281642059</v>
      </c>
      <c r="J26" s="24">
        <f>J25/Statements!J$43</f>
        <v>0.80396393179180425</v>
      </c>
      <c r="K26" s="78">
        <f>AVERAGE(H26:J26)</f>
        <v>0.8736011881916016</v>
      </c>
      <c r="L26" s="78">
        <f t="shared" ref="L26:O26" si="4">AVERAGE(I26:K26)</f>
        <v>0.90002504938253736</v>
      </c>
      <c r="M26" s="78">
        <f t="shared" si="4"/>
        <v>0.85919672312198114</v>
      </c>
      <c r="N26" s="78">
        <f t="shared" si="4"/>
        <v>0.87760765356537329</v>
      </c>
      <c r="O26" s="78">
        <f t="shared" si="4"/>
        <v>0.87894314202329726</v>
      </c>
      <c r="P26" s="62"/>
      <c r="Q26" s="62"/>
      <c r="R26" s="62"/>
      <c r="S26" s="62"/>
      <c r="T26" s="62"/>
      <c r="U26" s="62"/>
      <c r="V26" s="62"/>
    </row>
    <row r="27" spans="2:22" x14ac:dyDescent="0.25"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</row>
    <row r="28" spans="2:22" x14ac:dyDescent="0.25">
      <c r="R28" s="62"/>
      <c r="S28" s="62"/>
      <c r="T28" s="62"/>
      <c r="U28" s="62"/>
    </row>
    <row r="29" spans="2:22" ht="13.8" x14ac:dyDescent="0.25"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62"/>
      <c r="S29" s="62"/>
      <c r="T29" s="62"/>
      <c r="U29" s="62"/>
    </row>
    <row r="30" spans="2:22" x14ac:dyDescent="0.25">
      <c r="I30" s="17"/>
      <c r="J30" s="17"/>
      <c r="R30" s="62"/>
      <c r="S30" s="62"/>
      <c r="T30" s="62"/>
      <c r="U30" s="62"/>
    </row>
    <row r="31" spans="2:22" x14ac:dyDescent="0.25">
      <c r="I31" s="17"/>
      <c r="J31" s="17"/>
      <c r="R31" s="62"/>
      <c r="S31" s="62"/>
      <c r="T31" s="62"/>
      <c r="U31" s="62"/>
    </row>
    <row r="32" spans="2:22" x14ac:dyDescent="0.25">
      <c r="I32" s="17"/>
      <c r="J32" s="17"/>
      <c r="R32" s="62"/>
      <c r="S32" s="62"/>
      <c r="T32" s="62"/>
      <c r="U32" s="62"/>
    </row>
    <row r="33" spans="9:21" x14ac:dyDescent="0.25">
      <c r="I33" s="17"/>
      <c r="J33" s="17"/>
      <c r="R33" s="62"/>
      <c r="S33" s="62"/>
      <c r="T33" s="62"/>
      <c r="U33" s="62"/>
    </row>
    <row r="34" spans="9:21" x14ac:dyDescent="0.25">
      <c r="I34" s="17"/>
      <c r="J34" s="17"/>
    </row>
    <row r="35" spans="9:21" x14ac:dyDescent="0.25">
      <c r="I35" s="17"/>
      <c r="J35" s="17"/>
    </row>
    <row r="36" spans="9:21" x14ac:dyDescent="0.25">
      <c r="I36" s="17"/>
      <c r="J36" s="17"/>
    </row>
    <row r="37" spans="9:21" x14ac:dyDescent="0.25">
      <c r="I37" s="17"/>
      <c r="J37" s="17"/>
    </row>
  </sheetData>
  <mergeCells count="4">
    <mergeCell ref="R6:T7"/>
    <mergeCell ref="G6:J6"/>
    <mergeCell ref="K6:O6"/>
    <mergeCell ref="P6:Q6"/>
  </mergeCells>
  <hyperlinks>
    <hyperlink ref="B9" location="Dashboard!A1" display="&lt;-Back to dashboard" xr:uid="{43FCBDE0-6A65-4DDE-B9B3-B19FE57C44B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E44F4-48FD-47E7-8572-BBAC6143B4D1}">
  <dimension ref="A2:P120"/>
  <sheetViews>
    <sheetView showGridLines="0" zoomScaleNormal="100" workbookViewId="0">
      <selection activeCell="G33" sqref="G33"/>
    </sheetView>
  </sheetViews>
  <sheetFormatPr defaultRowHeight="13.2" x14ac:dyDescent="0.25"/>
  <cols>
    <col min="1" max="1" width="2.88671875" style="1" customWidth="1"/>
    <col min="2" max="3" width="8.88671875" style="1"/>
    <col min="4" max="4" width="10.109375" style="1" customWidth="1"/>
    <col min="5" max="6" width="8.88671875" style="1"/>
    <col min="7" max="16" width="12.6640625" style="1" customWidth="1"/>
    <col min="17" max="16384" width="8.88671875" style="1"/>
  </cols>
  <sheetData>
    <row r="2" spans="1:15" s="5" customFormat="1" ht="15.6" x14ac:dyDescent="0.3">
      <c r="B2" s="6" t="str">
        <f>Dashboard!B2</f>
        <v>Apple, Inc.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s="5" customFormat="1" ht="13.8" x14ac:dyDescent="0.25">
      <c r="B3" s="95" t="s">
        <v>44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s="5" customFormat="1" ht="13.8" x14ac:dyDescent="0.25">
      <c r="B4" s="94" t="str">
        <f>Dashboard!B4</f>
        <v>(In millions, except number of shares, which are reflected in thousands, and per-share amounts)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5" customFormat="1" ht="13.8" x14ac:dyDescent="0.25">
      <c r="B5" s="8" t="s">
        <v>39</v>
      </c>
      <c r="C5" s="7"/>
      <c r="D5" s="8" t="str">
        <f>Dashboard!G13</f>
        <v>Street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s="5" customFormat="1" ht="13.8" x14ac:dyDescent="0.25">
      <c r="B6" s="8" t="s">
        <v>308</v>
      </c>
      <c r="C6" s="9"/>
      <c r="D6" s="9"/>
      <c r="E6" s="9"/>
      <c r="F6" s="9"/>
      <c r="G6" s="445" t="str">
        <f>Statements!G6</f>
        <v>Historicals</v>
      </c>
      <c r="H6" s="446"/>
      <c r="I6" s="446"/>
      <c r="J6" s="447"/>
      <c r="K6" s="437" t="str">
        <f>Statements!G6</f>
        <v>Historicals</v>
      </c>
      <c r="L6" s="438"/>
      <c r="M6" s="438"/>
      <c r="N6" s="438"/>
      <c r="O6" s="438"/>
    </row>
    <row r="7" spans="1:15" s="5" customFormat="1" ht="13.8" x14ac:dyDescent="0.25">
      <c r="B7" s="8" t="s">
        <v>311</v>
      </c>
      <c r="C7" s="9"/>
      <c r="D7" s="9"/>
      <c r="E7" s="9"/>
      <c r="F7" s="9"/>
      <c r="G7" s="153">
        <v>44865</v>
      </c>
      <c r="H7" s="153">
        <f>EDATE(G7,12)</f>
        <v>45230</v>
      </c>
      <c r="I7" s="153">
        <f t="shared" ref="I7:O7" si="0">EDATE(H7,12)</f>
        <v>45596</v>
      </c>
      <c r="J7" s="153">
        <f t="shared" si="0"/>
        <v>45961</v>
      </c>
      <c r="K7" s="154">
        <f t="shared" si="0"/>
        <v>46326</v>
      </c>
      <c r="L7" s="154">
        <f t="shared" si="0"/>
        <v>46691</v>
      </c>
      <c r="M7" s="154">
        <f t="shared" si="0"/>
        <v>47057</v>
      </c>
      <c r="N7" s="154">
        <f t="shared" si="0"/>
        <v>47422</v>
      </c>
      <c r="O7" s="154">
        <f t="shared" si="0"/>
        <v>47787</v>
      </c>
    </row>
    <row r="9" spans="1:15" ht="14.4" x14ac:dyDescent="0.3">
      <c r="B9" s="35" t="s">
        <v>52</v>
      </c>
    </row>
    <row r="10" spans="1:15" ht="14.4" x14ac:dyDescent="0.3">
      <c r="B10" s="35"/>
    </row>
    <row r="11" spans="1:15" ht="14.4" x14ac:dyDescent="0.3">
      <c r="B11" s="35" t="s">
        <v>58</v>
      </c>
      <c r="C11" s="37" t="s">
        <v>62</v>
      </c>
      <c r="E11" s="37" t="s">
        <v>63</v>
      </c>
      <c r="G11" s="81" t="s">
        <v>227</v>
      </c>
      <c r="H11" s="37" t="s">
        <v>282</v>
      </c>
    </row>
    <row r="13" spans="1:15" x14ac:dyDescent="0.25">
      <c r="A13" s="1" t="s">
        <v>32</v>
      </c>
      <c r="B13" s="91" t="s">
        <v>46</v>
      </c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</row>
    <row r="15" spans="1:15" x14ac:dyDescent="0.25">
      <c r="B15" s="1" t="s">
        <v>45</v>
      </c>
      <c r="H15" s="38">
        <v>10959</v>
      </c>
      <c r="I15" s="38">
        <v>9447</v>
      </c>
      <c r="J15" s="38">
        <v>12715</v>
      </c>
      <c r="K15" s="21">
        <f ca="1">K16*Statements!K22</f>
        <v>13303.265520000001</v>
      </c>
      <c r="L15" s="21">
        <f ca="1">L16*Statements!L22</f>
        <v>14683.751249324501</v>
      </c>
      <c r="M15" s="21">
        <f ca="1">M16*Statements!M22</f>
        <v>16237.318269178331</v>
      </c>
      <c r="N15" s="21">
        <f ca="1">N16*Statements!N22</f>
        <v>18002.498025374323</v>
      </c>
      <c r="O15" s="21">
        <f ca="1">O16*Statements!O22</f>
        <v>20033.864579169232</v>
      </c>
    </row>
    <row r="16" spans="1:15" ht="14.4" x14ac:dyDescent="0.3">
      <c r="B16" s="1" t="s">
        <v>242</v>
      </c>
      <c r="H16" s="24">
        <f>H15/Statements!H22</f>
        <v>2.859230076835775E-2</v>
      </c>
      <c r="I16" s="24">
        <f>I15/Statements!I22</f>
        <v>2.415896275269477E-2</v>
      </c>
      <c r="J16" s="24">
        <f>J15/Statements!J22</f>
        <v>3.0553079216937677E-2</v>
      </c>
      <c r="K16" s="39">
        <v>0.03</v>
      </c>
      <c r="L16" s="31">
        <f>K16+($O$16-$K$16)/4</f>
        <v>3.1E-2</v>
      </c>
      <c r="M16" s="31">
        <f t="shared" ref="M16:N16" si="1">L16+($O$16-$K$16)/4</f>
        <v>3.2000000000000001E-2</v>
      </c>
      <c r="N16" s="31">
        <f t="shared" si="1"/>
        <v>3.3000000000000002E-2</v>
      </c>
      <c r="O16" s="172">
        <v>3.4000000000000002E-2</v>
      </c>
    </row>
    <row r="17" spans="2:15" x14ac:dyDescent="0.25">
      <c r="H17" s="62"/>
    </row>
    <row r="18" spans="2:15" x14ac:dyDescent="0.25">
      <c r="B18" s="1" t="s">
        <v>221</v>
      </c>
      <c r="H18" s="38">
        <v>11519</v>
      </c>
      <c r="I18" s="38">
        <v>11445</v>
      </c>
      <c r="J18" s="38">
        <v>11698</v>
      </c>
      <c r="K18" s="21">
        <f ca="1">K20+K24</f>
        <v>13546.399524787008</v>
      </c>
      <c r="L18" s="21">
        <f ca="1">L20+L24</f>
        <v>14880.300728244845</v>
      </c>
      <c r="M18" s="21">
        <f ca="1">M20+M24</f>
        <v>15799.33703194464</v>
      </c>
      <c r="N18" s="21">
        <f ca="1">N20+N24</f>
        <v>17860.861852755199</v>
      </c>
      <c r="O18" s="21">
        <f ca="1">O20+O24</f>
        <v>19509.955072566609</v>
      </c>
    </row>
    <row r="19" spans="2:15" x14ac:dyDescent="0.25">
      <c r="H19" s="38"/>
      <c r="I19" s="38"/>
      <c r="J19" s="38"/>
      <c r="K19" s="21"/>
      <c r="L19" s="21"/>
      <c r="M19" s="21"/>
      <c r="N19" s="21"/>
      <c r="O19" s="21"/>
    </row>
    <row r="20" spans="2:15" x14ac:dyDescent="0.25">
      <c r="B20" s="83" t="s">
        <v>271</v>
      </c>
      <c r="C20" s="83"/>
      <c r="D20" s="83"/>
      <c r="E20" s="83"/>
      <c r="F20" s="83"/>
      <c r="G20" s="83"/>
      <c r="H20" s="84">
        <f>H18-H24</f>
        <v>3019</v>
      </c>
      <c r="I20" s="84">
        <f>I18-I24</f>
        <v>3245</v>
      </c>
      <c r="J20" s="84">
        <f>J18-J24</f>
        <v>3698</v>
      </c>
      <c r="K20" s="84">
        <f ca="1">K21*K22</f>
        <v>3467.8598775335618</v>
      </c>
      <c r="L20" s="84">
        <f t="shared" ref="L20:O20" ca="1" si="2">L21*L22</f>
        <v>3844.1034969417151</v>
      </c>
      <c r="M20" s="84">
        <f t="shared" ca="1" si="2"/>
        <v>4225.5413518599726</v>
      </c>
      <c r="N20" s="84">
        <f t="shared" ca="1" si="2"/>
        <v>4527.1240412730476</v>
      </c>
      <c r="O20" s="84">
        <f t="shared" ca="1" si="2"/>
        <v>4784.7789926360574</v>
      </c>
    </row>
    <row r="21" spans="2:15" x14ac:dyDescent="0.25">
      <c r="B21" s="83" t="s">
        <v>162</v>
      </c>
      <c r="C21" s="83"/>
      <c r="D21" s="83"/>
      <c r="E21" s="83"/>
      <c r="F21" s="83"/>
      <c r="G21" s="83"/>
      <c r="H21" s="84">
        <f>Statements!H72</f>
        <v>64758</v>
      </c>
      <c r="I21" s="84">
        <f>Statements!I72</f>
        <v>74834</v>
      </c>
      <c r="J21" s="84">
        <f>Statements!J72</f>
        <v>83727</v>
      </c>
      <c r="K21" s="84">
        <f t="shared" ref="K21:O21" ca="1" si="3">K71</f>
        <v>77552.004812199622</v>
      </c>
      <c r="L21" s="84">
        <f t="shared" ca="1" si="3"/>
        <v>87203.097816493129</v>
      </c>
      <c r="M21" s="84">
        <f t="shared" ca="1" si="3"/>
        <v>95337.251606274905</v>
      </c>
      <c r="N21" s="84">
        <f t="shared" ca="1" si="3"/>
        <v>102022.91450896564</v>
      </c>
      <c r="O21" s="84">
        <f t="shared" ca="1" si="3"/>
        <v>108107.93574838985</v>
      </c>
    </row>
    <row r="22" spans="2:15" x14ac:dyDescent="0.25">
      <c r="B22" s="83" t="s">
        <v>272</v>
      </c>
      <c r="C22" s="83"/>
      <c r="D22" s="83"/>
      <c r="E22" s="83"/>
      <c r="F22" s="83"/>
      <c r="G22" s="83"/>
      <c r="H22" s="85">
        <f>H20/H21</f>
        <v>4.6619722659748605E-2</v>
      </c>
      <c r="I22" s="85">
        <f t="shared" ref="I22:J22" si="4">I20/I21</f>
        <v>4.3362642649063261E-2</v>
      </c>
      <c r="J22" s="85">
        <f t="shared" si="4"/>
        <v>4.4167353422432429E-2</v>
      </c>
      <c r="K22" s="85">
        <f>AVERAGE(H22:J22)</f>
        <v>4.4716572910414774E-2</v>
      </c>
      <c r="L22" s="85">
        <f t="shared" ref="L22:O22" si="5">AVERAGE(I22:K22)</f>
        <v>4.4082189660636824E-2</v>
      </c>
      <c r="M22" s="85">
        <f t="shared" si="5"/>
        <v>4.4322038664494669E-2</v>
      </c>
      <c r="N22" s="85">
        <f t="shared" si="5"/>
        <v>4.4373600411848756E-2</v>
      </c>
      <c r="O22" s="85">
        <f t="shared" si="5"/>
        <v>4.4259276245660083E-2</v>
      </c>
    </row>
    <row r="23" spans="2:15" x14ac:dyDescent="0.25">
      <c r="H23" s="21"/>
      <c r="I23" s="21"/>
      <c r="J23" s="21"/>
      <c r="K23" s="38"/>
      <c r="L23" s="38"/>
      <c r="M23" s="38"/>
      <c r="N23" s="38"/>
      <c r="O23" s="38"/>
    </row>
    <row r="24" spans="2:15" x14ac:dyDescent="0.25">
      <c r="B24" s="1" t="s">
        <v>292</v>
      </c>
      <c r="H24" s="38">
        <v>8500</v>
      </c>
      <c r="I24" s="38">
        <v>8200</v>
      </c>
      <c r="J24" s="38">
        <v>8000</v>
      </c>
      <c r="K24" s="21">
        <f ca="1">K25*K15</f>
        <v>10078.539647253447</v>
      </c>
      <c r="L24" s="21">
        <f t="shared" ref="L24:O24" ca="1" si="6">L25*L15</f>
        <v>11036.197231303131</v>
      </c>
      <c r="M24" s="21">
        <f t="shared" ca="1" si="6"/>
        <v>11573.795680084668</v>
      </c>
      <c r="N24" s="21">
        <f t="shared" ca="1" si="6"/>
        <v>13333.737811482151</v>
      </c>
      <c r="O24" s="21">
        <f t="shared" ca="1" si="6"/>
        <v>14725.176079930552</v>
      </c>
    </row>
    <row r="25" spans="2:15" x14ac:dyDescent="0.25">
      <c r="B25" s="1" t="s">
        <v>293</v>
      </c>
      <c r="H25" s="24">
        <f>H24/H15</f>
        <v>0.7756182133406333</v>
      </c>
      <c r="I25" s="24">
        <f t="shared" ref="I25:J25" si="7">I24/I15</f>
        <v>0.86800042341484074</v>
      </c>
      <c r="J25" s="24">
        <f t="shared" si="7"/>
        <v>0.62917813605977191</v>
      </c>
      <c r="K25" s="24">
        <f>AVERAGE(H25:J25)</f>
        <v>0.75759892427174869</v>
      </c>
      <c r="L25" s="24">
        <f t="shared" ref="L25:O25" si="8">AVERAGE(I25:K25)</f>
        <v>0.75159249458212052</v>
      </c>
      <c r="M25" s="24">
        <f t="shared" si="8"/>
        <v>0.71278985163788044</v>
      </c>
      <c r="N25" s="24">
        <f t="shared" si="8"/>
        <v>0.74066042349724992</v>
      </c>
      <c r="O25" s="24">
        <f t="shared" si="8"/>
        <v>0.73501425657241704</v>
      </c>
    </row>
    <row r="26" spans="2:15" x14ac:dyDescent="0.25">
      <c r="G26" s="62"/>
      <c r="H26" s="62"/>
    </row>
    <row r="27" spans="2:15" x14ac:dyDescent="0.25">
      <c r="B27" s="29" t="s">
        <v>33</v>
      </c>
    </row>
    <row r="29" spans="2:15" x14ac:dyDescent="0.25">
      <c r="B29" s="1" t="s">
        <v>290</v>
      </c>
      <c r="H29" s="40"/>
      <c r="I29" s="40">
        <f>H32</f>
        <v>43715</v>
      </c>
      <c r="J29" s="40">
        <f>I32</f>
        <v>45680</v>
      </c>
      <c r="K29" s="40">
        <f t="shared" ref="K29:O29" si="9">J32</f>
        <v>49834</v>
      </c>
      <c r="L29" s="21">
        <f t="shared" ca="1" si="9"/>
        <v>53058.725872746552</v>
      </c>
      <c r="M29" s="21">
        <f t="shared" ca="1" si="9"/>
        <v>56706.279890767924</v>
      </c>
      <c r="N29" s="21">
        <f t="shared" ca="1" si="9"/>
        <v>61369.802479861588</v>
      </c>
      <c r="O29" s="21">
        <f t="shared" ca="1" si="9"/>
        <v>66038.56269375376</v>
      </c>
    </row>
    <row r="30" spans="2:15" x14ac:dyDescent="0.25">
      <c r="B30" s="25" t="s">
        <v>47</v>
      </c>
      <c r="H30" s="40"/>
      <c r="I30" s="40"/>
      <c r="J30" s="40"/>
      <c r="K30" s="21">
        <f ca="1">K15</f>
        <v>13303.265520000001</v>
      </c>
      <c r="L30" s="21">
        <f t="shared" ref="L30:O30" ca="1" si="10">L15</f>
        <v>14683.751249324501</v>
      </c>
      <c r="M30" s="21">
        <f t="shared" ca="1" si="10"/>
        <v>16237.318269178331</v>
      </c>
      <c r="N30" s="21">
        <f t="shared" ca="1" si="10"/>
        <v>18002.498025374323</v>
      </c>
      <c r="O30" s="21">
        <f t="shared" ca="1" si="10"/>
        <v>20033.864579169232</v>
      </c>
    </row>
    <row r="31" spans="2:15" x14ac:dyDescent="0.25">
      <c r="B31" s="25" t="s">
        <v>291</v>
      </c>
      <c r="H31" s="40"/>
      <c r="I31" s="40"/>
      <c r="J31" s="40"/>
      <c r="K31" s="21">
        <f ca="1">-K24</f>
        <v>-10078.539647253447</v>
      </c>
      <c r="L31" s="21">
        <f t="shared" ref="L31:O31" ca="1" si="11">-L24</f>
        <v>-11036.197231303131</v>
      </c>
      <c r="M31" s="21">
        <f t="shared" ca="1" si="11"/>
        <v>-11573.795680084668</v>
      </c>
      <c r="N31" s="21">
        <f t="shared" ca="1" si="11"/>
        <v>-13333.737811482151</v>
      </c>
      <c r="O31" s="21">
        <f t="shared" ca="1" si="11"/>
        <v>-14725.176079930552</v>
      </c>
    </row>
    <row r="32" spans="2:15" x14ac:dyDescent="0.25">
      <c r="B32" s="17" t="s">
        <v>48</v>
      </c>
      <c r="C32" s="17"/>
      <c r="D32" s="17"/>
      <c r="E32" s="17"/>
      <c r="F32" s="17"/>
      <c r="G32" s="402"/>
      <c r="H32" s="40">
        <f>Statements!H71</f>
        <v>43715</v>
      </c>
      <c r="I32" s="40">
        <f>Statements!I71</f>
        <v>45680</v>
      </c>
      <c r="J32" s="40">
        <f>Statements!J71</f>
        <v>49834</v>
      </c>
      <c r="K32" s="36">
        <f ca="1">SUM(K29:K31)</f>
        <v>53058.725872746552</v>
      </c>
      <c r="L32" s="36">
        <f t="shared" ref="L32:O32" ca="1" si="12">SUM(L29:L31)</f>
        <v>56706.279890767924</v>
      </c>
      <c r="M32" s="36">
        <f t="shared" ca="1" si="12"/>
        <v>61369.802479861588</v>
      </c>
      <c r="N32" s="36">
        <f t="shared" ca="1" si="12"/>
        <v>66038.56269375376</v>
      </c>
      <c r="O32" s="36">
        <f t="shared" ca="1" si="12"/>
        <v>71347.251192992451</v>
      </c>
    </row>
    <row r="33" spans="1:16" x14ac:dyDescent="0.25">
      <c r="H33" s="173"/>
      <c r="I33" s="173"/>
      <c r="J33" s="173"/>
    </row>
    <row r="34" spans="1:16" x14ac:dyDescent="0.25">
      <c r="B34" s="29" t="s">
        <v>162</v>
      </c>
    </row>
    <row r="35" spans="1:16" x14ac:dyDescent="0.25">
      <c r="B35" s="29"/>
    </row>
    <row r="36" spans="1:16" x14ac:dyDescent="0.25">
      <c r="B36" s="1" t="s">
        <v>273</v>
      </c>
      <c r="G36" s="17"/>
      <c r="H36" s="102"/>
      <c r="I36" s="102"/>
      <c r="J36" s="102"/>
      <c r="K36" s="40">
        <f>J21</f>
        <v>83727</v>
      </c>
      <c r="L36" s="21">
        <f ca="1">K39</f>
        <v>77552.004812199622</v>
      </c>
      <c r="M36" s="21">
        <f t="shared" ref="M36:O36" ca="1" si="13">L39</f>
        <v>87203.097816493129</v>
      </c>
      <c r="N36" s="21">
        <f t="shared" ca="1" si="13"/>
        <v>95337.251606274905</v>
      </c>
      <c r="O36" s="21">
        <f t="shared" ca="1" si="13"/>
        <v>102022.91450896564</v>
      </c>
    </row>
    <row r="37" spans="1:16" x14ac:dyDescent="0.25">
      <c r="B37" s="1" t="s">
        <v>276</v>
      </c>
      <c r="G37" s="17"/>
      <c r="H37" s="102"/>
      <c r="I37" s="102"/>
      <c r="J37" s="102"/>
      <c r="K37" s="21">
        <f ca="1">K39-K36-K38</f>
        <v>-2707.1353102668158</v>
      </c>
      <c r="L37" s="21">
        <f t="shared" ref="L37:O37" ca="1" si="14">L39-L36-L38</f>
        <v>13495.196501235223</v>
      </c>
      <c r="M37" s="21">
        <f t="shared" ca="1" si="14"/>
        <v>12359.695141641749</v>
      </c>
      <c r="N37" s="21">
        <f t="shared" ca="1" si="14"/>
        <v>11212.78694396378</v>
      </c>
      <c r="O37" s="21">
        <f t="shared" ca="1" si="14"/>
        <v>10869.800232060268</v>
      </c>
    </row>
    <row r="38" spans="1:16" x14ac:dyDescent="0.25">
      <c r="B38" s="1" t="s">
        <v>274</v>
      </c>
      <c r="G38" s="17"/>
      <c r="H38" s="102"/>
      <c r="I38" s="102"/>
      <c r="J38" s="102"/>
      <c r="K38" s="21">
        <f ca="1">-K20</f>
        <v>-3467.8598775335618</v>
      </c>
      <c r="L38" s="21">
        <f t="shared" ref="L38:O38" ca="1" si="15">-L20</f>
        <v>-3844.1034969417151</v>
      </c>
      <c r="M38" s="21">
        <f t="shared" ca="1" si="15"/>
        <v>-4225.5413518599726</v>
      </c>
      <c r="N38" s="21">
        <f t="shared" ca="1" si="15"/>
        <v>-4527.1240412730476</v>
      </c>
      <c r="O38" s="21">
        <f t="shared" ca="1" si="15"/>
        <v>-4784.7789926360574</v>
      </c>
    </row>
    <row r="39" spans="1:16" x14ac:dyDescent="0.25">
      <c r="B39" s="17" t="s">
        <v>275</v>
      </c>
      <c r="C39" s="17"/>
      <c r="D39" s="17"/>
      <c r="E39" s="17"/>
      <c r="F39" s="17"/>
      <c r="G39" s="17"/>
      <c r="H39" s="102"/>
      <c r="I39" s="102"/>
      <c r="J39" s="102"/>
      <c r="K39" s="36">
        <f ca="1">K21</f>
        <v>77552.004812199622</v>
      </c>
      <c r="L39" s="36">
        <f ca="1">L21</f>
        <v>87203.097816493129</v>
      </c>
      <c r="M39" s="36">
        <f ca="1">M21</f>
        <v>95337.251606274905</v>
      </c>
      <c r="N39" s="36">
        <f ca="1">N21</f>
        <v>102022.91450896564</v>
      </c>
      <c r="O39" s="36">
        <f ca="1">O21</f>
        <v>108107.93574838985</v>
      </c>
    </row>
    <row r="42" spans="1:16" x14ac:dyDescent="0.25">
      <c r="A42" s="1" t="s">
        <v>32</v>
      </c>
      <c r="B42" s="91" t="s">
        <v>49</v>
      </c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</row>
    <row r="44" spans="1:16" x14ac:dyDescent="0.25">
      <c r="B44" s="29" t="s">
        <v>222</v>
      </c>
    </row>
    <row r="45" spans="1:16" x14ac:dyDescent="0.25">
      <c r="B45" s="71" t="s">
        <v>155</v>
      </c>
      <c r="G45" s="40">
        <f>Statements!G63</f>
        <v>28184</v>
      </c>
      <c r="H45" s="40">
        <f>Statements!H63</f>
        <v>29508</v>
      </c>
      <c r="I45" s="40">
        <f>Statements!I63</f>
        <v>33410</v>
      </c>
      <c r="J45" s="40">
        <f>Statements!J63</f>
        <v>39777</v>
      </c>
      <c r="K45" s="21">
        <f ca="1">K61*Statements!K$22/days</f>
        <v>42384.55730586961</v>
      </c>
      <c r="L45" s="21">
        <f ca="1">L61*Statements!L$22/days</f>
        <v>45273.698233289266</v>
      </c>
      <c r="M45" s="21">
        <f ca="1">M61*Statements!M$22/days</f>
        <v>48499.244342416947</v>
      </c>
      <c r="N45" s="21">
        <f ca="1">N61*Statements!N$22/days</f>
        <v>52142.215352938838</v>
      </c>
      <c r="O45" s="21">
        <f ca="1">O61*Statements!O$22/days</f>
        <v>56319.198251865375</v>
      </c>
    </row>
    <row r="46" spans="1:16" x14ac:dyDescent="0.25">
      <c r="B46" s="71" t="s">
        <v>156</v>
      </c>
      <c r="G46" s="40">
        <f>Statements!G64</f>
        <v>32748</v>
      </c>
      <c r="H46" s="40">
        <f>Statements!H64</f>
        <v>31477</v>
      </c>
      <c r="I46" s="40">
        <f>Statements!I64</f>
        <v>32833</v>
      </c>
      <c r="J46" s="40">
        <f>Statements!J64</f>
        <v>33180</v>
      </c>
      <c r="K46" s="21">
        <f ca="1">K62*Statements!K$22/days</f>
        <v>35355.094939506591</v>
      </c>
      <c r="L46" s="21">
        <f ca="1">L62*Statements!L$22/days</f>
        <v>37765.07296630057</v>
      </c>
      <c r="M46" s="21">
        <f ca="1">M62*Statements!M$22/days</f>
        <v>40455.663506081255</v>
      </c>
      <c r="N46" s="21">
        <f ca="1">N62*Statements!N$22/days</f>
        <v>43494.449189494197</v>
      </c>
      <c r="O46" s="21">
        <f ca="1">O62*Statements!O$22/days</f>
        <v>46978.681097038301</v>
      </c>
    </row>
    <row r="47" spans="1:16" x14ac:dyDescent="0.25">
      <c r="B47" s="71" t="s">
        <v>157</v>
      </c>
      <c r="G47" s="40">
        <f>Statements!G65</f>
        <v>4946</v>
      </c>
      <c r="H47" s="40">
        <f>Statements!H65</f>
        <v>6331</v>
      </c>
      <c r="I47" s="40">
        <f>Statements!I65</f>
        <v>7286</v>
      </c>
      <c r="J47" s="40">
        <f>Statements!J65</f>
        <v>5718</v>
      </c>
      <c r="K47" s="21">
        <f ca="1">K63*Statements!K$22/days</f>
        <v>6092.840050153668</v>
      </c>
      <c r="L47" s="21">
        <f ca="1">L63*Statements!L$22/days</f>
        <v>6508.1581441020699</v>
      </c>
      <c r="M47" s="21">
        <f ca="1">M63*Statements!M$22/days</f>
        <v>6971.8349586429367</v>
      </c>
      <c r="N47" s="21">
        <f ca="1">N63*Statements!N$22/days</f>
        <v>7495.5171930538818</v>
      </c>
      <c r="O47" s="21">
        <f ca="1">O63*Statements!O$22/days</f>
        <v>8095.9643915872539</v>
      </c>
    </row>
    <row r="48" spans="1:16" x14ac:dyDescent="0.25">
      <c r="B48" s="71" t="s">
        <v>158</v>
      </c>
      <c r="F48" s="62"/>
      <c r="G48" s="163">
        <f>Statements!G66</f>
        <v>21223</v>
      </c>
      <c r="H48" s="163">
        <f>Statements!H66</f>
        <v>14695</v>
      </c>
      <c r="I48" s="163">
        <f>Statements!I66</f>
        <v>14287</v>
      </c>
      <c r="J48" s="163">
        <f>Statements!J66</f>
        <v>14585</v>
      </c>
      <c r="K48" s="21">
        <f ca="1">K64*Statements!K$22/days</f>
        <v>15541.110900925365</v>
      </c>
      <c r="L48" s="21">
        <f ca="1">L64*Statements!L$22/days</f>
        <v>16600.469837658042</v>
      </c>
      <c r="M48" s="21">
        <f ca="1">M64*Statements!M$22/days</f>
        <v>17783.178186744881</v>
      </c>
      <c r="N48" s="21">
        <f ca="1">N64*Statements!N$22/days</f>
        <v>19118.943382422323</v>
      </c>
      <c r="O48" s="21">
        <f ca="1">O64*Statements!O$22/days</f>
        <v>20650.514279695712</v>
      </c>
      <c r="P48" s="62"/>
    </row>
    <row r="49" spans="2:16" x14ac:dyDescent="0.25">
      <c r="F49" s="62"/>
      <c r="G49" s="163"/>
      <c r="H49" s="163"/>
      <c r="I49" s="163"/>
      <c r="J49" s="163"/>
      <c r="K49" s="66"/>
      <c r="L49" s="66"/>
      <c r="M49" s="66"/>
      <c r="N49" s="66"/>
      <c r="O49" s="66"/>
      <c r="P49" s="62"/>
    </row>
    <row r="50" spans="2:16" x14ac:dyDescent="0.25">
      <c r="B50" s="49" t="s">
        <v>223</v>
      </c>
      <c r="F50" s="62"/>
      <c r="G50" s="163"/>
      <c r="H50" s="163"/>
      <c r="I50" s="163"/>
      <c r="J50" s="163"/>
      <c r="K50" s="66"/>
      <c r="L50" s="66"/>
      <c r="M50" s="66"/>
      <c r="N50" s="66"/>
      <c r="O50" s="66"/>
      <c r="P50" s="62"/>
    </row>
    <row r="51" spans="2:16" x14ac:dyDescent="0.25">
      <c r="B51" s="71" t="s">
        <v>167</v>
      </c>
      <c r="F51" s="62"/>
      <c r="G51" s="163">
        <f>Statements!G78</f>
        <v>64115</v>
      </c>
      <c r="H51" s="163">
        <f>Statements!H78</f>
        <v>62611</v>
      </c>
      <c r="I51" s="163">
        <f>Statements!I78</f>
        <v>68960</v>
      </c>
      <c r="J51" s="163">
        <f>Statements!J78</f>
        <v>69860</v>
      </c>
      <c r="K51" s="66">
        <f ca="1">K66*Statements!K$27/days</f>
        <v>73518.817591600295</v>
      </c>
      <c r="L51" s="66">
        <f ca="1">L66*Statements!L$27/days</f>
        <v>76349.741932372184</v>
      </c>
      <c r="M51" s="66">
        <f ca="1">M66*Statements!M$27/days</f>
        <v>78420.108165198675</v>
      </c>
      <c r="N51" s="66">
        <f ca="1">N66*Statements!N$27/days</f>
        <v>79695.918900192584</v>
      </c>
      <c r="O51" s="66">
        <f ca="1">O66*Statements!O$27/days</f>
        <v>79545.76260905157</v>
      </c>
      <c r="P51" s="62"/>
    </row>
    <row r="52" spans="2:16" x14ac:dyDescent="0.25">
      <c r="B52" s="71" t="s">
        <v>168</v>
      </c>
      <c r="F52" s="62"/>
      <c r="G52" s="163">
        <f>Statements!G79</f>
        <v>60845</v>
      </c>
      <c r="H52" s="163">
        <f>Statements!H79</f>
        <v>58829</v>
      </c>
      <c r="I52" s="163">
        <f>Statements!I79</f>
        <v>78304</v>
      </c>
      <c r="J52" s="163">
        <f>Statements!J79</f>
        <v>66387</v>
      </c>
      <c r="K52" s="66">
        <f ca="1">K67*Statements!K$27/days</f>
        <v>69863.92418341781</v>
      </c>
      <c r="L52" s="66">
        <f ca="1">L67*Statements!L$27/days</f>
        <v>72554.112763589932</v>
      </c>
      <c r="M52" s="66">
        <f ca="1">M67*Statements!M$27/days</f>
        <v>74521.553403421771</v>
      </c>
      <c r="N52" s="66">
        <f ca="1">N67*Statements!N$27/days</f>
        <v>75733.938849514525</v>
      </c>
      <c r="O52" s="66">
        <f ca="1">O67*Statements!O$27/days</f>
        <v>75591.247385157549</v>
      </c>
      <c r="P52" s="62"/>
    </row>
    <row r="53" spans="2:16" x14ac:dyDescent="0.25">
      <c r="B53" s="71" t="s">
        <v>169</v>
      </c>
      <c r="F53" s="62"/>
      <c r="G53" s="163">
        <f>Statements!G80</f>
        <v>7912</v>
      </c>
      <c r="H53" s="163">
        <f>Statements!H80</f>
        <v>8061</v>
      </c>
      <c r="I53" s="163">
        <f>Statements!I80</f>
        <v>8249</v>
      </c>
      <c r="J53" s="163">
        <f>Statements!J80</f>
        <v>9055</v>
      </c>
      <c r="K53" s="66">
        <f ca="1">K69*Statements!K22</f>
        <v>9306.694792761642</v>
      </c>
      <c r="L53" s="66">
        <f ca="1">L69*Statements!L22</f>
        <v>10050.369739892514</v>
      </c>
      <c r="M53" s="66">
        <f ca="1">M69*Statements!M22</f>
        <v>10790.104798010419</v>
      </c>
      <c r="N53" s="66">
        <f ca="1">N69*Statements!N22</f>
        <v>11623.709757308781</v>
      </c>
      <c r="O53" s="66">
        <f ca="1">O69*Statements!O22</f>
        <v>12488.386690748071</v>
      </c>
      <c r="P53" s="62"/>
    </row>
    <row r="54" spans="2:16" x14ac:dyDescent="0.25">
      <c r="B54" s="71"/>
      <c r="F54" s="62"/>
      <c r="G54" s="163"/>
      <c r="H54" s="163"/>
      <c r="I54" s="163"/>
      <c r="J54" s="163"/>
      <c r="K54" s="66"/>
      <c r="L54" s="66"/>
      <c r="M54" s="66"/>
      <c r="N54" s="66"/>
      <c r="O54" s="66"/>
      <c r="P54" s="62"/>
    </row>
    <row r="55" spans="2:16" x14ac:dyDescent="0.25">
      <c r="B55" s="71" t="s">
        <v>222</v>
      </c>
      <c r="F55" s="62"/>
      <c r="G55" s="163">
        <f>SUM(G45:G48)</f>
        <v>87101</v>
      </c>
      <c r="H55" s="163">
        <f t="shared" ref="H55:O55" si="16">SUM(H45:H48)</f>
        <v>82011</v>
      </c>
      <c r="I55" s="163">
        <f t="shared" si="16"/>
        <v>87816</v>
      </c>
      <c r="J55" s="163">
        <f t="shared" si="16"/>
        <v>93260</v>
      </c>
      <c r="K55" s="66">
        <f t="shared" ca="1" si="16"/>
        <v>99373.603196455239</v>
      </c>
      <c r="L55" s="66">
        <f t="shared" ca="1" si="16"/>
        <v>106147.39918134993</v>
      </c>
      <c r="M55" s="66">
        <f t="shared" ca="1" si="16"/>
        <v>113709.92099388601</v>
      </c>
      <c r="N55" s="66">
        <f t="shared" ca="1" si="16"/>
        <v>122251.12511790924</v>
      </c>
      <c r="O55" s="66">
        <f t="shared" ca="1" si="16"/>
        <v>132044.35802018666</v>
      </c>
      <c r="P55" s="62"/>
    </row>
    <row r="56" spans="2:16" x14ac:dyDescent="0.25">
      <c r="B56" s="71" t="s">
        <v>223</v>
      </c>
      <c r="F56" s="62"/>
      <c r="G56" s="163">
        <f>SUM(G51:G53)</f>
        <v>132872</v>
      </c>
      <c r="H56" s="163">
        <f t="shared" ref="H56:O56" si="17">SUM(H51:H53)</f>
        <v>129501</v>
      </c>
      <c r="I56" s="163">
        <f t="shared" si="17"/>
        <v>155513</v>
      </c>
      <c r="J56" s="163">
        <f t="shared" si="17"/>
        <v>145302</v>
      </c>
      <c r="K56" s="66">
        <f ca="1">SUM(K51:K53)</f>
        <v>152689.43656777975</v>
      </c>
      <c r="L56" s="66">
        <f t="shared" ca="1" si="17"/>
        <v>158954.22443585462</v>
      </c>
      <c r="M56" s="66">
        <f t="shared" ca="1" si="17"/>
        <v>163731.76636663085</v>
      </c>
      <c r="N56" s="66">
        <f t="shared" ca="1" si="17"/>
        <v>167053.56750701589</v>
      </c>
      <c r="O56" s="66">
        <f t="shared" ca="1" si="17"/>
        <v>167625.39668495717</v>
      </c>
      <c r="P56" s="62"/>
    </row>
    <row r="57" spans="2:16" x14ac:dyDescent="0.25">
      <c r="B57" s="72" t="s">
        <v>264</v>
      </c>
      <c r="C57" s="17"/>
      <c r="D57" s="17"/>
      <c r="E57" s="17"/>
      <c r="F57" s="65"/>
      <c r="G57" s="67"/>
      <c r="H57" s="67"/>
      <c r="I57" s="67"/>
      <c r="J57" s="67">
        <f>J55-J56</f>
        <v>-52042</v>
      </c>
      <c r="K57" s="82">
        <f t="shared" ref="K57:O57" ca="1" si="18">K55-K56</f>
        <v>-53315.833371324508</v>
      </c>
      <c r="L57" s="82">
        <f t="shared" ca="1" si="18"/>
        <v>-52806.825254504685</v>
      </c>
      <c r="M57" s="82">
        <f t="shared" ca="1" si="18"/>
        <v>-50021.845372744836</v>
      </c>
      <c r="N57" s="82">
        <f t="shared" ca="1" si="18"/>
        <v>-44802.442389106654</v>
      </c>
      <c r="O57" s="82">
        <f t="shared" ca="1" si="18"/>
        <v>-35581.038664770516</v>
      </c>
      <c r="P57" s="62"/>
    </row>
    <row r="58" spans="2:16" x14ac:dyDescent="0.25">
      <c r="B58" s="25" t="s">
        <v>265</v>
      </c>
      <c r="F58" s="62"/>
      <c r="G58" s="62"/>
      <c r="H58" s="62"/>
      <c r="I58" s="62"/>
      <c r="J58" s="62"/>
      <c r="K58" s="66">
        <f ca="1">J57-K57</f>
        <v>1273.8333713245083</v>
      </c>
      <c r="L58" s="66">
        <f t="shared" ref="L58:O58" ca="1" si="19">K57-L57</f>
        <v>-509.00811681982304</v>
      </c>
      <c r="M58" s="66">
        <f t="shared" ca="1" si="19"/>
        <v>-2784.9798817598494</v>
      </c>
      <c r="N58" s="66">
        <f t="shared" ca="1" si="19"/>
        <v>-5219.4029836381815</v>
      </c>
      <c r="O58" s="66">
        <f t="shared" ca="1" si="19"/>
        <v>-9221.4037243361381</v>
      </c>
      <c r="P58" s="62"/>
    </row>
    <row r="59" spans="2:16" x14ac:dyDescent="0.25">
      <c r="B59" s="25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</row>
    <row r="60" spans="2:16" x14ac:dyDescent="0.25">
      <c r="B60" s="49" t="s">
        <v>224</v>
      </c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</row>
    <row r="61" spans="2:16" x14ac:dyDescent="0.25">
      <c r="B61" s="71" t="s">
        <v>155</v>
      </c>
      <c r="F61" s="62"/>
      <c r="G61" s="80">
        <f>G45*days/Statements!G$22</f>
        <v>26.087825363656652</v>
      </c>
      <c r="H61" s="80">
        <f>H45*days/Statements!H$22</f>
        <v>28.100290906244702</v>
      </c>
      <c r="I61" s="80">
        <f>I45*days/Statements!I$22</f>
        <v>31.185571624023424</v>
      </c>
      <c r="J61" s="80">
        <f>J45*days/Statements!J$22</f>
        <v>34.886990852098108</v>
      </c>
      <c r="K61" s="80">
        <f>J61</f>
        <v>34.886990852098108</v>
      </c>
      <c r="L61" s="80">
        <f t="shared" ref="L61:O61" si="20">K61</f>
        <v>34.886990852098108</v>
      </c>
      <c r="M61" s="80">
        <f t="shared" si="20"/>
        <v>34.886990852098108</v>
      </c>
      <c r="N61" s="80">
        <f t="shared" si="20"/>
        <v>34.886990852098108</v>
      </c>
      <c r="O61" s="80">
        <f t="shared" si="20"/>
        <v>34.886990852098108</v>
      </c>
      <c r="P61" s="62"/>
    </row>
    <row r="62" spans="2:16" x14ac:dyDescent="0.25">
      <c r="B62" s="71" t="s">
        <v>156</v>
      </c>
      <c r="F62" s="62"/>
      <c r="G62" s="80">
        <f>G46*days/Statements!G$22</f>
        <v>30.312379541904203</v>
      </c>
      <c r="H62" s="80">
        <f>H46*days/Statements!H$22</f>
        <v>29.97535776250049</v>
      </c>
      <c r="I62" s="80">
        <f>I46*days/Statements!I$22</f>
        <v>30.646988121267917</v>
      </c>
      <c r="J62" s="80">
        <f>J46*days/Statements!J$22</f>
        <v>29.100996969922697</v>
      </c>
      <c r="K62" s="80">
        <f t="shared" ref="K62:O64" si="21">J62</f>
        <v>29.100996969922697</v>
      </c>
      <c r="L62" s="80">
        <f t="shared" si="21"/>
        <v>29.100996969922697</v>
      </c>
      <c r="M62" s="80">
        <f t="shared" si="21"/>
        <v>29.100996969922697</v>
      </c>
      <c r="N62" s="80">
        <f t="shared" si="21"/>
        <v>29.100996969922697</v>
      </c>
      <c r="O62" s="80">
        <f t="shared" si="21"/>
        <v>29.100996969922697</v>
      </c>
      <c r="P62" s="62"/>
    </row>
    <row r="63" spans="2:16" x14ac:dyDescent="0.25">
      <c r="B63" s="71" t="s">
        <v>157</v>
      </c>
      <c r="G63" s="80">
        <f>G47*days/Statements!G$22</f>
        <v>4.57814306871437</v>
      </c>
      <c r="H63" s="80">
        <f>H47*days/Statements!H$22</f>
        <v>6.0289732183623155</v>
      </c>
      <c r="I63" s="80">
        <f>I47*days/Statements!I$22</f>
        <v>6.8009001751761353</v>
      </c>
      <c r="J63" s="80">
        <f>J47*days/Statements!J$22</f>
        <v>5.0150542698619045</v>
      </c>
      <c r="K63" s="80">
        <f t="shared" si="21"/>
        <v>5.0150542698619045</v>
      </c>
      <c r="L63" s="80">
        <f t="shared" si="21"/>
        <v>5.0150542698619045</v>
      </c>
      <c r="M63" s="80">
        <f t="shared" si="21"/>
        <v>5.0150542698619045</v>
      </c>
      <c r="N63" s="80">
        <f t="shared" si="21"/>
        <v>5.0150542698619045</v>
      </c>
      <c r="O63" s="80">
        <f t="shared" si="21"/>
        <v>5.0150542698619045</v>
      </c>
      <c r="P63" s="62"/>
    </row>
    <row r="64" spans="2:16" x14ac:dyDescent="0.25">
      <c r="B64" s="71" t="s">
        <v>158</v>
      </c>
      <c r="G64" s="80">
        <f>G48*days/Statements!G$22</f>
        <v>19.644547178998195</v>
      </c>
      <c r="H64" s="80">
        <f>H48*days/Statements!H$22</f>
        <v>13.993960108013619</v>
      </c>
      <c r="I64" s="80">
        <f>I48*days/Statements!I$22</f>
        <v>13.335775569961768</v>
      </c>
      <c r="J64" s="80">
        <f>J48*days/Statements!J$22</f>
        <v>12.791984352209841</v>
      </c>
      <c r="K64" s="80">
        <f t="shared" si="21"/>
        <v>12.791984352209841</v>
      </c>
      <c r="L64" s="80">
        <f t="shared" si="21"/>
        <v>12.791984352209841</v>
      </c>
      <c r="M64" s="80">
        <f t="shared" si="21"/>
        <v>12.791984352209841</v>
      </c>
      <c r="N64" s="80">
        <f t="shared" si="21"/>
        <v>12.791984352209841</v>
      </c>
      <c r="O64" s="80">
        <f t="shared" si="21"/>
        <v>12.791984352209841</v>
      </c>
      <c r="P64" s="62"/>
    </row>
    <row r="65" spans="1:16" x14ac:dyDescent="0.25">
      <c r="F65" s="62"/>
      <c r="G65" s="80"/>
      <c r="H65" s="80"/>
      <c r="I65" s="80"/>
      <c r="J65" s="80"/>
      <c r="K65" s="62"/>
      <c r="L65" s="62"/>
      <c r="M65" s="62"/>
      <c r="N65" s="62"/>
      <c r="O65" s="62"/>
      <c r="P65" s="62"/>
    </row>
    <row r="66" spans="1:16" x14ac:dyDescent="0.25">
      <c r="B66" s="71" t="s">
        <v>167</v>
      </c>
      <c r="F66" s="62"/>
      <c r="G66" s="80">
        <f>G51*days/Statements!G$27</f>
        <v>104.68527730310539</v>
      </c>
      <c r="H66" s="80">
        <f>H51*days/Statements!H$27</f>
        <v>106.72146803214764</v>
      </c>
      <c r="I66" s="80">
        <f>I51*days/Statements!I$27</f>
        <v>119.65847721913745</v>
      </c>
      <c r="J66" s="80">
        <f>J51*days/Statements!J$27</f>
        <v>115.40052498189718</v>
      </c>
      <c r="K66" s="80">
        <f>J66</f>
        <v>115.40052498189718</v>
      </c>
      <c r="L66" s="80">
        <f t="shared" ref="L66:O66" si="22">K66</f>
        <v>115.40052498189718</v>
      </c>
      <c r="M66" s="80">
        <f t="shared" si="22"/>
        <v>115.40052498189718</v>
      </c>
      <c r="N66" s="80">
        <f t="shared" si="22"/>
        <v>115.40052498189718</v>
      </c>
      <c r="O66" s="80">
        <f t="shared" si="22"/>
        <v>115.40052498189718</v>
      </c>
      <c r="P66" s="62"/>
    </row>
    <row r="67" spans="1:16" x14ac:dyDescent="0.25">
      <c r="B67" s="71" t="s">
        <v>168</v>
      </c>
      <c r="F67" s="62"/>
      <c r="G67" s="80">
        <f>G52*days/Statements!G$27</f>
        <v>99.346107736215359</v>
      </c>
      <c r="H67" s="80">
        <f>H52*days/Statements!H$27</f>
        <v>100.27498750799721</v>
      </c>
      <c r="I67" s="80">
        <f>I52*days/Statements!I$27</f>
        <v>135.87206206739179</v>
      </c>
      <c r="J67" s="80">
        <f>J52*days/Statements!J$27</f>
        <v>109.66353638667633</v>
      </c>
      <c r="K67" s="80">
        <f>J67</f>
        <v>109.66353638667633</v>
      </c>
      <c r="L67" s="80">
        <f t="shared" ref="L67:O67" si="23">K67</f>
        <v>109.66353638667633</v>
      </c>
      <c r="M67" s="80">
        <f t="shared" si="23"/>
        <v>109.66353638667633</v>
      </c>
      <c r="N67" s="80">
        <f t="shared" si="23"/>
        <v>109.66353638667633</v>
      </c>
      <c r="O67" s="80">
        <f t="shared" si="23"/>
        <v>109.66353638667633</v>
      </c>
      <c r="P67" s="62"/>
    </row>
    <row r="68" spans="1:16" x14ac:dyDescent="0.25">
      <c r="B68" s="3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</row>
    <row r="69" spans="1:16" x14ac:dyDescent="0.25">
      <c r="B69" s="32" t="s">
        <v>266</v>
      </c>
      <c r="F69" s="62"/>
      <c r="G69" s="24">
        <f>G53/Statements!G22</f>
        <v>2.0064514820149724E-2</v>
      </c>
      <c r="H69" s="24">
        <f>H53/Statements!H22</f>
        <v>2.1031347430763011E-2</v>
      </c>
      <c r="I69" s="24">
        <f>I53/Statements!I22</f>
        <v>2.1095298374825783E-2</v>
      </c>
      <c r="J69" s="24">
        <f>J53/Statements!J22</f>
        <v>2.1758406001523449E-2</v>
      </c>
      <c r="K69" s="78">
        <f>AVERAGE(G69:J69)</f>
        <v>2.0987391656815492E-2</v>
      </c>
      <c r="L69" s="78">
        <f t="shared" ref="L69:O69" si="24">AVERAGE(H69:K69)</f>
        <v>2.121811086598193E-2</v>
      </c>
      <c r="M69" s="78">
        <f t="shared" si="24"/>
        <v>2.1264801724786668E-2</v>
      </c>
      <c r="N69" s="78">
        <f t="shared" si="24"/>
        <v>2.1307177562276888E-2</v>
      </c>
      <c r="O69" s="78">
        <f t="shared" si="24"/>
        <v>2.1194370452465246E-2</v>
      </c>
      <c r="P69" s="62"/>
    </row>
    <row r="70" spans="1:16" x14ac:dyDescent="0.25">
      <c r="B70" s="32"/>
      <c r="G70" s="33"/>
      <c r="H70" s="33"/>
      <c r="I70" s="33"/>
      <c r="J70" s="33"/>
      <c r="K70" s="33"/>
      <c r="L70" s="33"/>
      <c r="M70" s="33"/>
      <c r="N70" s="33"/>
      <c r="O70" s="33"/>
    </row>
    <row r="71" spans="1:16" x14ac:dyDescent="0.25">
      <c r="B71" s="62" t="s">
        <v>162</v>
      </c>
      <c r="F71" s="62"/>
      <c r="G71" s="40">
        <f>Statements!G72</f>
        <v>54428</v>
      </c>
      <c r="H71" s="40">
        <f>Statements!H72</f>
        <v>64758</v>
      </c>
      <c r="I71" s="40">
        <f>Statements!I72</f>
        <v>74834</v>
      </c>
      <c r="J71" s="40">
        <f>Statements!J72</f>
        <v>83727</v>
      </c>
      <c r="K71" s="21">
        <f ca="1">K74*Statements!K$22</f>
        <v>77552.004812199622</v>
      </c>
      <c r="L71" s="21">
        <f ca="1">L74*Statements!L$22</f>
        <v>87203.097816493129</v>
      </c>
      <c r="M71" s="21">
        <f ca="1">M74*Statements!M$22</f>
        <v>95337.251606274905</v>
      </c>
      <c r="N71" s="21">
        <f ca="1">N74*Statements!N$22</f>
        <v>102022.91450896564</v>
      </c>
      <c r="O71" s="21">
        <f ca="1">O74*Statements!O$22</f>
        <v>108107.93574838985</v>
      </c>
    </row>
    <row r="72" spans="1:16" x14ac:dyDescent="0.25">
      <c r="B72" s="62" t="s">
        <v>174</v>
      </c>
      <c r="F72" s="62"/>
      <c r="G72" s="40">
        <f>Statements!G87</f>
        <v>49142</v>
      </c>
      <c r="H72" s="40">
        <f>Statements!H87</f>
        <v>49848</v>
      </c>
      <c r="I72" s="40">
        <f>Statements!I87</f>
        <v>45888</v>
      </c>
      <c r="J72" s="40">
        <f>Statements!J87</f>
        <v>41549</v>
      </c>
      <c r="K72" s="21">
        <f ca="1">K75*Statements!K22</f>
        <v>52311.286334628188</v>
      </c>
      <c r="L72" s="21">
        <f ca="1">L75*Statements!L22</f>
        <v>55088.929071645456</v>
      </c>
      <c r="M72" s="21">
        <f ca="1">M75*Statements!M22</f>
        <v>57269.247356991342</v>
      </c>
      <c r="N72" s="21">
        <f ca="1">N75*Statements!N22</f>
        <v>60959.201769900552</v>
      </c>
      <c r="O72" s="21">
        <f ca="1">O75*Statements!O22</f>
        <v>67596.08283947302</v>
      </c>
    </row>
    <row r="73" spans="1:16" x14ac:dyDescent="0.25">
      <c r="B73" s="32"/>
      <c r="G73" s="33"/>
      <c r="H73" s="33"/>
      <c r="I73" s="33"/>
      <c r="J73" s="33"/>
      <c r="K73" s="33"/>
      <c r="L73" s="33"/>
      <c r="M73" s="33"/>
      <c r="N73" s="33"/>
      <c r="O73" s="33"/>
    </row>
    <row r="74" spans="1:16" x14ac:dyDescent="0.25">
      <c r="B74" s="32" t="s">
        <v>225</v>
      </c>
      <c r="G74" s="24">
        <f>G71/Statements!G$22</f>
        <v>0.13802722606561035</v>
      </c>
      <c r="H74" s="24">
        <f>H71/Statements!H$22</f>
        <v>0.16895521609246383</v>
      </c>
      <c r="I74" s="24">
        <f>I71/Statements!I$22</f>
        <v>0.19137417366731879</v>
      </c>
      <c r="J74" s="24">
        <f>J71/Statements!J$22</f>
        <v>0.20118896292540628</v>
      </c>
      <c r="K74" s="24">
        <f>AVERAGE(G74:J74)</f>
        <v>0.17488639468769981</v>
      </c>
      <c r="L74" s="24">
        <f t="shared" ref="L74:O75" si="25">AVERAGE(H74:K74)</f>
        <v>0.18410118684322219</v>
      </c>
      <c r="M74" s="24">
        <f t="shared" si="25"/>
        <v>0.18788767953091176</v>
      </c>
      <c r="N74" s="24">
        <f t="shared" si="25"/>
        <v>0.18701605599681001</v>
      </c>
      <c r="O74" s="24">
        <f t="shared" si="25"/>
        <v>0.18347282926466096</v>
      </c>
    </row>
    <row r="75" spans="1:16" x14ac:dyDescent="0.25">
      <c r="B75" s="32" t="s">
        <v>226</v>
      </c>
      <c r="G75" s="24">
        <f>G72/Statements!G22</f>
        <v>0.12462214197317968</v>
      </c>
      <c r="H75" s="24">
        <f>H72/Statements!H22</f>
        <v>0.13005465906570829</v>
      </c>
      <c r="I75" s="24">
        <f>I72/Statements!I22</f>
        <v>0.11735010932525222</v>
      </c>
      <c r="J75" s="24">
        <f>J72/Statements!J22</f>
        <v>9.9838764324384072E-2</v>
      </c>
      <c r="K75" s="24">
        <f>AVERAGE(G75:J75)</f>
        <v>0.11796641867213106</v>
      </c>
      <c r="L75" s="24">
        <f t="shared" si="25"/>
        <v>0.11630248784686892</v>
      </c>
      <c r="M75" s="24">
        <f t="shared" si="25"/>
        <v>0.11286444504215906</v>
      </c>
      <c r="N75" s="24">
        <f t="shared" si="25"/>
        <v>0.11174302897138577</v>
      </c>
      <c r="O75" s="24">
        <f t="shared" si="25"/>
        <v>0.1147190951331362</v>
      </c>
    </row>
    <row r="77" spans="1:16" x14ac:dyDescent="0.25">
      <c r="B77" s="29"/>
    </row>
    <row r="78" spans="1:16" x14ac:dyDescent="0.25">
      <c r="A78" s="1" t="s">
        <v>32</v>
      </c>
      <c r="B78" s="91" t="s">
        <v>227</v>
      </c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</row>
    <row r="79" spans="1:16" x14ac:dyDescent="0.25">
      <c r="B79" s="32"/>
      <c r="G79" s="40"/>
      <c r="H79" s="40"/>
      <c r="I79" s="40"/>
      <c r="J79" s="40"/>
      <c r="K79" s="21"/>
      <c r="L79" s="21"/>
      <c r="M79" s="21"/>
      <c r="N79" s="21"/>
      <c r="O79" s="21"/>
    </row>
    <row r="80" spans="1:16" x14ac:dyDescent="0.25">
      <c r="B80" s="29" t="s">
        <v>228</v>
      </c>
      <c r="G80" s="40"/>
      <c r="H80" s="40"/>
      <c r="I80" s="40"/>
      <c r="J80" s="40"/>
      <c r="K80" s="21"/>
      <c r="L80" s="21"/>
      <c r="M80" s="21"/>
      <c r="N80" s="21"/>
      <c r="O80" s="21"/>
    </row>
    <row r="81" spans="1:15" x14ac:dyDescent="0.25">
      <c r="B81" s="29"/>
    </row>
    <row r="82" spans="1:15" x14ac:dyDescent="0.25">
      <c r="B82" s="32" t="s">
        <v>234</v>
      </c>
      <c r="K82" s="38">
        <v>78328</v>
      </c>
      <c r="L82" s="21">
        <f>K85</f>
        <v>65935</v>
      </c>
      <c r="M82" s="21">
        <f t="shared" ref="M82:O82" si="26">L85</f>
        <v>55857</v>
      </c>
      <c r="N82" s="21">
        <f t="shared" si="26"/>
        <v>46557</v>
      </c>
      <c r="O82" s="21">
        <f t="shared" si="26"/>
        <v>41322</v>
      </c>
    </row>
    <row r="83" spans="1:15" x14ac:dyDescent="0.25">
      <c r="B83" s="25" t="s">
        <v>230</v>
      </c>
      <c r="K83" s="38">
        <v>0</v>
      </c>
      <c r="L83" s="38">
        <v>0</v>
      </c>
      <c r="M83" s="38">
        <v>0</v>
      </c>
      <c r="N83" s="38">
        <v>0</v>
      </c>
      <c r="O83" s="38">
        <v>0</v>
      </c>
    </row>
    <row r="84" spans="1:15" x14ac:dyDescent="0.25">
      <c r="B84" s="25" t="s">
        <v>231</v>
      </c>
      <c r="K84" s="38">
        <v>12393</v>
      </c>
      <c r="L84" s="38">
        <v>10078</v>
      </c>
      <c r="M84" s="38">
        <v>9300</v>
      </c>
      <c r="N84" s="38">
        <v>5235</v>
      </c>
      <c r="O84" s="38">
        <v>4972</v>
      </c>
    </row>
    <row r="85" spans="1:15" x14ac:dyDescent="0.25">
      <c r="B85" s="34" t="s">
        <v>235</v>
      </c>
      <c r="C85" s="17"/>
      <c r="D85" s="17"/>
      <c r="E85" s="17"/>
      <c r="F85" s="17"/>
      <c r="G85" s="159"/>
      <c r="H85" s="159"/>
      <c r="I85" s="159"/>
      <c r="J85" s="159"/>
      <c r="K85" s="36">
        <f>K82+K83-K84</f>
        <v>65935</v>
      </c>
      <c r="L85" s="36">
        <f t="shared" ref="L85:O85" si="27">L82+L83-L84</f>
        <v>55857</v>
      </c>
      <c r="M85" s="36">
        <f t="shared" si="27"/>
        <v>46557</v>
      </c>
      <c r="N85" s="36">
        <f t="shared" si="27"/>
        <v>41322</v>
      </c>
      <c r="O85" s="36">
        <f t="shared" si="27"/>
        <v>36350</v>
      </c>
    </row>
    <row r="87" spans="1:15" x14ac:dyDescent="0.25">
      <c r="B87" s="1" t="s">
        <v>229</v>
      </c>
      <c r="E87" s="56">
        <v>4.4999999999999998E-2</v>
      </c>
    </row>
    <row r="88" spans="1:15" x14ac:dyDescent="0.25">
      <c r="B88" s="1" t="s">
        <v>232</v>
      </c>
      <c r="K88" s="21">
        <f>AVERAGE(K82,K85)*$E$87</f>
        <v>3245.9175</v>
      </c>
      <c r="L88" s="21">
        <f t="shared" ref="L88:O88" si="28">AVERAGE(L82,L85)*$E$87</f>
        <v>2740.3199999999997</v>
      </c>
      <c r="M88" s="21">
        <f t="shared" si="28"/>
        <v>2304.3150000000001</v>
      </c>
      <c r="N88" s="21">
        <f t="shared" si="28"/>
        <v>1977.2774999999999</v>
      </c>
      <c r="O88" s="21">
        <f t="shared" si="28"/>
        <v>1747.62</v>
      </c>
    </row>
    <row r="90" spans="1:15" x14ac:dyDescent="0.25">
      <c r="A90" s="62" t="s">
        <v>32</v>
      </c>
      <c r="B90" s="86" t="s">
        <v>259</v>
      </c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</row>
    <row r="92" spans="1:15" x14ac:dyDescent="0.25">
      <c r="B92" s="1" t="s">
        <v>278</v>
      </c>
      <c r="G92" s="159"/>
      <c r="H92" s="159"/>
      <c r="I92" s="159"/>
      <c r="J92" s="159"/>
      <c r="K92" s="40">
        <f ca="1">Statements!K114+Statements!K120+Statements!K124+Statements!K126+Statements!K127+Statements!K123</f>
        <v>17553.726710595351</v>
      </c>
      <c r="L92" s="21">
        <f ca="1">Statements!L114+Statements!L120+Statements!L124+Statements!L126+Statements!L127+Statements!L123</f>
        <v>-7925.068067448854</v>
      </c>
      <c r="M92" s="21">
        <f ca="1">Statements!M114+Statements!M120+Statements!M124+Statements!M126+Statements!M127+Statements!M123</f>
        <v>-1840.4304294579197</v>
      </c>
      <c r="N92" s="21">
        <f ca="1">Statements!N114+Statements!N120+Statements!N124+Statements!N126+Statements!N127+Statements!N123</f>
        <v>2422.9659767975972</v>
      </c>
      <c r="O92" s="21">
        <f ca="1">Statements!O114+Statements!O120+Statements!O124+Statements!O126+Statements!O127+Statements!O123</f>
        <v>4879.8185181455628</v>
      </c>
    </row>
    <row r="93" spans="1:15" x14ac:dyDescent="0.25">
      <c r="B93" s="1" t="s">
        <v>261</v>
      </c>
      <c r="G93" s="159"/>
      <c r="H93" s="159"/>
      <c r="I93" s="159"/>
      <c r="J93" s="159"/>
      <c r="K93" s="21">
        <f>Statements!J61</f>
        <v>35934</v>
      </c>
      <c r="L93" s="21">
        <f ca="1">Statements!K61</f>
        <v>50346.588710595359</v>
      </c>
      <c r="M93" s="21">
        <f ca="1">Statements!L61</f>
        <v>39765.200643146498</v>
      </c>
      <c r="N93" s="21">
        <f ca="1">Statements!M61</f>
        <v>35704.455213688576</v>
      </c>
      <c r="O93" s="21">
        <f ca="1">Statements!N61</f>
        <v>36234.143690486177</v>
      </c>
    </row>
    <row r="94" spans="1:15" x14ac:dyDescent="0.25">
      <c r="B94" s="1" t="s">
        <v>262</v>
      </c>
      <c r="G94" s="159"/>
      <c r="H94" s="159"/>
      <c r="I94" s="159"/>
      <c r="J94" s="159"/>
      <c r="K94" s="38">
        <v>-15000</v>
      </c>
      <c r="L94" s="38">
        <v>-15000</v>
      </c>
      <c r="M94" s="38">
        <v>-15000</v>
      </c>
      <c r="N94" s="38">
        <v>-15000</v>
      </c>
      <c r="O94" s="38">
        <v>-15000</v>
      </c>
    </row>
    <row r="95" spans="1:15" x14ac:dyDescent="0.25">
      <c r="B95" s="17" t="s">
        <v>263</v>
      </c>
      <c r="G95" s="159"/>
      <c r="H95" s="159"/>
      <c r="I95" s="159"/>
      <c r="J95" s="159"/>
      <c r="K95" s="36">
        <f ca="1">SUM(K92:K94)</f>
        <v>38487.726710595351</v>
      </c>
      <c r="L95" s="36">
        <f t="shared" ref="L95:O95" ca="1" si="29">SUM(L92:L94)</f>
        <v>27421.520643146505</v>
      </c>
      <c r="M95" s="36">
        <f t="shared" ca="1" si="29"/>
        <v>22924.770213688578</v>
      </c>
      <c r="N95" s="36">
        <f t="shared" ca="1" si="29"/>
        <v>23127.421190486173</v>
      </c>
      <c r="O95" s="36">
        <f t="shared" ca="1" si="29"/>
        <v>26113.962208631739</v>
      </c>
    </row>
    <row r="97" spans="1:16" x14ac:dyDescent="0.25">
      <c r="B97" s="29" t="s">
        <v>170</v>
      </c>
      <c r="G97" s="160"/>
      <c r="H97" s="160"/>
      <c r="I97" s="160"/>
      <c r="J97" s="160"/>
      <c r="K97" s="31"/>
      <c r="L97" s="31"/>
      <c r="M97" s="31"/>
      <c r="N97" s="31"/>
      <c r="O97" s="31"/>
    </row>
    <row r="98" spans="1:16" x14ac:dyDescent="0.25">
      <c r="G98" s="160"/>
      <c r="H98" s="160"/>
      <c r="I98" s="160"/>
      <c r="J98" s="160"/>
      <c r="K98" s="31"/>
      <c r="L98" s="31"/>
      <c r="M98" s="31"/>
      <c r="N98" s="31"/>
      <c r="O98" s="31"/>
    </row>
    <row r="99" spans="1:16" x14ac:dyDescent="0.25">
      <c r="B99" s="32" t="s">
        <v>233</v>
      </c>
      <c r="K99" s="38">
        <v>7979</v>
      </c>
      <c r="L99" s="21">
        <f ca="1">K102</f>
        <v>8000</v>
      </c>
      <c r="M99" s="21">
        <f t="shared" ref="M99:O99" ca="1" si="30">L102</f>
        <v>8000</v>
      </c>
      <c r="N99" s="21">
        <f t="shared" ca="1" si="30"/>
        <v>8000</v>
      </c>
      <c r="O99" s="21">
        <f t="shared" ca="1" si="30"/>
        <v>8000</v>
      </c>
    </row>
    <row r="100" spans="1:16" x14ac:dyDescent="0.25">
      <c r="B100" s="25" t="s">
        <v>279</v>
      </c>
      <c r="K100" s="21">
        <f ca="1">-MIN(K99,K95)</f>
        <v>-7979</v>
      </c>
      <c r="L100" s="21">
        <f t="shared" ref="L100:O100" ca="1" si="31">-MIN(L99,L95)</f>
        <v>-8000</v>
      </c>
      <c r="M100" s="21">
        <f t="shared" ca="1" si="31"/>
        <v>-8000</v>
      </c>
      <c r="N100" s="21">
        <f t="shared" ca="1" si="31"/>
        <v>-8000</v>
      </c>
      <c r="O100" s="21">
        <f t="shared" ca="1" si="31"/>
        <v>-8000</v>
      </c>
    </row>
    <row r="101" spans="1:16" x14ac:dyDescent="0.25">
      <c r="B101" s="25" t="s">
        <v>281</v>
      </c>
      <c r="K101" s="38">
        <v>8000</v>
      </c>
      <c r="L101" s="38">
        <v>8000</v>
      </c>
      <c r="M101" s="38">
        <v>8000</v>
      </c>
      <c r="N101" s="38">
        <v>8000</v>
      </c>
      <c r="O101" s="38">
        <v>8000</v>
      </c>
      <c r="P101" s="21"/>
    </row>
    <row r="102" spans="1:16" x14ac:dyDescent="0.25">
      <c r="B102" s="17" t="s">
        <v>236</v>
      </c>
      <c r="C102" s="17"/>
      <c r="D102" s="17"/>
      <c r="E102" s="17"/>
      <c r="F102" s="17"/>
      <c r="G102" s="159"/>
      <c r="H102" s="159"/>
      <c r="I102" s="159"/>
      <c r="J102" s="159"/>
      <c r="K102" s="36">
        <f ca="1">SUM(K99:K101)</f>
        <v>8000</v>
      </c>
      <c r="L102" s="36">
        <f t="shared" ref="L102:O102" ca="1" si="32">SUM(L99:L101)</f>
        <v>8000</v>
      </c>
      <c r="M102" s="36">
        <f t="shared" ca="1" si="32"/>
        <v>8000</v>
      </c>
      <c r="N102" s="36">
        <f t="shared" ca="1" si="32"/>
        <v>8000</v>
      </c>
      <c r="O102" s="36">
        <f t="shared" ca="1" si="32"/>
        <v>8000</v>
      </c>
    </row>
    <row r="103" spans="1:16" x14ac:dyDescent="0.25">
      <c r="G103" s="160"/>
      <c r="H103" s="160"/>
      <c r="I103" s="160"/>
      <c r="J103" s="160"/>
      <c r="K103" s="31"/>
      <c r="L103" s="31"/>
      <c r="M103" s="31"/>
      <c r="N103" s="31"/>
      <c r="O103" s="31"/>
    </row>
    <row r="104" spans="1:16" x14ac:dyDescent="0.25">
      <c r="B104" s="1" t="s">
        <v>229</v>
      </c>
      <c r="E104" s="56">
        <v>1.0500000000000001E-2</v>
      </c>
      <c r="G104" s="24"/>
      <c r="H104" s="24"/>
      <c r="I104" s="24"/>
      <c r="J104" s="24"/>
      <c r="K104" s="31"/>
      <c r="L104" s="31"/>
      <c r="M104" s="31"/>
      <c r="N104" s="31"/>
      <c r="O104" s="31"/>
    </row>
    <row r="105" spans="1:16" x14ac:dyDescent="0.25">
      <c r="B105" s="1" t="s">
        <v>232</v>
      </c>
      <c r="G105" s="24"/>
      <c r="H105" s="24"/>
      <c r="I105" s="24"/>
      <c r="J105" s="24"/>
      <c r="K105" s="21">
        <f>K99*$E$104</f>
        <v>83.779499999999999</v>
      </c>
      <c r="L105" s="21">
        <f ca="1">L99*$E$104</f>
        <v>84</v>
      </c>
      <c r="M105" s="21">
        <f ca="1">M99*$E$104</f>
        <v>84</v>
      </c>
      <c r="N105" s="21">
        <f ca="1">N99*$E$104</f>
        <v>84</v>
      </c>
      <c r="O105" s="21">
        <f ca="1">O99*$E$104</f>
        <v>84</v>
      </c>
    </row>
    <row r="107" spans="1:16" x14ac:dyDescent="0.25">
      <c r="A107" s="1" t="s">
        <v>32</v>
      </c>
      <c r="B107" s="91" t="s">
        <v>282</v>
      </c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</row>
    <row r="108" spans="1:16" x14ac:dyDescent="0.25"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</row>
    <row r="109" spans="1:16" x14ac:dyDescent="0.25">
      <c r="B109" s="87" t="s">
        <v>283</v>
      </c>
      <c r="C109" s="62"/>
      <c r="D109" s="62"/>
      <c r="E109" s="62"/>
      <c r="F109" s="62"/>
      <c r="K109" s="165">
        <v>-14264</v>
      </c>
      <c r="L109" s="66">
        <f ca="1">K113</f>
        <v>-15630.443147650934</v>
      </c>
      <c r="M109" s="66">
        <f t="shared" ref="M109:O109" ca="1" si="33">L113</f>
        <v>-19390.637063046001</v>
      </c>
      <c r="N109" s="66">
        <f t="shared" ca="1" si="33"/>
        <v>-16099.755980525981</v>
      </c>
      <c r="O109" s="66">
        <f t="shared" ca="1" si="33"/>
        <v>-13835.66952805352</v>
      </c>
    </row>
    <row r="110" spans="1:16" x14ac:dyDescent="0.25">
      <c r="B110" s="71" t="s">
        <v>237</v>
      </c>
      <c r="C110" s="62"/>
      <c r="D110" s="62"/>
      <c r="E110" s="62"/>
      <c r="F110" s="62"/>
      <c r="K110" s="66">
        <f ca="1">Statements!K43</f>
        <v>117784.75834398926</v>
      </c>
      <c r="L110" s="66">
        <f ca="1">Statements!L43</f>
        <v>131820.76794920507</v>
      </c>
      <c r="M110" s="66">
        <f ca="1">Statements!M43</f>
        <v>150935.15992716482</v>
      </c>
      <c r="N110" s="66">
        <f ca="1">Statements!N43</f>
        <v>175614.7698910351</v>
      </c>
      <c r="O110" s="66">
        <f ca="1">Statements!O43</f>
        <v>209022.36234189759</v>
      </c>
    </row>
    <row r="111" spans="1:16" x14ac:dyDescent="0.25">
      <c r="B111" s="71" t="s">
        <v>238</v>
      </c>
      <c r="C111" s="62"/>
      <c r="D111" s="62"/>
      <c r="E111" s="62"/>
      <c r="F111" s="62"/>
      <c r="K111" s="66">
        <f ca="1">-Assumptions!K22</f>
        <v>-16254.29665147052</v>
      </c>
      <c r="L111" s="66">
        <f ca="1">-Assumptions!L22</f>
        <v>-16938.968681472852</v>
      </c>
      <c r="M111" s="66">
        <f ca="1">-Assumptions!M22</f>
        <v>-17961.284031332612</v>
      </c>
      <c r="N111" s="66">
        <f ca="1">-Assumptions!N22</f>
        <v>-19229.817303068343</v>
      </c>
      <c r="O111" s="66">
        <f ca="1">-Assumptions!O22</f>
        <v>-20902.236234189761</v>
      </c>
    </row>
    <row r="112" spans="1:16" x14ac:dyDescent="0.25">
      <c r="B112" s="25" t="s">
        <v>239</v>
      </c>
      <c r="C112" s="62"/>
      <c r="D112" s="62"/>
      <c r="E112" s="62"/>
      <c r="F112" s="62"/>
      <c r="G112" s="159"/>
      <c r="H112" s="159"/>
      <c r="I112" s="159"/>
      <c r="J112" s="159"/>
      <c r="K112" s="66">
        <f ca="1">-Assumptions!K25</f>
        <v>-102896.90484016968</v>
      </c>
      <c r="L112" s="66">
        <f ca="1">-Assumptions!L25</f>
        <v>-118641.99318312728</v>
      </c>
      <c r="M112" s="66">
        <f ca="1">-Assumptions!M25</f>
        <v>-129682.99481331217</v>
      </c>
      <c r="N112" s="66">
        <f ca="1">-Assumptions!N25</f>
        <v>-154120.86613549429</v>
      </c>
      <c r="O112" s="66">
        <f ca="1">-Assumptions!O25</f>
        <v>-183718.7719099196</v>
      </c>
    </row>
    <row r="113" spans="2:15" x14ac:dyDescent="0.25">
      <c r="B113" s="65" t="s">
        <v>284</v>
      </c>
      <c r="C113" s="62"/>
      <c r="D113" s="62"/>
      <c r="E113" s="62"/>
      <c r="F113" s="62"/>
      <c r="G113" s="159"/>
      <c r="H113" s="159"/>
      <c r="I113" s="159"/>
      <c r="J113" s="159"/>
      <c r="K113" s="82">
        <f ca="1">SUM(K109:K112)</f>
        <v>-15630.443147650934</v>
      </c>
      <c r="L113" s="82">
        <f t="shared" ref="L113:O113" ca="1" si="34">SUM(L109:L112)</f>
        <v>-19390.637063046001</v>
      </c>
      <c r="M113" s="82">
        <f t="shared" ca="1" si="34"/>
        <v>-16099.755980525981</v>
      </c>
      <c r="N113" s="82">
        <f t="shared" ca="1" si="34"/>
        <v>-13835.66952805352</v>
      </c>
      <c r="O113" s="82">
        <f t="shared" ca="1" si="34"/>
        <v>-9434.3153302652936</v>
      </c>
    </row>
    <row r="114" spans="2:15" x14ac:dyDescent="0.25">
      <c r="K114" s="17"/>
      <c r="L114" s="17"/>
      <c r="M114" s="17"/>
      <c r="N114" s="17"/>
      <c r="O114" s="17"/>
    </row>
    <row r="115" spans="2:15" x14ac:dyDescent="0.25">
      <c r="B115" s="1" t="s">
        <v>285</v>
      </c>
      <c r="G115" s="159"/>
      <c r="H115" s="159"/>
      <c r="I115" s="159"/>
      <c r="J115" s="159"/>
      <c r="K115" s="163">
        <f>Statements!J92</f>
        <v>93568</v>
      </c>
      <c r="L115" s="66">
        <f ca="1">K117</f>
        <v>106732.64283723975</v>
      </c>
      <c r="M115" s="66">
        <f t="shared" ref="M115:O115" ca="1" si="35">L117</f>
        <v>121019.46108730338</v>
      </c>
      <c r="N115" s="66">
        <f t="shared" ca="1" si="35"/>
        <v>136370.17255061487</v>
      </c>
      <c r="O115" s="66">
        <f t="shared" ca="1" si="35"/>
        <v>152754.64626225186</v>
      </c>
    </row>
    <row r="116" spans="2:15" x14ac:dyDescent="0.25">
      <c r="B116" s="25" t="s">
        <v>268</v>
      </c>
      <c r="G116" s="159"/>
      <c r="H116" s="159"/>
      <c r="I116" s="159"/>
      <c r="J116" s="159"/>
      <c r="K116" s="66">
        <f ca="1">Assumptions!K19</f>
        <v>13164.642837239749</v>
      </c>
      <c r="L116" s="66">
        <f ca="1">Assumptions!L19</f>
        <v>14286.818250063625</v>
      </c>
      <c r="M116" s="66">
        <f ca="1">Assumptions!M19</f>
        <v>15350.711463311472</v>
      </c>
      <c r="N116" s="66">
        <f ca="1">Assumptions!N19</f>
        <v>16384.473711636987</v>
      </c>
      <c r="O116" s="66">
        <f ca="1">Assumptions!O19</f>
        <v>17765.076713783903</v>
      </c>
    </row>
    <row r="117" spans="2:15" x14ac:dyDescent="0.25">
      <c r="B117" s="17" t="s">
        <v>286</v>
      </c>
      <c r="G117" s="159"/>
      <c r="H117" s="159"/>
      <c r="I117" s="159"/>
      <c r="J117" s="159"/>
      <c r="K117" s="82">
        <f ca="1">SUM(K115:K116)</f>
        <v>106732.64283723975</v>
      </c>
      <c r="L117" s="82">
        <f t="shared" ref="L117:O117" ca="1" si="36">SUM(L115:L116)</f>
        <v>121019.46108730338</v>
      </c>
      <c r="M117" s="82">
        <f t="shared" ca="1" si="36"/>
        <v>136370.17255061487</v>
      </c>
      <c r="N117" s="82">
        <f t="shared" ca="1" si="36"/>
        <v>152754.64626225186</v>
      </c>
      <c r="O117" s="82">
        <f t="shared" ca="1" si="36"/>
        <v>170519.72297603576</v>
      </c>
    </row>
    <row r="118" spans="2:15" x14ac:dyDescent="0.25">
      <c r="K118" s="17"/>
      <c r="L118" s="17"/>
      <c r="M118" s="17"/>
      <c r="N118" s="17"/>
      <c r="O118" s="17"/>
    </row>
    <row r="120" spans="2:15" ht="14.4" x14ac:dyDescent="0.3">
      <c r="B120" s="161" t="s">
        <v>57</v>
      </c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</row>
  </sheetData>
  <mergeCells count="2">
    <mergeCell ref="G6:J6"/>
    <mergeCell ref="K6:O6"/>
  </mergeCells>
  <hyperlinks>
    <hyperlink ref="B120" location="Schedule!A8" display="&lt;- Go back to the top" xr:uid="{BD6AFDFD-951C-4A5E-A975-D7F35E747FA9}"/>
    <hyperlink ref="C11" location="PPE" display="PPE and intangibles" xr:uid="{9C001D6F-D977-4DF9-864F-BDB9D1C3F2FD}"/>
    <hyperlink ref="E11" location="WC" display="Working capital" xr:uid="{28CDD9BD-1EBF-40C9-9D76-0DAF9E639C3C}"/>
    <hyperlink ref="H11" location="RE" display="Retained earnings" xr:uid="{D4AC04A9-C57A-4530-823C-62342D2E543F}"/>
    <hyperlink ref="G11" location="Debt" display="Debt schedule" xr:uid="{6E167A23-6F39-445A-BF7F-E1EB3DF0D65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A7E9B-182C-4605-86F7-8C19CB228200}">
  <sheetPr>
    <tabColor rgb="FF00004D"/>
  </sheetPr>
  <dimension ref="A1"/>
  <sheetViews>
    <sheetView showGridLines="0" workbookViewId="0">
      <selection activeCell="I13" sqref="I13"/>
    </sheetView>
  </sheetViews>
  <sheetFormatPr defaultRowHeight="14.4" x14ac:dyDescent="0.3"/>
  <sheetData>
    <row r="1" spans="1:1" x14ac:dyDescent="0.3">
      <c r="A1" t="s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7110-6571-4E63-B74B-852FE0B133C5}">
  <dimension ref="A2:W389"/>
  <sheetViews>
    <sheetView showGridLines="0" topLeftCell="A74" zoomScaleNormal="100" workbookViewId="0">
      <selection activeCell="A74" sqref="A1:A1048576"/>
    </sheetView>
  </sheetViews>
  <sheetFormatPr defaultRowHeight="13.2" outlineLevelRow="1" x14ac:dyDescent="0.25"/>
  <cols>
    <col min="1" max="1" width="2.88671875" style="1" customWidth="1"/>
    <col min="2" max="2" width="12.33203125" style="1" customWidth="1"/>
    <col min="3" max="3" width="9.21875" style="1" customWidth="1"/>
    <col min="4" max="5" width="8.88671875" style="1"/>
    <col min="6" max="6" width="12.44140625" style="1" bestFit="1" customWidth="1"/>
    <col min="7" max="7" width="10.88671875" style="1" bestFit="1" customWidth="1"/>
    <col min="8" max="11" width="8.88671875" style="1"/>
    <col min="12" max="12" width="9.21875" style="1" bestFit="1" customWidth="1"/>
    <col min="13" max="16384" width="8.88671875" style="1"/>
  </cols>
  <sheetData>
    <row r="2" spans="1:23" s="5" customFormat="1" ht="15.6" x14ac:dyDescent="0.3">
      <c r="B2" s="6" t="str">
        <f>Dashboard!B2</f>
        <v>Apple, Inc.</v>
      </c>
      <c r="C2" s="7"/>
      <c r="D2" s="7"/>
      <c r="E2" s="7"/>
      <c r="F2" s="7"/>
      <c r="G2" s="7"/>
      <c r="H2" s="7"/>
      <c r="I2" s="7"/>
      <c r="J2" s="7"/>
      <c r="K2" s="7"/>
      <c r="L2" s="7"/>
      <c r="M2" s="1"/>
      <c r="N2" s="1"/>
      <c r="O2" s="1"/>
    </row>
    <row r="3" spans="1:23" s="5" customFormat="1" ht="13.8" x14ac:dyDescent="0.25">
      <c r="B3" s="95" t="s">
        <v>56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  <c r="N3" s="1"/>
      <c r="O3" s="1"/>
    </row>
    <row r="4" spans="1:23" s="5" customFormat="1" ht="13.8" x14ac:dyDescent="0.25">
      <c r="B4" s="94" t="str">
        <f>Dashboard!B4</f>
        <v>(In millions, except number of shares, which are reflected in thousands, and per-share amounts)</v>
      </c>
      <c r="C4" s="7"/>
      <c r="D4" s="7"/>
      <c r="E4" s="7"/>
      <c r="F4" s="7"/>
      <c r="G4" s="7"/>
      <c r="H4" s="7"/>
      <c r="I4" s="7"/>
      <c r="J4" s="7"/>
      <c r="K4" s="7"/>
      <c r="L4" s="7"/>
      <c r="M4" s="1"/>
      <c r="N4" s="1"/>
      <c r="O4" s="1"/>
    </row>
    <row r="5" spans="1:23" s="5" customFormat="1" ht="13.8" x14ac:dyDescent="0.25">
      <c r="B5" s="8" t="s">
        <v>39</v>
      </c>
      <c r="C5" s="7"/>
      <c r="D5" s="8" t="str">
        <f>Dashboard!G13</f>
        <v>Street</v>
      </c>
      <c r="E5" s="7"/>
      <c r="F5" s="7"/>
      <c r="G5" s="7"/>
      <c r="H5" s="7"/>
      <c r="I5" s="7"/>
      <c r="J5" s="7"/>
      <c r="K5" s="7"/>
      <c r="L5" s="7"/>
      <c r="M5" s="1"/>
      <c r="N5" s="1"/>
      <c r="O5" s="1"/>
    </row>
    <row r="6" spans="1:23" s="5" customFormat="1" ht="13.8" x14ac:dyDescent="0.25">
      <c r="B6" s="14"/>
      <c r="C6" s="57"/>
      <c r="D6" s="57"/>
      <c r="E6" s="8"/>
      <c r="F6" s="9"/>
      <c r="G6" s="9"/>
      <c r="H6" s="9"/>
      <c r="I6" s="9"/>
      <c r="J6" s="9"/>
      <c r="K6" s="9"/>
      <c r="L6" s="9"/>
      <c r="M6" s="1"/>
      <c r="N6" s="1"/>
    </row>
    <row r="7" spans="1:23" x14ac:dyDescent="0.25">
      <c r="U7" s="42"/>
    </row>
    <row r="8" spans="1:23" ht="14.4" x14ac:dyDescent="0.3">
      <c r="B8" s="35" t="s">
        <v>52</v>
      </c>
      <c r="U8" s="42"/>
    </row>
    <row r="9" spans="1:23" ht="14.4" x14ac:dyDescent="0.3">
      <c r="B9" s="35"/>
      <c r="S9" s="41"/>
      <c r="T9" s="41"/>
      <c r="U9" s="41"/>
      <c r="W9" s="42"/>
    </row>
    <row r="10" spans="1:23" x14ac:dyDescent="0.25">
      <c r="B10" s="55" t="s">
        <v>312</v>
      </c>
      <c r="S10" s="41"/>
      <c r="T10" s="41"/>
      <c r="U10" s="41"/>
      <c r="W10" s="42"/>
    </row>
    <row r="11" spans="1:23" x14ac:dyDescent="0.25">
      <c r="B11" s="448" t="s">
        <v>297</v>
      </c>
      <c r="C11" s="448"/>
      <c r="D11" s="448"/>
      <c r="F11" s="448" t="s">
        <v>298</v>
      </c>
      <c r="G11" s="448"/>
      <c r="H11" s="448"/>
      <c r="J11" s="448" t="s">
        <v>66</v>
      </c>
      <c r="K11" s="448"/>
      <c r="L11" s="448"/>
      <c r="S11" s="41"/>
      <c r="T11" s="41"/>
      <c r="U11" s="41"/>
      <c r="W11" s="42"/>
    </row>
    <row r="12" spans="1:23" x14ac:dyDescent="0.25">
      <c r="S12" s="41"/>
      <c r="T12" s="41"/>
      <c r="U12" s="41"/>
      <c r="W12" s="42"/>
    </row>
    <row r="13" spans="1:23" x14ac:dyDescent="0.25">
      <c r="A13" s="30"/>
      <c r="B13" s="30" t="s">
        <v>1</v>
      </c>
      <c r="C13" s="30" t="s">
        <v>64</v>
      </c>
      <c r="D13" s="30" t="s">
        <v>65</v>
      </c>
      <c r="E13" s="2"/>
      <c r="F13" s="30" t="s">
        <v>1</v>
      </c>
      <c r="G13" s="30" t="s">
        <v>64</v>
      </c>
      <c r="H13" s="30" t="s">
        <v>65</v>
      </c>
      <c r="J13" s="179" t="s">
        <v>71</v>
      </c>
      <c r="K13" s="174"/>
      <c r="L13" s="180">
        <f>SLOPE(D15:D263,H15:H263)</f>
        <v>1.3948533185264809</v>
      </c>
      <c r="S13" s="41"/>
      <c r="T13" s="41"/>
      <c r="U13" s="41"/>
      <c r="W13" s="42"/>
    </row>
    <row r="14" spans="1:23" ht="13.8" x14ac:dyDescent="0.25">
      <c r="B14" s="88">
        <v>46085</v>
      </c>
      <c r="C14" s="1">
        <v>262.52</v>
      </c>
      <c r="D14" s="48"/>
      <c r="E14" s="43"/>
      <c r="F14" s="88">
        <v>46085</v>
      </c>
      <c r="G14" s="41">
        <v>23086.3</v>
      </c>
      <c r="H14" s="51"/>
      <c r="I14" s="41"/>
      <c r="J14" s="174"/>
      <c r="K14" s="174"/>
      <c r="L14" s="174"/>
      <c r="S14" s="41"/>
      <c r="T14" s="41"/>
      <c r="U14" s="41"/>
      <c r="W14" s="42"/>
    </row>
    <row r="15" spans="1:23" ht="13.8" x14ac:dyDescent="0.25">
      <c r="B15" s="88">
        <v>46084</v>
      </c>
      <c r="C15" s="1">
        <v>263.75</v>
      </c>
      <c r="D15" s="48">
        <f t="shared" ref="D15:D78" si="0">C15/C14-1</f>
        <v>4.6853573061100828E-3</v>
      </c>
      <c r="E15" s="43"/>
      <c r="F15" s="88">
        <v>46084</v>
      </c>
      <c r="G15" s="41">
        <v>22998.2</v>
      </c>
      <c r="H15" s="48">
        <f>G15/G14-1</f>
        <v>-3.8161160515109982E-3</v>
      </c>
      <c r="I15" s="41"/>
      <c r="J15" s="174" t="s">
        <v>67</v>
      </c>
      <c r="K15" s="174"/>
      <c r="L15" s="180">
        <f>L13</f>
        <v>1.3948533185264809</v>
      </c>
      <c r="S15" s="41"/>
      <c r="T15" s="41"/>
      <c r="U15" s="41"/>
      <c r="W15" s="42"/>
    </row>
    <row r="16" spans="1:23" ht="13.8" x14ac:dyDescent="0.25">
      <c r="B16" s="88">
        <v>46083</v>
      </c>
      <c r="C16" s="1">
        <v>264.72000000000003</v>
      </c>
      <c r="D16" s="48">
        <f t="shared" si="0"/>
        <v>3.6777251184834103E-3</v>
      </c>
      <c r="E16" s="43"/>
      <c r="F16" s="88">
        <v>46083</v>
      </c>
      <c r="G16" s="41">
        <v>23413.1</v>
      </c>
      <c r="H16" s="48">
        <f t="shared" ref="H16:H79" si="1">G16/G15-1</f>
        <v>1.8040542303310536E-2</v>
      </c>
      <c r="I16" s="41"/>
      <c r="J16" s="179" t="s">
        <v>68</v>
      </c>
      <c r="K16" s="174"/>
      <c r="L16" s="181">
        <v>0.75</v>
      </c>
      <c r="S16" s="41"/>
      <c r="T16" s="41"/>
      <c r="U16" s="41"/>
      <c r="W16" s="42"/>
    </row>
    <row r="17" spans="2:23" ht="13.8" x14ac:dyDescent="0.25">
      <c r="B17" s="88">
        <v>46080</v>
      </c>
      <c r="C17" s="1">
        <v>264.18</v>
      </c>
      <c r="D17" s="48">
        <f t="shared" si="0"/>
        <v>-2.039891205802391E-3</v>
      </c>
      <c r="E17" s="43"/>
      <c r="F17" s="88">
        <v>46080</v>
      </c>
      <c r="G17" s="41">
        <v>23494.400000000001</v>
      </c>
      <c r="H17" s="48">
        <f t="shared" si="1"/>
        <v>3.4724150155256428E-3</v>
      </c>
      <c r="I17" s="41"/>
      <c r="J17" s="179"/>
      <c r="K17" s="174"/>
      <c r="L17" s="181"/>
      <c r="S17" s="41"/>
      <c r="T17" s="41"/>
      <c r="U17" s="41"/>
      <c r="W17" s="42"/>
    </row>
    <row r="18" spans="2:23" ht="13.8" x14ac:dyDescent="0.25">
      <c r="B18" s="88">
        <v>46079</v>
      </c>
      <c r="C18" s="1">
        <v>272.95</v>
      </c>
      <c r="D18" s="48">
        <f t="shared" si="0"/>
        <v>3.3197062608827155E-2</v>
      </c>
      <c r="E18" s="43"/>
      <c r="F18" s="88">
        <v>46079</v>
      </c>
      <c r="G18" s="41">
        <v>23524.799999999999</v>
      </c>
      <c r="H18" s="48">
        <f t="shared" si="1"/>
        <v>1.2939253609369761E-3</v>
      </c>
      <c r="I18" s="41"/>
      <c r="J18" s="179" t="s">
        <v>69</v>
      </c>
      <c r="K18" s="174"/>
      <c r="L18" s="182">
        <f>SLOPE(H15:H263,H15:H263)</f>
        <v>1</v>
      </c>
      <c r="S18" s="41"/>
      <c r="T18" s="41"/>
      <c r="U18" s="41"/>
      <c r="W18" s="42"/>
    </row>
    <row r="19" spans="2:23" ht="13.8" x14ac:dyDescent="0.25">
      <c r="B19" s="88">
        <v>46078</v>
      </c>
      <c r="C19" s="1">
        <v>274.23</v>
      </c>
      <c r="D19" s="48">
        <f t="shared" si="0"/>
        <v>4.6895035720828648E-3</v>
      </c>
      <c r="E19" s="43"/>
      <c r="F19" s="88">
        <v>46078</v>
      </c>
      <c r="G19" s="41">
        <v>23452.7</v>
      </c>
      <c r="H19" s="48">
        <f t="shared" si="1"/>
        <v>-3.0648507107392531E-3</v>
      </c>
      <c r="I19" s="41"/>
      <c r="J19" s="179" t="s">
        <v>70</v>
      </c>
      <c r="K19" s="174"/>
      <c r="L19" s="181">
        <v>0.25</v>
      </c>
      <c r="S19" s="41"/>
      <c r="T19" s="41"/>
      <c r="U19" s="41"/>
      <c r="W19" s="42"/>
    </row>
    <row r="20" spans="2:23" ht="13.8" x14ac:dyDescent="0.25">
      <c r="B20" s="88">
        <v>46077</v>
      </c>
      <c r="C20" s="1">
        <v>272.14</v>
      </c>
      <c r="D20" s="48">
        <f t="shared" si="0"/>
        <v>-7.6213397513037462E-3</v>
      </c>
      <c r="E20" s="43"/>
      <c r="F20" s="88">
        <v>46077</v>
      </c>
      <c r="G20" s="41">
        <v>23383.8</v>
      </c>
      <c r="H20" s="48">
        <f t="shared" si="1"/>
        <v>-2.9378280539128498E-3</v>
      </c>
      <c r="I20" s="41"/>
      <c r="J20" s="179"/>
      <c r="K20" s="174"/>
      <c r="L20" s="181"/>
      <c r="S20" s="41"/>
      <c r="T20" s="41"/>
      <c r="U20" s="41"/>
      <c r="W20" s="42"/>
    </row>
    <row r="21" spans="2:23" ht="13.8" x14ac:dyDescent="0.25">
      <c r="B21" s="88">
        <v>46076</v>
      </c>
      <c r="C21" s="1">
        <v>266.18</v>
      </c>
      <c r="D21" s="48">
        <f t="shared" si="0"/>
        <v>-2.1900492393620907E-2</v>
      </c>
      <c r="E21" s="43"/>
      <c r="F21" s="88">
        <v>46076</v>
      </c>
      <c r="G21" s="41">
        <v>23214.9</v>
      </c>
      <c r="H21" s="48">
        <f t="shared" si="1"/>
        <v>-7.222949221255659E-3</v>
      </c>
      <c r="I21" s="41"/>
      <c r="J21" s="175" t="s">
        <v>72</v>
      </c>
      <c r="K21" s="91"/>
      <c r="L21" s="176">
        <f>L15*L16+L18*L19</f>
        <v>1.2961399888948606</v>
      </c>
      <c r="S21" s="41"/>
      <c r="T21" s="41"/>
      <c r="U21" s="41"/>
      <c r="W21" s="42"/>
    </row>
    <row r="22" spans="2:23" ht="13.8" x14ac:dyDescent="0.25">
      <c r="B22" s="88">
        <v>46073</v>
      </c>
      <c r="C22" s="1">
        <v>264.58</v>
      </c>
      <c r="D22" s="48">
        <f t="shared" si="0"/>
        <v>-6.0109700202870542E-3</v>
      </c>
      <c r="E22" s="43"/>
      <c r="F22" s="88">
        <v>46073</v>
      </c>
      <c r="G22" s="41">
        <v>23452.6</v>
      </c>
      <c r="H22" s="48">
        <f t="shared" si="1"/>
        <v>1.0239113672684264E-2</v>
      </c>
      <c r="I22" s="41"/>
      <c r="J22" s="41"/>
      <c r="L22" s="42"/>
      <c r="S22" s="41"/>
      <c r="T22" s="41"/>
      <c r="U22" s="41"/>
      <c r="W22" s="42"/>
    </row>
    <row r="23" spans="2:23" ht="13.8" x14ac:dyDescent="0.25">
      <c r="B23" s="88">
        <v>46072</v>
      </c>
      <c r="C23" s="1">
        <v>260.58</v>
      </c>
      <c r="D23" s="48">
        <f t="shared" si="0"/>
        <v>-1.511830070300102E-2</v>
      </c>
      <c r="E23" s="43"/>
      <c r="F23" s="88">
        <v>46072</v>
      </c>
      <c r="G23" s="41">
        <v>23358.3</v>
      </c>
      <c r="H23" s="48">
        <f t="shared" si="1"/>
        <v>-4.0208761501923096E-3</v>
      </c>
      <c r="I23" s="41"/>
      <c r="J23" s="91" t="s">
        <v>75</v>
      </c>
      <c r="K23" s="91"/>
      <c r="L23" s="177">
        <f>YEARFRAC(F263,F14,1)</f>
        <v>0.9945205479452055</v>
      </c>
      <c r="S23" s="41"/>
      <c r="T23" s="41"/>
      <c r="U23" s="41"/>
      <c r="W23" s="42"/>
    </row>
    <row r="24" spans="2:23" ht="13.8" x14ac:dyDescent="0.25">
      <c r="B24" s="88">
        <v>46071</v>
      </c>
      <c r="C24" s="1">
        <v>264.35000000000002</v>
      </c>
      <c r="D24" s="48">
        <f t="shared" si="0"/>
        <v>1.4467725842351786E-2</v>
      </c>
      <c r="E24" s="43"/>
      <c r="F24" s="88">
        <v>46071</v>
      </c>
      <c r="G24" s="41">
        <v>23387.5</v>
      </c>
      <c r="H24" s="48">
        <f t="shared" si="1"/>
        <v>1.2500909740862376E-3</v>
      </c>
      <c r="I24" s="41"/>
      <c r="J24" s="175" t="s">
        <v>76</v>
      </c>
      <c r="K24" s="91"/>
      <c r="L24" s="178">
        <f>AVERAGE(H15:H263)</f>
        <v>-6.2817508968142258E-4</v>
      </c>
      <c r="S24" s="41"/>
      <c r="T24" s="41"/>
      <c r="U24" s="41"/>
      <c r="W24" s="42"/>
    </row>
    <row r="25" spans="2:23" ht="13.8" x14ac:dyDescent="0.25">
      <c r="B25" s="88">
        <v>46070</v>
      </c>
      <c r="C25" s="1">
        <v>263.88</v>
      </c>
      <c r="D25" s="48">
        <f t="shared" si="0"/>
        <v>-1.7779459050502044E-3</v>
      </c>
      <c r="E25" s="43"/>
      <c r="F25" s="88">
        <v>46070</v>
      </c>
      <c r="G25" s="41">
        <v>23300.799999999999</v>
      </c>
      <c r="H25" s="48">
        <f t="shared" si="1"/>
        <v>-3.7071084981293856E-3</v>
      </c>
      <c r="I25" s="41"/>
      <c r="J25" s="41"/>
      <c r="L25" s="42"/>
      <c r="S25" s="41"/>
      <c r="T25" s="41"/>
      <c r="U25" s="41"/>
      <c r="W25" s="42"/>
    </row>
    <row r="26" spans="2:23" ht="13.8" outlineLevel="1" x14ac:dyDescent="0.25">
      <c r="B26" s="88">
        <v>46066</v>
      </c>
      <c r="C26" s="1">
        <v>255.78</v>
      </c>
      <c r="D26" s="48">
        <f t="shared" si="0"/>
        <v>-3.069577080491126E-2</v>
      </c>
      <c r="E26" s="43"/>
      <c r="F26" s="88">
        <v>46066</v>
      </c>
      <c r="G26" s="41">
        <v>23326.1</v>
      </c>
      <c r="H26" s="48">
        <f t="shared" si="1"/>
        <v>1.0857996291973038E-3</v>
      </c>
      <c r="I26" s="41"/>
      <c r="J26" s="41"/>
      <c r="L26" s="42"/>
      <c r="S26" s="41"/>
      <c r="T26" s="41"/>
      <c r="U26" s="41"/>
      <c r="W26" s="42"/>
    </row>
    <row r="27" spans="2:23" ht="13.8" outlineLevel="1" x14ac:dyDescent="0.25">
      <c r="B27" s="88">
        <v>46065</v>
      </c>
      <c r="C27" s="1">
        <v>261.73</v>
      </c>
      <c r="D27" s="48">
        <f t="shared" si="0"/>
        <v>2.3262178434592329E-2</v>
      </c>
      <c r="E27" s="43"/>
      <c r="F27" s="88">
        <v>46065</v>
      </c>
      <c r="G27" s="41">
        <v>23188.799999999999</v>
      </c>
      <c r="H27" s="48">
        <f t="shared" si="1"/>
        <v>-5.8861104085122795E-3</v>
      </c>
      <c r="I27" s="41"/>
      <c r="J27" s="41"/>
      <c r="L27" s="42"/>
      <c r="S27" s="41"/>
      <c r="T27" s="41"/>
      <c r="U27" s="41"/>
      <c r="W27" s="42"/>
    </row>
    <row r="28" spans="2:23" ht="13.8" outlineLevel="1" x14ac:dyDescent="0.25">
      <c r="B28" s="88">
        <v>46064</v>
      </c>
      <c r="C28" s="1">
        <v>275.5</v>
      </c>
      <c r="D28" s="48">
        <f t="shared" si="0"/>
        <v>5.2611469835326385E-2</v>
      </c>
      <c r="E28" s="43"/>
      <c r="F28" s="88">
        <v>46064</v>
      </c>
      <c r="G28" s="41">
        <v>23479.7</v>
      </c>
      <c r="H28" s="48">
        <f t="shared" si="1"/>
        <v>1.2544849237563049E-2</v>
      </c>
      <c r="I28" s="41"/>
      <c r="J28" s="41"/>
      <c r="L28" s="42"/>
      <c r="S28" s="41"/>
      <c r="T28" s="41"/>
      <c r="U28" s="41"/>
      <c r="W28" s="42"/>
    </row>
    <row r="29" spans="2:23" ht="13.8" outlineLevel="1" x14ac:dyDescent="0.25">
      <c r="B29" s="88">
        <v>46063</v>
      </c>
      <c r="C29" s="1">
        <v>273.68</v>
      </c>
      <c r="D29" s="48">
        <f t="shared" si="0"/>
        <v>-6.6061705989109987E-3</v>
      </c>
      <c r="E29" s="43"/>
      <c r="F29" s="88">
        <v>46063</v>
      </c>
      <c r="G29" s="41">
        <v>23398.1</v>
      </c>
      <c r="H29" s="48">
        <f t="shared" si="1"/>
        <v>-3.4753425299302032E-3</v>
      </c>
      <c r="I29" s="41"/>
      <c r="J29" s="41"/>
      <c r="L29" s="42"/>
      <c r="S29" s="41"/>
      <c r="T29" s="41"/>
      <c r="U29" s="41"/>
      <c r="W29" s="42"/>
    </row>
    <row r="30" spans="2:23" ht="13.8" outlineLevel="1" x14ac:dyDescent="0.25">
      <c r="B30" s="88">
        <v>46062</v>
      </c>
      <c r="C30" s="1">
        <v>274.62</v>
      </c>
      <c r="D30" s="48">
        <f t="shared" si="0"/>
        <v>3.4346682256649608E-3</v>
      </c>
      <c r="E30" s="43"/>
      <c r="F30" s="88">
        <v>46062</v>
      </c>
      <c r="G30" s="41">
        <v>23340.7</v>
      </c>
      <c r="H30" s="48">
        <f t="shared" si="1"/>
        <v>-2.4531906436846551E-3</v>
      </c>
      <c r="I30" s="41"/>
      <c r="J30" s="41"/>
      <c r="L30" s="42"/>
      <c r="S30" s="41"/>
      <c r="T30" s="41"/>
      <c r="U30" s="41"/>
      <c r="W30" s="42"/>
    </row>
    <row r="31" spans="2:23" ht="13.8" outlineLevel="1" x14ac:dyDescent="0.25">
      <c r="B31" s="88">
        <v>46059</v>
      </c>
      <c r="C31" s="1">
        <v>278.12</v>
      </c>
      <c r="D31" s="48">
        <f t="shared" si="0"/>
        <v>1.2744883839487242E-2</v>
      </c>
      <c r="E31" s="43"/>
      <c r="F31" s="88">
        <v>46059</v>
      </c>
      <c r="G31" s="41">
        <v>23252.799999999999</v>
      </c>
      <c r="H31" s="48">
        <f t="shared" si="1"/>
        <v>-3.7659538916999802E-3</v>
      </c>
      <c r="I31" s="41"/>
      <c r="J31" s="41"/>
      <c r="L31" s="42"/>
      <c r="S31" s="41"/>
      <c r="T31" s="41"/>
      <c r="U31" s="41"/>
      <c r="W31" s="42"/>
    </row>
    <row r="32" spans="2:23" ht="13.8" outlineLevel="1" x14ac:dyDescent="0.25">
      <c r="B32" s="88">
        <v>46058</v>
      </c>
      <c r="C32" s="1">
        <v>275.91000000000003</v>
      </c>
      <c r="D32" s="48">
        <f t="shared" si="0"/>
        <v>-7.9462102689485947E-3</v>
      </c>
      <c r="E32" s="43"/>
      <c r="F32" s="88">
        <v>46058</v>
      </c>
      <c r="G32" s="41">
        <v>22733.3</v>
      </c>
      <c r="H32" s="48">
        <f t="shared" si="1"/>
        <v>-2.2341395444849699E-2</v>
      </c>
      <c r="I32" s="41"/>
      <c r="J32" s="41"/>
      <c r="L32" s="42"/>
      <c r="S32" s="41"/>
      <c r="T32" s="41"/>
      <c r="U32" s="41"/>
      <c r="W32" s="42"/>
    </row>
    <row r="33" spans="2:23" ht="13.8" outlineLevel="1" x14ac:dyDescent="0.25">
      <c r="B33" s="88">
        <v>46057</v>
      </c>
      <c r="C33" s="1">
        <v>276.49</v>
      </c>
      <c r="D33" s="48">
        <f t="shared" si="0"/>
        <v>2.1021347540863822E-3</v>
      </c>
      <c r="E33" s="43"/>
      <c r="F33" s="88">
        <v>46057</v>
      </c>
      <c r="G33" s="41">
        <v>22975.599999999999</v>
      </c>
      <c r="H33" s="48">
        <f t="shared" si="1"/>
        <v>1.0658373399374366E-2</v>
      </c>
      <c r="I33" s="41"/>
      <c r="J33" s="41"/>
      <c r="L33" s="42"/>
      <c r="S33" s="41"/>
      <c r="T33" s="41"/>
      <c r="U33" s="41"/>
      <c r="W33" s="42"/>
    </row>
    <row r="34" spans="2:23" ht="13.8" outlineLevel="1" x14ac:dyDescent="0.25">
      <c r="B34" s="88">
        <v>46056</v>
      </c>
      <c r="C34" s="1">
        <v>269.48</v>
      </c>
      <c r="D34" s="48">
        <f t="shared" si="0"/>
        <v>-2.5353539006835679E-2</v>
      </c>
      <c r="E34" s="43"/>
      <c r="F34" s="88">
        <v>46056</v>
      </c>
      <c r="G34" s="41">
        <v>22881.200000000001</v>
      </c>
      <c r="H34" s="48">
        <f t="shared" si="1"/>
        <v>-4.1087066279008599E-3</v>
      </c>
      <c r="I34" s="41"/>
      <c r="J34" s="41"/>
      <c r="L34" s="42"/>
      <c r="S34" s="41"/>
      <c r="T34" s="41"/>
      <c r="U34" s="41"/>
      <c r="W34" s="42"/>
    </row>
    <row r="35" spans="2:23" ht="13.8" outlineLevel="1" x14ac:dyDescent="0.25">
      <c r="B35" s="88">
        <v>46055</v>
      </c>
      <c r="C35" s="1">
        <v>270.01</v>
      </c>
      <c r="D35" s="48">
        <f t="shared" si="0"/>
        <v>1.9667507792784367E-3</v>
      </c>
      <c r="E35" s="43"/>
      <c r="F35" s="88">
        <v>46055</v>
      </c>
      <c r="G35" s="41">
        <v>22885.7</v>
      </c>
      <c r="H35" s="48">
        <f t="shared" si="1"/>
        <v>1.966680069227511E-4</v>
      </c>
      <c r="I35" s="41"/>
      <c r="J35" s="41"/>
      <c r="L35" s="42"/>
      <c r="S35" s="41"/>
      <c r="T35" s="41"/>
      <c r="U35" s="41"/>
      <c r="W35" s="42"/>
    </row>
    <row r="36" spans="2:23" ht="13.8" outlineLevel="1" x14ac:dyDescent="0.25">
      <c r="B36" s="88">
        <v>46052</v>
      </c>
      <c r="C36" s="1">
        <v>259.48</v>
      </c>
      <c r="D36" s="48">
        <f t="shared" si="0"/>
        <v>-3.8998555609051411E-2</v>
      </c>
      <c r="E36" s="43"/>
      <c r="F36" s="88">
        <v>46052</v>
      </c>
      <c r="G36" s="41">
        <v>22719.3</v>
      </c>
      <c r="H36" s="48">
        <f t="shared" si="1"/>
        <v>-7.2709158994481715E-3</v>
      </c>
      <c r="I36" s="41"/>
      <c r="J36" s="41"/>
      <c r="L36" s="42"/>
      <c r="S36" s="41"/>
      <c r="T36" s="41"/>
      <c r="U36" s="41"/>
      <c r="W36" s="42"/>
    </row>
    <row r="37" spans="2:23" ht="13.8" outlineLevel="1" x14ac:dyDescent="0.25">
      <c r="B37" s="88">
        <v>46051</v>
      </c>
      <c r="C37" s="1">
        <v>258.27999999999997</v>
      </c>
      <c r="D37" s="48">
        <f t="shared" si="0"/>
        <v>-4.6246338831510414E-3</v>
      </c>
      <c r="E37" s="43"/>
      <c r="F37" s="88">
        <v>46051</v>
      </c>
      <c r="G37" s="41">
        <v>22875.5</v>
      </c>
      <c r="H37" s="48">
        <f t="shared" si="1"/>
        <v>6.8752118243080584E-3</v>
      </c>
      <c r="I37" s="41"/>
      <c r="J37" s="41"/>
      <c r="L37" s="42"/>
      <c r="S37" s="41"/>
      <c r="T37" s="41"/>
      <c r="U37" s="41"/>
      <c r="W37" s="42"/>
    </row>
    <row r="38" spans="2:23" ht="13.8" outlineLevel="1" x14ac:dyDescent="0.25">
      <c r="B38" s="88">
        <v>46050</v>
      </c>
      <c r="C38" s="1">
        <v>256.44</v>
      </c>
      <c r="D38" s="48">
        <f t="shared" si="0"/>
        <v>-7.1240514170666236E-3</v>
      </c>
      <c r="E38" s="43"/>
      <c r="F38" s="88">
        <v>46050</v>
      </c>
      <c r="G38" s="41">
        <v>22800.1</v>
      </c>
      <c r="H38" s="48">
        <f t="shared" si="1"/>
        <v>-3.296102817424873E-3</v>
      </c>
      <c r="I38" s="41"/>
      <c r="J38" s="41"/>
      <c r="L38" s="42"/>
      <c r="S38" s="41"/>
      <c r="T38" s="41"/>
      <c r="U38" s="41"/>
      <c r="W38" s="42"/>
    </row>
    <row r="39" spans="2:23" ht="13.8" outlineLevel="1" x14ac:dyDescent="0.25">
      <c r="B39" s="88">
        <v>46049</v>
      </c>
      <c r="C39" s="1">
        <v>258.27</v>
      </c>
      <c r="D39" s="48">
        <f t="shared" si="0"/>
        <v>7.1361722040241826E-3</v>
      </c>
      <c r="E39" s="43"/>
      <c r="F39" s="88">
        <v>46049</v>
      </c>
      <c r="G39" s="41">
        <v>22878.2</v>
      </c>
      <c r="H39" s="48">
        <f t="shared" si="1"/>
        <v>3.4254235727038118E-3</v>
      </c>
      <c r="I39" s="41"/>
      <c r="J39" s="41"/>
      <c r="L39" s="42"/>
      <c r="S39" s="41"/>
      <c r="T39" s="41"/>
      <c r="U39" s="41"/>
      <c r="W39" s="42"/>
    </row>
    <row r="40" spans="2:23" ht="13.8" outlineLevel="1" x14ac:dyDescent="0.25">
      <c r="B40" s="88">
        <v>46048</v>
      </c>
      <c r="C40" s="1">
        <v>255.41</v>
      </c>
      <c r="D40" s="48">
        <f t="shared" si="0"/>
        <v>-1.1073682580245436E-2</v>
      </c>
      <c r="E40" s="43"/>
      <c r="F40" s="88">
        <v>46048</v>
      </c>
      <c r="G40" s="41">
        <v>22829.1</v>
      </c>
      <c r="H40" s="48">
        <f t="shared" si="1"/>
        <v>-2.1461478612828655E-3</v>
      </c>
      <c r="I40" s="41"/>
      <c r="J40" s="41"/>
      <c r="L40" s="42"/>
      <c r="S40" s="41"/>
      <c r="T40" s="41"/>
      <c r="U40" s="41"/>
      <c r="W40" s="42"/>
    </row>
    <row r="41" spans="2:23" ht="13.8" outlineLevel="1" x14ac:dyDescent="0.25">
      <c r="B41" s="88">
        <v>46045</v>
      </c>
      <c r="C41" s="1">
        <v>248.04</v>
      </c>
      <c r="D41" s="48">
        <f t="shared" si="0"/>
        <v>-2.8855565561254459E-2</v>
      </c>
      <c r="E41" s="43"/>
      <c r="F41" s="88">
        <v>46045</v>
      </c>
      <c r="G41" s="41">
        <v>22757.200000000001</v>
      </c>
      <c r="H41" s="48">
        <f t="shared" si="1"/>
        <v>-3.1494890293527478E-3</v>
      </c>
      <c r="I41" s="41"/>
      <c r="J41" s="41"/>
      <c r="L41" s="42"/>
      <c r="S41" s="41"/>
      <c r="T41" s="41"/>
      <c r="U41" s="41"/>
      <c r="W41" s="42"/>
    </row>
    <row r="42" spans="2:23" ht="13.8" outlineLevel="1" x14ac:dyDescent="0.25">
      <c r="B42" s="88">
        <v>46044</v>
      </c>
      <c r="C42" s="1">
        <v>248.35</v>
      </c>
      <c r="D42" s="48">
        <f t="shared" si="0"/>
        <v>1.2497984196098155E-3</v>
      </c>
      <c r="E42" s="43"/>
      <c r="F42" s="88">
        <v>46044</v>
      </c>
      <c r="G42" s="41">
        <v>22797.200000000001</v>
      </c>
      <c r="H42" s="48">
        <f t="shared" si="1"/>
        <v>1.7576854797602959E-3</v>
      </c>
      <c r="I42" s="41"/>
      <c r="J42" s="41"/>
      <c r="L42" s="42"/>
      <c r="S42" s="41"/>
      <c r="T42" s="41"/>
      <c r="U42" s="41"/>
      <c r="W42" s="42"/>
    </row>
    <row r="43" spans="2:23" ht="13.8" outlineLevel="1" x14ac:dyDescent="0.25">
      <c r="B43" s="88">
        <v>46043</v>
      </c>
      <c r="C43" s="1">
        <v>247.65</v>
      </c>
      <c r="D43" s="48">
        <f t="shared" si="0"/>
        <v>-2.8186027783370093E-3</v>
      </c>
      <c r="E43" s="43"/>
      <c r="F43" s="88">
        <v>46043</v>
      </c>
      <c r="G43" s="41">
        <v>22726.5</v>
      </c>
      <c r="H43" s="48">
        <f t="shared" si="1"/>
        <v>-3.1012580492341124E-3</v>
      </c>
      <c r="I43" s="41"/>
      <c r="J43" s="41"/>
      <c r="L43" s="42"/>
      <c r="S43" s="41"/>
      <c r="T43" s="41"/>
      <c r="U43" s="41"/>
      <c r="W43" s="42"/>
    </row>
    <row r="44" spans="2:23" ht="13.8" outlineLevel="1" x14ac:dyDescent="0.25">
      <c r="B44" s="88">
        <v>46042</v>
      </c>
      <c r="C44" s="1">
        <v>246.7</v>
      </c>
      <c r="D44" s="48">
        <f t="shared" si="0"/>
        <v>-3.8360589541692747E-3</v>
      </c>
      <c r="E44" s="43"/>
      <c r="F44" s="88">
        <v>46042</v>
      </c>
      <c r="G44" s="41">
        <v>22473.200000000001</v>
      </c>
      <c r="H44" s="48">
        <f t="shared" si="1"/>
        <v>-1.1145578949684265E-2</v>
      </c>
      <c r="I44" s="41"/>
      <c r="J44" s="41"/>
      <c r="L44" s="42"/>
      <c r="S44" s="41"/>
      <c r="T44" s="41"/>
      <c r="U44" s="41"/>
      <c r="W44" s="42"/>
    </row>
    <row r="45" spans="2:23" ht="13.8" outlineLevel="1" x14ac:dyDescent="0.25">
      <c r="B45" s="88">
        <v>46038</v>
      </c>
      <c r="C45" s="1">
        <v>255.53</v>
      </c>
      <c r="D45" s="48">
        <f t="shared" si="0"/>
        <v>3.5792460478313748E-2</v>
      </c>
      <c r="E45" s="43"/>
      <c r="F45" s="88">
        <v>46038</v>
      </c>
      <c r="G45" s="41">
        <v>22807.1</v>
      </c>
      <c r="H45" s="48">
        <f t="shared" si="1"/>
        <v>1.4857697168182415E-2</v>
      </c>
      <c r="I45" s="41"/>
      <c r="J45" s="41"/>
      <c r="L45" s="42"/>
      <c r="S45" s="41"/>
      <c r="T45" s="41"/>
      <c r="U45" s="41"/>
      <c r="W45" s="42"/>
    </row>
    <row r="46" spans="2:23" ht="13.8" outlineLevel="1" x14ac:dyDescent="0.25">
      <c r="B46" s="88">
        <v>46037</v>
      </c>
      <c r="C46" s="1">
        <v>258.20999999999998</v>
      </c>
      <c r="D46" s="48">
        <f t="shared" si="0"/>
        <v>1.0488005322271343E-2</v>
      </c>
      <c r="E46" s="43"/>
      <c r="F46" s="88">
        <v>46037</v>
      </c>
      <c r="G46" s="41">
        <v>22808.799999999999</v>
      </c>
      <c r="H46" s="48">
        <f t="shared" si="1"/>
        <v>7.4538192054163233E-5</v>
      </c>
      <c r="I46" s="41"/>
      <c r="J46" s="41"/>
      <c r="L46" s="42"/>
      <c r="S46" s="41"/>
      <c r="T46" s="41"/>
      <c r="U46" s="41"/>
      <c r="W46" s="42"/>
    </row>
    <row r="47" spans="2:23" ht="13.8" outlineLevel="1" x14ac:dyDescent="0.25">
      <c r="B47" s="88">
        <v>46036</v>
      </c>
      <c r="C47" s="1">
        <v>259.95999999999998</v>
      </c>
      <c r="D47" s="48">
        <f t="shared" si="0"/>
        <v>6.7774292242748224E-3</v>
      </c>
      <c r="E47" s="43"/>
      <c r="F47" s="88">
        <v>46036</v>
      </c>
      <c r="G47" s="41">
        <v>22721.200000000001</v>
      </c>
      <c r="H47" s="48">
        <f t="shared" si="1"/>
        <v>-3.8406229174703377E-3</v>
      </c>
      <c r="I47" s="41"/>
      <c r="J47" s="41"/>
      <c r="L47" s="42"/>
      <c r="S47" s="41"/>
      <c r="T47" s="41"/>
      <c r="U47" s="41"/>
      <c r="W47" s="42"/>
    </row>
    <row r="48" spans="2:23" ht="13.8" outlineLevel="1" x14ac:dyDescent="0.25">
      <c r="B48" s="88">
        <v>46035</v>
      </c>
      <c r="C48" s="1">
        <v>261.05</v>
      </c>
      <c r="D48" s="48">
        <f t="shared" si="0"/>
        <v>4.1929527619635198E-3</v>
      </c>
      <c r="E48" s="43"/>
      <c r="F48" s="88">
        <v>46035</v>
      </c>
      <c r="G48" s="41">
        <v>22655.4</v>
      </c>
      <c r="H48" s="48">
        <f t="shared" si="1"/>
        <v>-2.8959738042004801E-3</v>
      </c>
      <c r="I48" s="41"/>
      <c r="J48" s="41"/>
      <c r="L48" s="42"/>
      <c r="S48" s="41"/>
      <c r="T48" s="41"/>
      <c r="U48" s="41"/>
      <c r="W48" s="42"/>
    </row>
    <row r="49" spans="2:23" ht="13.8" outlineLevel="1" x14ac:dyDescent="0.25">
      <c r="B49" s="88">
        <v>46034</v>
      </c>
      <c r="C49" s="1">
        <v>260.25</v>
      </c>
      <c r="D49" s="48">
        <f t="shared" si="0"/>
        <v>-3.0645470216433823E-3</v>
      </c>
      <c r="E49" s="43"/>
      <c r="F49" s="88">
        <v>46034</v>
      </c>
      <c r="G49" s="41">
        <v>22695.9</v>
      </c>
      <c r="H49" s="48">
        <f t="shared" si="1"/>
        <v>1.7876532747158613E-3</v>
      </c>
      <c r="I49" s="41"/>
      <c r="J49" s="41"/>
      <c r="L49" s="42"/>
      <c r="S49" s="41"/>
      <c r="T49" s="41"/>
      <c r="U49" s="41"/>
      <c r="W49" s="42"/>
    </row>
    <row r="50" spans="2:23" ht="13.8" outlineLevel="1" x14ac:dyDescent="0.25">
      <c r="B50" s="88">
        <v>46031</v>
      </c>
      <c r="C50" s="1">
        <v>259.37</v>
      </c>
      <c r="D50" s="48">
        <f t="shared" si="0"/>
        <v>-3.3813640730067096E-3</v>
      </c>
      <c r="E50" s="43"/>
      <c r="F50" s="88">
        <v>46031</v>
      </c>
      <c r="G50" s="41">
        <v>22591.7</v>
      </c>
      <c r="H50" s="48">
        <f t="shared" si="1"/>
        <v>-4.5911376063518805E-3</v>
      </c>
      <c r="I50" s="41"/>
      <c r="J50" s="41"/>
      <c r="L50" s="42"/>
      <c r="S50" s="41"/>
      <c r="T50" s="41"/>
      <c r="U50" s="41"/>
      <c r="W50" s="42"/>
    </row>
    <row r="51" spans="2:23" ht="13.8" outlineLevel="1" x14ac:dyDescent="0.25">
      <c r="B51" s="88">
        <v>46030</v>
      </c>
      <c r="C51" s="1">
        <v>259.04000000000002</v>
      </c>
      <c r="D51" s="48">
        <f t="shared" si="0"/>
        <v>-1.2723136831552795E-3</v>
      </c>
      <c r="E51" s="43"/>
      <c r="F51" s="88">
        <v>46030</v>
      </c>
      <c r="G51" s="41">
        <v>22485.7</v>
      </c>
      <c r="H51" s="48">
        <f t="shared" si="1"/>
        <v>-4.691988650699197E-3</v>
      </c>
      <c r="I51" s="41"/>
      <c r="J51" s="41"/>
      <c r="L51" s="42"/>
      <c r="S51" s="41"/>
      <c r="T51" s="41"/>
      <c r="U51" s="41"/>
      <c r="W51" s="42"/>
    </row>
    <row r="52" spans="2:23" ht="13.8" outlineLevel="1" x14ac:dyDescent="0.25">
      <c r="B52" s="88">
        <v>46029</v>
      </c>
      <c r="C52" s="1">
        <v>260.33</v>
      </c>
      <c r="D52" s="48">
        <f t="shared" si="0"/>
        <v>4.9799258801728197E-3</v>
      </c>
      <c r="E52" s="43"/>
      <c r="F52" s="88">
        <v>46029</v>
      </c>
      <c r="G52" s="41">
        <v>22341.200000000001</v>
      </c>
      <c r="H52" s="48">
        <f t="shared" si="1"/>
        <v>-6.4263064970181416E-3</v>
      </c>
      <c r="I52" s="41"/>
      <c r="J52" s="41"/>
      <c r="L52" s="42"/>
      <c r="S52" s="41"/>
      <c r="T52" s="41"/>
      <c r="U52" s="41"/>
      <c r="W52" s="42"/>
    </row>
    <row r="53" spans="2:23" ht="13.8" outlineLevel="1" x14ac:dyDescent="0.25">
      <c r="B53" s="88">
        <v>46028</v>
      </c>
      <c r="C53" s="1">
        <v>262.36</v>
      </c>
      <c r="D53" s="48">
        <f t="shared" si="0"/>
        <v>7.7977951062113693E-3</v>
      </c>
      <c r="E53" s="43"/>
      <c r="F53" s="88">
        <v>46028</v>
      </c>
      <c r="G53" s="41">
        <v>22570.799999999999</v>
      </c>
      <c r="H53" s="48">
        <f t="shared" si="1"/>
        <v>1.0276977064795023E-2</v>
      </c>
      <c r="I53" s="41"/>
      <c r="J53" s="41"/>
      <c r="L53" s="42"/>
      <c r="S53" s="41"/>
      <c r="T53" s="41"/>
      <c r="U53" s="41"/>
      <c r="W53" s="42"/>
    </row>
    <row r="54" spans="2:23" ht="13.8" outlineLevel="1" x14ac:dyDescent="0.25">
      <c r="B54" s="88">
        <v>46027</v>
      </c>
      <c r="C54" s="1">
        <v>267.26</v>
      </c>
      <c r="D54" s="48">
        <f t="shared" si="0"/>
        <v>1.867662753468502E-2</v>
      </c>
      <c r="E54" s="43"/>
      <c r="F54" s="88">
        <v>46027</v>
      </c>
      <c r="G54" s="41">
        <v>22432.1</v>
      </c>
      <c r="H54" s="48">
        <f t="shared" si="1"/>
        <v>-6.1451078384461288E-3</v>
      </c>
      <c r="I54" s="41"/>
      <c r="J54" s="41"/>
      <c r="L54" s="42"/>
      <c r="S54" s="41"/>
      <c r="T54" s="41"/>
      <c r="U54" s="41"/>
      <c r="W54" s="42"/>
    </row>
    <row r="55" spans="2:23" ht="13.8" outlineLevel="1" x14ac:dyDescent="0.25">
      <c r="B55" s="88">
        <v>46024</v>
      </c>
      <c r="C55" s="1">
        <v>271.01</v>
      </c>
      <c r="D55" s="48">
        <f t="shared" si="0"/>
        <v>1.4031280401107571E-2</v>
      </c>
      <c r="E55" s="43"/>
      <c r="F55" s="88">
        <v>46024</v>
      </c>
      <c r="G55" s="41">
        <v>22233.8</v>
      </c>
      <c r="H55" s="48">
        <f t="shared" si="1"/>
        <v>-8.8400105206377644E-3</v>
      </c>
      <c r="I55" s="41"/>
      <c r="J55" s="41"/>
      <c r="L55" s="42"/>
      <c r="S55" s="41"/>
      <c r="T55" s="41"/>
      <c r="U55" s="41"/>
      <c r="W55" s="42"/>
    </row>
    <row r="56" spans="2:23" ht="13.8" outlineLevel="1" x14ac:dyDescent="0.25">
      <c r="B56" s="88">
        <v>46022</v>
      </c>
      <c r="C56" s="1">
        <v>271.86</v>
      </c>
      <c r="D56" s="48">
        <f t="shared" si="0"/>
        <v>3.1364156304196644E-3</v>
      </c>
      <c r="E56" s="43"/>
      <c r="F56" s="88">
        <v>46022</v>
      </c>
      <c r="G56" s="41">
        <v>22003.9</v>
      </c>
      <c r="H56" s="48">
        <f t="shared" si="1"/>
        <v>-1.0340112801230483E-2</v>
      </c>
      <c r="I56" s="41"/>
      <c r="J56" s="41"/>
      <c r="L56" s="42"/>
      <c r="S56" s="41"/>
      <c r="T56" s="41"/>
      <c r="U56" s="41"/>
      <c r="W56" s="42"/>
    </row>
    <row r="57" spans="2:23" ht="13.8" outlineLevel="1" x14ac:dyDescent="0.25">
      <c r="B57" s="88">
        <v>46021</v>
      </c>
      <c r="C57" s="1">
        <v>273.08</v>
      </c>
      <c r="D57" s="48">
        <f t="shared" si="0"/>
        <v>4.4876039137791146E-3</v>
      </c>
      <c r="E57" s="43"/>
      <c r="F57" s="88">
        <v>46021</v>
      </c>
      <c r="G57" s="41">
        <v>22148.1</v>
      </c>
      <c r="H57" s="48">
        <f t="shared" si="1"/>
        <v>6.5533837183406884E-3</v>
      </c>
      <c r="I57" s="41"/>
      <c r="J57" s="41"/>
      <c r="L57" s="42"/>
      <c r="S57" s="41"/>
      <c r="T57" s="41"/>
      <c r="U57" s="41"/>
      <c r="W57" s="42"/>
    </row>
    <row r="58" spans="2:23" ht="13.8" outlineLevel="1" x14ac:dyDescent="0.25">
      <c r="B58" s="88">
        <v>46020</v>
      </c>
      <c r="C58" s="1">
        <v>273.76</v>
      </c>
      <c r="D58" s="48">
        <f t="shared" si="0"/>
        <v>2.4901127874614737E-3</v>
      </c>
      <c r="E58" s="43"/>
      <c r="F58" s="88">
        <v>46020</v>
      </c>
      <c r="G58" s="41">
        <v>22165.9</v>
      </c>
      <c r="H58" s="48">
        <f t="shared" si="1"/>
        <v>8.0368067689784439E-4</v>
      </c>
      <c r="I58" s="41"/>
      <c r="J58" s="41"/>
      <c r="L58" s="42"/>
      <c r="S58" s="41"/>
      <c r="T58" s="41"/>
      <c r="U58" s="41"/>
      <c r="W58" s="42"/>
    </row>
    <row r="59" spans="2:23" ht="13.8" outlineLevel="1" x14ac:dyDescent="0.25">
      <c r="B59" s="88">
        <v>46017</v>
      </c>
      <c r="C59" s="1">
        <v>273.39999999999998</v>
      </c>
      <c r="D59" s="48">
        <f t="shared" si="0"/>
        <v>-1.3150204558738388E-3</v>
      </c>
      <c r="E59" s="43"/>
      <c r="F59" s="88">
        <v>46017</v>
      </c>
      <c r="G59" s="41">
        <v>22246.6</v>
      </c>
      <c r="H59" s="48">
        <f t="shared" si="1"/>
        <v>3.6407274236551768E-3</v>
      </c>
      <c r="I59" s="41"/>
      <c r="J59" s="41"/>
      <c r="L59" s="42"/>
      <c r="S59" s="41"/>
      <c r="T59" s="41"/>
      <c r="U59" s="41"/>
      <c r="W59" s="42"/>
    </row>
    <row r="60" spans="2:23" ht="13.8" outlineLevel="1" x14ac:dyDescent="0.25">
      <c r="B60" s="88">
        <v>46015</v>
      </c>
      <c r="C60" s="1">
        <v>273.81</v>
      </c>
      <c r="D60" s="48">
        <f t="shared" si="0"/>
        <v>1.4996342355524384E-3</v>
      </c>
      <c r="E60" s="43"/>
      <c r="F60" s="88">
        <v>46015</v>
      </c>
      <c r="G60" s="41">
        <v>22229.1</v>
      </c>
      <c r="H60" s="48">
        <f t="shared" si="1"/>
        <v>-7.8663705914616688E-4</v>
      </c>
      <c r="I60" s="41"/>
      <c r="J60" s="41"/>
      <c r="L60" s="42"/>
      <c r="S60" s="41"/>
      <c r="T60" s="41"/>
      <c r="U60" s="41"/>
      <c r="W60" s="42"/>
    </row>
    <row r="61" spans="2:23" ht="13.8" outlineLevel="1" x14ac:dyDescent="0.25">
      <c r="B61" s="88">
        <v>46014</v>
      </c>
      <c r="C61" s="1">
        <v>272.36</v>
      </c>
      <c r="D61" s="48">
        <f t="shared" si="0"/>
        <v>-5.2956429640991232E-3</v>
      </c>
      <c r="E61" s="43"/>
      <c r="F61" s="88">
        <v>46014</v>
      </c>
      <c r="G61" s="41">
        <v>22151.7</v>
      </c>
      <c r="H61" s="48">
        <f t="shared" si="1"/>
        <v>-3.481922345034083E-3</v>
      </c>
      <c r="I61" s="41"/>
      <c r="J61" s="41"/>
      <c r="L61" s="42"/>
      <c r="S61" s="41"/>
      <c r="T61" s="41"/>
      <c r="U61" s="41"/>
      <c r="W61" s="42"/>
    </row>
    <row r="62" spans="2:23" ht="13.8" outlineLevel="1" x14ac:dyDescent="0.25">
      <c r="B62" s="88">
        <v>46013</v>
      </c>
      <c r="C62" s="1">
        <v>270.97000000000003</v>
      </c>
      <c r="D62" s="48">
        <f t="shared" si="0"/>
        <v>-5.1035394331031547E-3</v>
      </c>
      <c r="E62" s="43"/>
      <c r="F62" s="88">
        <v>46013</v>
      </c>
      <c r="G62" s="41">
        <v>22111.3</v>
      </c>
      <c r="H62" s="48">
        <f t="shared" si="1"/>
        <v>-1.8237877905533662E-3</v>
      </c>
      <c r="I62" s="41"/>
      <c r="J62" s="41"/>
      <c r="L62" s="42"/>
      <c r="S62" s="41"/>
      <c r="T62" s="41"/>
      <c r="U62" s="41"/>
      <c r="W62" s="42"/>
    </row>
    <row r="63" spans="2:23" ht="13.8" outlineLevel="1" x14ac:dyDescent="0.25">
      <c r="B63" s="88">
        <v>46010</v>
      </c>
      <c r="C63" s="1">
        <v>273.67</v>
      </c>
      <c r="D63" s="48">
        <f t="shared" si="0"/>
        <v>9.9642026792632343E-3</v>
      </c>
      <c r="E63" s="43"/>
      <c r="F63" s="88">
        <v>46010</v>
      </c>
      <c r="G63" s="41">
        <v>21923.9</v>
      </c>
      <c r="H63" s="48">
        <f t="shared" si="1"/>
        <v>-8.4753044823233648E-3</v>
      </c>
      <c r="I63" s="41"/>
      <c r="J63" s="41"/>
      <c r="L63" s="42"/>
      <c r="S63" s="41"/>
      <c r="T63" s="41"/>
      <c r="U63" s="41"/>
      <c r="W63" s="42"/>
    </row>
    <row r="64" spans="2:23" ht="13.8" outlineLevel="1" x14ac:dyDescent="0.25">
      <c r="B64" s="88">
        <v>46009</v>
      </c>
      <c r="C64" s="1">
        <v>272.19</v>
      </c>
      <c r="D64" s="48">
        <f t="shared" si="0"/>
        <v>-5.4079731062959269E-3</v>
      </c>
      <c r="E64" s="43"/>
      <c r="F64" s="88">
        <v>46009</v>
      </c>
      <c r="G64" s="41">
        <v>21807.9</v>
      </c>
      <c r="H64" s="48">
        <f t="shared" si="1"/>
        <v>-5.2910294245093192E-3</v>
      </c>
      <c r="I64" s="41"/>
      <c r="J64" s="41"/>
      <c r="L64" s="42"/>
      <c r="S64" s="41"/>
      <c r="T64" s="41"/>
      <c r="U64" s="41"/>
      <c r="W64" s="42"/>
    </row>
    <row r="65" spans="2:23" ht="13.8" outlineLevel="1" x14ac:dyDescent="0.25">
      <c r="B65" s="88">
        <v>46008</v>
      </c>
      <c r="C65" s="1">
        <v>271.83999999999997</v>
      </c>
      <c r="D65" s="48">
        <f t="shared" si="0"/>
        <v>-1.2858664903193651E-3</v>
      </c>
      <c r="E65" s="43"/>
      <c r="F65" s="88">
        <v>46008</v>
      </c>
      <c r="G65" s="41">
        <v>21756</v>
      </c>
      <c r="H65" s="48">
        <f t="shared" si="1"/>
        <v>-2.3798715144512927E-3</v>
      </c>
      <c r="I65" s="41"/>
      <c r="J65" s="41"/>
      <c r="L65" s="42"/>
      <c r="S65" s="41"/>
      <c r="T65" s="41"/>
      <c r="U65" s="41"/>
      <c r="W65" s="42"/>
    </row>
    <row r="66" spans="2:23" ht="13.8" outlineLevel="1" x14ac:dyDescent="0.25">
      <c r="B66" s="88">
        <v>46007</v>
      </c>
      <c r="C66" s="1">
        <v>274.61</v>
      </c>
      <c r="D66" s="48">
        <f t="shared" si="0"/>
        <v>1.0189817539729473E-2</v>
      </c>
      <c r="E66" s="43"/>
      <c r="F66" s="88">
        <v>46007</v>
      </c>
      <c r="G66" s="41">
        <v>21842.1</v>
      </c>
      <c r="H66" s="48">
        <f t="shared" si="1"/>
        <v>3.9575289575288775E-3</v>
      </c>
      <c r="I66" s="41"/>
      <c r="J66" s="41"/>
      <c r="L66" s="42"/>
      <c r="S66" s="41"/>
      <c r="T66" s="41"/>
      <c r="U66" s="41"/>
      <c r="W66" s="42"/>
    </row>
    <row r="67" spans="2:23" ht="13.8" outlineLevel="1" x14ac:dyDescent="0.25">
      <c r="B67" s="88">
        <v>46006</v>
      </c>
      <c r="C67" s="1">
        <v>274.11</v>
      </c>
      <c r="D67" s="48">
        <f t="shared" si="0"/>
        <v>-1.8207639925712504E-3</v>
      </c>
      <c r="E67" s="43"/>
      <c r="F67" s="88">
        <v>46006</v>
      </c>
      <c r="G67" s="41">
        <v>22030</v>
      </c>
      <c r="H67" s="48">
        <f t="shared" si="1"/>
        <v>8.6026526753379962E-3</v>
      </c>
      <c r="I67" s="41"/>
      <c r="J67" s="41"/>
      <c r="L67" s="42"/>
      <c r="S67" s="41"/>
      <c r="T67" s="41"/>
      <c r="U67" s="41"/>
      <c r="W67" s="42"/>
    </row>
    <row r="68" spans="2:23" ht="13.8" outlineLevel="1" x14ac:dyDescent="0.25">
      <c r="B68" s="88">
        <v>46003</v>
      </c>
      <c r="C68" s="1">
        <v>278.27999999999997</v>
      </c>
      <c r="D68" s="48">
        <f t="shared" si="0"/>
        <v>1.5212870745320961E-2</v>
      </c>
      <c r="E68" s="43"/>
      <c r="F68" s="88">
        <v>46003</v>
      </c>
      <c r="G68" s="41">
        <v>22004.3</v>
      </c>
      <c r="H68" s="48">
        <f t="shared" si="1"/>
        <v>-1.1665910122560241E-3</v>
      </c>
      <c r="I68" s="41"/>
      <c r="J68" s="41"/>
      <c r="L68" s="42"/>
      <c r="S68" s="41"/>
      <c r="T68" s="41"/>
      <c r="U68" s="41"/>
      <c r="W68" s="42"/>
    </row>
    <row r="69" spans="2:23" ht="13.8" outlineLevel="1" x14ac:dyDescent="0.25">
      <c r="B69" s="88">
        <v>46002</v>
      </c>
      <c r="C69" s="1">
        <v>278.02999999999997</v>
      </c>
      <c r="D69" s="48">
        <f t="shared" si="0"/>
        <v>-8.9837573666806669E-4</v>
      </c>
      <c r="E69" s="43"/>
      <c r="F69" s="88">
        <v>46002</v>
      </c>
      <c r="G69" s="41">
        <v>22114.400000000001</v>
      </c>
      <c r="H69" s="48">
        <f t="shared" si="1"/>
        <v>5.0035674845372302E-3</v>
      </c>
      <c r="I69" s="41"/>
      <c r="J69" s="41"/>
      <c r="L69" s="42"/>
      <c r="S69" s="41"/>
      <c r="T69" s="41"/>
      <c r="U69" s="41"/>
      <c r="W69" s="42"/>
    </row>
    <row r="70" spans="2:23" ht="13.8" outlineLevel="1" x14ac:dyDescent="0.25">
      <c r="B70" s="88">
        <v>46001</v>
      </c>
      <c r="C70" s="1">
        <v>278.77999999999997</v>
      </c>
      <c r="D70" s="48">
        <f t="shared" si="0"/>
        <v>2.697550624033429E-3</v>
      </c>
      <c r="E70" s="43"/>
      <c r="F70" s="88">
        <v>46001</v>
      </c>
      <c r="G70" s="41">
        <v>21933.3</v>
      </c>
      <c r="H70" s="48">
        <f t="shared" si="1"/>
        <v>-8.189234164164616E-3</v>
      </c>
      <c r="I70" s="41"/>
      <c r="J70" s="41"/>
      <c r="L70" s="42"/>
      <c r="S70" s="41"/>
      <c r="T70" s="41"/>
      <c r="U70" s="41"/>
      <c r="W70" s="42"/>
    </row>
    <row r="71" spans="2:23" ht="13.8" outlineLevel="1" x14ac:dyDescent="0.25">
      <c r="B71" s="88">
        <v>46000</v>
      </c>
      <c r="C71" s="1">
        <v>277.18</v>
      </c>
      <c r="D71" s="48">
        <f t="shared" si="0"/>
        <v>-5.7392926321829796E-3</v>
      </c>
      <c r="E71" s="43"/>
      <c r="F71" s="88">
        <v>46000</v>
      </c>
      <c r="G71" s="41">
        <v>21654.799999999999</v>
      </c>
      <c r="H71" s="48">
        <f t="shared" si="1"/>
        <v>-1.2697587686303469E-2</v>
      </c>
      <c r="I71" s="41"/>
      <c r="J71" s="41"/>
      <c r="L71" s="42"/>
      <c r="S71" s="41"/>
      <c r="T71" s="41"/>
      <c r="U71" s="41"/>
      <c r="W71" s="42"/>
    </row>
    <row r="72" spans="2:23" ht="13.8" outlineLevel="1" x14ac:dyDescent="0.25">
      <c r="B72" s="88">
        <v>45999</v>
      </c>
      <c r="C72" s="1">
        <v>277.89</v>
      </c>
      <c r="D72" s="48">
        <f t="shared" si="0"/>
        <v>2.5615123746300927E-3</v>
      </c>
      <c r="E72" s="43"/>
      <c r="F72" s="88">
        <v>45999</v>
      </c>
      <c r="G72" s="41">
        <v>21703.200000000001</v>
      </c>
      <c r="H72" s="48">
        <f t="shared" si="1"/>
        <v>2.2350702846483106E-3</v>
      </c>
      <c r="I72" s="41"/>
      <c r="J72" s="41"/>
      <c r="L72" s="42"/>
      <c r="S72" s="41"/>
      <c r="T72" s="41"/>
      <c r="U72" s="41"/>
      <c r="W72" s="42"/>
    </row>
    <row r="73" spans="2:23" ht="13.8" outlineLevel="1" x14ac:dyDescent="0.25">
      <c r="B73" s="88">
        <v>45996</v>
      </c>
      <c r="C73" s="1">
        <v>278.77999999999997</v>
      </c>
      <c r="D73" s="48">
        <f t="shared" si="0"/>
        <v>3.2027061067327889E-3</v>
      </c>
      <c r="E73" s="43"/>
      <c r="F73" s="88">
        <v>45996</v>
      </c>
      <c r="G73" s="41">
        <v>21810.1</v>
      </c>
      <c r="H73" s="48">
        <f t="shared" si="1"/>
        <v>4.9255409340556167E-3</v>
      </c>
      <c r="I73" s="41"/>
      <c r="J73" s="41"/>
      <c r="L73" s="42"/>
      <c r="S73" s="41"/>
      <c r="T73" s="41"/>
      <c r="U73" s="41"/>
      <c r="W73" s="42"/>
    </row>
    <row r="74" spans="2:23" ht="13.8" outlineLevel="1" x14ac:dyDescent="0.25">
      <c r="B74" s="88">
        <v>45995</v>
      </c>
      <c r="C74" s="1">
        <v>280.7</v>
      </c>
      <c r="D74" s="48">
        <f t="shared" si="0"/>
        <v>6.8871511586197087E-3</v>
      </c>
      <c r="E74" s="43"/>
      <c r="F74" s="88">
        <v>45995</v>
      </c>
      <c r="G74" s="41">
        <v>21835.8</v>
      </c>
      <c r="H74" s="48">
        <f t="shared" si="1"/>
        <v>1.1783531483120502E-3</v>
      </c>
      <c r="I74" s="41"/>
      <c r="J74" s="41"/>
      <c r="L74" s="42"/>
      <c r="S74" s="41"/>
      <c r="T74" s="41"/>
      <c r="U74" s="41"/>
      <c r="W74" s="42"/>
    </row>
    <row r="75" spans="2:23" ht="13.8" outlineLevel="1" x14ac:dyDescent="0.25">
      <c r="B75" s="88">
        <v>45994</v>
      </c>
      <c r="C75" s="1">
        <v>284.14999999999998</v>
      </c>
      <c r="D75" s="48">
        <f t="shared" si="0"/>
        <v>1.2290701816886296E-2</v>
      </c>
      <c r="E75" s="43"/>
      <c r="F75" s="88">
        <v>45994</v>
      </c>
      <c r="G75" s="41">
        <v>21805.4</v>
      </c>
      <c r="H75" s="48">
        <f t="shared" si="1"/>
        <v>-1.392209124465249E-3</v>
      </c>
      <c r="I75" s="41"/>
      <c r="J75" s="41"/>
      <c r="L75" s="42"/>
      <c r="S75" s="41"/>
      <c r="T75" s="41"/>
      <c r="U75" s="41"/>
      <c r="W75" s="42"/>
    </row>
    <row r="76" spans="2:23" ht="13.8" outlineLevel="1" x14ac:dyDescent="0.25">
      <c r="B76" s="88">
        <v>45993</v>
      </c>
      <c r="C76" s="1">
        <v>286.19</v>
      </c>
      <c r="D76" s="48">
        <f t="shared" si="0"/>
        <v>7.1793067042056347E-3</v>
      </c>
      <c r="E76" s="43"/>
      <c r="F76" s="88">
        <v>45993</v>
      </c>
      <c r="G76" s="41">
        <v>21650.5</v>
      </c>
      <c r="H76" s="48">
        <f t="shared" si="1"/>
        <v>-7.1037449439130818E-3</v>
      </c>
      <c r="I76" s="41"/>
      <c r="J76" s="41"/>
      <c r="L76" s="42"/>
      <c r="S76" s="41"/>
      <c r="T76" s="41"/>
      <c r="U76" s="41"/>
      <c r="W76" s="42"/>
    </row>
    <row r="77" spans="2:23" ht="13.8" outlineLevel="1" x14ac:dyDescent="0.25">
      <c r="B77" s="88">
        <v>45992</v>
      </c>
      <c r="C77" s="1">
        <v>283.10000000000002</v>
      </c>
      <c r="D77" s="48">
        <f t="shared" si="0"/>
        <v>-1.0797022956776869E-2</v>
      </c>
      <c r="E77" s="43"/>
      <c r="F77" s="88">
        <v>45992</v>
      </c>
      <c r="G77" s="41">
        <v>21666.5</v>
      </c>
      <c r="H77" s="48">
        <f t="shared" si="1"/>
        <v>7.3901295582090576E-4</v>
      </c>
      <c r="I77" s="41"/>
      <c r="J77" s="41"/>
      <c r="L77" s="42"/>
      <c r="S77" s="41"/>
      <c r="T77" s="41"/>
      <c r="U77" s="41"/>
      <c r="W77" s="42"/>
    </row>
    <row r="78" spans="2:23" ht="13.8" outlineLevel="1" x14ac:dyDescent="0.25">
      <c r="B78" s="88">
        <v>45989</v>
      </c>
      <c r="C78" s="1">
        <v>278.85000000000002</v>
      </c>
      <c r="D78" s="48">
        <f t="shared" si="0"/>
        <v>-1.5012363122571482E-2</v>
      </c>
      <c r="E78" s="43"/>
      <c r="F78" s="88">
        <v>45989</v>
      </c>
      <c r="G78" s="41">
        <v>21824.7</v>
      </c>
      <c r="H78" s="48">
        <f t="shared" si="1"/>
        <v>7.3015946276511201E-3</v>
      </c>
      <c r="I78" s="41"/>
      <c r="J78" s="41"/>
      <c r="L78" s="42"/>
      <c r="S78" s="41"/>
      <c r="T78" s="41"/>
      <c r="U78" s="41"/>
      <c r="W78" s="42"/>
    </row>
    <row r="79" spans="2:23" ht="13.8" outlineLevel="1" x14ac:dyDescent="0.25">
      <c r="B79" s="88">
        <v>45987</v>
      </c>
      <c r="C79" s="1">
        <v>277.55</v>
      </c>
      <c r="D79" s="48">
        <f t="shared" ref="D79:D142" si="2">C79/C78-1</f>
        <v>-4.6620046620047262E-3</v>
      </c>
      <c r="E79" s="43"/>
      <c r="F79" s="88">
        <v>45987</v>
      </c>
      <c r="G79" s="41">
        <v>21713.1</v>
      </c>
      <c r="H79" s="48">
        <f t="shared" si="1"/>
        <v>-5.113472350135484E-3</v>
      </c>
      <c r="I79" s="41"/>
      <c r="J79" s="41"/>
      <c r="L79" s="42"/>
      <c r="S79" s="41"/>
      <c r="T79" s="41"/>
      <c r="U79" s="41"/>
      <c r="W79" s="42"/>
    </row>
    <row r="80" spans="2:23" ht="13.8" outlineLevel="1" x14ac:dyDescent="0.25">
      <c r="B80" s="88">
        <v>45986</v>
      </c>
      <c r="C80" s="1">
        <v>276.97000000000003</v>
      </c>
      <c r="D80" s="48">
        <f t="shared" si="2"/>
        <v>-2.0897135651233301E-3</v>
      </c>
      <c r="E80" s="43"/>
      <c r="F80" s="88">
        <v>45986</v>
      </c>
      <c r="G80" s="41">
        <v>21551.7</v>
      </c>
      <c r="H80" s="48">
        <f t="shared" ref="H80:H143" si="3">G80/G79-1</f>
        <v>-7.4333006341792407E-3</v>
      </c>
      <c r="I80" s="41"/>
      <c r="J80" s="41"/>
      <c r="L80" s="42"/>
      <c r="S80" s="41"/>
      <c r="T80" s="41"/>
      <c r="U80" s="41"/>
      <c r="W80" s="42"/>
    </row>
    <row r="81" spans="2:23" ht="13.8" outlineLevel="1" x14ac:dyDescent="0.25">
      <c r="B81" s="88">
        <v>45985</v>
      </c>
      <c r="C81" s="1">
        <v>275.92</v>
      </c>
      <c r="D81" s="48">
        <f t="shared" si="2"/>
        <v>-3.7910242986605169E-3</v>
      </c>
      <c r="E81" s="44"/>
      <c r="F81" s="88">
        <v>45985</v>
      </c>
      <c r="G81" s="41">
        <v>21271.599999999999</v>
      </c>
      <c r="H81" s="48">
        <f t="shared" si="3"/>
        <v>-1.2996654556253207E-2</v>
      </c>
      <c r="I81" s="41"/>
      <c r="J81" s="41"/>
      <c r="L81" s="42"/>
      <c r="S81" s="41"/>
      <c r="T81" s="41"/>
      <c r="U81" s="41"/>
      <c r="W81" s="42"/>
    </row>
    <row r="82" spans="2:23" ht="13.8" outlineLevel="1" x14ac:dyDescent="0.25">
      <c r="B82" s="88">
        <v>45982</v>
      </c>
      <c r="C82" s="1">
        <v>271.49</v>
      </c>
      <c r="D82" s="48">
        <f t="shared" si="2"/>
        <v>-1.6055378370542162E-2</v>
      </c>
      <c r="E82" s="44"/>
      <c r="F82" s="88">
        <v>45982</v>
      </c>
      <c r="G82" s="41">
        <v>21177</v>
      </c>
      <c r="H82" s="48">
        <f t="shared" si="3"/>
        <v>-4.4472442129411816E-3</v>
      </c>
      <c r="I82" s="41"/>
      <c r="J82" s="41"/>
      <c r="L82" s="42"/>
      <c r="S82" s="41"/>
      <c r="T82" s="41"/>
      <c r="U82" s="41"/>
      <c r="W82" s="42"/>
    </row>
    <row r="83" spans="2:23" ht="13.8" outlineLevel="1" x14ac:dyDescent="0.25">
      <c r="B83" s="88">
        <v>45981</v>
      </c>
      <c r="C83" s="1">
        <v>266.25</v>
      </c>
      <c r="D83" s="48">
        <f t="shared" si="2"/>
        <v>-1.9300895060591627E-2</v>
      </c>
      <c r="E83" s="44"/>
      <c r="F83" s="88">
        <v>45981</v>
      </c>
      <c r="G83" s="41">
        <v>20912.900000000001</v>
      </c>
      <c r="H83" s="48">
        <f t="shared" si="3"/>
        <v>-1.2471077111961049E-2</v>
      </c>
      <c r="I83" s="41"/>
      <c r="J83" s="41"/>
      <c r="L83" s="42"/>
      <c r="S83" s="41"/>
      <c r="T83" s="41"/>
      <c r="U83" s="41"/>
      <c r="W83" s="42"/>
    </row>
    <row r="84" spans="2:23" ht="13.8" outlineLevel="1" x14ac:dyDescent="0.25">
      <c r="B84" s="88">
        <v>45980</v>
      </c>
      <c r="C84" s="1">
        <v>268.56</v>
      </c>
      <c r="D84" s="48">
        <f t="shared" si="2"/>
        <v>8.6760563380281486E-3</v>
      </c>
      <c r="E84" s="44"/>
      <c r="F84" s="88">
        <v>45980</v>
      </c>
      <c r="G84" s="41">
        <v>21168.3</v>
      </c>
      <c r="H84" s="48">
        <f t="shared" si="3"/>
        <v>1.2212557799252899E-2</v>
      </c>
      <c r="I84" s="41"/>
      <c r="J84" s="41"/>
      <c r="L84" s="42"/>
      <c r="S84" s="41"/>
      <c r="T84" s="41"/>
      <c r="U84" s="41"/>
      <c r="W84" s="42"/>
    </row>
    <row r="85" spans="2:23" ht="13.8" outlineLevel="1" x14ac:dyDescent="0.25">
      <c r="B85" s="88">
        <v>45979</v>
      </c>
      <c r="C85" s="1">
        <v>267.44</v>
      </c>
      <c r="D85" s="48">
        <f t="shared" si="2"/>
        <v>-4.1703902293714901E-3</v>
      </c>
      <c r="E85" s="44"/>
      <c r="F85" s="88">
        <v>45979</v>
      </c>
      <c r="G85" s="41">
        <v>21172.6</v>
      </c>
      <c r="H85" s="48">
        <f t="shared" si="3"/>
        <v>2.0313393139748115E-4</v>
      </c>
      <c r="I85" s="41"/>
      <c r="J85" s="41"/>
      <c r="L85" s="42"/>
      <c r="S85" s="41"/>
      <c r="T85" s="41"/>
      <c r="U85" s="41"/>
      <c r="W85" s="42"/>
    </row>
    <row r="86" spans="2:23" ht="13.8" outlineLevel="1" x14ac:dyDescent="0.25">
      <c r="B86" s="88">
        <v>45978</v>
      </c>
      <c r="C86" s="1">
        <v>267.45999999999998</v>
      </c>
      <c r="D86" s="48">
        <f t="shared" si="2"/>
        <v>7.4783128926059206E-5</v>
      </c>
      <c r="E86" s="44"/>
      <c r="F86" s="88">
        <v>45978</v>
      </c>
      <c r="G86" s="41">
        <v>21213.4</v>
      </c>
      <c r="H86" s="48">
        <f t="shared" si="3"/>
        <v>1.9270188828959256E-3</v>
      </c>
      <c r="I86" s="41"/>
      <c r="J86" s="41"/>
      <c r="L86" s="42"/>
      <c r="S86" s="41"/>
      <c r="T86" s="41"/>
      <c r="U86" s="41"/>
      <c r="W86" s="42"/>
    </row>
    <row r="87" spans="2:23" ht="13.8" outlineLevel="1" x14ac:dyDescent="0.25">
      <c r="B87" s="88">
        <v>45975</v>
      </c>
      <c r="C87" s="1">
        <v>272.41000000000003</v>
      </c>
      <c r="D87" s="48">
        <f t="shared" si="2"/>
        <v>1.8507440364914585E-2</v>
      </c>
      <c r="E87" s="44"/>
      <c r="F87" s="88">
        <v>45975</v>
      </c>
      <c r="G87" s="41">
        <v>21470.3</v>
      </c>
      <c r="H87" s="48">
        <f t="shared" si="3"/>
        <v>1.2110269923727435E-2</v>
      </c>
      <c r="I87" s="41"/>
      <c r="J87" s="41"/>
      <c r="L87" s="42"/>
      <c r="S87" s="41"/>
      <c r="T87" s="41"/>
      <c r="U87" s="41"/>
      <c r="W87" s="42"/>
    </row>
    <row r="88" spans="2:23" ht="13.8" outlineLevel="1" x14ac:dyDescent="0.25">
      <c r="B88" s="88">
        <v>45974</v>
      </c>
      <c r="C88" s="1">
        <v>272.95</v>
      </c>
      <c r="D88" s="48">
        <f t="shared" si="2"/>
        <v>1.9823060827428574E-3</v>
      </c>
      <c r="E88" s="44"/>
      <c r="F88" s="88">
        <v>45974</v>
      </c>
      <c r="G88" s="41">
        <v>21534.400000000001</v>
      </c>
      <c r="H88" s="48">
        <f t="shared" si="3"/>
        <v>2.9855195316321748E-3</v>
      </c>
      <c r="I88" s="41"/>
      <c r="J88" s="41"/>
      <c r="L88" s="42"/>
      <c r="S88" s="41"/>
      <c r="T88" s="41"/>
      <c r="U88" s="41"/>
      <c r="W88" s="42"/>
    </row>
    <row r="89" spans="2:23" ht="13.8" outlineLevel="1" x14ac:dyDescent="0.25">
      <c r="B89" s="88">
        <v>45973</v>
      </c>
      <c r="C89" s="1">
        <v>273.47000000000003</v>
      </c>
      <c r="D89" s="48">
        <f t="shared" si="2"/>
        <v>1.9051108261587402E-3</v>
      </c>
      <c r="E89" s="44"/>
      <c r="F89" s="88">
        <v>45973</v>
      </c>
      <c r="G89" s="41">
        <v>21807.3</v>
      </c>
      <c r="H89" s="48">
        <f t="shared" si="3"/>
        <v>1.2672746860836526E-2</v>
      </c>
      <c r="I89" s="41"/>
      <c r="J89" s="41"/>
      <c r="L89" s="42"/>
      <c r="S89" s="41"/>
      <c r="T89" s="41"/>
      <c r="U89" s="41"/>
      <c r="W89" s="42"/>
    </row>
    <row r="90" spans="2:23" ht="13.8" outlineLevel="1" x14ac:dyDescent="0.25">
      <c r="B90" s="88">
        <v>45972</v>
      </c>
      <c r="C90" s="1">
        <v>275.25</v>
      </c>
      <c r="D90" s="48">
        <f t="shared" si="2"/>
        <v>6.5089406516252168E-3</v>
      </c>
      <c r="E90" s="44"/>
      <c r="F90" s="88">
        <v>45972</v>
      </c>
      <c r="G90" s="41">
        <v>21716.7</v>
      </c>
      <c r="H90" s="48">
        <f t="shared" si="3"/>
        <v>-4.1545720928312102E-3</v>
      </c>
      <c r="I90" s="41"/>
      <c r="J90" s="41"/>
      <c r="L90" s="42"/>
      <c r="S90" s="41"/>
      <c r="T90" s="41"/>
      <c r="U90" s="41"/>
      <c r="W90" s="42"/>
    </row>
    <row r="91" spans="2:23" ht="13.8" outlineLevel="1" x14ac:dyDescent="0.25">
      <c r="B91" s="88">
        <v>45971</v>
      </c>
      <c r="C91" s="1">
        <v>269.43</v>
      </c>
      <c r="D91" s="48">
        <f t="shared" si="2"/>
        <v>-2.1144414168937309E-2</v>
      </c>
      <c r="E91" s="44"/>
      <c r="F91" s="88">
        <v>45971</v>
      </c>
      <c r="G91" s="41">
        <v>21566.400000000001</v>
      </c>
      <c r="H91" s="48">
        <f t="shared" si="3"/>
        <v>-6.9209410269516214E-3</v>
      </c>
      <c r="I91" s="41"/>
      <c r="J91" s="41"/>
      <c r="L91" s="42"/>
      <c r="S91" s="41"/>
      <c r="T91" s="41"/>
      <c r="U91" s="41"/>
      <c r="W91" s="42"/>
    </row>
    <row r="92" spans="2:23" ht="13.8" outlineLevel="1" x14ac:dyDescent="0.25">
      <c r="B92" s="88">
        <v>45968</v>
      </c>
      <c r="C92" s="1">
        <v>268.47000000000003</v>
      </c>
      <c r="D92" s="48">
        <f t="shared" si="2"/>
        <v>-3.5630776082841153E-3</v>
      </c>
      <c r="E92" s="44"/>
      <c r="F92" s="88">
        <v>45968</v>
      </c>
      <c r="G92" s="41">
        <v>21408.6</v>
      </c>
      <c r="H92" s="48">
        <f t="shared" si="3"/>
        <v>-7.3169374582685576E-3</v>
      </c>
      <c r="I92" s="41"/>
      <c r="J92" s="41"/>
      <c r="L92" s="42"/>
      <c r="S92" s="41"/>
      <c r="T92" s="41"/>
      <c r="U92" s="41"/>
      <c r="W92" s="42"/>
    </row>
    <row r="93" spans="2:23" ht="13.8" outlineLevel="1" x14ac:dyDescent="0.25">
      <c r="B93" s="88">
        <v>45967</v>
      </c>
      <c r="C93" s="1">
        <v>269.77</v>
      </c>
      <c r="D93" s="48">
        <f t="shared" si="2"/>
        <v>4.8422542555963677E-3</v>
      </c>
      <c r="E93" s="44"/>
      <c r="F93" s="88">
        <v>45967</v>
      </c>
      <c r="G93" s="41">
        <v>21288.400000000001</v>
      </c>
      <c r="H93" s="48">
        <f t="shared" si="3"/>
        <v>-5.614566108946728E-3</v>
      </c>
      <c r="I93" s="41"/>
      <c r="J93" s="41"/>
      <c r="L93" s="42"/>
      <c r="S93" s="41"/>
      <c r="T93" s="41"/>
      <c r="U93" s="41"/>
      <c r="W93" s="42"/>
    </row>
    <row r="94" spans="2:23" ht="13.8" outlineLevel="1" x14ac:dyDescent="0.25">
      <c r="B94" s="88">
        <v>45966</v>
      </c>
      <c r="C94" s="1">
        <v>270.14</v>
      </c>
      <c r="D94" s="48">
        <f t="shared" si="2"/>
        <v>1.3715387181674199E-3</v>
      </c>
      <c r="E94" s="44"/>
      <c r="F94" s="88">
        <v>45966</v>
      </c>
      <c r="G94" s="41">
        <v>21361.599999999999</v>
      </c>
      <c r="H94" s="48">
        <f t="shared" si="3"/>
        <v>3.4384923244583643E-3</v>
      </c>
      <c r="I94" s="41"/>
      <c r="J94" s="41"/>
      <c r="L94" s="42"/>
      <c r="S94" s="41"/>
      <c r="T94" s="41"/>
      <c r="U94" s="41"/>
      <c r="W94" s="42"/>
    </row>
    <row r="95" spans="2:23" ht="13.8" outlineLevel="1" x14ac:dyDescent="0.25">
      <c r="B95" s="88">
        <v>45965</v>
      </c>
      <c r="C95" s="1">
        <v>270.04000000000002</v>
      </c>
      <c r="D95" s="48">
        <f t="shared" si="2"/>
        <v>-3.7017842600117756E-4</v>
      </c>
      <c r="E95" s="44"/>
      <c r="F95" s="88">
        <v>45965</v>
      </c>
      <c r="G95" s="41">
        <v>21282.7</v>
      </c>
      <c r="H95" s="48">
        <f t="shared" si="3"/>
        <v>-3.693543554789791E-3</v>
      </c>
      <c r="I95" s="41"/>
      <c r="J95" s="41"/>
      <c r="L95" s="42"/>
      <c r="S95" s="41"/>
      <c r="T95" s="41"/>
      <c r="U95" s="41"/>
      <c r="W95" s="42"/>
    </row>
    <row r="96" spans="2:23" ht="13.8" outlineLevel="1" x14ac:dyDescent="0.25">
      <c r="B96" s="88">
        <v>45964</v>
      </c>
      <c r="C96" s="1">
        <v>269.05</v>
      </c>
      <c r="D96" s="48">
        <f t="shared" si="2"/>
        <v>-3.6661235372538181E-3</v>
      </c>
      <c r="E96" s="44"/>
      <c r="F96" s="88">
        <v>45964</v>
      </c>
      <c r="G96" s="41">
        <v>21416.6</v>
      </c>
      <c r="H96" s="48">
        <f t="shared" si="3"/>
        <v>6.291494970092959E-3</v>
      </c>
      <c r="I96" s="41"/>
      <c r="J96" s="41"/>
      <c r="L96" s="42"/>
      <c r="S96" s="41"/>
      <c r="T96" s="41"/>
      <c r="U96" s="41"/>
      <c r="W96" s="42"/>
    </row>
    <row r="97" spans="2:23" ht="13.8" outlineLevel="1" x14ac:dyDescent="0.25">
      <c r="B97" s="88">
        <v>45961</v>
      </c>
      <c r="C97" s="1">
        <v>270.37</v>
      </c>
      <c r="D97" s="48">
        <f t="shared" si="2"/>
        <v>4.9061512729975387E-3</v>
      </c>
      <c r="E97" s="44"/>
      <c r="F97" s="88">
        <v>45961</v>
      </c>
      <c r="G97" s="41">
        <v>21459.599999999999</v>
      </c>
      <c r="H97" s="48">
        <f t="shared" si="3"/>
        <v>2.0077883510920547E-3</v>
      </c>
      <c r="I97" s="41"/>
      <c r="J97" s="41"/>
      <c r="L97" s="42"/>
      <c r="S97" s="41"/>
      <c r="T97" s="41"/>
      <c r="U97" s="41"/>
      <c r="W97" s="42"/>
    </row>
    <row r="98" spans="2:23" ht="13.8" outlineLevel="1" x14ac:dyDescent="0.25">
      <c r="B98" s="88">
        <v>45960</v>
      </c>
      <c r="C98" s="1">
        <v>271.39999999999998</v>
      </c>
      <c r="D98" s="48">
        <f t="shared" si="2"/>
        <v>3.8095942597180521E-3</v>
      </c>
      <c r="E98" s="44"/>
      <c r="F98" s="88">
        <v>45960</v>
      </c>
      <c r="G98" s="41">
        <v>21451</v>
      </c>
      <c r="H98" s="48">
        <f t="shared" si="3"/>
        <v>-4.0075304292708225E-4</v>
      </c>
      <c r="I98" s="41"/>
      <c r="J98" s="41"/>
      <c r="L98" s="42"/>
      <c r="S98" s="41"/>
      <c r="T98" s="41"/>
      <c r="U98" s="41"/>
      <c r="W98" s="42"/>
    </row>
    <row r="99" spans="2:23" ht="13.8" outlineLevel="1" x14ac:dyDescent="0.25">
      <c r="B99" s="88">
        <v>45959</v>
      </c>
      <c r="C99" s="1">
        <v>269.7</v>
      </c>
      <c r="D99" s="48">
        <f t="shared" si="2"/>
        <v>-6.2638172439203332E-3</v>
      </c>
      <c r="E99" s="44"/>
      <c r="F99" s="88">
        <v>45959</v>
      </c>
      <c r="G99" s="41">
        <v>21525.9</v>
      </c>
      <c r="H99" s="48">
        <f t="shared" si="3"/>
        <v>3.4916787096173074E-3</v>
      </c>
      <c r="I99" s="41"/>
      <c r="J99" s="41"/>
      <c r="L99" s="42"/>
      <c r="S99" s="41"/>
      <c r="T99" s="41"/>
      <c r="U99" s="41"/>
      <c r="W99" s="42"/>
    </row>
    <row r="100" spans="2:23" ht="13.8" outlineLevel="1" x14ac:dyDescent="0.25">
      <c r="B100" s="88">
        <v>45958</v>
      </c>
      <c r="C100" s="1">
        <v>269</v>
      </c>
      <c r="D100" s="48">
        <f t="shared" si="2"/>
        <v>-2.5954764553206555E-3</v>
      </c>
      <c r="E100" s="44"/>
      <c r="F100" s="88">
        <v>45958</v>
      </c>
      <c r="G100" s="41">
        <v>21689.599999999999</v>
      </c>
      <c r="H100" s="48">
        <f t="shared" si="3"/>
        <v>7.6047923664048778E-3</v>
      </c>
      <c r="I100" s="41"/>
      <c r="J100" s="41"/>
      <c r="L100" s="42"/>
      <c r="S100" s="41"/>
      <c r="T100" s="41"/>
      <c r="U100" s="41"/>
      <c r="W100" s="42"/>
    </row>
    <row r="101" spans="2:23" ht="13.8" outlineLevel="1" x14ac:dyDescent="0.25">
      <c r="B101" s="88">
        <v>45957</v>
      </c>
      <c r="C101" s="1">
        <v>268.81</v>
      </c>
      <c r="D101" s="48">
        <f t="shared" si="2"/>
        <v>-7.0631970260226495E-4</v>
      </c>
      <c r="E101" s="44"/>
      <c r="F101" s="88">
        <v>45957</v>
      </c>
      <c r="G101" s="41">
        <v>21789.599999999999</v>
      </c>
      <c r="H101" s="48">
        <f t="shared" si="3"/>
        <v>4.6105045736204442E-3</v>
      </c>
      <c r="I101" s="41"/>
      <c r="J101" s="41"/>
      <c r="L101" s="42"/>
      <c r="S101" s="41"/>
      <c r="T101" s="41"/>
      <c r="U101" s="41"/>
      <c r="W101" s="42"/>
    </row>
    <row r="102" spans="2:23" ht="13.8" outlineLevel="1" x14ac:dyDescent="0.25">
      <c r="B102" s="88">
        <v>45954</v>
      </c>
      <c r="C102" s="1">
        <v>262.82</v>
      </c>
      <c r="D102" s="48">
        <f t="shared" si="2"/>
        <v>-2.2283397195044907E-2</v>
      </c>
      <c r="E102" s="44"/>
      <c r="F102" s="88">
        <v>45954</v>
      </c>
      <c r="G102" s="41">
        <v>21698.1</v>
      </c>
      <c r="H102" s="48">
        <f t="shared" si="3"/>
        <v>-4.199251018834671E-3</v>
      </c>
      <c r="I102" s="41"/>
      <c r="J102" s="41"/>
      <c r="L102" s="42"/>
      <c r="S102" s="41"/>
      <c r="T102" s="41"/>
      <c r="U102" s="41"/>
      <c r="W102" s="42"/>
    </row>
    <row r="103" spans="2:23" ht="13.8" outlineLevel="1" x14ac:dyDescent="0.25">
      <c r="B103" s="88">
        <v>45953</v>
      </c>
      <c r="C103" s="1">
        <v>259.58</v>
      </c>
      <c r="D103" s="48">
        <f t="shared" si="2"/>
        <v>-1.2327828932349183E-2</v>
      </c>
      <c r="E103" s="44"/>
      <c r="F103" s="88">
        <v>45953</v>
      </c>
      <c r="G103" s="41">
        <v>21623.8</v>
      </c>
      <c r="H103" s="48">
        <f t="shared" si="3"/>
        <v>-3.4242629538991931E-3</v>
      </c>
      <c r="I103" s="41"/>
      <c r="J103" s="41"/>
      <c r="L103" s="42"/>
      <c r="S103" s="41"/>
      <c r="T103" s="41"/>
      <c r="U103" s="41"/>
      <c r="W103" s="42"/>
    </row>
    <row r="104" spans="2:23" ht="13.8" outlineLevel="1" x14ac:dyDescent="0.25">
      <c r="B104" s="88">
        <v>45952</v>
      </c>
      <c r="C104" s="1">
        <v>258.45</v>
      </c>
      <c r="D104" s="48">
        <f t="shared" si="2"/>
        <v>-4.3531859157099895E-3</v>
      </c>
      <c r="E104" s="44"/>
      <c r="F104" s="88">
        <v>45952</v>
      </c>
      <c r="G104" s="41">
        <v>21514.7</v>
      </c>
      <c r="H104" s="48">
        <f t="shared" si="3"/>
        <v>-5.0453666793069951E-3</v>
      </c>
      <c r="I104" s="41"/>
      <c r="J104" s="41"/>
      <c r="L104" s="42"/>
      <c r="S104" s="41"/>
      <c r="T104" s="41"/>
      <c r="U104" s="41"/>
      <c r="W104" s="42"/>
    </row>
    <row r="105" spans="2:23" ht="13.8" outlineLevel="1" x14ac:dyDescent="0.25">
      <c r="B105" s="88">
        <v>45951</v>
      </c>
      <c r="C105" s="1">
        <v>262.77</v>
      </c>
      <c r="D105" s="48">
        <f t="shared" si="2"/>
        <v>1.6715031921067824E-2</v>
      </c>
      <c r="E105" s="44"/>
      <c r="F105" s="88">
        <v>45951</v>
      </c>
      <c r="G105" s="41">
        <v>21571.200000000001</v>
      </c>
      <c r="H105" s="48">
        <f t="shared" si="3"/>
        <v>2.6261114493810744E-3</v>
      </c>
      <c r="I105" s="41"/>
      <c r="J105" s="41"/>
      <c r="L105" s="42"/>
      <c r="S105" s="41"/>
      <c r="T105" s="41"/>
      <c r="U105" s="41"/>
      <c r="W105" s="42"/>
    </row>
    <row r="106" spans="2:23" ht="13.8" outlineLevel="1" x14ac:dyDescent="0.25">
      <c r="B106" s="88">
        <v>45950</v>
      </c>
      <c r="C106" s="1">
        <v>262.24</v>
      </c>
      <c r="D106" s="48">
        <f t="shared" si="2"/>
        <v>-2.0169730182287848E-3</v>
      </c>
      <c r="E106" s="44"/>
      <c r="F106" s="88">
        <v>45950</v>
      </c>
      <c r="G106" s="41">
        <v>21598.2</v>
      </c>
      <c r="H106" s="48">
        <f t="shared" si="3"/>
        <v>1.251668891855795E-3</v>
      </c>
      <c r="I106" s="41"/>
      <c r="J106" s="41"/>
      <c r="L106" s="42"/>
      <c r="S106" s="41"/>
      <c r="T106" s="41"/>
      <c r="U106" s="41"/>
      <c r="W106" s="42"/>
    </row>
    <row r="107" spans="2:23" ht="13.8" outlineLevel="1" x14ac:dyDescent="0.25">
      <c r="B107" s="88">
        <v>45947</v>
      </c>
      <c r="C107" s="1">
        <v>252.29</v>
      </c>
      <c r="D107" s="48">
        <f t="shared" si="2"/>
        <v>-3.7942342892007375E-2</v>
      </c>
      <c r="E107" s="44"/>
      <c r="F107" s="88">
        <v>45947</v>
      </c>
      <c r="G107" s="41">
        <v>21411.4</v>
      </c>
      <c r="H107" s="48">
        <f t="shared" si="3"/>
        <v>-8.6488688872220498E-3</v>
      </c>
      <c r="I107" s="41"/>
      <c r="J107" s="41"/>
      <c r="L107" s="42"/>
      <c r="S107" s="41"/>
      <c r="T107" s="41"/>
      <c r="U107" s="41"/>
      <c r="W107" s="42"/>
    </row>
    <row r="108" spans="2:23" ht="13.8" outlineLevel="1" x14ac:dyDescent="0.25">
      <c r="B108" s="88">
        <v>45946</v>
      </c>
      <c r="C108" s="1">
        <v>247.45</v>
      </c>
      <c r="D108" s="48">
        <f t="shared" si="2"/>
        <v>-1.9184272067858443E-2</v>
      </c>
      <c r="E108" s="44"/>
      <c r="F108" s="88">
        <v>45946</v>
      </c>
      <c r="G108" s="41">
        <v>21377</v>
      </c>
      <c r="H108" s="48">
        <f t="shared" si="3"/>
        <v>-1.606620772112155E-3</v>
      </c>
      <c r="I108" s="41"/>
      <c r="J108" s="41"/>
      <c r="L108" s="42"/>
      <c r="S108" s="41"/>
      <c r="T108" s="41"/>
      <c r="U108" s="41"/>
      <c r="W108" s="42"/>
    </row>
    <row r="109" spans="2:23" ht="13.8" outlineLevel="1" x14ac:dyDescent="0.25">
      <c r="B109" s="88">
        <v>45945</v>
      </c>
      <c r="C109" s="1">
        <v>249.34</v>
      </c>
      <c r="D109" s="48">
        <f t="shared" si="2"/>
        <v>7.637906647807613E-3</v>
      </c>
      <c r="E109" s="44"/>
      <c r="F109" s="88">
        <v>45945</v>
      </c>
      <c r="G109" s="41">
        <v>21570.9</v>
      </c>
      <c r="H109" s="48">
        <f t="shared" si="3"/>
        <v>9.0704963278289696E-3</v>
      </c>
      <c r="I109" s="41"/>
      <c r="J109" s="41"/>
      <c r="L109" s="42"/>
      <c r="S109" s="41"/>
      <c r="T109" s="41"/>
      <c r="U109" s="41"/>
      <c r="W109" s="42"/>
    </row>
    <row r="110" spans="2:23" ht="13.8" outlineLevel="1" x14ac:dyDescent="0.25">
      <c r="B110" s="88">
        <v>45944</v>
      </c>
      <c r="C110" s="1">
        <v>247.77</v>
      </c>
      <c r="D110" s="48">
        <f t="shared" si="2"/>
        <v>-6.296623084944275E-3</v>
      </c>
      <c r="E110" s="44"/>
      <c r="F110" s="88">
        <v>45944</v>
      </c>
      <c r="G110" s="41">
        <v>21500.3</v>
      </c>
      <c r="H110" s="48">
        <f t="shared" si="3"/>
        <v>-3.2729278796899131E-3</v>
      </c>
      <c r="I110" s="41"/>
      <c r="J110" s="41"/>
      <c r="L110" s="42"/>
      <c r="S110" s="41"/>
      <c r="T110" s="41"/>
      <c r="U110" s="41"/>
      <c r="W110" s="42"/>
    </row>
    <row r="111" spans="2:23" ht="13.8" outlineLevel="1" x14ac:dyDescent="0.25">
      <c r="B111" s="88">
        <v>45943</v>
      </c>
      <c r="C111" s="1">
        <v>247.66</v>
      </c>
      <c r="D111" s="48">
        <f t="shared" si="2"/>
        <v>-4.4396012430891751E-4</v>
      </c>
      <c r="E111" s="44"/>
      <c r="F111" s="88">
        <v>45943</v>
      </c>
      <c r="G111" s="41">
        <v>21381.8</v>
      </c>
      <c r="H111" s="48">
        <f t="shared" si="3"/>
        <v>-5.5115510016139346E-3</v>
      </c>
      <c r="I111" s="41"/>
      <c r="J111" s="41"/>
      <c r="L111" s="42"/>
      <c r="S111" s="41"/>
      <c r="T111" s="41"/>
      <c r="U111" s="41"/>
      <c r="W111" s="42"/>
    </row>
    <row r="112" spans="2:23" ht="13.8" outlineLevel="1" x14ac:dyDescent="0.25">
      <c r="B112" s="88">
        <v>45940</v>
      </c>
      <c r="C112" s="1">
        <v>245.27</v>
      </c>
      <c r="D112" s="48">
        <f t="shared" si="2"/>
        <v>-9.6503270612936509E-3</v>
      </c>
      <c r="E112" s="44"/>
      <c r="F112" s="88">
        <v>45940</v>
      </c>
      <c r="G112" s="41">
        <v>21096.9</v>
      </c>
      <c r="H112" s="48">
        <f t="shared" si="3"/>
        <v>-1.3324416092190483E-2</v>
      </c>
      <c r="I112" s="41"/>
      <c r="J112" s="41"/>
      <c r="L112" s="42"/>
      <c r="S112" s="41"/>
      <c r="T112" s="41"/>
      <c r="U112" s="41"/>
      <c r="W112" s="42"/>
    </row>
    <row r="113" spans="2:23" ht="13.8" outlineLevel="1" x14ac:dyDescent="0.25">
      <c r="B113" s="88">
        <v>45939</v>
      </c>
      <c r="C113" s="1">
        <v>254.04</v>
      </c>
      <c r="D113" s="48">
        <f t="shared" si="2"/>
        <v>3.5756513230317477E-2</v>
      </c>
      <c r="E113" s="44"/>
      <c r="F113" s="88">
        <v>45939</v>
      </c>
      <c r="G113" s="41">
        <v>21548.3</v>
      </c>
      <c r="H113" s="48">
        <f t="shared" si="3"/>
        <v>2.1396508491768884E-2</v>
      </c>
      <c r="I113" s="41"/>
      <c r="J113" s="41"/>
      <c r="L113" s="42"/>
      <c r="S113" s="41"/>
      <c r="T113" s="41"/>
      <c r="U113" s="41"/>
      <c r="W113" s="42"/>
    </row>
    <row r="114" spans="2:23" ht="13.8" outlineLevel="1" x14ac:dyDescent="0.25">
      <c r="B114" s="88">
        <v>45938</v>
      </c>
      <c r="C114" s="1">
        <v>258.06</v>
      </c>
      <c r="D114" s="48">
        <f t="shared" si="2"/>
        <v>1.5824279641001526E-2</v>
      </c>
      <c r="E114" s="44"/>
      <c r="F114" s="88">
        <v>45938</v>
      </c>
      <c r="G114" s="41">
        <v>21725.8</v>
      </c>
      <c r="H114" s="48">
        <f t="shared" si="3"/>
        <v>8.2373087436131698E-3</v>
      </c>
      <c r="I114" s="41"/>
      <c r="J114" s="41"/>
      <c r="L114" s="42"/>
      <c r="S114" s="41"/>
      <c r="T114" s="41"/>
      <c r="U114" s="41"/>
      <c r="W114" s="42"/>
    </row>
    <row r="115" spans="2:23" ht="13.8" outlineLevel="1" x14ac:dyDescent="0.25">
      <c r="B115" s="88">
        <v>45937</v>
      </c>
      <c r="C115" s="1">
        <v>256.48</v>
      </c>
      <c r="D115" s="48">
        <f t="shared" si="2"/>
        <v>-6.1226071456249587E-3</v>
      </c>
      <c r="E115" s="44"/>
      <c r="F115" s="88">
        <v>45937</v>
      </c>
      <c r="G115" s="41">
        <v>21663.1</v>
      </c>
      <c r="H115" s="48">
        <f t="shared" si="3"/>
        <v>-2.8859696766057041E-3</v>
      </c>
      <c r="I115" s="41"/>
      <c r="J115" s="41"/>
      <c r="L115" s="42"/>
      <c r="S115" s="41"/>
      <c r="T115" s="41"/>
      <c r="U115" s="41"/>
      <c r="W115" s="42"/>
    </row>
    <row r="116" spans="2:23" ht="13.8" outlineLevel="1" x14ac:dyDescent="0.25">
      <c r="B116" s="88">
        <v>45936</v>
      </c>
      <c r="C116" s="1">
        <v>256.69</v>
      </c>
      <c r="D116" s="48">
        <f t="shared" si="2"/>
        <v>8.1877729257628928E-4</v>
      </c>
      <c r="E116" s="44"/>
      <c r="F116" s="88">
        <v>45936</v>
      </c>
      <c r="G116" s="41">
        <v>21765</v>
      </c>
      <c r="H116" s="48">
        <f t="shared" si="3"/>
        <v>4.7038512493595697E-3</v>
      </c>
      <c r="I116" s="41"/>
      <c r="J116" s="41"/>
      <c r="L116" s="42"/>
      <c r="S116" s="41"/>
      <c r="T116" s="41"/>
      <c r="U116" s="41"/>
      <c r="W116" s="42"/>
    </row>
    <row r="117" spans="2:23" ht="13.8" outlineLevel="1" x14ac:dyDescent="0.25">
      <c r="B117" s="88">
        <v>45933</v>
      </c>
      <c r="C117" s="1">
        <v>258.02</v>
      </c>
      <c r="D117" s="48">
        <f t="shared" si="2"/>
        <v>5.1813471502590858E-3</v>
      </c>
      <c r="E117" s="44"/>
      <c r="F117" s="88">
        <v>45933</v>
      </c>
      <c r="G117" s="41">
        <v>21725.4</v>
      </c>
      <c r="H117" s="48">
        <f t="shared" si="3"/>
        <v>-1.8194348725016907E-3</v>
      </c>
      <c r="I117" s="41"/>
      <c r="J117" s="41"/>
      <c r="L117" s="42"/>
      <c r="S117" s="41"/>
      <c r="T117" s="41"/>
      <c r="U117" s="41"/>
      <c r="W117" s="42"/>
    </row>
    <row r="118" spans="2:23" ht="13.8" outlineLevel="1" x14ac:dyDescent="0.25">
      <c r="B118" s="88">
        <v>45932</v>
      </c>
      <c r="C118" s="1">
        <v>257.13</v>
      </c>
      <c r="D118" s="48">
        <f t="shared" si="2"/>
        <v>-3.4493450120145486E-3</v>
      </c>
      <c r="E118" s="44"/>
      <c r="F118" s="88">
        <v>45932</v>
      </c>
      <c r="G118" s="41">
        <v>21608</v>
      </c>
      <c r="H118" s="48">
        <f t="shared" si="3"/>
        <v>-5.403813048321382E-3</v>
      </c>
      <c r="I118" s="41"/>
      <c r="J118" s="41"/>
      <c r="L118" s="42"/>
      <c r="S118" s="41"/>
      <c r="T118" s="41"/>
      <c r="U118" s="41"/>
      <c r="W118" s="42"/>
    </row>
    <row r="119" spans="2:23" ht="13.8" outlineLevel="1" x14ac:dyDescent="0.25">
      <c r="B119" s="88">
        <v>45931</v>
      </c>
      <c r="C119" s="1">
        <v>255.45</v>
      </c>
      <c r="D119" s="48">
        <f t="shared" si="2"/>
        <v>-6.5336600163341529E-3</v>
      </c>
      <c r="E119" s="44"/>
      <c r="F119" s="88">
        <v>45931</v>
      </c>
      <c r="G119" s="41">
        <v>21640</v>
      </c>
      <c r="H119" s="48">
        <f t="shared" si="3"/>
        <v>1.4809329877822908E-3</v>
      </c>
      <c r="I119" s="41"/>
      <c r="J119" s="41"/>
      <c r="L119" s="42"/>
      <c r="S119" s="41"/>
      <c r="T119" s="41"/>
      <c r="U119" s="41"/>
      <c r="W119" s="42"/>
    </row>
    <row r="120" spans="2:23" ht="13.8" outlineLevel="1" x14ac:dyDescent="0.25">
      <c r="B120" s="88">
        <v>45930</v>
      </c>
      <c r="C120" s="1">
        <v>254.63</v>
      </c>
      <c r="D120" s="48">
        <f t="shared" si="2"/>
        <v>-3.2100215306322122E-3</v>
      </c>
      <c r="E120" s="44"/>
      <c r="F120" s="88">
        <v>45930</v>
      </c>
      <c r="G120" s="41">
        <v>21564.5</v>
      </c>
      <c r="H120" s="48">
        <f t="shared" si="3"/>
        <v>-3.4889094269870968E-3</v>
      </c>
      <c r="I120" s="41"/>
      <c r="J120" s="41"/>
      <c r="L120" s="42"/>
      <c r="S120" s="41"/>
      <c r="T120" s="41"/>
      <c r="U120" s="41"/>
      <c r="W120" s="42"/>
    </row>
    <row r="121" spans="2:23" ht="13.8" outlineLevel="1" x14ac:dyDescent="0.25">
      <c r="B121" s="88">
        <v>45929</v>
      </c>
      <c r="C121" s="1">
        <v>254.43</v>
      </c>
      <c r="D121" s="48">
        <f t="shared" si="2"/>
        <v>-7.8545340297686561E-4</v>
      </c>
      <c r="E121" s="44"/>
      <c r="F121" s="88">
        <v>45929</v>
      </c>
      <c r="G121" s="41">
        <v>21497.599999999999</v>
      </c>
      <c r="H121" s="48">
        <f t="shared" si="3"/>
        <v>-3.1023209441444211E-3</v>
      </c>
      <c r="I121" s="41"/>
      <c r="J121" s="41"/>
      <c r="L121" s="42"/>
      <c r="S121" s="41"/>
      <c r="T121" s="41"/>
      <c r="U121" s="41"/>
      <c r="W121" s="42"/>
    </row>
    <row r="122" spans="2:23" ht="13.8" outlineLevel="1" x14ac:dyDescent="0.25">
      <c r="B122" s="88">
        <v>45926</v>
      </c>
      <c r="C122" s="1">
        <v>255.46</v>
      </c>
      <c r="D122" s="48">
        <f t="shared" si="2"/>
        <v>4.0482647486539403E-3</v>
      </c>
      <c r="E122" s="44"/>
      <c r="F122" s="88">
        <v>45926</v>
      </c>
      <c r="G122" s="41">
        <v>21477.5</v>
      </c>
      <c r="H122" s="48">
        <f t="shared" si="3"/>
        <v>-9.3498809169390018E-4</v>
      </c>
      <c r="I122" s="41"/>
      <c r="J122" s="41"/>
      <c r="L122" s="42"/>
      <c r="S122" s="41"/>
      <c r="T122" s="41"/>
      <c r="U122" s="41"/>
      <c r="W122" s="42"/>
    </row>
    <row r="123" spans="2:23" ht="13.8" outlineLevel="1" x14ac:dyDescent="0.25">
      <c r="B123" s="88">
        <v>45925</v>
      </c>
      <c r="C123" s="1">
        <v>256.87</v>
      </c>
      <c r="D123" s="48">
        <f t="shared" si="2"/>
        <v>5.5194551006028103E-3</v>
      </c>
      <c r="E123" s="44"/>
      <c r="F123" s="88">
        <v>45925</v>
      </c>
      <c r="G123" s="41">
        <v>21337</v>
      </c>
      <c r="H123" s="48">
        <f t="shared" si="3"/>
        <v>-6.5417297171458388E-3</v>
      </c>
      <c r="I123" s="41"/>
      <c r="J123" s="41"/>
      <c r="L123" s="42"/>
      <c r="S123" s="41"/>
      <c r="T123" s="41"/>
      <c r="U123" s="41"/>
      <c r="W123" s="42"/>
    </row>
    <row r="124" spans="2:23" ht="13.8" outlineLevel="1" x14ac:dyDescent="0.25">
      <c r="B124" s="88">
        <v>45924</v>
      </c>
      <c r="C124" s="1">
        <v>252.31</v>
      </c>
      <c r="D124" s="48">
        <f t="shared" si="2"/>
        <v>-1.7752170358547148E-2</v>
      </c>
      <c r="E124" s="44"/>
      <c r="F124" s="88">
        <v>45924</v>
      </c>
      <c r="G124" s="41">
        <v>21483.5</v>
      </c>
      <c r="H124" s="48">
        <f t="shared" si="3"/>
        <v>6.8660074049773367E-3</v>
      </c>
      <c r="I124" s="41"/>
      <c r="J124" s="41"/>
      <c r="L124" s="42"/>
      <c r="S124" s="41"/>
      <c r="T124" s="41"/>
      <c r="U124" s="41"/>
      <c r="W124" s="42"/>
    </row>
    <row r="125" spans="2:23" ht="13.8" outlineLevel="1" x14ac:dyDescent="0.25">
      <c r="B125" s="88">
        <v>45923</v>
      </c>
      <c r="C125" s="1">
        <v>254.43</v>
      </c>
      <c r="D125" s="48">
        <f t="shared" si="2"/>
        <v>8.4023621735167531E-3</v>
      </c>
      <c r="E125" s="44"/>
      <c r="F125" s="88">
        <v>45923</v>
      </c>
      <c r="G125" s="41">
        <v>21548.2</v>
      </c>
      <c r="H125" s="48">
        <f t="shared" si="3"/>
        <v>3.0116135638980079E-3</v>
      </c>
      <c r="I125" s="41"/>
      <c r="J125" s="41"/>
      <c r="L125" s="42"/>
      <c r="S125" s="41"/>
      <c r="T125" s="41"/>
      <c r="U125" s="41"/>
      <c r="W125" s="42"/>
    </row>
    <row r="126" spans="2:23" ht="13.8" outlineLevel="1" x14ac:dyDescent="0.25">
      <c r="B126" s="88">
        <v>45922</v>
      </c>
      <c r="C126" s="1">
        <v>256.08</v>
      </c>
      <c r="D126" s="48">
        <f t="shared" si="2"/>
        <v>6.4850843060959562E-3</v>
      </c>
      <c r="E126" s="44"/>
      <c r="F126" s="88">
        <v>45922</v>
      </c>
      <c r="G126" s="41">
        <v>21542.5</v>
      </c>
      <c r="H126" s="48">
        <f t="shared" si="3"/>
        <v>-2.6452325484271899E-4</v>
      </c>
      <c r="I126" s="41"/>
      <c r="J126" s="41"/>
      <c r="L126" s="42"/>
      <c r="S126" s="41"/>
      <c r="T126" s="41"/>
      <c r="U126" s="41"/>
      <c r="W126" s="42"/>
    </row>
    <row r="127" spans="2:23" ht="13.8" outlineLevel="1" x14ac:dyDescent="0.25">
      <c r="B127" s="88">
        <v>45919</v>
      </c>
      <c r="C127" s="1">
        <v>245.5</v>
      </c>
      <c r="D127" s="48">
        <f t="shared" si="2"/>
        <v>-4.1315213995626321E-2</v>
      </c>
      <c r="E127" s="44"/>
      <c r="F127" s="88">
        <v>45919</v>
      </c>
      <c r="G127" s="41">
        <v>21494</v>
      </c>
      <c r="H127" s="48">
        <f t="shared" si="3"/>
        <v>-2.2513635836137746E-3</v>
      </c>
      <c r="I127" s="41"/>
      <c r="J127" s="41"/>
      <c r="L127" s="42"/>
      <c r="S127" s="41"/>
      <c r="T127" s="41"/>
      <c r="U127" s="41"/>
      <c r="W127" s="42"/>
    </row>
    <row r="128" spans="2:23" ht="13.8" outlineLevel="1" x14ac:dyDescent="0.25">
      <c r="B128" s="88">
        <v>45918</v>
      </c>
      <c r="C128" s="1">
        <v>237.88</v>
      </c>
      <c r="D128" s="48">
        <f t="shared" si="2"/>
        <v>-3.1038696537678212E-2</v>
      </c>
      <c r="E128" s="44"/>
      <c r="F128" s="88">
        <v>45918</v>
      </c>
      <c r="G128" s="41">
        <v>21504.3</v>
      </c>
      <c r="H128" s="48">
        <f t="shared" si="3"/>
        <v>4.7920349865071543E-4</v>
      </c>
      <c r="I128" s="41"/>
      <c r="J128" s="41"/>
      <c r="L128" s="42"/>
      <c r="S128" s="41"/>
      <c r="T128" s="41"/>
      <c r="U128" s="41"/>
      <c r="W128" s="42"/>
    </row>
    <row r="129" spans="2:23" ht="13.8" outlineLevel="1" x14ac:dyDescent="0.25">
      <c r="B129" s="88">
        <v>45917</v>
      </c>
      <c r="C129" s="1">
        <v>238.99</v>
      </c>
      <c r="D129" s="48">
        <f t="shared" si="2"/>
        <v>4.6662182613081971E-3</v>
      </c>
      <c r="E129" s="44"/>
      <c r="F129" s="88">
        <v>45917</v>
      </c>
      <c r="G129" s="41">
        <v>21439.9</v>
      </c>
      <c r="H129" s="48">
        <f t="shared" si="3"/>
        <v>-2.9947498872318068E-3</v>
      </c>
      <c r="I129" s="41"/>
      <c r="J129" s="41"/>
      <c r="L129" s="42"/>
      <c r="S129" s="41"/>
      <c r="T129" s="41"/>
      <c r="U129" s="41"/>
      <c r="W129" s="42"/>
    </row>
    <row r="130" spans="2:23" ht="13.8" outlineLevel="1" x14ac:dyDescent="0.25">
      <c r="B130" s="88">
        <v>45916</v>
      </c>
      <c r="C130" s="1">
        <v>238.15</v>
      </c>
      <c r="D130" s="48">
        <f t="shared" si="2"/>
        <v>-3.5147914138666803E-3</v>
      </c>
      <c r="E130" s="44"/>
      <c r="F130" s="88">
        <v>45916</v>
      </c>
      <c r="G130" s="41">
        <v>21375.200000000001</v>
      </c>
      <c r="H130" s="48">
        <f t="shared" si="3"/>
        <v>-3.0177379558673501E-3</v>
      </c>
      <c r="I130" s="41"/>
      <c r="J130" s="41"/>
      <c r="L130" s="42"/>
      <c r="S130" s="41"/>
      <c r="T130" s="41"/>
      <c r="U130" s="41"/>
      <c r="W130" s="42"/>
    </row>
    <row r="131" spans="2:23" ht="13.8" outlineLevel="1" x14ac:dyDescent="0.25">
      <c r="B131" s="88">
        <v>45915</v>
      </c>
      <c r="C131" s="1">
        <v>236.7</v>
      </c>
      <c r="D131" s="48">
        <f t="shared" si="2"/>
        <v>-6.0885996220869654E-3</v>
      </c>
      <c r="E131" s="44"/>
      <c r="F131" s="88">
        <v>45915</v>
      </c>
      <c r="G131" s="41">
        <v>21394.6</v>
      </c>
      <c r="H131" s="48">
        <f t="shared" si="3"/>
        <v>9.0759384707506108E-4</v>
      </c>
      <c r="I131" s="41"/>
      <c r="J131" s="41"/>
      <c r="L131" s="42"/>
      <c r="S131" s="41"/>
      <c r="T131" s="41"/>
      <c r="U131" s="41"/>
      <c r="W131" s="42"/>
    </row>
    <row r="132" spans="2:23" ht="13.8" outlineLevel="1" x14ac:dyDescent="0.25">
      <c r="B132" s="88">
        <v>45912</v>
      </c>
      <c r="C132" s="1">
        <v>234.07</v>
      </c>
      <c r="D132" s="48">
        <f t="shared" si="2"/>
        <v>-1.1111111111111072E-2</v>
      </c>
      <c r="E132" s="44"/>
      <c r="F132" s="88">
        <v>45912</v>
      </c>
      <c r="G132" s="41">
        <v>21374.3</v>
      </c>
      <c r="H132" s="48">
        <f t="shared" si="3"/>
        <v>-9.4883755714059159E-4</v>
      </c>
      <c r="I132" s="41"/>
      <c r="J132" s="41"/>
      <c r="L132" s="42"/>
      <c r="S132" s="41"/>
      <c r="T132" s="41"/>
      <c r="U132" s="41"/>
      <c r="W132" s="42"/>
    </row>
    <row r="133" spans="2:23" ht="13.8" outlineLevel="1" x14ac:dyDescent="0.25">
      <c r="B133" s="88">
        <v>45911</v>
      </c>
      <c r="C133" s="1">
        <v>230.03</v>
      </c>
      <c r="D133" s="48">
        <f t="shared" si="2"/>
        <v>-1.7259794078694379E-2</v>
      </c>
      <c r="E133" s="44"/>
      <c r="F133" s="88">
        <v>45911</v>
      </c>
      <c r="G133" s="41">
        <v>21533.599999999999</v>
      </c>
      <c r="H133" s="48">
        <f t="shared" si="3"/>
        <v>7.4528756497287407E-3</v>
      </c>
      <c r="I133" s="41"/>
      <c r="J133" s="41"/>
      <c r="L133" s="42"/>
      <c r="S133" s="41"/>
      <c r="T133" s="41"/>
      <c r="U133" s="41"/>
      <c r="W133" s="42"/>
    </row>
    <row r="134" spans="2:23" ht="13.8" outlineLevel="1" x14ac:dyDescent="0.25">
      <c r="B134" s="88">
        <v>45910</v>
      </c>
      <c r="C134" s="1">
        <v>226.79</v>
      </c>
      <c r="D134" s="48">
        <f t="shared" si="2"/>
        <v>-1.4085119332261087E-2</v>
      </c>
      <c r="E134" s="44"/>
      <c r="F134" s="88">
        <v>45910</v>
      </c>
      <c r="G134" s="41">
        <v>21294.6</v>
      </c>
      <c r="H134" s="48">
        <f t="shared" si="3"/>
        <v>-1.109893375933424E-2</v>
      </c>
      <c r="I134" s="41"/>
      <c r="J134" s="41"/>
      <c r="L134" s="42"/>
      <c r="S134" s="41"/>
      <c r="T134" s="41"/>
      <c r="U134" s="41"/>
      <c r="W134" s="42"/>
    </row>
    <row r="135" spans="2:23" ht="13.8" outlineLevel="1" x14ac:dyDescent="0.25">
      <c r="B135" s="88">
        <v>45909</v>
      </c>
      <c r="C135" s="1">
        <v>234.35</v>
      </c>
      <c r="D135" s="48">
        <f t="shared" si="2"/>
        <v>3.3334803121830792E-2</v>
      </c>
      <c r="E135" s="44"/>
      <c r="F135" s="88">
        <v>45909</v>
      </c>
      <c r="G135" s="41">
        <v>21193.1</v>
      </c>
      <c r="H135" s="48">
        <f t="shared" si="3"/>
        <v>-4.7664666159495939E-3</v>
      </c>
      <c r="I135" s="41"/>
      <c r="J135" s="41"/>
      <c r="L135" s="42"/>
      <c r="S135" s="41"/>
      <c r="T135" s="41"/>
      <c r="U135" s="41"/>
      <c r="W135" s="42"/>
    </row>
    <row r="136" spans="2:23" ht="13.8" outlineLevel="1" x14ac:dyDescent="0.25">
      <c r="B136" s="88">
        <v>45908</v>
      </c>
      <c r="C136" s="1">
        <v>237.88</v>
      </c>
      <c r="D136" s="48">
        <f t="shared" si="2"/>
        <v>1.5062940046938422E-2</v>
      </c>
      <c r="E136" s="44"/>
      <c r="F136" s="88">
        <v>45908</v>
      </c>
      <c r="G136" s="41">
        <v>21173.599999999999</v>
      </c>
      <c r="H136" s="48">
        <f t="shared" si="3"/>
        <v>-9.201107907762518E-4</v>
      </c>
      <c r="I136" s="41"/>
      <c r="J136" s="41"/>
      <c r="L136" s="42"/>
      <c r="S136" s="41"/>
      <c r="T136" s="41"/>
      <c r="U136" s="41"/>
      <c r="W136" s="42"/>
    </row>
    <row r="137" spans="2:23" ht="13.8" outlineLevel="1" x14ac:dyDescent="0.25">
      <c r="B137" s="88">
        <v>45905</v>
      </c>
      <c r="C137" s="1">
        <v>239.69</v>
      </c>
      <c r="D137" s="48">
        <f t="shared" si="2"/>
        <v>7.6088784260972542E-3</v>
      </c>
      <c r="E137" s="44"/>
      <c r="F137" s="88">
        <v>45905</v>
      </c>
      <c r="G137" s="41">
        <v>21136</v>
      </c>
      <c r="H137" s="48">
        <f t="shared" si="3"/>
        <v>-1.7757962746060008E-3</v>
      </c>
      <c r="I137" s="41"/>
      <c r="J137" s="41"/>
      <c r="L137" s="42"/>
      <c r="S137" s="41"/>
      <c r="T137" s="41"/>
      <c r="U137" s="41"/>
      <c r="W137" s="42"/>
    </row>
    <row r="138" spans="2:23" ht="13.8" outlineLevel="1" x14ac:dyDescent="0.25">
      <c r="B138" s="88">
        <v>45904</v>
      </c>
      <c r="C138" s="1">
        <v>239.78</v>
      </c>
      <c r="D138" s="48">
        <f t="shared" si="2"/>
        <v>3.7548500146034058E-4</v>
      </c>
      <c r="E138" s="44"/>
      <c r="F138" s="88">
        <v>45904</v>
      </c>
      <c r="G138" s="41">
        <v>21157.9</v>
      </c>
      <c r="H138" s="48">
        <f t="shared" si="3"/>
        <v>1.0361468584405564E-3</v>
      </c>
      <c r="I138" s="41"/>
      <c r="J138" s="41"/>
      <c r="L138" s="42"/>
      <c r="S138" s="41"/>
      <c r="T138" s="41"/>
      <c r="U138" s="41"/>
      <c r="W138" s="42"/>
    </row>
    <row r="139" spans="2:23" ht="13.8" outlineLevel="1" x14ac:dyDescent="0.25">
      <c r="B139" s="88">
        <v>45903</v>
      </c>
      <c r="C139" s="1">
        <v>238.47</v>
      </c>
      <c r="D139" s="48">
        <f t="shared" si="2"/>
        <v>-5.4633413962799082E-3</v>
      </c>
      <c r="E139" s="44"/>
      <c r="F139" s="88">
        <v>45903</v>
      </c>
      <c r="G139" s="41">
        <v>21008.1</v>
      </c>
      <c r="H139" s="48">
        <f t="shared" si="3"/>
        <v>-7.0800977412693866E-3</v>
      </c>
      <c r="I139" s="41"/>
      <c r="J139" s="41"/>
      <c r="L139" s="42"/>
      <c r="S139" s="41"/>
      <c r="T139" s="41"/>
      <c r="U139" s="41"/>
      <c r="W139" s="42"/>
    </row>
    <row r="140" spans="2:23" ht="13.8" outlineLevel="1" x14ac:dyDescent="0.25">
      <c r="B140" s="88">
        <v>45902</v>
      </c>
      <c r="C140" s="1">
        <v>229.72</v>
      </c>
      <c r="D140" s="48">
        <f t="shared" si="2"/>
        <v>-3.6692246404159801E-2</v>
      </c>
      <c r="E140" s="44"/>
      <c r="F140" s="88">
        <v>45902</v>
      </c>
      <c r="G140" s="41">
        <v>21044.9</v>
      </c>
      <c r="H140" s="48">
        <f t="shared" si="3"/>
        <v>1.7517052946245393E-3</v>
      </c>
      <c r="I140" s="41"/>
      <c r="J140" s="41"/>
      <c r="L140" s="42"/>
      <c r="S140" s="41"/>
      <c r="T140" s="41"/>
      <c r="U140" s="41"/>
      <c r="W140" s="42"/>
    </row>
    <row r="141" spans="2:23" ht="13.8" outlineLevel="1" x14ac:dyDescent="0.25">
      <c r="B141" s="88">
        <v>45898</v>
      </c>
      <c r="C141" s="1">
        <v>232.14</v>
      </c>
      <c r="D141" s="48">
        <f t="shared" si="2"/>
        <v>1.0534563816820386E-2</v>
      </c>
      <c r="E141" s="44"/>
      <c r="F141" s="88">
        <v>45898</v>
      </c>
      <c r="G141" s="41">
        <v>21151.5</v>
      </c>
      <c r="H141" s="48">
        <f t="shared" si="3"/>
        <v>5.0653602535530862E-3</v>
      </c>
      <c r="I141" s="41"/>
      <c r="J141" s="41"/>
      <c r="L141" s="42"/>
      <c r="S141" s="41"/>
      <c r="T141" s="41"/>
      <c r="U141" s="41"/>
      <c r="W141" s="42"/>
    </row>
    <row r="142" spans="2:23" ht="13.8" outlineLevel="1" x14ac:dyDescent="0.25">
      <c r="B142" s="88">
        <v>45897</v>
      </c>
      <c r="C142" s="1">
        <v>232.56</v>
      </c>
      <c r="D142" s="48">
        <f t="shared" si="2"/>
        <v>1.8092530369604454E-3</v>
      </c>
      <c r="E142" s="44"/>
      <c r="F142" s="88">
        <v>45897</v>
      </c>
      <c r="G142" s="41">
        <v>21165.1</v>
      </c>
      <c r="H142" s="48">
        <f t="shared" si="3"/>
        <v>6.429804032810349E-4</v>
      </c>
      <c r="I142" s="41"/>
      <c r="J142" s="41"/>
      <c r="L142" s="42"/>
      <c r="S142" s="41"/>
      <c r="T142" s="41"/>
      <c r="U142" s="41"/>
      <c r="W142" s="42"/>
    </row>
    <row r="143" spans="2:23" ht="13.8" outlineLevel="1" x14ac:dyDescent="0.25">
      <c r="B143" s="88">
        <v>45896</v>
      </c>
      <c r="C143" s="1">
        <v>230.49</v>
      </c>
      <c r="D143" s="48">
        <f t="shared" ref="D143:D206" si="4">C143/C142-1</f>
        <v>-8.9009287925696512E-3</v>
      </c>
      <c r="E143" s="44"/>
      <c r="F143" s="88">
        <v>45896</v>
      </c>
      <c r="G143" s="41">
        <v>21132.400000000001</v>
      </c>
      <c r="H143" s="48">
        <f t="shared" si="3"/>
        <v>-1.5449962438163212E-3</v>
      </c>
      <c r="I143" s="41"/>
      <c r="J143" s="41"/>
      <c r="L143" s="42"/>
      <c r="S143" s="41"/>
      <c r="T143" s="41"/>
      <c r="U143" s="41"/>
      <c r="W143" s="42"/>
    </row>
    <row r="144" spans="2:23" ht="13.8" outlineLevel="1" x14ac:dyDescent="0.25">
      <c r="B144" s="88">
        <v>45895</v>
      </c>
      <c r="C144" s="1">
        <v>229.31</v>
      </c>
      <c r="D144" s="48">
        <f t="shared" si="4"/>
        <v>-5.1195279621676359E-3</v>
      </c>
      <c r="E144" s="44"/>
      <c r="F144" s="88">
        <v>45895</v>
      </c>
      <c r="G144" s="41">
        <v>21082.6</v>
      </c>
      <c r="H144" s="48">
        <f t="shared" ref="H144:H207" si="5">G144/G143-1</f>
        <v>-2.3565709526605083E-3</v>
      </c>
      <c r="I144" s="41"/>
      <c r="J144" s="41"/>
      <c r="L144" s="42"/>
      <c r="S144" s="41"/>
      <c r="T144" s="41"/>
      <c r="U144" s="41"/>
      <c r="W144" s="42"/>
    </row>
    <row r="145" spans="2:23" ht="13.8" outlineLevel="1" x14ac:dyDescent="0.25">
      <c r="B145" s="88">
        <v>45894</v>
      </c>
      <c r="C145" s="1">
        <v>227.16</v>
      </c>
      <c r="D145" s="48">
        <f t="shared" si="4"/>
        <v>-9.3759539488029731E-3</v>
      </c>
      <c r="E145" s="44"/>
      <c r="F145" s="88">
        <v>45894</v>
      </c>
      <c r="G145" s="41">
        <v>21000.6</v>
      </c>
      <c r="H145" s="48">
        <f t="shared" si="5"/>
        <v>-3.889463348922817E-3</v>
      </c>
      <c r="I145" s="41"/>
      <c r="J145" s="41"/>
      <c r="L145" s="42"/>
      <c r="S145" s="41"/>
      <c r="T145" s="41"/>
      <c r="U145" s="41"/>
      <c r="W145" s="42"/>
    </row>
    <row r="146" spans="2:23" ht="13.8" outlineLevel="1" x14ac:dyDescent="0.25">
      <c r="B146" s="88">
        <v>45891</v>
      </c>
      <c r="C146" s="1">
        <v>227.76</v>
      </c>
      <c r="D146" s="48">
        <f t="shared" si="4"/>
        <v>2.641310089804616E-3</v>
      </c>
      <c r="E146" s="44"/>
      <c r="F146" s="88">
        <v>45891</v>
      </c>
      <c r="G146" s="41">
        <v>21150.1</v>
      </c>
      <c r="H146" s="48">
        <f t="shared" si="5"/>
        <v>7.1188442234983995E-3</v>
      </c>
      <c r="I146" s="41"/>
      <c r="J146" s="41"/>
      <c r="L146" s="42"/>
      <c r="S146" s="41"/>
      <c r="T146" s="41"/>
      <c r="U146" s="41"/>
      <c r="W146" s="42"/>
    </row>
    <row r="147" spans="2:23" ht="13.8" outlineLevel="1" x14ac:dyDescent="0.25">
      <c r="B147" s="88">
        <v>45890</v>
      </c>
      <c r="C147" s="1">
        <v>224.9</v>
      </c>
      <c r="D147" s="48">
        <f t="shared" si="4"/>
        <v>-1.2557077625570678E-2</v>
      </c>
      <c r="E147" s="44"/>
      <c r="F147" s="88">
        <v>45890</v>
      </c>
      <c r="G147" s="41">
        <v>20818.599999999999</v>
      </c>
      <c r="H147" s="48">
        <f t="shared" si="5"/>
        <v>-1.567368475799169E-2</v>
      </c>
      <c r="I147" s="41"/>
      <c r="J147" s="41"/>
      <c r="L147" s="42"/>
      <c r="S147" s="41"/>
      <c r="T147" s="41"/>
      <c r="U147" s="41"/>
      <c r="W147" s="42"/>
    </row>
    <row r="148" spans="2:23" ht="13.8" outlineLevel="1" x14ac:dyDescent="0.25">
      <c r="B148" s="88">
        <v>45889</v>
      </c>
      <c r="C148" s="1">
        <v>226.01</v>
      </c>
      <c r="D148" s="48">
        <f t="shared" si="4"/>
        <v>4.9355269008446445E-3</v>
      </c>
      <c r="E148" s="44"/>
      <c r="F148" s="88">
        <v>45889</v>
      </c>
      <c r="G148" s="41">
        <v>20865.599999999999</v>
      </c>
      <c r="H148" s="48">
        <f t="shared" si="5"/>
        <v>2.2575965722959612E-3</v>
      </c>
      <c r="I148" s="41"/>
      <c r="J148" s="41"/>
      <c r="L148" s="42"/>
      <c r="S148" s="41"/>
      <c r="T148" s="41"/>
      <c r="U148" s="41"/>
      <c r="W148" s="42"/>
    </row>
    <row r="149" spans="2:23" ht="13.8" outlineLevel="1" x14ac:dyDescent="0.25">
      <c r="B149" s="88">
        <v>45888</v>
      </c>
      <c r="C149" s="1">
        <v>230.56</v>
      </c>
      <c r="D149" s="48">
        <f t="shared" si="4"/>
        <v>2.013185257289507E-2</v>
      </c>
      <c r="E149" s="44"/>
      <c r="F149" s="88">
        <v>45888</v>
      </c>
      <c r="G149" s="41">
        <v>20820.7</v>
      </c>
      <c r="H149" s="48">
        <f t="shared" si="5"/>
        <v>-2.1518671880990103E-3</v>
      </c>
      <c r="I149" s="41"/>
      <c r="J149" s="41"/>
      <c r="L149" s="42"/>
      <c r="S149" s="41"/>
      <c r="T149" s="41"/>
      <c r="U149" s="41"/>
      <c r="W149" s="42"/>
    </row>
    <row r="150" spans="2:23" ht="13.8" outlineLevel="1" x14ac:dyDescent="0.25">
      <c r="B150" s="88">
        <v>45887</v>
      </c>
      <c r="C150" s="1">
        <v>230.89</v>
      </c>
      <c r="D150" s="48">
        <f t="shared" si="4"/>
        <v>1.4312977099235624E-3</v>
      </c>
      <c r="E150" s="44"/>
      <c r="F150" s="88">
        <v>45887</v>
      </c>
      <c r="G150" s="41">
        <v>20816.2</v>
      </c>
      <c r="H150" s="48">
        <f t="shared" si="5"/>
        <v>-2.1613106187590159E-4</v>
      </c>
      <c r="I150" s="41"/>
      <c r="J150" s="41"/>
      <c r="L150" s="42"/>
      <c r="S150" s="41"/>
      <c r="T150" s="41"/>
      <c r="U150" s="41"/>
      <c r="W150" s="42"/>
    </row>
    <row r="151" spans="2:23" ht="13.8" outlineLevel="1" x14ac:dyDescent="0.25">
      <c r="B151" s="88">
        <v>45884</v>
      </c>
      <c r="C151" s="1">
        <v>231.59</v>
      </c>
      <c r="D151" s="48">
        <f t="shared" si="4"/>
        <v>3.0317467192169101E-3</v>
      </c>
      <c r="E151" s="44"/>
      <c r="F151" s="88">
        <v>45884</v>
      </c>
      <c r="G151" s="41">
        <v>20802.7</v>
      </c>
      <c r="H151" s="48">
        <f t="shared" si="5"/>
        <v>-6.4853335383019406E-4</v>
      </c>
      <c r="I151" s="41"/>
      <c r="J151" s="41"/>
      <c r="L151" s="42"/>
      <c r="S151" s="41"/>
      <c r="T151" s="41"/>
      <c r="U151" s="41"/>
      <c r="W151" s="42"/>
    </row>
    <row r="152" spans="2:23" ht="13.8" outlineLevel="1" x14ac:dyDescent="0.25">
      <c r="B152" s="88">
        <v>45883</v>
      </c>
      <c r="C152" s="1">
        <v>232.78</v>
      </c>
      <c r="D152" s="48">
        <f t="shared" si="4"/>
        <v>5.1383911222417922E-3</v>
      </c>
      <c r="E152" s="44"/>
      <c r="F152" s="88">
        <v>45883</v>
      </c>
      <c r="G152" s="41">
        <v>20808.400000000001</v>
      </c>
      <c r="H152" s="48">
        <f t="shared" si="5"/>
        <v>2.74002893855263E-4</v>
      </c>
      <c r="I152" s="41"/>
      <c r="J152" s="41"/>
      <c r="L152" s="42"/>
      <c r="S152" s="41"/>
      <c r="T152" s="41"/>
      <c r="U152" s="41"/>
      <c r="W152" s="42"/>
    </row>
    <row r="153" spans="2:23" ht="13.8" outlineLevel="1" x14ac:dyDescent="0.25">
      <c r="B153" s="88">
        <v>45882</v>
      </c>
      <c r="C153" s="1">
        <v>233.33</v>
      </c>
      <c r="D153" s="48">
        <f t="shared" si="4"/>
        <v>2.3627459403730011E-3</v>
      </c>
      <c r="E153" s="44"/>
      <c r="F153" s="88">
        <v>45882</v>
      </c>
      <c r="G153" s="41">
        <v>20867.7</v>
      </c>
      <c r="H153" s="48">
        <f t="shared" si="5"/>
        <v>2.8498106533898504E-3</v>
      </c>
      <c r="I153" s="41"/>
      <c r="J153" s="41"/>
      <c r="L153" s="42"/>
      <c r="S153" s="41"/>
      <c r="T153" s="41"/>
      <c r="U153" s="41"/>
      <c r="W153" s="42"/>
    </row>
    <row r="154" spans="2:23" ht="13.8" outlineLevel="1" x14ac:dyDescent="0.25">
      <c r="B154" s="88">
        <v>45881</v>
      </c>
      <c r="C154" s="1">
        <v>229.65</v>
      </c>
      <c r="D154" s="48">
        <f t="shared" si="4"/>
        <v>-1.5771653880769732E-2</v>
      </c>
      <c r="E154" s="44"/>
      <c r="F154" s="88">
        <v>45881</v>
      </c>
      <c r="G154" s="41">
        <v>20709.7</v>
      </c>
      <c r="H154" s="48">
        <f t="shared" si="5"/>
        <v>-7.5715100370429278E-3</v>
      </c>
      <c r="I154" s="41"/>
      <c r="J154" s="41"/>
      <c r="L154" s="42"/>
      <c r="S154" s="41"/>
      <c r="T154" s="41"/>
      <c r="U154" s="41"/>
      <c r="W154" s="42"/>
    </row>
    <row r="155" spans="2:23" ht="13.8" outlineLevel="1" x14ac:dyDescent="0.25">
      <c r="B155" s="88">
        <v>45880</v>
      </c>
      <c r="C155" s="1">
        <v>227.18</v>
      </c>
      <c r="D155" s="48">
        <f t="shared" si="4"/>
        <v>-1.075549749618987E-2</v>
      </c>
      <c r="E155" s="44"/>
      <c r="F155" s="88">
        <v>45880</v>
      </c>
      <c r="G155" s="41">
        <v>20483.2</v>
      </c>
      <c r="H155" s="48">
        <f t="shared" si="5"/>
        <v>-1.0936903962877276E-2</v>
      </c>
      <c r="I155" s="41"/>
      <c r="J155" s="41"/>
      <c r="L155" s="42"/>
      <c r="S155" s="41"/>
      <c r="T155" s="41"/>
      <c r="U155" s="41"/>
      <c r="W155" s="42"/>
    </row>
    <row r="156" spans="2:23" ht="13.8" outlineLevel="1" x14ac:dyDescent="0.25">
      <c r="B156" s="88">
        <v>45877</v>
      </c>
      <c r="C156" s="1">
        <v>229.35</v>
      </c>
      <c r="D156" s="48">
        <f t="shared" si="4"/>
        <v>9.5518971740469194E-3</v>
      </c>
      <c r="E156" s="44"/>
      <c r="F156" s="88">
        <v>45877</v>
      </c>
      <c r="G156" s="41">
        <v>20524.2</v>
      </c>
      <c r="H156" s="48">
        <f t="shared" si="5"/>
        <v>2.0016403686924367E-3</v>
      </c>
      <c r="I156" s="41"/>
      <c r="J156" s="41"/>
      <c r="L156" s="42"/>
      <c r="S156" s="41"/>
      <c r="T156" s="41"/>
      <c r="U156" s="41"/>
      <c r="W156" s="42"/>
    </row>
    <row r="157" spans="2:23" ht="13.8" outlineLevel="1" x14ac:dyDescent="0.25">
      <c r="B157" s="88">
        <v>45876</v>
      </c>
      <c r="C157" s="1">
        <v>220.03</v>
      </c>
      <c r="D157" s="48">
        <f t="shared" si="4"/>
        <v>-4.0636581643775815E-2</v>
      </c>
      <c r="E157" s="44"/>
      <c r="F157" s="88">
        <v>45876</v>
      </c>
      <c r="G157" s="41">
        <v>20465.8</v>
      </c>
      <c r="H157" s="48">
        <f t="shared" si="5"/>
        <v>-2.845421502421619E-3</v>
      </c>
      <c r="I157" s="41"/>
      <c r="J157" s="41"/>
      <c r="L157" s="42"/>
      <c r="S157" s="41"/>
      <c r="T157" s="41"/>
      <c r="U157" s="41"/>
      <c r="W157" s="42"/>
    </row>
    <row r="158" spans="2:23" ht="13.8" outlineLevel="1" x14ac:dyDescent="0.25">
      <c r="B158" s="88">
        <v>45875</v>
      </c>
      <c r="C158" s="1">
        <v>213.25</v>
      </c>
      <c r="D158" s="48">
        <f t="shared" si="4"/>
        <v>-3.0813979911830214E-2</v>
      </c>
      <c r="E158" s="44"/>
      <c r="F158" s="88">
        <v>45875</v>
      </c>
      <c r="G158" s="41">
        <v>20489.099999999999</v>
      </c>
      <c r="H158" s="48">
        <f t="shared" si="5"/>
        <v>1.1384846915341029E-3</v>
      </c>
      <c r="I158" s="41"/>
      <c r="J158" s="41"/>
      <c r="L158" s="42"/>
      <c r="S158" s="41"/>
      <c r="T158" s="41"/>
      <c r="U158" s="41"/>
      <c r="W158" s="42"/>
    </row>
    <row r="159" spans="2:23" ht="13.8" outlineLevel="1" x14ac:dyDescent="0.25">
      <c r="B159" s="88">
        <v>45874</v>
      </c>
      <c r="C159" s="1">
        <v>202.92</v>
      </c>
      <c r="D159" s="48">
        <f t="shared" si="4"/>
        <v>-4.8440797186401041E-2</v>
      </c>
      <c r="E159" s="44"/>
      <c r="F159" s="88">
        <v>45874</v>
      </c>
      <c r="G159" s="41">
        <v>20457.099999999999</v>
      </c>
      <c r="H159" s="48">
        <f t="shared" si="5"/>
        <v>-1.5618060334519068E-3</v>
      </c>
      <c r="I159" s="41"/>
      <c r="J159" s="41"/>
      <c r="L159" s="42"/>
      <c r="S159" s="41"/>
      <c r="T159" s="41"/>
      <c r="U159" s="41"/>
      <c r="W159" s="42"/>
    </row>
    <row r="160" spans="2:23" ht="13.8" outlineLevel="1" x14ac:dyDescent="0.25">
      <c r="B160" s="88">
        <v>45873</v>
      </c>
      <c r="C160" s="1">
        <v>203.35</v>
      </c>
      <c r="D160" s="48">
        <f t="shared" si="4"/>
        <v>2.1190616991917377E-3</v>
      </c>
      <c r="E160" s="44"/>
      <c r="F160" s="88">
        <v>45873</v>
      </c>
      <c r="G160" s="41">
        <v>20488.900000000001</v>
      </c>
      <c r="H160" s="48">
        <f t="shared" si="5"/>
        <v>1.554472530319595E-3</v>
      </c>
      <c r="I160" s="41"/>
      <c r="J160" s="41"/>
      <c r="L160" s="42"/>
      <c r="S160" s="41"/>
      <c r="T160" s="41"/>
      <c r="U160" s="41"/>
      <c r="W160" s="42"/>
    </row>
    <row r="161" spans="2:23" ht="13.8" outlineLevel="1" x14ac:dyDescent="0.25">
      <c r="B161" s="88">
        <v>45870</v>
      </c>
      <c r="C161" s="1">
        <v>202.38</v>
      </c>
      <c r="D161" s="48">
        <f t="shared" si="4"/>
        <v>-4.7701008114089394E-3</v>
      </c>
      <c r="E161" s="44"/>
      <c r="F161" s="88">
        <v>45870</v>
      </c>
      <c r="G161" s="41">
        <v>20267.7</v>
      </c>
      <c r="H161" s="48">
        <f t="shared" si="5"/>
        <v>-1.0796089589973135E-2</v>
      </c>
      <c r="I161" s="41"/>
      <c r="J161" s="41"/>
      <c r="L161" s="42"/>
      <c r="S161" s="41"/>
      <c r="T161" s="41"/>
      <c r="U161" s="41"/>
      <c r="W161" s="42"/>
    </row>
    <row r="162" spans="2:23" ht="13.8" outlineLevel="1" x14ac:dyDescent="0.25">
      <c r="B162" s="88">
        <v>45869</v>
      </c>
      <c r="C162" s="1">
        <v>207.57</v>
      </c>
      <c r="D162" s="48">
        <f t="shared" si="4"/>
        <v>2.5644826563889778E-2</v>
      </c>
      <c r="E162" s="44"/>
      <c r="F162" s="88">
        <v>45869</v>
      </c>
      <c r="G162" s="41">
        <v>20458.400000000001</v>
      </c>
      <c r="H162" s="48">
        <f t="shared" si="5"/>
        <v>9.4090597354412608E-3</v>
      </c>
      <c r="I162" s="41"/>
      <c r="J162" s="41"/>
      <c r="L162" s="42"/>
      <c r="S162" s="41"/>
      <c r="T162" s="41"/>
      <c r="U162" s="41"/>
      <c r="W162" s="42"/>
    </row>
    <row r="163" spans="2:23" ht="13.8" outlineLevel="1" x14ac:dyDescent="0.25">
      <c r="B163" s="88">
        <v>45868</v>
      </c>
      <c r="C163" s="1">
        <v>209.05</v>
      </c>
      <c r="D163" s="48">
        <f t="shared" si="4"/>
        <v>7.1301247771837772E-3</v>
      </c>
      <c r="E163" s="44"/>
      <c r="F163" s="88">
        <v>45868</v>
      </c>
      <c r="G163" s="41">
        <v>20630.900000000001</v>
      </c>
      <c r="H163" s="48">
        <f t="shared" si="5"/>
        <v>8.4317444179407008E-3</v>
      </c>
      <c r="I163" s="41"/>
      <c r="J163" s="41"/>
      <c r="L163" s="42"/>
      <c r="S163" s="41"/>
      <c r="T163" s="41"/>
      <c r="U163" s="41"/>
      <c r="W163" s="42"/>
    </row>
    <row r="164" spans="2:23" ht="13.8" outlineLevel="1" x14ac:dyDescent="0.25">
      <c r="B164" s="88">
        <v>45867</v>
      </c>
      <c r="C164" s="1">
        <v>211.27</v>
      </c>
      <c r="D164" s="48">
        <f t="shared" si="4"/>
        <v>1.0619469026548645E-2</v>
      </c>
      <c r="E164" s="44"/>
      <c r="F164" s="88">
        <v>45867</v>
      </c>
      <c r="G164" s="41">
        <v>20761.599999999999</v>
      </c>
      <c r="H164" s="48">
        <f t="shared" si="5"/>
        <v>6.335157457987739E-3</v>
      </c>
      <c r="I164" s="41"/>
      <c r="J164" s="41"/>
      <c r="L164" s="42"/>
      <c r="S164" s="41"/>
      <c r="T164" s="41"/>
      <c r="U164" s="41"/>
      <c r="W164" s="42"/>
    </row>
    <row r="165" spans="2:23" ht="13.8" outlineLevel="1" x14ac:dyDescent="0.25">
      <c r="B165" s="88">
        <v>45866</v>
      </c>
      <c r="C165" s="1">
        <v>214.05</v>
      </c>
      <c r="D165" s="48">
        <f t="shared" si="4"/>
        <v>1.3158517536801195E-2</v>
      </c>
      <c r="E165" s="44"/>
      <c r="F165" s="88">
        <v>45866</v>
      </c>
      <c r="G165" s="41">
        <v>20821.3</v>
      </c>
      <c r="H165" s="48">
        <f t="shared" si="5"/>
        <v>2.87550092478428E-3</v>
      </c>
      <c r="I165" s="41"/>
      <c r="J165" s="41"/>
      <c r="L165" s="42"/>
      <c r="S165" s="41"/>
      <c r="T165" s="41"/>
      <c r="U165" s="41"/>
      <c r="W165" s="42"/>
    </row>
    <row r="166" spans="2:23" ht="13.8" outlineLevel="1" x14ac:dyDescent="0.25">
      <c r="B166" s="88">
        <v>45863</v>
      </c>
      <c r="C166" s="1">
        <v>213.88</v>
      </c>
      <c r="D166" s="48">
        <f t="shared" si="4"/>
        <v>-7.942069609905289E-4</v>
      </c>
      <c r="E166" s="44"/>
      <c r="F166" s="88">
        <v>45863</v>
      </c>
      <c r="G166" s="41">
        <v>20950.400000000001</v>
      </c>
      <c r="H166" s="48">
        <f t="shared" si="5"/>
        <v>6.2003813402622399E-3</v>
      </c>
      <c r="I166" s="41"/>
      <c r="J166" s="41"/>
      <c r="L166" s="42"/>
      <c r="S166" s="41"/>
      <c r="T166" s="41"/>
      <c r="U166" s="41"/>
      <c r="W166" s="42"/>
    </row>
    <row r="167" spans="2:23" ht="13.8" outlineLevel="1" x14ac:dyDescent="0.25">
      <c r="B167" s="88">
        <v>45862</v>
      </c>
      <c r="C167" s="1">
        <v>213.76</v>
      </c>
      <c r="D167" s="48">
        <f t="shared" si="4"/>
        <v>-5.6106227791286045E-4</v>
      </c>
      <c r="E167" s="44"/>
      <c r="F167" s="88">
        <v>45862</v>
      </c>
      <c r="G167" s="41">
        <v>20853.400000000001</v>
      </c>
      <c r="H167" s="48">
        <f t="shared" si="5"/>
        <v>-4.6299831984114581E-3</v>
      </c>
      <c r="I167" s="41"/>
      <c r="J167" s="41"/>
      <c r="L167" s="42"/>
      <c r="S167" s="41"/>
      <c r="T167" s="41"/>
      <c r="U167" s="41"/>
      <c r="W167" s="42"/>
    </row>
    <row r="168" spans="2:23" ht="13.8" outlineLevel="1" x14ac:dyDescent="0.25">
      <c r="B168" s="88">
        <v>45861</v>
      </c>
      <c r="C168" s="1">
        <v>214.15</v>
      </c>
      <c r="D168" s="48">
        <f t="shared" si="4"/>
        <v>1.8244760479042554E-3</v>
      </c>
      <c r="E168" s="44"/>
      <c r="F168" s="88">
        <v>45861</v>
      </c>
      <c r="G168" s="41">
        <v>20921.8</v>
      </c>
      <c r="H168" s="48">
        <f t="shared" si="5"/>
        <v>3.2800406648314517E-3</v>
      </c>
      <c r="I168" s="41"/>
      <c r="J168" s="41"/>
      <c r="L168" s="42"/>
      <c r="S168" s="41"/>
      <c r="T168" s="41"/>
      <c r="U168" s="41"/>
      <c r="W168" s="42"/>
    </row>
    <row r="169" spans="2:23" ht="13.8" outlineLevel="1" x14ac:dyDescent="0.25">
      <c r="B169" s="88">
        <v>45860</v>
      </c>
      <c r="C169" s="1">
        <v>214.4</v>
      </c>
      <c r="D169" s="48">
        <f t="shared" si="4"/>
        <v>1.167406023815154E-3</v>
      </c>
      <c r="E169" s="44"/>
      <c r="F169" s="88">
        <v>45860</v>
      </c>
      <c r="G169" s="41">
        <v>20658.8</v>
      </c>
      <c r="H169" s="48">
        <f t="shared" si="5"/>
        <v>-1.2570620118727782E-2</v>
      </c>
      <c r="I169" s="41"/>
      <c r="J169" s="41"/>
      <c r="L169" s="42"/>
      <c r="S169" s="41"/>
      <c r="T169" s="41"/>
      <c r="U169" s="41"/>
      <c r="W169" s="42"/>
    </row>
    <row r="170" spans="2:23" ht="13.8" outlineLevel="1" x14ac:dyDescent="0.25">
      <c r="B170" s="88">
        <v>45859</v>
      </c>
      <c r="C170" s="1">
        <v>212.48</v>
      </c>
      <c r="D170" s="48">
        <f t="shared" si="4"/>
        <v>-8.9552238805971074E-3</v>
      </c>
      <c r="E170" s="44"/>
      <c r="F170" s="88">
        <v>45859</v>
      </c>
      <c r="G170" s="41">
        <v>20514.5</v>
      </c>
      <c r="H170" s="48">
        <f t="shared" si="5"/>
        <v>-6.9849168393130157E-3</v>
      </c>
      <c r="I170" s="41"/>
      <c r="J170" s="41"/>
      <c r="L170" s="42"/>
      <c r="S170" s="41"/>
      <c r="T170" s="41"/>
      <c r="U170" s="41"/>
      <c r="W170" s="42"/>
    </row>
    <row r="171" spans="2:23" ht="13.8" outlineLevel="1" x14ac:dyDescent="0.25">
      <c r="B171" s="88">
        <v>45856</v>
      </c>
      <c r="C171" s="1">
        <v>211.18</v>
      </c>
      <c r="D171" s="48">
        <f t="shared" si="4"/>
        <v>-6.1182228915661607E-3</v>
      </c>
      <c r="E171" s="44"/>
      <c r="F171" s="88">
        <v>45856</v>
      </c>
      <c r="G171" s="41">
        <v>20541.599999999999</v>
      </c>
      <c r="H171" s="48">
        <f t="shared" si="5"/>
        <v>1.3210168417459034E-3</v>
      </c>
      <c r="I171" s="41"/>
      <c r="J171" s="41"/>
      <c r="L171" s="42"/>
      <c r="S171" s="41"/>
      <c r="T171" s="41"/>
      <c r="U171" s="41"/>
      <c r="W171" s="42"/>
    </row>
    <row r="172" spans="2:23" ht="13.8" outlineLevel="1" x14ac:dyDescent="0.25">
      <c r="B172" s="88">
        <v>45855</v>
      </c>
      <c r="C172" s="1">
        <v>210.02</v>
      </c>
      <c r="D172" s="48">
        <f t="shared" si="4"/>
        <v>-5.4929444076143863E-3</v>
      </c>
      <c r="E172" s="44"/>
      <c r="F172" s="88">
        <v>45855</v>
      </c>
      <c r="G172" s="41">
        <v>20589.5</v>
      </c>
      <c r="H172" s="48">
        <f t="shared" si="5"/>
        <v>2.3318534096663512E-3</v>
      </c>
      <c r="I172" s="41"/>
      <c r="J172" s="41"/>
      <c r="L172" s="42"/>
      <c r="S172" s="41"/>
      <c r="T172" s="41"/>
      <c r="U172" s="41"/>
      <c r="W172" s="42"/>
    </row>
    <row r="173" spans="2:23" ht="13.8" outlineLevel="1" x14ac:dyDescent="0.25">
      <c r="B173" s="88">
        <v>45854</v>
      </c>
      <c r="C173" s="1">
        <v>210.16</v>
      </c>
      <c r="D173" s="48">
        <f t="shared" si="4"/>
        <v>6.6660318064948321E-4</v>
      </c>
      <c r="E173" s="44"/>
      <c r="F173" s="88">
        <v>45854</v>
      </c>
      <c r="G173" s="41">
        <v>20485.7</v>
      </c>
      <c r="H173" s="48">
        <f t="shared" si="5"/>
        <v>-5.0414045994316981E-3</v>
      </c>
      <c r="I173" s="41"/>
      <c r="J173" s="41"/>
      <c r="L173" s="42"/>
      <c r="S173" s="41"/>
      <c r="T173" s="41"/>
      <c r="U173" s="41"/>
      <c r="W173" s="42"/>
    </row>
    <row r="174" spans="2:23" ht="13.8" outlineLevel="1" x14ac:dyDescent="0.25">
      <c r="B174" s="88">
        <v>45853</v>
      </c>
      <c r="C174" s="1">
        <v>209.11</v>
      </c>
      <c r="D174" s="48">
        <f t="shared" si="4"/>
        <v>-4.9961933764749444E-3</v>
      </c>
      <c r="E174" s="44"/>
      <c r="F174" s="88">
        <v>45853</v>
      </c>
      <c r="G174" s="41">
        <v>20374.400000000001</v>
      </c>
      <c r="H174" s="48">
        <f t="shared" si="5"/>
        <v>-5.4330581820488666E-3</v>
      </c>
      <c r="I174" s="41"/>
      <c r="J174" s="41"/>
      <c r="L174" s="42"/>
      <c r="S174" s="41"/>
      <c r="T174" s="41"/>
      <c r="U174" s="41"/>
      <c r="W174" s="42"/>
    </row>
    <row r="175" spans="2:23" ht="13.8" outlineLevel="1" x14ac:dyDescent="0.25">
      <c r="B175" s="88">
        <v>45852</v>
      </c>
      <c r="C175" s="1">
        <v>208.62</v>
      </c>
      <c r="D175" s="48">
        <f t="shared" si="4"/>
        <v>-2.3432643106499063E-3</v>
      </c>
      <c r="E175" s="44"/>
      <c r="F175" s="88">
        <v>45852</v>
      </c>
      <c r="G175" s="41">
        <v>20581.400000000001</v>
      </c>
      <c r="H175" s="48">
        <f t="shared" si="5"/>
        <v>1.0159808386995373E-2</v>
      </c>
      <c r="I175" s="41"/>
      <c r="J175" s="41"/>
      <c r="L175" s="42"/>
      <c r="S175" s="41"/>
      <c r="T175" s="41"/>
      <c r="U175" s="41"/>
      <c r="W175" s="42"/>
    </row>
    <row r="176" spans="2:23" ht="13.8" outlineLevel="1" x14ac:dyDescent="0.25">
      <c r="B176" s="88">
        <v>45849</v>
      </c>
      <c r="C176" s="1">
        <v>211.16</v>
      </c>
      <c r="D176" s="48">
        <f t="shared" si="4"/>
        <v>1.2175246860320232E-2</v>
      </c>
      <c r="E176" s="44"/>
      <c r="F176" s="88">
        <v>45849</v>
      </c>
      <c r="G176" s="41">
        <v>20547.7</v>
      </c>
      <c r="H176" s="48">
        <f t="shared" si="5"/>
        <v>-1.6374007599094798E-3</v>
      </c>
      <c r="I176" s="41"/>
      <c r="J176" s="41"/>
      <c r="L176" s="42"/>
      <c r="S176" s="41"/>
      <c r="T176" s="41"/>
      <c r="U176" s="41"/>
      <c r="W176" s="42"/>
    </row>
    <row r="177" spans="2:23" ht="13.8" outlineLevel="1" x14ac:dyDescent="0.25">
      <c r="B177" s="88">
        <v>45848</v>
      </c>
      <c r="C177" s="1">
        <v>212.41</v>
      </c>
      <c r="D177" s="48">
        <f t="shared" si="4"/>
        <v>5.9196817579088012E-3</v>
      </c>
      <c r="E177" s="44"/>
      <c r="F177" s="88">
        <v>45848</v>
      </c>
      <c r="G177" s="41">
        <v>20678.099999999999</v>
      </c>
      <c r="H177" s="48">
        <f t="shared" si="5"/>
        <v>6.3462090647614655E-3</v>
      </c>
      <c r="I177" s="41"/>
      <c r="J177" s="41"/>
      <c r="L177" s="42"/>
      <c r="S177" s="41"/>
      <c r="T177" s="41"/>
      <c r="U177" s="41"/>
      <c r="W177" s="42"/>
    </row>
    <row r="178" spans="2:23" ht="13.8" outlineLevel="1" x14ac:dyDescent="0.25">
      <c r="B178" s="88">
        <v>45847</v>
      </c>
      <c r="C178" s="1">
        <v>211.14</v>
      </c>
      <c r="D178" s="48">
        <f t="shared" si="4"/>
        <v>-5.9790028718045285E-3</v>
      </c>
      <c r="E178" s="44"/>
      <c r="F178" s="88">
        <v>45847</v>
      </c>
      <c r="G178" s="41">
        <v>20608.2</v>
      </c>
      <c r="H178" s="48">
        <f t="shared" si="5"/>
        <v>-3.380387946668062E-3</v>
      </c>
      <c r="I178" s="41"/>
      <c r="J178" s="41"/>
      <c r="L178" s="42"/>
      <c r="S178" s="41"/>
      <c r="T178" s="41"/>
      <c r="U178" s="41"/>
      <c r="W178" s="42"/>
    </row>
    <row r="179" spans="2:23" ht="13.8" outlineLevel="1" x14ac:dyDescent="0.25">
      <c r="B179" s="88">
        <v>45846</v>
      </c>
      <c r="C179" s="1">
        <v>210.01</v>
      </c>
      <c r="D179" s="48">
        <f t="shared" si="4"/>
        <v>-5.3518992137917554E-3</v>
      </c>
      <c r="E179" s="44"/>
      <c r="F179" s="88">
        <v>45846</v>
      </c>
      <c r="G179" s="41">
        <v>20542</v>
      </c>
      <c r="H179" s="48">
        <f t="shared" si="5"/>
        <v>-3.2123135450937701E-3</v>
      </c>
      <c r="I179" s="41"/>
      <c r="J179" s="41"/>
      <c r="L179" s="42"/>
      <c r="S179" s="41"/>
      <c r="T179" s="41"/>
      <c r="U179" s="41"/>
      <c r="W179" s="42"/>
    </row>
    <row r="180" spans="2:23" ht="13.8" outlineLevel="1" x14ac:dyDescent="0.25">
      <c r="B180" s="88">
        <v>45845</v>
      </c>
      <c r="C180" s="1">
        <v>209.95</v>
      </c>
      <c r="D180" s="48">
        <f t="shared" si="4"/>
        <v>-2.8570068091993139E-4</v>
      </c>
      <c r="E180" s="44"/>
      <c r="F180" s="88">
        <v>45845</v>
      </c>
      <c r="G180" s="41">
        <v>20545.599999999999</v>
      </c>
      <c r="H180" s="48">
        <f t="shared" si="5"/>
        <v>1.7525070587076641E-4</v>
      </c>
      <c r="I180" s="41"/>
      <c r="J180" s="41"/>
      <c r="L180" s="42"/>
      <c r="S180" s="41"/>
      <c r="T180" s="41"/>
      <c r="U180" s="41"/>
      <c r="W180" s="42"/>
    </row>
    <row r="181" spans="2:23" ht="13.8" outlineLevel="1" x14ac:dyDescent="0.25">
      <c r="B181" s="88">
        <v>45841</v>
      </c>
      <c r="C181" s="1">
        <v>213.55</v>
      </c>
      <c r="D181" s="48">
        <f t="shared" si="4"/>
        <v>1.7146939747558987E-2</v>
      </c>
      <c r="E181" s="44"/>
      <c r="F181" s="88">
        <v>45841</v>
      </c>
      <c r="G181" s="41">
        <v>20725.8</v>
      </c>
      <c r="H181" s="48">
        <f t="shared" si="5"/>
        <v>8.7707343664824577E-3</v>
      </c>
      <c r="I181" s="41"/>
      <c r="J181" s="41"/>
      <c r="L181" s="42"/>
      <c r="S181" s="41"/>
      <c r="T181" s="41"/>
      <c r="U181" s="41"/>
      <c r="W181" s="42"/>
    </row>
    <row r="182" spans="2:23" ht="13.8" outlineLevel="1" x14ac:dyDescent="0.25">
      <c r="B182" s="88">
        <v>45840</v>
      </c>
      <c r="C182" s="1">
        <v>212.44</v>
      </c>
      <c r="D182" s="48">
        <f t="shared" si="4"/>
        <v>-5.1978459377195474E-3</v>
      </c>
      <c r="E182" s="44"/>
      <c r="F182" s="88">
        <v>45840</v>
      </c>
      <c r="G182" s="41">
        <v>20596.900000000001</v>
      </c>
      <c r="H182" s="48">
        <f t="shared" si="5"/>
        <v>-6.219301546864231E-3</v>
      </c>
      <c r="I182" s="41"/>
      <c r="J182" s="41"/>
      <c r="L182" s="42"/>
      <c r="S182" s="41"/>
      <c r="T182" s="41"/>
      <c r="U182" s="41"/>
      <c r="W182" s="42"/>
    </row>
    <row r="183" spans="2:23" ht="13.8" outlineLevel="1" x14ac:dyDescent="0.25">
      <c r="B183" s="88">
        <v>45839</v>
      </c>
      <c r="C183" s="1">
        <v>207.82</v>
      </c>
      <c r="D183" s="48">
        <f t="shared" si="4"/>
        <v>-2.1747316889474733E-2</v>
      </c>
      <c r="E183" s="44"/>
      <c r="F183" s="88">
        <v>45839</v>
      </c>
      <c r="G183" s="41">
        <v>20541.400000000001</v>
      </c>
      <c r="H183" s="48">
        <f t="shared" si="5"/>
        <v>-2.6945802523681284E-3</v>
      </c>
      <c r="I183" s="41"/>
      <c r="J183" s="41"/>
      <c r="L183" s="42"/>
      <c r="S183" s="41"/>
      <c r="T183" s="41"/>
      <c r="U183" s="41"/>
      <c r="W183" s="42"/>
    </row>
    <row r="184" spans="2:23" ht="13.8" outlineLevel="1" x14ac:dyDescent="0.25">
      <c r="B184" s="88">
        <v>45838</v>
      </c>
      <c r="C184" s="1">
        <v>205.17</v>
      </c>
      <c r="D184" s="48">
        <f t="shared" si="4"/>
        <v>-1.2751419497642247E-2</v>
      </c>
      <c r="E184" s="44"/>
      <c r="F184" s="88">
        <v>45838</v>
      </c>
      <c r="G184" s="41">
        <v>20429.599999999999</v>
      </c>
      <c r="H184" s="48">
        <f t="shared" si="5"/>
        <v>-5.4426670041965997E-3</v>
      </c>
      <c r="I184" s="41"/>
      <c r="J184" s="41"/>
      <c r="L184" s="42"/>
      <c r="S184" s="41"/>
      <c r="T184" s="41"/>
      <c r="U184" s="41"/>
      <c r="W184" s="42"/>
    </row>
    <row r="185" spans="2:23" ht="13.8" outlineLevel="1" x14ac:dyDescent="0.25">
      <c r="B185" s="88">
        <v>45835</v>
      </c>
      <c r="C185" s="1">
        <v>201.08</v>
      </c>
      <c r="D185" s="48">
        <f t="shared" si="4"/>
        <v>-1.9934688307257309E-2</v>
      </c>
      <c r="E185" s="44"/>
      <c r="F185" s="88">
        <v>45835</v>
      </c>
      <c r="G185" s="41">
        <v>20338.400000000001</v>
      </c>
      <c r="H185" s="48">
        <f t="shared" si="5"/>
        <v>-4.4641108979126543E-3</v>
      </c>
      <c r="I185" s="41"/>
      <c r="J185" s="41"/>
      <c r="L185" s="42"/>
      <c r="S185" s="41"/>
      <c r="T185" s="41"/>
      <c r="U185" s="41"/>
      <c r="W185" s="42"/>
    </row>
    <row r="186" spans="2:23" ht="13.8" outlineLevel="1" x14ac:dyDescent="0.25">
      <c r="B186" s="88">
        <v>45834</v>
      </c>
      <c r="C186" s="1">
        <v>201</v>
      </c>
      <c r="D186" s="48">
        <f t="shared" si="4"/>
        <v>-3.9785160135275E-4</v>
      </c>
      <c r="E186" s="44"/>
      <c r="F186" s="88">
        <v>45834</v>
      </c>
      <c r="G186" s="41">
        <v>20256.2</v>
      </c>
      <c r="H186" s="48">
        <f t="shared" si="5"/>
        <v>-4.0416158596546792E-3</v>
      </c>
      <c r="I186" s="41"/>
      <c r="J186" s="41"/>
      <c r="L186" s="42"/>
      <c r="S186" s="41"/>
      <c r="T186" s="41"/>
      <c r="U186" s="41"/>
      <c r="W186" s="42"/>
    </row>
    <row r="187" spans="2:23" ht="13.8" outlineLevel="1" x14ac:dyDescent="0.25">
      <c r="B187" s="88">
        <v>45833</v>
      </c>
      <c r="C187" s="1">
        <v>201.56</v>
      </c>
      <c r="D187" s="48">
        <f t="shared" si="4"/>
        <v>2.7860696517412187E-3</v>
      </c>
      <c r="E187" s="44"/>
      <c r="F187" s="88">
        <v>45833</v>
      </c>
      <c r="G187" s="41">
        <v>20087.400000000001</v>
      </c>
      <c r="H187" s="48">
        <f t="shared" si="5"/>
        <v>-8.3332510539982918E-3</v>
      </c>
      <c r="I187" s="41"/>
      <c r="J187" s="41"/>
      <c r="L187" s="42"/>
      <c r="S187" s="41"/>
      <c r="T187" s="41"/>
      <c r="U187" s="41"/>
      <c r="W187" s="42"/>
    </row>
    <row r="188" spans="2:23" ht="13.8" outlineLevel="1" x14ac:dyDescent="0.25">
      <c r="B188" s="88">
        <v>45832</v>
      </c>
      <c r="C188" s="1">
        <v>200.3</v>
      </c>
      <c r="D188" s="48">
        <f t="shared" si="4"/>
        <v>-6.2512403254613158E-3</v>
      </c>
      <c r="E188" s="44"/>
      <c r="F188" s="88">
        <v>45832</v>
      </c>
      <c r="G188" s="41">
        <v>20217.3</v>
      </c>
      <c r="H188" s="48">
        <f t="shared" si="5"/>
        <v>6.4667403446936333E-3</v>
      </c>
      <c r="I188" s="41"/>
      <c r="J188" s="41"/>
      <c r="L188" s="42"/>
      <c r="S188" s="41"/>
      <c r="T188" s="41"/>
      <c r="U188" s="41"/>
      <c r="W188" s="42"/>
    </row>
    <row r="189" spans="2:23" ht="13.8" outlineLevel="1" x14ac:dyDescent="0.25">
      <c r="B189" s="88">
        <v>45831</v>
      </c>
      <c r="C189" s="1">
        <v>201.5</v>
      </c>
      <c r="D189" s="48">
        <f t="shared" si="4"/>
        <v>5.9910134797802606E-3</v>
      </c>
      <c r="E189" s="44"/>
      <c r="F189" s="88">
        <v>45831</v>
      </c>
      <c r="G189" s="41">
        <v>20008.2</v>
      </c>
      <c r="H189" s="48">
        <f t="shared" si="5"/>
        <v>-1.0342627353800871E-2</v>
      </c>
      <c r="I189" s="41"/>
      <c r="J189" s="41"/>
      <c r="L189" s="42"/>
      <c r="S189" s="41"/>
      <c r="T189" s="41"/>
      <c r="U189" s="41"/>
      <c r="W189" s="42"/>
    </row>
    <row r="190" spans="2:23" ht="13.8" outlineLevel="1" x14ac:dyDescent="0.25">
      <c r="B190" s="88">
        <v>45828</v>
      </c>
      <c r="C190" s="1">
        <v>201</v>
      </c>
      <c r="D190" s="48">
        <f t="shared" si="4"/>
        <v>-2.4813895781637951E-3</v>
      </c>
      <c r="E190" s="44"/>
      <c r="F190" s="88">
        <v>45828</v>
      </c>
      <c r="G190" s="41">
        <v>19868.400000000001</v>
      </c>
      <c r="H190" s="48">
        <f t="shared" si="5"/>
        <v>-6.987135274537426E-3</v>
      </c>
      <c r="I190" s="41"/>
      <c r="J190" s="41"/>
      <c r="L190" s="42"/>
      <c r="S190" s="41"/>
      <c r="T190" s="41"/>
      <c r="U190" s="41"/>
      <c r="W190" s="42"/>
    </row>
    <row r="191" spans="2:23" ht="13.8" outlineLevel="1" x14ac:dyDescent="0.25">
      <c r="B191" s="88">
        <v>45826</v>
      </c>
      <c r="C191" s="1">
        <v>196.58</v>
      </c>
      <c r="D191" s="48">
        <f t="shared" si="4"/>
        <v>-2.1990049751243745E-2</v>
      </c>
      <c r="E191" s="44"/>
      <c r="F191" s="88">
        <v>45826</v>
      </c>
      <c r="G191" s="41">
        <v>19901.099999999999</v>
      </c>
      <c r="H191" s="48">
        <f t="shared" si="5"/>
        <v>1.6458295584946825E-3</v>
      </c>
      <c r="I191" s="41"/>
      <c r="J191" s="41"/>
      <c r="L191" s="42"/>
      <c r="S191" s="41"/>
      <c r="T191" s="41"/>
      <c r="U191" s="41"/>
      <c r="W191" s="42"/>
    </row>
    <row r="192" spans="2:23" ht="13.8" outlineLevel="1" x14ac:dyDescent="0.25">
      <c r="B192" s="88">
        <v>45825</v>
      </c>
      <c r="C192" s="1">
        <v>195.64</v>
      </c>
      <c r="D192" s="48">
        <f t="shared" si="4"/>
        <v>-4.7817682368502812E-3</v>
      </c>
      <c r="E192" s="44"/>
      <c r="F192" s="88">
        <v>45825</v>
      </c>
      <c r="G192" s="41">
        <v>19918.3</v>
      </c>
      <c r="H192" s="48">
        <f t="shared" si="5"/>
        <v>8.6427383410980774E-4</v>
      </c>
      <c r="I192" s="41"/>
      <c r="J192" s="41"/>
      <c r="L192" s="42"/>
      <c r="S192" s="41"/>
      <c r="T192" s="41"/>
      <c r="U192" s="41"/>
      <c r="W192" s="42"/>
    </row>
    <row r="193" spans="2:23" ht="13.8" outlineLevel="1" x14ac:dyDescent="0.25">
      <c r="B193" s="88">
        <v>45824</v>
      </c>
      <c r="C193" s="1">
        <v>198.42</v>
      </c>
      <c r="D193" s="48">
        <f t="shared" si="4"/>
        <v>1.4209773052545449E-2</v>
      </c>
      <c r="E193" s="44"/>
      <c r="F193" s="88">
        <v>45824</v>
      </c>
      <c r="G193" s="41">
        <v>20088</v>
      </c>
      <c r="H193" s="48">
        <f t="shared" si="5"/>
        <v>8.5198033968763021E-3</v>
      </c>
      <c r="I193" s="41"/>
      <c r="J193" s="41"/>
      <c r="L193" s="42"/>
      <c r="S193" s="41"/>
      <c r="T193" s="41"/>
      <c r="U193" s="41"/>
      <c r="W193" s="42"/>
    </row>
    <row r="194" spans="2:23" ht="13.8" outlineLevel="1" x14ac:dyDescent="0.25">
      <c r="B194" s="88">
        <v>45821</v>
      </c>
      <c r="C194" s="1">
        <v>196.45</v>
      </c>
      <c r="D194" s="48">
        <f t="shared" si="4"/>
        <v>-9.9284346336054874E-3</v>
      </c>
      <c r="E194" s="44"/>
      <c r="F194" s="88">
        <v>45821</v>
      </c>
      <c r="G194" s="41">
        <v>19981.099999999999</v>
      </c>
      <c r="H194" s="48">
        <f t="shared" si="5"/>
        <v>-5.3215850258861996E-3</v>
      </c>
      <c r="I194" s="41"/>
      <c r="J194" s="41"/>
      <c r="L194" s="42"/>
      <c r="S194" s="41"/>
      <c r="T194" s="41"/>
      <c r="U194" s="41"/>
      <c r="W194" s="42"/>
    </row>
    <row r="195" spans="2:23" ht="13.8" outlineLevel="1" x14ac:dyDescent="0.25">
      <c r="B195" s="88">
        <v>45820</v>
      </c>
      <c r="C195" s="1">
        <v>199.2</v>
      </c>
      <c r="D195" s="48">
        <f t="shared" si="4"/>
        <v>1.3998472893866021E-2</v>
      </c>
      <c r="E195" s="44"/>
      <c r="F195" s="88">
        <v>45820</v>
      </c>
      <c r="G195" s="41">
        <v>20199.5</v>
      </c>
      <c r="H195" s="48">
        <f t="shared" si="5"/>
        <v>1.0930329161057184E-2</v>
      </c>
      <c r="I195" s="41"/>
      <c r="J195" s="41"/>
      <c r="L195" s="42"/>
      <c r="S195" s="41"/>
      <c r="T195" s="41"/>
      <c r="U195" s="41"/>
      <c r="W195" s="42"/>
    </row>
    <row r="196" spans="2:23" ht="13.8" outlineLevel="1" x14ac:dyDescent="0.25">
      <c r="B196" s="88">
        <v>45819</v>
      </c>
      <c r="C196" s="1">
        <v>198.78</v>
      </c>
      <c r="D196" s="48">
        <f t="shared" si="4"/>
        <v>-2.1084337349397408E-3</v>
      </c>
      <c r="E196" s="44"/>
      <c r="F196" s="88">
        <v>45819</v>
      </c>
      <c r="G196" s="41">
        <v>20119.099999999999</v>
      </c>
      <c r="H196" s="48">
        <f t="shared" si="5"/>
        <v>-3.980296541993722E-3</v>
      </c>
      <c r="I196" s="41"/>
      <c r="J196" s="41"/>
      <c r="L196" s="42"/>
      <c r="S196" s="41"/>
      <c r="T196" s="41"/>
      <c r="U196" s="41"/>
      <c r="W196" s="42"/>
    </row>
    <row r="197" spans="2:23" ht="13.8" outlineLevel="1" x14ac:dyDescent="0.25">
      <c r="B197" s="88">
        <v>45818</v>
      </c>
      <c r="C197" s="1">
        <v>202.67</v>
      </c>
      <c r="D197" s="48">
        <f t="shared" si="4"/>
        <v>1.9569373176375748E-2</v>
      </c>
      <c r="E197" s="44"/>
      <c r="F197" s="88">
        <v>45818</v>
      </c>
      <c r="G197" s="41">
        <v>20114.8</v>
      </c>
      <c r="H197" s="48">
        <f t="shared" si="5"/>
        <v>-2.1372725420121252E-4</v>
      </c>
      <c r="I197" s="41"/>
      <c r="J197" s="41"/>
      <c r="L197" s="42"/>
      <c r="S197" s="41"/>
      <c r="T197" s="41"/>
      <c r="U197" s="41"/>
      <c r="W197" s="42"/>
    </row>
    <row r="198" spans="2:23" ht="13.8" outlineLevel="1" x14ac:dyDescent="0.25">
      <c r="B198" s="88">
        <v>45817</v>
      </c>
      <c r="C198" s="1">
        <v>201.45</v>
      </c>
      <c r="D198" s="48">
        <f t="shared" si="4"/>
        <v>-6.0196378349040014E-3</v>
      </c>
      <c r="E198" s="44"/>
      <c r="F198" s="88">
        <v>45817</v>
      </c>
      <c r="G198" s="41">
        <v>20034.5</v>
      </c>
      <c r="H198" s="48">
        <f t="shared" si="5"/>
        <v>-3.9920854296339181E-3</v>
      </c>
      <c r="I198" s="41"/>
      <c r="J198" s="41"/>
      <c r="L198" s="42"/>
      <c r="S198" s="41"/>
      <c r="T198" s="41"/>
      <c r="U198" s="41"/>
      <c r="W198" s="42"/>
    </row>
    <row r="199" spans="2:23" ht="13.8" outlineLevel="1" x14ac:dyDescent="0.25">
      <c r="B199" s="88">
        <v>45814</v>
      </c>
      <c r="C199" s="1">
        <v>203.92</v>
      </c>
      <c r="D199" s="48">
        <f t="shared" si="4"/>
        <v>1.2261106974435387E-2</v>
      </c>
      <c r="E199" s="44"/>
      <c r="F199" s="88">
        <v>45814</v>
      </c>
      <c r="G199" s="41">
        <v>20045.400000000001</v>
      </c>
      <c r="H199" s="48">
        <f t="shared" si="5"/>
        <v>5.4406149392316472E-4</v>
      </c>
      <c r="I199" s="41"/>
      <c r="J199" s="41"/>
      <c r="L199" s="42"/>
      <c r="S199" s="41"/>
      <c r="T199" s="41"/>
      <c r="U199" s="41"/>
      <c r="W199" s="42"/>
    </row>
    <row r="200" spans="2:23" ht="13.8" outlineLevel="1" x14ac:dyDescent="0.25">
      <c r="B200" s="88">
        <v>45813</v>
      </c>
      <c r="C200" s="1">
        <v>200.63</v>
      </c>
      <c r="D200" s="48">
        <f t="shared" si="4"/>
        <v>-1.6133777952138106E-2</v>
      </c>
      <c r="E200" s="44"/>
      <c r="F200" s="88">
        <v>45813</v>
      </c>
      <c r="G200" s="41">
        <v>19883.3</v>
      </c>
      <c r="H200" s="48">
        <f t="shared" si="5"/>
        <v>-8.086643319664466E-3</v>
      </c>
      <c r="I200" s="41"/>
      <c r="J200" s="41"/>
      <c r="L200" s="42"/>
      <c r="S200" s="41"/>
      <c r="T200" s="41"/>
      <c r="U200" s="41"/>
      <c r="W200" s="42"/>
    </row>
    <row r="201" spans="2:23" ht="13.8" outlineLevel="1" x14ac:dyDescent="0.25">
      <c r="B201" s="88">
        <v>45812</v>
      </c>
      <c r="C201" s="1">
        <v>202.82</v>
      </c>
      <c r="D201" s="48">
        <f t="shared" si="4"/>
        <v>1.0915615810197954E-2</v>
      </c>
      <c r="E201" s="44"/>
      <c r="F201" s="88">
        <v>45812</v>
      </c>
      <c r="G201" s="41">
        <v>19887.3</v>
      </c>
      <c r="H201" s="48">
        <f t="shared" si="5"/>
        <v>2.0117384941120697E-4</v>
      </c>
      <c r="I201" s="41"/>
      <c r="J201" s="41"/>
      <c r="L201" s="42"/>
      <c r="S201" s="41"/>
      <c r="T201" s="41"/>
      <c r="U201" s="41"/>
      <c r="W201" s="42"/>
    </row>
    <row r="202" spans="2:23" ht="13.8" outlineLevel="1" x14ac:dyDescent="0.25">
      <c r="B202" s="88">
        <v>45811</v>
      </c>
      <c r="C202" s="1">
        <v>203.27</v>
      </c>
      <c r="D202" s="48">
        <f t="shared" si="4"/>
        <v>2.218716102948548E-3</v>
      </c>
      <c r="E202" s="44"/>
      <c r="F202" s="88">
        <v>45811</v>
      </c>
      <c r="G202" s="41">
        <v>19912.400000000001</v>
      </c>
      <c r="H202" s="48">
        <f t="shared" si="5"/>
        <v>1.2621120011264697E-3</v>
      </c>
      <c r="I202" s="41"/>
      <c r="J202" s="41"/>
      <c r="L202" s="42"/>
      <c r="S202" s="41"/>
      <c r="T202" s="41"/>
      <c r="U202" s="41"/>
      <c r="W202" s="42"/>
    </row>
    <row r="203" spans="2:23" ht="13.8" outlineLevel="1" x14ac:dyDescent="0.25">
      <c r="B203" s="88">
        <v>45810</v>
      </c>
      <c r="C203" s="1">
        <v>201.7</v>
      </c>
      <c r="D203" s="48">
        <f t="shared" si="4"/>
        <v>-7.723717223397597E-3</v>
      </c>
      <c r="E203" s="44"/>
      <c r="F203" s="88">
        <v>45810</v>
      </c>
      <c r="G203" s="41">
        <v>19834.8</v>
      </c>
      <c r="H203" s="48">
        <f t="shared" si="5"/>
        <v>-3.8970691629337528E-3</v>
      </c>
      <c r="I203" s="41"/>
      <c r="J203" s="41"/>
      <c r="L203" s="42"/>
      <c r="S203" s="41"/>
      <c r="T203" s="41"/>
      <c r="U203" s="41"/>
      <c r="W203" s="42"/>
    </row>
    <row r="204" spans="2:23" ht="13.8" outlineLevel="1" x14ac:dyDescent="0.25">
      <c r="B204" s="88">
        <v>45807</v>
      </c>
      <c r="C204" s="1">
        <v>200.85</v>
      </c>
      <c r="D204" s="48">
        <f t="shared" si="4"/>
        <v>-4.2141794744670058E-3</v>
      </c>
      <c r="E204" s="44"/>
      <c r="F204" s="88">
        <v>45807</v>
      </c>
      <c r="G204" s="41">
        <v>19783.8</v>
      </c>
      <c r="H204" s="48">
        <f t="shared" si="5"/>
        <v>-2.5712384294270807E-3</v>
      </c>
      <c r="I204" s="41"/>
      <c r="J204" s="41"/>
      <c r="L204" s="42"/>
      <c r="S204" s="41"/>
      <c r="T204" s="41"/>
      <c r="U204" s="41"/>
      <c r="W204" s="42"/>
    </row>
    <row r="205" spans="2:23" ht="13.8" outlineLevel="1" x14ac:dyDescent="0.25">
      <c r="B205" s="88">
        <v>45806</v>
      </c>
      <c r="C205" s="1">
        <v>199.95</v>
      </c>
      <c r="D205" s="48">
        <f t="shared" si="4"/>
        <v>-4.4809559372666063E-3</v>
      </c>
      <c r="E205" s="44"/>
      <c r="F205" s="88">
        <v>45806</v>
      </c>
      <c r="G205" s="41">
        <v>19743.8</v>
      </c>
      <c r="H205" s="48">
        <f t="shared" si="5"/>
        <v>-2.0218562662380757E-3</v>
      </c>
      <c r="I205" s="41"/>
      <c r="J205" s="41"/>
      <c r="L205" s="42"/>
      <c r="S205" s="41"/>
      <c r="T205" s="41"/>
      <c r="U205" s="41"/>
      <c r="W205" s="42"/>
    </row>
    <row r="206" spans="2:23" ht="13.8" outlineLevel="1" x14ac:dyDescent="0.25">
      <c r="B206" s="88">
        <v>45805</v>
      </c>
      <c r="C206" s="1">
        <v>200.42</v>
      </c>
      <c r="D206" s="48">
        <f t="shared" si="4"/>
        <v>2.3505876469116505E-3</v>
      </c>
      <c r="E206" s="44"/>
      <c r="F206" s="88">
        <v>45805</v>
      </c>
      <c r="G206" s="41">
        <v>19678.900000000001</v>
      </c>
      <c r="H206" s="48">
        <f t="shared" si="5"/>
        <v>-3.2871078515785968E-3</v>
      </c>
      <c r="I206" s="41"/>
      <c r="J206" s="41"/>
      <c r="L206" s="42"/>
      <c r="S206" s="41"/>
      <c r="T206" s="41"/>
      <c r="U206" s="41"/>
      <c r="W206" s="42"/>
    </row>
    <row r="207" spans="2:23" ht="13.8" outlineLevel="1" x14ac:dyDescent="0.25">
      <c r="B207" s="88">
        <v>45804</v>
      </c>
      <c r="C207" s="1">
        <v>200.21</v>
      </c>
      <c r="D207" s="48">
        <f t="shared" ref="D207:D263" si="6">C207/C206-1</f>
        <v>-1.0477996207962637E-3</v>
      </c>
      <c r="E207" s="44"/>
      <c r="F207" s="88">
        <v>45804</v>
      </c>
      <c r="G207" s="41">
        <v>19829.900000000001</v>
      </c>
      <c r="H207" s="48">
        <f t="shared" si="5"/>
        <v>7.6731931154687683E-3</v>
      </c>
      <c r="I207" s="41"/>
      <c r="J207" s="41"/>
      <c r="L207" s="42"/>
      <c r="S207" s="41"/>
      <c r="T207" s="41"/>
      <c r="U207" s="41"/>
      <c r="W207" s="42"/>
    </row>
    <row r="208" spans="2:23" ht="13.8" outlineLevel="1" x14ac:dyDescent="0.25">
      <c r="B208" s="88">
        <v>45800</v>
      </c>
      <c r="C208" s="1">
        <v>195.27</v>
      </c>
      <c r="D208" s="48">
        <f t="shared" si="6"/>
        <v>-2.4674092203186615E-2</v>
      </c>
      <c r="E208" s="44"/>
      <c r="F208" s="88">
        <v>45800</v>
      </c>
      <c r="G208" s="41">
        <v>19534.8</v>
      </c>
      <c r="H208" s="48">
        <f t="shared" ref="H208:H263" si="7">G208/G207-1</f>
        <v>-1.4881567733574186E-2</v>
      </c>
      <c r="I208" s="41"/>
      <c r="J208" s="41"/>
      <c r="L208" s="42"/>
      <c r="S208" s="41"/>
      <c r="T208" s="41"/>
      <c r="U208" s="41"/>
      <c r="W208" s="42"/>
    </row>
    <row r="209" spans="2:23" ht="13.8" outlineLevel="1" x14ac:dyDescent="0.25">
      <c r="B209" s="88">
        <v>45799</v>
      </c>
      <c r="C209" s="1">
        <v>201.36</v>
      </c>
      <c r="D209" s="48">
        <f t="shared" si="6"/>
        <v>3.1187586418804703E-2</v>
      </c>
      <c r="E209" s="44"/>
      <c r="F209" s="88">
        <v>45799</v>
      </c>
      <c r="G209" s="41">
        <v>19564.7</v>
      </c>
      <c r="H209" s="48">
        <f t="shared" si="7"/>
        <v>1.530601797817388E-3</v>
      </c>
      <c r="I209" s="41"/>
      <c r="J209" s="41"/>
      <c r="L209" s="42"/>
      <c r="S209" s="41"/>
      <c r="T209" s="41"/>
      <c r="U209" s="41"/>
      <c r="W209" s="42"/>
    </row>
    <row r="210" spans="2:23" ht="13.8" outlineLevel="1" x14ac:dyDescent="0.25">
      <c r="B210" s="88">
        <v>45798</v>
      </c>
      <c r="C210" s="1">
        <v>202.09</v>
      </c>
      <c r="D210" s="48">
        <f t="shared" si="6"/>
        <v>3.6253476360745829E-3</v>
      </c>
      <c r="E210" s="44"/>
      <c r="F210" s="88">
        <v>45798</v>
      </c>
      <c r="G210" s="41">
        <v>19607.8</v>
      </c>
      <c r="H210" s="48">
        <f t="shared" si="7"/>
        <v>2.2029471446021187E-3</v>
      </c>
      <c r="I210" s="41"/>
      <c r="J210" s="41"/>
      <c r="L210" s="42"/>
      <c r="S210" s="41"/>
      <c r="T210" s="41"/>
      <c r="U210" s="41"/>
      <c r="W210" s="42"/>
    </row>
    <row r="211" spans="2:23" ht="13.8" outlineLevel="1" x14ac:dyDescent="0.25">
      <c r="B211" s="88">
        <v>45797</v>
      </c>
      <c r="C211" s="1">
        <v>206.86</v>
      </c>
      <c r="D211" s="48">
        <f t="shared" si="6"/>
        <v>2.3603345044287183E-2</v>
      </c>
      <c r="E211" s="44"/>
      <c r="F211" s="88">
        <v>45797</v>
      </c>
      <c r="G211" s="41">
        <v>19942.2</v>
      </c>
      <c r="H211" s="48">
        <f t="shared" si="7"/>
        <v>1.7054437519762544E-2</v>
      </c>
      <c r="I211" s="41"/>
      <c r="J211" s="41"/>
      <c r="L211" s="42"/>
      <c r="S211" s="41"/>
      <c r="T211" s="41"/>
      <c r="U211" s="41"/>
      <c r="W211" s="42"/>
    </row>
    <row r="212" spans="2:23" ht="13.8" outlineLevel="1" x14ac:dyDescent="0.25">
      <c r="B212" s="88">
        <v>45796</v>
      </c>
      <c r="C212" s="1">
        <v>208.78</v>
      </c>
      <c r="D212" s="48">
        <f t="shared" si="6"/>
        <v>9.2816397563568742E-3</v>
      </c>
      <c r="E212" s="44"/>
      <c r="F212" s="88">
        <v>45796</v>
      </c>
      <c r="G212" s="41">
        <v>19975.099999999999</v>
      </c>
      <c r="H212" s="48">
        <f t="shared" si="7"/>
        <v>1.6497678290257056E-3</v>
      </c>
      <c r="I212" s="41"/>
      <c r="J212" s="41"/>
      <c r="L212" s="42"/>
      <c r="S212" s="41"/>
      <c r="T212" s="41"/>
      <c r="U212" s="41"/>
      <c r="W212" s="42"/>
    </row>
    <row r="213" spans="2:23" ht="13.8" outlineLevel="1" x14ac:dyDescent="0.25">
      <c r="B213" s="88">
        <v>45793</v>
      </c>
      <c r="C213" s="1">
        <v>211.26</v>
      </c>
      <c r="D213" s="48">
        <f t="shared" si="6"/>
        <v>1.1878532426477628E-2</v>
      </c>
      <c r="E213" s="44"/>
      <c r="F213" s="88">
        <v>45793</v>
      </c>
      <c r="G213" s="41">
        <v>19934.099999999999</v>
      </c>
      <c r="H213" s="48">
        <f t="shared" si="7"/>
        <v>-2.0525554315122818E-3</v>
      </c>
      <c r="I213" s="41"/>
      <c r="J213" s="41"/>
      <c r="L213" s="42"/>
      <c r="S213" s="41"/>
      <c r="T213" s="41"/>
      <c r="U213" s="41"/>
      <c r="W213" s="42"/>
    </row>
    <row r="214" spans="2:23" ht="13.8" outlineLevel="1" x14ac:dyDescent="0.25">
      <c r="B214" s="88">
        <v>45792</v>
      </c>
      <c r="C214" s="1">
        <v>211.45</v>
      </c>
      <c r="D214" s="48">
        <f t="shared" si="6"/>
        <v>8.9936571049897829E-4</v>
      </c>
      <c r="E214" s="44"/>
      <c r="F214" s="88">
        <v>45792</v>
      </c>
      <c r="G214" s="41">
        <v>19784.7</v>
      </c>
      <c r="H214" s="48">
        <f t="shared" si="7"/>
        <v>-7.4946950200911466E-3</v>
      </c>
      <c r="I214" s="41"/>
      <c r="J214" s="41"/>
      <c r="L214" s="42"/>
      <c r="S214" s="41"/>
      <c r="T214" s="41"/>
      <c r="U214" s="41"/>
      <c r="W214" s="42"/>
    </row>
    <row r="215" spans="2:23" ht="13.8" outlineLevel="1" x14ac:dyDescent="0.25">
      <c r="B215" s="88">
        <v>45791</v>
      </c>
      <c r="C215" s="1">
        <v>212.33</v>
      </c>
      <c r="D215" s="48">
        <f t="shared" si="6"/>
        <v>4.1617403641522888E-3</v>
      </c>
      <c r="E215" s="44"/>
      <c r="F215" s="88">
        <v>45791</v>
      </c>
      <c r="G215" s="41">
        <v>19628.5</v>
      </c>
      <c r="H215" s="48">
        <f t="shared" si="7"/>
        <v>-7.8949895626418964E-3</v>
      </c>
      <c r="I215" s="41"/>
      <c r="J215" s="41"/>
      <c r="L215" s="42"/>
      <c r="S215" s="41"/>
      <c r="T215" s="41"/>
      <c r="U215" s="41"/>
      <c r="W215" s="42"/>
    </row>
    <row r="216" spans="2:23" ht="13.8" outlineLevel="1" x14ac:dyDescent="0.25">
      <c r="B216" s="88">
        <v>45790</v>
      </c>
      <c r="C216" s="1">
        <v>212.93</v>
      </c>
      <c r="D216" s="48">
        <f t="shared" si="6"/>
        <v>2.8257900437997918E-3</v>
      </c>
      <c r="E216" s="44"/>
      <c r="F216" s="88">
        <v>45790</v>
      </c>
      <c r="G216" s="41">
        <v>19723.400000000001</v>
      </c>
      <c r="H216" s="48">
        <f t="shared" si="7"/>
        <v>4.8348065313192912E-3</v>
      </c>
      <c r="I216" s="41"/>
      <c r="J216" s="41"/>
      <c r="L216" s="42"/>
      <c r="S216" s="41"/>
      <c r="T216" s="41"/>
      <c r="U216" s="41"/>
      <c r="W216" s="42"/>
    </row>
    <row r="217" spans="2:23" ht="13.8" outlineLevel="1" x14ac:dyDescent="0.25">
      <c r="B217" s="88">
        <v>45789</v>
      </c>
      <c r="C217" s="1">
        <v>210.79</v>
      </c>
      <c r="D217" s="48">
        <f t="shared" si="6"/>
        <v>-1.0050251256281451E-2</v>
      </c>
      <c r="E217" s="44"/>
      <c r="F217" s="88">
        <v>45789</v>
      </c>
      <c r="G217" s="41">
        <v>19711.5</v>
      </c>
      <c r="H217" s="48">
        <f t="shared" si="7"/>
        <v>-6.0334425099128897E-4</v>
      </c>
      <c r="I217" s="41"/>
      <c r="J217" s="41"/>
      <c r="L217" s="42"/>
      <c r="S217" s="41"/>
      <c r="T217" s="41"/>
      <c r="U217" s="41"/>
      <c r="W217" s="42"/>
    </row>
    <row r="218" spans="2:23" ht="13.8" outlineLevel="1" x14ac:dyDescent="0.25">
      <c r="B218" s="88">
        <v>45786</v>
      </c>
      <c r="C218" s="1">
        <v>198.53</v>
      </c>
      <c r="D218" s="48">
        <f t="shared" si="6"/>
        <v>-5.8162151904739279E-2</v>
      </c>
      <c r="E218" s="44"/>
      <c r="F218" s="88">
        <v>45786</v>
      </c>
      <c r="G218" s="41">
        <v>19319.2</v>
      </c>
      <c r="H218" s="48">
        <f t="shared" si="7"/>
        <v>-1.99020876138295E-2</v>
      </c>
      <c r="I218" s="41"/>
      <c r="J218" s="41"/>
      <c r="L218" s="42"/>
      <c r="S218" s="41"/>
      <c r="T218" s="41"/>
      <c r="U218" s="41"/>
      <c r="W218" s="42"/>
    </row>
    <row r="219" spans="2:23" ht="13.8" outlineLevel="1" x14ac:dyDescent="0.25">
      <c r="B219" s="88">
        <v>45785</v>
      </c>
      <c r="C219" s="1">
        <v>197.49</v>
      </c>
      <c r="D219" s="48">
        <f t="shared" si="6"/>
        <v>-5.238502997028105E-3</v>
      </c>
      <c r="E219" s="44"/>
      <c r="F219" s="88">
        <v>45785</v>
      </c>
      <c r="G219" s="41">
        <v>19314.2</v>
      </c>
      <c r="H219" s="48">
        <f t="shared" si="7"/>
        <v>-2.5880988860826903E-4</v>
      </c>
      <c r="I219" s="41"/>
      <c r="J219" s="41"/>
      <c r="L219" s="42"/>
      <c r="S219" s="41"/>
      <c r="T219" s="41"/>
      <c r="U219" s="41"/>
      <c r="W219" s="42"/>
    </row>
    <row r="220" spans="2:23" ht="13.8" outlineLevel="1" x14ac:dyDescent="0.25">
      <c r="B220" s="88">
        <v>45784</v>
      </c>
      <c r="C220" s="1">
        <v>196.25</v>
      </c>
      <c r="D220" s="48">
        <f t="shared" si="6"/>
        <v>-6.2787989265279398E-3</v>
      </c>
      <c r="E220" s="44"/>
      <c r="F220" s="88">
        <v>45784</v>
      </c>
      <c r="G220" s="41">
        <v>19262.400000000001</v>
      </c>
      <c r="H220" s="48">
        <f t="shared" si="7"/>
        <v>-2.6819645649314161E-3</v>
      </c>
      <c r="I220" s="41"/>
      <c r="J220" s="41"/>
      <c r="L220" s="42"/>
      <c r="S220" s="41"/>
      <c r="T220" s="41"/>
      <c r="U220" s="41"/>
      <c r="W220" s="42"/>
    </row>
    <row r="221" spans="2:23" ht="13.8" outlineLevel="1" x14ac:dyDescent="0.25">
      <c r="B221" s="88">
        <v>45783</v>
      </c>
      <c r="C221" s="1">
        <v>198.51</v>
      </c>
      <c r="D221" s="48">
        <f t="shared" si="6"/>
        <v>1.1515923566878916E-2</v>
      </c>
      <c r="E221" s="44"/>
      <c r="F221" s="88">
        <v>45783</v>
      </c>
      <c r="G221" s="41">
        <v>19182.2</v>
      </c>
      <c r="H221" s="48">
        <f t="shared" si="7"/>
        <v>-4.1635517900158181E-3</v>
      </c>
      <c r="I221" s="41"/>
      <c r="J221" s="41"/>
      <c r="L221" s="42"/>
      <c r="S221" s="41"/>
      <c r="T221" s="41"/>
      <c r="U221" s="41"/>
      <c r="W221" s="42"/>
    </row>
    <row r="222" spans="2:23" ht="13.8" outlineLevel="1" x14ac:dyDescent="0.25">
      <c r="B222" s="88">
        <v>45782</v>
      </c>
      <c r="C222" s="1">
        <v>198.89</v>
      </c>
      <c r="D222" s="48">
        <f t="shared" si="6"/>
        <v>1.9142612462847985E-3</v>
      </c>
      <c r="E222" s="44"/>
      <c r="F222" s="88">
        <v>45782</v>
      </c>
      <c r="G222" s="41">
        <v>19303.2</v>
      </c>
      <c r="H222" s="48">
        <f t="shared" si="7"/>
        <v>6.3079313113199031E-3</v>
      </c>
      <c r="I222" s="41"/>
      <c r="J222" s="41"/>
      <c r="L222" s="42"/>
      <c r="S222" s="41"/>
      <c r="T222" s="41"/>
      <c r="U222" s="41"/>
      <c r="W222" s="42"/>
    </row>
    <row r="223" spans="2:23" ht="13.8" outlineLevel="1" x14ac:dyDescent="0.25">
      <c r="B223" s="88">
        <v>45779</v>
      </c>
      <c r="C223" s="1">
        <v>205.35</v>
      </c>
      <c r="D223" s="48">
        <f t="shared" si="6"/>
        <v>3.2480265473377345E-2</v>
      </c>
      <c r="E223" s="44"/>
      <c r="F223" s="88">
        <v>45779</v>
      </c>
      <c r="G223" s="41">
        <v>19386.7</v>
      </c>
      <c r="H223" s="48">
        <f t="shared" si="7"/>
        <v>4.3257076546894258E-3</v>
      </c>
      <c r="I223" s="41"/>
      <c r="J223" s="41"/>
      <c r="L223" s="42"/>
      <c r="S223" s="41"/>
      <c r="T223" s="41"/>
      <c r="U223" s="41"/>
      <c r="W223" s="42"/>
    </row>
    <row r="224" spans="2:23" ht="13.8" outlineLevel="1" x14ac:dyDescent="0.25">
      <c r="B224" s="88">
        <v>45778</v>
      </c>
      <c r="C224" s="1">
        <v>213.32</v>
      </c>
      <c r="D224" s="48">
        <f t="shared" si="6"/>
        <v>3.8811784757730727E-2</v>
      </c>
      <c r="E224" s="44"/>
      <c r="F224" s="88">
        <v>45778</v>
      </c>
      <c r="G224" s="41">
        <v>19049.8</v>
      </c>
      <c r="H224" s="48">
        <f t="shared" si="7"/>
        <v>-1.7377893091655716E-2</v>
      </c>
      <c r="I224" s="41"/>
      <c r="J224" s="41"/>
      <c r="L224" s="42"/>
      <c r="S224" s="41"/>
      <c r="T224" s="41"/>
      <c r="U224" s="41"/>
      <c r="W224" s="42"/>
    </row>
    <row r="225" spans="2:23" ht="13.8" outlineLevel="1" x14ac:dyDescent="0.25">
      <c r="B225" s="88">
        <v>45777</v>
      </c>
      <c r="C225" s="1">
        <v>212.5</v>
      </c>
      <c r="D225" s="48">
        <f t="shared" si="6"/>
        <v>-3.8439902493905276E-3</v>
      </c>
      <c r="E225" s="44"/>
      <c r="F225" s="88">
        <v>45777</v>
      </c>
      <c r="G225" s="41">
        <v>19114.2</v>
      </c>
      <c r="H225" s="48">
        <f t="shared" si="7"/>
        <v>3.3806129198208357E-3</v>
      </c>
      <c r="I225" s="41"/>
      <c r="J225" s="41"/>
      <c r="L225" s="42"/>
      <c r="S225" s="41"/>
      <c r="T225" s="41"/>
      <c r="U225" s="41"/>
      <c r="W225" s="42"/>
    </row>
    <row r="226" spans="2:23" ht="13.8" outlineLevel="1" x14ac:dyDescent="0.25">
      <c r="B226" s="88">
        <v>45776</v>
      </c>
      <c r="C226" s="1">
        <v>211.21</v>
      </c>
      <c r="D226" s="48">
        <f t="shared" si="6"/>
        <v>-6.0705882352940499E-3</v>
      </c>
      <c r="E226" s="44"/>
      <c r="F226" s="88">
        <v>45776</v>
      </c>
      <c r="G226" s="41">
        <v>19089.2</v>
      </c>
      <c r="H226" s="48">
        <f t="shared" si="7"/>
        <v>-1.3079281371963791E-3</v>
      </c>
      <c r="I226" s="41"/>
      <c r="J226" s="41"/>
      <c r="L226" s="42"/>
      <c r="S226" s="41"/>
      <c r="T226" s="41"/>
      <c r="U226" s="41"/>
      <c r="W226" s="42"/>
    </row>
    <row r="227" spans="2:23" ht="13.8" outlineLevel="1" x14ac:dyDescent="0.25">
      <c r="B227" s="88">
        <v>45775</v>
      </c>
      <c r="C227" s="1">
        <v>210.14</v>
      </c>
      <c r="D227" s="48">
        <f t="shared" si="6"/>
        <v>-5.0660480090906068E-3</v>
      </c>
      <c r="E227" s="44"/>
      <c r="F227" s="88">
        <v>45775</v>
      </c>
      <c r="G227" s="41">
        <v>18971.7</v>
      </c>
      <c r="H227" s="48">
        <f t="shared" si="7"/>
        <v>-6.1553129518261418E-3</v>
      </c>
      <c r="I227" s="41"/>
      <c r="J227" s="41"/>
      <c r="L227" s="42"/>
      <c r="S227" s="41"/>
      <c r="T227" s="41"/>
      <c r="U227" s="41"/>
      <c r="W227" s="42"/>
    </row>
    <row r="228" spans="2:23" ht="13.8" outlineLevel="1" x14ac:dyDescent="0.25">
      <c r="B228" s="88">
        <v>45772</v>
      </c>
      <c r="C228" s="1">
        <v>209.28</v>
      </c>
      <c r="D228" s="48">
        <f t="shared" si="6"/>
        <v>-4.092509755401097E-3</v>
      </c>
      <c r="E228" s="44"/>
      <c r="F228" s="88">
        <v>45772</v>
      </c>
      <c r="G228" s="41">
        <v>18899.8</v>
      </c>
      <c r="H228" s="48">
        <f t="shared" si="7"/>
        <v>-3.7898554162253406E-3</v>
      </c>
      <c r="I228" s="41"/>
      <c r="J228" s="41"/>
      <c r="L228" s="42"/>
      <c r="S228" s="41"/>
      <c r="T228" s="41"/>
      <c r="U228" s="41"/>
      <c r="W228" s="42"/>
    </row>
    <row r="229" spans="2:23" ht="13.8" outlineLevel="1" x14ac:dyDescent="0.25">
      <c r="B229" s="88">
        <v>45771</v>
      </c>
      <c r="C229" s="1">
        <v>208.37</v>
      </c>
      <c r="D229" s="48">
        <f t="shared" si="6"/>
        <v>-4.3482415902140747E-3</v>
      </c>
      <c r="E229" s="44"/>
      <c r="F229" s="88">
        <v>45771</v>
      </c>
      <c r="G229" s="41">
        <v>18895.400000000001</v>
      </c>
      <c r="H229" s="48">
        <f t="shared" si="7"/>
        <v>-2.3280669636704943E-4</v>
      </c>
      <c r="I229" s="41"/>
      <c r="J229" s="41"/>
      <c r="L229" s="42"/>
      <c r="S229" s="41"/>
      <c r="T229" s="41"/>
      <c r="U229" s="41"/>
      <c r="W229" s="42"/>
    </row>
    <row r="230" spans="2:23" ht="13.8" outlineLevel="1" x14ac:dyDescent="0.25">
      <c r="B230" s="88">
        <v>45770</v>
      </c>
      <c r="C230" s="1">
        <v>204.6</v>
      </c>
      <c r="D230" s="48">
        <f t="shared" si="6"/>
        <v>-1.8092815664443096E-2</v>
      </c>
      <c r="E230" s="44"/>
      <c r="F230" s="88">
        <v>45770</v>
      </c>
      <c r="G230" s="41">
        <v>18631.099999999999</v>
      </c>
      <c r="H230" s="48">
        <f t="shared" si="7"/>
        <v>-1.3987531356838279E-2</v>
      </c>
      <c r="I230" s="41"/>
      <c r="J230" s="41"/>
      <c r="L230" s="42"/>
      <c r="S230" s="41"/>
      <c r="T230" s="41"/>
      <c r="U230" s="41"/>
      <c r="W230" s="42"/>
    </row>
    <row r="231" spans="2:23" ht="13.8" outlineLevel="1" x14ac:dyDescent="0.25">
      <c r="B231" s="88">
        <v>45769</v>
      </c>
      <c r="C231" s="1">
        <v>199.74</v>
      </c>
      <c r="D231" s="48">
        <f t="shared" si="6"/>
        <v>-2.3753665689149495E-2</v>
      </c>
      <c r="E231" s="44"/>
      <c r="F231" s="88">
        <v>45769</v>
      </c>
      <c r="G231" s="41">
        <v>18455.099999999999</v>
      </c>
      <c r="H231" s="48">
        <f t="shared" si="7"/>
        <v>-9.4465705191856264E-3</v>
      </c>
      <c r="I231" s="41"/>
      <c r="J231" s="41"/>
      <c r="L231" s="42"/>
      <c r="S231" s="41"/>
      <c r="T231" s="41"/>
      <c r="U231" s="41"/>
      <c r="W231" s="42"/>
    </row>
    <row r="232" spans="2:23" ht="13.8" outlineLevel="1" x14ac:dyDescent="0.25">
      <c r="B232" s="88">
        <v>45768</v>
      </c>
      <c r="C232" s="1">
        <v>193.16</v>
      </c>
      <c r="D232" s="48">
        <f t="shared" si="6"/>
        <v>-3.2942825673375475E-2</v>
      </c>
      <c r="E232" s="44"/>
      <c r="F232" s="88">
        <v>45768</v>
      </c>
      <c r="G232" s="41">
        <v>18032.400000000001</v>
      </c>
      <c r="H232" s="48">
        <f t="shared" si="7"/>
        <v>-2.2904237852951037E-2</v>
      </c>
      <c r="I232" s="41"/>
      <c r="J232" s="41"/>
      <c r="L232" s="42"/>
      <c r="S232" s="41"/>
      <c r="T232" s="41"/>
      <c r="U232" s="41"/>
      <c r="W232" s="42"/>
    </row>
    <row r="233" spans="2:23" ht="13.8" outlineLevel="1" x14ac:dyDescent="0.25">
      <c r="B233" s="88">
        <v>45764</v>
      </c>
      <c r="C233" s="1">
        <v>196.98</v>
      </c>
      <c r="D233" s="48">
        <f t="shared" si="6"/>
        <v>1.9776351211430843E-2</v>
      </c>
      <c r="E233" s="44"/>
      <c r="F233" s="88">
        <v>45764</v>
      </c>
      <c r="G233" s="41">
        <v>18367.099999999999</v>
      </c>
      <c r="H233" s="48">
        <f t="shared" si="7"/>
        <v>1.8561034582196267E-2</v>
      </c>
      <c r="I233" s="41"/>
      <c r="J233" s="41"/>
      <c r="L233" s="42"/>
      <c r="S233" s="41"/>
      <c r="T233" s="41"/>
      <c r="U233" s="41"/>
      <c r="W233" s="42"/>
    </row>
    <row r="234" spans="2:23" ht="13.8" outlineLevel="1" x14ac:dyDescent="0.25">
      <c r="B234" s="88">
        <v>45763</v>
      </c>
      <c r="C234" s="1">
        <v>194.27</v>
      </c>
      <c r="D234" s="48">
        <f t="shared" si="6"/>
        <v>-1.3757741902731158E-2</v>
      </c>
      <c r="E234" s="44"/>
      <c r="F234" s="88">
        <v>45763</v>
      </c>
      <c r="G234" s="41">
        <v>18245.7</v>
      </c>
      <c r="H234" s="48">
        <f t="shared" si="7"/>
        <v>-6.6096444185526071E-3</v>
      </c>
      <c r="I234" s="41"/>
      <c r="J234" s="41"/>
      <c r="L234" s="42"/>
      <c r="S234" s="41"/>
      <c r="T234" s="41"/>
      <c r="U234" s="41"/>
      <c r="W234" s="42"/>
    </row>
    <row r="235" spans="2:23" ht="13.8" outlineLevel="1" x14ac:dyDescent="0.25">
      <c r="B235" s="88">
        <v>45762</v>
      </c>
      <c r="C235" s="1">
        <v>202.14</v>
      </c>
      <c r="D235" s="48">
        <f t="shared" si="6"/>
        <v>4.0510629536212317E-2</v>
      </c>
      <c r="E235" s="44"/>
      <c r="F235" s="88">
        <v>45762</v>
      </c>
      <c r="G235" s="41">
        <v>18430</v>
      </c>
      <c r="H235" s="48">
        <f t="shared" si="7"/>
        <v>1.0101010101010166E-2</v>
      </c>
      <c r="I235" s="41"/>
      <c r="J235" s="41"/>
      <c r="L235" s="42"/>
      <c r="S235" s="41"/>
      <c r="T235" s="41"/>
      <c r="U235" s="41"/>
      <c r="W235" s="42"/>
    </row>
    <row r="236" spans="2:23" ht="13.8" outlineLevel="1" x14ac:dyDescent="0.25">
      <c r="B236" s="88">
        <v>45761</v>
      </c>
      <c r="C236" s="1">
        <v>202.52</v>
      </c>
      <c r="D236" s="48">
        <f t="shared" si="6"/>
        <v>1.8798852280599299E-3</v>
      </c>
      <c r="E236" s="44"/>
      <c r="F236" s="88">
        <v>45761</v>
      </c>
      <c r="G236" s="41">
        <v>18432.2</v>
      </c>
      <c r="H236" s="48">
        <f t="shared" si="7"/>
        <v>1.1937059142708151E-4</v>
      </c>
      <c r="I236" s="41"/>
      <c r="J236" s="41"/>
      <c r="L236" s="42"/>
      <c r="S236" s="41"/>
      <c r="T236" s="41"/>
      <c r="U236" s="41"/>
      <c r="W236" s="42"/>
    </row>
    <row r="237" spans="2:23" ht="13.8" outlineLevel="1" x14ac:dyDescent="0.25">
      <c r="B237" s="88">
        <v>45758</v>
      </c>
      <c r="C237" s="1">
        <v>198.15</v>
      </c>
      <c r="D237" s="48">
        <f t="shared" si="6"/>
        <v>-2.1578115741655135E-2</v>
      </c>
      <c r="E237" s="44"/>
      <c r="F237" s="88">
        <v>45758</v>
      </c>
      <c r="G237" s="41">
        <v>18219.7</v>
      </c>
      <c r="H237" s="48">
        <f t="shared" si="7"/>
        <v>-1.1528737752411589E-2</v>
      </c>
      <c r="I237" s="41"/>
      <c r="J237" s="41"/>
      <c r="L237" s="42"/>
      <c r="S237" s="41"/>
      <c r="T237" s="41"/>
      <c r="U237" s="41"/>
      <c r="W237" s="42"/>
    </row>
    <row r="238" spans="2:23" ht="13.8" outlineLevel="1" x14ac:dyDescent="0.25">
      <c r="B238" s="88">
        <v>45757</v>
      </c>
      <c r="C238" s="1">
        <v>190.42</v>
      </c>
      <c r="D238" s="48">
        <f t="shared" si="6"/>
        <v>-3.9010850365884475E-2</v>
      </c>
      <c r="E238" s="44"/>
      <c r="F238" s="88">
        <v>45757</v>
      </c>
      <c r="G238" s="41">
        <v>17890.599999999999</v>
      </c>
      <c r="H238" s="48">
        <f t="shared" si="7"/>
        <v>-1.8062866018650259E-2</v>
      </c>
      <c r="I238" s="41"/>
      <c r="J238" s="41"/>
      <c r="L238" s="42"/>
      <c r="S238" s="41"/>
      <c r="T238" s="41"/>
      <c r="U238" s="41"/>
      <c r="W238" s="42"/>
    </row>
    <row r="239" spans="2:23" ht="13.8" outlineLevel="1" x14ac:dyDescent="0.25">
      <c r="B239" s="88">
        <v>45756</v>
      </c>
      <c r="C239" s="1">
        <v>198.85</v>
      </c>
      <c r="D239" s="48">
        <f t="shared" si="6"/>
        <v>4.4270559815145605E-2</v>
      </c>
      <c r="E239" s="44"/>
      <c r="F239" s="88">
        <v>45756</v>
      </c>
      <c r="G239" s="41">
        <v>18398.5</v>
      </c>
      <c r="H239" s="48">
        <f t="shared" si="7"/>
        <v>2.8389209976188656E-2</v>
      </c>
      <c r="I239" s="41"/>
      <c r="J239" s="41"/>
      <c r="L239" s="42"/>
      <c r="S239" s="41"/>
      <c r="T239" s="41"/>
      <c r="U239" s="41"/>
      <c r="W239" s="42"/>
    </row>
    <row r="240" spans="2:23" ht="13.8" outlineLevel="1" x14ac:dyDescent="0.25">
      <c r="B240" s="88">
        <v>45755</v>
      </c>
      <c r="C240" s="1">
        <v>172.42</v>
      </c>
      <c r="D240" s="48">
        <f t="shared" si="6"/>
        <v>-0.13291425697762138</v>
      </c>
      <c r="E240" s="44"/>
      <c r="F240" s="88">
        <v>45755</v>
      </c>
      <c r="G240" s="41">
        <v>17188.5</v>
      </c>
      <c r="H240" s="48">
        <f t="shared" si="7"/>
        <v>-6.5766230942739923E-2</v>
      </c>
      <c r="I240" s="41"/>
      <c r="J240" s="41"/>
      <c r="L240" s="42"/>
      <c r="S240" s="41"/>
      <c r="T240" s="41"/>
      <c r="U240" s="41"/>
      <c r="W240" s="42"/>
    </row>
    <row r="241" spans="2:23" ht="13.8" outlineLevel="1" x14ac:dyDescent="0.25">
      <c r="B241" s="88">
        <v>45754</v>
      </c>
      <c r="C241" s="1">
        <v>181.46</v>
      </c>
      <c r="D241" s="48">
        <f t="shared" si="6"/>
        <v>5.2430112515949645E-2</v>
      </c>
      <c r="E241" s="44"/>
      <c r="F241" s="88">
        <v>45754</v>
      </c>
      <c r="G241" s="41">
        <v>17438.599999999999</v>
      </c>
      <c r="H241" s="48">
        <f t="shared" si="7"/>
        <v>1.455042615702351E-2</v>
      </c>
      <c r="I241" s="41"/>
      <c r="J241" s="41"/>
      <c r="L241" s="42"/>
      <c r="S241" s="41"/>
      <c r="T241" s="41"/>
      <c r="U241" s="41"/>
      <c r="W241" s="42"/>
    </row>
    <row r="242" spans="2:23" ht="13.8" outlineLevel="1" x14ac:dyDescent="0.25">
      <c r="B242" s="88">
        <v>45751</v>
      </c>
      <c r="C242" s="1">
        <v>188.38</v>
      </c>
      <c r="D242" s="48">
        <f t="shared" si="6"/>
        <v>3.8135126198611147E-2</v>
      </c>
      <c r="E242" s="44"/>
      <c r="F242" s="88">
        <v>45751</v>
      </c>
      <c r="G242" s="41">
        <v>17618.599999999999</v>
      </c>
      <c r="H242" s="48">
        <f t="shared" si="7"/>
        <v>1.0321929512690176E-2</v>
      </c>
      <c r="I242" s="41"/>
      <c r="J242" s="41"/>
      <c r="L242" s="42"/>
      <c r="S242" s="41"/>
      <c r="T242" s="41"/>
      <c r="U242" s="41"/>
      <c r="W242" s="42"/>
    </row>
    <row r="243" spans="2:23" ht="13.8" outlineLevel="1" x14ac:dyDescent="0.25">
      <c r="B243" s="88">
        <v>45750</v>
      </c>
      <c r="C243" s="1">
        <v>203.19</v>
      </c>
      <c r="D243" s="48">
        <f t="shared" si="6"/>
        <v>7.8617687652617008E-2</v>
      </c>
      <c r="E243" s="44"/>
      <c r="F243" s="88">
        <v>45750</v>
      </c>
      <c r="G243" s="41">
        <v>18767.2</v>
      </c>
      <c r="H243" s="48">
        <f t="shared" si="7"/>
        <v>6.5192467051865766E-2</v>
      </c>
      <c r="I243" s="41"/>
      <c r="J243" s="41"/>
      <c r="L243" s="42"/>
      <c r="S243" s="41"/>
      <c r="T243" s="41"/>
      <c r="U243" s="41"/>
      <c r="W243" s="42"/>
    </row>
    <row r="244" spans="2:23" ht="13.8" outlineLevel="1" x14ac:dyDescent="0.25">
      <c r="B244" s="88">
        <v>45749</v>
      </c>
      <c r="C244" s="1">
        <v>223.89</v>
      </c>
      <c r="D244" s="48">
        <f t="shared" si="6"/>
        <v>0.10187509227816327</v>
      </c>
      <c r="E244" s="44"/>
      <c r="F244" s="88">
        <v>45749</v>
      </c>
      <c r="G244" s="41">
        <v>19532.7</v>
      </c>
      <c r="H244" s="48">
        <f t="shared" si="7"/>
        <v>4.078924932861594E-2</v>
      </c>
      <c r="I244" s="41"/>
      <c r="J244" s="41"/>
      <c r="L244" s="42"/>
      <c r="S244" s="41"/>
      <c r="T244" s="41"/>
      <c r="U244" s="41"/>
      <c r="W244" s="42"/>
    </row>
    <row r="245" spans="2:23" ht="13.8" outlineLevel="1" x14ac:dyDescent="0.25">
      <c r="B245" s="88">
        <v>45748</v>
      </c>
      <c r="C245" s="1">
        <v>223.19</v>
      </c>
      <c r="D245" s="48">
        <f t="shared" si="6"/>
        <v>-3.1265353521817696E-3</v>
      </c>
      <c r="E245" s="44"/>
      <c r="F245" s="88">
        <v>45748</v>
      </c>
      <c r="G245" s="41">
        <v>19398.3</v>
      </c>
      <c r="H245" s="48">
        <f t="shared" si="7"/>
        <v>-6.8807691716967767E-3</v>
      </c>
      <c r="I245" s="41"/>
      <c r="J245" s="41"/>
      <c r="L245" s="42"/>
      <c r="S245" s="41"/>
      <c r="T245" s="41"/>
      <c r="U245" s="41"/>
      <c r="W245" s="42"/>
    </row>
    <row r="246" spans="2:23" ht="13.8" outlineLevel="1" x14ac:dyDescent="0.25">
      <c r="B246" s="88">
        <v>45747</v>
      </c>
      <c r="C246" s="1">
        <v>222.13</v>
      </c>
      <c r="D246" s="48">
        <f t="shared" si="6"/>
        <v>-4.7493167256598134E-3</v>
      </c>
      <c r="E246" s="44"/>
      <c r="F246" s="88">
        <v>45747</v>
      </c>
      <c r="G246" s="41">
        <v>19395.900000000001</v>
      </c>
      <c r="H246" s="48">
        <f t="shared" si="7"/>
        <v>-1.2372218184053541E-4</v>
      </c>
      <c r="I246" s="41"/>
      <c r="J246" s="41"/>
      <c r="L246" s="42"/>
      <c r="S246" s="41"/>
      <c r="T246" s="41"/>
      <c r="U246" s="41"/>
      <c r="W246" s="42"/>
    </row>
    <row r="247" spans="2:23" ht="13.8" outlineLevel="1" x14ac:dyDescent="0.25">
      <c r="B247" s="88">
        <v>45744</v>
      </c>
      <c r="C247" s="1">
        <v>217.9</v>
      </c>
      <c r="D247" s="48">
        <f t="shared" si="6"/>
        <v>-1.9042902804663919E-2</v>
      </c>
      <c r="E247" s="44"/>
      <c r="F247" s="88">
        <v>45744</v>
      </c>
      <c r="G247" s="41">
        <v>19270.3</v>
      </c>
      <c r="H247" s="48">
        <f t="shared" si="7"/>
        <v>-6.4755953577818604E-3</v>
      </c>
      <c r="I247" s="41"/>
      <c r="J247" s="41"/>
      <c r="L247" s="42"/>
      <c r="S247" s="41"/>
      <c r="T247" s="41"/>
      <c r="U247" s="41"/>
      <c r="W247" s="42"/>
    </row>
    <row r="248" spans="2:23" ht="13.8" outlineLevel="1" x14ac:dyDescent="0.25">
      <c r="B248" s="88">
        <v>45743</v>
      </c>
      <c r="C248" s="1">
        <v>223.85</v>
      </c>
      <c r="D248" s="48">
        <f t="shared" si="6"/>
        <v>2.7306103717301466E-2</v>
      </c>
      <c r="E248" s="44"/>
      <c r="F248" s="88">
        <v>45743</v>
      </c>
      <c r="G248" s="41">
        <v>19534.7</v>
      </c>
      <c r="H248" s="48">
        <f t="shared" si="7"/>
        <v>1.3720595942979585E-2</v>
      </c>
      <c r="I248" s="41"/>
      <c r="J248" s="41"/>
      <c r="L248" s="42"/>
      <c r="S248" s="41"/>
      <c r="T248" s="41"/>
      <c r="U248" s="41"/>
      <c r="W248" s="42"/>
    </row>
    <row r="249" spans="2:23" ht="13.8" outlineLevel="1" x14ac:dyDescent="0.25">
      <c r="B249" s="88">
        <v>45742</v>
      </c>
      <c r="C249" s="1">
        <v>221.53</v>
      </c>
      <c r="D249" s="48">
        <f t="shared" si="6"/>
        <v>-1.0364083091355836E-2</v>
      </c>
      <c r="E249" s="44"/>
      <c r="F249" s="88">
        <v>45742</v>
      </c>
      <c r="G249" s="41">
        <v>19585.8</v>
      </c>
      <c r="H249" s="48">
        <f t="shared" si="7"/>
        <v>2.6158579348543043E-3</v>
      </c>
      <c r="I249" s="41"/>
      <c r="J249" s="41"/>
      <c r="L249" s="42"/>
      <c r="S249" s="41"/>
      <c r="T249" s="41"/>
      <c r="U249" s="41"/>
      <c r="W249" s="42"/>
    </row>
    <row r="250" spans="2:23" ht="13.8" outlineLevel="1" x14ac:dyDescent="0.25">
      <c r="B250" s="88">
        <v>45741</v>
      </c>
      <c r="C250" s="1">
        <v>223.75</v>
      </c>
      <c r="D250" s="48">
        <f t="shared" si="6"/>
        <v>1.0021216088114571E-2</v>
      </c>
      <c r="E250" s="44"/>
      <c r="F250" s="88">
        <v>45741</v>
      </c>
      <c r="G250" s="41">
        <v>19678.400000000001</v>
      </c>
      <c r="H250" s="48">
        <f t="shared" si="7"/>
        <v>4.7279151221804039E-3</v>
      </c>
      <c r="I250" s="41"/>
      <c r="J250" s="41"/>
      <c r="L250" s="42"/>
      <c r="S250" s="41"/>
      <c r="T250" s="41"/>
      <c r="U250" s="41"/>
      <c r="W250" s="42"/>
    </row>
    <row r="251" spans="2:23" ht="13.8" outlineLevel="1" x14ac:dyDescent="0.25">
      <c r="B251" s="88">
        <v>45740</v>
      </c>
      <c r="C251" s="1">
        <v>220.73</v>
      </c>
      <c r="D251" s="48">
        <f t="shared" si="6"/>
        <v>-1.3497206703910636E-2</v>
      </c>
      <c r="E251" s="44"/>
      <c r="F251" s="88">
        <v>45740</v>
      </c>
      <c r="G251" s="41">
        <v>19704.2</v>
      </c>
      <c r="H251" s="48">
        <f t="shared" si="7"/>
        <v>1.3110822018049806E-3</v>
      </c>
      <c r="I251" s="41"/>
      <c r="J251" s="41"/>
      <c r="L251" s="42"/>
      <c r="S251" s="41"/>
      <c r="T251" s="41"/>
      <c r="U251" s="41"/>
      <c r="W251" s="42"/>
    </row>
    <row r="252" spans="2:23" ht="13.8" outlineLevel="1" x14ac:dyDescent="0.25">
      <c r="B252" s="88">
        <v>45737</v>
      </c>
      <c r="C252" s="1">
        <v>218.27</v>
      </c>
      <c r="D252" s="48">
        <f t="shared" si="6"/>
        <v>-1.1144837584379008E-2</v>
      </c>
      <c r="E252" s="44"/>
      <c r="F252" s="88">
        <v>45737</v>
      </c>
      <c r="G252" s="41">
        <v>19454.3</v>
      </c>
      <c r="H252" s="48">
        <f t="shared" si="7"/>
        <v>-1.2682575288517239E-2</v>
      </c>
      <c r="I252" s="41"/>
      <c r="J252" s="41"/>
      <c r="L252" s="42"/>
      <c r="S252" s="41"/>
      <c r="T252" s="41"/>
      <c r="U252" s="41"/>
      <c r="W252" s="42"/>
    </row>
    <row r="253" spans="2:23" ht="13.8" outlineLevel="1" x14ac:dyDescent="0.25">
      <c r="B253" s="88">
        <v>45736</v>
      </c>
      <c r="C253" s="1">
        <v>214.1</v>
      </c>
      <c r="D253" s="48">
        <f t="shared" si="6"/>
        <v>-1.9104778485362184E-2</v>
      </c>
      <c r="E253" s="44"/>
      <c r="F253" s="88">
        <v>45736</v>
      </c>
      <c r="G253" s="41">
        <v>19537.3</v>
      </c>
      <c r="H253" s="48">
        <f t="shared" si="7"/>
        <v>4.2664089687112217E-3</v>
      </c>
      <c r="I253" s="41"/>
      <c r="J253" s="41"/>
      <c r="L253" s="42"/>
      <c r="S253" s="41"/>
      <c r="T253" s="41"/>
      <c r="U253" s="41"/>
      <c r="W253" s="42"/>
    </row>
    <row r="254" spans="2:23" ht="13.8" outlineLevel="1" x14ac:dyDescent="0.25">
      <c r="B254" s="88">
        <v>45735</v>
      </c>
      <c r="C254" s="1">
        <v>215.24</v>
      </c>
      <c r="D254" s="48">
        <f t="shared" si="6"/>
        <v>5.3246146660439475E-3</v>
      </c>
      <c r="E254" s="44"/>
      <c r="F254" s="88">
        <v>45735</v>
      </c>
      <c r="G254" s="41">
        <v>19581.3</v>
      </c>
      <c r="H254" s="48">
        <f t="shared" si="7"/>
        <v>2.2521023887640546E-3</v>
      </c>
      <c r="I254" s="41"/>
      <c r="J254" s="41"/>
      <c r="L254" s="42"/>
      <c r="S254" s="41"/>
      <c r="T254" s="41"/>
      <c r="U254" s="41"/>
      <c r="W254" s="42"/>
    </row>
    <row r="255" spans="2:23" ht="13.8" outlineLevel="1" x14ac:dyDescent="0.25">
      <c r="B255" s="88">
        <v>45734</v>
      </c>
      <c r="C255" s="1">
        <v>212.69</v>
      </c>
      <c r="D255" s="48">
        <f t="shared" si="6"/>
        <v>-1.1847240289909022E-2</v>
      </c>
      <c r="E255" s="44"/>
      <c r="F255" s="88">
        <v>45734</v>
      </c>
      <c r="G255" s="41">
        <v>19421.599999999999</v>
      </c>
      <c r="H255" s="48">
        <f t="shared" si="7"/>
        <v>-8.1557404258144617E-3</v>
      </c>
      <c r="I255" s="41"/>
      <c r="J255" s="41"/>
      <c r="L255" s="42"/>
      <c r="S255" s="41"/>
      <c r="T255" s="41"/>
      <c r="U255" s="41"/>
      <c r="W255" s="42"/>
    </row>
    <row r="256" spans="2:23" ht="13.8" outlineLevel="1" x14ac:dyDescent="0.25">
      <c r="B256" s="88">
        <v>45733</v>
      </c>
      <c r="C256" s="1">
        <v>214</v>
      </c>
      <c r="D256" s="48">
        <f t="shared" si="6"/>
        <v>6.1591988339837478E-3</v>
      </c>
      <c r="E256" s="44"/>
      <c r="F256" s="88">
        <v>45733</v>
      </c>
      <c r="G256" s="41">
        <v>19494.7</v>
      </c>
      <c r="H256" s="48">
        <f t="shared" si="7"/>
        <v>3.763850558141657E-3</v>
      </c>
      <c r="I256" s="41"/>
      <c r="J256" s="41"/>
      <c r="L256" s="42"/>
      <c r="S256" s="41"/>
      <c r="T256" s="41"/>
      <c r="U256" s="41"/>
      <c r="W256" s="42"/>
    </row>
    <row r="257" spans="2:12" ht="13.8" outlineLevel="1" x14ac:dyDescent="0.25">
      <c r="B257" s="88">
        <v>45730</v>
      </c>
      <c r="C257" s="1">
        <v>213.49</v>
      </c>
      <c r="D257" s="48">
        <f t="shared" si="6"/>
        <v>-2.383177570093431E-3</v>
      </c>
      <c r="E257" s="44"/>
      <c r="F257" s="88">
        <v>45730</v>
      </c>
      <c r="G257" s="41">
        <v>19231.3</v>
      </c>
      <c r="H257" s="48">
        <f t="shared" si="7"/>
        <v>-1.3511364627309064E-2</v>
      </c>
      <c r="I257" s="41"/>
      <c r="J257" s="41"/>
      <c r="L257" s="42"/>
    </row>
    <row r="258" spans="2:12" ht="13.8" outlineLevel="1" x14ac:dyDescent="0.25">
      <c r="B258" s="88">
        <v>45729</v>
      </c>
      <c r="C258" s="1">
        <v>209.68</v>
      </c>
      <c r="D258" s="48">
        <f t="shared" si="6"/>
        <v>-1.7846269146095883E-2</v>
      </c>
      <c r="E258" s="44"/>
      <c r="F258" s="88">
        <v>45729</v>
      </c>
      <c r="G258" s="41">
        <v>18875.5</v>
      </c>
      <c r="H258" s="48">
        <f t="shared" si="7"/>
        <v>-1.8501089369933332E-2</v>
      </c>
      <c r="I258" s="41"/>
      <c r="J258" s="41"/>
      <c r="L258" s="42"/>
    </row>
    <row r="259" spans="2:12" ht="13.8" outlineLevel="1" x14ac:dyDescent="0.25">
      <c r="B259" s="88">
        <v>45728</v>
      </c>
      <c r="C259" s="1">
        <v>216.98</v>
      </c>
      <c r="D259" s="48">
        <f t="shared" si="6"/>
        <v>3.4814956123616847E-2</v>
      </c>
      <c r="E259" s="44"/>
      <c r="F259" s="88">
        <v>45728</v>
      </c>
      <c r="G259" s="41">
        <v>19051.599999999999</v>
      </c>
      <c r="H259" s="48">
        <f t="shared" si="7"/>
        <v>9.3295541839950591E-3</v>
      </c>
      <c r="I259" s="41"/>
      <c r="J259" s="41"/>
      <c r="L259" s="42"/>
    </row>
    <row r="260" spans="2:12" ht="13.8" outlineLevel="1" x14ac:dyDescent="0.25">
      <c r="B260" s="88">
        <v>45727</v>
      </c>
      <c r="C260" s="1">
        <v>220.84</v>
      </c>
      <c r="D260" s="48">
        <f t="shared" si="6"/>
        <v>1.778965803299859E-2</v>
      </c>
      <c r="E260" s="44"/>
      <c r="F260" s="88">
        <v>45727</v>
      </c>
      <c r="G260" s="41">
        <v>19052.099999999999</v>
      </c>
      <c r="H260" s="48">
        <f t="shared" si="7"/>
        <v>2.6244514896411886E-5</v>
      </c>
      <c r="I260" s="41"/>
      <c r="J260" s="41"/>
      <c r="L260" s="42"/>
    </row>
    <row r="261" spans="2:12" ht="13.8" x14ac:dyDescent="0.25">
      <c r="B261" s="88">
        <v>45726</v>
      </c>
      <c r="C261" s="1">
        <v>227.48</v>
      </c>
      <c r="D261" s="48">
        <f t="shared" si="6"/>
        <v>3.006701684477453E-2</v>
      </c>
      <c r="E261" s="44"/>
      <c r="F261" s="88">
        <v>45726</v>
      </c>
      <c r="G261" s="41">
        <v>19202.400000000001</v>
      </c>
      <c r="H261" s="48">
        <f t="shared" si="7"/>
        <v>7.8888941376542565E-3</v>
      </c>
      <c r="I261" s="41"/>
      <c r="J261" s="41"/>
      <c r="L261" s="42"/>
    </row>
    <row r="262" spans="2:12" ht="13.8" x14ac:dyDescent="0.25">
      <c r="B262" s="88">
        <v>45723</v>
      </c>
      <c r="C262" s="1">
        <v>239.07</v>
      </c>
      <c r="D262" s="48">
        <f t="shared" si="6"/>
        <v>5.0949534024969267E-2</v>
      </c>
      <c r="E262" s="44"/>
      <c r="F262" s="88">
        <v>45723</v>
      </c>
      <c r="G262" s="41">
        <v>19573.099999999999</v>
      </c>
      <c r="H262" s="48">
        <f t="shared" si="7"/>
        <v>1.9304878556846816E-2</v>
      </c>
      <c r="I262" s="41"/>
      <c r="J262" s="41"/>
      <c r="L262" s="42"/>
    </row>
    <row r="263" spans="2:12" ht="13.8" x14ac:dyDescent="0.25">
      <c r="B263" s="88">
        <v>45722</v>
      </c>
      <c r="C263" s="1">
        <v>235.33</v>
      </c>
      <c r="D263" s="48">
        <f t="shared" si="6"/>
        <v>-1.5643953653741494E-2</v>
      </c>
      <c r="E263" s="44"/>
      <c r="F263" s="88">
        <v>45722</v>
      </c>
      <c r="G263" s="41">
        <v>19506.3</v>
      </c>
      <c r="H263" s="48">
        <f t="shared" si="7"/>
        <v>-3.4128472239961516E-3</v>
      </c>
      <c r="I263" s="41"/>
      <c r="J263" s="41"/>
      <c r="L263" s="42"/>
    </row>
    <row r="264" spans="2:12" ht="13.8" x14ac:dyDescent="0.25">
      <c r="E264" s="44"/>
      <c r="H264" s="48"/>
      <c r="I264" s="41"/>
      <c r="J264" s="41"/>
      <c r="L264" s="42"/>
    </row>
    <row r="265" spans="2:12" ht="13.8" x14ac:dyDescent="0.25">
      <c r="D265" s="48"/>
      <c r="E265" s="44"/>
      <c r="F265" s="47"/>
      <c r="G265" s="50"/>
      <c r="H265" s="48"/>
      <c r="I265" s="41"/>
      <c r="J265" s="41"/>
      <c r="L265" s="42"/>
    </row>
    <row r="266" spans="2:12" ht="13.8" x14ac:dyDescent="0.25">
      <c r="B266" s="47"/>
      <c r="C266" s="52"/>
      <c r="D266" s="48"/>
      <c r="E266" s="44"/>
      <c r="F266" s="47"/>
      <c r="G266" s="50"/>
      <c r="H266" s="48"/>
      <c r="I266" s="41"/>
      <c r="J266" s="41"/>
      <c r="L266" s="42"/>
    </row>
    <row r="267" spans="2:12" ht="13.8" x14ac:dyDescent="0.25">
      <c r="B267" s="47"/>
      <c r="C267" s="52"/>
      <c r="D267" s="48"/>
      <c r="E267" s="44"/>
      <c r="F267" s="47"/>
      <c r="G267" s="50"/>
      <c r="H267" s="48"/>
      <c r="I267" s="41"/>
      <c r="J267" s="41"/>
      <c r="L267" s="42"/>
    </row>
    <row r="268" spans="2:12" ht="13.8" x14ac:dyDescent="0.25">
      <c r="B268" s="47"/>
      <c r="C268" s="52"/>
      <c r="D268" s="48"/>
      <c r="E268" s="44"/>
      <c r="F268" s="47"/>
      <c r="G268" s="50"/>
      <c r="H268" s="48"/>
      <c r="I268" s="41"/>
      <c r="J268" s="41"/>
      <c r="L268" s="42"/>
    </row>
    <row r="269" spans="2:12" ht="13.8" x14ac:dyDescent="0.25">
      <c r="B269" s="47"/>
      <c r="C269" s="52"/>
      <c r="D269" s="48"/>
      <c r="E269" s="44"/>
      <c r="F269" s="47"/>
      <c r="G269" s="50"/>
      <c r="H269" s="48"/>
      <c r="I269" s="41"/>
      <c r="J269" s="41"/>
      <c r="L269" s="42"/>
    </row>
    <row r="270" spans="2:12" ht="13.8" x14ac:dyDescent="0.25">
      <c r="B270" s="47"/>
      <c r="C270" s="52"/>
      <c r="D270" s="48"/>
      <c r="E270" s="44"/>
      <c r="F270" s="47"/>
      <c r="G270" s="50"/>
      <c r="H270" s="48"/>
      <c r="I270" s="41"/>
      <c r="J270" s="41"/>
      <c r="L270" s="42"/>
    </row>
    <row r="271" spans="2:12" ht="13.8" x14ac:dyDescent="0.25">
      <c r="B271" s="47"/>
      <c r="C271" s="52"/>
      <c r="D271" s="48"/>
      <c r="E271" s="44"/>
      <c r="F271" s="47"/>
      <c r="G271" s="50"/>
      <c r="H271" s="48"/>
      <c r="I271" s="41"/>
      <c r="J271" s="41"/>
      <c r="L271" s="42"/>
    </row>
    <row r="272" spans="2:12" ht="13.8" x14ac:dyDescent="0.25">
      <c r="B272" s="47"/>
      <c r="C272" s="52"/>
      <c r="D272" s="48"/>
      <c r="E272" s="44"/>
      <c r="F272" s="47"/>
      <c r="G272" s="50"/>
      <c r="H272" s="48"/>
      <c r="I272" s="41"/>
      <c r="J272" s="41"/>
      <c r="L272" s="42"/>
    </row>
    <row r="273" spans="2:12" ht="13.8" x14ac:dyDescent="0.25">
      <c r="B273" s="47"/>
      <c r="C273" s="52"/>
      <c r="D273" s="48"/>
      <c r="E273" s="44"/>
      <c r="F273" s="47"/>
      <c r="G273" s="50"/>
      <c r="H273" s="48"/>
      <c r="I273" s="41"/>
      <c r="J273" s="41"/>
      <c r="L273" s="42"/>
    </row>
    <row r="274" spans="2:12" ht="13.8" x14ac:dyDescent="0.25">
      <c r="B274" s="47"/>
      <c r="C274" s="52"/>
      <c r="D274" s="48"/>
      <c r="E274" s="44"/>
      <c r="F274" s="47"/>
      <c r="G274" s="50"/>
      <c r="H274" s="48"/>
      <c r="I274" s="41"/>
      <c r="J274" s="41"/>
      <c r="L274" s="42"/>
    </row>
    <row r="275" spans="2:12" ht="13.8" x14ac:dyDescent="0.25">
      <c r="B275" s="47"/>
      <c r="C275" s="52"/>
      <c r="D275" s="48"/>
      <c r="E275" s="44"/>
      <c r="F275" s="47"/>
      <c r="G275" s="50"/>
      <c r="H275" s="48"/>
      <c r="I275" s="41"/>
      <c r="J275" s="41"/>
      <c r="L275" s="42"/>
    </row>
    <row r="276" spans="2:12" ht="13.8" x14ac:dyDescent="0.25">
      <c r="B276" s="47"/>
      <c r="C276" s="52"/>
      <c r="D276" s="48"/>
      <c r="E276" s="44"/>
      <c r="F276" s="47"/>
      <c r="G276" s="50"/>
      <c r="H276" s="48"/>
      <c r="I276" s="41"/>
      <c r="J276" s="41"/>
      <c r="L276" s="42"/>
    </row>
    <row r="277" spans="2:12" ht="13.8" x14ac:dyDescent="0.25">
      <c r="B277" s="47"/>
      <c r="C277" s="52"/>
      <c r="D277" s="48"/>
      <c r="E277" s="44"/>
      <c r="F277" s="47"/>
      <c r="G277" s="50"/>
      <c r="H277" s="48"/>
      <c r="I277" s="41"/>
      <c r="J277" s="41"/>
      <c r="L277" s="42"/>
    </row>
    <row r="278" spans="2:12" ht="13.8" x14ac:dyDescent="0.25">
      <c r="B278" s="47"/>
      <c r="C278" s="52"/>
      <c r="D278" s="48"/>
      <c r="E278" s="44"/>
      <c r="F278" s="47"/>
      <c r="G278" s="50"/>
      <c r="H278" s="48"/>
      <c r="I278" s="41"/>
      <c r="J278" s="41"/>
      <c r="L278" s="42"/>
    </row>
    <row r="279" spans="2:12" ht="13.8" x14ac:dyDescent="0.25">
      <c r="B279" s="47"/>
      <c r="C279" s="52"/>
      <c r="D279" s="48"/>
      <c r="E279" s="44"/>
      <c r="F279" s="47"/>
      <c r="G279" s="50"/>
      <c r="H279" s="48"/>
      <c r="I279" s="41"/>
      <c r="J279" s="41"/>
      <c r="L279" s="42"/>
    </row>
    <row r="280" spans="2:12" ht="13.8" x14ac:dyDescent="0.25">
      <c r="B280" s="47"/>
      <c r="C280" s="52"/>
      <c r="D280" s="48"/>
      <c r="E280" s="44"/>
      <c r="F280" s="47"/>
      <c r="G280" s="50"/>
      <c r="H280" s="48"/>
      <c r="I280" s="41"/>
      <c r="J280" s="41"/>
      <c r="L280" s="42"/>
    </row>
    <row r="281" spans="2:12" ht="13.8" x14ac:dyDescent="0.25">
      <c r="B281" s="47"/>
      <c r="C281" s="52"/>
      <c r="D281" s="48"/>
      <c r="E281" s="44"/>
      <c r="F281" s="47"/>
      <c r="G281" s="50"/>
      <c r="H281" s="48"/>
      <c r="I281" s="41"/>
      <c r="J281" s="41"/>
      <c r="L281" s="42"/>
    </row>
    <row r="282" spans="2:12" ht="13.8" x14ac:dyDescent="0.25">
      <c r="B282" s="47"/>
      <c r="C282" s="52"/>
      <c r="D282" s="48"/>
      <c r="E282" s="44"/>
      <c r="F282" s="47"/>
      <c r="G282" s="50"/>
      <c r="H282" s="48"/>
      <c r="I282" s="41"/>
      <c r="J282" s="41"/>
      <c r="L282" s="42"/>
    </row>
    <row r="283" spans="2:12" ht="13.8" x14ac:dyDescent="0.25">
      <c r="B283" s="47"/>
      <c r="C283" s="52"/>
      <c r="D283" s="48"/>
      <c r="E283" s="44"/>
      <c r="F283" s="47"/>
      <c r="G283" s="50"/>
      <c r="H283" s="48"/>
      <c r="I283" s="41"/>
      <c r="J283" s="41"/>
      <c r="L283" s="42"/>
    </row>
    <row r="284" spans="2:12" ht="13.8" x14ac:dyDescent="0.25">
      <c r="B284" s="47"/>
      <c r="C284" s="52"/>
      <c r="D284" s="48"/>
      <c r="E284" s="44"/>
      <c r="F284" s="47"/>
      <c r="G284" s="50"/>
      <c r="H284" s="48"/>
      <c r="I284" s="41"/>
      <c r="J284" s="41"/>
      <c r="L284" s="42"/>
    </row>
    <row r="285" spans="2:12" ht="13.8" x14ac:dyDescent="0.25">
      <c r="B285" s="47"/>
      <c r="C285" s="52"/>
      <c r="D285" s="48"/>
      <c r="E285" s="44"/>
      <c r="F285" s="47"/>
      <c r="G285" s="50"/>
      <c r="H285" s="48"/>
      <c r="I285" s="41"/>
      <c r="J285" s="41"/>
      <c r="L285" s="42"/>
    </row>
    <row r="286" spans="2:12" ht="13.8" x14ac:dyDescent="0.25">
      <c r="B286" s="47"/>
      <c r="C286" s="52"/>
      <c r="D286" s="48"/>
      <c r="E286" s="44"/>
      <c r="F286" s="47"/>
      <c r="G286" s="50"/>
      <c r="H286" s="48"/>
      <c r="I286" s="41"/>
      <c r="J286" s="41"/>
      <c r="L286" s="42"/>
    </row>
    <row r="287" spans="2:12" ht="13.8" x14ac:dyDescent="0.25">
      <c r="B287" s="47"/>
      <c r="C287" s="52"/>
      <c r="D287" s="48"/>
      <c r="E287" s="44"/>
      <c r="F287" s="47"/>
      <c r="G287" s="50"/>
      <c r="H287" s="48"/>
      <c r="I287" s="41"/>
      <c r="J287" s="41"/>
      <c r="L287" s="42"/>
    </row>
    <row r="288" spans="2:12" ht="13.8" x14ac:dyDescent="0.25">
      <c r="B288" s="47"/>
      <c r="C288" s="52"/>
      <c r="D288" s="48"/>
      <c r="E288" s="44"/>
      <c r="F288" s="47"/>
      <c r="G288" s="50"/>
      <c r="H288" s="48"/>
      <c r="I288" s="41"/>
      <c r="L288" s="42"/>
    </row>
    <row r="289" spans="2:12" ht="13.8" x14ac:dyDescent="0.25">
      <c r="B289" s="47"/>
      <c r="C289" s="52"/>
      <c r="D289" s="48"/>
      <c r="E289" s="44"/>
      <c r="F289" s="47"/>
      <c r="G289" s="50"/>
      <c r="H289" s="48"/>
      <c r="I289" s="41"/>
      <c r="L289" s="42"/>
    </row>
    <row r="290" spans="2:12" ht="13.8" x14ac:dyDescent="0.25">
      <c r="B290" s="47"/>
      <c r="C290" s="52"/>
      <c r="D290" s="48"/>
      <c r="E290" s="44"/>
      <c r="F290" s="47"/>
      <c r="G290" s="50"/>
      <c r="H290" s="48"/>
      <c r="I290" s="41"/>
      <c r="L290" s="42"/>
    </row>
    <row r="291" spans="2:12" ht="13.8" x14ac:dyDescent="0.25">
      <c r="B291" s="47"/>
      <c r="C291" s="52"/>
      <c r="D291" s="48"/>
      <c r="E291" s="44"/>
      <c r="F291" s="47"/>
      <c r="G291" s="50"/>
      <c r="H291" s="48"/>
      <c r="I291" s="41"/>
      <c r="J291" s="41"/>
      <c r="L291" s="42"/>
    </row>
    <row r="292" spans="2:12" ht="13.8" x14ac:dyDescent="0.25">
      <c r="B292" s="47"/>
      <c r="C292" s="52"/>
      <c r="D292" s="48"/>
      <c r="E292" s="44"/>
      <c r="F292" s="47"/>
      <c r="G292" s="50"/>
      <c r="H292" s="48"/>
      <c r="I292" s="41"/>
      <c r="J292" s="41"/>
      <c r="L292" s="42"/>
    </row>
    <row r="293" spans="2:12" ht="13.8" x14ac:dyDescent="0.25">
      <c r="B293" s="47"/>
      <c r="C293" s="52"/>
      <c r="D293" s="48"/>
      <c r="E293" s="44"/>
      <c r="F293" s="47"/>
      <c r="G293" s="50"/>
      <c r="H293" s="48"/>
      <c r="I293" s="41"/>
      <c r="J293" s="41"/>
      <c r="L293" s="42"/>
    </row>
    <row r="294" spans="2:12" ht="13.8" x14ac:dyDescent="0.25">
      <c r="B294" s="47"/>
      <c r="C294" s="52"/>
      <c r="D294" s="48"/>
      <c r="E294" s="44"/>
      <c r="F294" s="47"/>
      <c r="G294" s="50"/>
      <c r="H294" s="48"/>
      <c r="I294" s="41"/>
      <c r="L294" s="42"/>
    </row>
    <row r="295" spans="2:12" ht="13.8" x14ac:dyDescent="0.25">
      <c r="B295" s="47"/>
      <c r="C295" s="52"/>
      <c r="D295" s="48"/>
      <c r="E295" s="44"/>
      <c r="F295" s="47"/>
      <c r="G295" s="50"/>
      <c r="H295" s="48"/>
      <c r="L295" s="42"/>
    </row>
    <row r="296" spans="2:12" ht="13.8" x14ac:dyDescent="0.25">
      <c r="B296" s="47"/>
      <c r="C296" s="52"/>
      <c r="D296" s="48"/>
      <c r="E296" s="44"/>
      <c r="F296" s="47"/>
      <c r="G296" s="50"/>
      <c r="H296" s="48"/>
      <c r="I296" s="41"/>
      <c r="L296" s="42"/>
    </row>
    <row r="297" spans="2:12" ht="13.8" x14ac:dyDescent="0.25">
      <c r="B297" s="47"/>
      <c r="C297" s="52"/>
      <c r="D297" s="48"/>
      <c r="E297" s="44"/>
      <c r="F297" s="47"/>
      <c r="G297" s="50"/>
      <c r="H297" s="48"/>
      <c r="I297" s="41"/>
      <c r="L297" s="42"/>
    </row>
    <row r="298" spans="2:12" ht="13.8" x14ac:dyDescent="0.25">
      <c r="B298" s="47"/>
      <c r="C298" s="52"/>
      <c r="D298" s="48"/>
      <c r="E298" s="44"/>
      <c r="F298" s="47"/>
      <c r="G298" s="50"/>
      <c r="H298" s="48"/>
      <c r="I298" s="41"/>
      <c r="L298" s="42"/>
    </row>
    <row r="299" spans="2:12" ht="13.8" x14ac:dyDescent="0.25">
      <c r="B299" s="47"/>
      <c r="C299" s="52"/>
      <c r="D299" s="48"/>
      <c r="E299" s="44"/>
      <c r="F299" s="47"/>
      <c r="G299" s="50"/>
      <c r="H299" s="48"/>
      <c r="I299" s="41"/>
      <c r="J299" s="41"/>
      <c r="L299" s="42"/>
    </row>
    <row r="300" spans="2:12" ht="13.8" x14ac:dyDescent="0.25">
      <c r="B300" s="47"/>
      <c r="C300" s="52"/>
      <c r="D300" s="48"/>
      <c r="E300" s="44"/>
      <c r="F300" s="47"/>
      <c r="G300" s="50"/>
      <c r="H300" s="48"/>
      <c r="I300" s="41"/>
      <c r="J300" s="41"/>
      <c r="L300" s="42"/>
    </row>
    <row r="301" spans="2:12" ht="13.8" x14ac:dyDescent="0.25">
      <c r="B301" s="47"/>
      <c r="C301" s="52"/>
      <c r="D301" s="48"/>
      <c r="E301" s="44"/>
      <c r="F301" s="47"/>
      <c r="G301" s="50"/>
      <c r="H301" s="48"/>
      <c r="I301" s="41"/>
      <c r="J301" s="41"/>
      <c r="L301" s="42"/>
    </row>
    <row r="302" spans="2:12" ht="13.8" x14ac:dyDescent="0.25">
      <c r="B302" s="47"/>
      <c r="C302" s="52"/>
      <c r="D302" s="48"/>
      <c r="E302" s="44"/>
      <c r="F302" s="47"/>
      <c r="G302" s="50"/>
      <c r="H302" s="48"/>
      <c r="I302" s="41"/>
      <c r="J302" s="41"/>
      <c r="L302" s="42"/>
    </row>
    <row r="303" spans="2:12" ht="13.8" x14ac:dyDescent="0.25">
      <c r="B303" s="47"/>
      <c r="C303" s="52"/>
      <c r="D303" s="48"/>
      <c r="E303" s="44"/>
      <c r="F303" s="47"/>
      <c r="G303" s="50"/>
      <c r="H303" s="48"/>
      <c r="I303" s="41"/>
      <c r="J303" s="41"/>
      <c r="L303" s="42"/>
    </row>
    <row r="304" spans="2:12" ht="13.8" x14ac:dyDescent="0.25">
      <c r="B304" s="47"/>
      <c r="C304" s="52"/>
      <c r="D304" s="48"/>
      <c r="E304" s="44"/>
      <c r="F304" s="47"/>
      <c r="G304" s="50"/>
      <c r="H304" s="48"/>
      <c r="I304" s="41"/>
      <c r="J304" s="41"/>
      <c r="L304" s="42"/>
    </row>
    <row r="305" spans="2:12" ht="13.8" x14ac:dyDescent="0.25">
      <c r="B305" s="47"/>
      <c r="C305" s="52"/>
      <c r="D305" s="48"/>
      <c r="E305" s="44"/>
      <c r="F305" s="47"/>
      <c r="G305" s="50"/>
      <c r="H305" s="48"/>
      <c r="I305" s="41"/>
      <c r="J305" s="41"/>
      <c r="L305" s="42"/>
    </row>
    <row r="306" spans="2:12" ht="13.8" x14ac:dyDescent="0.25">
      <c r="B306" s="47"/>
      <c r="C306" s="52"/>
      <c r="D306" s="48"/>
      <c r="E306" s="44"/>
      <c r="F306" s="47"/>
      <c r="G306" s="50"/>
      <c r="H306" s="48"/>
      <c r="I306" s="41"/>
      <c r="L306" s="42"/>
    </row>
    <row r="307" spans="2:12" ht="13.8" x14ac:dyDescent="0.25">
      <c r="B307" s="47"/>
      <c r="C307" s="52"/>
      <c r="D307" s="48"/>
      <c r="E307" s="44"/>
      <c r="F307" s="47"/>
      <c r="G307" s="50"/>
      <c r="H307" s="48"/>
      <c r="I307" s="41"/>
      <c r="L307" s="42"/>
    </row>
    <row r="308" spans="2:12" ht="13.8" x14ac:dyDescent="0.25">
      <c r="B308" s="47"/>
      <c r="C308" s="52"/>
      <c r="D308" s="48"/>
      <c r="E308" s="44"/>
      <c r="F308" s="47"/>
      <c r="G308" s="50"/>
      <c r="H308" s="48"/>
      <c r="I308" s="41"/>
      <c r="L308" s="42"/>
    </row>
    <row r="309" spans="2:12" ht="13.8" x14ac:dyDescent="0.25">
      <c r="B309" s="47"/>
      <c r="C309" s="52"/>
      <c r="D309" s="48"/>
      <c r="E309" s="44"/>
      <c r="F309" s="47"/>
      <c r="G309" s="50"/>
      <c r="H309" s="48"/>
      <c r="I309" s="41"/>
      <c r="J309" s="41"/>
      <c r="L309" s="42"/>
    </row>
    <row r="310" spans="2:12" ht="13.8" x14ac:dyDescent="0.25">
      <c r="B310" s="47"/>
      <c r="C310" s="52"/>
      <c r="D310" s="48"/>
      <c r="E310" s="44"/>
      <c r="F310" s="47"/>
      <c r="G310" s="50"/>
      <c r="H310" s="48"/>
      <c r="I310" s="41"/>
      <c r="J310" s="41"/>
      <c r="L310" s="42"/>
    </row>
    <row r="311" spans="2:12" ht="13.8" x14ac:dyDescent="0.25">
      <c r="B311" s="47"/>
      <c r="C311" s="52"/>
      <c r="D311" s="48"/>
      <c r="E311" s="44"/>
      <c r="F311" s="47"/>
      <c r="G311" s="50"/>
      <c r="H311" s="48"/>
      <c r="I311" s="41"/>
      <c r="J311" s="41"/>
      <c r="L311" s="42"/>
    </row>
    <row r="312" spans="2:12" ht="13.8" x14ac:dyDescent="0.25">
      <c r="B312" s="47"/>
      <c r="C312" s="52"/>
      <c r="D312" s="48"/>
      <c r="E312" s="44"/>
      <c r="F312" s="47"/>
      <c r="G312" s="50"/>
      <c r="H312" s="48"/>
      <c r="I312" s="41"/>
      <c r="J312" s="41"/>
      <c r="L312" s="42"/>
    </row>
    <row r="313" spans="2:12" ht="13.8" x14ac:dyDescent="0.25">
      <c r="B313" s="47"/>
      <c r="C313" s="52"/>
      <c r="D313" s="48"/>
      <c r="E313" s="44"/>
      <c r="F313" s="47"/>
      <c r="G313" s="50"/>
      <c r="H313" s="48"/>
      <c r="I313" s="41"/>
      <c r="J313" s="41"/>
      <c r="L313" s="42"/>
    </row>
    <row r="314" spans="2:12" ht="13.8" x14ac:dyDescent="0.25">
      <c r="B314" s="47"/>
      <c r="C314" s="52"/>
      <c r="D314" s="48"/>
      <c r="E314" s="44"/>
      <c r="F314" s="47"/>
      <c r="G314" s="50"/>
      <c r="H314" s="48"/>
      <c r="I314" s="41"/>
      <c r="J314" s="41"/>
      <c r="L314" s="42"/>
    </row>
    <row r="315" spans="2:12" ht="13.8" x14ac:dyDescent="0.25">
      <c r="B315" s="47"/>
      <c r="C315" s="52"/>
      <c r="D315" s="48"/>
      <c r="E315" s="44"/>
      <c r="F315" s="47"/>
      <c r="G315" s="50"/>
      <c r="H315" s="48"/>
      <c r="I315" s="41"/>
      <c r="J315" s="41"/>
      <c r="L315" s="42"/>
    </row>
    <row r="316" spans="2:12" ht="13.8" x14ac:dyDescent="0.25">
      <c r="B316" s="47"/>
      <c r="C316" s="52"/>
      <c r="D316" s="48"/>
      <c r="E316" s="44"/>
      <c r="F316" s="47"/>
      <c r="G316" s="50"/>
      <c r="H316" s="48"/>
      <c r="I316" s="41"/>
      <c r="J316" s="41"/>
      <c r="L316" s="42"/>
    </row>
    <row r="317" spans="2:12" ht="13.8" x14ac:dyDescent="0.25">
      <c r="B317" s="47"/>
      <c r="C317" s="52"/>
      <c r="D317" s="48"/>
      <c r="E317" s="44"/>
      <c r="F317" s="47"/>
      <c r="G317" s="50"/>
      <c r="H317" s="48"/>
      <c r="I317" s="41"/>
      <c r="J317" s="41"/>
      <c r="L317" s="42"/>
    </row>
    <row r="318" spans="2:12" ht="13.8" x14ac:dyDescent="0.25">
      <c r="B318" s="47"/>
      <c r="C318" s="52"/>
      <c r="D318" s="48"/>
      <c r="E318" s="44"/>
      <c r="F318" s="47"/>
      <c r="G318" s="50"/>
      <c r="H318" s="48"/>
      <c r="I318" s="41"/>
      <c r="J318" s="41"/>
      <c r="L318" s="42"/>
    </row>
    <row r="319" spans="2:12" ht="13.8" x14ac:dyDescent="0.25">
      <c r="B319" s="47"/>
      <c r="C319" s="52"/>
      <c r="D319" s="48"/>
      <c r="E319" s="44"/>
      <c r="F319" s="47"/>
      <c r="G319" s="50"/>
      <c r="H319" s="48"/>
      <c r="I319" s="41"/>
      <c r="J319" s="41"/>
      <c r="L319" s="42"/>
    </row>
    <row r="320" spans="2:12" ht="13.8" x14ac:dyDescent="0.25">
      <c r="B320" s="47"/>
      <c r="C320" s="52"/>
      <c r="D320" s="48"/>
      <c r="E320" s="44"/>
      <c r="F320" s="47"/>
      <c r="G320" s="50"/>
      <c r="H320" s="48"/>
      <c r="I320" s="41"/>
      <c r="J320" s="41"/>
      <c r="L320" s="42"/>
    </row>
    <row r="321" spans="2:12" ht="13.8" x14ac:dyDescent="0.25">
      <c r="B321" s="47"/>
      <c r="C321" s="52"/>
      <c r="D321" s="48"/>
      <c r="E321" s="44"/>
      <c r="F321" s="47"/>
      <c r="G321" s="50"/>
      <c r="H321" s="48"/>
      <c r="I321" s="41"/>
      <c r="J321" s="41"/>
      <c r="L321" s="42"/>
    </row>
    <row r="322" spans="2:12" ht="13.8" x14ac:dyDescent="0.25">
      <c r="B322" s="47"/>
      <c r="C322" s="52"/>
      <c r="D322" s="48"/>
      <c r="E322" s="44"/>
      <c r="F322" s="47"/>
      <c r="G322" s="50"/>
      <c r="H322" s="48"/>
      <c r="I322" s="41"/>
      <c r="J322" s="41"/>
      <c r="L322" s="42"/>
    </row>
    <row r="323" spans="2:12" ht="13.8" x14ac:dyDescent="0.25">
      <c r="B323" s="47"/>
      <c r="C323" s="52"/>
      <c r="D323" s="48"/>
      <c r="E323" s="44"/>
      <c r="F323" s="47"/>
      <c r="G323" s="50"/>
      <c r="H323" s="48"/>
      <c r="I323" s="41"/>
      <c r="J323" s="41"/>
      <c r="L323" s="42"/>
    </row>
    <row r="324" spans="2:12" ht="13.8" x14ac:dyDescent="0.25">
      <c r="B324" s="47"/>
      <c r="C324" s="52"/>
      <c r="D324" s="48"/>
      <c r="E324" s="44"/>
      <c r="F324" s="47"/>
      <c r="G324" s="50"/>
      <c r="H324" s="48"/>
      <c r="I324" s="41"/>
      <c r="J324" s="41"/>
      <c r="L324" s="42"/>
    </row>
    <row r="325" spans="2:12" ht="13.8" x14ac:dyDescent="0.25">
      <c r="B325" s="47"/>
      <c r="C325" s="52"/>
      <c r="D325" s="48"/>
      <c r="E325" s="44"/>
      <c r="F325" s="47"/>
      <c r="G325" s="50"/>
      <c r="H325" s="48"/>
      <c r="I325" s="41"/>
      <c r="J325" s="41"/>
      <c r="L325" s="42"/>
    </row>
    <row r="326" spans="2:12" ht="13.8" x14ac:dyDescent="0.25">
      <c r="B326" s="47"/>
      <c r="C326" s="52"/>
      <c r="D326" s="48"/>
      <c r="E326" s="44"/>
      <c r="F326" s="47"/>
      <c r="G326" s="50"/>
      <c r="H326" s="48"/>
      <c r="I326" s="41"/>
      <c r="J326" s="41"/>
      <c r="L326" s="42"/>
    </row>
    <row r="327" spans="2:12" ht="13.8" x14ac:dyDescent="0.25">
      <c r="B327" s="47"/>
      <c r="C327" s="52"/>
      <c r="D327" s="48"/>
      <c r="E327" s="44"/>
      <c r="F327" s="47"/>
      <c r="G327" s="50"/>
      <c r="H327" s="48"/>
      <c r="I327" s="41"/>
      <c r="J327" s="41"/>
      <c r="L327" s="42"/>
    </row>
    <row r="328" spans="2:12" ht="13.8" x14ac:dyDescent="0.25">
      <c r="B328" s="47"/>
      <c r="C328" s="52"/>
      <c r="D328" s="48"/>
      <c r="E328" s="44"/>
      <c r="F328" s="47"/>
      <c r="G328" s="50"/>
      <c r="H328" s="48"/>
      <c r="I328" s="41"/>
      <c r="J328" s="41"/>
      <c r="L328" s="42"/>
    </row>
    <row r="329" spans="2:12" ht="13.8" x14ac:dyDescent="0.25">
      <c r="B329" s="47"/>
      <c r="C329" s="52"/>
      <c r="D329" s="48"/>
      <c r="E329" s="44"/>
      <c r="F329" s="47"/>
      <c r="G329" s="50"/>
      <c r="H329" s="48"/>
      <c r="I329" s="41"/>
      <c r="J329" s="41"/>
      <c r="L329" s="42"/>
    </row>
    <row r="330" spans="2:12" ht="13.8" x14ac:dyDescent="0.25">
      <c r="B330" s="47"/>
      <c r="C330" s="52"/>
      <c r="D330" s="48"/>
      <c r="E330" s="44"/>
      <c r="F330" s="47"/>
      <c r="G330" s="50"/>
      <c r="H330" s="48"/>
      <c r="I330" s="41"/>
      <c r="J330" s="41"/>
      <c r="L330" s="42"/>
    </row>
    <row r="331" spans="2:12" ht="13.8" x14ac:dyDescent="0.25">
      <c r="B331" s="47"/>
      <c r="C331" s="52"/>
      <c r="D331" s="48"/>
      <c r="E331" s="44"/>
      <c r="F331" s="47"/>
      <c r="G331" s="50"/>
      <c r="H331" s="48"/>
      <c r="I331" s="41"/>
      <c r="J331" s="41"/>
      <c r="L331" s="42"/>
    </row>
    <row r="332" spans="2:12" ht="13.8" x14ac:dyDescent="0.25">
      <c r="B332" s="47"/>
      <c r="C332" s="52"/>
      <c r="D332" s="48"/>
      <c r="E332" s="44"/>
      <c r="F332" s="47"/>
      <c r="G332" s="50"/>
      <c r="H332" s="48"/>
      <c r="I332" s="41"/>
      <c r="J332" s="41"/>
      <c r="L332" s="42"/>
    </row>
    <row r="333" spans="2:12" ht="13.8" x14ac:dyDescent="0.25">
      <c r="B333" s="47"/>
      <c r="C333" s="52"/>
      <c r="D333" s="48"/>
      <c r="E333" s="44"/>
      <c r="F333" s="47"/>
      <c r="G333" s="50"/>
      <c r="H333" s="48"/>
      <c r="I333" s="41"/>
      <c r="J333" s="41"/>
      <c r="L333" s="42"/>
    </row>
    <row r="334" spans="2:12" ht="13.8" x14ac:dyDescent="0.25">
      <c r="B334" s="47"/>
      <c r="C334" s="52"/>
      <c r="D334" s="48"/>
      <c r="E334" s="44"/>
      <c r="F334" s="47"/>
      <c r="G334" s="50"/>
      <c r="H334" s="48"/>
      <c r="I334" s="41"/>
      <c r="J334" s="41"/>
      <c r="L334" s="42"/>
    </row>
    <row r="335" spans="2:12" ht="13.8" x14ac:dyDescent="0.25">
      <c r="B335" s="47"/>
      <c r="C335" s="52"/>
      <c r="D335" s="48"/>
      <c r="E335" s="44"/>
      <c r="F335" s="47"/>
      <c r="G335" s="50"/>
      <c r="H335" s="48"/>
      <c r="I335" s="41"/>
      <c r="J335" s="41"/>
      <c r="L335" s="42"/>
    </row>
    <row r="336" spans="2:12" ht="13.8" x14ac:dyDescent="0.25">
      <c r="B336" s="47"/>
      <c r="C336" s="52"/>
      <c r="D336" s="48"/>
      <c r="E336" s="44"/>
      <c r="F336" s="47"/>
      <c r="G336" s="50"/>
      <c r="H336" s="48"/>
      <c r="I336" s="41"/>
      <c r="L336" s="42"/>
    </row>
    <row r="337" spans="2:12" ht="13.8" x14ac:dyDescent="0.25">
      <c r="B337" s="47"/>
      <c r="C337" s="52"/>
      <c r="D337" s="48"/>
      <c r="E337" s="44"/>
      <c r="F337" s="47"/>
      <c r="G337" s="50"/>
      <c r="H337" s="48"/>
      <c r="I337" s="41"/>
      <c r="L337" s="42"/>
    </row>
    <row r="338" spans="2:12" ht="13.8" x14ac:dyDescent="0.25">
      <c r="B338" s="47"/>
      <c r="C338" s="52"/>
      <c r="D338" s="48"/>
      <c r="E338" s="44"/>
      <c r="F338" s="47"/>
      <c r="G338" s="50"/>
      <c r="H338" s="48"/>
      <c r="I338" s="41"/>
      <c r="L338" s="42"/>
    </row>
    <row r="339" spans="2:12" ht="13.8" x14ac:dyDescent="0.25">
      <c r="B339" s="47"/>
      <c r="C339" s="52"/>
      <c r="D339" s="48"/>
      <c r="E339" s="44"/>
      <c r="F339" s="47"/>
      <c r="G339" s="50"/>
      <c r="H339" s="48"/>
      <c r="L339" s="42"/>
    </row>
    <row r="340" spans="2:12" ht="13.8" x14ac:dyDescent="0.25">
      <c r="B340" s="47"/>
      <c r="C340" s="52"/>
      <c r="D340" s="48"/>
      <c r="E340" s="44"/>
      <c r="F340" s="47"/>
      <c r="G340" s="50"/>
      <c r="H340" s="48"/>
      <c r="I340" s="41"/>
      <c r="L340" s="42"/>
    </row>
    <row r="341" spans="2:12" ht="13.8" x14ac:dyDescent="0.25">
      <c r="B341" s="47"/>
      <c r="C341" s="52"/>
      <c r="D341" s="48"/>
      <c r="E341" s="44"/>
      <c r="F341" s="47"/>
      <c r="G341" s="50"/>
      <c r="H341" s="48"/>
      <c r="L341" s="42"/>
    </row>
    <row r="342" spans="2:12" ht="13.8" x14ac:dyDescent="0.25">
      <c r="B342" s="47"/>
      <c r="C342" s="52"/>
      <c r="D342" s="48"/>
      <c r="E342" s="44"/>
      <c r="F342" s="47"/>
      <c r="G342" s="50"/>
      <c r="H342" s="48"/>
      <c r="L342" s="42"/>
    </row>
    <row r="343" spans="2:12" ht="13.8" x14ac:dyDescent="0.25">
      <c r="B343" s="47"/>
      <c r="C343" s="52"/>
      <c r="D343" s="48"/>
      <c r="E343" s="44"/>
      <c r="F343" s="47"/>
      <c r="G343" s="50"/>
      <c r="H343" s="48"/>
      <c r="L343" s="42"/>
    </row>
    <row r="344" spans="2:12" ht="13.8" x14ac:dyDescent="0.25">
      <c r="B344" s="47"/>
      <c r="C344" s="52"/>
      <c r="D344" s="48"/>
      <c r="E344" s="44"/>
      <c r="F344" s="47"/>
      <c r="G344" s="50"/>
      <c r="H344" s="48"/>
      <c r="L344" s="42"/>
    </row>
    <row r="345" spans="2:12" ht="13.8" x14ac:dyDescent="0.25">
      <c r="B345" s="47"/>
      <c r="C345" s="52"/>
      <c r="D345" s="48"/>
      <c r="E345" s="44"/>
      <c r="F345" s="47"/>
      <c r="G345" s="50"/>
      <c r="H345" s="48"/>
      <c r="L345" s="42"/>
    </row>
    <row r="346" spans="2:12" ht="13.8" x14ac:dyDescent="0.25">
      <c r="B346" s="47"/>
      <c r="C346" s="52"/>
      <c r="D346" s="48"/>
      <c r="E346" s="44"/>
      <c r="F346" s="47"/>
      <c r="G346" s="50"/>
      <c r="H346" s="48"/>
      <c r="I346" s="41"/>
      <c r="L346" s="42"/>
    </row>
    <row r="347" spans="2:12" ht="13.8" x14ac:dyDescent="0.25">
      <c r="B347" s="47"/>
      <c r="C347" s="52"/>
      <c r="D347" s="48"/>
      <c r="E347" s="44"/>
      <c r="F347" s="47"/>
      <c r="G347" s="50"/>
      <c r="H347" s="48"/>
      <c r="I347" s="41"/>
      <c r="L347" s="42"/>
    </row>
    <row r="348" spans="2:12" ht="13.8" x14ac:dyDescent="0.25">
      <c r="B348" s="47"/>
      <c r="C348" s="52"/>
      <c r="D348" s="48"/>
      <c r="E348" s="44"/>
      <c r="F348" s="47"/>
      <c r="G348" s="50"/>
      <c r="H348" s="48"/>
      <c r="I348" s="41"/>
      <c r="J348" s="41"/>
      <c r="L348" s="42"/>
    </row>
    <row r="349" spans="2:12" ht="13.8" x14ac:dyDescent="0.25">
      <c r="B349" s="47"/>
      <c r="C349" s="52"/>
      <c r="D349" s="48"/>
      <c r="E349" s="44"/>
      <c r="F349" s="47"/>
      <c r="G349" s="50"/>
      <c r="H349" s="48"/>
      <c r="I349" s="41"/>
      <c r="J349" s="41"/>
      <c r="L349" s="42"/>
    </row>
    <row r="350" spans="2:12" ht="13.8" x14ac:dyDescent="0.25">
      <c r="B350" s="47"/>
      <c r="C350" s="52"/>
      <c r="D350" s="48"/>
      <c r="E350" s="44"/>
      <c r="F350" s="47"/>
      <c r="G350" s="50"/>
      <c r="H350" s="48"/>
      <c r="I350" s="41"/>
      <c r="J350" s="41"/>
      <c r="L350" s="42"/>
    </row>
    <row r="351" spans="2:12" ht="13.8" x14ac:dyDescent="0.25">
      <c r="B351" s="47"/>
      <c r="C351" s="52"/>
      <c r="D351" s="48"/>
      <c r="E351" s="44"/>
      <c r="F351" s="47"/>
      <c r="G351" s="50"/>
      <c r="H351" s="48"/>
      <c r="I351" s="41"/>
      <c r="L351" s="42"/>
    </row>
    <row r="352" spans="2:12" ht="13.8" x14ac:dyDescent="0.25">
      <c r="B352" s="47"/>
      <c r="C352" s="52"/>
      <c r="D352" s="48"/>
      <c r="E352" s="44"/>
      <c r="F352" s="47"/>
      <c r="G352" s="50"/>
      <c r="H352" s="48"/>
      <c r="I352" s="41"/>
      <c r="L352" s="42"/>
    </row>
    <row r="353" spans="2:12" ht="13.8" x14ac:dyDescent="0.25">
      <c r="B353" s="47"/>
      <c r="C353" s="52"/>
      <c r="D353" s="48"/>
      <c r="E353" s="44"/>
      <c r="F353" s="47"/>
      <c r="G353" s="50"/>
      <c r="H353" s="48"/>
      <c r="I353" s="41"/>
      <c r="L353" s="42"/>
    </row>
    <row r="354" spans="2:12" ht="13.8" x14ac:dyDescent="0.25">
      <c r="B354" s="47"/>
      <c r="C354" s="52"/>
      <c r="D354" s="48"/>
      <c r="E354" s="44"/>
      <c r="F354" s="47"/>
      <c r="G354" s="50"/>
      <c r="H354" s="48"/>
      <c r="I354" s="41"/>
      <c r="L354" s="42"/>
    </row>
    <row r="355" spans="2:12" ht="13.8" x14ac:dyDescent="0.25">
      <c r="B355" s="47"/>
      <c r="C355" s="52"/>
      <c r="D355" s="48"/>
      <c r="E355" s="44"/>
      <c r="F355" s="47"/>
      <c r="G355" s="50"/>
      <c r="H355" s="48"/>
      <c r="I355" s="41"/>
      <c r="J355" s="41"/>
      <c r="L355" s="42"/>
    </row>
    <row r="356" spans="2:12" ht="13.8" x14ac:dyDescent="0.25">
      <c r="B356" s="47"/>
      <c r="C356" s="52"/>
      <c r="D356" s="48"/>
      <c r="E356" s="44"/>
      <c r="F356" s="47"/>
      <c r="G356" s="50"/>
      <c r="H356" s="48"/>
      <c r="I356" s="41"/>
      <c r="J356" s="41"/>
      <c r="L356" s="42"/>
    </row>
    <row r="357" spans="2:12" ht="13.8" x14ac:dyDescent="0.25">
      <c r="B357" s="47"/>
      <c r="C357" s="52"/>
      <c r="D357" s="48"/>
      <c r="E357" s="44"/>
      <c r="F357" s="47"/>
      <c r="G357" s="50"/>
      <c r="H357" s="48"/>
      <c r="I357" s="41"/>
      <c r="J357" s="41"/>
      <c r="L357" s="42"/>
    </row>
    <row r="358" spans="2:12" ht="13.8" x14ac:dyDescent="0.25">
      <c r="B358" s="47"/>
      <c r="C358" s="52"/>
      <c r="D358" s="48"/>
      <c r="E358" s="44"/>
      <c r="F358" s="47"/>
      <c r="G358" s="50"/>
      <c r="H358" s="48"/>
      <c r="I358" s="41"/>
      <c r="J358" s="41"/>
      <c r="L358" s="42"/>
    </row>
    <row r="359" spans="2:12" ht="13.8" x14ac:dyDescent="0.25">
      <c r="B359" s="47"/>
      <c r="C359" s="52"/>
      <c r="D359" s="48"/>
      <c r="E359" s="44"/>
      <c r="F359" s="47"/>
      <c r="G359" s="50"/>
      <c r="H359" s="48"/>
      <c r="I359" s="41"/>
      <c r="J359" s="41"/>
      <c r="L359" s="42"/>
    </row>
    <row r="360" spans="2:12" ht="13.8" x14ac:dyDescent="0.25">
      <c r="B360" s="47"/>
      <c r="C360" s="52"/>
      <c r="D360" s="48"/>
      <c r="E360" s="44"/>
      <c r="F360" s="47"/>
      <c r="G360" s="50"/>
      <c r="H360" s="48"/>
      <c r="I360" s="41"/>
      <c r="J360" s="41"/>
      <c r="L360" s="42"/>
    </row>
    <row r="361" spans="2:12" ht="13.8" x14ac:dyDescent="0.25">
      <c r="B361" s="47"/>
      <c r="C361" s="52"/>
      <c r="D361" s="48"/>
      <c r="E361" s="44"/>
      <c r="F361" s="47"/>
      <c r="G361" s="50"/>
      <c r="H361" s="48"/>
      <c r="I361" s="41"/>
      <c r="L361" s="42"/>
    </row>
    <row r="362" spans="2:12" ht="13.8" x14ac:dyDescent="0.25">
      <c r="B362" s="47"/>
      <c r="C362" s="52"/>
      <c r="D362" s="48"/>
      <c r="E362" s="44"/>
      <c r="F362" s="47"/>
      <c r="G362" s="50"/>
      <c r="H362" s="48"/>
      <c r="I362" s="41"/>
      <c r="L362" s="42"/>
    </row>
    <row r="363" spans="2:12" ht="13.8" x14ac:dyDescent="0.25">
      <c r="B363" s="47"/>
      <c r="C363" s="52"/>
      <c r="D363" s="48"/>
      <c r="E363" s="44"/>
      <c r="F363" s="47"/>
      <c r="G363" s="50"/>
      <c r="H363" s="48"/>
      <c r="I363" s="41"/>
      <c r="L363" s="42"/>
    </row>
    <row r="364" spans="2:12" ht="13.8" x14ac:dyDescent="0.25">
      <c r="B364" s="47"/>
      <c r="C364" s="52"/>
      <c r="D364" s="48"/>
      <c r="E364" s="44"/>
      <c r="F364" s="47"/>
      <c r="G364" s="50"/>
      <c r="H364" s="48"/>
      <c r="I364" s="41"/>
      <c r="L364" s="42"/>
    </row>
    <row r="365" spans="2:12" ht="13.8" x14ac:dyDescent="0.25">
      <c r="B365" s="47"/>
      <c r="C365" s="52"/>
      <c r="D365" s="48"/>
      <c r="E365" s="44"/>
      <c r="F365" s="47"/>
      <c r="G365" s="50"/>
      <c r="H365" s="48"/>
      <c r="L365" s="42"/>
    </row>
    <row r="366" spans="2:12" ht="13.8" x14ac:dyDescent="0.25">
      <c r="B366" s="47"/>
      <c r="C366" s="52"/>
      <c r="D366" s="48"/>
      <c r="E366" s="44"/>
      <c r="F366" s="47"/>
      <c r="G366" s="50"/>
      <c r="H366" s="48"/>
      <c r="L366" s="42"/>
    </row>
    <row r="367" spans="2:12" ht="13.8" x14ac:dyDescent="0.25">
      <c r="B367" s="47"/>
      <c r="C367" s="52"/>
      <c r="D367" s="48"/>
      <c r="E367" s="44"/>
      <c r="F367" s="47"/>
      <c r="G367" s="50"/>
      <c r="H367" s="48"/>
      <c r="L367" s="42"/>
    </row>
    <row r="368" spans="2:12" ht="13.8" x14ac:dyDescent="0.25">
      <c r="B368" s="47"/>
      <c r="C368" s="52"/>
      <c r="D368" s="48"/>
      <c r="E368" s="44"/>
      <c r="F368" s="47"/>
      <c r="G368" s="50"/>
      <c r="H368" s="48"/>
      <c r="I368" s="41"/>
      <c r="L368" s="42"/>
    </row>
    <row r="369" spans="2:12" ht="13.8" x14ac:dyDescent="0.25">
      <c r="B369" s="47"/>
      <c r="C369" s="52"/>
      <c r="D369" s="48"/>
      <c r="E369" s="44"/>
      <c r="F369" s="47"/>
      <c r="G369" s="50"/>
      <c r="H369" s="48"/>
      <c r="I369" s="41"/>
      <c r="L369" s="42"/>
    </row>
    <row r="370" spans="2:12" ht="13.8" x14ac:dyDescent="0.25">
      <c r="B370" s="47"/>
      <c r="C370" s="52"/>
      <c r="D370" s="48"/>
      <c r="E370" s="44"/>
      <c r="F370" s="47"/>
      <c r="G370" s="50"/>
      <c r="H370" s="48"/>
      <c r="I370" s="41"/>
      <c r="L370" s="42"/>
    </row>
    <row r="371" spans="2:12" ht="13.8" x14ac:dyDescent="0.25">
      <c r="B371" s="47"/>
      <c r="C371" s="52"/>
      <c r="D371" s="48"/>
      <c r="E371" s="44"/>
      <c r="F371" s="47"/>
      <c r="G371" s="50"/>
      <c r="H371" s="48"/>
      <c r="I371" s="41"/>
      <c r="J371" s="41"/>
      <c r="L371" s="42"/>
    </row>
    <row r="372" spans="2:12" ht="13.8" x14ac:dyDescent="0.25">
      <c r="B372" s="47"/>
      <c r="C372" s="52"/>
      <c r="D372" s="48"/>
      <c r="E372" s="44"/>
      <c r="F372" s="47"/>
      <c r="G372" s="50"/>
      <c r="H372" s="48"/>
      <c r="I372" s="41"/>
      <c r="J372" s="41"/>
      <c r="L372" s="42"/>
    </row>
    <row r="373" spans="2:12" ht="13.8" x14ac:dyDescent="0.25">
      <c r="B373" s="47"/>
      <c r="C373" s="52"/>
      <c r="D373" s="48"/>
      <c r="E373" s="44"/>
      <c r="F373" s="47"/>
      <c r="G373" s="50"/>
      <c r="H373" s="48"/>
      <c r="I373" s="41"/>
      <c r="L373" s="42"/>
    </row>
    <row r="374" spans="2:12" ht="13.8" x14ac:dyDescent="0.25">
      <c r="B374" s="47"/>
      <c r="C374" s="52"/>
      <c r="D374" s="48"/>
      <c r="E374" s="44"/>
      <c r="F374" s="47"/>
      <c r="G374" s="50"/>
      <c r="H374" s="48"/>
      <c r="I374" s="41"/>
      <c r="L374" s="42"/>
    </row>
    <row r="375" spans="2:12" ht="13.8" x14ac:dyDescent="0.25">
      <c r="B375" s="47"/>
      <c r="C375" s="52"/>
      <c r="D375" s="48"/>
      <c r="E375" s="44"/>
      <c r="F375" s="47"/>
      <c r="G375" s="50"/>
      <c r="H375" s="48"/>
      <c r="I375" s="41"/>
      <c r="L375" s="42"/>
    </row>
    <row r="376" spans="2:12" ht="13.8" x14ac:dyDescent="0.25">
      <c r="B376" s="47"/>
      <c r="C376" s="52"/>
      <c r="D376" s="48"/>
      <c r="E376" s="44"/>
      <c r="F376" s="47"/>
      <c r="G376" s="50"/>
      <c r="H376" s="48"/>
      <c r="L376" s="42"/>
    </row>
    <row r="377" spans="2:12" ht="13.8" x14ac:dyDescent="0.25">
      <c r="B377" s="47"/>
      <c r="C377" s="52"/>
      <c r="D377" s="48"/>
      <c r="E377" s="44"/>
      <c r="F377" s="47"/>
      <c r="G377" s="50"/>
      <c r="H377" s="48"/>
      <c r="L377" s="42"/>
    </row>
    <row r="378" spans="2:12" ht="13.8" x14ac:dyDescent="0.25">
      <c r="B378" s="47"/>
      <c r="C378" s="52"/>
      <c r="D378" s="48"/>
      <c r="E378" s="44"/>
      <c r="F378" s="44"/>
      <c r="G378" s="44"/>
      <c r="H378" s="45"/>
    </row>
    <row r="379" spans="2:12" ht="13.8" x14ac:dyDescent="0.25">
      <c r="B379" s="47"/>
      <c r="C379" s="52"/>
      <c r="D379" s="48"/>
      <c r="E379" s="44"/>
      <c r="F379" s="44"/>
      <c r="G379" s="44"/>
      <c r="H379" s="45"/>
    </row>
    <row r="380" spans="2:12" ht="13.8" x14ac:dyDescent="0.25">
      <c r="B380" s="47"/>
      <c r="C380" s="52"/>
      <c r="D380" s="48"/>
      <c r="E380" s="44"/>
      <c r="F380" s="44"/>
      <c r="G380" s="44"/>
      <c r="H380" s="45"/>
    </row>
    <row r="381" spans="2:12" ht="13.8" x14ac:dyDescent="0.25">
      <c r="B381" s="47"/>
      <c r="C381" s="52"/>
      <c r="D381" s="48"/>
      <c r="E381" s="44"/>
      <c r="F381" s="44"/>
      <c r="G381" s="44"/>
      <c r="H381" s="46"/>
    </row>
    <row r="382" spans="2:12" ht="13.8" x14ac:dyDescent="0.25">
      <c r="B382" s="47"/>
      <c r="C382" s="52"/>
      <c r="D382" s="48"/>
      <c r="E382" s="44"/>
      <c r="F382" s="44"/>
      <c r="G382" s="44"/>
      <c r="H382" s="45"/>
    </row>
    <row r="383" spans="2:12" ht="13.8" x14ac:dyDescent="0.25">
      <c r="B383" s="47"/>
      <c r="C383" s="52"/>
      <c r="D383" s="48"/>
      <c r="E383" s="44"/>
      <c r="F383" s="44"/>
      <c r="G383" s="44"/>
      <c r="H383" s="45"/>
    </row>
    <row r="384" spans="2:12" ht="13.8" x14ac:dyDescent="0.25">
      <c r="B384" s="47"/>
      <c r="C384" s="52"/>
      <c r="D384" s="48"/>
      <c r="E384" s="44"/>
      <c r="F384" s="44"/>
      <c r="G384" s="44"/>
      <c r="H384" s="46"/>
    </row>
    <row r="385" spans="2:8" ht="13.8" x14ac:dyDescent="0.25">
      <c r="B385" s="47"/>
      <c r="C385" s="52"/>
      <c r="D385" s="48"/>
      <c r="E385" s="44"/>
      <c r="F385" s="44"/>
      <c r="G385" s="44"/>
      <c r="H385" s="45"/>
    </row>
    <row r="386" spans="2:8" ht="13.8" x14ac:dyDescent="0.25">
      <c r="B386" s="47"/>
      <c r="C386" s="52"/>
      <c r="D386" s="48"/>
      <c r="E386" s="44"/>
      <c r="F386" s="44"/>
      <c r="G386" s="44"/>
      <c r="H386" s="46"/>
    </row>
    <row r="387" spans="2:8" ht="13.8" x14ac:dyDescent="0.25">
      <c r="B387" s="47"/>
      <c r="C387" s="52"/>
      <c r="D387" s="48"/>
      <c r="E387" s="44"/>
      <c r="F387" s="44"/>
      <c r="G387" s="44"/>
      <c r="H387" s="46"/>
    </row>
    <row r="388" spans="2:8" ht="13.8" x14ac:dyDescent="0.25">
      <c r="B388" s="47"/>
      <c r="C388" s="52"/>
      <c r="D388" s="48"/>
      <c r="E388" s="44"/>
      <c r="F388" s="44"/>
      <c r="G388" s="44"/>
      <c r="H388" s="45"/>
    </row>
    <row r="389" spans="2:8" ht="13.8" x14ac:dyDescent="0.25">
      <c r="B389" s="47"/>
      <c r="C389" s="52"/>
      <c r="D389" s="48"/>
      <c r="E389" s="44"/>
      <c r="F389" s="44"/>
      <c r="G389" s="44"/>
      <c r="H389" s="45"/>
    </row>
  </sheetData>
  <mergeCells count="3">
    <mergeCell ref="B11:D11"/>
    <mergeCell ref="F11:H11"/>
    <mergeCell ref="J11:L11"/>
  </mergeCells>
  <hyperlinks>
    <hyperlink ref="B8" location="Dashboard!A1" display="&lt;-Back to dashboard" xr:uid="{B4CAAB1B-CA15-40FD-B4A5-1531F055AD2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799F9-B230-4756-966C-30D72BA1C5DB}">
  <dimension ref="B2:O30"/>
  <sheetViews>
    <sheetView showGridLines="0" zoomScaleNormal="100" workbookViewId="0">
      <selection sqref="A1:A1048576"/>
    </sheetView>
  </sheetViews>
  <sheetFormatPr defaultRowHeight="13.2" x14ac:dyDescent="0.25"/>
  <cols>
    <col min="1" max="1" width="2.88671875" style="1" customWidth="1"/>
    <col min="2" max="2" width="8.88671875" style="1"/>
    <col min="3" max="3" width="15.21875" style="1" customWidth="1"/>
    <col min="4" max="4" width="11.77734375" style="1" customWidth="1"/>
    <col min="5" max="5" width="8.21875" style="1" customWidth="1"/>
    <col min="6" max="6" width="4.77734375" style="1" customWidth="1"/>
    <col min="7" max="7" width="19.5546875" style="1" customWidth="1"/>
    <col min="8" max="8" width="16.6640625" style="1" customWidth="1"/>
    <col min="9" max="9" width="9.44140625" style="1" customWidth="1"/>
    <col min="10" max="16384" width="8.88671875" style="1"/>
  </cols>
  <sheetData>
    <row r="2" spans="2:15" s="5" customFormat="1" ht="15.6" x14ac:dyDescent="0.3">
      <c r="B2" s="6" t="str">
        <f>Dashboard!B2</f>
        <v>Apple, Inc.</v>
      </c>
      <c r="C2" s="7"/>
      <c r="D2" s="7"/>
      <c r="E2" s="7"/>
      <c r="F2" s="7"/>
      <c r="G2" s="7"/>
      <c r="H2" s="7"/>
      <c r="I2" s="7"/>
      <c r="J2" s="1"/>
      <c r="K2" s="1"/>
      <c r="L2" s="1"/>
      <c r="M2" s="1"/>
      <c r="N2" s="1"/>
      <c r="O2" s="1"/>
    </row>
    <row r="3" spans="2:15" s="5" customFormat="1" ht="13.8" x14ac:dyDescent="0.25">
      <c r="B3" s="95" t="s">
        <v>55</v>
      </c>
      <c r="C3" s="7"/>
      <c r="D3" s="7"/>
      <c r="E3" s="7"/>
      <c r="F3" s="7"/>
      <c r="G3" s="7"/>
      <c r="H3" s="7"/>
      <c r="I3" s="7"/>
      <c r="J3" s="1"/>
      <c r="K3" s="1"/>
      <c r="L3" s="1"/>
      <c r="M3" s="1"/>
      <c r="N3" s="1"/>
      <c r="O3" s="1"/>
    </row>
    <row r="4" spans="2:15" s="5" customFormat="1" ht="13.8" x14ac:dyDescent="0.25">
      <c r="B4" s="94" t="str">
        <f>Dashboard!B4</f>
        <v>(In millions, except number of shares, which are reflected in thousands, and per-share amounts)</v>
      </c>
      <c r="C4" s="9"/>
      <c r="D4" s="9"/>
      <c r="E4" s="9"/>
      <c r="F4" s="9"/>
      <c r="G4" s="7"/>
      <c r="H4" s="7"/>
      <c r="I4" s="7"/>
      <c r="J4" s="1"/>
      <c r="K4" s="1"/>
      <c r="L4" s="1"/>
      <c r="M4" s="1"/>
      <c r="N4" s="1"/>
      <c r="O4" s="1"/>
    </row>
    <row r="5" spans="2:15" s="5" customFormat="1" ht="13.8" x14ac:dyDescent="0.25">
      <c r="B5" s="8" t="s">
        <v>39</v>
      </c>
      <c r="C5" s="9"/>
      <c r="D5" s="8" t="str">
        <f>Dashboard!G13</f>
        <v>Street</v>
      </c>
      <c r="E5" s="9"/>
      <c r="F5" s="9"/>
      <c r="G5" s="7"/>
      <c r="H5" s="7"/>
      <c r="I5" s="7"/>
      <c r="J5" s="1"/>
      <c r="K5" s="1"/>
      <c r="L5" s="1"/>
      <c r="M5" s="1"/>
      <c r="N5" s="1"/>
      <c r="O5" s="1"/>
    </row>
    <row r="6" spans="2:15" s="5" customFormat="1" ht="13.8" x14ac:dyDescent="0.25">
      <c r="B6" s="8"/>
      <c r="C6" s="9"/>
      <c r="D6" s="9"/>
      <c r="E6" s="8"/>
      <c r="F6" s="9"/>
      <c r="G6" s="9"/>
      <c r="H6" s="9"/>
      <c r="I6" s="9"/>
      <c r="J6" s="1"/>
      <c r="K6" s="1"/>
      <c r="L6" s="1"/>
      <c r="M6" s="1"/>
      <c r="N6" s="1"/>
      <c r="O6" s="1"/>
    </row>
    <row r="8" spans="2:15" x14ac:dyDescent="0.25">
      <c r="B8" s="196" t="s">
        <v>52</v>
      </c>
    </row>
    <row r="10" spans="2:15" x14ac:dyDescent="0.25">
      <c r="B10" s="189" t="s">
        <v>73</v>
      </c>
      <c r="C10" s="117"/>
      <c r="D10" s="117"/>
      <c r="G10" s="189" t="s">
        <v>80</v>
      </c>
      <c r="H10" s="117"/>
    </row>
    <row r="11" spans="2:15" ht="14.4" customHeight="1" x14ac:dyDescent="0.25">
      <c r="B11" s="1" t="s">
        <v>74</v>
      </c>
      <c r="D11" s="89">
        <v>4.1480000000000003E-2</v>
      </c>
      <c r="G11" s="1" t="s">
        <v>81</v>
      </c>
      <c r="H11" s="186">
        <v>4000000</v>
      </c>
    </row>
    <row r="12" spans="2:15" x14ac:dyDescent="0.25">
      <c r="B12" s="1" t="s">
        <v>318</v>
      </c>
      <c r="D12" s="89">
        <v>2.3E-3</v>
      </c>
      <c r="G12" s="1" t="s">
        <v>82</v>
      </c>
      <c r="H12" s="186">
        <f>Statements!J82+Statements!J81+Statements!J86</f>
        <v>98657</v>
      </c>
    </row>
    <row r="13" spans="2:15" x14ac:dyDescent="0.25">
      <c r="B13" s="1" t="s">
        <v>313</v>
      </c>
      <c r="D13" s="187">
        <v>4.4600000000000001E-2</v>
      </c>
      <c r="G13" s="191" t="s">
        <v>83</v>
      </c>
      <c r="H13" s="195">
        <f>H11+H12</f>
        <v>4098657</v>
      </c>
    </row>
    <row r="14" spans="2:15" x14ac:dyDescent="0.25">
      <c r="B14" s="1" t="s">
        <v>314</v>
      </c>
      <c r="D14" s="187">
        <v>2.3E-3</v>
      </c>
    </row>
    <row r="15" spans="2:15" x14ac:dyDescent="0.25">
      <c r="B15" s="1" t="s">
        <v>67</v>
      </c>
      <c r="D15" s="53">
        <f>Beta!L21</f>
        <v>1.2961399888948606</v>
      </c>
      <c r="G15" s="1" t="s">
        <v>316</v>
      </c>
      <c r="H15" s="60">
        <f>H11/H13</f>
        <v>0.97592943249459518</v>
      </c>
    </row>
    <row r="16" spans="2:15" x14ac:dyDescent="0.25">
      <c r="B16" s="191" t="s">
        <v>77</v>
      </c>
      <c r="C16" s="191"/>
      <c r="D16" s="193">
        <f>(D11-D12)+(D13*D15)+D14</f>
        <v>9.9287843504710788E-2</v>
      </c>
      <c r="G16" s="1" t="s">
        <v>317</v>
      </c>
      <c r="H16" s="60">
        <f>H12/H13</f>
        <v>2.407056750540482E-2</v>
      </c>
    </row>
    <row r="18" spans="2:8" x14ac:dyDescent="0.25">
      <c r="B18" s="189" t="s">
        <v>78</v>
      </c>
      <c r="C18" s="190"/>
      <c r="D18" s="190"/>
      <c r="G18" s="189" t="s">
        <v>55</v>
      </c>
      <c r="H18" s="117"/>
    </row>
    <row r="19" spans="2:8" x14ac:dyDescent="0.25">
      <c r="B19" s="55" t="s">
        <v>315</v>
      </c>
      <c r="G19" s="1" t="s">
        <v>84</v>
      </c>
      <c r="H19" s="42">
        <f>D16*H15</f>
        <v>9.6897928765164579E-2</v>
      </c>
    </row>
    <row r="20" spans="2:8" x14ac:dyDescent="0.25">
      <c r="B20" s="1" t="s">
        <v>128</v>
      </c>
      <c r="D20" s="53">
        <v>96</v>
      </c>
      <c r="G20" s="1" t="s">
        <v>78</v>
      </c>
      <c r="H20" s="54">
        <f ca="1">D28*H16</f>
        <v>9.7494452545038247E-4</v>
      </c>
    </row>
    <row r="21" spans="2:8" x14ac:dyDescent="0.25">
      <c r="B21" s="1" t="s">
        <v>299</v>
      </c>
      <c r="D21" s="53">
        <v>100</v>
      </c>
      <c r="G21" s="191" t="s">
        <v>55</v>
      </c>
      <c r="H21" s="194">
        <f ca="1">H19+H20</f>
        <v>9.7872873290614962E-2</v>
      </c>
    </row>
    <row r="22" spans="2:8" x14ac:dyDescent="0.25">
      <c r="B22" s="1" t="s">
        <v>300</v>
      </c>
      <c r="D22" s="88">
        <v>55953</v>
      </c>
    </row>
    <row r="23" spans="2:8" x14ac:dyDescent="0.25">
      <c r="B23" s="1" t="s">
        <v>75</v>
      </c>
      <c r="D23" s="53">
        <f ca="1">YEARFRAC(TODAY(),D22,1)</f>
        <v>26.962354551676935</v>
      </c>
      <c r="F23" s="64"/>
    </row>
    <row r="24" spans="2:8" x14ac:dyDescent="0.25">
      <c r="B24" s="1" t="s">
        <v>303</v>
      </c>
      <c r="D24" s="188">
        <v>4.8500000000000001E-2</v>
      </c>
      <c r="E24" s="17"/>
    </row>
    <row r="25" spans="2:8" x14ac:dyDescent="0.25">
      <c r="B25" s="191" t="s">
        <v>301</v>
      </c>
      <c r="C25" s="191"/>
      <c r="D25" s="194">
        <f ca="1">RATE(D23,(D21*D24),-D20,D21)</f>
        <v>5.1270373827450609E-2</v>
      </c>
    </row>
    <row r="26" spans="2:8" x14ac:dyDescent="0.25">
      <c r="D26" s="42"/>
    </row>
    <row r="27" spans="2:8" x14ac:dyDescent="0.25">
      <c r="B27" s="1" t="s">
        <v>302</v>
      </c>
      <c r="D27" s="42">
        <v>0.21</v>
      </c>
    </row>
    <row r="28" spans="2:8" x14ac:dyDescent="0.25">
      <c r="B28" s="191" t="s">
        <v>79</v>
      </c>
      <c r="C28" s="192"/>
      <c r="D28" s="193">
        <f ca="1">D25*(1-D27)</f>
        <v>4.0503595323685984E-2</v>
      </c>
    </row>
    <row r="30" spans="2:8" x14ac:dyDescent="0.25">
      <c r="B30" s="317"/>
      <c r="C30" s="317"/>
      <c r="D30" s="317"/>
      <c r="E30" s="317"/>
      <c r="F30" s="317"/>
      <c r="G30" s="317"/>
      <c r="H30" s="317"/>
    </row>
  </sheetData>
  <hyperlinks>
    <hyperlink ref="B8" location="Dashboard!A1" display="&lt;-Back to dashboard" xr:uid="{8A726ABA-FF8B-4FCE-A982-76721E34544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DE337-656A-46C9-8BDE-DC1FB398E8E9}">
  <dimension ref="A2:P49"/>
  <sheetViews>
    <sheetView showGridLines="0" topLeftCell="A7" zoomScaleNormal="100" workbookViewId="0">
      <selection activeCell="I30" sqref="I30"/>
    </sheetView>
  </sheetViews>
  <sheetFormatPr defaultRowHeight="13.2" x14ac:dyDescent="0.25"/>
  <cols>
    <col min="1" max="1" width="2.88671875" style="1" customWidth="1"/>
    <col min="2" max="3" width="8.88671875" style="1"/>
    <col min="4" max="4" width="12.33203125" style="1" customWidth="1"/>
    <col min="5" max="5" width="11.44140625" style="1" customWidth="1"/>
    <col min="6" max="10" width="12.6640625" style="1" customWidth="1"/>
    <col min="11" max="11" width="9.21875" style="1" bestFit="1" customWidth="1"/>
    <col min="12" max="12" width="10.33203125" style="1" bestFit="1" customWidth="1"/>
    <col min="13" max="14" width="11" style="1" bestFit="1" customWidth="1"/>
    <col min="15" max="16384" width="8.88671875" style="1"/>
  </cols>
  <sheetData>
    <row r="2" spans="2:16" s="5" customFormat="1" ht="15.6" x14ac:dyDescent="0.3">
      <c r="B2" s="247" t="str">
        <f>Dashboard!B2</f>
        <v>Apple, Inc.</v>
      </c>
      <c r="C2" s="248"/>
      <c r="D2" s="248"/>
      <c r="E2" s="248"/>
      <c r="F2" s="248"/>
      <c r="G2" s="248"/>
      <c r="H2" s="248"/>
      <c r="I2" s="249"/>
      <c r="J2" s="1"/>
      <c r="K2" s="1"/>
      <c r="L2" s="1"/>
      <c r="M2" s="1"/>
      <c r="N2" s="1"/>
      <c r="O2" s="1"/>
      <c r="P2" s="1"/>
    </row>
    <row r="3" spans="2:16" s="5" customFormat="1" ht="13.8" x14ac:dyDescent="0.25">
      <c r="B3" s="250" t="s">
        <v>54</v>
      </c>
      <c r="C3" s="7"/>
      <c r="D3" s="7"/>
      <c r="E3" s="7"/>
      <c r="F3" s="7"/>
      <c r="G3" s="7"/>
      <c r="H3" s="7"/>
      <c r="I3" s="251"/>
      <c r="J3" s="1"/>
      <c r="K3" s="1"/>
      <c r="L3" s="1"/>
      <c r="M3" s="1"/>
      <c r="N3" s="1"/>
      <c r="O3" s="1"/>
      <c r="P3" s="1"/>
    </row>
    <row r="4" spans="2:16" s="5" customFormat="1" ht="13.8" x14ac:dyDescent="0.25">
      <c r="B4" s="252" t="str">
        <f>Dashboard!B4</f>
        <v>(In millions, except number of shares, which are reflected in thousands, and per-share amounts)</v>
      </c>
      <c r="C4" s="7"/>
      <c r="D4" s="7"/>
      <c r="E4" s="7"/>
      <c r="F4" s="7"/>
      <c r="G4" s="7"/>
      <c r="H4" s="7"/>
      <c r="I4" s="251"/>
      <c r="J4" s="1"/>
      <c r="K4" s="1"/>
      <c r="L4" s="1"/>
      <c r="M4" s="1"/>
      <c r="N4" s="1"/>
      <c r="O4" s="1"/>
      <c r="P4" s="1"/>
    </row>
    <row r="5" spans="2:16" s="5" customFormat="1" ht="13.8" x14ac:dyDescent="0.25">
      <c r="B5" s="253" t="s">
        <v>39</v>
      </c>
      <c r="C5" s="7"/>
      <c r="D5" s="8" t="str">
        <f>Dashboard!G13</f>
        <v>Street</v>
      </c>
      <c r="E5" s="7"/>
      <c r="F5" s="7"/>
      <c r="G5" s="7"/>
      <c r="H5" s="7"/>
      <c r="I5" s="251"/>
      <c r="J5" s="1"/>
      <c r="K5" s="1"/>
      <c r="L5" s="1"/>
      <c r="M5" s="1"/>
      <c r="N5" s="1"/>
      <c r="O5" s="1"/>
      <c r="P5" s="1"/>
    </row>
    <row r="6" spans="2:16" x14ac:dyDescent="0.25">
      <c r="B6" s="238"/>
      <c r="I6" s="254"/>
    </row>
    <row r="7" spans="2:16" x14ac:dyDescent="0.25">
      <c r="B7" s="255" t="s">
        <v>52</v>
      </c>
      <c r="I7" s="254"/>
    </row>
    <row r="8" spans="2:16" ht="14.4" x14ac:dyDescent="0.3">
      <c r="B8" s="256"/>
      <c r="I8" s="254"/>
    </row>
    <row r="9" spans="2:16" x14ac:dyDescent="0.25">
      <c r="B9" s="273" t="s">
        <v>89</v>
      </c>
      <c r="I9" s="254"/>
    </row>
    <row r="10" spans="2:16" x14ac:dyDescent="0.25">
      <c r="B10" s="453" t="s">
        <v>90</v>
      </c>
      <c r="C10" s="454"/>
      <c r="D10" s="454"/>
      <c r="E10" s="257">
        <v>45961</v>
      </c>
      <c r="G10" s="1" t="s">
        <v>331</v>
      </c>
      <c r="I10" s="275">
        <f ca="1">E37</f>
        <v>173.91743532798586</v>
      </c>
    </row>
    <row r="11" spans="2:16" x14ac:dyDescent="0.25">
      <c r="B11" s="453" t="s">
        <v>91</v>
      </c>
      <c r="C11" s="454"/>
      <c r="D11" s="454"/>
      <c r="E11" s="257">
        <v>46022</v>
      </c>
      <c r="G11" s="1" t="s">
        <v>94</v>
      </c>
      <c r="I11" s="275">
        <v>271.86</v>
      </c>
    </row>
    <row r="12" spans="2:16" x14ac:dyDescent="0.25">
      <c r="B12" s="453" t="s">
        <v>55</v>
      </c>
      <c r="C12" s="454"/>
      <c r="D12" s="454"/>
      <c r="E12" s="56">
        <f ca="1">WACC!H21</f>
        <v>9.7872873290614962E-2</v>
      </c>
      <c r="G12" s="1" t="s">
        <v>332</v>
      </c>
      <c r="I12" s="276">
        <f ca="1">I11/I10-1</f>
        <v>0.56315552542105451</v>
      </c>
    </row>
    <row r="13" spans="2:16" x14ac:dyDescent="0.25">
      <c r="B13" s="453" t="s">
        <v>92</v>
      </c>
      <c r="C13" s="454"/>
      <c r="D13" s="454"/>
      <c r="E13" s="56">
        <v>0.02</v>
      </c>
      <c r="I13" s="254"/>
    </row>
    <row r="14" spans="2:16" x14ac:dyDescent="0.25">
      <c r="B14" s="453" t="s">
        <v>319</v>
      </c>
      <c r="C14" s="454"/>
      <c r="D14" s="454"/>
      <c r="E14" s="56">
        <v>0.21</v>
      </c>
      <c r="I14" s="254"/>
    </row>
    <row r="15" spans="2:16" x14ac:dyDescent="0.25">
      <c r="B15" s="238"/>
      <c r="I15" s="254"/>
    </row>
    <row r="16" spans="2:16" x14ac:dyDescent="0.25">
      <c r="B16" s="323" t="s">
        <v>87</v>
      </c>
      <c r="C16" s="324"/>
      <c r="D16" s="324"/>
      <c r="E16" s="325">
        <f>Statements!K101</f>
        <v>46326</v>
      </c>
      <c r="F16" s="326">
        <f>Statements!L101</f>
        <v>46691</v>
      </c>
      <c r="G16" s="326">
        <f>Statements!M101</f>
        <v>47057</v>
      </c>
      <c r="H16" s="326">
        <f>Statements!N101</f>
        <v>47422</v>
      </c>
      <c r="I16" s="327">
        <f>Statements!O101</f>
        <v>47787</v>
      </c>
    </row>
    <row r="17" spans="2:9" x14ac:dyDescent="0.25">
      <c r="B17" s="238"/>
      <c r="E17" s="239"/>
      <c r="F17" s="2"/>
      <c r="G17" s="2"/>
      <c r="H17" s="2"/>
      <c r="I17" s="258"/>
    </row>
    <row r="18" spans="2:9" x14ac:dyDescent="0.25">
      <c r="B18" s="272" t="s">
        <v>85</v>
      </c>
      <c r="E18" s="240">
        <f ca="1">Statements!K36</f>
        <v>143668.31200000006</v>
      </c>
      <c r="F18" s="120">
        <f ca="1">Statements!L36</f>
        <v>159872.16909950005</v>
      </c>
      <c r="G18" s="120">
        <f ca="1">Statements!M36</f>
        <v>182087.70523693983</v>
      </c>
      <c r="H18" s="120">
        <f ca="1">Statements!N36</f>
        <v>211338.85340219058</v>
      </c>
      <c r="I18" s="262">
        <f ca="1">Statements!O36</f>
        <v>250912.92606463982</v>
      </c>
    </row>
    <row r="19" spans="2:9" x14ac:dyDescent="0.25">
      <c r="B19" s="272" t="s">
        <v>319</v>
      </c>
      <c r="E19" s="241">
        <f>tax_rate</f>
        <v>0.21</v>
      </c>
      <c r="F19" s="204">
        <f>tax_rate</f>
        <v>0.21</v>
      </c>
      <c r="G19" s="204">
        <f>tax_rate</f>
        <v>0.21</v>
      </c>
      <c r="H19" s="204">
        <f>tax_rate</f>
        <v>0.21</v>
      </c>
      <c r="I19" s="263">
        <f>tax_rate</f>
        <v>0.21</v>
      </c>
    </row>
    <row r="20" spans="2:9" x14ac:dyDescent="0.25">
      <c r="B20" s="273" t="s">
        <v>86</v>
      </c>
      <c r="C20" s="17"/>
      <c r="D20" s="17"/>
      <c r="E20" s="242">
        <f ca="1">E18*(1-E19)</f>
        <v>113497.96648000006</v>
      </c>
      <c r="F20" s="123">
        <f t="shared" ref="F20:I20" ca="1" si="0">F18*(1-F19)</f>
        <v>126299.01358860504</v>
      </c>
      <c r="G20" s="123">
        <f t="shared" ca="1" si="0"/>
        <v>143849.28713718246</v>
      </c>
      <c r="H20" s="123">
        <f t="shared" ca="1" si="0"/>
        <v>166957.69418773058</v>
      </c>
      <c r="I20" s="264">
        <f t="shared" ca="1" si="0"/>
        <v>198221.21159106545</v>
      </c>
    </row>
    <row r="21" spans="2:9" x14ac:dyDescent="0.25">
      <c r="B21" s="272"/>
      <c r="E21" s="240"/>
      <c r="F21" s="120"/>
      <c r="G21" s="120"/>
      <c r="H21" s="120"/>
      <c r="I21" s="262"/>
    </row>
    <row r="22" spans="2:9" x14ac:dyDescent="0.25">
      <c r="B22" s="272" t="s">
        <v>320</v>
      </c>
      <c r="E22" s="240">
        <f ca="1">Statements!K106</f>
        <v>13546.399524787008</v>
      </c>
      <c r="F22" s="120">
        <f ca="1">Statements!L106</f>
        <v>14880.300728244845</v>
      </c>
      <c r="G22" s="120">
        <f ca="1">Statements!M106</f>
        <v>15799.33703194464</v>
      </c>
      <c r="H22" s="120">
        <f ca="1">Statements!N106</f>
        <v>17860.861852755199</v>
      </c>
      <c r="I22" s="262">
        <f ca="1">Statements!O106</f>
        <v>19509.955072566609</v>
      </c>
    </row>
    <row r="23" spans="2:9" x14ac:dyDescent="0.25">
      <c r="B23" s="272" t="s">
        <v>321</v>
      </c>
      <c r="E23" s="240">
        <f ca="1">Statements!K107</f>
        <v>13164.642837239749</v>
      </c>
      <c r="F23" s="120">
        <f ca="1">Statements!L107</f>
        <v>14286.818250063625</v>
      </c>
      <c r="G23" s="120">
        <f ca="1">Statements!M107</f>
        <v>15350.711463311472</v>
      </c>
      <c r="H23" s="120">
        <f ca="1">Statements!N107</f>
        <v>16384.473711636987</v>
      </c>
      <c r="I23" s="262">
        <f ca="1">Statements!O107</f>
        <v>17765.076713783903</v>
      </c>
    </row>
    <row r="24" spans="2:9" x14ac:dyDescent="0.25">
      <c r="B24" s="272" t="s">
        <v>322</v>
      </c>
      <c r="E24" s="240">
        <f ca="1">Statements!K117</f>
        <v>-13303.265520000001</v>
      </c>
      <c r="F24" s="120">
        <f ca="1">Statements!L117</f>
        <v>-14683.751249324501</v>
      </c>
      <c r="G24" s="120">
        <f ca="1">Statements!M117</f>
        <v>-16237.318269178331</v>
      </c>
      <c r="H24" s="120">
        <f ca="1">Statements!N117</f>
        <v>-18002.498025374323</v>
      </c>
      <c r="I24" s="262">
        <f ca="1">Statements!O117</f>
        <v>-20033.864579169232</v>
      </c>
    </row>
    <row r="25" spans="2:9" x14ac:dyDescent="0.25">
      <c r="B25" s="272" t="s">
        <v>323</v>
      </c>
      <c r="E25" s="240">
        <f ca="1">SUM(Statements!K111:K113)</f>
        <v>12036.119705952697</v>
      </c>
      <c r="F25" s="120">
        <f ca="1">SUM(Statements!L111:L113)</f>
        <v>2268.6346201974447</v>
      </c>
      <c r="G25" s="120">
        <f ca="1">SUM(Statements!M111:M113)</f>
        <v>-604.66159641396371</v>
      </c>
      <c r="H25" s="120">
        <f ca="1">SUM(Statements!N111:N113)</f>
        <v>-1529.4485707289568</v>
      </c>
      <c r="I25" s="262">
        <f ca="1">SUM(Statements!O111:O113)</f>
        <v>-2584.5226547636557</v>
      </c>
    </row>
    <row r="26" spans="2:9" x14ac:dyDescent="0.25">
      <c r="B26" s="274" t="s">
        <v>54</v>
      </c>
      <c r="C26" s="174"/>
      <c r="D26" s="174"/>
      <c r="E26" s="265">
        <f ca="1">SUM(E20:E25)</f>
        <v>138941.8630279795</v>
      </c>
      <c r="F26" s="266">
        <f t="shared" ref="F26:I26" ca="1" si="1">SUM(F20:F25)</f>
        <v>143051.01593778646</v>
      </c>
      <c r="G26" s="266">
        <f t="shared" ca="1" si="1"/>
        <v>158157.35576684627</v>
      </c>
      <c r="H26" s="266">
        <f t="shared" ca="1" si="1"/>
        <v>181671.08315601951</v>
      </c>
      <c r="I26" s="267">
        <f t="shared" ca="1" si="1"/>
        <v>212877.85614348308</v>
      </c>
    </row>
    <row r="27" spans="2:9" x14ac:dyDescent="0.25">
      <c r="B27" s="272"/>
      <c r="E27" s="239"/>
      <c r="F27" s="2"/>
      <c r="G27" s="2"/>
      <c r="H27" s="2"/>
      <c r="I27" s="258"/>
    </row>
    <row r="28" spans="2:9" x14ac:dyDescent="0.25">
      <c r="B28" s="272" t="s">
        <v>88</v>
      </c>
      <c r="E28" s="244">
        <f>(E11-E10)/(365/2)</f>
        <v>0.33424657534246577</v>
      </c>
      <c r="F28" s="268">
        <f>E28+1</f>
        <v>1.3342465753424657</v>
      </c>
      <c r="G28" s="268">
        <f t="shared" ref="G28:I28" si="2">F28+1</f>
        <v>2.3342465753424655</v>
      </c>
      <c r="H28" s="268">
        <f t="shared" si="2"/>
        <v>3.3342465753424655</v>
      </c>
      <c r="I28" s="269">
        <f t="shared" si="2"/>
        <v>4.3342465753424655</v>
      </c>
    </row>
    <row r="29" spans="2:9" x14ac:dyDescent="0.25">
      <c r="B29" s="272" t="s">
        <v>325</v>
      </c>
      <c r="E29" s="239"/>
      <c r="F29" s="2"/>
      <c r="G29" s="2"/>
      <c r="H29" s="2"/>
      <c r="I29" s="262">
        <f ca="1">I26*(1+Terminal_rate)/(WACC-Terminal_rate)</f>
        <v>2788331.8553820639</v>
      </c>
    </row>
    <row r="30" spans="2:9" x14ac:dyDescent="0.25">
      <c r="B30" s="272" t="s">
        <v>324</v>
      </c>
      <c r="E30" s="240">
        <f ca="1">E26/(1+WACC)^E28</f>
        <v>134672.44118067849</v>
      </c>
      <c r="F30" s="120">
        <f ca="1">F26/(1+WACC)^F28</f>
        <v>126294.52000467612</v>
      </c>
      <c r="G30" s="120">
        <f ca="1">G26/(1+WACC)^G28</f>
        <v>127183.5377223401</v>
      </c>
      <c r="H30" s="120">
        <f ca="1">H26/(1+WACC)^H28</f>
        <v>133068.49858819466</v>
      </c>
      <c r="I30" s="262">
        <f ca="1">(I26+I29)/(1+WACC)^I28</f>
        <v>2002321.1735919018</v>
      </c>
    </row>
    <row r="31" spans="2:9" x14ac:dyDescent="0.25">
      <c r="B31" s="272" t="s">
        <v>327</v>
      </c>
      <c r="E31" s="245">
        <f ca="1">SUM(E30:I30)</f>
        <v>2523540.1710877912</v>
      </c>
      <c r="F31" s="246"/>
      <c r="G31" s="246"/>
      <c r="H31" s="246"/>
      <c r="I31" s="270"/>
    </row>
    <row r="32" spans="2:9" ht="14.4" customHeight="1" x14ac:dyDescent="0.25">
      <c r="B32" s="272" t="s">
        <v>326</v>
      </c>
      <c r="E32" s="240">
        <f>Statements!J61</f>
        <v>35934</v>
      </c>
      <c r="F32" s="2"/>
      <c r="G32" s="2"/>
      <c r="H32" s="2"/>
      <c r="I32" s="258"/>
    </row>
    <row r="33" spans="1:9" ht="14.4" customHeight="1" x14ac:dyDescent="0.25">
      <c r="B33" s="272" t="s">
        <v>333</v>
      </c>
      <c r="E33" s="240">
        <f>Statements!J62+Statements!J70</f>
        <v>96486</v>
      </c>
      <c r="F33" s="2"/>
      <c r="G33" s="2"/>
      <c r="H33" s="2"/>
      <c r="I33" s="258"/>
    </row>
    <row r="34" spans="1:9" x14ac:dyDescent="0.25">
      <c r="B34" s="272" t="s">
        <v>93</v>
      </c>
      <c r="E34" s="240">
        <f>-(Statements!J82+Statements!J86)</f>
        <v>-90678</v>
      </c>
      <c r="F34" s="2"/>
      <c r="G34" s="2"/>
      <c r="H34" s="2"/>
      <c r="I34" s="258"/>
    </row>
    <row r="35" spans="1:9" x14ac:dyDescent="0.25">
      <c r="B35" s="273" t="s">
        <v>328</v>
      </c>
      <c r="E35" s="242">
        <f ca="1">SUM(E31:E34)</f>
        <v>2565282.1710877912</v>
      </c>
      <c r="F35" s="2"/>
      <c r="G35" s="2"/>
      <c r="H35" s="2"/>
      <c r="I35" s="258"/>
    </row>
    <row r="36" spans="1:9" x14ac:dyDescent="0.25">
      <c r="B36" s="272" t="s">
        <v>329</v>
      </c>
      <c r="E36" s="240">
        <v>14750</v>
      </c>
      <c r="F36" s="2"/>
      <c r="G36" s="2"/>
      <c r="H36" s="2"/>
      <c r="I36" s="258"/>
    </row>
    <row r="37" spans="1:9" x14ac:dyDescent="0.25">
      <c r="B37" s="274" t="s">
        <v>330</v>
      </c>
      <c r="C37" s="174"/>
      <c r="D37" s="174"/>
      <c r="E37" s="271">
        <f ca="1">E35/E36</f>
        <v>173.91743532798586</v>
      </c>
      <c r="F37" s="2"/>
      <c r="G37" s="2"/>
      <c r="H37" s="2"/>
      <c r="I37" s="258"/>
    </row>
    <row r="38" spans="1:9" x14ac:dyDescent="0.25">
      <c r="B38" s="259"/>
      <c r="C38" s="260"/>
      <c r="D38" s="260"/>
      <c r="E38" s="260"/>
      <c r="F38" s="260"/>
      <c r="G38" s="260"/>
      <c r="H38" s="260"/>
      <c r="I38" s="261"/>
    </row>
    <row r="40" spans="1:9" x14ac:dyDescent="0.25">
      <c r="A40" s="1" t="s">
        <v>32</v>
      </c>
      <c r="B40" s="189" t="s">
        <v>403</v>
      </c>
      <c r="C40" s="117"/>
      <c r="D40" s="117"/>
      <c r="E40" s="117"/>
      <c r="F40" s="117"/>
      <c r="G40" s="117"/>
      <c r="H40" s="117"/>
      <c r="I40" s="117"/>
    </row>
    <row r="41" spans="1:9" x14ac:dyDescent="0.25">
      <c r="B41" s="17"/>
    </row>
    <row r="42" spans="1:9" x14ac:dyDescent="0.25">
      <c r="B42" s="384"/>
      <c r="C42" s="386"/>
      <c r="D42" s="449" t="s">
        <v>404</v>
      </c>
      <c r="E42" s="449"/>
      <c r="F42" s="449"/>
      <c r="G42" s="449"/>
      <c r="H42" s="450"/>
    </row>
    <row r="43" spans="1:9" x14ac:dyDescent="0.25">
      <c r="B43" s="385"/>
      <c r="C43" s="391">
        <f ca="1">E37</f>
        <v>173.91743532798586</v>
      </c>
      <c r="D43" s="387">
        <v>0</v>
      </c>
      <c r="E43" s="387">
        <f>D43+1%</f>
        <v>0.01</v>
      </c>
      <c r="F43" s="395">
        <f t="shared" ref="F43:H43" si="3">E43+1%</f>
        <v>0.02</v>
      </c>
      <c r="G43" s="387">
        <f t="shared" si="3"/>
        <v>0.03</v>
      </c>
      <c r="H43" s="388">
        <f t="shared" si="3"/>
        <v>0.04</v>
      </c>
    </row>
    <row r="44" spans="1:9" x14ac:dyDescent="0.25">
      <c r="B44" s="451" t="s">
        <v>55</v>
      </c>
      <c r="C44" s="389">
        <f>C45+1%</f>
        <v>0.12</v>
      </c>
      <c r="D44" s="379">
        <f t="dataTable" ref="D44:H49" dt2D="1" dtr="1" r1="E13" r2="E12" ca="1"/>
        <v>119.33181207851786</v>
      </c>
      <c r="E44" s="380">
        <v>126.82487729976032</v>
      </c>
      <c r="F44" s="396">
        <v>135.81655556525129</v>
      </c>
      <c r="G44" s="380">
        <v>146.8063845564069</v>
      </c>
      <c r="H44" s="381">
        <v>160.5436707953514</v>
      </c>
    </row>
    <row r="45" spans="1:9" x14ac:dyDescent="0.25">
      <c r="B45" s="451"/>
      <c r="C45" s="389">
        <f>C47+2%</f>
        <v>0.11</v>
      </c>
      <c r="D45" s="382">
        <v>130.11227406645764</v>
      </c>
      <c r="E45" s="375">
        <v>139.37689800649818</v>
      </c>
      <c r="F45" s="394">
        <v>150.70032726654776</v>
      </c>
      <c r="G45" s="375">
        <v>164.85461384160971</v>
      </c>
      <c r="H45" s="376">
        <v>183.05298229526076</v>
      </c>
    </row>
    <row r="46" spans="1:9" x14ac:dyDescent="0.25">
      <c r="B46" s="451"/>
      <c r="C46" s="392">
        <v>9.7872862870993893E-2</v>
      </c>
      <c r="D46" s="393">
        <v>146.17726433385357</v>
      </c>
      <c r="E46" s="394">
        <v>158.46893355950198</v>
      </c>
      <c r="F46" s="394">
        <v>173.91745840146729</v>
      </c>
      <c r="G46" s="394">
        <v>193.91817809377451</v>
      </c>
      <c r="H46" s="397">
        <v>220.83084881117321</v>
      </c>
    </row>
    <row r="47" spans="1:9" x14ac:dyDescent="0.25">
      <c r="B47" s="451"/>
      <c r="C47" s="389">
        <f>C48+1%</f>
        <v>0.09</v>
      </c>
      <c r="D47" s="382">
        <v>158.94803160937593</v>
      </c>
      <c r="E47" s="375">
        <v>173.98695678399667</v>
      </c>
      <c r="F47" s="394">
        <v>193.32271772279478</v>
      </c>
      <c r="G47" s="375">
        <v>219.10373230785891</v>
      </c>
      <c r="H47" s="376">
        <v>255.19715272694864</v>
      </c>
    </row>
    <row r="48" spans="1:9" x14ac:dyDescent="0.25">
      <c r="B48" s="451"/>
      <c r="C48" s="389">
        <f>C49+1%</f>
        <v>0.08</v>
      </c>
      <c r="D48" s="382">
        <v>178.8252015487289</v>
      </c>
      <c r="E48" s="375">
        <v>198.76438633806464</v>
      </c>
      <c r="F48" s="394">
        <v>225.34996605717899</v>
      </c>
      <c r="G48" s="375">
        <v>262.56977766393896</v>
      </c>
      <c r="H48" s="376">
        <v>318.39949507407908</v>
      </c>
    </row>
    <row r="49" spans="2:8" x14ac:dyDescent="0.25">
      <c r="B49" s="452"/>
      <c r="C49" s="390">
        <v>7.0000000000000007E-2</v>
      </c>
      <c r="D49" s="383">
        <v>204.424213051408</v>
      </c>
      <c r="E49" s="377">
        <v>231.84730482274045</v>
      </c>
      <c r="F49" s="398">
        <v>270.23963330260597</v>
      </c>
      <c r="G49" s="377">
        <v>327.82812602240409</v>
      </c>
      <c r="H49" s="378">
        <v>423.80894722206773</v>
      </c>
    </row>
  </sheetData>
  <mergeCells count="7">
    <mergeCell ref="D42:H42"/>
    <mergeCell ref="B44:B49"/>
    <mergeCell ref="B10:D10"/>
    <mergeCell ref="B11:D11"/>
    <mergeCell ref="B12:D12"/>
    <mergeCell ref="B14:D14"/>
    <mergeCell ref="B13:D13"/>
  </mergeCells>
  <hyperlinks>
    <hyperlink ref="B7" location="Dashboard!A1" display="&lt;-Back to dashboard" xr:uid="{F062D85C-EB45-4F30-96FC-9A66AA255C6E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A1361-FA02-4A62-B221-08144689E8B7}">
  <sheetPr>
    <pageSetUpPr autoPageBreaks="0"/>
  </sheetPr>
  <dimension ref="A1:Q49"/>
  <sheetViews>
    <sheetView showGridLines="0" topLeftCell="A10" zoomScaleNormal="100" workbookViewId="0">
      <selection activeCell="O16" sqref="O16"/>
    </sheetView>
  </sheetViews>
  <sheetFormatPr defaultRowHeight="13.2" x14ac:dyDescent="0.25"/>
  <cols>
    <col min="1" max="1" width="2.88671875" style="1" customWidth="1"/>
    <col min="2" max="4" width="8.88671875" style="1"/>
    <col min="5" max="12" width="12.109375" style="1" customWidth="1"/>
    <col min="13" max="16384" width="8.88671875" style="1"/>
  </cols>
  <sheetData>
    <row r="1" spans="1:17" customFormat="1" ht="14.4" x14ac:dyDescent="0.3">
      <c r="M1" s="1"/>
      <c r="N1" s="1"/>
      <c r="O1" s="1"/>
      <c r="P1" s="1"/>
      <c r="Q1" s="1"/>
    </row>
    <row r="2" spans="1:17" customFormat="1" ht="15.6" x14ac:dyDescent="0.3">
      <c r="B2" s="6" t="str">
        <f>Dashboard!B2</f>
        <v>Apple, Inc.</v>
      </c>
      <c r="C2" s="7"/>
      <c r="D2" s="7"/>
      <c r="E2" s="7"/>
      <c r="F2" s="7"/>
      <c r="G2" s="7"/>
      <c r="H2" s="7"/>
      <c r="I2" s="7"/>
      <c r="J2" s="7"/>
      <c r="K2" s="7"/>
      <c r="L2" s="7"/>
      <c r="M2" s="1"/>
      <c r="N2" s="1"/>
      <c r="O2" s="1"/>
      <c r="P2" s="1"/>
      <c r="Q2" s="1"/>
    </row>
    <row r="3" spans="1:17" customFormat="1" ht="14.4" x14ac:dyDescent="0.3">
      <c r="B3" s="95" t="s">
        <v>97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  <c r="N3" s="1"/>
      <c r="O3" s="1"/>
      <c r="P3" s="1"/>
      <c r="Q3" s="1"/>
    </row>
    <row r="4" spans="1:17" customFormat="1" ht="14.4" x14ac:dyDescent="0.3">
      <c r="B4" s="94" t="str">
        <f>Dashboard!B4</f>
        <v>(In millions, except number of shares, which are reflected in thousands, and per-share amounts)</v>
      </c>
      <c r="C4" s="7"/>
      <c r="D4" s="7"/>
      <c r="E4" s="7"/>
      <c r="F4" s="7"/>
      <c r="G4" s="7"/>
      <c r="H4" s="7"/>
      <c r="I4" s="7"/>
      <c r="J4" s="7"/>
      <c r="K4" s="7"/>
      <c r="L4" s="7"/>
      <c r="M4" s="1"/>
      <c r="N4" s="1"/>
      <c r="O4" s="1"/>
      <c r="P4" s="1"/>
      <c r="Q4" s="1"/>
    </row>
    <row r="5" spans="1:17" customFormat="1" ht="14.4" x14ac:dyDescent="0.3">
      <c r="B5" s="8" t="s">
        <v>39</v>
      </c>
      <c r="C5" s="7"/>
      <c r="D5" s="8" t="str">
        <f>Dashboard!G13</f>
        <v>Street</v>
      </c>
      <c r="E5" s="7"/>
      <c r="F5" s="7"/>
      <c r="G5" s="7"/>
      <c r="H5" s="7"/>
      <c r="I5" s="7"/>
      <c r="J5" s="7"/>
      <c r="K5" s="7"/>
      <c r="L5" s="7"/>
      <c r="M5" s="1"/>
      <c r="N5" s="1"/>
      <c r="O5" s="1"/>
      <c r="P5" s="1"/>
      <c r="Q5" s="1"/>
    </row>
    <row r="6" spans="1:17" customFormat="1" ht="14.4" x14ac:dyDescent="0.3">
      <c r="B6" s="8" t="s">
        <v>308</v>
      </c>
      <c r="C6" s="7"/>
      <c r="D6" s="7"/>
      <c r="E6" s="455" t="str">
        <f>Statements!G6</f>
        <v>Historicals</v>
      </c>
      <c r="F6" s="456"/>
      <c r="G6" s="457"/>
      <c r="H6" s="438" t="str">
        <f>Statements!K6</f>
        <v>Projections</v>
      </c>
      <c r="I6" s="438"/>
      <c r="J6" s="438"/>
      <c r="K6" s="438"/>
      <c r="L6" s="438"/>
      <c r="M6" s="1"/>
      <c r="N6" s="1"/>
      <c r="O6" s="1"/>
      <c r="P6" s="1"/>
      <c r="Q6" s="1"/>
    </row>
    <row r="7" spans="1:17" customFormat="1" ht="14.4" x14ac:dyDescent="0.3">
      <c r="B7" s="8" t="s">
        <v>311</v>
      </c>
      <c r="C7" s="57"/>
      <c r="D7" s="57"/>
      <c r="E7" s="216">
        <f>Statements!H7</f>
        <v>45230</v>
      </c>
      <c r="F7" s="216">
        <f>Statements!I7</f>
        <v>45596</v>
      </c>
      <c r="G7" s="216">
        <f>Statements!J7</f>
        <v>45961</v>
      </c>
      <c r="H7" s="217">
        <f>Statements!K7</f>
        <v>46326</v>
      </c>
      <c r="I7" s="217">
        <f>Statements!L7</f>
        <v>46691</v>
      </c>
      <c r="J7" s="217">
        <f>Statements!M7</f>
        <v>47057</v>
      </c>
      <c r="K7" s="217">
        <f>Statements!N7</f>
        <v>47422</v>
      </c>
      <c r="L7" s="217">
        <f>Statements!O7</f>
        <v>47787</v>
      </c>
      <c r="M7" s="1"/>
      <c r="N7" s="1"/>
      <c r="O7" s="1"/>
      <c r="P7" s="1"/>
      <c r="Q7" s="1"/>
    </row>
    <row r="8" spans="1:17" x14ac:dyDescent="0.25">
      <c r="E8" s="2"/>
      <c r="F8" s="2"/>
      <c r="G8" s="2"/>
      <c r="H8" s="2"/>
      <c r="I8" s="2"/>
      <c r="J8" s="2"/>
      <c r="K8" s="2"/>
      <c r="L8" s="2"/>
    </row>
    <row r="9" spans="1:17" x14ac:dyDescent="0.25">
      <c r="B9" s="59" t="s">
        <v>52</v>
      </c>
      <c r="E9" s="2"/>
      <c r="F9" s="2"/>
      <c r="G9" s="2"/>
      <c r="H9" s="2"/>
      <c r="I9" s="2"/>
      <c r="J9" s="2"/>
      <c r="K9" s="2"/>
      <c r="L9" s="2"/>
    </row>
    <row r="10" spans="1:17" x14ac:dyDescent="0.25">
      <c r="E10" s="2"/>
      <c r="F10" s="2"/>
      <c r="G10" s="2"/>
      <c r="H10" s="2"/>
      <c r="I10" s="2"/>
      <c r="J10" s="2"/>
      <c r="K10" s="2"/>
      <c r="L10" s="2"/>
    </row>
    <row r="11" spans="1:17" x14ac:dyDescent="0.25">
      <c r="A11" s="1" t="s">
        <v>32</v>
      </c>
      <c r="B11" s="399" t="s">
        <v>97</v>
      </c>
      <c r="C11" s="400"/>
      <c r="D11" s="400"/>
      <c r="E11" s="401"/>
      <c r="F11" s="401"/>
      <c r="G11" s="401"/>
      <c r="H11" s="401"/>
      <c r="I11" s="401"/>
      <c r="J11" s="401"/>
      <c r="K11" s="401"/>
      <c r="L11" s="401"/>
    </row>
    <row r="12" spans="1:17" x14ac:dyDescent="0.25">
      <c r="E12" s="2"/>
      <c r="F12" s="2"/>
      <c r="G12" s="2"/>
      <c r="H12" s="2"/>
      <c r="I12" s="2"/>
      <c r="J12" s="2"/>
      <c r="K12" s="2"/>
      <c r="L12" s="2"/>
    </row>
    <row r="13" spans="1:17" x14ac:dyDescent="0.25">
      <c r="B13" s="197" t="s">
        <v>98</v>
      </c>
      <c r="C13" s="197"/>
      <c r="D13" s="197"/>
      <c r="E13" s="218">
        <f>Statements!H53</f>
        <v>125820</v>
      </c>
      <c r="F13" s="218">
        <f>Statements!I53</f>
        <v>134661</v>
      </c>
      <c r="G13" s="218">
        <f>Statements!J53</f>
        <v>144748</v>
      </c>
      <c r="H13" s="219">
        <f ca="1">Statements!K53</f>
        <v>165291.05600000001</v>
      </c>
      <c r="I13" s="218">
        <f ca="1">Statements!L53</f>
        <v>169175.54743199999</v>
      </c>
      <c r="J13" s="218">
        <f ca="1">Statements!M53</f>
        <v>170740.99401398899</v>
      </c>
      <c r="K13" s="218">
        <f ca="1">Statements!N53</f>
        <v>169948.61135951741</v>
      </c>
      <c r="L13" s="218">
        <f ca="1">Statements!O53</f>
        <v>164871.75823055475</v>
      </c>
    </row>
    <row r="14" spans="1:17" x14ac:dyDescent="0.25">
      <c r="B14" s="1" t="s">
        <v>85</v>
      </c>
      <c r="E14" s="120">
        <f>Statements!H36</f>
        <v>114301</v>
      </c>
      <c r="F14" s="120">
        <f>Statements!I36</f>
        <v>123216</v>
      </c>
      <c r="G14" s="120">
        <f>Statements!J36</f>
        <v>133050</v>
      </c>
      <c r="H14" s="220">
        <f ca="1">Statements!K36</f>
        <v>143668.31200000006</v>
      </c>
      <c r="I14" s="120">
        <f ca="1">Statements!L36</f>
        <v>159872.16909950005</v>
      </c>
      <c r="J14" s="120">
        <f ca="1">Statements!M36</f>
        <v>182087.70523693983</v>
      </c>
      <c r="K14" s="120">
        <f ca="1">Statements!N36</f>
        <v>211338.85340219058</v>
      </c>
      <c r="L14" s="120">
        <f ca="1">Statements!O36</f>
        <v>250912.92606463982</v>
      </c>
    </row>
    <row r="15" spans="1:17" x14ac:dyDescent="0.25">
      <c r="B15" s="1" t="s">
        <v>86</v>
      </c>
      <c r="E15" s="120">
        <f>E14*(1-Assumptions!H14)</f>
        <v>97476.836665611598</v>
      </c>
      <c r="F15" s="120">
        <f>F14*(1-Assumptions!I14)</f>
        <v>93531.80528809168</v>
      </c>
      <c r="G15" s="120">
        <f>G14*(1-Assumptions!J14)</f>
        <v>112280.89189250277</v>
      </c>
      <c r="H15" s="220">
        <f ca="1">H14*(1-Assumptions!K14)</f>
        <v>120681.38208000005</v>
      </c>
      <c r="I15" s="120">
        <f ca="1">I14*(1-Assumptions!L14)</f>
        <v>134292.62204358005</v>
      </c>
      <c r="J15" s="120">
        <f ca="1">J14*(1-Assumptions!M14)</f>
        <v>152953.67239902946</v>
      </c>
      <c r="K15" s="120">
        <f ca="1">K14*(1-Assumptions!N14)</f>
        <v>177524.63685784009</v>
      </c>
      <c r="L15" s="120">
        <f ca="1">L14*(1-Assumptions!O14)</f>
        <v>210766.85789429743</v>
      </c>
    </row>
    <row r="16" spans="1:17" x14ac:dyDescent="0.25">
      <c r="B16" s="117" t="s">
        <v>108</v>
      </c>
      <c r="C16" s="117"/>
      <c r="D16" s="117"/>
      <c r="E16" s="221">
        <f>Statements!H43</f>
        <v>96995</v>
      </c>
      <c r="F16" s="221">
        <f>Statements!I43</f>
        <v>93736</v>
      </c>
      <c r="G16" s="221">
        <f>Statements!J43</f>
        <v>112010</v>
      </c>
      <c r="H16" s="222">
        <f ca="1">Statements!K43</f>
        <v>117784.75834398926</v>
      </c>
      <c r="I16" s="221">
        <f ca="1">Statements!L43</f>
        <v>131820.76794920507</v>
      </c>
      <c r="J16" s="221">
        <f ca="1">Statements!M43</f>
        <v>150935.15992716482</v>
      </c>
      <c r="K16" s="221">
        <f ca="1">Statements!N43</f>
        <v>175614.7698910351</v>
      </c>
      <c r="L16" s="221">
        <f ca="1">Statements!O43</f>
        <v>209022.36234189759</v>
      </c>
    </row>
    <row r="17" spans="2:12" x14ac:dyDescent="0.25">
      <c r="E17" s="2"/>
      <c r="F17" s="2"/>
      <c r="G17" s="2"/>
      <c r="H17" s="223"/>
      <c r="I17" s="2"/>
      <c r="J17" s="2"/>
      <c r="K17" s="2"/>
      <c r="L17" s="2"/>
    </row>
    <row r="18" spans="2:12" x14ac:dyDescent="0.25">
      <c r="B18" s="189" t="s">
        <v>99</v>
      </c>
      <c r="C18" s="117"/>
      <c r="D18" s="117"/>
      <c r="E18" s="224"/>
      <c r="F18" s="224"/>
      <c r="G18" s="224"/>
      <c r="H18" s="225"/>
      <c r="I18" s="224"/>
      <c r="J18" s="224"/>
      <c r="K18" s="224"/>
      <c r="L18" s="224"/>
    </row>
    <row r="19" spans="2:12" x14ac:dyDescent="0.25">
      <c r="B19" s="1" t="s">
        <v>107</v>
      </c>
      <c r="E19" s="226">
        <f>Statements!H29/Statements!H22</f>
        <v>0.44131129577207562</v>
      </c>
      <c r="F19" s="226">
        <f>Statements!I29/Statements!I22</f>
        <v>0.46206349815233932</v>
      </c>
      <c r="G19" s="226">
        <f>Statements!J29/Statements!J22</f>
        <v>0.46905164107160452</v>
      </c>
      <c r="H19" s="227">
        <f ca="1">Statements!K29/Statements!K22</f>
        <v>0.47561943272406404</v>
      </c>
      <c r="I19" s="226">
        <f ca="1">Statements!L29/Statements!L22</f>
        <v>0.49017946015937974</v>
      </c>
      <c r="J19" s="226">
        <f ca="1">Statements!M29/Statements!M22</f>
        <v>0.51118087214634611</v>
      </c>
      <c r="K19" s="226">
        <f ca="1">Statements!N29/Statements!N22</f>
        <v>0.53793579050760132</v>
      </c>
      <c r="L19" s="226">
        <f ca="1">Statements!O29/Statements!O22</f>
        <v>0.57301136769689109</v>
      </c>
    </row>
    <row r="20" spans="2:12" x14ac:dyDescent="0.25">
      <c r="B20" s="1" t="s">
        <v>106</v>
      </c>
      <c r="E20" s="226">
        <f>Statements!H36/Statements!H22</f>
        <v>0.29821412265024722</v>
      </c>
      <c r="F20" s="226">
        <f>Statements!I36/Statements!I22</f>
        <v>0.31510222870075566</v>
      </c>
      <c r="G20" s="226">
        <f>Statements!J36/Statements!J22</f>
        <v>0.31970799762591884</v>
      </c>
      <c r="H20" s="227">
        <f ca="1">Statements!K36/Statements!K22</f>
        <v>0.32398431449183024</v>
      </c>
      <c r="I20" s="226">
        <f ca="1">Statements!L36/Statements!L22</f>
        <v>0.33751846908415145</v>
      </c>
      <c r="J20" s="226">
        <f ca="1">Statements!M36/Statements!M22</f>
        <v>0.35885276564680729</v>
      </c>
      <c r="K20" s="226">
        <f ca="1">Statements!N36/Statements!N22</f>
        <v>0.38740080140224181</v>
      </c>
      <c r="L20" s="226">
        <f ca="1">Statements!O36/Statements!O22</f>
        <v>0.42583094502236679</v>
      </c>
    </row>
    <row r="21" spans="2:12" x14ac:dyDescent="0.25">
      <c r="B21" s="1" t="s">
        <v>100</v>
      </c>
      <c r="E21" s="226">
        <f>Statements!H40/Statements!H22</f>
        <v>0.29674002374212399</v>
      </c>
      <c r="F21" s="226">
        <f>Statements!I40/Statements!I22</f>
        <v>0.31579014666206351</v>
      </c>
      <c r="G21" s="226">
        <f>Statements!J40/Statements!J22</f>
        <v>0.31893666153243577</v>
      </c>
      <c r="H21" s="227">
        <f ca="1">Statements!K40/Statements!K22</f>
        <v>0.31620796457540223</v>
      </c>
      <c r="I21" s="226">
        <f ca="1">Statements!L40/Statements!L22</f>
        <v>0.33130594305675665</v>
      </c>
      <c r="J21" s="226">
        <f ca="1">Statements!M40/Statements!M22</f>
        <v>0.35411702591816913</v>
      </c>
      <c r="K21" s="226">
        <f ca="1">Statements!N40/Statements!N22</f>
        <v>0.38323301936022358</v>
      </c>
      <c r="L21" s="226">
        <f ca="1">Statements!O40/Statements!O22</f>
        <v>0.42230638619425021</v>
      </c>
    </row>
    <row r="22" spans="2:12" x14ac:dyDescent="0.25">
      <c r="B22" s="1" t="s">
        <v>101</v>
      </c>
      <c r="E22" s="226">
        <f>Statements!H43/Statements!H22</f>
        <v>0.25306234264320282</v>
      </c>
      <c r="F22" s="226">
        <f>Statements!I43/Statements!I22</f>
        <v>0.23971255769943867</v>
      </c>
      <c r="G22" s="226">
        <f>Statements!J43/Statements!J22</f>
        <v>0.26915064121818238</v>
      </c>
      <c r="H22" s="227">
        <f ca="1">Statements!K43/Statements!K22</f>
        <v>0.26561469024333789</v>
      </c>
      <c r="I22" s="226">
        <f ca="1">Statements!L43/Statements!L22</f>
        <v>0.27829699216767556</v>
      </c>
      <c r="J22" s="226">
        <f ca="1">Statements!M43/Statements!M22</f>
        <v>0.29745830177126203</v>
      </c>
      <c r="K22" s="226">
        <f ca="1">Statements!N43/Statements!N22</f>
        <v>0.32191573626258779</v>
      </c>
      <c r="L22" s="226">
        <f ca="1">Statements!O43/Statements!O22</f>
        <v>0.35473736440317016</v>
      </c>
    </row>
    <row r="23" spans="2:12" x14ac:dyDescent="0.25">
      <c r="B23" s="1" t="s">
        <v>102</v>
      </c>
      <c r="E23" s="226">
        <f>Statements!H43/(AVERAGE(Statements!G50:H50)*10)</f>
        <v>0.60697378745573316</v>
      </c>
      <c r="F23" s="226">
        <f>Statements!I43/(AVERAGE(Statements!H50:I50)*10)</f>
        <v>0.60303626986271941</v>
      </c>
      <c r="G23" s="226">
        <f>Statements!J43/(AVERAGE(Statements!I50:J50)*10)</f>
        <v>0.73952828183996555</v>
      </c>
      <c r="H23" s="227">
        <f ca="1">Statements!K43/(AVERAGE(Statements!J50:K50)*10)</f>
        <v>0.78793697256573747</v>
      </c>
      <c r="I23" s="226">
        <f ca="1">Statements!L43/(AVERAGE(Statements!K50:L50)*10)</f>
        <v>0.8818327454206446</v>
      </c>
      <c r="J23" s="226">
        <f ca="1">Statements!M43/(AVERAGE(Statements!L50:M50)*10)</f>
        <v>1.0097010397509103</v>
      </c>
      <c r="K23" s="226">
        <f ca="1">Statements!N43/(AVERAGE(Statements!M50:N50)*10)</f>
        <v>1.1747986078271071</v>
      </c>
      <c r="L23" s="226">
        <f ca="1">Statements!O43/(AVERAGE(Statements!N50:O50)*10)</f>
        <v>1.3982831878910766</v>
      </c>
    </row>
    <row r="24" spans="2:12" x14ac:dyDescent="0.25">
      <c r="B24" s="1" t="s">
        <v>103</v>
      </c>
      <c r="E24" s="226">
        <f>Statements!H36/(Statements!H74-Statements!H83)</f>
        <v>0.55144614642383305</v>
      </c>
      <c r="F24" s="226">
        <f>Statements!I36/(Statements!I74-Statements!I83)</f>
        <v>0.65336076526608267</v>
      </c>
      <c r="G24" s="226">
        <f>Statements!J36/(Statements!J74-Statements!J83)</f>
        <v>0.6872062393471412</v>
      </c>
      <c r="H24" s="227">
        <f ca="1">Statements!K36/(Statements!K74-Statements!K83)</f>
        <v>0.70502544124490019</v>
      </c>
      <c r="I24" s="226">
        <f ca="1">Statements!L36/(Statements!L74-Statements!L83)</f>
        <v>0.77231531655096486</v>
      </c>
      <c r="J24" s="226">
        <f ca="1">Statements!M36/(Statements!M74-Statements!M83)</f>
        <v>0.83325547198749428</v>
      </c>
      <c r="K24" s="226">
        <f ca="1">Statements!N36/(Statements!N74-Statements!N83)</f>
        <v>0.89691291521654315</v>
      </c>
      <c r="L24" s="226">
        <f ca="1">Statements!O36/(Statements!O74-Statements!O83)</f>
        <v>0.9670563930384235</v>
      </c>
    </row>
    <row r="25" spans="2:12" x14ac:dyDescent="0.25">
      <c r="B25" s="1" t="s">
        <v>104</v>
      </c>
      <c r="E25" s="226"/>
      <c r="F25" s="226"/>
      <c r="G25" s="226"/>
      <c r="H25" s="227">
        <f ca="1">H15/(Statements!K95+Statements!K86+Statements!K82+Statements!K81)</f>
        <v>0.70238651709226896</v>
      </c>
      <c r="I25" s="226">
        <f ca="1">I15/(Statements!L95+Statements!L86+Statements!L82+Statements!L81)</f>
        <v>0.77957077310612011</v>
      </c>
      <c r="J25" s="226">
        <f ca="1">J15/(Statements!M95+Statements!M86+Statements!M82+Statements!M81)</f>
        <v>0.84222614645335925</v>
      </c>
      <c r="K25" s="226">
        <f ca="1">K15/(Statements!N95+Statements!N86+Statements!N82+Statements!N81)</f>
        <v>0.91028949869990272</v>
      </c>
      <c r="L25" s="226">
        <f ca="1">L15/(Statements!O95+Statements!O86+Statements!O82+Statements!O81)</f>
        <v>0.99317883376754845</v>
      </c>
    </row>
    <row r="26" spans="2:12" x14ac:dyDescent="0.25">
      <c r="B26" s="1" t="s">
        <v>105</v>
      </c>
      <c r="E26" s="226"/>
      <c r="F26" s="226"/>
      <c r="G26" s="226"/>
      <c r="H26" s="227">
        <f ca="1">H16/AVERAGE(Statements!J74:K74)</f>
        <v>0.32004209106048404</v>
      </c>
      <c r="I26" s="226">
        <f ca="1">I16/AVERAGE(Statements!K74:L74)</f>
        <v>0.34547625933271991</v>
      </c>
      <c r="J26" s="226">
        <f ca="1">J16/AVERAGE(Statements!L74:M74)</f>
        <v>0.38263965548143059</v>
      </c>
      <c r="K26" s="226">
        <f ca="1">K16/AVERAGE(Statements!M74:N74)</f>
        <v>0.42540267523560582</v>
      </c>
      <c r="L26" s="226">
        <f ca="1">L16/AVERAGE(Statements!N74:O74)</f>
        <v>0.48025248555592465</v>
      </c>
    </row>
    <row r="27" spans="2:12" x14ac:dyDescent="0.25">
      <c r="E27" s="2"/>
      <c r="F27" s="2"/>
      <c r="G27" s="2"/>
      <c r="H27" s="223"/>
      <c r="I27" s="2"/>
      <c r="J27" s="2"/>
      <c r="K27" s="2"/>
      <c r="L27" s="2"/>
    </row>
    <row r="28" spans="2:12" x14ac:dyDescent="0.25">
      <c r="B28" s="189" t="s">
        <v>109</v>
      </c>
      <c r="C28" s="117"/>
      <c r="D28" s="117"/>
      <c r="E28" s="224"/>
      <c r="F28" s="224"/>
      <c r="G28" s="224"/>
      <c r="H28" s="225"/>
      <c r="I28" s="224"/>
      <c r="J28" s="224"/>
      <c r="K28" s="224"/>
      <c r="L28" s="224"/>
    </row>
    <row r="29" spans="2:12" x14ac:dyDescent="0.25">
      <c r="B29" s="1" t="s">
        <v>110</v>
      </c>
      <c r="E29" s="2"/>
      <c r="F29" s="2"/>
      <c r="G29" s="2"/>
      <c r="H29" s="228">
        <f ca="1">Statements!K89/Statements!K95</f>
        <v>3.40560782450786</v>
      </c>
      <c r="I29" s="229">
        <f ca="1">Statements!L89/Statements!L95</f>
        <v>3.0216190763826121</v>
      </c>
      <c r="J29" s="229">
        <f ca="1">Statements!M89/Statements!M95</f>
        <v>2.5101087898532723</v>
      </c>
      <c r="K29" s="229">
        <f ca="1">Statements!N89/Statements!N95</f>
        <v>2.1723971849557437</v>
      </c>
      <c r="L29" s="229">
        <f ca="1">Statements!O89/Statements!O95</f>
        <v>1.8771346265830668</v>
      </c>
    </row>
    <row r="30" spans="2:12" x14ac:dyDescent="0.25">
      <c r="B30" s="1" t="s">
        <v>111</v>
      </c>
      <c r="E30" s="2"/>
      <c r="F30" s="2"/>
      <c r="G30" s="2"/>
      <c r="H30" s="228">
        <f ca="1">Statements!K74/Statements!K95</f>
        <v>4.40560782450786</v>
      </c>
      <c r="I30" s="229">
        <f ca="1">Statements!L74/Statements!L95</f>
        <v>4.0216190763826134</v>
      </c>
      <c r="J30" s="229">
        <f ca="1">Statements!M74/Statements!M95</f>
        <v>3.5101087898532728</v>
      </c>
      <c r="K30" s="229">
        <f ca="1">Statements!N74/Statements!N95</f>
        <v>3.1723971849557437</v>
      </c>
      <c r="L30" s="229">
        <f ca="1">Statements!O74/Statements!O95</f>
        <v>2.8771346265830671</v>
      </c>
    </row>
    <row r="31" spans="2:12" x14ac:dyDescent="0.25">
      <c r="B31" s="1" t="s">
        <v>115</v>
      </c>
      <c r="E31" s="2"/>
      <c r="F31" s="2"/>
      <c r="G31" s="2"/>
      <c r="H31" s="228">
        <f ca="1">Statements!K67/Statements!K83</f>
        <v>0.97366932792257166</v>
      </c>
      <c r="I31" s="229">
        <f ca="1">Statements!L67/Statements!L83</f>
        <v>0.9184145010671988</v>
      </c>
      <c r="J31" s="229">
        <f ca="1">Statements!M67/Statements!M83</f>
        <v>0.91360149094082521</v>
      </c>
      <c r="K31" s="229">
        <f ca="1">Statements!N67/Statements!N83</f>
        <v>0.9458105369406038</v>
      </c>
      <c r="L31" s="229">
        <f ca="1">Statements!O67/Statements!O83</f>
        <v>1.0121415014098163</v>
      </c>
    </row>
    <row r="32" spans="2:12" x14ac:dyDescent="0.25">
      <c r="B32" s="1" t="s">
        <v>116</v>
      </c>
      <c r="E32" s="2"/>
      <c r="F32" s="2"/>
      <c r="G32" s="2"/>
      <c r="H32" s="228">
        <f ca="1">(Statements!K61+Statements!K62+Statements!K63+Statements!K64)/Statements!K83</f>
        <v>0.84864608824850485</v>
      </c>
      <c r="I32" s="229">
        <f ca="1">(Statements!L61+Statements!L62+Statements!L63+Statements!L64)/Statements!L83</f>
        <v>0.78953506136371798</v>
      </c>
      <c r="J32" s="229">
        <f ca="1">(Statements!M61+Statements!M62+Statements!M63+Statements!M64)/Statements!M83</f>
        <v>0.77912313583810466</v>
      </c>
      <c r="K32" s="229">
        <f ca="1">(Statements!N61+Statements!N62+Statements!N63+Statements!N64)/Statements!N83</f>
        <v>0.80379370700763142</v>
      </c>
      <c r="L32" s="229">
        <f ca="1">(Statements!O61+Statements!O62+Statements!O63+Statements!O64)/Statements!O83</f>
        <v>0.85921468663383027</v>
      </c>
    </row>
    <row r="33" spans="2:12" x14ac:dyDescent="0.25">
      <c r="B33" s="1" t="s">
        <v>117</v>
      </c>
      <c r="E33" s="2"/>
      <c r="F33" s="2"/>
      <c r="G33" s="2"/>
      <c r="H33" s="228">
        <f ca="1">Statements!K61/Statements!K83</f>
        <v>0.29095441888401286</v>
      </c>
      <c r="I33" s="229">
        <f ca="1">Statements!L61/Statements!L83</f>
        <v>0.2217750349622819</v>
      </c>
      <c r="J33" s="229">
        <f ca="1">Statements!M61/Statements!M83</f>
        <v>0.19395975993937903</v>
      </c>
      <c r="K33" s="229">
        <f ca="1">Statements!N61/Statements!N83</f>
        <v>0.19334820661367436</v>
      </c>
      <c r="L33" s="229">
        <f ca="1">Statements!O61/Statements!O83</f>
        <v>0.20986971116624209</v>
      </c>
    </row>
    <row r="34" spans="2:12" x14ac:dyDescent="0.25">
      <c r="E34" s="2"/>
      <c r="F34" s="2"/>
      <c r="G34" s="2"/>
      <c r="H34" s="228"/>
      <c r="I34" s="229"/>
      <c r="J34" s="229"/>
      <c r="K34" s="229"/>
      <c r="L34" s="229"/>
    </row>
    <row r="35" spans="2:12" x14ac:dyDescent="0.25">
      <c r="B35" s="189" t="s">
        <v>112</v>
      </c>
      <c r="C35" s="117"/>
      <c r="D35" s="117"/>
      <c r="E35" s="224"/>
      <c r="F35" s="224"/>
      <c r="G35" s="224"/>
      <c r="H35" s="225"/>
      <c r="I35" s="224"/>
      <c r="J35" s="224"/>
      <c r="K35" s="224"/>
      <c r="L35" s="224"/>
    </row>
    <row r="36" spans="2:12" x14ac:dyDescent="0.25">
      <c r="B36" s="1" t="s">
        <v>113</v>
      </c>
      <c r="E36" s="230">
        <f>Statements!H46</f>
        <v>6.16</v>
      </c>
      <c r="F36" s="230">
        <f>Statements!I46</f>
        <v>6.11</v>
      </c>
      <c r="G36" s="230">
        <f>Statements!J46</f>
        <v>7.49</v>
      </c>
      <c r="H36" s="231">
        <f ca="1">Statements!K46</f>
        <v>6.7920167035166568</v>
      </c>
      <c r="I36" s="230">
        <f ca="1">Statements!L46</f>
        <v>7.6851723763409181</v>
      </c>
      <c r="J36" s="230">
        <f ca="1">Statements!M46</f>
        <v>8.8954661602055189</v>
      </c>
      <c r="K36" s="230">
        <f ca="1">Statements!N46</f>
        <v>10.461581602700388</v>
      </c>
      <c r="L36" s="230">
        <f ca="1">Statements!O46</f>
        <v>12.584548691019689</v>
      </c>
    </row>
    <row r="37" spans="2:12" x14ac:dyDescent="0.25">
      <c r="B37" s="1" t="s">
        <v>114</v>
      </c>
      <c r="E37" s="230">
        <f>Assumptions!H22/Statements!H50</f>
        <v>0.95247586242859372</v>
      </c>
      <c r="F37" s="230">
        <f>Assumptions!I22/Statements!I50</f>
        <v>0.99180234756969654</v>
      </c>
      <c r="G37" s="230">
        <f>Assumptions!J22/Statements!J50</f>
        <v>1.0310733518413218</v>
      </c>
      <c r="H37" s="231">
        <f ca="1">Assumptions!K22/Statements!K50</f>
        <v>1.0873530221407177</v>
      </c>
      <c r="I37" s="230">
        <f ca="1">Assumptions!L22/Statements!L50</f>
        <v>1.1331550778655284</v>
      </c>
      <c r="J37" s="230">
        <f ca="1">Assumptions!M22/Statements!M50</f>
        <v>1.2015442373035832</v>
      </c>
      <c r="K37" s="230">
        <f ca="1">Assumptions!N22/Statements!N50</f>
        <v>1.2864044755706823</v>
      </c>
      <c r="L37" s="230">
        <f ca="1">Assumptions!O22/Statements!O50</f>
        <v>1.3982831878910766</v>
      </c>
    </row>
    <row r="38" spans="2:12" x14ac:dyDescent="0.25">
      <c r="B38" s="1" t="s">
        <v>339</v>
      </c>
      <c r="E38" s="232">
        <f>Assumptions!H23</f>
        <v>0.15460590752100623</v>
      </c>
      <c r="F38" s="232">
        <f>Assumptions!I23</f>
        <v>0.16234957753691218</v>
      </c>
      <c r="G38" s="232">
        <f>Assumptions!J23</f>
        <v>0.13760378537630569</v>
      </c>
      <c r="H38" s="233">
        <f>Assumptions!K23</f>
        <v>0.13800000000000001</v>
      </c>
      <c r="I38" s="232">
        <f>Assumptions!L23</f>
        <v>0.1285</v>
      </c>
      <c r="J38" s="232">
        <f>Assumptions!M23</f>
        <v>0.11899999999999999</v>
      </c>
      <c r="K38" s="232">
        <f>Assumptions!N23</f>
        <v>0.10949999999999999</v>
      </c>
      <c r="L38" s="232">
        <f>Assumptions!O23</f>
        <v>0.1</v>
      </c>
    </row>
    <row r="39" spans="2:12" x14ac:dyDescent="0.25">
      <c r="E39" s="2"/>
      <c r="F39" s="2"/>
      <c r="G39" s="2"/>
      <c r="H39" s="223"/>
      <c r="I39" s="2"/>
      <c r="J39" s="2"/>
      <c r="K39" s="2"/>
      <c r="L39" s="2"/>
    </row>
    <row r="40" spans="2:12" x14ac:dyDescent="0.25">
      <c r="B40" s="189" t="s">
        <v>118</v>
      </c>
      <c r="C40" s="117"/>
      <c r="D40" s="117"/>
      <c r="E40" s="224"/>
      <c r="F40" s="224"/>
      <c r="G40" s="224"/>
      <c r="H40" s="225"/>
      <c r="I40" s="224"/>
      <c r="J40" s="224"/>
      <c r="K40" s="224"/>
      <c r="L40" s="224"/>
    </row>
    <row r="41" spans="2:12" x14ac:dyDescent="0.25">
      <c r="B41" s="1" t="s">
        <v>119</v>
      </c>
      <c r="E41" s="2"/>
      <c r="F41" s="2"/>
      <c r="G41" s="2"/>
      <c r="H41" s="228">
        <f ca="1">Statements!K22/AVERAGE(Statements!J71:K71)</f>
        <v>8.6195050279536947</v>
      </c>
      <c r="I41" s="229">
        <f ca="1">Statements!L22/AVERAGE(Statements!K71:L71)</f>
        <v>8.6306084866429469</v>
      </c>
      <c r="J41" s="229">
        <f ca="1">Statements!M22/AVERAGE(Statements!L71:M71)</f>
        <v>8.594732916681501</v>
      </c>
      <c r="K41" s="229">
        <f ca="1">Statements!N22/AVERAGE(Statements!M71:N71)</f>
        <v>8.5634917683746199</v>
      </c>
      <c r="L41" s="229">
        <f ca="1">Statements!O22/AVERAGE(Statements!N71:O71)</f>
        <v>8.577760606895966</v>
      </c>
    </row>
    <row r="42" spans="2:12" x14ac:dyDescent="0.25">
      <c r="B42" s="1" t="s">
        <v>120</v>
      </c>
      <c r="E42" s="2"/>
      <c r="F42" s="2"/>
      <c r="G42" s="2"/>
      <c r="H42" s="228">
        <f ca="1">Statements!K22/AVERAGE(Statements!J74:K74)</f>
        <v>1.2049111092736757</v>
      </c>
      <c r="I42" s="229">
        <f ca="1">Statements!L22/AVERAGE(Statements!K74:L74)</f>
        <v>1.2413941546467324</v>
      </c>
      <c r="J42" s="229">
        <f ca="1">Statements!M22/AVERAGE(Statements!L74:M74)</f>
        <v>1.2863640154029752</v>
      </c>
      <c r="K42" s="229">
        <f ca="1">Statements!N22/AVERAGE(Statements!M74:N74)</f>
        <v>1.3214721348340777</v>
      </c>
      <c r="L42" s="229">
        <f ca="1">Statements!O22/AVERAGE(Statements!N74:O74)</f>
        <v>1.3538254882282506</v>
      </c>
    </row>
    <row r="43" spans="2:12" x14ac:dyDescent="0.25">
      <c r="B43" s="1" t="s">
        <v>121</v>
      </c>
      <c r="E43" s="2"/>
      <c r="F43" s="2"/>
      <c r="G43" s="2"/>
      <c r="H43" s="228">
        <f ca="1">Statements!K22/(Schedule!J55-Schedule!J56)</f>
        <v>-8.5208520810114923</v>
      </c>
      <c r="I43" s="229">
        <f ca="1">Statements!L22/(Schedule!K55-Schedule!K56)</f>
        <v>-8.8842162860059375</v>
      </c>
      <c r="J43" s="229">
        <f ca="1">Statements!M22/(Schedule!L55-Schedule!L56)</f>
        <v>-9.6089131180734579</v>
      </c>
      <c r="K43" s="229">
        <f ca="1">Statements!N22/(Schedule!M55-Schedule!M56)</f>
        <v>-10.905840021056116</v>
      </c>
      <c r="L43" s="229">
        <f ca="1">Statements!O22/(Schedule!N55-Schedule!N56)</f>
        <v>-13.151767620938964</v>
      </c>
    </row>
    <row r="44" spans="2:12" x14ac:dyDescent="0.25">
      <c r="E44" s="2"/>
      <c r="F44" s="2"/>
      <c r="G44" s="2"/>
      <c r="H44" s="223"/>
      <c r="I44" s="2"/>
      <c r="J44" s="2"/>
      <c r="K44" s="2"/>
      <c r="L44" s="2"/>
    </row>
    <row r="45" spans="2:12" x14ac:dyDescent="0.25">
      <c r="B45" s="189" t="s">
        <v>122</v>
      </c>
      <c r="C45" s="117"/>
      <c r="D45" s="117"/>
      <c r="E45" s="224"/>
      <c r="F45" s="224"/>
      <c r="G45" s="224"/>
      <c r="H45" s="225"/>
      <c r="I45" s="224"/>
      <c r="J45" s="224"/>
      <c r="K45" s="224"/>
      <c r="L45" s="224"/>
    </row>
    <row r="46" spans="2:12" x14ac:dyDescent="0.25">
      <c r="B46" s="1" t="s">
        <v>123</v>
      </c>
      <c r="E46" s="2"/>
      <c r="F46" s="2"/>
      <c r="G46" s="2"/>
      <c r="H46" s="234">
        <f ca="1">H22</f>
        <v>0.26561469024333789</v>
      </c>
      <c r="I46" s="235">
        <f ca="1">I22</f>
        <v>0.27829699216767556</v>
      </c>
      <c r="J46" s="235">
        <f ca="1">J22</f>
        <v>0.29745830177126203</v>
      </c>
      <c r="K46" s="235">
        <f ca="1">K22</f>
        <v>0.32191573626258779</v>
      </c>
      <c r="L46" s="235">
        <f ca="1">L22</f>
        <v>0.35473736440317016</v>
      </c>
    </row>
    <row r="47" spans="2:12" x14ac:dyDescent="0.25">
      <c r="B47" s="1" t="s">
        <v>124</v>
      </c>
      <c r="E47" s="2"/>
      <c r="F47" s="2"/>
      <c r="G47" s="2"/>
      <c r="H47" s="227">
        <f ca="1">H42</f>
        <v>1.2049111092736757</v>
      </c>
      <c r="I47" s="226">
        <f ca="1">I42</f>
        <v>1.2413941546467324</v>
      </c>
      <c r="J47" s="226">
        <f ca="1">J42</f>
        <v>1.2863640154029752</v>
      </c>
      <c r="K47" s="226">
        <f ca="1">K42</f>
        <v>1.3214721348340777</v>
      </c>
      <c r="L47" s="226">
        <f ca="1">L42</f>
        <v>1.3538254882282506</v>
      </c>
    </row>
    <row r="48" spans="2:12" x14ac:dyDescent="0.25">
      <c r="B48" s="1" t="s">
        <v>125</v>
      </c>
      <c r="E48" s="2"/>
      <c r="F48" s="2"/>
      <c r="G48" s="2"/>
      <c r="H48" s="227">
        <f ca="1">(Statements!K81+Statements!K82+Statements!K86)/Statements!K74</f>
        <v>0.22898387738659542</v>
      </c>
      <c r="I48" s="226">
        <f ca="1">(Statements!L81+Statements!L82+Statements!L86)/Statements!L74</f>
        <v>0.1972700654201095</v>
      </c>
      <c r="J48" s="226">
        <f ca="1">(Statements!M81+Statements!M82+Statements!M86)/Statements!M74</f>
        <v>0.16618421560473895</v>
      </c>
      <c r="K48" s="226">
        <f ca="1">(Statements!N81+Statements!N82+Statements!N86)/Statements!N74</f>
        <v>0.14578540451423971</v>
      </c>
      <c r="L48" s="226">
        <f ca="1">(Statements!O81+Statements!O82+Statements!O86)/Statements!O74</f>
        <v>0.12672206594468319</v>
      </c>
    </row>
    <row r="49" spans="2:12" x14ac:dyDescent="0.25">
      <c r="B49" s="17" t="s">
        <v>126</v>
      </c>
      <c r="E49" s="2"/>
      <c r="F49" s="2"/>
      <c r="G49" s="2"/>
      <c r="H49" s="236">
        <f ca="1">H46*H47*H48</f>
        <v>7.3284478937943487E-2</v>
      </c>
      <c r="I49" s="237">
        <f t="shared" ref="I49:L49" ca="1" si="0">I46*I47*I48</f>
        <v>6.8152124279660373E-2</v>
      </c>
      <c r="J49" s="237">
        <f t="shared" ca="1" si="0"/>
        <v>6.3588671005449085E-2</v>
      </c>
      <c r="K49" s="237">
        <f t="shared" ca="1" si="0"/>
        <v>6.2017501090662543E-2</v>
      </c>
      <c r="L49" s="237">
        <f t="shared" ca="1" si="0"/>
        <v>6.0858587144715891E-2</v>
      </c>
    </row>
  </sheetData>
  <mergeCells count="2">
    <mergeCell ref="E6:G6"/>
    <mergeCell ref="H6:L6"/>
  </mergeCells>
  <hyperlinks>
    <hyperlink ref="B9" location="Dashboard!A1" display="&lt;-Back to dashboard" xr:uid="{FE2960E9-D482-4CEC-A8E9-322A3F6BA0C8}"/>
  </hyperlinks>
  <pageMargins left="0.7" right="0.7" top="0.75" bottom="0.75" header="0.3" footer="0.3"/>
  <pageSetup orientation="portrait" r:id="rId1"/>
  <ignoredErrors>
    <ignoredError sqref="E23:G2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63C9D-83E3-45D3-A356-A6490140172C}">
  <dimension ref="A1:L63"/>
  <sheetViews>
    <sheetView showGridLines="0" zoomScaleNormal="100" workbookViewId="0">
      <selection activeCell="A43" sqref="A1:A1048576"/>
    </sheetView>
  </sheetViews>
  <sheetFormatPr defaultRowHeight="13.2" x14ac:dyDescent="0.25"/>
  <cols>
    <col min="1" max="1" width="2.88671875" style="1" customWidth="1"/>
    <col min="2" max="12" width="12.44140625" style="1" customWidth="1"/>
    <col min="13" max="16384" width="8.88671875" style="1"/>
  </cols>
  <sheetData>
    <row r="1" spans="1:12" s="5" customFormat="1" ht="13.8" x14ac:dyDescent="0.25"/>
    <row r="2" spans="1:12" s="5" customFormat="1" ht="15.6" x14ac:dyDescent="0.3">
      <c r="B2" s="6" t="str">
        <f>Dashboard!B2</f>
        <v>Apple, Inc.</v>
      </c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s="5" customFormat="1" ht="13.8" x14ac:dyDescent="0.25">
      <c r="B3" s="95" t="s">
        <v>334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s="5" customFormat="1" ht="13.8" x14ac:dyDescent="0.25">
      <c r="B4" s="94" t="str">
        <f>Dashboard!B4</f>
        <v>(In millions, except number of shares, which are reflected in thousands, and per-share amounts)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s="5" customFormat="1" ht="13.8" x14ac:dyDescent="0.25">
      <c r="B5" s="8" t="s">
        <v>39</v>
      </c>
      <c r="C5" s="7"/>
      <c r="D5" s="8" t="str">
        <f>Dashboard!G13</f>
        <v>Street</v>
      </c>
      <c r="E5" s="7"/>
      <c r="F5" s="7"/>
      <c r="G5" s="7"/>
      <c r="H5" s="7"/>
      <c r="I5" s="7"/>
      <c r="J5" s="7"/>
      <c r="K5" s="7"/>
      <c r="L5" s="7"/>
    </row>
    <row r="6" spans="1:12" s="5" customFormat="1" ht="13.8" x14ac:dyDescent="0.25">
      <c r="B6" s="8" t="s">
        <v>308</v>
      </c>
      <c r="C6" s="7"/>
      <c r="D6" s="7"/>
      <c r="E6" s="445" t="str">
        <f>Statements!G6</f>
        <v>Historicals</v>
      </c>
      <c r="F6" s="446"/>
      <c r="G6" s="446"/>
      <c r="H6" s="447"/>
      <c r="I6" s="437" t="str">
        <f>Statements!K6</f>
        <v>Projections</v>
      </c>
      <c r="J6" s="438"/>
      <c r="K6" s="438"/>
      <c r="L6" s="438"/>
    </row>
    <row r="7" spans="1:12" s="5" customFormat="1" ht="13.8" x14ac:dyDescent="0.25">
      <c r="B7" s="8" t="s">
        <v>311</v>
      </c>
      <c r="C7" s="57"/>
      <c r="D7" s="57"/>
      <c r="E7" s="153">
        <v>45230</v>
      </c>
      <c r="F7" s="153">
        <f>EDATE(E7,12)</f>
        <v>45596</v>
      </c>
      <c r="G7" s="153">
        <f t="shared" ref="G7:L7" si="0">EDATE(F7,12)</f>
        <v>45961</v>
      </c>
      <c r="H7" s="153">
        <f t="shared" si="0"/>
        <v>46326</v>
      </c>
      <c r="I7" s="154">
        <f t="shared" si="0"/>
        <v>46691</v>
      </c>
      <c r="J7" s="154">
        <f t="shared" si="0"/>
        <v>47057</v>
      </c>
      <c r="K7" s="154">
        <f t="shared" si="0"/>
        <v>47422</v>
      </c>
      <c r="L7" s="154">
        <f t="shared" si="0"/>
        <v>47787</v>
      </c>
    </row>
    <row r="9" spans="1:12" x14ac:dyDescent="0.25">
      <c r="A9" s="1" t="s">
        <v>32</v>
      </c>
      <c r="B9" s="100" t="s">
        <v>337</v>
      </c>
      <c r="C9" s="212"/>
      <c r="D9" s="212"/>
      <c r="E9" s="212"/>
      <c r="F9" s="212"/>
      <c r="G9" s="212"/>
      <c r="H9" s="212"/>
      <c r="I9" s="212"/>
      <c r="J9" s="212"/>
      <c r="K9" s="212"/>
      <c r="L9" s="213"/>
    </row>
    <row r="10" spans="1:12" x14ac:dyDescent="0.25">
      <c r="B10" s="61"/>
      <c r="L10" s="106"/>
    </row>
    <row r="11" spans="1:12" x14ac:dyDescent="0.25">
      <c r="B11" s="109" t="s">
        <v>129</v>
      </c>
      <c r="L11" s="106"/>
    </row>
    <row r="12" spans="1:12" x14ac:dyDescent="0.25">
      <c r="B12" s="110" t="s">
        <v>130</v>
      </c>
      <c r="E12" s="2" t="s">
        <v>335</v>
      </c>
      <c r="F12" s="204">
        <f>Statements!H20/Statements!G20-1</f>
        <v>-5.7286708686618226E-2</v>
      </c>
      <c r="G12" s="204">
        <f>Statements!I20/Statements!H20-1</f>
        <v>-1.0798933190197424E-2</v>
      </c>
      <c r="H12" s="204">
        <f>Statements!J20/Statements!I20-1</f>
        <v>4.1161069774066972E-2</v>
      </c>
      <c r="I12" s="204">
        <f ca="1">Statements!K20/Statements!J20-1</f>
        <v>4.0862317306345597E-2</v>
      </c>
      <c r="J12" s="204">
        <f ca="1">Statements!L20/Statements!K20-1</f>
        <v>3.7889991203007733E-2</v>
      </c>
      <c r="K12" s="204">
        <f ca="1">Statements!M20/Statements!L20-1</f>
        <v>3.4311551217676373E-2</v>
      </c>
      <c r="L12" s="205">
        <f ca="1">Statements!N20/Statements!M20-1</f>
        <v>3.0243966738957351E-2</v>
      </c>
    </row>
    <row r="13" spans="1:12" x14ac:dyDescent="0.25">
      <c r="B13" s="110" t="s">
        <v>131</v>
      </c>
      <c r="E13" s="2" t="s">
        <v>335</v>
      </c>
      <c r="F13" s="204">
        <f>Statements!H21/Statements!G21-1</f>
        <v>9.0504166186691215E-2</v>
      </c>
      <c r="G13" s="204">
        <f>Statements!I21/Statements!H21-1</f>
        <v>0.12874413145539898</v>
      </c>
      <c r="H13" s="204">
        <f>Statements!J21/Statements!I21-1</f>
        <v>0.13506431386413498</v>
      </c>
      <c r="I13" s="204">
        <f ca="1">Statements!K21/Statements!J21-1</f>
        <v>0.13500000000000001</v>
      </c>
      <c r="J13" s="204">
        <f ca="1">Statements!L21/Statements!K21-1</f>
        <v>0.14624999999999999</v>
      </c>
      <c r="K13" s="204">
        <f ca="1">Statements!M21/Statements!L21-1</f>
        <v>0.15749999999999997</v>
      </c>
      <c r="L13" s="205">
        <f ca="1">Statements!N21/Statements!M21-1</f>
        <v>0.16874999999999996</v>
      </c>
    </row>
    <row r="14" spans="1:12" x14ac:dyDescent="0.25">
      <c r="B14" s="109" t="s">
        <v>132</v>
      </c>
      <c r="C14" s="17"/>
      <c r="D14" s="17"/>
      <c r="E14" s="206" t="s">
        <v>335</v>
      </c>
      <c r="F14" s="207">
        <f>Statements!H22/Statements!G22-1</f>
        <v>-2.800460530319937E-2</v>
      </c>
      <c r="G14" s="207">
        <f>Statements!I22/Statements!H22-1</f>
        <v>2.021994077514111E-2</v>
      </c>
      <c r="H14" s="207">
        <f>Statements!J22/Statements!I22-1</f>
        <v>6.425511782832749E-2</v>
      </c>
      <c r="I14" s="207">
        <f ca="1">Statements!K22/Statements!J22-1</f>
        <v>6.5554398417920101E-2</v>
      </c>
      <c r="J14" s="207">
        <f ca="1">Statements!L22/Statements!K22-1</f>
        <v>6.8164942872236844E-2</v>
      </c>
      <c r="K14" s="207">
        <f ca="1">Statements!M22/Statements!L22-1</f>
        <v>7.1245474414457499E-2</v>
      </c>
      <c r="L14" s="208">
        <f ca="1">Statements!N22/Statements!M22-1</f>
        <v>7.5113974659101856E-2</v>
      </c>
    </row>
    <row r="15" spans="1:12" x14ac:dyDescent="0.25">
      <c r="B15" s="107"/>
      <c r="E15" s="2"/>
      <c r="F15" s="204"/>
      <c r="G15" s="204"/>
      <c r="H15" s="204"/>
      <c r="I15" s="204"/>
      <c r="J15" s="204"/>
      <c r="K15" s="204"/>
      <c r="L15" s="205"/>
    </row>
    <row r="16" spans="1:12" x14ac:dyDescent="0.25">
      <c r="B16" s="109" t="s">
        <v>133</v>
      </c>
      <c r="E16" s="2"/>
      <c r="F16" s="204"/>
      <c r="G16" s="204"/>
      <c r="H16" s="204"/>
      <c r="I16" s="204"/>
      <c r="J16" s="204"/>
      <c r="K16" s="204"/>
      <c r="L16" s="205"/>
    </row>
    <row r="17" spans="2:12" x14ac:dyDescent="0.25">
      <c r="B17" s="110" t="s">
        <v>130</v>
      </c>
      <c r="E17" s="2" t="s">
        <v>335</v>
      </c>
      <c r="F17" s="204">
        <f>Statements!H25/Statements!G25-1</f>
        <v>-6.0500022335720827E-2</v>
      </c>
      <c r="G17" s="204">
        <f>Statements!I25/Statements!H25-1</f>
        <v>-2.1391363151276876E-2</v>
      </c>
      <c r="H17" s="204">
        <f>Statements!J25/Statements!I25-1</f>
        <v>4.7955817807842083E-2</v>
      </c>
      <c r="I17" s="204">
        <f ca="1">Statements!K25/Statements!J25-1</f>
        <v>4.8000000000000043E-2</v>
      </c>
      <c r="J17" s="204">
        <f ca="1">Statements!L25/Statements!K25-1</f>
        <v>3.2999999999999918E-2</v>
      </c>
      <c r="K17" s="204">
        <f ca="1">Statements!M25/Statements!L25-1</f>
        <v>1.8000000000000016E-2</v>
      </c>
      <c r="L17" s="205">
        <f ca="1">Statements!N25/Statements!M25-1</f>
        <v>3.0000000000001137E-3</v>
      </c>
    </row>
    <row r="18" spans="2:12" x14ac:dyDescent="0.25">
      <c r="B18" s="110" t="s">
        <v>131</v>
      </c>
      <c r="E18" s="2" t="s">
        <v>335</v>
      </c>
      <c r="F18" s="204">
        <f>Statements!H26/Statements!G26-1</f>
        <v>0.12593431483578699</v>
      </c>
      <c r="G18" s="204">
        <f>Statements!I26/Statements!H26-1</f>
        <v>1.0621605310802584E-2</v>
      </c>
      <c r="H18" s="204">
        <f>Statements!J26/Statements!I26-1</f>
        <v>6.8673115967992304E-2</v>
      </c>
      <c r="I18" s="204">
        <f ca="1">Statements!K26/Statements!J26-1</f>
        <v>8.4000000000000075E-2</v>
      </c>
      <c r="J18" s="204">
        <f ca="1">Statements!L26/Statements!K26-1</f>
        <v>7.6999999999999957E-2</v>
      </c>
      <c r="K18" s="204">
        <f ca="1">Statements!M26/Statements!L26-1</f>
        <v>8.824999999999994E-2</v>
      </c>
      <c r="L18" s="205">
        <f ca="1">Statements!N26/Statements!M26-1</f>
        <v>9.9499999999999922E-2</v>
      </c>
    </row>
    <row r="19" spans="2:12" x14ac:dyDescent="0.25">
      <c r="B19" s="109" t="s">
        <v>134</v>
      </c>
      <c r="C19" s="17"/>
      <c r="D19" s="17"/>
      <c r="E19" s="206" t="s">
        <v>335</v>
      </c>
      <c r="F19" s="207">
        <f>Statements!H27/Statements!G27-1</f>
        <v>-4.208977123276636E-2</v>
      </c>
      <c r="G19" s="207">
        <f>Statements!I27/Statements!H27-1</f>
        <v>-1.7675600199872021E-2</v>
      </c>
      <c r="H19" s="207">
        <f>Statements!J27/Statements!I27-1</f>
        <v>5.0429755837833712E-2</v>
      </c>
      <c r="I19" s="207">
        <f ca="1">Statements!K27/Statements!J27-1</f>
        <v>5.2373569876900783E-2</v>
      </c>
      <c r="J19" s="207">
        <f ca="1">Statements!L27/Statements!K27-1</f>
        <v>3.8506119025169649E-2</v>
      </c>
      <c r="K19" s="207">
        <f ca="1">Statements!M27/Statements!L27-1</f>
        <v>2.7116872702206862E-2</v>
      </c>
      <c r="L19" s="208">
        <f ca="1">Statements!N27/Statements!M27-1</f>
        <v>1.626892342849473E-2</v>
      </c>
    </row>
    <row r="20" spans="2:12" x14ac:dyDescent="0.25">
      <c r="B20" s="107"/>
      <c r="E20" s="2"/>
      <c r="F20" s="204"/>
      <c r="G20" s="204"/>
      <c r="H20" s="204"/>
      <c r="I20" s="204"/>
      <c r="J20" s="204"/>
      <c r="K20" s="204"/>
      <c r="L20" s="205"/>
    </row>
    <row r="21" spans="2:12" x14ac:dyDescent="0.25">
      <c r="B21" s="109" t="s">
        <v>135</v>
      </c>
      <c r="C21" s="17"/>
      <c r="D21" s="17"/>
      <c r="E21" s="206" t="s">
        <v>335</v>
      </c>
      <c r="F21" s="207">
        <f>Statements!H29/Statements!G29-1</f>
        <v>-9.5677530418896151E-3</v>
      </c>
      <c r="G21" s="207">
        <f>Statements!I29/Statements!H29-1</f>
        <v>6.8194717052522114E-2</v>
      </c>
      <c r="H21" s="207">
        <f>Statements!J29/Statements!I29-1</f>
        <v>8.0350669404426478E-2</v>
      </c>
      <c r="I21" s="207">
        <f ca="1">Statements!K29/Statements!J29-1</f>
        <v>8.0474587732645153E-2</v>
      </c>
      <c r="J21" s="207">
        <f ca="1">Statements!L29/Statements!K29-1</f>
        <v>0.10086442864510925</v>
      </c>
      <c r="K21" s="207">
        <f ca="1">Statements!M29/Statements!L29-1</f>
        <v>0.11714227217101048</v>
      </c>
      <c r="L21" s="208">
        <f ca="1">Statements!N29/Statements!M29-1</f>
        <v>0.13138483334806672</v>
      </c>
    </row>
    <row r="22" spans="2:12" x14ac:dyDescent="0.25">
      <c r="B22" s="107"/>
      <c r="E22" s="2"/>
      <c r="F22" s="204"/>
      <c r="G22" s="204"/>
      <c r="H22" s="204"/>
      <c r="I22" s="204"/>
      <c r="J22" s="204"/>
      <c r="K22" s="204"/>
      <c r="L22" s="205"/>
    </row>
    <row r="23" spans="2:12" x14ac:dyDescent="0.25">
      <c r="B23" s="109" t="s">
        <v>136</v>
      </c>
      <c r="E23" s="2"/>
      <c r="F23" s="204"/>
      <c r="G23" s="204"/>
      <c r="H23" s="204"/>
      <c r="I23" s="204"/>
      <c r="J23" s="204"/>
      <c r="K23" s="204"/>
      <c r="L23" s="205"/>
    </row>
    <row r="24" spans="2:12" x14ac:dyDescent="0.25">
      <c r="B24" s="110" t="s">
        <v>137</v>
      </c>
      <c r="E24" s="2" t="s">
        <v>335</v>
      </c>
      <c r="F24" s="204">
        <f>Statements!H32/Statements!G32-1</f>
        <v>0.1395756352138966</v>
      </c>
      <c r="G24" s="204">
        <f>Statements!I32/Statements!H32-1</f>
        <v>4.8637807120173848E-2</v>
      </c>
      <c r="H24" s="204">
        <f>Statements!J32/Statements!I32-1</f>
        <v>0.10137073637233018</v>
      </c>
      <c r="I24" s="204">
        <f ca="1">Statements!K32/Statements!J32-1</f>
        <v>0.10099999999999998</v>
      </c>
      <c r="J24" s="204">
        <f ca="1">Statements!L32/Statements!K32-1</f>
        <v>9.4500000000000028E-2</v>
      </c>
      <c r="K24" s="204">
        <f ca="1">Statements!M32/Statements!L32-1</f>
        <v>8.8000000000000078E-2</v>
      </c>
      <c r="L24" s="205">
        <f ca="1">Statements!N32/Statements!M32-1</f>
        <v>8.1499999999999906E-2</v>
      </c>
    </row>
    <row r="25" spans="2:12" x14ac:dyDescent="0.25">
      <c r="B25" s="110" t="s">
        <v>138</v>
      </c>
      <c r="E25" s="2" t="s">
        <v>335</v>
      </c>
      <c r="F25" s="204">
        <f>Statements!H33/Statements!G33-1</f>
        <v>-6.4557264684784732E-3</v>
      </c>
      <c r="G25" s="204">
        <f>Statements!I33/Statements!H33-1</f>
        <v>4.6727097705759668E-2</v>
      </c>
      <c r="H25" s="204">
        <f>Statements!J33/Statements!I33-1</f>
        <v>5.7631145342376566E-2</v>
      </c>
      <c r="I25" s="204">
        <f ca="1">Statements!K33/Statements!J33-1</f>
        <v>5.8000000000000052E-2</v>
      </c>
      <c r="J25" s="204">
        <f ca="1">Statements!L33/Statements!K33-1</f>
        <v>5.0499999999999989E-2</v>
      </c>
      <c r="K25" s="204">
        <f ca="1">Statements!M33/Statements!L33-1</f>
        <v>4.2999999999999927E-2</v>
      </c>
      <c r="L25" s="205">
        <f ca="1">Statements!N33/Statements!M33-1</f>
        <v>3.5500000000000087E-2</v>
      </c>
    </row>
    <row r="26" spans="2:12" x14ac:dyDescent="0.25">
      <c r="B26" s="109" t="s">
        <v>139</v>
      </c>
      <c r="C26" s="17"/>
      <c r="D26" s="17"/>
      <c r="E26" s="206" t="s">
        <v>335</v>
      </c>
      <c r="F26" s="207">
        <f>Statements!H34/Statements!G34-1</f>
        <v>6.8205278021228999E-2</v>
      </c>
      <c r="G26" s="207">
        <f>Statements!I34/Statements!H34-1</f>
        <v>4.7769249001768488E-2</v>
      </c>
      <c r="H26" s="207">
        <f>Statements!J34/Statements!I34-1</f>
        <v>8.1507647867471666E-2</v>
      </c>
      <c r="I26" s="207">
        <f ca="1">Statements!K34/Statements!J34-1</f>
        <v>8.1903879261797874E-2</v>
      </c>
      <c r="J26" s="207">
        <f ca="1">Statements!L34/Statements!K34-1</f>
        <v>7.5391510302699194E-2</v>
      </c>
      <c r="K26" s="207">
        <f ca="1">Statements!M34/Statements!L34-1</f>
        <v>6.8909572539996189E-2</v>
      </c>
      <c r="L26" s="208">
        <f ca="1">Statements!N34/Statements!M34-1</f>
        <v>6.2458361634119441E-2</v>
      </c>
    </row>
    <row r="27" spans="2:12" x14ac:dyDescent="0.25">
      <c r="B27" s="107"/>
      <c r="E27" s="2"/>
      <c r="F27" s="204"/>
      <c r="G27" s="204"/>
      <c r="H27" s="204"/>
      <c r="I27" s="204"/>
      <c r="J27" s="204"/>
      <c r="K27" s="204"/>
      <c r="L27" s="205"/>
    </row>
    <row r="28" spans="2:12" x14ac:dyDescent="0.25">
      <c r="B28" s="109" t="s">
        <v>140</v>
      </c>
      <c r="C28" s="17"/>
      <c r="D28" s="17"/>
      <c r="E28" s="206" t="s">
        <v>335</v>
      </c>
      <c r="F28" s="207">
        <f>Statements!H36/Statements!G36-1</f>
        <v>-4.3001749876503959E-2</v>
      </c>
      <c r="G28" s="207">
        <f>Statements!I36/Statements!H36-1</f>
        <v>7.7995818059334532E-2</v>
      </c>
      <c r="H28" s="207">
        <f>Statements!J36/Statements!I36-1</f>
        <v>7.9811063498246959E-2</v>
      </c>
      <c r="I28" s="207">
        <f ca="1">Statements!K36/Statements!J36-1</f>
        <v>7.9806929725667608E-2</v>
      </c>
      <c r="J28" s="207">
        <f ca="1">Statements!L36/Statements!K36-1</f>
        <v>0.1127865767609213</v>
      </c>
      <c r="K28" s="207">
        <f ca="1">Statements!M36/Statements!L36-1</f>
        <v>0.13895812049446477</v>
      </c>
      <c r="L28" s="208">
        <f ca="1">Statements!N36/Statements!M36-1</f>
        <v>0.16064318086269469</v>
      </c>
    </row>
    <row r="29" spans="2:12" x14ac:dyDescent="0.25">
      <c r="B29" s="107"/>
      <c r="E29" s="2"/>
      <c r="F29" s="204"/>
      <c r="G29" s="204"/>
      <c r="H29" s="204"/>
      <c r="I29" s="204"/>
      <c r="J29" s="204"/>
      <c r="K29" s="204"/>
      <c r="L29" s="205"/>
    </row>
    <row r="30" spans="2:12" x14ac:dyDescent="0.25">
      <c r="B30" s="109" t="s">
        <v>232</v>
      </c>
      <c r="E30" s="2"/>
      <c r="F30" s="204"/>
      <c r="G30" s="204"/>
      <c r="H30" s="204"/>
      <c r="I30" s="204"/>
      <c r="J30" s="204">
        <f ca="1">Statements!L38/Statements!K38-1</f>
        <v>-0.15996076072581278</v>
      </c>
      <c r="K30" s="204">
        <f ca="1">Statements!M38/Statements!L38-1</f>
        <v>-0.16413873328514628</v>
      </c>
      <c r="L30" s="205">
        <f ca="1">Statements!N38/Statements!M38-1</f>
        <v>-0.14729328946568399</v>
      </c>
    </row>
    <row r="31" spans="2:12" x14ac:dyDescent="0.25">
      <c r="B31" s="110" t="s">
        <v>141</v>
      </c>
      <c r="E31" s="2" t="s">
        <v>335</v>
      </c>
      <c r="F31" s="204">
        <f>Statements!H39/Statements!G39-1</f>
        <v>0.69161676646706582</v>
      </c>
      <c r="G31" s="204">
        <f>Statements!I39/Statements!H39-1</f>
        <v>-1.4761061946902654</v>
      </c>
      <c r="H31" s="204">
        <f>Statements!J39/Statements!I39-1</f>
        <v>-2.1933085501858738</v>
      </c>
      <c r="I31" s="204">
        <f ca="1">Statements!K39/Statements!J39-1</f>
        <v>-0.10833772433324707</v>
      </c>
      <c r="J31" s="204">
        <f ca="1">Statements!L39/Statements!K39-1</f>
        <v>4.8862218247136546E-4</v>
      </c>
      <c r="K31" s="204">
        <f ca="1">Statements!M39/Statements!L39-1</f>
        <v>-0.36208325228993232</v>
      </c>
      <c r="L31" s="205">
        <f ca="1">Statements!N39/Statements!M39-1</f>
        <v>1.0822306814838796</v>
      </c>
    </row>
    <row r="32" spans="2:12" x14ac:dyDescent="0.25">
      <c r="B32" s="109" t="s">
        <v>142</v>
      </c>
      <c r="C32" s="17"/>
      <c r="D32" s="17"/>
      <c r="E32" s="206" t="s">
        <v>335</v>
      </c>
      <c r="F32" s="207">
        <f>Statements!H40/Statements!G40-1</f>
        <v>-4.5061837233319024E-2</v>
      </c>
      <c r="G32" s="207">
        <f>Statements!I40/Statements!H40-1</f>
        <v>8.5716044172469585E-2</v>
      </c>
      <c r="H32" s="207">
        <f>Statements!J40/Statements!I40-1</f>
        <v>7.4859294651172137E-2</v>
      </c>
      <c r="I32" s="207">
        <f ca="1">Statements!K40/Statements!J40-1</f>
        <v>5.6437933002667195E-2</v>
      </c>
      <c r="J32" s="207">
        <f ca="1">Statements!L40/Statements!K40-1</f>
        <v>0.1191666035789094</v>
      </c>
      <c r="K32" s="207">
        <f ca="1">Statements!M40/Statements!L40-1</f>
        <v>0.14500288744581713</v>
      </c>
      <c r="L32" s="208">
        <f ca="1">Statements!N40/Statements!M40-1</f>
        <v>0.16351133808570295</v>
      </c>
    </row>
    <row r="33" spans="1:12" x14ac:dyDescent="0.25">
      <c r="B33" s="107"/>
      <c r="E33" s="2"/>
      <c r="F33" s="204"/>
      <c r="G33" s="204"/>
      <c r="H33" s="204"/>
      <c r="I33" s="204"/>
      <c r="J33" s="204"/>
      <c r="K33" s="204"/>
      <c r="L33" s="205"/>
    </row>
    <row r="34" spans="1:12" x14ac:dyDescent="0.25">
      <c r="B34" s="110" t="s">
        <v>143</v>
      </c>
      <c r="E34" s="2" t="s">
        <v>335</v>
      </c>
      <c r="F34" s="204">
        <f>Statements!H42/Statements!G42-1</f>
        <v>-0.13259067357512955</v>
      </c>
      <c r="G34" s="204">
        <f>Statements!I42/Statements!H42-1</f>
        <v>0.77701451526193188</v>
      </c>
      <c r="H34" s="204">
        <f>Statements!J42/Statements!I42-1</f>
        <v>-0.30353961477696734</v>
      </c>
      <c r="I34" s="204">
        <f ca="1">Statements!K42/Statements!J42-1</f>
        <v>8.2831800063794647E-2</v>
      </c>
      <c r="J34" s="204">
        <f ca="1">Statements!L42/Statements!K42-1</f>
        <v>0.11916660357890962</v>
      </c>
      <c r="K34" s="204">
        <f ca="1">Statements!M42/Statements!L42-1</f>
        <v>0.14500288744581691</v>
      </c>
      <c r="L34" s="205">
        <f ca="1">Statements!N42/Statements!M42-1</f>
        <v>0.16351133808570317</v>
      </c>
    </row>
    <row r="35" spans="1:12" x14ac:dyDescent="0.25">
      <c r="B35" s="119" t="s">
        <v>144</v>
      </c>
      <c r="C35" s="189"/>
      <c r="D35" s="189"/>
      <c r="E35" s="209" t="s">
        <v>335</v>
      </c>
      <c r="F35" s="210">
        <f>Statements!H43/Statements!G43-1</f>
        <v>-2.8135426790777851E-2</v>
      </c>
      <c r="G35" s="210">
        <f>Statements!I43/Statements!H43-1</f>
        <v>-3.3599670086086886E-2</v>
      </c>
      <c r="H35" s="210">
        <f>Statements!J43/Statements!I43-1</f>
        <v>0.19495177946573361</v>
      </c>
      <c r="I35" s="210">
        <f ca="1">Statements!K43/Statements!J43-1</f>
        <v>5.1555739166049941E-2</v>
      </c>
      <c r="J35" s="210">
        <f ca="1">Statements!L43/Statements!K43-1</f>
        <v>0.1191666035789094</v>
      </c>
      <c r="K35" s="210">
        <f ca="1">Statements!M43/Statements!L43-1</f>
        <v>0.14500288744581713</v>
      </c>
      <c r="L35" s="211">
        <f ca="1">Statements!N43/Statements!M43-1</f>
        <v>0.16351133808570295</v>
      </c>
    </row>
    <row r="37" spans="1:12" x14ac:dyDescent="0.25">
      <c r="A37" s="1" t="s">
        <v>32</v>
      </c>
      <c r="B37" s="100" t="s">
        <v>336</v>
      </c>
      <c r="C37" s="212"/>
      <c r="D37" s="212"/>
      <c r="E37" s="212"/>
      <c r="F37" s="212"/>
      <c r="G37" s="212"/>
      <c r="H37" s="212"/>
      <c r="I37" s="212"/>
      <c r="J37" s="212"/>
      <c r="K37" s="212"/>
      <c r="L37" s="213"/>
    </row>
    <row r="38" spans="1:12" x14ac:dyDescent="0.25">
      <c r="B38" s="61"/>
      <c r="L38" s="106"/>
    </row>
    <row r="39" spans="1:12" x14ac:dyDescent="0.25">
      <c r="B39" s="109" t="s">
        <v>129</v>
      </c>
      <c r="L39" s="106"/>
    </row>
    <row r="40" spans="1:12" x14ac:dyDescent="0.25">
      <c r="B40" s="110" t="s">
        <v>130</v>
      </c>
      <c r="E40" s="204">
        <f>Statements!G20/Statements!G$22</f>
        <v>0.80186798807084458</v>
      </c>
      <c r="F40" s="204">
        <f>Statements!H20/Statements!H$22</f>
        <v>0.77771110270425403</v>
      </c>
      <c r="G40" s="204">
        <f>Statements!I20/Statements!I$22</f>
        <v>0.75406549285869551</v>
      </c>
      <c r="H40" s="204">
        <f>Statements!J20/Statements!J$22</f>
        <v>0.73770247572453929</v>
      </c>
      <c r="I40" s="204">
        <f ca="1">Statements!K20/Statements!K$22</f>
        <v>0.72060770384443174</v>
      </c>
      <c r="J40" s="204">
        <f ca="1">Statements!L20/Statements!L$22</f>
        <v>0.70018355160844714</v>
      </c>
      <c r="K40" s="204">
        <f ca="1">Statements!M20/Statements!M$22</f>
        <v>0.67604293572123308</v>
      </c>
      <c r="L40" s="205">
        <f ca="1">Statements!N20/Statements!N$22</f>
        <v>0.64782820445072953</v>
      </c>
    </row>
    <row r="41" spans="1:12" x14ac:dyDescent="0.25">
      <c r="B41" s="110" t="s">
        <v>131</v>
      </c>
      <c r="E41" s="204">
        <f>Statements!G21/Statements!G$22</f>
        <v>0.19813201192915542</v>
      </c>
      <c r="F41" s="204">
        <f>Statements!H21/Statements!H$22</f>
        <v>0.222288897295746</v>
      </c>
      <c r="G41" s="204">
        <f>Statements!I21/Statements!I$22</f>
        <v>0.24593450714130449</v>
      </c>
      <c r="H41" s="204">
        <f>Statements!J21/Statements!J$22</f>
        <v>0.26229752427546071</v>
      </c>
      <c r="I41" s="204">
        <f ca="1">Statements!K21/Statements!K$22</f>
        <v>0.27939229615556826</v>
      </c>
      <c r="J41" s="204">
        <f ca="1">Statements!L21/Statements!L$22</f>
        <v>0.29981644839155297</v>
      </c>
      <c r="K41" s="204">
        <f ca="1">Statements!M21/Statements!M$22</f>
        <v>0.32395706427876686</v>
      </c>
      <c r="L41" s="205">
        <f ca="1">Statements!N21/Statements!N$22</f>
        <v>0.35217179554927053</v>
      </c>
    </row>
    <row r="42" spans="1:12" x14ac:dyDescent="0.25">
      <c r="B42" s="109" t="s">
        <v>132</v>
      </c>
      <c r="E42" s="204">
        <f>Statements!G22/Statements!G$22</f>
        <v>1</v>
      </c>
      <c r="F42" s="204">
        <f>Statements!H22/Statements!H$22</f>
        <v>1</v>
      </c>
      <c r="G42" s="204">
        <f>Statements!I22/Statements!I$22</f>
        <v>1</v>
      </c>
      <c r="H42" s="204">
        <f>Statements!J22/Statements!J$22</f>
        <v>1</v>
      </c>
      <c r="I42" s="204">
        <f ca="1">Statements!K22/Statements!K$22</f>
        <v>1</v>
      </c>
      <c r="J42" s="204">
        <f ca="1">Statements!L22/Statements!L$22</f>
        <v>1</v>
      </c>
      <c r="K42" s="204">
        <f ca="1">Statements!M22/Statements!M$22</f>
        <v>1</v>
      </c>
      <c r="L42" s="205">
        <f ca="1">Statements!N22/Statements!N$22</f>
        <v>1</v>
      </c>
    </row>
    <row r="43" spans="1:12" x14ac:dyDescent="0.25">
      <c r="B43" s="107"/>
      <c r="E43" s="204"/>
      <c r="F43" s="204"/>
      <c r="G43" s="204"/>
      <c r="H43" s="204"/>
      <c r="I43" s="204"/>
      <c r="J43" s="204"/>
      <c r="K43" s="204"/>
      <c r="L43" s="205"/>
    </row>
    <row r="44" spans="1:12" x14ac:dyDescent="0.25">
      <c r="B44" s="109" t="s">
        <v>133</v>
      </c>
      <c r="E44" s="204"/>
      <c r="F44" s="204"/>
      <c r="G44" s="204"/>
      <c r="H44" s="204"/>
      <c r="I44" s="204"/>
      <c r="J44" s="204"/>
      <c r="K44" s="204"/>
      <c r="L44" s="205"/>
    </row>
    <row r="45" spans="1:12" x14ac:dyDescent="0.25">
      <c r="B45" s="110" t="s">
        <v>130</v>
      </c>
      <c r="E45" s="204">
        <f>Statements!G25/Statements!G$22</f>
        <v>0.5109223793390274</v>
      </c>
      <c r="F45" s="204">
        <f>Statements!H25/Statements!H$22</f>
        <v>0.4938413973935844</v>
      </c>
      <c r="G45" s="204">
        <f>Statements!I25/Statements!I$22</f>
        <v>0.47369928523022237</v>
      </c>
      <c r="H45" s="204">
        <f>Statements!J25/Statements!J$22</f>
        <v>0.46644447701730818</v>
      </c>
      <c r="I45" s="204">
        <f ca="1">Statements!K25/Statements!K$22</f>
        <v>0.45876007141440556</v>
      </c>
      <c r="J45" s="204">
        <f ca="1">Statements!L25/Statements!L$22</f>
        <v>0.4436572805851427</v>
      </c>
      <c r="K45" s="204">
        <f ca="1">Statements!M25/Statements!M$22</f>
        <v>0.42160561927465157</v>
      </c>
      <c r="L45" s="205">
        <f ca="1">Statements!N25/Statements!N$22</f>
        <v>0.39332614597123039</v>
      </c>
    </row>
    <row r="46" spans="1:12" x14ac:dyDescent="0.25">
      <c r="B46" s="110" t="s">
        <v>131</v>
      </c>
      <c r="E46" s="204">
        <f>Statements!G26/Statements!G$22</f>
        <v>5.5981315047371728E-2</v>
      </c>
      <c r="F46" s="204">
        <f>Statements!H26/Statements!H$22</f>
        <v>6.4847306834339979E-2</v>
      </c>
      <c r="G46" s="204">
        <f>Statements!I26/Statements!I$22</f>
        <v>6.4237216617438336E-2</v>
      </c>
      <c r="H46" s="204">
        <f>Statements!J26/Statements!J$22</f>
        <v>6.4503881911087302E-2</v>
      </c>
      <c r="I46" s="204">
        <f ca="1">Statements!K26/Statements!K$22</f>
        <v>6.562049586153039E-2</v>
      </c>
      <c r="J46" s="204">
        <f ca="1">Statements!L26/Statements!L$22</f>
        <v>6.6163259255477599E-2</v>
      </c>
      <c r="K46" s="204">
        <f ca="1">Statements!M26/Statements!M$22</f>
        <v>6.7213508579002268E-2</v>
      </c>
      <c r="L46" s="205">
        <f ca="1">Statements!N26/Statements!N$22</f>
        <v>6.8738063521168222E-2</v>
      </c>
    </row>
    <row r="47" spans="1:12" x14ac:dyDescent="0.25">
      <c r="B47" s="109" t="s">
        <v>134</v>
      </c>
      <c r="E47" s="204">
        <f>Statements!G27/Statements!G$22</f>
        <v>0.56690369438639909</v>
      </c>
      <c r="F47" s="204">
        <f>Statements!H27/Statements!H$22</f>
        <v>0.55868870422792438</v>
      </c>
      <c r="G47" s="204">
        <f>Statements!I27/Statements!I$22</f>
        <v>0.53793650184766073</v>
      </c>
      <c r="H47" s="204">
        <f>Statements!J27/Statements!J$22</f>
        <v>0.53094835892839554</v>
      </c>
      <c r="I47" s="204">
        <f ca="1">Statements!K27/Statements!K$22</f>
        <v>0.52438056727593596</v>
      </c>
      <c r="J47" s="204">
        <f ca="1">Statements!L27/Statements!L$22</f>
        <v>0.50982053984062026</v>
      </c>
      <c r="K47" s="204">
        <f ca="1">Statements!M27/Statements!M$22</f>
        <v>0.48881912785365383</v>
      </c>
      <c r="L47" s="205">
        <f ca="1">Statements!N27/Statements!N$22</f>
        <v>0.46206420949239863</v>
      </c>
    </row>
    <row r="48" spans="1:12" x14ac:dyDescent="0.25">
      <c r="B48" s="107"/>
      <c r="E48" s="204"/>
      <c r="F48" s="204"/>
      <c r="G48" s="204"/>
      <c r="H48" s="204"/>
      <c r="I48" s="204"/>
      <c r="J48" s="204"/>
      <c r="K48" s="204"/>
      <c r="L48" s="205"/>
    </row>
    <row r="49" spans="2:12" x14ac:dyDescent="0.25">
      <c r="B49" s="109" t="s">
        <v>135</v>
      </c>
      <c r="E49" s="204">
        <f>Statements!G29/Statements!G$22</f>
        <v>0.43309630561360085</v>
      </c>
      <c r="F49" s="204">
        <f>Statements!H29/Statements!H$22</f>
        <v>0.44131129577207562</v>
      </c>
      <c r="G49" s="204">
        <f>Statements!I29/Statements!I$22</f>
        <v>0.46206349815233932</v>
      </c>
      <c r="H49" s="204">
        <f>Statements!J29/Statements!J$22</f>
        <v>0.46905164107160452</v>
      </c>
      <c r="I49" s="204">
        <f ca="1">Statements!K29/Statements!K$22</f>
        <v>0.47561943272406404</v>
      </c>
      <c r="J49" s="204">
        <f ca="1">Statements!L29/Statements!L$22</f>
        <v>0.49017946015937974</v>
      </c>
      <c r="K49" s="204">
        <f ca="1">Statements!M29/Statements!M$22</f>
        <v>0.51118087214634611</v>
      </c>
      <c r="L49" s="205">
        <f ca="1">Statements!N29/Statements!N$22</f>
        <v>0.53793579050760132</v>
      </c>
    </row>
    <row r="50" spans="2:12" x14ac:dyDescent="0.25">
      <c r="B50" s="107"/>
      <c r="E50" s="204"/>
      <c r="F50" s="204"/>
      <c r="G50" s="204"/>
      <c r="H50" s="204"/>
      <c r="I50" s="204"/>
      <c r="J50" s="204"/>
      <c r="K50" s="204"/>
      <c r="L50" s="205"/>
    </row>
    <row r="51" spans="2:12" x14ac:dyDescent="0.25">
      <c r="B51" s="109" t="s">
        <v>136</v>
      </c>
      <c r="E51" s="204"/>
      <c r="F51" s="204"/>
      <c r="G51" s="204"/>
      <c r="H51" s="204"/>
      <c r="I51" s="204"/>
      <c r="J51" s="204"/>
      <c r="K51" s="204"/>
      <c r="L51" s="205"/>
    </row>
    <row r="52" spans="2:12" x14ac:dyDescent="0.25">
      <c r="B52" s="110" t="s">
        <v>137</v>
      </c>
      <c r="E52" s="204">
        <f>Statements!G32/Statements!G$22</f>
        <v>6.657148363798665E-2</v>
      </c>
      <c r="F52" s="204">
        <f>Statements!H32/Statements!H$22</f>
        <v>7.8048971392045086E-2</v>
      </c>
      <c r="G52" s="204">
        <f>Statements!I32/Statements!I$22</f>
        <v>8.0222997941360744E-2</v>
      </c>
      <c r="H52" s="204">
        <f>Statements!J32/Statements!J$22</f>
        <v>8.3020753987038676E-2</v>
      </c>
      <c r="I52" s="204">
        <f ca="1">Statements!K32/Statements!K$22</f>
        <v>8.5782434266560417E-2</v>
      </c>
      <c r="J52" s="204">
        <f ca="1">Statements!L32/Statements!L$22</f>
        <v>8.7897356050918835E-2</v>
      </c>
      <c r="K52" s="204">
        <f ca="1">Statements!M32/Statements!M$22</f>
        <v>8.9272090914243818E-2</v>
      </c>
      <c r="L52" s="205">
        <f ca="1">Statements!N32/Statements!N$22</f>
        <v>8.9802354540473847E-2</v>
      </c>
    </row>
    <row r="53" spans="2:12" x14ac:dyDescent="0.25">
      <c r="B53" s="110" t="s">
        <v>138</v>
      </c>
      <c r="E53" s="204">
        <f>Statements!G33/Statements!G$22</f>
        <v>6.3637378020328261E-2</v>
      </c>
      <c r="F53" s="204">
        <f>Statements!H33/Statements!H$22</f>
        <v>6.5048201729783317E-2</v>
      </c>
      <c r="G53" s="204">
        <f>Statements!I33/Statements!I$22</f>
        <v>6.6738271510222866E-2</v>
      </c>
      <c r="H53" s="204">
        <f>Statements!J33/Statements!J$22</f>
        <v>6.6322889458647019E-2</v>
      </c>
      <c r="I53" s="204">
        <f ca="1">Statements!K33/Statements!K$22</f>
        <v>6.5852683965673411E-2</v>
      </c>
      <c r="J53" s="204">
        <f ca="1">Statements!L33/Statements!L$22</f>
        <v>6.4763635024309457E-2</v>
      </c>
      <c r="K53" s="204">
        <f ca="1">Statements!M33/Statements!M$22</f>
        <v>6.3056015585295E-2</v>
      </c>
      <c r="L53" s="205">
        <f ca="1">Statements!N33/Statements!N$22</f>
        <v>6.073263456488566E-2</v>
      </c>
    </row>
    <row r="54" spans="2:12" x14ac:dyDescent="0.25">
      <c r="B54" s="109" t="s">
        <v>139</v>
      </c>
      <c r="E54" s="204">
        <f>Statements!G34/Statements!G$22</f>
        <v>0.13020886165831491</v>
      </c>
      <c r="F54" s="204">
        <f>Statements!H34/Statements!H$22</f>
        <v>0.1430971731218284</v>
      </c>
      <c r="G54" s="204">
        <f>Statements!I34/Statements!I$22</f>
        <v>0.14696126945158361</v>
      </c>
      <c r="H54" s="204">
        <f>Statements!J34/Statements!J$22</f>
        <v>0.14934364344568568</v>
      </c>
      <c r="I54" s="204">
        <f ca="1">Statements!K34/Statements!K$22</f>
        <v>0.15163511823223383</v>
      </c>
      <c r="J54" s="204">
        <f ca="1">Statements!L34/Statements!L$22</f>
        <v>0.15266099107522829</v>
      </c>
      <c r="K54" s="204">
        <f ca="1">Statements!M34/Statements!M$22</f>
        <v>0.15232810649953879</v>
      </c>
      <c r="L54" s="205">
        <f ca="1">Statements!N34/Statements!N$22</f>
        <v>0.15053498910535951</v>
      </c>
    </row>
    <row r="55" spans="2:12" x14ac:dyDescent="0.25">
      <c r="B55" s="107"/>
      <c r="E55" s="204"/>
      <c r="F55" s="204"/>
      <c r="G55" s="204"/>
      <c r="H55" s="204"/>
      <c r="I55" s="204"/>
      <c r="J55" s="204"/>
      <c r="K55" s="204"/>
      <c r="L55" s="205"/>
    </row>
    <row r="56" spans="2:12" x14ac:dyDescent="0.25">
      <c r="B56" s="109" t="s">
        <v>140</v>
      </c>
      <c r="E56" s="204">
        <f>Statements!G36/Statements!G$22</f>
        <v>0.30288744395528594</v>
      </c>
      <c r="F56" s="204">
        <f>Statements!H36/Statements!H$22</f>
        <v>0.29821412265024722</v>
      </c>
      <c r="G56" s="204">
        <f>Statements!I36/Statements!I$22</f>
        <v>0.31510222870075566</v>
      </c>
      <c r="H56" s="204">
        <f>Statements!J36/Statements!J$22</f>
        <v>0.31970799762591884</v>
      </c>
      <c r="I56" s="204">
        <f ca="1">Statements!K36/Statements!K$22</f>
        <v>0.32398431449183024</v>
      </c>
      <c r="J56" s="204">
        <f ca="1">Statements!L36/Statements!L$22</f>
        <v>0.33751846908415145</v>
      </c>
      <c r="K56" s="204">
        <f ca="1">Statements!M36/Statements!M$22</f>
        <v>0.35885276564680729</v>
      </c>
      <c r="L56" s="205">
        <f ca="1">Statements!N36/Statements!N$22</f>
        <v>0.38740080140224181</v>
      </c>
    </row>
    <row r="57" spans="2:12" x14ac:dyDescent="0.25">
      <c r="B57" s="107"/>
      <c r="E57" s="204"/>
      <c r="F57" s="204"/>
      <c r="G57" s="204"/>
      <c r="H57" s="204"/>
      <c r="I57" s="204"/>
      <c r="J57" s="204"/>
      <c r="K57" s="204"/>
      <c r="L57" s="205"/>
    </row>
    <row r="58" spans="2:12" x14ac:dyDescent="0.25">
      <c r="B58" s="109" t="s">
        <v>232</v>
      </c>
      <c r="E58" s="204" t="s">
        <v>335</v>
      </c>
      <c r="F58" s="204" t="s">
        <v>335</v>
      </c>
      <c r="G58" s="204" t="s">
        <v>335</v>
      </c>
      <c r="H58" s="204" t="s">
        <v>335</v>
      </c>
      <c r="I58" s="204">
        <f ca="1">Statements!K38/Statements!K$22</f>
        <v>-7.1308912730774377E-3</v>
      </c>
      <c r="J58" s="204">
        <f ca="1">Statements!L38/Statements!L$22</f>
        <v>-5.6079620664908885E-3</v>
      </c>
      <c r="K58" s="204">
        <f ca="1">Statements!M38/Statements!M$22</f>
        <v>-4.3757274952765587E-3</v>
      </c>
      <c r="L58" s="205">
        <f ca="1">Statements!N38/Statements!N$22</f>
        <v>-3.4705271130671821E-3</v>
      </c>
    </row>
    <row r="59" spans="2:12" x14ac:dyDescent="0.25">
      <c r="B59" s="110" t="s">
        <v>141</v>
      </c>
      <c r="E59" s="204">
        <f>Statements!G39/Statements!G$22</f>
        <v>-8.4701061045626988E-4</v>
      </c>
      <c r="F59" s="204">
        <f>Statements!H39/Statements!H$22</f>
        <v>-1.4740989081231982E-3</v>
      </c>
      <c r="G59" s="204">
        <f>Statements!I39/Statements!I$22</f>
        <v>6.8791796130781137E-4</v>
      </c>
      <c r="H59" s="204">
        <f>Statements!J39/Statements!J$22</f>
        <v>-7.7133609348305101E-4</v>
      </c>
      <c r="I59" s="204">
        <f ca="1">Statements!K39/Statements!K$22</f>
        <v>-6.454586433505109E-4</v>
      </c>
      <c r="J59" s="204">
        <f ca="1">Statements!L39/Statements!L$22</f>
        <v>-6.0456396090389272E-4</v>
      </c>
      <c r="K59" s="204">
        <f ca="1">Statements!M39/Statements!M$22</f>
        <v>-3.6001223336166733E-4</v>
      </c>
      <c r="L59" s="205">
        <f ca="1">Statements!N39/Statements!N$22</f>
        <v>-6.9725492895103612E-4</v>
      </c>
    </row>
    <row r="60" spans="2:12" x14ac:dyDescent="0.25">
      <c r="B60" s="109" t="s">
        <v>142</v>
      </c>
      <c r="E60" s="204">
        <f>Statements!G40/Statements!G$22</f>
        <v>0.30204043334482966</v>
      </c>
      <c r="F60" s="204">
        <f>Statements!H40/Statements!H$22</f>
        <v>0.29674002374212399</v>
      </c>
      <c r="G60" s="204">
        <f>Statements!I40/Statements!I$22</f>
        <v>0.31579014666206351</v>
      </c>
      <c r="H60" s="204">
        <f>Statements!J40/Statements!J$22</f>
        <v>0.31893666153243577</v>
      </c>
      <c r="I60" s="204">
        <f ca="1">Statements!K40/Statements!K$22</f>
        <v>0.31620796457540223</v>
      </c>
      <c r="J60" s="204">
        <f ca="1">Statements!L40/Statements!L$22</f>
        <v>0.33130594305675665</v>
      </c>
      <c r="K60" s="204">
        <f ca="1">Statements!M40/Statements!M$22</f>
        <v>0.35411702591816913</v>
      </c>
      <c r="L60" s="205">
        <f ca="1">Statements!N40/Statements!N$22</f>
        <v>0.38323301936022358</v>
      </c>
    </row>
    <row r="61" spans="2:12" x14ac:dyDescent="0.25">
      <c r="B61" s="107"/>
      <c r="E61" s="204"/>
      <c r="F61" s="204"/>
      <c r="G61" s="204"/>
      <c r="H61" s="204"/>
      <c r="I61" s="204"/>
      <c r="J61" s="204"/>
      <c r="K61" s="204"/>
      <c r="L61" s="205"/>
    </row>
    <row r="62" spans="2:12" x14ac:dyDescent="0.25">
      <c r="B62" s="110" t="s">
        <v>143</v>
      </c>
      <c r="E62" s="204">
        <f>Statements!G42/Statements!G$22</f>
        <v>4.8944026292832364E-2</v>
      </c>
      <c r="F62" s="204">
        <f>Statements!H42/Statements!H$22</f>
        <v>4.3677681098921166E-2</v>
      </c>
      <c r="G62" s="204">
        <f>Statements!I42/Statements!I$22</f>
        <v>7.6077588962624829E-2</v>
      </c>
      <c r="H62" s="204">
        <f>Statements!J42/Statements!J$22</f>
        <v>4.9786020314253381E-2</v>
      </c>
      <c r="I62" s="204">
        <f ca="1">Statements!K42/Statements!K$22</f>
        <v>5.0593274332064356E-2</v>
      </c>
      <c r="J62" s="204">
        <f ca="1">Statements!L42/Statements!L$22</f>
        <v>5.3008950889081065E-2</v>
      </c>
      <c r="K62" s="204">
        <f ca="1">Statements!M42/Statements!M$22</f>
        <v>5.6658724146907057E-2</v>
      </c>
      <c r="L62" s="205">
        <f ca="1">Statements!N42/Statements!N$22</f>
        <v>6.1317283097635782E-2</v>
      </c>
    </row>
    <row r="63" spans="2:12" x14ac:dyDescent="0.25">
      <c r="B63" s="119" t="s">
        <v>144</v>
      </c>
      <c r="C63" s="117"/>
      <c r="D63" s="117"/>
      <c r="E63" s="214">
        <f>Statements!G43/Statements!G$22</f>
        <v>0.25309640705199732</v>
      </c>
      <c r="F63" s="214">
        <f>Statements!H43/Statements!H$22</f>
        <v>0.25306234264320282</v>
      </c>
      <c r="G63" s="214">
        <f>Statements!I43/Statements!I$22</f>
        <v>0.23971255769943867</v>
      </c>
      <c r="H63" s="214">
        <f>Statements!J43/Statements!J$22</f>
        <v>0.26915064121818238</v>
      </c>
      <c r="I63" s="214">
        <f ca="1">Statements!K43/Statements!K$22</f>
        <v>0.26561469024333789</v>
      </c>
      <c r="J63" s="214">
        <f ca="1">Statements!L43/Statements!L$22</f>
        <v>0.27829699216767556</v>
      </c>
      <c r="K63" s="214">
        <f ca="1">Statements!M43/Statements!M$22</f>
        <v>0.29745830177126203</v>
      </c>
      <c r="L63" s="215">
        <f ca="1">Statements!N43/Statements!N$22</f>
        <v>0.32191573626258779</v>
      </c>
    </row>
  </sheetData>
  <mergeCells count="2">
    <mergeCell ref="E6:H6"/>
    <mergeCell ref="I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15</vt:i4>
      </vt:variant>
    </vt:vector>
  </HeadingPairs>
  <TitlesOfParts>
    <vt:vector size="28" baseType="lpstr">
      <vt:lpstr>Dashboard</vt:lpstr>
      <vt:lpstr>Report</vt:lpstr>
      <vt:lpstr>Financials-&gt;</vt:lpstr>
      <vt:lpstr>Statements</vt:lpstr>
      <vt:lpstr>Scenario</vt:lpstr>
      <vt:lpstr>Assumptions</vt:lpstr>
      <vt:lpstr>Schedule</vt:lpstr>
      <vt:lpstr>Valuation-&gt;</vt:lpstr>
      <vt:lpstr>Beta</vt:lpstr>
      <vt:lpstr>WACC</vt:lpstr>
      <vt:lpstr>FCFF</vt:lpstr>
      <vt:lpstr>Ratio Analysis</vt:lpstr>
      <vt:lpstr>Analysis</vt:lpstr>
      <vt:lpstr>Analysis</vt:lpstr>
      <vt:lpstr>BS</vt:lpstr>
      <vt:lpstr>CF</vt:lpstr>
      <vt:lpstr>days</vt:lpstr>
      <vt:lpstr>Debt</vt:lpstr>
      <vt:lpstr>EF</vt:lpstr>
      <vt:lpstr>IS</vt:lpstr>
      <vt:lpstr>PPE</vt:lpstr>
      <vt:lpstr>Report!Print_Area</vt:lpstr>
      <vt:lpstr>RE</vt:lpstr>
      <vt:lpstr>RF</vt:lpstr>
      <vt:lpstr>tax_rate</vt:lpstr>
      <vt:lpstr>Terminal_rate</vt:lpstr>
      <vt:lpstr>WACC</vt:lpstr>
      <vt:lpstr>WC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Eldric Sequeira</dc:creator>
  <cp:lastModifiedBy>Eldric Sequeira</cp:lastModifiedBy>
  <cp:lastPrinted>2026-03-20T09:59:38Z</cp:lastPrinted>
  <dcterms:created xsi:type="dcterms:W3CDTF">2026-02-20T09:32:09Z</dcterms:created>
  <dcterms:modified xsi:type="dcterms:W3CDTF">2026-03-23T19:39:33Z</dcterms:modified>
</cp:coreProperties>
</file>